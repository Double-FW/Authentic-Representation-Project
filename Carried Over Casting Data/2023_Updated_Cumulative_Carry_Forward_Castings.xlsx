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17cd737a3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y-Forward Summary" sheetId="1" r:id="R1bbf655d76d74e59"/>
    <x:sheet xmlns:r="http://schemas.openxmlformats.org/officeDocument/2006/relationships" name="Used in 2023" sheetId="2" r:id="R6f88e3a715cd445e"/>
    <x:sheet xmlns:r="http://schemas.openxmlformats.org/officeDocument/2006/relationships" name="2024 First Appearances" sheetId="3" r:id="R2dcc42f8f61b4d99"/>
    <x:sheet xmlns:r="http://schemas.openxmlformats.org/officeDocument/2006/relationships" name="2025 First Appearances" sheetId="4" r:id="Raceb5ca9e0c947cd"/>
    <x:sheet xmlns:r="http://schemas.openxmlformats.org/officeDocument/2006/relationships" name="Post-2025 Exclusion Log" sheetId="5" r:id="R51b3e572276043bb"/>
    <x:sheet xmlns:r="http://schemas.openxmlformats.org/officeDocument/2006/relationships" name="Unresolved Year Records" sheetId="6" r:id="R9731e9f54c954018"/>
    <x:sheet xmlns:r="http://schemas.openxmlformats.org/officeDocument/2006/relationships" name="Duplicate and Conflict Log" sheetId="7" r:id="Rba282cad0b5b4805"/>
    <x:sheet xmlns:r="http://schemas.openxmlformats.org/officeDocument/2006/relationships" name="QA and Reconciliation" sheetId="8" r:id="R7d97b6d3afa8449c"/>
    <x:sheet xmlns:r="http://schemas.openxmlformats.org/officeDocument/2006/relationships" name="Data Dictionary" sheetId="9" r:id="Rca1d48af6a6a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d0a3a67e64ee6" /><Relationship Type="http://schemas.openxmlformats.org/officeDocument/2006/relationships/theme" Target="/xl/theme/theme1.xml" Id="R6353114dbf7140c1" /><Relationship Type="http://schemas.openxmlformats.org/officeDocument/2006/relationships/sharedStrings" Target="/xl/sharedStrings.xml" Id="R7ead8455fa6b4e19" /><Relationship Type="http://schemas.openxmlformats.org/officeDocument/2006/relationships/worksheet" Target="/xl/worksheets/sheet1.xml" Id="R1bbf655d76d74e59" /><Relationship Type="http://schemas.openxmlformats.org/officeDocument/2006/relationships/worksheet" Target="/xl/worksheets/sheet2.xml" Id="R6f88e3a715cd445e" /><Relationship Type="http://schemas.openxmlformats.org/officeDocument/2006/relationships/worksheet" Target="/xl/worksheets/sheet3.xml" Id="R2dcc42f8f61b4d99" /><Relationship Type="http://schemas.openxmlformats.org/officeDocument/2006/relationships/worksheet" Target="/xl/worksheets/sheet4.xml" Id="Raceb5ca9e0c947cd" /><Relationship Type="http://schemas.openxmlformats.org/officeDocument/2006/relationships/worksheet" Target="/xl/worksheets/sheet5.xml" Id="R51b3e572276043bb" /><Relationship Type="http://schemas.openxmlformats.org/officeDocument/2006/relationships/worksheet" Target="/xl/worksheets/sheet6.xml" Id="R9731e9f54c954018" /><Relationship Type="http://schemas.openxmlformats.org/officeDocument/2006/relationships/worksheet" Target="/xl/worksheets/sheet7.xml" Id="Rba282cad0b5b4805" /><Relationship Type="http://schemas.openxmlformats.org/officeDocument/2006/relationships/worksheet" Target="/xl/worksheets/sheet8.xml" Id="R7d97b6d3afa8449c" /><Relationship Type="http://schemas.openxmlformats.org/officeDocument/2006/relationships/worksheet" Target="/xl/worksheets/sheet9.xml" Id="Rca1d48af6a6a4a83" /></Relationships>
</file>

<file path=xl/tables/table1.xml><?xml version="1.0" encoding="utf-8"?>
<x:table xmlns:x="http://schemas.openxmlformats.org/spreadsheetml/2006/main" id="1" name="CarryForwardSummaryTable" displayName="CarryForwardSummaryTable" ref="A5:F11" headerRowCount="1" totalsRowCount="0" totalsRowShown="0">
  <x:tableColumns count="6">
    <x:tableColumn id="1" name="Ledger population"/>
    <x:tableColumn id="2" name="Records"/>
    <x:tableColumn id="3" name="Productions"/>
    <x:tableColumn id="4" name="Analytical treatment"/>
    <x:tableColumn id="5" name="Source years"/>
    <x:tableColumn id="6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d2023Table" displayName="Used2023Table" ref="A5:CD571" headerRowCount="1" totalsRowCount="0" totalsRowShown="0">
  <x:autoFilter ref="A5:CD57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rstAppearances2024Table" displayName="FirstAppearances2024Table" ref="A5:CD1029" headerRowCount="1" totalsRowCount="0" totalsRowShown="0">
  <x:autoFilter ref="A5:CD1029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rstAppearances2025Table" displayName="FirstAppearances2025Table" ref="A5:CD720" headerRowCount="1" totalsRowCount="0" totalsRowShown="0">
  <x:autoFilter ref="A5:CD720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st2025ExclusionTable" displayName="Post2025ExclusionTable" ref="A5:CD175" headerRowCount="1" totalsRowCount="0" totalsRowShown="0">
  <x:autoFilter ref="A5:CD175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uplicateConflictTable" displayName="DuplicateConflictTable" ref="A5:E108" headerRowCount="1" totalsRowCount="0" totalsRowShown="0">
  <x:autoFilter ref="A5:E108"/>
  <x:tableColumns count="5">
    <x:tableColumn id="1" name="Canonical casting-credit key"/>
    <x:tableColumn id="2" name="Canonical source"/>
    <x:tableColumn id="3" name="Duplicate source"/>
    <x:tableColumn id="4" name="Conflict status"/>
    <x:tableColumn id="5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rryForwardQATable" displayName="CarryForwardQATable" ref="A5:B13" headerRowCount="1" totalsRowCount="0" totalsRowShown="0">
  <x:autoFilter ref="A5:B13"/>
  <x:tableColumns count="2">
    <x:tableColumn id="1" name="Measure"/>
    <x:tableColumn id="2" name="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rryForwardDictionaryTable" displayName="CarryForwardDictionaryTable" ref="A5:C87" headerRowCount="1" totalsRowCount="0" totalsRowShown="0">
  <x:autoFilter ref="A5:C87"/>
  <x:tableColumns count="3">
    <x:tableColumn id="1" name="Field"/>
    <x:tableColumn id="2" name="Group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7ef499731045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abbb0d288d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92ca49159144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dfb9715f8044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d6f3f24d0448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b8b1ad735546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f9474a286544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39d03dad3a49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9" hidden="0" customWidth="1"/>
    <x:col min="5" max="5" width="25" hidden="0" customWidth="1"/>
    <x:col min="6" max="6" width="24" hidden="0" customWidth="1"/>
  </x:cols>
  <x:sheetData>
    <x:row r="1" ht="30" customHeight="1">
      <x:c r="A1" s="3" t="str">
        <x:v>2023 cumulative carry-forward ledger</x:v>
      </x:c>
      <x:c r="B1" s="3"/>
      <x:c r="C1" s="3"/>
      <x:c r="D1" s="3"/>
      <x:c r="E1" s="3"/>
      <x:c r="F1" s="3"/>
    </x:row>
    <x:row r="2" ht="42" customHeight="1">
      <x:c r="A2" s="7" t="str">
        <x:v>Inherited records used in 2023 remain auditable; future first appearances are retained for 2024-2025 and post-study records remain excluded.</x:v>
      </x:c>
      <x:c r="B2" s="7"/>
      <x:c r="C2" s="7"/>
      <x:c r="D2" s="7"/>
      <x:c r="E2" s="7"/>
      <x:c r="F2" s="7"/>
    </x:row>
    <x:row r="5" ht="34" customHeight="1">
      <x:c r="A5" s="11" t="str">
        <x:v>Ledger population</x:v>
      </x:c>
      <x:c r="B5" s="11" t="str">
        <x:v>Records</x:v>
      </x:c>
      <x:c r="C5" s="11" t="str">
        <x:v>Productions</x:v>
      </x:c>
      <x:c r="D5" s="11" t="str">
        <x:v>Analytical treatment</x:v>
      </x:c>
      <x:c r="E5" s="11" t="str">
        <x:v>Source years</x:v>
      </x:c>
      <x:c r="F5" s="11" t="str">
        <x:v>QA status</x:v>
      </x:c>
    </x:row>
    <x:row r="6">
      <x:c r="A6" s="14" t="str">
        <x:v>Inherited records used in 2023</x:v>
      </x:c>
      <x:c r="B6" s="14" t="n">
        <x:v>566</x:v>
      </x:c>
      <x:c r="C6" s="14" t="n">
        <x:v>15</x:v>
      </x:c>
      <x:c r="D6" s="14" t="str">
        <x:v>Entered the 2023 annual analysis</x:v>
      </x:c>
      <x:c r="E6" s="14" t="str">
        <x:v>2021 and 2022 sources</x:v>
      </x:c>
      <x:c r="F6" s="14" t="str">
        <x:v>Passed</x:v>
      </x:c>
    </x:row>
    <x:row r="7">
      <x:c r="A7" s="14" t="str">
        <x:v>2024 first appearances</x:v>
      </x:c>
      <x:c r="B7" s="14" t="n">
        <x:v>1024</x:v>
      </x:c>
      <x:c r="C7" s="14" t="n">
        <x:v>29</x:v>
      </x:c>
      <x:c r="D7" s="14" t="str">
        <x:v>Available for 2024 analysis</x:v>
      </x:c>
      <x:c r="E7" s="14" t="str">
        <x:v>2021 and 2022 sources</x:v>
      </x:c>
      <x:c r="F7" s="14" t="str">
        <x:v>Passed</x:v>
      </x:c>
    </x:row>
    <x:row r="8">
      <x:c r="A8" s="14" t="str">
        <x:v>2025 first appearances</x:v>
      </x:c>
      <x:c r="B8" s="14" t="n">
        <x:v>715</x:v>
      </x:c>
      <x:c r="C8" s="14" t="n">
        <x:v>19</x:v>
      </x:c>
      <x:c r="D8" s="14" t="str">
        <x:v>Available for 2025 analysis</x:v>
      </x:c>
      <x:c r="E8" s="14" t="str">
        <x:v>2021 and 2022 sources</x:v>
      </x:c>
      <x:c r="F8" s="14" t="str">
        <x:v>Passed</x:v>
      </x:c>
    </x:row>
    <x:row r="9">
      <x:c r="A9" s="14" t="str">
        <x:v>Post-2025 exclusions</x:v>
      </x:c>
      <x:c r="B9" s="14" t="n">
        <x:v>170</x:v>
      </x:c>
      <x:c r="C9" s="14" t="n">
        <x:v>9</x:v>
      </x:c>
      <x:c r="D9" s="14" t="str">
        <x:v>Never enters five-year findings</x:v>
      </x:c>
      <x:c r="E9" s="14" t="str">
        <x:v>2021 to 2023 sources</x:v>
      </x:c>
      <x:c r="F9" s="14" t="str">
        <x:v>Passed</x:v>
      </x:c>
    </x:row>
    <x:row r="10">
      <x:c r="A10" s="14" t="str">
        <x:v>Unresolved year records</x:v>
      </x:c>
      <x:c r="B10" s="14" t="n">
        <x:v>0</x:v>
      </x:c>
      <x:c r="C10" s="14" t="n">
        <x:v>0</x:v>
      </x:c>
      <x:c r="D10" s="14" t="str">
        <x:v>Excluded pending review</x:v>
      </x:c>
      <x:c r="E10" s="14" t="str">
        <x:v>All sources</x:v>
      </x:c>
      <x:c r="F10" s="14" t="str">
        <x:v>Passed; Mobility resolved</x:v>
      </x:c>
    </x:row>
    <x:row r="11">
      <x:c r="A11" s="14" t="str">
        <x:v>Duplicate records excluded</x:v>
      </x:c>
      <x:c r="B11" s="14" t="n">
        <x:v>103</x:v>
      </x:c>
      <x:c r="C11" s="14" t="n">
        <x:v>1</x:v>
      </x:c>
      <x:c r="D11" s="14" t="str">
        <x:v>Retained in duplicate log</x:v>
      </x:c>
      <x:c r="E11" s="14" t="str">
        <x:v>2023 sources</x:v>
      </x:c>
      <x:c r="F11" s="14" t="str">
        <x:v>Passed with exceptions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b7ef499731045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Inherited carry-forward records used in 2023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566 inherited records promoted into the 2023 annual analysis and marked as used.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tt15309272|nm2605345|barbara parker / sophie straw</x:v>
      </x:c>
      <x:c r="B6" s="14" t="str">
        <x:v>08</x:v>
      </x:c>
      <x:c r="C6" s="14" t="str">
        <x:v>2022_IMDb_Cast_Lists_Batch_08(1).xlsx</x:v>
      </x:c>
      <x:c r="D6" s="14" t="str">
        <x:v>Funny Woman</x:v>
      </x:c>
      <x:c r="E6" s="14" t="n">
        <x:v>8</x:v>
      </x:c>
      <x:c r="F6" s="14" t="str">
        <x:v>Funny Woman</x:v>
      </x:c>
      <x:c r="G6" s="14" t="str">
        <x:v>tt15309272</x:v>
      </x:c>
      <x:c r="H6" s="14" t="n">
        <x:v>2023</x:v>
      </x:c>
      <x:c r="I6" s="14" t="n">
        <x:v>2023</x:v>
      </x:c>
      <x:c r="J6" s="14" t="str">
        <x:v>New Commission Cohort</x:v>
      </x:c>
      <x:c r="K6" s="14" t="n">
        <x:v>2022</x:v>
      </x:c>
      <x:c r="L6" s="14" t="str">
        <x:v>Used in 2023 annual analysis</x:v>
      </x:c>
      <x:c r="M6" s="15" t="n">
        <x:v>1</x:v>
      </x:c>
      <x:c r="N6" s="14" t="str">
        <x:v>Gemma Arterton</x:v>
      </x:c>
      <x:c r="O6" s="14" t="str">
        <x:v>nm2605345</x:v>
      </x:c>
      <x:c r="P6" s="14" t="str">
        <x:v>Barbara Parker / Sophie Straw</x:v>
      </x:c>
      <x:c r="Q6" s="15" t="n">
        <x:v>10</x:v>
      </x:c>
      <x:c r="R6" s="14" t="str">
        <x:v>2022–2024</x:v>
      </x:c>
      <x:c r="S6" s="14" t="n">
        <x:v>2023</x:v>
      </x:c>
      <x:c r="T6" s="14" t="n">
        <x:v>2023</x:v>
      </x:c>
      <x:c r="U6" s="14" t="str">
        <x:v>Production assigned to future entry year</x:v>
      </x:c>
      <x:c r="V6" s="14" t="str">
        <x:v>Master register assigns production to 2023, not 2022.</x:v>
      </x:c>
      <x:c r="W6" s="14" t="str">
        <x:v>Annual source/master-register conflict</x:v>
      </x:c>
      <x:c r="X6" s="14" t="str">
        <x:v>Included</x:v>
      </x:c>
      <x:c r="Y6" s="14"/>
      <x:c r="Z6" s="14" t="str">
        <x:v>Funny Woman.docx</x:v>
      </x:c>
      <x:c r="AA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Sky / NOW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HYPERLINK("https://en.wikipedia.org/wiki/Funny_Woman","Open source")</x:f>
        <x:v>HYPERLINK is not implemented. linkLocation=https://en.wikipedia.org/wiki/Funny_Woman, friendlyName=Open source</x:v>
      </x:c>
      <x:c r="AN6" s="14" t="str">
        <x:v>No qualifying BBC relationship</x:v>
      </x:c>
      <x:c r="AO6" s="14" t="str">
        <x:v>No</x:v>
      </x:c>
      <x:c r="AP6" s="14" t="str">
        <x:v>Out of scope</x:v>
      </x:c>
      <x:c r="AQ6" s="14" t="str">
        <x:v>No</x:v>
      </x:c>
      <x:c r="AR6" s="14" t="str">
        <x:v>Resolved from master register</x:v>
      </x:c>
      <x:c r="AS6" s="14" t="str">
        <x:v>No established-register match</x:v>
      </x:c>
      <x:c r="AT6" s="14"/>
      <x:c r="AU6" s="14"/>
      <x:c r="AV6" s="14" t="str">
        <x:v>No established apparent-disability match</x:v>
      </x:c>
      <x:c r="AW6" s="14"/>
      <x:c r="AX6" s="14" t="str">
        <x:v>No</x:v>
      </x:c>
      <x:c r="AY6" s="14" t="str">
        <x:v>Unmatched</x:v>
      </x:c>
      <x:c r="AZ6" s="14" t="str">
        <x:v>Final supplied register</x:v>
      </x:c>
      <x:c r="BA6" s="14" t="str">
        <x:v>Absence from the register is not evidence that the performer is not disabled.</x:v>
      </x:c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/>
      <x:c r="BP6" s="14" t="str">
        <x:v>Unable to calculate from supplied records.</x:v>
      </x:c>
      <x:c r="BQ6" s="14" t="str">
        <x:v>Unable to determine</x:v>
      </x:c>
      <x:c r="BR6" s="15" t="n">
        <x:v>10</x:v>
      </x:c>
      <x:c r="BS6" s="16"/>
      <x:c r="BT6" s="14" t="str">
        <x:v>Unable to calculate</x:v>
      </x:c>
      <x:c r="BU6" s="14" t="str">
        <x:v>Unable to determine</x:v>
      </x:c>
      <x:c r="BV6" s="14" t="str">
        <x:v>Episode count or production-total proxy unavailable.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tt15309272|nm0063914|bill gardiner</x:v>
      </x:c>
      <x:c r="B7" s="14" t="str">
        <x:v>08</x:v>
      </x:c>
      <x:c r="C7" s="14" t="str">
        <x:v>2022_IMDb_Cast_Lists_Batch_08(1).xlsx</x:v>
      </x:c>
      <x:c r="D7" s="14" t="str">
        <x:v>Funny Woman</x:v>
      </x:c>
      <x:c r="E7" s="14" t="n">
        <x:v>9</x:v>
      </x:c>
      <x:c r="F7" s="14" t="str">
        <x:v>Funny Woman</x:v>
      </x:c>
      <x:c r="G7" s="14" t="str">
        <x:v>tt15309272</x:v>
      </x:c>
      <x:c r="H7" s="14" t="n">
        <x:v>2023</x:v>
      </x:c>
      <x:c r="I7" s="14" t="n">
        <x:v>2023</x:v>
      </x:c>
      <x:c r="J7" s="14" t="str">
        <x:v>New Commission Cohort</x:v>
      </x:c>
      <x:c r="K7" s="14" t="n">
        <x:v>2022</x:v>
      </x:c>
      <x:c r="L7" s="14" t="str">
        <x:v>Used in 2023 annual analysis</x:v>
      </x:c>
      <x:c r="M7" s="15" t="n">
        <x:v>2</x:v>
      </x:c>
      <x:c r="N7" s="14" t="str">
        <x:v>Matthew Beard</x:v>
      </x:c>
      <x:c r="O7" s="14" t="str">
        <x:v>nm0063914</x:v>
      </x:c>
      <x:c r="P7" s="14" t="str">
        <x:v>Bill Gardiner</x:v>
      </x:c>
      <x:c r="Q7" s="15" t="n">
        <x:v>10</x:v>
      </x:c>
      <x:c r="R7" s="14" t="str">
        <x:v>2022–2024</x:v>
      </x:c>
      <x:c r="S7" s="14" t="n">
        <x:v>2023</x:v>
      </x:c>
      <x:c r="T7" s="14" t="n">
        <x:v>2023</x:v>
      </x:c>
      <x:c r="U7" s="14" t="str">
        <x:v>Production assigned to future entry year</x:v>
      </x:c>
      <x:c r="V7" s="14" t="str">
        <x:v>Master register assigns production to 2023, not 2022.</x:v>
      </x:c>
      <x:c r="W7" s="14" t="str">
        <x:v>Annual source/master-register conflict</x:v>
      </x:c>
      <x:c r="X7" s="14" t="str">
        <x:v>Included</x:v>
      </x:c>
      <x:c r="Y7" s="14"/>
      <x:c r="Z7" s="14" t="str">
        <x:v>Funny Woman.docx</x:v>
      </x:c>
      <x:c r="AA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Sky / NOW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HYPERLINK("https://en.wikipedia.org/wiki/Funny_Woman","Open source")</x:f>
        <x:v>HYPERLINK is not implemented. linkLocation=https://en.wikipedia.org/wiki/Funny_Woman, friendlyName=Open source</x:v>
      </x:c>
      <x:c r="AN7" s="14" t="str">
        <x:v>No qualifying BBC relationship</x:v>
      </x:c>
      <x:c r="AO7" s="14" t="str">
        <x:v>No</x:v>
      </x:c>
      <x:c r="AP7" s="14" t="str">
        <x:v>Out of scope</x:v>
      </x:c>
      <x:c r="AQ7" s="14" t="str">
        <x:v>No</x:v>
      </x:c>
      <x:c r="AR7" s="14" t="str">
        <x:v>Resolved from master register</x:v>
      </x:c>
      <x:c r="AS7" s="14" t="str">
        <x:v>No established-register match</x:v>
      </x:c>
      <x:c r="AT7" s="14"/>
      <x:c r="AU7" s="14"/>
      <x:c r="AV7" s="14" t="str">
        <x:v>No established apparent-disability match</x:v>
      </x:c>
      <x:c r="AW7" s="14"/>
      <x:c r="AX7" s="14" t="str">
        <x:v>No</x:v>
      </x:c>
      <x:c r="AY7" s="14" t="str">
        <x:v>Unmatched</x:v>
      </x:c>
      <x:c r="AZ7" s="14" t="str">
        <x:v>Final supplied register</x:v>
      </x:c>
      <x:c r="BA7" s="14" t="str">
        <x:v>Absence from the register is not evidence that the performer is not disabled.</x:v>
      </x:c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/>
      <x:c r="BP7" s="14" t="str">
        <x:v>Unable to calculate from supplied records.</x:v>
      </x:c>
      <x:c r="BQ7" s="14" t="str">
        <x:v>Unable to determine</x:v>
      </x:c>
      <x:c r="BR7" s="15" t="n">
        <x:v>10</x:v>
      </x:c>
      <x:c r="BS7" s="16"/>
      <x:c r="BT7" s="14" t="str">
        <x:v>Unable to calculate</x:v>
      </x:c>
      <x:c r="BU7" s="14" t="str">
        <x:v>Unable to determine</x:v>
      </x:c>
      <x:c r="BV7" s="14" t="str">
        <x:v>Episode count or production-total proxy unavailable.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tt15309272|nm0861915|george parker</x:v>
      </x:c>
      <x:c r="B8" s="14" t="str">
        <x:v>08</x:v>
      </x:c>
      <x:c r="C8" s="14" t="str">
        <x:v>2022_IMDb_Cast_Lists_Batch_08(1).xlsx</x:v>
      </x:c>
      <x:c r="D8" s="14" t="str">
        <x:v>Funny Woman</x:v>
      </x:c>
      <x:c r="E8" s="14" t="n">
        <x:v>10</x:v>
      </x:c>
      <x:c r="F8" s="14" t="str">
        <x:v>Funny Woman</x:v>
      </x:c>
      <x:c r="G8" s="14" t="str">
        <x:v>tt15309272</x:v>
      </x:c>
      <x:c r="H8" s="14" t="n">
        <x:v>2023</x:v>
      </x:c>
      <x:c r="I8" s="14" t="n">
        <x:v>2023</x:v>
      </x:c>
      <x:c r="J8" s="14" t="str">
        <x:v>New Commission Cohort</x:v>
      </x:c>
      <x:c r="K8" s="14" t="n">
        <x:v>2022</x:v>
      </x:c>
      <x:c r="L8" s="14" t="str">
        <x:v>Used in 2023 annual analysis</x:v>
      </x:c>
      <x:c r="M8" s="15" t="n">
        <x:v>3</x:v>
      </x:c>
      <x:c r="N8" s="14" t="str">
        <x:v>David Threlfall</x:v>
      </x:c>
      <x:c r="O8" s="14" t="str">
        <x:v>nm0861915</x:v>
      </x:c>
      <x:c r="P8" s="14" t="str">
        <x:v>George Parker</x:v>
      </x:c>
      <x:c r="Q8" s="15" t="n">
        <x:v>10</x:v>
      </x:c>
      <x:c r="R8" s="14" t="str">
        <x:v>2022–2024</x:v>
      </x:c>
      <x:c r="S8" s="14" t="n">
        <x:v>2023</x:v>
      </x:c>
      <x:c r="T8" s="14" t="n">
        <x:v>2023</x:v>
      </x:c>
      <x:c r="U8" s="14" t="str">
        <x:v>Production assigned to future entry year</x:v>
      </x:c>
      <x:c r="V8" s="14" t="str">
        <x:v>Master register assigns production to 2023, not 2022.</x:v>
      </x:c>
      <x:c r="W8" s="14" t="str">
        <x:v>Annual source/master-register conflict</x:v>
      </x:c>
      <x:c r="X8" s="14" t="str">
        <x:v>Included</x:v>
      </x:c>
      <x:c r="Y8" s="14"/>
      <x:c r="Z8" s="14" t="str">
        <x:v>Funny Woman.docx</x:v>
      </x:c>
      <x:c r="AA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Sky / NOW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HYPERLINK("https://en.wikipedia.org/wiki/Funny_Woman","Open source")</x:f>
        <x:v>HYPERLINK is not implemented. linkLocation=https://en.wikipedia.org/wiki/Funny_Woman, friendlyName=Open source</x:v>
      </x:c>
      <x:c r="AN8" s="14" t="str">
        <x:v>No qualifying BBC relationship</x:v>
      </x:c>
      <x:c r="AO8" s="14" t="str">
        <x:v>No</x:v>
      </x:c>
      <x:c r="AP8" s="14" t="str">
        <x:v>Out of scope</x:v>
      </x:c>
      <x:c r="AQ8" s="14" t="str">
        <x:v>No</x:v>
      </x:c>
      <x:c r="AR8" s="14" t="str">
        <x:v>Resolved from master register</x:v>
      </x:c>
      <x:c r="AS8" s="14" t="str">
        <x:v>No established-register match</x:v>
      </x:c>
      <x:c r="AT8" s="14"/>
      <x:c r="AU8" s="14"/>
      <x:c r="AV8" s="14" t="str">
        <x:v>No established apparent-disability match</x:v>
      </x:c>
      <x:c r="AW8" s="14"/>
      <x:c r="AX8" s="14" t="str">
        <x:v>No</x:v>
      </x:c>
      <x:c r="AY8" s="14" t="str">
        <x:v>Unmatched</x:v>
      </x:c>
      <x:c r="AZ8" s="14" t="str">
        <x:v>Final supplied register</x:v>
      </x:c>
      <x:c r="BA8" s="14" t="str">
        <x:v>Absence from the register is not evidence that the performer is not disabled.</x:v>
      </x:c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/>
      <x:c r="BP8" s="14" t="str">
        <x:v>Unable to calculate from supplied records.</x:v>
      </x:c>
      <x:c r="BQ8" s="14" t="str">
        <x:v>Unable to determine</x:v>
      </x:c>
      <x:c r="BR8" s="15" t="n">
        <x:v>10</x:v>
      </x:c>
      <x:c r="BS8" s="16"/>
      <x:c r="BT8" s="14" t="str">
        <x:v>Unable to calculate</x:v>
      </x:c>
      <x:c r="BU8" s="14" t="str">
        <x:v>Unable to determine</x:v>
      </x:c>
      <x:c r="BV8" s="14" t="str">
        <x:v>Episode count or production-total proxy unavailable.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tt15309272|nm2468782|dennis mahindra</x:v>
      </x:c>
      <x:c r="B9" s="14" t="str">
        <x:v>08</x:v>
      </x:c>
      <x:c r="C9" s="14" t="str">
        <x:v>2022_IMDb_Cast_Lists_Batch_08(1).xlsx</x:v>
      </x:c>
      <x:c r="D9" s="14" t="str">
        <x:v>Funny Woman</x:v>
      </x:c>
      <x:c r="E9" s="14" t="n">
        <x:v>11</x:v>
      </x:c>
      <x:c r="F9" s="14" t="str">
        <x:v>Funny Woman</x:v>
      </x:c>
      <x:c r="G9" s="14" t="str">
        <x:v>tt15309272</x:v>
      </x:c>
      <x:c r="H9" s="14" t="n">
        <x:v>2023</x:v>
      </x:c>
      <x:c r="I9" s="14" t="n">
        <x:v>2023</x:v>
      </x:c>
      <x:c r="J9" s="14" t="str">
        <x:v>New Commission Cohort</x:v>
      </x:c>
      <x:c r="K9" s="14" t="n">
        <x:v>2022</x:v>
      </x:c>
      <x:c r="L9" s="14" t="str">
        <x:v>Used in 2023 annual analysis</x:v>
      </x:c>
      <x:c r="M9" s="15" t="n">
        <x:v>4</x:v>
      </x:c>
      <x:c r="N9" s="14" t="str">
        <x:v>Arsher Ali</x:v>
      </x:c>
      <x:c r="O9" s="14" t="str">
        <x:v>nm2468782</x:v>
      </x:c>
      <x:c r="P9" s="14" t="str">
        <x:v>Dennis Mahindra</x:v>
      </x:c>
      <x:c r="Q9" s="15" t="n">
        <x:v>10</x:v>
      </x:c>
      <x:c r="R9" s="14" t="str">
        <x:v>2022–2024</x:v>
      </x:c>
      <x:c r="S9" s="14" t="n">
        <x:v>2023</x:v>
      </x:c>
      <x:c r="T9" s="14" t="n">
        <x:v>2023</x:v>
      </x:c>
      <x:c r="U9" s="14" t="str">
        <x:v>Production assigned to future entry year</x:v>
      </x:c>
      <x:c r="V9" s="14" t="str">
        <x:v>Master register assigns production to 2023, not 2022.</x:v>
      </x:c>
      <x:c r="W9" s="14" t="str">
        <x:v>Annual source/master-register conflict</x:v>
      </x:c>
      <x:c r="X9" s="14" t="str">
        <x:v>Included</x:v>
      </x:c>
      <x:c r="Y9" s="14"/>
      <x:c r="Z9" s="14" t="str">
        <x:v>Funny Woman.docx</x:v>
      </x:c>
      <x:c r="AA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Sky / NOW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HYPERLINK("https://en.wikipedia.org/wiki/Funny_Woman","Open source")</x:f>
        <x:v>HYPERLINK is not implemented. linkLocation=https://en.wikipedia.org/wiki/Funny_Woman, friendlyName=Open source</x:v>
      </x:c>
      <x:c r="AN9" s="14" t="str">
        <x:v>No qualifying BBC relationship</x:v>
      </x:c>
      <x:c r="AO9" s="14" t="str">
        <x:v>No</x:v>
      </x:c>
      <x:c r="AP9" s="14" t="str">
        <x:v>Out of scope</x:v>
      </x:c>
      <x:c r="AQ9" s="14" t="str">
        <x:v>No</x:v>
      </x:c>
      <x:c r="AR9" s="14" t="str">
        <x:v>Resolved from master register</x:v>
      </x:c>
      <x:c r="AS9" s="14" t="str">
        <x:v>No established-register match</x:v>
      </x:c>
      <x:c r="AT9" s="14"/>
      <x:c r="AU9" s="14"/>
      <x:c r="AV9" s="14" t="str">
        <x:v>No established apparent-disability match</x:v>
      </x:c>
      <x:c r="AW9" s="14"/>
      <x:c r="AX9" s="14" t="str">
        <x:v>No</x:v>
      </x:c>
      <x:c r="AY9" s="14" t="str">
        <x:v>Unmatched</x:v>
      </x:c>
      <x:c r="AZ9" s="14" t="str">
        <x:v>Final supplied register</x:v>
      </x:c>
      <x:c r="BA9" s="14" t="str">
        <x:v>Absence from the register is not evidence that the performer is not disabled.</x:v>
      </x:c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/>
      <x:c r="BP9" s="14" t="str">
        <x:v>Unable to calculate from supplied records.</x:v>
      </x:c>
      <x:c r="BQ9" s="14" t="str">
        <x:v>Unable to determine</x:v>
      </x:c>
      <x:c r="BR9" s="15" t="n">
        <x:v>10</x:v>
      </x:c>
      <x:c r="BS9" s="16"/>
      <x:c r="BT9" s="14" t="str">
        <x:v>Unable to calculate</x:v>
      </x:c>
      <x:c r="BU9" s="14" t="str">
        <x:v>Unable to determine</x:v>
      </x:c>
      <x:c r="BV9" s="14" t="str">
        <x:v>Episode count or production-total proxy unavailable.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tt15309272|nm1095324|tony holmes</x:v>
      </x:c>
      <x:c r="B10" s="14" t="str">
        <x:v>08</x:v>
      </x:c>
      <x:c r="C10" s="14" t="str">
        <x:v>2022_IMDb_Cast_Lists_Batch_08(1).xlsx</x:v>
      </x:c>
      <x:c r="D10" s="14" t="str">
        <x:v>Funny Woman</x:v>
      </x:c>
      <x:c r="E10" s="14" t="n">
        <x:v>12</x:v>
      </x:c>
      <x:c r="F10" s="14" t="str">
        <x:v>Funny Woman</x:v>
      </x:c>
      <x:c r="G10" s="14" t="str">
        <x:v>tt15309272</x:v>
      </x:c>
      <x:c r="H10" s="14" t="n">
        <x:v>2023</x:v>
      </x:c>
      <x:c r="I10" s="14" t="n">
        <x:v>2023</x:v>
      </x:c>
      <x:c r="J10" s="14" t="str">
        <x:v>New Commission Cohort</x:v>
      </x:c>
      <x:c r="K10" s="14" t="n">
        <x:v>2022</x:v>
      </x:c>
      <x:c r="L10" s="14" t="str">
        <x:v>Used in 2023 annual analysis</x:v>
      </x:c>
      <x:c r="M10" s="15" t="n">
        <x:v>5</x:v>
      </x:c>
      <x:c r="N10" s="14" t="str">
        <x:v>Leo Bill</x:v>
      </x:c>
      <x:c r="O10" s="14" t="str">
        <x:v>nm1095324</x:v>
      </x:c>
      <x:c r="P10" s="14" t="str">
        <x:v>Tony Holmes</x:v>
      </x:c>
      <x:c r="Q10" s="15" t="n">
        <x:v>10</x:v>
      </x:c>
      <x:c r="R10" s="14" t="str">
        <x:v>2022–2024</x:v>
      </x:c>
      <x:c r="S10" s="14" t="n">
        <x:v>2023</x:v>
      </x:c>
      <x:c r="T10" s="14" t="n">
        <x:v>2023</x:v>
      </x:c>
      <x:c r="U10" s="14" t="str">
        <x:v>Production assigned to future entry year</x:v>
      </x:c>
      <x:c r="V10" s="14" t="str">
        <x:v>Master register assigns production to 2023, not 2022.</x:v>
      </x:c>
      <x:c r="W10" s="14" t="str">
        <x:v>Annual source/master-register conflict</x:v>
      </x:c>
      <x:c r="X10" s="14" t="str">
        <x:v>Included</x:v>
      </x:c>
      <x:c r="Y10" s="14"/>
      <x:c r="Z10" s="14" t="str">
        <x:v>Funny Woman.docx</x:v>
      </x:c>
      <x:c r="AA1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Sky / NOW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HYPERLINK("https://en.wikipedia.org/wiki/Funny_Woman","Open source")</x:f>
        <x:v>HYPERLINK is not implemented. linkLocation=https://en.wikipedia.org/wiki/Funny_Woman, friendlyName=Open source</x:v>
      </x:c>
      <x:c r="AN10" s="14" t="str">
        <x:v>No qualifying BBC relationship</x:v>
      </x:c>
      <x:c r="AO10" s="14" t="str">
        <x:v>No</x:v>
      </x:c>
      <x:c r="AP10" s="14" t="str">
        <x:v>Out of scope</x:v>
      </x:c>
      <x:c r="AQ10" s="14" t="str">
        <x:v>No</x:v>
      </x:c>
      <x:c r="AR10" s="14" t="str">
        <x:v>Resolved from master register</x:v>
      </x:c>
      <x:c r="AS10" s="14" t="str">
        <x:v>No established-register match</x:v>
      </x:c>
      <x:c r="AT10" s="14"/>
      <x:c r="AU10" s="14"/>
      <x:c r="AV10" s="14" t="str">
        <x:v>No established apparent-disability match</x:v>
      </x:c>
      <x:c r="AW10" s="14"/>
      <x:c r="AX10" s="14" t="str">
        <x:v>No</x:v>
      </x:c>
      <x:c r="AY10" s="14" t="str">
        <x:v>Unmatched</x:v>
      </x:c>
      <x:c r="AZ10" s="14" t="str">
        <x:v>Final supplied register</x:v>
      </x:c>
      <x:c r="BA10" s="14" t="str">
        <x:v>Absence from the register is not evidence that the performer is not disabled.</x:v>
      </x:c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/>
      <x:c r="BP10" s="14" t="str">
        <x:v>Unable to calculate from supplied records.</x:v>
      </x:c>
      <x:c r="BQ10" s="14" t="str">
        <x:v>Unable to determine</x:v>
      </x:c>
      <x:c r="BR10" s="15" t="n">
        <x:v>10</x:v>
      </x:c>
      <x:c r="BS10" s="16"/>
      <x:c r="BT10" s="14" t="str">
        <x:v>Unable to calculate</x:v>
      </x:c>
      <x:c r="BU10" s="14" t="str">
        <x:v>Unable to determine</x:v>
      </x:c>
      <x:c r="BV10" s="14" t="str">
        <x:v>Episode count or production-total proxy unavailable.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tt15309272|nm0146803|aunt marie parker / aunt marie / ...</x:v>
      </x:c>
      <x:c r="B11" s="14" t="str">
        <x:v>08</x:v>
      </x:c>
      <x:c r="C11" s="14" t="str">
        <x:v>2022_IMDb_Cast_Lists_Batch_08(1).xlsx</x:v>
      </x:c>
      <x:c r="D11" s="14" t="str">
        <x:v>Funny Woman</x:v>
      </x:c>
      <x:c r="E11" s="14" t="n">
        <x:v>13</x:v>
      </x:c>
      <x:c r="F11" s="14" t="str">
        <x:v>Funny Woman</x:v>
      </x:c>
      <x:c r="G11" s="14" t="str">
        <x:v>tt15309272</x:v>
      </x:c>
      <x:c r="H11" s="14" t="n">
        <x:v>2023</x:v>
      </x:c>
      <x:c r="I11" s="14" t="n">
        <x:v>2023</x:v>
      </x:c>
      <x:c r="J11" s="14" t="str">
        <x:v>New Commission Cohort</x:v>
      </x:c>
      <x:c r="K11" s="14" t="n">
        <x:v>2022</x:v>
      </x:c>
      <x:c r="L11" s="14" t="str">
        <x:v>Used in 2023 annual analysis</x:v>
      </x:c>
      <x:c r="M11" s="15" t="n">
        <x:v>6</x:v>
      </x:c>
      <x:c r="N11" s="14" t="str">
        <x:v>Rosie Cavaliero</x:v>
      </x:c>
      <x:c r="O11" s="14" t="str">
        <x:v>nm0146803</x:v>
      </x:c>
      <x:c r="P11" s="14" t="str">
        <x:v>Aunt Marie Parker / Aunt Marie / ...</x:v>
      </x:c>
      <x:c r="Q11" s="15" t="n">
        <x:v>10</x:v>
      </x:c>
      <x:c r="R11" s="14" t="str">
        <x:v>2022–2024</x:v>
      </x:c>
      <x:c r="S11" s="14" t="n">
        <x:v>2023</x:v>
      </x:c>
      <x:c r="T11" s="14" t="n">
        <x:v>2023</x:v>
      </x:c>
      <x:c r="U11" s="14" t="str">
        <x:v>Production assigned to future entry year</x:v>
      </x:c>
      <x:c r="V11" s="14" t="str">
        <x:v>Master register assigns production to 2023, not 2022.</x:v>
      </x:c>
      <x:c r="W11" s="14" t="str">
        <x:v>Annual source/master-register conflict</x:v>
      </x:c>
      <x:c r="X11" s="14" t="str">
        <x:v>Included</x:v>
      </x:c>
      <x:c r="Y11" s="14"/>
      <x:c r="Z11" s="14" t="str">
        <x:v>Funny Woman.docx</x:v>
      </x:c>
      <x:c r="AA1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Sky / NOW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HYPERLINK("https://en.wikipedia.org/wiki/Funny_Woman","Open source")</x:f>
        <x:v>HYPERLINK is not implemented. linkLocation=https://en.wikipedia.org/wiki/Funny_Woman, friendlyName=Open source</x:v>
      </x:c>
      <x:c r="AN11" s="14" t="str">
        <x:v>No qualifying BBC relationship</x:v>
      </x:c>
      <x:c r="AO11" s="14" t="str">
        <x:v>No</x:v>
      </x:c>
      <x:c r="AP11" s="14" t="str">
        <x:v>Out of scope</x:v>
      </x:c>
      <x:c r="AQ11" s="14" t="str">
        <x:v>No</x:v>
      </x:c>
      <x:c r="AR11" s="14" t="str">
        <x:v>Resolved from master register</x:v>
      </x:c>
      <x:c r="AS11" s="14" t="str">
        <x:v>No established-register match</x:v>
      </x:c>
      <x:c r="AT11" s="14"/>
      <x:c r="AU11" s="14"/>
      <x:c r="AV11" s="14" t="str">
        <x:v>No established apparent-disability match</x:v>
      </x:c>
      <x:c r="AW11" s="14"/>
      <x:c r="AX11" s="14" t="str">
        <x:v>No</x:v>
      </x:c>
      <x:c r="AY11" s="14" t="str">
        <x:v>Unmatched</x:v>
      </x:c>
      <x:c r="AZ11" s="14" t="str">
        <x:v>Final supplied register</x:v>
      </x:c>
      <x:c r="BA11" s="14" t="str">
        <x:v>Absence from the register is not evidence that the performer is not disabled.</x:v>
      </x:c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/>
      <x:c r="BP11" s="14" t="str">
        <x:v>Unable to calculate from supplied records.</x:v>
      </x:c>
      <x:c r="BQ11" s="14" t="str">
        <x:v>Unable to determine</x:v>
      </x:c>
      <x:c r="BR11" s="15" t="n">
        <x:v>10</x:v>
      </x:c>
      <x:c r="BS11" s="16"/>
      <x:c r="BT11" s="14" t="str">
        <x:v>Unable to calculate</x:v>
      </x:c>
      <x:c r="BU11" s="14" t="str">
        <x:v>Unable to determine</x:v>
      </x:c>
      <x:c r="BV11" s="14" t="str">
        <x:v>Episode count or production-total proxy unavailable.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tt15309272|nm4061475|marjorie harrison</x:v>
      </x:c>
      <x:c r="B12" s="14" t="str">
        <x:v>08</x:v>
      </x:c>
      <x:c r="C12" s="14" t="str">
        <x:v>2022_IMDb_Cast_Lists_Batch_08(1).xlsx</x:v>
      </x:c>
      <x:c r="D12" s="14" t="str">
        <x:v>Funny Woman</x:v>
      </x:c>
      <x:c r="E12" s="14" t="n">
        <x:v>14</x:v>
      </x:c>
      <x:c r="F12" s="14" t="str">
        <x:v>Funny Woman</x:v>
      </x:c>
      <x:c r="G12" s="14" t="str">
        <x:v>tt15309272</x:v>
      </x:c>
      <x:c r="H12" s="14" t="n">
        <x:v>2023</x:v>
      </x:c>
      <x:c r="I12" s="14" t="n">
        <x:v>2023</x:v>
      </x:c>
      <x:c r="J12" s="14" t="str">
        <x:v>New Commission Cohort</x:v>
      </x:c>
      <x:c r="K12" s="14" t="n">
        <x:v>2022</x:v>
      </x:c>
      <x:c r="L12" s="14" t="str">
        <x:v>Used in 2023 annual analysis</x:v>
      </x:c>
      <x:c r="M12" s="15" t="n">
        <x:v>7</x:v>
      </x:c>
      <x:c r="N12" s="14" t="str">
        <x:v>Alexa Davies</x:v>
      </x:c>
      <x:c r="O12" s="14" t="str">
        <x:v>nm4061475</x:v>
      </x:c>
      <x:c r="P12" s="14" t="str">
        <x:v>Marjorie Harrison</x:v>
      </x:c>
      <x:c r="Q12" s="15" t="n">
        <x:v>10</x:v>
      </x:c>
      <x:c r="R12" s="14" t="str">
        <x:v>2022–2024</x:v>
      </x:c>
      <x:c r="S12" s="14" t="n">
        <x:v>2023</x:v>
      </x:c>
      <x:c r="T12" s="14" t="n">
        <x:v>2023</x:v>
      </x:c>
      <x:c r="U12" s="14" t="str">
        <x:v>Production assigned to future entry year</x:v>
      </x:c>
      <x:c r="V12" s="14" t="str">
        <x:v>Master register assigns production to 2023, not 2022.</x:v>
      </x:c>
      <x:c r="W12" s="14" t="str">
        <x:v>Annual source/master-register conflict</x:v>
      </x:c>
      <x:c r="X12" s="14" t="str">
        <x:v>Included</x:v>
      </x:c>
      <x:c r="Y12" s="14"/>
      <x:c r="Z12" s="14" t="str">
        <x:v>Funny Woman.docx</x:v>
      </x:c>
      <x:c r="AA1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Sky / NOW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HYPERLINK("https://en.wikipedia.org/wiki/Funny_Woman","Open source")</x:f>
        <x:v>HYPERLINK is not implemented. linkLocation=https://en.wikipedia.org/wiki/Funny_Woman, friendlyName=Open source</x:v>
      </x:c>
      <x:c r="AN12" s="14" t="str">
        <x:v>No qualifying BBC relationship</x:v>
      </x:c>
      <x:c r="AO12" s="14" t="str">
        <x:v>No</x:v>
      </x:c>
      <x:c r="AP12" s="14" t="str">
        <x:v>Out of scope</x:v>
      </x:c>
      <x:c r="AQ12" s="14" t="str">
        <x:v>No</x:v>
      </x:c>
      <x:c r="AR12" s="14" t="str">
        <x:v>Resolved from master register</x:v>
      </x:c>
      <x:c r="AS12" s="14" t="str">
        <x:v>No established-register match</x:v>
      </x:c>
      <x:c r="AT12" s="14"/>
      <x:c r="AU12" s="14"/>
      <x:c r="AV12" s="14" t="str">
        <x:v>No established apparent-disability match</x:v>
      </x:c>
      <x:c r="AW12" s="14"/>
      <x:c r="AX12" s="14" t="str">
        <x:v>No</x:v>
      </x:c>
      <x:c r="AY12" s="14" t="str">
        <x:v>Unmatched</x:v>
      </x:c>
      <x:c r="AZ12" s="14" t="str">
        <x:v>Final supplied register</x:v>
      </x:c>
      <x:c r="BA12" s="14" t="str">
        <x:v>Absence from the register is not evidence that the performer is not disabled.</x:v>
      </x:c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/>
      <x:c r="BP12" s="14" t="str">
        <x:v>Unable to calculate from supplied records.</x:v>
      </x:c>
      <x:c r="BQ12" s="14" t="str">
        <x:v>Unable to determine</x:v>
      </x:c>
      <x:c r="BR12" s="15" t="n">
        <x:v>10</x:v>
      </x:c>
      <x:c r="BS12" s="16"/>
      <x:c r="BT12" s="14" t="str">
        <x:v>Unable to calculate</x:v>
      </x:c>
      <x:c r="BU12" s="14" t="str">
        <x:v>Unable to determine</x:v>
      </x:c>
      <x:c r="BV12" s="14" t="str">
        <x:v>Episode count or production-total proxy unavailable.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tt15309272|nm0677944|ted sargent</x:v>
      </x:c>
      <x:c r="B13" s="14" t="str">
        <x:v>08</x:v>
      </x:c>
      <x:c r="C13" s="14" t="str">
        <x:v>2022_IMDb_Cast_Lists_Batch_08(1).xlsx</x:v>
      </x:c>
      <x:c r="D13" s="14" t="str">
        <x:v>Funny Woman</x:v>
      </x:c>
      <x:c r="E13" s="14" t="n">
        <x:v>15</x:v>
      </x:c>
      <x:c r="F13" s="14" t="str">
        <x:v>Funny Woman</x:v>
      </x:c>
      <x:c r="G13" s="14" t="str">
        <x:v>tt15309272</x:v>
      </x:c>
      <x:c r="H13" s="14" t="n">
        <x:v>2023</x:v>
      </x:c>
      <x:c r="I13" s="14" t="n">
        <x:v>2023</x:v>
      </x:c>
      <x:c r="J13" s="14" t="str">
        <x:v>New Commission Cohort</x:v>
      </x:c>
      <x:c r="K13" s="14" t="n">
        <x:v>2022</x:v>
      </x:c>
      <x:c r="L13" s="14" t="str">
        <x:v>Used in 2023 annual analysis</x:v>
      </x:c>
      <x:c r="M13" s="15" t="n">
        <x:v>8</x:v>
      </x:c>
      <x:c r="N13" s="14" t="str">
        <x:v>Alistair Petrie</x:v>
      </x:c>
      <x:c r="O13" s="14" t="str">
        <x:v>nm0677944</x:v>
      </x:c>
      <x:c r="P13" s="14" t="str">
        <x:v>Ted Sargent</x:v>
      </x:c>
      <x:c r="Q13" s="15" t="n">
        <x:v>9</x:v>
      </x:c>
      <x:c r="R13" s="14" t="str">
        <x:v>2022–2024</x:v>
      </x:c>
      <x:c r="S13" s="14" t="n">
        <x:v>2023</x:v>
      </x:c>
      <x:c r="T13" s="14" t="n">
        <x:v>2023</x:v>
      </x:c>
      <x:c r="U13" s="14" t="str">
        <x:v>Production assigned to future entry year</x:v>
      </x:c>
      <x:c r="V13" s="14" t="str">
        <x:v>Master register assigns production to 2023, not 2022.</x:v>
      </x:c>
      <x:c r="W13" s="14" t="str">
        <x:v>Annual source/master-register conflict</x:v>
      </x:c>
      <x:c r="X13" s="14" t="str">
        <x:v>Included</x:v>
      </x:c>
      <x:c r="Y13" s="14"/>
      <x:c r="Z13" s="14" t="str">
        <x:v>Funny Woman.docx</x:v>
      </x:c>
      <x:c r="AA1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Sky / NOW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HYPERLINK("https://en.wikipedia.org/wiki/Funny_Woman","Open source")</x:f>
        <x:v>HYPERLINK is not implemented. linkLocation=https://en.wikipedia.org/wiki/Funny_Woman, friendlyName=Open source</x:v>
      </x:c>
      <x:c r="AN13" s="14" t="str">
        <x:v>No qualifying BBC relationship</x:v>
      </x:c>
      <x:c r="AO13" s="14" t="str">
        <x:v>No</x:v>
      </x:c>
      <x:c r="AP13" s="14" t="str">
        <x:v>Out of scope</x:v>
      </x:c>
      <x:c r="AQ13" s="14" t="str">
        <x:v>No</x:v>
      </x:c>
      <x:c r="AR13" s="14" t="str">
        <x:v>Resolved from master register</x:v>
      </x:c>
      <x:c r="AS13" s="14" t="str">
        <x:v>No established-register match</x:v>
      </x:c>
      <x:c r="AT13" s="14"/>
      <x:c r="AU13" s="14"/>
      <x:c r="AV13" s="14" t="str">
        <x:v>No established apparent-disability match</x:v>
      </x:c>
      <x:c r="AW13" s="14"/>
      <x:c r="AX13" s="14" t="str">
        <x:v>No</x:v>
      </x:c>
      <x:c r="AY13" s="14" t="str">
        <x:v>Unmatched</x:v>
      </x:c>
      <x:c r="AZ13" s="14" t="str">
        <x:v>Final supplied register</x:v>
      </x:c>
      <x:c r="BA13" s="14" t="str">
        <x:v>Absence from the register is not evidence that the performer is not disabled.</x:v>
      </x:c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/>
      <x:c r="BP13" s="14" t="str">
        <x:v>Unable to calculate from supplied records.</x:v>
      </x:c>
      <x:c r="BQ13" s="14" t="str">
        <x:v>Unable to determine</x:v>
      </x:c>
      <x:c r="BR13" s="15" t="n">
        <x:v>9</x:v>
      </x:c>
      <x:c r="BS13" s="16"/>
      <x:c r="BT13" s="14" t="str">
        <x:v>Unable to calculate</x:v>
      </x:c>
      <x:c r="BU13" s="14" t="str">
        <x:v>Unable to determine</x:v>
      </x:c>
      <x:c r="BV13" s="14" t="str">
        <x:v>Episode count or production-total proxy unavailable.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tt15309272|nm1715135|diane lewis</x:v>
      </x:c>
      <x:c r="B14" s="14" t="str">
        <x:v>08</x:v>
      </x:c>
      <x:c r="C14" s="14" t="str">
        <x:v>2022_IMDb_Cast_Lists_Batch_08(1).xlsx</x:v>
      </x:c>
      <x:c r="D14" s="14" t="str">
        <x:v>Funny Woman</x:v>
      </x:c>
      <x:c r="E14" s="14" t="n">
        <x:v>16</x:v>
      </x:c>
      <x:c r="F14" s="14" t="str">
        <x:v>Funny Woman</x:v>
      </x:c>
      <x:c r="G14" s="14" t="str">
        <x:v>tt15309272</x:v>
      </x:c>
      <x:c r="H14" s="14" t="n">
        <x:v>2023</x:v>
      </x:c>
      <x:c r="I14" s="14" t="n">
        <x:v>2023</x:v>
      </x:c>
      <x:c r="J14" s="14" t="str">
        <x:v>New Commission Cohort</x:v>
      </x:c>
      <x:c r="K14" s="14" t="n">
        <x:v>2022</x:v>
      </x:c>
      <x:c r="L14" s="14" t="str">
        <x:v>Used in 2023 annual analysis</x:v>
      </x:c>
      <x:c r="M14" s="15" t="n">
        <x:v>9</x:v>
      </x:c>
      <x:c r="N14" s="14" t="str">
        <x:v>Clare-Hope Ashitey</x:v>
      </x:c>
      <x:c r="O14" s="14" t="str">
        <x:v>nm1715135</x:v>
      </x:c>
      <x:c r="P14" s="14" t="str">
        <x:v>Diane Lewis</x:v>
      </x:c>
      <x:c r="Q14" s="15" t="n">
        <x:v>9</x:v>
      </x:c>
      <x:c r="R14" s="14" t="str">
        <x:v>2022–2024</x:v>
      </x:c>
      <x:c r="S14" s="14" t="n">
        <x:v>2023</x:v>
      </x:c>
      <x:c r="T14" s="14" t="n">
        <x:v>2023</x:v>
      </x:c>
      <x:c r="U14" s="14" t="str">
        <x:v>Production assigned to future entry year</x:v>
      </x:c>
      <x:c r="V14" s="14" t="str">
        <x:v>Master register assigns production to 2023, not 2022.</x:v>
      </x:c>
      <x:c r="W14" s="14" t="str">
        <x:v>Annual source/master-register conflict</x:v>
      </x:c>
      <x:c r="X14" s="14" t="str">
        <x:v>Included</x:v>
      </x:c>
      <x:c r="Y14" s="14"/>
      <x:c r="Z14" s="14" t="str">
        <x:v>Funny Woman.docx</x:v>
      </x:c>
      <x:c r="AA1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Sky / NOW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HYPERLINK("https://en.wikipedia.org/wiki/Funny_Woman","Open source")</x:f>
        <x:v>HYPERLINK is not implemented. linkLocation=https://en.wikipedia.org/wiki/Funny_Woman, friendlyName=Open source</x:v>
      </x:c>
      <x:c r="AN14" s="14" t="str">
        <x:v>No qualifying BBC relationship</x:v>
      </x:c>
      <x:c r="AO14" s="14" t="str">
        <x:v>No</x:v>
      </x:c>
      <x:c r="AP14" s="14" t="str">
        <x:v>Out of scope</x:v>
      </x:c>
      <x:c r="AQ14" s="14" t="str">
        <x:v>No</x:v>
      </x:c>
      <x:c r="AR14" s="14" t="str">
        <x:v>Resolved from master register</x:v>
      </x:c>
      <x:c r="AS14" s="14" t="str">
        <x:v>No established-register match</x:v>
      </x:c>
      <x:c r="AT14" s="14"/>
      <x:c r="AU14" s="14"/>
      <x:c r="AV14" s="14" t="str">
        <x:v>No established apparent-disability match</x:v>
      </x:c>
      <x:c r="AW14" s="14"/>
      <x:c r="AX14" s="14" t="str">
        <x:v>No</x:v>
      </x:c>
      <x:c r="AY14" s="14" t="str">
        <x:v>Unmatched</x:v>
      </x:c>
      <x:c r="AZ14" s="14" t="str">
        <x:v>Final supplied register</x:v>
      </x:c>
      <x:c r="BA14" s="14" t="str">
        <x:v>Absence from the register is not evidence that the performer is not disabled.</x:v>
      </x:c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/>
      <x:c r="BP14" s="14" t="str">
        <x:v>Unable to calculate from supplied records.</x:v>
      </x:c>
      <x:c r="BQ14" s="14" t="str">
        <x:v>Unable to determine</x:v>
      </x:c>
      <x:c r="BR14" s="15" t="n">
        <x:v>9</x:v>
      </x:c>
      <x:c r="BS14" s="16"/>
      <x:c r="BT14" s="14" t="str">
        <x:v>Unable to calculate</x:v>
      </x:c>
      <x:c r="BU14" s="14" t="str">
        <x:v>Unable to determine</x:v>
      </x:c>
      <x:c r="BV14" s="14" t="str">
        <x:v>Episode count or production-total proxy unavailable.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tt15309272|nm5290643|clive richardson</x:v>
      </x:c>
      <x:c r="B15" s="14" t="str">
        <x:v>08</x:v>
      </x:c>
      <x:c r="C15" s="14" t="str">
        <x:v>2022_IMDb_Cast_Lists_Batch_08(1).xlsx</x:v>
      </x:c>
      <x:c r="D15" s="14" t="str">
        <x:v>Funny Woman</x:v>
      </x:c>
      <x:c r="E15" s="14" t="n">
        <x:v>17</x:v>
      </x:c>
      <x:c r="F15" s="14" t="str">
        <x:v>Funny Woman</x:v>
      </x:c>
      <x:c r="G15" s="14" t="str">
        <x:v>tt15309272</x:v>
      </x:c>
      <x:c r="H15" s="14" t="n">
        <x:v>2023</x:v>
      </x:c>
      <x:c r="I15" s="14" t="n">
        <x:v>2023</x:v>
      </x:c>
      <x:c r="J15" s="14" t="str">
        <x:v>New Commission Cohort</x:v>
      </x:c>
      <x:c r="K15" s="14" t="n">
        <x:v>2022</x:v>
      </x:c>
      <x:c r="L15" s="14" t="str">
        <x:v>Used in 2023 annual analysis</x:v>
      </x:c>
      <x:c r="M15" s="15" t="n">
        <x:v>10</x:v>
      </x:c>
      <x:c r="N15" s="14" t="str">
        <x:v>Tom Bateman</x:v>
      </x:c>
      <x:c r="O15" s="14" t="str">
        <x:v>nm5290643</x:v>
      </x:c>
      <x:c r="P15" s="14" t="str">
        <x:v>Clive Richardson</x:v>
      </x:c>
      <x:c r="Q15" s="15" t="n">
        <x:v>6</x:v>
      </x:c>
      <x:c r="R15" s="14" t="str">
        <x:v>2022–2023</x:v>
      </x:c>
      <x:c r="S15" s="14" t="n">
        <x:v>2023</x:v>
      </x:c>
      <x:c r="T15" s="14" t="n">
        <x:v>2023</x:v>
      </x:c>
      <x:c r="U15" s="14" t="str">
        <x:v>Production assigned to future entry year</x:v>
      </x:c>
      <x:c r="V15" s="14" t="str">
        <x:v>Master register assigns production to 2023, not 2022.</x:v>
      </x:c>
      <x:c r="W15" s="14" t="str">
        <x:v>Annual source/master-register conflict</x:v>
      </x:c>
      <x:c r="X15" s="14" t="str">
        <x:v>Included</x:v>
      </x:c>
      <x:c r="Y15" s="14"/>
      <x:c r="Z15" s="14" t="str">
        <x:v>Funny Woman.docx</x:v>
      </x:c>
      <x:c r="AA1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Sky / NOW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HYPERLINK("https://en.wikipedia.org/wiki/Funny_Woman","Open source")</x:f>
        <x:v>HYPERLINK is not implemented. linkLocation=https://en.wikipedia.org/wiki/Funny_Woman, friendlyName=Open source</x:v>
      </x:c>
      <x:c r="AN15" s="14" t="str">
        <x:v>No qualifying BBC relationship</x:v>
      </x:c>
      <x:c r="AO15" s="14" t="str">
        <x:v>No</x:v>
      </x:c>
      <x:c r="AP15" s="14" t="str">
        <x:v>Out of scope</x:v>
      </x:c>
      <x:c r="AQ15" s="14" t="str">
        <x:v>No</x:v>
      </x:c>
      <x:c r="AR15" s="14" t="str">
        <x:v>Resolved from master register</x:v>
      </x:c>
      <x:c r="AS15" s="14" t="str">
        <x:v>No established-register match</x:v>
      </x:c>
      <x:c r="AT15" s="14"/>
      <x:c r="AU15" s="14"/>
      <x:c r="AV15" s="14" t="str">
        <x:v>No established apparent-disability match</x:v>
      </x:c>
      <x:c r="AW15" s="14"/>
      <x:c r="AX15" s="14" t="str">
        <x:v>No</x:v>
      </x:c>
      <x:c r="AY15" s="14" t="str">
        <x:v>Unmatched</x:v>
      </x:c>
      <x:c r="AZ15" s="14" t="str">
        <x:v>Final supplied register</x:v>
      </x:c>
      <x:c r="BA15" s="14" t="str">
        <x:v>Absence from the register is not evidence that the performer is not disabled.</x:v>
      </x:c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/>
      <x:c r="BP15" s="14" t="str">
        <x:v>Unable to calculate from supplied records.</x:v>
      </x:c>
      <x:c r="BQ15" s="14" t="str">
        <x:v>Unable to determine</x:v>
      </x:c>
      <x:c r="BR15" s="15" t="n">
        <x:v>6</x:v>
      </x:c>
      <x:c r="BS15" s="16"/>
      <x:c r="BT15" s="14" t="str">
        <x:v>Unable to calculate</x:v>
      </x:c>
      <x:c r="BU15" s="14" t="str">
        <x:v>Unable to determine</x:v>
      </x:c>
      <x:c r="BV15" s="14" t="str">
        <x:v>Episode count or production-total proxy unavailable.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tt15309272|nm0000391|brian debenham</x:v>
      </x:c>
      <x:c r="B16" s="14" t="str">
        <x:v>08</x:v>
      </x:c>
      <x:c r="C16" s="14" t="str">
        <x:v>2022_IMDb_Cast_Lists_Batch_08(1).xlsx</x:v>
      </x:c>
      <x:c r="D16" s="14" t="str">
        <x:v>Funny Woman</x:v>
      </x:c>
      <x:c r="E16" s="14" t="n">
        <x:v>18</x:v>
      </x:c>
      <x:c r="F16" s="14" t="str">
        <x:v>Funny Woman</x:v>
      </x:c>
      <x:c r="G16" s="14" t="str">
        <x:v>tt15309272</x:v>
      </x:c>
      <x:c r="H16" s="14" t="n">
        <x:v>2023</x:v>
      </x:c>
      <x:c r="I16" s="14" t="n">
        <x:v>2023</x:v>
      </x:c>
      <x:c r="J16" s="14" t="str">
        <x:v>New Commission Cohort</x:v>
      </x:c>
      <x:c r="K16" s="14" t="n">
        <x:v>2022</x:v>
      </x:c>
      <x:c r="L16" s="14" t="str">
        <x:v>Used in 2023 annual analysis</x:v>
      </x:c>
      <x:c r="M16" s="15" t="n">
        <x:v>11</x:v>
      </x:c>
      <x:c r="N16" s="14" t="str">
        <x:v>Rupert Everett</x:v>
      </x:c>
      <x:c r="O16" s="14" t="str">
        <x:v>nm0000391</x:v>
      </x:c>
      <x:c r="P16" s="14" t="str">
        <x:v>Brian Debenham</x:v>
      </x:c>
      <x:c r="Q16" s="15" t="n">
        <x:v>6</x:v>
      </x:c>
      <x:c r="R16" s="14" t="str">
        <x:v>2022–2023</x:v>
      </x:c>
      <x:c r="S16" s="14" t="n">
        <x:v>2023</x:v>
      </x:c>
      <x:c r="T16" s="14" t="n">
        <x:v>2023</x:v>
      </x:c>
      <x:c r="U16" s="14" t="str">
        <x:v>Production assigned to future entry year</x:v>
      </x:c>
      <x:c r="V16" s="14" t="str">
        <x:v>Master register assigns production to 2023, not 2022.</x:v>
      </x:c>
      <x:c r="W16" s="14" t="str">
        <x:v>Annual source/master-register conflict</x:v>
      </x:c>
      <x:c r="X16" s="14" t="str">
        <x:v>Included</x:v>
      </x:c>
      <x:c r="Y16" s="14"/>
      <x:c r="Z16" s="14" t="str">
        <x:v>Funny Woman.docx</x:v>
      </x:c>
      <x:c r="AA1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Sky / NOW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HYPERLINK("https://en.wikipedia.org/wiki/Funny_Woman","Open source")</x:f>
        <x:v>HYPERLINK is not implemented. linkLocation=https://en.wikipedia.org/wiki/Funny_Woman, friendlyName=Open source</x:v>
      </x:c>
      <x:c r="AN16" s="14" t="str">
        <x:v>No qualifying BBC relationship</x:v>
      </x:c>
      <x:c r="AO16" s="14" t="str">
        <x:v>No</x:v>
      </x:c>
      <x:c r="AP16" s="14" t="str">
        <x:v>Out of scope</x:v>
      </x:c>
      <x:c r="AQ16" s="14" t="str">
        <x:v>No</x:v>
      </x:c>
      <x:c r="AR16" s="14" t="str">
        <x:v>Resolved from master register</x:v>
      </x:c>
      <x:c r="AS16" s="14" t="str">
        <x:v>No established-register match</x:v>
      </x:c>
      <x:c r="AT16" s="14"/>
      <x:c r="AU16" s="14"/>
      <x:c r="AV16" s="14" t="str">
        <x:v>No established apparent-disability match</x:v>
      </x:c>
      <x:c r="AW16" s="14"/>
      <x:c r="AX16" s="14" t="str">
        <x:v>No</x:v>
      </x:c>
      <x:c r="AY16" s="14" t="str">
        <x:v>Unmatched</x:v>
      </x:c>
      <x:c r="AZ16" s="14" t="str">
        <x:v>Final supplied register</x:v>
      </x:c>
      <x:c r="BA16" s="14" t="str">
        <x:v>Absence from the register is not evidence that the performer is not disabled.</x:v>
      </x:c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/>
      <x:c r="BP16" s="14" t="str">
        <x:v>Unable to calculate from supplied records.</x:v>
      </x:c>
      <x:c r="BQ16" s="14" t="str">
        <x:v>Unable to determine</x:v>
      </x:c>
      <x:c r="BR16" s="15" t="n">
        <x:v>6</x:v>
      </x:c>
      <x:c r="BS16" s="16"/>
      <x:c r="BT16" s="14" t="str">
        <x:v>Unable to calculate</x:v>
      </x:c>
      <x:c r="BU16" s="14" t="str">
        <x:v>Unable to determine</x:v>
      </x:c>
      <x:c r="BV16" s="14" t="str">
        <x:v>Episode count or production-total proxy unavailable.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tt15309272|nm0052218|patsy debenham</x:v>
      </x:c>
      <x:c r="B17" s="14" t="str">
        <x:v>08</x:v>
      </x:c>
      <x:c r="C17" s="14" t="str">
        <x:v>2022_IMDb_Cast_Lists_Batch_08(1).xlsx</x:v>
      </x:c>
      <x:c r="D17" s="14" t="str">
        <x:v>Funny Woman</x:v>
      </x:c>
      <x:c r="E17" s="14" t="n">
        <x:v>19</x:v>
      </x:c>
      <x:c r="F17" s="14" t="str">
        <x:v>Funny Woman</x:v>
      </x:c>
      <x:c r="G17" s="14" t="str">
        <x:v>tt15309272</x:v>
      </x:c>
      <x:c r="H17" s="14" t="n">
        <x:v>2023</x:v>
      </x:c>
      <x:c r="I17" s="14" t="n">
        <x:v>2023</x:v>
      </x:c>
      <x:c r="J17" s="14" t="str">
        <x:v>New Commission Cohort</x:v>
      </x:c>
      <x:c r="K17" s="14" t="n">
        <x:v>2022</x:v>
      </x:c>
      <x:c r="L17" s="14" t="str">
        <x:v>Used in 2023 annual analysis</x:v>
      </x:c>
      <x:c r="M17" s="15" t="n">
        <x:v>12</x:v>
      </x:c>
      <x:c r="N17" s="14" t="str">
        <x:v>Morwenna Banks</x:v>
      </x:c>
      <x:c r="O17" s="14" t="str">
        <x:v>nm0052218</x:v>
      </x:c>
      <x:c r="P17" s="14" t="str">
        <x:v>Patsy Debenham</x:v>
      </x:c>
      <x:c r="Q17" s="15" t="n">
        <x:v>6</x:v>
      </x:c>
      <x:c r="R17" s="14" t="str">
        <x:v>2022–2023</x:v>
      </x:c>
      <x:c r="S17" s="14" t="n">
        <x:v>2023</x:v>
      </x:c>
      <x:c r="T17" s="14" t="n">
        <x:v>2023</x:v>
      </x:c>
      <x:c r="U17" s="14" t="str">
        <x:v>Production assigned to future entry year</x:v>
      </x:c>
      <x:c r="V17" s="14" t="str">
        <x:v>Master register assigns production to 2023, not 2022.</x:v>
      </x:c>
      <x:c r="W17" s="14" t="str">
        <x:v>Annual source/master-register conflict</x:v>
      </x:c>
      <x:c r="X17" s="14" t="str">
        <x:v>Included</x:v>
      </x:c>
      <x:c r="Y17" s="14"/>
      <x:c r="Z17" s="14" t="str">
        <x:v>Funny Woman.docx</x:v>
      </x:c>
      <x:c r="AA1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Sky / NOW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HYPERLINK("https://en.wikipedia.org/wiki/Funny_Woman","Open source")</x:f>
        <x:v>HYPERLINK is not implemented. linkLocation=https://en.wikipedia.org/wiki/Funny_Woman, friendlyName=Open source</x:v>
      </x:c>
      <x:c r="AN17" s="14" t="str">
        <x:v>No qualifying BBC relationship</x:v>
      </x:c>
      <x:c r="AO17" s="14" t="str">
        <x:v>No</x:v>
      </x:c>
      <x:c r="AP17" s="14" t="str">
        <x:v>Out of scope</x:v>
      </x:c>
      <x:c r="AQ17" s="14" t="str">
        <x:v>No</x:v>
      </x:c>
      <x:c r="AR17" s="14" t="str">
        <x:v>Resolved from master register</x:v>
      </x:c>
      <x:c r="AS17" s="14" t="str">
        <x:v>No established-register match</x:v>
      </x:c>
      <x:c r="AT17" s="14"/>
      <x:c r="AU17" s="14"/>
      <x:c r="AV17" s="14" t="str">
        <x:v>No established apparent-disability match</x:v>
      </x:c>
      <x:c r="AW17" s="14"/>
      <x:c r="AX17" s="14" t="str">
        <x:v>No</x:v>
      </x:c>
      <x:c r="AY17" s="14" t="str">
        <x:v>Unmatched</x:v>
      </x:c>
      <x:c r="AZ17" s="14" t="str">
        <x:v>Final supplied register</x:v>
      </x:c>
      <x:c r="BA17" s="14" t="str">
        <x:v>Absence from the register is not evidence that the performer is not disabled.</x:v>
      </x:c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/>
      <x:c r="BP17" s="14" t="str">
        <x:v>Unable to calculate from supplied records.</x:v>
      </x:c>
      <x:c r="BQ17" s="14" t="str">
        <x:v>Unable to determine</x:v>
      </x:c>
      <x:c r="BR17" s="15" t="n">
        <x:v>6</x:v>
      </x:c>
      <x:c r="BS17" s="16"/>
      <x:c r="BT17" s="14" t="str">
        <x:v>Unable to calculate</x:v>
      </x:c>
      <x:c r="BU17" s="14" t="str">
        <x:v>Unable to determine</x:v>
      </x:c>
      <x:c r="BV17" s="14" t="str">
        <x:v>Episode count or production-total proxy unavailable.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tt15309272|nm2876300|edith mahindra</x:v>
      </x:c>
      <x:c r="B18" s="14" t="str">
        <x:v>08</x:v>
      </x:c>
      <x:c r="C18" s="14" t="str">
        <x:v>2022_IMDb_Cast_Lists_Batch_08(1).xlsx</x:v>
      </x:c>
      <x:c r="D18" s="14" t="str">
        <x:v>Funny Woman</x:v>
      </x:c>
      <x:c r="E18" s="14" t="n">
        <x:v>20</x:v>
      </x:c>
      <x:c r="F18" s="14" t="str">
        <x:v>Funny Woman</x:v>
      </x:c>
      <x:c r="G18" s="14" t="str">
        <x:v>tt15309272</x:v>
      </x:c>
      <x:c r="H18" s="14" t="n">
        <x:v>2023</x:v>
      </x:c>
      <x:c r="I18" s="14" t="n">
        <x:v>2023</x:v>
      </x:c>
      <x:c r="J18" s="14" t="str">
        <x:v>New Commission Cohort</x:v>
      </x:c>
      <x:c r="K18" s="14" t="n">
        <x:v>2022</x:v>
      </x:c>
      <x:c r="L18" s="14" t="str">
        <x:v>Used in 2023 annual analysis</x:v>
      </x:c>
      <x:c r="M18" s="15" t="n">
        <x:v>13</x:v>
      </x:c>
      <x:c r="N18" s="14" t="str">
        <x:v>Emily Bevan</x:v>
      </x:c>
      <x:c r="O18" s="14" t="str">
        <x:v>nm2876300</x:v>
      </x:c>
      <x:c r="P18" s="14" t="str">
        <x:v>Edith Mahindra</x:v>
      </x:c>
      <x:c r="Q18" s="15" t="n">
        <x:v>6</x:v>
      </x:c>
      <x:c r="R18" s="14" t="str">
        <x:v>2022–2024</x:v>
      </x:c>
      <x:c r="S18" s="14" t="n">
        <x:v>2023</x:v>
      </x:c>
      <x:c r="T18" s="14" t="n">
        <x:v>2023</x:v>
      </x:c>
      <x:c r="U18" s="14" t="str">
        <x:v>Production assigned to future entry year</x:v>
      </x:c>
      <x:c r="V18" s="14" t="str">
        <x:v>Master register assigns production to 2023, not 2022.</x:v>
      </x:c>
      <x:c r="W18" s="14" t="str">
        <x:v>Annual source/master-register conflict</x:v>
      </x:c>
      <x:c r="X18" s="14" t="str">
        <x:v>Included</x:v>
      </x:c>
      <x:c r="Y18" s="14"/>
      <x:c r="Z18" s="14" t="str">
        <x:v>Funny Woman.docx</x:v>
      </x:c>
      <x:c r="AA1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Sky / NOW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HYPERLINK("https://en.wikipedia.org/wiki/Funny_Woman","Open source")</x:f>
        <x:v>HYPERLINK is not implemented. linkLocation=https://en.wikipedia.org/wiki/Funny_Woman, friendlyName=Open source</x:v>
      </x:c>
      <x:c r="AN18" s="14" t="str">
        <x:v>No qualifying BBC relationship</x:v>
      </x:c>
      <x:c r="AO18" s="14" t="str">
        <x:v>No</x:v>
      </x:c>
      <x:c r="AP18" s="14" t="str">
        <x:v>Out of scope</x:v>
      </x:c>
      <x:c r="AQ18" s="14" t="str">
        <x:v>No</x:v>
      </x:c>
      <x:c r="AR18" s="14" t="str">
        <x:v>Resolved from master register</x:v>
      </x:c>
      <x:c r="AS18" s="14" t="str">
        <x:v>No established-register match</x:v>
      </x:c>
      <x:c r="AT18" s="14"/>
      <x:c r="AU18" s="14"/>
      <x:c r="AV18" s="14" t="str">
        <x:v>No established apparent-disability match</x:v>
      </x:c>
      <x:c r="AW18" s="14"/>
      <x:c r="AX18" s="14" t="str">
        <x:v>No</x:v>
      </x:c>
      <x:c r="AY18" s="14" t="str">
        <x:v>Unmatched</x:v>
      </x:c>
      <x:c r="AZ18" s="14" t="str">
        <x:v>Final supplied register</x:v>
      </x:c>
      <x:c r="BA18" s="14" t="str">
        <x:v>Absence from the register is not evidence that the performer is not disabled.</x:v>
      </x:c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/>
      <x:c r="BP18" s="14" t="str">
        <x:v>Unable to calculate from supplied records.</x:v>
      </x:c>
      <x:c r="BQ18" s="14" t="str">
        <x:v>Unable to determine</x:v>
      </x:c>
      <x:c r="BR18" s="15" t="n">
        <x:v>6</x:v>
      </x:c>
      <x:c r="BS18" s="16"/>
      <x:c r="BT18" s="14" t="str">
        <x:v>Unable to calculate</x:v>
      </x:c>
      <x:c r="BU18" s="14" t="str">
        <x:v>Unable to determine</x:v>
      </x:c>
      <x:c r="BV18" s="14" t="str">
        <x:v>Episode count or production-total proxy unavailable.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tt15309272|nm1542993|eunice</x:v>
      </x:c>
      <x:c r="B19" s="14" t="str">
        <x:v>08</x:v>
      </x:c>
      <x:c r="C19" s="14" t="str">
        <x:v>2022_IMDb_Cast_Lists_Batch_08(1).xlsx</x:v>
      </x:c>
      <x:c r="D19" s="14" t="str">
        <x:v>Funny Woman</x:v>
      </x:c>
      <x:c r="E19" s="14" t="n">
        <x:v>21</x:v>
      </x:c>
      <x:c r="F19" s="14" t="str">
        <x:v>Funny Woman</x:v>
      </x:c>
      <x:c r="G19" s="14" t="str">
        <x:v>tt15309272</x:v>
      </x:c>
      <x:c r="H19" s="14" t="n">
        <x:v>2023</x:v>
      </x:c>
      <x:c r="I19" s="14" t="n">
        <x:v>2023</x:v>
      </x:c>
      <x:c r="J19" s="14" t="str">
        <x:v>New Commission Cohort</x:v>
      </x:c>
      <x:c r="K19" s="14" t="n">
        <x:v>2022</x:v>
      </x:c>
      <x:c r="L19" s="14" t="str">
        <x:v>Used in 2023 annual analysis</x:v>
      </x:c>
      <x:c r="M19" s="15" t="n">
        <x:v>14</x:v>
      </x:c>
      <x:c r="N19" s="14" t="str">
        <x:v>Alexis Tuttle</x:v>
      </x:c>
      <x:c r="O19" s="14" t="str">
        <x:v>nm1542993</x:v>
      </x:c>
      <x:c r="P19" s="14" t="str">
        <x:v>Eunice</x:v>
      </x:c>
      <x:c r="Q19" s="15" t="n">
        <x:v>5</x:v>
      </x:c>
      <x:c r="R19" s="14" t="str">
        <x:v>2022–2024</x:v>
      </x:c>
      <x:c r="S19" s="14" t="n">
        <x:v>2023</x:v>
      </x:c>
      <x:c r="T19" s="14" t="n">
        <x:v>2023</x:v>
      </x:c>
      <x:c r="U19" s="14" t="str">
        <x:v>Production assigned to future entry year</x:v>
      </x:c>
      <x:c r="V19" s="14" t="str">
        <x:v>Master register assigns production to 2023, not 2022.</x:v>
      </x:c>
      <x:c r="W19" s="14" t="str">
        <x:v>Annual source/master-register conflict</x:v>
      </x:c>
      <x:c r="X19" s="14" t="str">
        <x:v>Included</x:v>
      </x:c>
      <x:c r="Y19" s="14"/>
      <x:c r="Z19" s="14" t="str">
        <x:v>Funny Woman.docx</x:v>
      </x:c>
      <x:c r="AA1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Sky / NOW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HYPERLINK("https://en.wikipedia.org/wiki/Funny_Woman","Open source")</x:f>
        <x:v>HYPERLINK is not implemented. linkLocation=https://en.wikipedia.org/wiki/Funny_Woman, friendlyName=Open source</x:v>
      </x:c>
      <x:c r="AN19" s="14" t="str">
        <x:v>No qualifying BBC relationship</x:v>
      </x:c>
      <x:c r="AO19" s="14" t="str">
        <x:v>No</x:v>
      </x:c>
      <x:c r="AP19" s="14" t="str">
        <x:v>Out of scope</x:v>
      </x:c>
      <x:c r="AQ19" s="14" t="str">
        <x:v>No</x:v>
      </x:c>
      <x:c r="AR19" s="14" t="str">
        <x:v>Resolved from master register</x:v>
      </x:c>
      <x:c r="AS19" s="14" t="str">
        <x:v>No established-register match</x:v>
      </x:c>
      <x:c r="AT19" s="14"/>
      <x:c r="AU19" s="14"/>
      <x:c r="AV19" s="14" t="str">
        <x:v>No established apparent-disability match</x:v>
      </x:c>
      <x:c r="AW19" s="14"/>
      <x:c r="AX19" s="14" t="str">
        <x:v>No</x:v>
      </x:c>
      <x:c r="AY19" s="14" t="str">
        <x:v>Unmatched</x:v>
      </x:c>
      <x:c r="AZ19" s="14" t="str">
        <x:v>Final supplied register</x:v>
      </x:c>
      <x:c r="BA19" s="14" t="str">
        <x:v>Absence from the register is not evidence that the performer is not disabled.</x:v>
      </x:c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/>
      <x:c r="BP19" s="14" t="str">
        <x:v>Unable to calculate from supplied records.</x:v>
      </x:c>
      <x:c r="BQ19" s="14" t="str">
        <x:v>Unable to determine</x:v>
      </x:c>
      <x:c r="BR19" s="15" t="n">
        <x:v>5</x:v>
      </x:c>
      <x:c r="BS19" s="16"/>
      <x:c r="BT19" s="14" t="str">
        <x:v>Unable to calculate</x:v>
      </x:c>
      <x:c r="BU19" s="14" t="str">
        <x:v>Unable to determine</x:v>
      </x:c>
      <x:c r="BV19" s="14" t="str">
        <x:v>Episode count or production-total proxy unavailable.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tt15309272|nm7083804|polly</x:v>
      </x:c>
      <x:c r="B20" s="14" t="str">
        <x:v>08</x:v>
      </x:c>
      <x:c r="C20" s="14" t="str">
        <x:v>2022_IMDb_Cast_Lists_Batch_08(1).xlsx</x:v>
      </x:c>
      <x:c r="D20" s="14" t="str">
        <x:v>Funny Woman</x:v>
      </x:c>
      <x:c r="E20" s="14" t="n">
        <x:v>22</x:v>
      </x:c>
      <x:c r="F20" s="14" t="str">
        <x:v>Funny Woman</x:v>
      </x:c>
      <x:c r="G20" s="14" t="str">
        <x:v>tt15309272</x:v>
      </x:c>
      <x:c r="H20" s="14" t="n">
        <x:v>2023</x:v>
      </x:c>
      <x:c r="I20" s="14" t="n">
        <x:v>2023</x:v>
      </x:c>
      <x:c r="J20" s="14" t="str">
        <x:v>New Commission Cohort</x:v>
      </x:c>
      <x:c r="K20" s="14" t="n">
        <x:v>2022</x:v>
      </x:c>
      <x:c r="L20" s="14" t="str">
        <x:v>Used in 2023 annual analysis</x:v>
      </x:c>
      <x:c r="M20" s="15" t="n">
        <x:v>15</x:v>
      </x:c>
      <x:c r="N20" s="14" t="str">
        <x:v>Rosa Coduri-Fulford</x:v>
      </x:c>
      <x:c r="O20" s="14" t="str">
        <x:v>nm7083804</x:v>
      </x:c>
      <x:c r="P20" s="14" t="str">
        <x:v>Polly</x:v>
      </x:c>
      <x:c r="Q20" s="15" t="n">
        <x:v>5</x:v>
      </x:c>
      <x:c r="R20" s="14" t="str">
        <x:v>2022–2023</x:v>
      </x:c>
      <x:c r="S20" s="14" t="n">
        <x:v>2023</x:v>
      </x:c>
      <x:c r="T20" s="14" t="n">
        <x:v>2023</x:v>
      </x:c>
      <x:c r="U20" s="14" t="str">
        <x:v>Production assigned to future entry year</x:v>
      </x:c>
      <x:c r="V20" s="14" t="str">
        <x:v>Master register assigns production to 2023, not 2022.</x:v>
      </x:c>
      <x:c r="W20" s="14" t="str">
        <x:v>Annual source/master-register conflict</x:v>
      </x:c>
      <x:c r="X20" s="14" t="str">
        <x:v>Included</x:v>
      </x:c>
      <x:c r="Y20" s="14" t="str">
        <x:v>(as Rosa Coduri Fulford)</x:v>
      </x:c>
      <x:c r="Z20" s="14" t="str">
        <x:v>Funny Woman.docx</x:v>
      </x:c>
      <x:c r="AA2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Sky / NOW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HYPERLINK("https://en.wikipedia.org/wiki/Funny_Woman","Open source")</x:f>
        <x:v>HYPERLINK is not implemented. linkLocation=https://en.wikipedia.org/wiki/Funny_Woman, friendlyName=Open source</x:v>
      </x:c>
      <x:c r="AN20" s="14" t="str">
        <x:v>No qualifying BBC relationship</x:v>
      </x:c>
      <x:c r="AO20" s="14" t="str">
        <x:v>No</x:v>
      </x:c>
      <x:c r="AP20" s="14" t="str">
        <x:v>Out of scope</x:v>
      </x:c>
      <x:c r="AQ20" s="14" t="str">
        <x:v>No</x:v>
      </x:c>
      <x:c r="AR20" s="14" t="str">
        <x:v>Resolved from master register</x:v>
      </x:c>
      <x:c r="AS20" s="14" t="str">
        <x:v>No established-register match</x:v>
      </x:c>
      <x:c r="AT20" s="14"/>
      <x:c r="AU20" s="14"/>
      <x:c r="AV20" s="14" t="str">
        <x:v>No established apparent-disability match</x:v>
      </x:c>
      <x:c r="AW20" s="14"/>
      <x:c r="AX20" s="14" t="str">
        <x:v>No</x:v>
      </x:c>
      <x:c r="AY20" s="14" t="str">
        <x:v>Unmatched</x:v>
      </x:c>
      <x:c r="AZ20" s="14" t="str">
        <x:v>Final supplied register</x:v>
      </x:c>
      <x:c r="BA20" s="14" t="str">
        <x:v>Absence from the register is not evidence that the performer is not disabled.</x:v>
      </x:c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/>
      <x:c r="BP20" s="14" t="str">
        <x:v>Unable to calculate from supplied records.</x:v>
      </x:c>
      <x:c r="BQ20" s="14" t="str">
        <x:v>Unable to determine</x:v>
      </x:c>
      <x:c r="BR20" s="15" t="n">
        <x:v>5</x:v>
      </x:c>
      <x:c r="BS20" s="16"/>
      <x:c r="BT20" s="14" t="str">
        <x:v>Unable to calculate</x:v>
      </x:c>
      <x:c r="BU20" s="14" t="str">
        <x:v>Unable to determine</x:v>
      </x:c>
      <x:c r="BV20" s="14" t="str">
        <x:v>Episode count or production-total proxy unavailable.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tt15309272|nm0931404|gloria</x:v>
      </x:c>
      <x:c r="B21" s="14" t="str">
        <x:v>08</x:v>
      </x:c>
      <x:c r="C21" s="14" t="str">
        <x:v>2022_IMDb_Cast_Lists_Batch_08(1).xlsx</x:v>
      </x:c>
      <x:c r="D21" s="14" t="str">
        <x:v>Funny Woman</x:v>
      </x:c>
      <x:c r="E21" s="14" t="n">
        <x:v>23</x:v>
      </x:c>
      <x:c r="F21" s="14" t="str">
        <x:v>Funny Woman</x:v>
      </x:c>
      <x:c r="G21" s="14" t="str">
        <x:v>tt15309272</x:v>
      </x:c>
      <x:c r="H21" s="14" t="n">
        <x:v>2023</x:v>
      </x:c>
      <x:c r="I21" s="14" t="n">
        <x:v>2023</x:v>
      </x:c>
      <x:c r="J21" s="14" t="str">
        <x:v>New Commission Cohort</x:v>
      </x:c>
      <x:c r="K21" s="14" t="n">
        <x:v>2022</x:v>
      </x:c>
      <x:c r="L21" s="14" t="str">
        <x:v>Used in 2023 annual analysis</x:v>
      </x:c>
      <x:c r="M21" s="15" t="n">
        <x:v>16</x:v>
      </x:c>
      <x:c r="N21" s="14" t="str">
        <x:v>Olivia Williams</x:v>
      </x:c>
      <x:c r="O21" s="14" t="str">
        <x:v>nm0931404</x:v>
      </x:c>
      <x:c r="P21" s="14" t="str">
        <x:v>Gloria</x:v>
      </x:c>
      <x:c r="Q21" s="15" t="n">
        <x:v>4</x:v>
      </x:c>
      <x:c r="R21" s="14" t="str">
        <x:v>2022–2024</x:v>
      </x:c>
      <x:c r="S21" s="14" t="n">
        <x:v>2023</x:v>
      </x:c>
      <x:c r="T21" s="14" t="n">
        <x:v>2023</x:v>
      </x:c>
      <x:c r="U21" s="14" t="str">
        <x:v>Production assigned to future entry year</x:v>
      </x:c>
      <x:c r="V21" s="14" t="str">
        <x:v>Master register assigns production to 2023, not 2022.</x:v>
      </x:c>
      <x:c r="W21" s="14" t="str">
        <x:v>Annual source/master-register conflict</x:v>
      </x:c>
      <x:c r="X21" s="14" t="str">
        <x:v>Included</x:v>
      </x:c>
      <x:c r="Y21" s="14"/>
      <x:c r="Z21" s="14" t="str">
        <x:v>Funny Woman.docx</x:v>
      </x:c>
      <x:c r="AA2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Sky / NOW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HYPERLINK("https://en.wikipedia.org/wiki/Funny_Woman","Open source")</x:f>
        <x:v>HYPERLINK is not implemented. linkLocation=https://en.wikipedia.org/wiki/Funny_Woman, friendlyName=Open source</x:v>
      </x:c>
      <x:c r="AN21" s="14" t="str">
        <x:v>No qualifying BBC relationship</x:v>
      </x:c>
      <x:c r="AO21" s="14" t="str">
        <x:v>No</x:v>
      </x:c>
      <x:c r="AP21" s="14" t="str">
        <x:v>Out of scope</x:v>
      </x:c>
      <x:c r="AQ21" s="14" t="str">
        <x:v>No</x:v>
      </x:c>
      <x:c r="AR21" s="14" t="str">
        <x:v>Resolved from master register</x:v>
      </x:c>
      <x:c r="AS21" s="14" t="str">
        <x:v>No established-register match</x:v>
      </x:c>
      <x:c r="AT21" s="14"/>
      <x:c r="AU21" s="14"/>
      <x:c r="AV21" s="14" t="str">
        <x:v>No established apparent-disability match</x:v>
      </x:c>
      <x:c r="AW21" s="14"/>
      <x:c r="AX21" s="14" t="str">
        <x:v>No</x:v>
      </x:c>
      <x:c r="AY21" s="14" t="str">
        <x:v>Unmatched</x:v>
      </x:c>
      <x:c r="AZ21" s="14" t="str">
        <x:v>Final supplied register</x:v>
      </x:c>
      <x:c r="BA21" s="14" t="str">
        <x:v>Absence from the register is not evidence that the performer is not disabled.</x:v>
      </x:c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/>
      <x:c r="BP21" s="14" t="str">
        <x:v>Unable to calculate from supplied records.</x:v>
      </x:c>
      <x:c r="BQ21" s="14" t="str">
        <x:v>Unable to determine</x:v>
      </x:c>
      <x:c r="BR21" s="15" t="n">
        <x:v>4</x:v>
      </x:c>
      <x:c r="BS21" s="16"/>
      <x:c r="BT21" s="14" t="str">
        <x:v>Unable to calculate</x:v>
      </x:c>
      <x:c r="BU21" s="14" t="str">
        <x:v>Unable to determine</x:v>
      </x:c>
      <x:c r="BV21" s="14" t="str">
        <x:v>Episode count or production-total proxy unavailable.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tt15309272|nm0533489|miss sykes</x:v>
      </x:c>
      <x:c r="B22" s="14" t="str">
        <x:v>08</x:v>
      </x:c>
      <x:c r="C22" s="14" t="str">
        <x:v>2022_IMDb_Cast_Lists_Batch_08(1).xlsx</x:v>
      </x:c>
      <x:c r="D22" s="14" t="str">
        <x:v>Funny Woman</x:v>
      </x:c>
      <x:c r="E22" s="14" t="n">
        <x:v>24</x:v>
      </x:c>
      <x:c r="F22" s="14" t="str">
        <x:v>Funny Woman</x:v>
      </x:c>
      <x:c r="G22" s="14" t="str">
        <x:v>tt15309272</x:v>
      </x:c>
      <x:c r="H22" s="14" t="n">
        <x:v>2023</x:v>
      </x:c>
      <x:c r="I22" s="14" t="n">
        <x:v>2023</x:v>
      </x:c>
      <x:c r="J22" s="14" t="str">
        <x:v>New Commission Cohort</x:v>
      </x:c>
      <x:c r="K22" s="14" t="n">
        <x:v>2022</x:v>
      </x:c>
      <x:c r="L22" s="14" t="str">
        <x:v>Used in 2023 annual analysis</x:v>
      </x:c>
      <x:c r="M22" s="15" t="n">
        <x:v>17</x:v>
      </x:c>
      <x:c r="N22" s="14" t="str">
        <x:v>Doon Mackichan</x:v>
      </x:c>
      <x:c r="O22" s="14" t="str">
        <x:v>nm0533489</x:v>
      </x:c>
      <x:c r="P22" s="14" t="str">
        <x:v>Miss Sykes</x:v>
      </x:c>
      <x:c r="Q22" s="15" t="n">
        <x:v>4</x:v>
      </x:c>
      <x:c r="R22" s="14" t="str">
        <x:v>2023–2024</x:v>
      </x:c>
      <x:c r="S22" s="14" t="n">
        <x:v>2023</x:v>
      </x:c>
      <x:c r="T22" s="14" t="n">
        <x:v>2023</x:v>
      </x:c>
      <x:c r="U22" s="14" t="str">
        <x:v>Production assigned to future entry year</x:v>
      </x:c>
      <x:c r="V22" s="14" t="str">
        <x:v>Master register assigns production to 2023, not 2022.</x:v>
      </x:c>
      <x:c r="W22" s="14" t="str">
        <x:v>Annual source/master-register conflict</x:v>
      </x:c>
      <x:c r="X22" s="14" t="str">
        <x:v>Included</x:v>
      </x:c>
      <x:c r="Y22" s="14"/>
      <x:c r="Z22" s="14" t="str">
        <x:v>Funny Woman.docx</x:v>
      </x:c>
      <x:c r="AA2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Sky / NOW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HYPERLINK("https://en.wikipedia.org/wiki/Funny_Woman","Open source")</x:f>
        <x:v>HYPERLINK is not implemented. linkLocation=https://en.wikipedia.org/wiki/Funny_Woman, friendlyName=Open source</x:v>
      </x:c>
      <x:c r="AN22" s="14" t="str">
        <x:v>No qualifying BBC relationship</x:v>
      </x:c>
      <x:c r="AO22" s="14" t="str">
        <x:v>No</x:v>
      </x:c>
      <x:c r="AP22" s="14" t="str">
        <x:v>Out of scope</x:v>
      </x:c>
      <x:c r="AQ22" s="14" t="str">
        <x:v>No</x:v>
      </x:c>
      <x:c r="AR22" s="14" t="str">
        <x:v>Resolved from master register</x:v>
      </x:c>
      <x:c r="AS22" s="14" t="str">
        <x:v>No established-register match</x:v>
      </x:c>
      <x:c r="AT22" s="14"/>
      <x:c r="AU22" s="14"/>
      <x:c r="AV22" s="14" t="str">
        <x:v>No established apparent-disability match</x:v>
      </x:c>
      <x:c r="AW22" s="14"/>
      <x:c r="AX22" s="14" t="str">
        <x:v>No</x:v>
      </x:c>
      <x:c r="AY22" s="14" t="str">
        <x:v>Unmatched</x:v>
      </x:c>
      <x:c r="AZ22" s="14" t="str">
        <x:v>Final supplied register</x:v>
      </x:c>
      <x:c r="BA22" s="14" t="str">
        <x:v>Absence from the register is not evidence that the performer is not disabled.</x:v>
      </x:c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/>
      <x:c r="BP22" s="14" t="str">
        <x:v>Unable to calculate from supplied records.</x:v>
      </x:c>
      <x:c r="BQ22" s="14" t="str">
        <x:v>Unable to determine</x:v>
      </x:c>
      <x:c r="BR22" s="15" t="n">
        <x:v>4</x:v>
      </x:c>
      <x:c r="BS22" s="16"/>
      <x:c r="BT22" s="14" t="str">
        <x:v>Unable to calculate</x:v>
      </x:c>
      <x:c r="BU22" s="14" t="str">
        <x:v>Unable to determine</x:v>
      </x:c>
      <x:c r="BV22" s="14" t="str">
        <x:v>Episode count or production-total proxy unavailable.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tt15309272|nm2973623|aiden leigh</x:v>
      </x:c>
      <x:c r="B23" s="14" t="str">
        <x:v>08</x:v>
      </x:c>
      <x:c r="C23" s="14" t="str">
        <x:v>2022_IMDb_Cast_Lists_Batch_08(1).xlsx</x:v>
      </x:c>
      <x:c r="D23" s="14" t="str">
        <x:v>Funny Woman</x:v>
      </x:c>
      <x:c r="E23" s="14" t="n">
        <x:v>27</x:v>
      </x:c>
      <x:c r="F23" s="14" t="str">
        <x:v>Funny Woman</x:v>
      </x:c>
      <x:c r="G23" s="14" t="str">
        <x:v>tt15309272</x:v>
      </x:c>
      <x:c r="H23" s="14" t="n">
        <x:v>2023</x:v>
      </x:c>
      <x:c r="I23" s="14" t="n">
        <x:v>2023</x:v>
      </x:c>
      <x:c r="J23" s="14" t="str">
        <x:v>New Commission Cohort</x:v>
      </x:c>
      <x:c r="K23" s="14" t="n">
        <x:v>2022</x:v>
      </x:c>
      <x:c r="L23" s="14" t="str">
        <x:v>Used in 2023 annual analysis</x:v>
      </x:c>
      <x:c r="M23" s="15" t="n">
        <x:v>20</x:v>
      </x:c>
      <x:c r="N23" s="14" t="str">
        <x:v>Kyle Pryor</x:v>
      </x:c>
      <x:c r="O23" s="14" t="str">
        <x:v>nm2973623</x:v>
      </x:c>
      <x:c r="P23" s="14" t="str">
        <x:v>Aiden Leigh</x:v>
      </x:c>
      <x:c r="Q23" s="15" t="n">
        <x:v>3</x:v>
      </x:c>
      <x:c r="R23" s="14" t="str">
        <x:v>2022–2023</x:v>
      </x:c>
      <x:c r="S23" s="14" t="n">
        <x:v>2023</x:v>
      </x:c>
      <x:c r="T23" s="14" t="n">
        <x:v>2023</x:v>
      </x:c>
      <x:c r="U23" s="14" t="str">
        <x:v>Production assigned to future entry year</x:v>
      </x:c>
      <x:c r="V23" s="14" t="str">
        <x:v>Master register assigns production to 2023, not 2022.</x:v>
      </x:c>
      <x:c r="W23" s="14" t="str">
        <x:v>Annual source/master-register conflict</x:v>
      </x:c>
      <x:c r="X23" s="14" t="str">
        <x:v>Included</x:v>
      </x:c>
      <x:c r="Y23" s="14"/>
      <x:c r="Z23" s="14" t="str">
        <x:v>Funny Woman.docx</x:v>
      </x:c>
      <x:c r="AA2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Sky / NOW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HYPERLINK("https://en.wikipedia.org/wiki/Funny_Woman","Open source")</x:f>
        <x:v>HYPERLINK is not implemented. linkLocation=https://en.wikipedia.org/wiki/Funny_Woman, friendlyName=Open source</x:v>
      </x:c>
      <x:c r="AN23" s="14" t="str">
        <x:v>No qualifying BBC relationship</x:v>
      </x:c>
      <x:c r="AO23" s="14" t="str">
        <x:v>No</x:v>
      </x:c>
      <x:c r="AP23" s="14" t="str">
        <x:v>Out of scope</x:v>
      </x:c>
      <x:c r="AQ23" s="14" t="str">
        <x:v>No</x:v>
      </x:c>
      <x:c r="AR23" s="14" t="str">
        <x:v>Resolved from master register</x:v>
      </x:c>
      <x:c r="AS23" s="14" t="str">
        <x:v>No established-register match</x:v>
      </x:c>
      <x:c r="AT23" s="14"/>
      <x:c r="AU23" s="14"/>
      <x:c r="AV23" s="14" t="str">
        <x:v>No established apparent-disability match</x:v>
      </x:c>
      <x:c r="AW23" s="14"/>
      <x:c r="AX23" s="14" t="str">
        <x:v>No</x:v>
      </x:c>
      <x:c r="AY23" s="14" t="str">
        <x:v>Unmatched</x:v>
      </x:c>
      <x:c r="AZ23" s="14" t="str">
        <x:v>Final supplied register</x:v>
      </x:c>
      <x:c r="BA23" s="14" t="str">
        <x:v>Absence from the register is not evidence that the performer is not disabled.</x:v>
      </x:c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/>
      <x:c r="BP23" s="14" t="str">
        <x:v>Unable to calculate from supplied records.</x:v>
      </x:c>
      <x:c r="BQ23" s="14" t="str">
        <x:v>Unable to determine</x:v>
      </x:c>
      <x:c r="BR23" s="15" t="n">
        <x:v>3</x:v>
      </x:c>
      <x:c r="BS23" s="16"/>
      <x:c r="BT23" s="14" t="str">
        <x:v>Unable to calculate</x:v>
      </x:c>
      <x:c r="BU23" s="14" t="str">
        <x:v>Unable to determine</x:v>
      </x:c>
      <x:c r="BV23" s="14" t="str">
        <x:v>Episode count or production-total proxy unavailable.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tt15309272|nm5045528|warm up man</x:v>
      </x:c>
      <x:c r="B24" s="14" t="str">
        <x:v>08</x:v>
      </x:c>
      <x:c r="C24" s="14" t="str">
        <x:v>2022_IMDb_Cast_Lists_Batch_08(1).xlsx</x:v>
      </x:c>
      <x:c r="D24" s="14" t="str">
        <x:v>Funny Woman</x:v>
      </x:c>
      <x:c r="E24" s="14" t="n">
        <x:v>28</x:v>
      </x:c>
      <x:c r="F24" s="14" t="str">
        <x:v>Funny Woman</x:v>
      </x:c>
      <x:c r="G24" s="14" t="str">
        <x:v>tt15309272</x:v>
      </x:c>
      <x:c r="H24" s="14" t="n">
        <x:v>2023</x:v>
      </x:c>
      <x:c r="I24" s="14" t="n">
        <x:v>2023</x:v>
      </x:c>
      <x:c r="J24" s="14" t="str">
        <x:v>New Commission Cohort</x:v>
      </x:c>
      <x:c r="K24" s="14" t="n">
        <x:v>2022</x:v>
      </x:c>
      <x:c r="L24" s="14" t="str">
        <x:v>Used in 2023 annual analysis</x:v>
      </x:c>
      <x:c r="M24" s="15" t="n">
        <x:v>21</x:v>
      </x:c>
      <x:c r="N24" s="14" t="str">
        <x:v>Ross Berkeley Simpson</x:v>
      </x:c>
      <x:c r="O24" s="14" t="str">
        <x:v>nm5045528</x:v>
      </x:c>
      <x:c r="P24" s="14" t="str">
        <x:v>Warm Up Man</x:v>
      </x:c>
      <x:c r="Q24" s="15" t="n">
        <x:v>3</x:v>
      </x:c>
      <x:c r="R24" s="14" t="str">
        <x:v>2022–2023</x:v>
      </x:c>
      <x:c r="S24" s="14" t="n">
        <x:v>2023</x:v>
      </x:c>
      <x:c r="T24" s="14" t="n">
        <x:v>2023</x:v>
      </x:c>
      <x:c r="U24" s="14" t="str">
        <x:v>Production assigned to future entry year</x:v>
      </x:c>
      <x:c r="V24" s="14" t="str">
        <x:v>Master register assigns production to 2023, not 2022.</x:v>
      </x:c>
      <x:c r="W24" s="14" t="str">
        <x:v>Annual source/master-register conflict</x:v>
      </x:c>
      <x:c r="X24" s="14" t="str">
        <x:v>Included</x:v>
      </x:c>
      <x:c r="Y24" s="14"/>
      <x:c r="Z24" s="14" t="str">
        <x:v>Funny Woman.docx</x:v>
      </x:c>
      <x:c r="AA2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Sky / NOW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HYPERLINK("https://en.wikipedia.org/wiki/Funny_Woman","Open source")</x:f>
        <x:v>HYPERLINK is not implemented. linkLocation=https://en.wikipedia.org/wiki/Funny_Woman, friendlyName=Open source</x:v>
      </x:c>
      <x:c r="AN24" s="14" t="str">
        <x:v>No qualifying BBC relationship</x:v>
      </x:c>
      <x:c r="AO24" s="14" t="str">
        <x:v>No</x:v>
      </x:c>
      <x:c r="AP24" s="14" t="str">
        <x:v>Out of scope</x:v>
      </x:c>
      <x:c r="AQ24" s="14" t="str">
        <x:v>No</x:v>
      </x:c>
      <x:c r="AR24" s="14" t="str">
        <x:v>Resolved from master register</x:v>
      </x:c>
      <x:c r="AS24" s="14" t="str">
        <x:v>No established-register match</x:v>
      </x:c>
      <x:c r="AT24" s="14"/>
      <x:c r="AU24" s="14"/>
      <x:c r="AV24" s="14" t="str">
        <x:v>No established apparent-disability match</x:v>
      </x:c>
      <x:c r="AW24" s="14"/>
      <x:c r="AX24" s="14" t="str">
        <x:v>No</x:v>
      </x:c>
      <x:c r="AY24" s="14" t="str">
        <x:v>Unmatched</x:v>
      </x:c>
      <x:c r="AZ24" s="14" t="str">
        <x:v>Final supplied register</x:v>
      </x:c>
      <x:c r="BA24" s="14" t="str">
        <x:v>Absence from the register is not evidence that the performer is not disabled.</x:v>
      </x:c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/>
      <x:c r="BP24" s="14" t="str">
        <x:v>Unable to calculate from supplied records.</x:v>
      </x:c>
      <x:c r="BQ24" s="14" t="str">
        <x:v>Unable to determine</x:v>
      </x:c>
      <x:c r="BR24" s="15" t="n">
        <x:v>3</x:v>
      </x:c>
      <x:c r="BS24" s="16"/>
      <x:c r="BT24" s="14" t="str">
        <x:v>Unable to calculate</x:v>
      </x:c>
      <x:c r="BU24" s="14" t="str">
        <x:v>Unable to determine</x:v>
      </x:c>
      <x:c r="BV24" s="14" t="str">
        <x:v>Episode count or production-total proxy unavailable.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tt15309272|nm0394204|andrew o'shea</x:v>
      </x:c>
      <x:c r="B25" s="14" t="str">
        <x:v>08</x:v>
      </x:c>
      <x:c r="C25" s="14" t="str">
        <x:v>2022_IMDb_Cast_Lists_Batch_08(1).xlsx</x:v>
      </x:c>
      <x:c r="D25" s="14" t="str">
        <x:v>Funny Woman</x:v>
      </x:c>
      <x:c r="E25" s="14" t="n">
        <x:v>29</x:v>
      </x:c>
      <x:c r="F25" s="14" t="str">
        <x:v>Funny Woman</x:v>
      </x:c>
      <x:c r="G25" s="14" t="str">
        <x:v>tt15309272</x:v>
      </x:c>
      <x:c r="H25" s="14" t="n">
        <x:v>2023</x:v>
      </x:c>
      <x:c r="I25" s="14" t="n">
        <x:v>2023</x:v>
      </x:c>
      <x:c r="J25" s="14" t="str">
        <x:v>New Commission Cohort</x:v>
      </x:c>
      <x:c r="K25" s="14" t="n">
        <x:v>2022</x:v>
      </x:c>
      <x:c r="L25" s="14" t="str">
        <x:v>Used in 2023 annual analysis</x:v>
      </x:c>
      <x:c r="M25" s="15" t="n">
        <x:v>22</x:v>
      </x:c>
      <x:c r="N25" s="14" t="str">
        <x:v>John Hopkins</x:v>
      </x:c>
      <x:c r="O25" s="14" t="str">
        <x:v>nm0394204</x:v>
      </x:c>
      <x:c r="P25" s="14" t="str">
        <x:v>Andrew O'Shea</x:v>
      </x:c>
      <x:c r="Q25" s="15" t="n">
        <x:v>3</x:v>
      </x:c>
      <x:c r="R25" s="14" t="str">
        <x:v>2022</x:v>
      </x:c>
      <x:c r="S25" s="14" t="n">
        <x:v>2023</x:v>
      </x:c>
      <x:c r="T25" s="14" t="n">
        <x:v>2023</x:v>
      </x:c>
      <x:c r="U25" s="14" t="str">
        <x:v>Production assigned to future entry year</x:v>
      </x:c>
      <x:c r="V25" s="14" t="str">
        <x:v>Master register assigns production to 2023, not 2022.</x:v>
      </x:c>
      <x:c r="W25" s="14" t="str">
        <x:v>Annual source/master-register conflict</x:v>
      </x:c>
      <x:c r="X25" s="14" t="str">
        <x:v>Included</x:v>
      </x:c>
      <x:c r="Y25" s="14"/>
      <x:c r="Z25" s="14" t="str">
        <x:v>Funny Woman.docx</x:v>
      </x:c>
      <x:c r="AA2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Sky / NOW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HYPERLINK("https://en.wikipedia.org/wiki/Funny_Woman","Open source")</x:f>
        <x:v>HYPERLINK is not implemented. linkLocation=https://en.wikipedia.org/wiki/Funny_Woman, friendlyName=Open source</x:v>
      </x:c>
      <x:c r="AN25" s="14" t="str">
        <x:v>No qualifying BBC relationship</x:v>
      </x:c>
      <x:c r="AO25" s="14" t="str">
        <x:v>No</x:v>
      </x:c>
      <x:c r="AP25" s="14" t="str">
        <x:v>Out of scope</x:v>
      </x:c>
      <x:c r="AQ25" s="14" t="str">
        <x:v>No</x:v>
      </x:c>
      <x:c r="AR25" s="14" t="str">
        <x:v>Resolved from master register</x:v>
      </x:c>
      <x:c r="AS25" s="14" t="str">
        <x:v>No established-register match</x:v>
      </x:c>
      <x:c r="AT25" s="14"/>
      <x:c r="AU25" s="14"/>
      <x:c r="AV25" s="14" t="str">
        <x:v>No established apparent-disability match</x:v>
      </x:c>
      <x:c r="AW25" s="14"/>
      <x:c r="AX25" s="14" t="str">
        <x:v>No</x:v>
      </x:c>
      <x:c r="AY25" s="14" t="str">
        <x:v>Unmatched</x:v>
      </x:c>
      <x:c r="AZ25" s="14" t="str">
        <x:v>Final supplied register</x:v>
      </x:c>
      <x:c r="BA25" s="14" t="str">
        <x:v>Absence from the register is not evidence that the performer is not disabled.</x:v>
      </x:c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/>
      <x:c r="BP25" s="14" t="str">
        <x:v>Unable to calculate from supplied records.</x:v>
      </x:c>
      <x:c r="BQ25" s="14" t="str">
        <x:v>Unable to determine</x:v>
      </x:c>
      <x:c r="BR25" s="15" t="n">
        <x:v>3</x:v>
      </x:c>
      <x:c r="BS25" s="16"/>
      <x:c r="BT25" s="14" t="str">
        <x:v>Unable to calculate</x:v>
      </x:c>
      <x:c r="BU25" s="14" t="str">
        <x:v>Unable to determine</x:v>
      </x:c>
      <x:c r="BV25" s="14" t="str">
        <x:v>Episode count or production-total proxy unavailable.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tt15309272|nm7811399|jill</x:v>
      </x:c>
      <x:c r="B26" s="14" t="str">
        <x:v>08</x:v>
      </x:c>
      <x:c r="C26" s="14" t="str">
        <x:v>2022_IMDb_Cast_Lists_Batch_08(1).xlsx</x:v>
      </x:c>
      <x:c r="D26" s="14" t="str">
        <x:v>Funny Woman</x:v>
      </x:c>
      <x:c r="E26" s="14" t="n">
        <x:v>30</x:v>
      </x:c>
      <x:c r="F26" s="14" t="str">
        <x:v>Funny Woman</x:v>
      </x:c>
      <x:c r="G26" s="14" t="str">
        <x:v>tt15309272</x:v>
      </x:c>
      <x:c r="H26" s="14" t="n">
        <x:v>2023</x:v>
      </x:c>
      <x:c r="I26" s="14" t="n">
        <x:v>2023</x:v>
      </x:c>
      <x:c r="J26" s="14" t="str">
        <x:v>New Commission Cohort</x:v>
      </x:c>
      <x:c r="K26" s="14" t="n">
        <x:v>2022</x:v>
      </x:c>
      <x:c r="L26" s="14" t="str">
        <x:v>Used in 2023 annual analysis</x:v>
      </x:c>
      <x:c r="M26" s="15" t="n">
        <x:v>23</x:v>
      </x:c>
      <x:c r="N26" s="14" t="str">
        <x:v>Lottie Tolhurst</x:v>
      </x:c>
      <x:c r="O26" s="14" t="str">
        <x:v>nm7811399</x:v>
      </x:c>
      <x:c r="P26" s="14" t="str">
        <x:v>Jill</x:v>
      </x:c>
      <x:c r="Q26" s="15" t="n">
        <x:v>3</x:v>
      </x:c>
      <x:c r="R26" s="14" t="str">
        <x:v>2022–2023</x:v>
      </x:c>
      <x:c r="S26" s="14" t="n">
        <x:v>2023</x:v>
      </x:c>
      <x:c r="T26" s="14" t="n">
        <x:v>2023</x:v>
      </x:c>
      <x:c r="U26" s="14" t="str">
        <x:v>Production assigned to future entry year</x:v>
      </x:c>
      <x:c r="V26" s="14" t="str">
        <x:v>Master register assigns production to 2023, not 2022.</x:v>
      </x:c>
      <x:c r="W26" s="14" t="str">
        <x:v>Annual source/master-register conflict</x:v>
      </x:c>
      <x:c r="X26" s="14" t="str">
        <x:v>Included</x:v>
      </x:c>
      <x:c r="Y26" s="14"/>
      <x:c r="Z26" s="14" t="str">
        <x:v>Funny Woman.docx</x:v>
      </x:c>
      <x:c r="AA2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Sky / NOW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HYPERLINK("https://en.wikipedia.org/wiki/Funny_Woman","Open source")</x:f>
        <x:v>HYPERLINK is not implemented. linkLocation=https://en.wikipedia.org/wiki/Funny_Woman, friendlyName=Open source</x:v>
      </x:c>
      <x:c r="AN26" s="14" t="str">
        <x:v>No qualifying BBC relationship</x:v>
      </x:c>
      <x:c r="AO26" s="14" t="str">
        <x:v>No</x:v>
      </x:c>
      <x:c r="AP26" s="14" t="str">
        <x:v>Out of scope</x:v>
      </x:c>
      <x:c r="AQ26" s="14" t="str">
        <x:v>No</x:v>
      </x:c>
      <x:c r="AR26" s="14" t="str">
        <x:v>Resolved from master register</x:v>
      </x:c>
      <x:c r="AS26" s="14" t="str">
        <x:v>No established-register match</x:v>
      </x:c>
      <x:c r="AT26" s="14"/>
      <x:c r="AU26" s="14"/>
      <x:c r="AV26" s="14" t="str">
        <x:v>No established apparent-disability match</x:v>
      </x:c>
      <x:c r="AW26" s="14"/>
      <x:c r="AX26" s="14" t="str">
        <x:v>No</x:v>
      </x:c>
      <x:c r="AY26" s="14" t="str">
        <x:v>Unmatched</x:v>
      </x:c>
      <x:c r="AZ26" s="14" t="str">
        <x:v>Final supplied register</x:v>
      </x:c>
      <x:c r="BA26" s="14" t="str">
        <x:v>Absence from the register is not evidence that the performer is not disabled.</x:v>
      </x:c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/>
      <x:c r="BP26" s="14" t="str">
        <x:v>Unable to calculate from supplied records.</x:v>
      </x:c>
      <x:c r="BQ26" s="14" t="str">
        <x:v>Unable to determine</x:v>
      </x:c>
      <x:c r="BR26" s="15" t="n">
        <x:v>3</x:v>
      </x:c>
      <x:c r="BS26" s="16"/>
      <x:c r="BT26" s="14" t="str">
        <x:v>Unable to calculate</x:v>
      </x:c>
      <x:c r="BU26" s="14" t="str">
        <x:v>Unable to determine</x:v>
      </x:c>
      <x:c r="BV26" s="14" t="str">
        <x:v>Episode count or production-total proxy unavailable.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tt15309272|nm11315905|millie / milly</x:v>
      </x:c>
      <x:c r="B27" s="14" t="str">
        <x:v>08</x:v>
      </x:c>
      <x:c r="C27" s="14" t="str">
        <x:v>2022_IMDb_Cast_Lists_Batch_08(1).xlsx</x:v>
      </x:c>
      <x:c r="D27" s="14" t="str">
        <x:v>Funny Woman</x:v>
      </x:c>
      <x:c r="E27" s="14" t="n">
        <x:v>34</x:v>
      </x:c>
      <x:c r="F27" s="14" t="str">
        <x:v>Funny Woman</x:v>
      </x:c>
      <x:c r="G27" s="14" t="str">
        <x:v>tt15309272</x:v>
      </x:c>
      <x:c r="H27" s="14" t="n">
        <x:v>2023</x:v>
      </x:c>
      <x:c r="I27" s="14" t="n">
        <x:v>2023</x:v>
      </x:c>
      <x:c r="J27" s="14" t="str">
        <x:v>New Commission Cohort</x:v>
      </x:c>
      <x:c r="K27" s="14" t="n">
        <x:v>2022</x:v>
      </x:c>
      <x:c r="L27" s="14" t="str">
        <x:v>Used in 2023 annual analysis</x:v>
      </x:c>
      <x:c r="M27" s="15" t="n">
        <x:v>27</x:v>
      </x:c>
      <x:c r="N27" s="14" t="str">
        <x:v>Laura Joy Pieters</x:v>
      </x:c>
      <x:c r="O27" s="14" t="str">
        <x:v>nm11315905</x:v>
      </x:c>
      <x:c r="P27" s="14" t="str">
        <x:v>Millie / Milly</x:v>
      </x:c>
      <x:c r="Q27" s="15" t="n">
        <x:v>3</x:v>
      </x:c>
      <x:c r="R27" s="14" t="str">
        <x:v>2022–2023</x:v>
      </x:c>
      <x:c r="S27" s="14" t="n">
        <x:v>2023</x:v>
      </x:c>
      <x:c r="T27" s="14" t="n">
        <x:v>2023</x:v>
      </x:c>
      <x:c r="U27" s="14" t="str">
        <x:v>Production assigned to future entry year</x:v>
      </x:c>
      <x:c r="V27" s="14" t="str">
        <x:v>Master register assigns production to 2023, not 2022.</x:v>
      </x:c>
      <x:c r="W27" s="14" t="str">
        <x:v>Annual source/master-register conflict</x:v>
      </x:c>
      <x:c r="X27" s="14" t="str">
        <x:v>Included</x:v>
      </x:c>
      <x:c r="Y27" s="14"/>
      <x:c r="Z27" s="14" t="str">
        <x:v>Funny Woman.docx</x:v>
      </x:c>
      <x:c r="AA2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Sky / NOW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HYPERLINK("https://en.wikipedia.org/wiki/Funny_Woman","Open source")</x:f>
        <x:v>HYPERLINK is not implemented. linkLocation=https://en.wikipedia.org/wiki/Funny_Woman, friendlyName=Open source</x:v>
      </x:c>
      <x:c r="AN27" s="14" t="str">
        <x:v>No qualifying BBC relationship</x:v>
      </x:c>
      <x:c r="AO27" s="14" t="str">
        <x:v>No</x:v>
      </x:c>
      <x:c r="AP27" s="14" t="str">
        <x:v>Out of scope</x:v>
      </x:c>
      <x:c r="AQ27" s="14" t="str">
        <x:v>No</x:v>
      </x:c>
      <x:c r="AR27" s="14" t="str">
        <x:v>Resolved from master register</x:v>
      </x:c>
      <x:c r="AS27" s="14" t="str">
        <x:v>No established-register match</x:v>
      </x:c>
      <x:c r="AT27" s="14"/>
      <x:c r="AU27" s="14"/>
      <x:c r="AV27" s="14" t="str">
        <x:v>No established apparent-disability match</x:v>
      </x:c>
      <x:c r="AW27" s="14"/>
      <x:c r="AX27" s="14" t="str">
        <x:v>No</x:v>
      </x:c>
      <x:c r="AY27" s="14" t="str">
        <x:v>Unmatched</x:v>
      </x:c>
      <x:c r="AZ27" s="14" t="str">
        <x:v>Final supplied register</x:v>
      </x:c>
      <x:c r="BA27" s="14" t="str">
        <x:v>Absence from the register is not evidence that the performer is not disabled.</x:v>
      </x:c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/>
      <x:c r="BP27" s="14" t="str">
        <x:v>Unable to calculate from supplied records.</x:v>
      </x:c>
      <x:c r="BQ27" s="14" t="str">
        <x:v>Unable to determine</x:v>
      </x:c>
      <x:c r="BR27" s="15" t="n">
        <x:v>3</x:v>
      </x:c>
      <x:c r="BS27" s="16"/>
      <x:c r="BT27" s="14" t="str">
        <x:v>Unable to calculate</x:v>
      </x:c>
      <x:c r="BU27" s="14" t="str">
        <x:v>Unable to determine</x:v>
      </x:c>
      <x:c r="BV27" s="14" t="str">
        <x:v>Episode count or production-total proxy unavailable.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tt15309272|nm0725956|mayor</x:v>
      </x:c>
      <x:c r="B28" s="14" t="str">
        <x:v>08</x:v>
      </x:c>
      <x:c r="C28" s="14" t="str">
        <x:v>2022_IMDb_Cast_Lists_Batch_08(1).xlsx</x:v>
      </x:c>
      <x:c r="D28" s="14" t="str">
        <x:v>Funny Woman</x:v>
      </x:c>
      <x:c r="E28" s="14" t="n">
        <x:v>35</x:v>
      </x:c>
      <x:c r="F28" s="14" t="str">
        <x:v>Funny Woman</x:v>
      </x:c>
      <x:c r="G28" s="14" t="str">
        <x:v>tt15309272</x:v>
      </x:c>
      <x:c r="H28" s="14" t="n">
        <x:v>2023</x:v>
      </x:c>
      <x:c r="I28" s="14" t="n">
        <x:v>2023</x:v>
      </x:c>
      <x:c r="J28" s="14" t="str">
        <x:v>New Commission Cohort</x:v>
      </x:c>
      <x:c r="K28" s="14" t="n">
        <x:v>2022</x:v>
      </x:c>
      <x:c r="L28" s="14" t="str">
        <x:v>Used in 2023 annual analysis</x:v>
      </x:c>
      <x:c r="M28" s="15" t="n">
        <x:v>28</x:v>
      </x:c>
      <x:c r="N28" s="14" t="str">
        <x:v>Richard Ridings</x:v>
      </x:c>
      <x:c r="O28" s="14" t="str">
        <x:v>nm0725956</x:v>
      </x:c>
      <x:c r="P28" s="14" t="str">
        <x:v>Mayor</x:v>
      </x:c>
      <x:c r="Q28" s="15" t="n">
        <x:v>2</x:v>
      </x:c>
      <x:c r="R28" s="14" t="str">
        <x:v>2023–2024</x:v>
      </x:c>
      <x:c r="S28" s="14" t="n">
        <x:v>2023</x:v>
      </x:c>
      <x:c r="T28" s="14" t="n">
        <x:v>2023</x:v>
      </x:c>
      <x:c r="U28" s="14" t="str">
        <x:v>Production assigned to future entry year</x:v>
      </x:c>
      <x:c r="V28" s="14" t="str">
        <x:v>Master register assigns production to 2023, not 2022.</x:v>
      </x:c>
      <x:c r="W28" s="14" t="str">
        <x:v>Annual source/master-register conflict</x:v>
      </x:c>
      <x:c r="X28" s="14" t="str">
        <x:v>Included</x:v>
      </x:c>
      <x:c r="Y28" s="14"/>
      <x:c r="Z28" s="14" t="str">
        <x:v>Funny Woman.docx</x:v>
      </x:c>
      <x:c r="AA2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Sky / NOW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HYPERLINK("https://en.wikipedia.org/wiki/Funny_Woman","Open source")</x:f>
        <x:v>HYPERLINK is not implemented. linkLocation=https://en.wikipedia.org/wiki/Funny_Woman, friendlyName=Open source</x:v>
      </x:c>
      <x:c r="AN28" s="14" t="str">
        <x:v>No qualifying BBC relationship</x:v>
      </x:c>
      <x:c r="AO28" s="14" t="str">
        <x:v>No</x:v>
      </x:c>
      <x:c r="AP28" s="14" t="str">
        <x:v>Out of scope</x:v>
      </x:c>
      <x:c r="AQ28" s="14" t="str">
        <x:v>No</x:v>
      </x:c>
      <x:c r="AR28" s="14" t="str">
        <x:v>Resolved from master register</x:v>
      </x:c>
      <x:c r="AS28" s="14" t="str">
        <x:v>No established-register match</x:v>
      </x:c>
      <x:c r="AT28" s="14"/>
      <x:c r="AU28" s="14"/>
      <x:c r="AV28" s="14" t="str">
        <x:v>No established apparent-disability match</x:v>
      </x:c>
      <x:c r="AW28" s="14"/>
      <x:c r="AX28" s="14" t="str">
        <x:v>No</x:v>
      </x:c>
      <x:c r="AY28" s="14" t="str">
        <x:v>Unmatched</x:v>
      </x:c>
      <x:c r="AZ28" s="14" t="str">
        <x:v>Final supplied register</x:v>
      </x:c>
      <x:c r="BA28" s="14" t="str">
        <x:v>Absence from the register is not evidence that the performer is not disabled.</x:v>
      </x:c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/>
      <x:c r="BP28" s="14" t="str">
        <x:v>Unable to calculate from supplied records.</x:v>
      </x:c>
      <x:c r="BQ28" s="14" t="str">
        <x:v>Unable to determine</x:v>
      </x:c>
      <x:c r="BR28" s="15" t="n">
        <x:v>2</x:v>
      </x:c>
      <x:c r="BS28" s="16"/>
      <x:c r="BT28" s="14" t="str">
        <x:v>Unable to calculate</x:v>
      </x:c>
      <x:c r="BU28" s="14" t="str">
        <x:v>Unable to determine</x:v>
      </x:c>
      <x:c r="BV28" s="14" t="str">
        <x:v>Episode count or production-total proxy unavailable.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tt15309272|nm1344984|pat (woman worker 1)</x:v>
      </x:c>
      <x:c r="B29" s="14" t="str">
        <x:v>08</x:v>
      </x:c>
      <x:c r="C29" s="14" t="str">
        <x:v>2022_IMDb_Cast_Lists_Batch_08(1).xlsx</x:v>
      </x:c>
      <x:c r="D29" s="14" t="str">
        <x:v>Funny Woman</x:v>
      </x:c>
      <x:c r="E29" s="14" t="n">
        <x:v>37</x:v>
      </x:c>
      <x:c r="F29" s="14" t="str">
        <x:v>Funny Woman</x:v>
      </x:c>
      <x:c r="G29" s="14" t="str">
        <x:v>tt15309272</x:v>
      </x:c>
      <x:c r="H29" s="14" t="n">
        <x:v>2023</x:v>
      </x:c>
      <x:c r="I29" s="14" t="n">
        <x:v>2023</x:v>
      </x:c>
      <x:c r="J29" s="14" t="str">
        <x:v>New Commission Cohort</x:v>
      </x:c>
      <x:c r="K29" s="14" t="n">
        <x:v>2022</x:v>
      </x:c>
      <x:c r="L29" s="14" t="str">
        <x:v>Used in 2023 annual analysis</x:v>
      </x:c>
      <x:c r="M29" s="15" t="n">
        <x:v>30</x:v>
      </x:c>
      <x:c r="N29" s="14" t="str">
        <x:v>Kate Crossley</x:v>
      </x:c>
      <x:c r="O29" s="14" t="str">
        <x:v>nm1344984</x:v>
      </x:c>
      <x:c r="P29" s="14" t="str">
        <x:v>Pat (Woman Worker 1)</x:v>
      </x:c>
      <x:c r="Q29" s="15" t="n">
        <x:v>2</x:v>
      </x:c>
      <x:c r="R29" s="14" t="str">
        <x:v>2022–2023</x:v>
      </x:c>
      <x:c r="S29" s="14" t="n">
        <x:v>2023</x:v>
      </x:c>
      <x:c r="T29" s="14" t="n">
        <x:v>2023</x:v>
      </x:c>
      <x:c r="U29" s="14" t="str">
        <x:v>Production assigned to future entry year</x:v>
      </x:c>
      <x:c r="V29" s="14" t="str">
        <x:v>Master register assigns production to 2023, not 2022.</x:v>
      </x:c>
      <x:c r="W29" s="14" t="str">
        <x:v>Annual source/master-register conflict</x:v>
      </x:c>
      <x:c r="X29" s="14" t="str">
        <x:v>Included</x:v>
      </x:c>
      <x:c r="Y29" s="14"/>
      <x:c r="Z29" s="14" t="str">
        <x:v>Funny Woman.docx</x:v>
      </x:c>
      <x:c r="AA2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Sky / NOW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HYPERLINK("https://en.wikipedia.org/wiki/Funny_Woman","Open source")</x:f>
        <x:v>HYPERLINK is not implemented. linkLocation=https://en.wikipedia.org/wiki/Funny_Woman, friendlyName=Open source</x:v>
      </x:c>
      <x:c r="AN29" s="14" t="str">
        <x:v>No qualifying BBC relationship</x:v>
      </x:c>
      <x:c r="AO29" s="14" t="str">
        <x:v>No</x:v>
      </x:c>
      <x:c r="AP29" s="14" t="str">
        <x:v>Out of scope</x:v>
      </x:c>
      <x:c r="AQ29" s="14" t="str">
        <x:v>No</x:v>
      </x:c>
      <x:c r="AR29" s="14" t="str">
        <x:v>Resolved from master register</x:v>
      </x:c>
      <x:c r="AS29" s="14" t="str">
        <x:v>No established-register match</x:v>
      </x:c>
      <x:c r="AT29" s="14"/>
      <x:c r="AU29" s="14"/>
      <x:c r="AV29" s="14" t="str">
        <x:v>No established apparent-disability match</x:v>
      </x:c>
      <x:c r="AW29" s="14"/>
      <x:c r="AX29" s="14" t="str">
        <x:v>No</x:v>
      </x:c>
      <x:c r="AY29" s="14" t="str">
        <x:v>Unmatched</x:v>
      </x:c>
      <x:c r="AZ29" s="14" t="str">
        <x:v>Final supplied register</x:v>
      </x:c>
      <x:c r="BA29" s="14" t="str">
        <x:v>Absence from the register is not evidence that the performer is not disabled.</x:v>
      </x:c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/>
      <x:c r="BP29" s="14" t="str">
        <x:v>Unable to calculate from supplied records.</x:v>
      </x:c>
      <x:c r="BQ29" s="14" t="str">
        <x:v>Unable to determine</x:v>
      </x:c>
      <x:c r="BR29" s="15" t="n">
        <x:v>2</x:v>
      </x:c>
      <x:c r="BS29" s="16"/>
      <x:c r="BT29" s="14" t="str">
        <x:v>Unable to calculate</x:v>
      </x:c>
      <x:c r="BU29" s="14" t="str">
        <x:v>Unable to determine</x:v>
      </x:c>
      <x:c r="BV29" s="14" t="str">
        <x:v>Episode count or production-total proxy unavailable.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tt15309272|nm1535547|len phillips</x:v>
      </x:c>
      <x:c r="B30" s="14" t="str">
        <x:v>08</x:v>
      </x:c>
      <x:c r="C30" s="14" t="str">
        <x:v>2022_IMDb_Cast_Lists_Batch_08(1).xlsx</x:v>
      </x:c>
      <x:c r="D30" s="14" t="str">
        <x:v>Funny Woman</x:v>
      </x:c>
      <x:c r="E30" s="14" t="n">
        <x:v>38</x:v>
      </x:c>
      <x:c r="F30" s="14" t="str">
        <x:v>Funny Woman</x:v>
      </x:c>
      <x:c r="G30" s="14" t="str">
        <x:v>tt15309272</x:v>
      </x:c>
      <x:c r="H30" s="14" t="n">
        <x:v>2023</x:v>
      </x:c>
      <x:c r="I30" s="14" t="n">
        <x:v>2023</x:v>
      </x:c>
      <x:c r="J30" s="14" t="str">
        <x:v>New Commission Cohort</x:v>
      </x:c>
      <x:c r="K30" s="14" t="n">
        <x:v>2022</x:v>
      </x:c>
      <x:c r="L30" s="14" t="str">
        <x:v>Used in 2023 annual analysis</x:v>
      </x:c>
      <x:c r="M30" s="15" t="n">
        <x:v>31</x:v>
      </x:c>
      <x:c r="N30" s="14" t="str">
        <x:v>Daniel Crossley</x:v>
      </x:c>
      <x:c r="O30" s="14" t="str">
        <x:v>nm1535547</x:v>
      </x:c>
      <x:c r="P30" s="14" t="str">
        <x:v>Len Phillips</x:v>
      </x:c>
      <x:c r="Q30" s="15" t="n">
        <x:v>2</x:v>
      </x:c>
      <x:c r="R30" s="14" t="str">
        <x:v>2022–2023</x:v>
      </x:c>
      <x:c r="S30" s="14" t="n">
        <x:v>2023</x:v>
      </x:c>
      <x:c r="T30" s="14" t="n">
        <x:v>2023</x:v>
      </x:c>
      <x:c r="U30" s="14" t="str">
        <x:v>Production assigned to future entry year</x:v>
      </x:c>
      <x:c r="V30" s="14" t="str">
        <x:v>Master register assigns production to 2023, not 2022.</x:v>
      </x:c>
      <x:c r="W30" s="14" t="str">
        <x:v>Annual source/master-register conflict</x:v>
      </x:c>
      <x:c r="X30" s="14" t="str">
        <x:v>Included</x:v>
      </x:c>
      <x:c r="Y30" s="14"/>
      <x:c r="Z30" s="14" t="str">
        <x:v>Funny Woman.docx</x:v>
      </x:c>
      <x:c r="AA3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Sky / NOW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HYPERLINK("https://en.wikipedia.org/wiki/Funny_Woman","Open source")</x:f>
        <x:v>HYPERLINK is not implemented. linkLocation=https://en.wikipedia.org/wiki/Funny_Woman, friendlyName=Open source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 t="str">
        <x:v>No established-register match</x:v>
      </x:c>
      <x:c r="AT30" s="14"/>
      <x:c r="AU30" s="14"/>
      <x:c r="AV30" s="14" t="str">
        <x:v>No established apparent-disability match</x:v>
      </x:c>
      <x:c r="AW30" s="14"/>
      <x:c r="AX30" s="14" t="str">
        <x:v>No</x:v>
      </x:c>
      <x:c r="AY30" s="14" t="str">
        <x:v>Unmatched</x:v>
      </x:c>
      <x:c r="AZ30" s="14" t="str">
        <x:v>Final supplied register</x:v>
      </x:c>
      <x:c r="BA30" s="14" t="str">
        <x:v>Absence from the register is not evidence that the performer is not disabled.</x:v>
      </x:c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/>
      <x:c r="BP30" s="14" t="str">
        <x:v>Unable to calculate from supplied records.</x:v>
      </x:c>
      <x:c r="BQ30" s="14" t="str">
        <x:v>Unable to determine</x:v>
      </x:c>
      <x:c r="BR30" s="15" t="n">
        <x:v>2</x:v>
      </x:c>
      <x:c r="BS30" s="16"/>
      <x:c r="BT30" s="14" t="str">
        <x:v>Unable to calculate</x:v>
      </x:c>
      <x:c r="BU30" s="14" t="str">
        <x:v>Unable to determine</x:v>
      </x:c>
      <x:c r="BV30" s="14" t="str">
        <x:v>Episode count or production-total proxy unavailable.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tt15309272|nm11609442|afm</x:v>
      </x:c>
      <x:c r="B31" s="14" t="str">
        <x:v>08</x:v>
      </x:c>
      <x:c r="C31" s="14" t="str">
        <x:v>2022_IMDb_Cast_Lists_Batch_08(1).xlsx</x:v>
      </x:c>
      <x:c r="D31" s="14" t="str">
        <x:v>Funny Woman</x:v>
      </x:c>
      <x:c r="E31" s="14" t="n">
        <x:v>40</x:v>
      </x:c>
      <x:c r="F31" s="14" t="str">
        <x:v>Funny Woman</x:v>
      </x:c>
      <x:c r="G31" s="14" t="str">
        <x:v>tt15309272</x:v>
      </x:c>
      <x:c r="H31" s="14" t="n">
        <x:v>2023</x:v>
      </x:c>
      <x:c r="I31" s="14" t="n">
        <x:v>2023</x:v>
      </x:c>
      <x:c r="J31" s="14" t="str">
        <x:v>New Commission Cohort</x:v>
      </x:c>
      <x:c r="K31" s="14" t="n">
        <x:v>2022</x:v>
      </x:c>
      <x:c r="L31" s="14" t="str">
        <x:v>Used in 2023 annual analysis</x:v>
      </x:c>
      <x:c r="M31" s="15" t="n">
        <x:v>33</x:v>
      </x:c>
      <x:c r="N31" s="14" t="str">
        <x:v>Connor Hewitt</x:v>
      </x:c>
      <x:c r="O31" s="14" t="str">
        <x:v>nm11609442</x:v>
      </x:c>
      <x:c r="P31" s="14" t="str">
        <x:v>AFM</x:v>
      </x:c>
      <x:c r="Q31" s="15" t="n">
        <x:v>2</x:v>
      </x:c>
      <x:c r="R31" s="14" t="str">
        <x:v>2022–2023</x:v>
      </x:c>
      <x:c r="S31" s="14" t="n">
        <x:v>2023</x:v>
      </x:c>
      <x:c r="T31" s="14" t="n">
        <x:v>2023</x:v>
      </x:c>
      <x:c r="U31" s="14" t="str">
        <x:v>Production assigned to future entry year</x:v>
      </x:c>
      <x:c r="V31" s="14" t="str">
        <x:v>Master register assigns production to 2023, not 2022.</x:v>
      </x:c>
      <x:c r="W31" s="14" t="str">
        <x:v>Annual source/master-register conflict</x:v>
      </x:c>
      <x:c r="X31" s="14" t="str">
        <x:v>Included</x:v>
      </x:c>
      <x:c r="Y31" s="14"/>
      <x:c r="Z31" s="14" t="str">
        <x:v>Funny Woman.docx</x:v>
      </x:c>
      <x:c r="AA3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Sky / NOW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HYPERLINK("https://en.wikipedia.org/wiki/Funny_Woman","Open source")</x:f>
        <x:v>HYPERLINK is not implemented. linkLocation=https://en.wikipedia.org/wiki/Funny_Woman, friendlyName=Open source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 t="str">
        <x:v>No established-register match</x:v>
      </x:c>
      <x:c r="AT31" s="14"/>
      <x:c r="AU31" s="14"/>
      <x:c r="AV31" s="14" t="str">
        <x:v>No established apparent-disability match</x:v>
      </x:c>
      <x:c r="AW31" s="14"/>
      <x:c r="AX31" s="14" t="str">
        <x:v>No</x:v>
      </x:c>
      <x:c r="AY31" s="14" t="str">
        <x:v>Unmatched</x:v>
      </x:c>
      <x:c r="AZ31" s="14" t="str">
        <x:v>Final supplied register</x:v>
      </x:c>
      <x:c r="BA31" s="14" t="str">
        <x:v>Absence from the register is not evidence that the performer is not disabled.</x:v>
      </x:c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/>
      <x:c r="BP31" s="14" t="str">
        <x:v>Unable to calculate from supplied records.</x:v>
      </x:c>
      <x:c r="BQ31" s="14" t="str">
        <x:v>Unable to determine</x:v>
      </x:c>
      <x:c r="BR31" s="15" t="n">
        <x:v>2</x:v>
      </x:c>
      <x:c r="BS31" s="16"/>
      <x:c r="BT31" s="14" t="str">
        <x:v>Unable to calculate</x:v>
      </x:c>
      <x:c r="BU31" s="14" t="str">
        <x:v>Unable to determine</x:v>
      </x:c>
      <x:c r="BV31" s="14" t="str">
        <x:v>Episode count or production-total proxy unavailable.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tt15309272|nm0171674|bert redwood</x:v>
      </x:c>
      <x:c r="B32" s="14" t="str">
        <x:v>08</x:v>
      </x:c>
      <x:c r="C32" s="14" t="str">
        <x:v>2022_IMDb_Cast_Lists_Batch_08(1).xlsx</x:v>
      </x:c>
      <x:c r="D32" s="14" t="str">
        <x:v>Funny Woman</x:v>
      </x:c>
      <x:c r="E32" s="14" t="n">
        <x:v>41</x:v>
      </x:c>
      <x:c r="F32" s="14" t="str">
        <x:v>Funny Woman</x:v>
      </x:c>
      <x:c r="G32" s="14" t="str">
        <x:v>tt15309272</x:v>
      </x:c>
      <x:c r="H32" s="14" t="n">
        <x:v>2023</x:v>
      </x:c>
      <x:c r="I32" s="14" t="n">
        <x:v>2023</x:v>
      </x:c>
      <x:c r="J32" s="14" t="str">
        <x:v>New Commission Cohort</x:v>
      </x:c>
      <x:c r="K32" s="14" t="n">
        <x:v>2022</x:v>
      </x:c>
      <x:c r="L32" s="14" t="str">
        <x:v>Used in 2023 annual analysis</x:v>
      </x:c>
      <x:c r="M32" s="15" t="n">
        <x:v>34</x:v>
      </x:c>
      <x:c r="N32" s="14" t="str">
        <x:v>Kenneth Collard</x:v>
      </x:c>
      <x:c r="O32" s="14" t="str">
        <x:v>nm0171674</x:v>
      </x:c>
      <x:c r="P32" s="14" t="str">
        <x:v>Bert Redwood</x:v>
      </x:c>
      <x:c r="Q32" s="15" t="n">
        <x:v>2</x:v>
      </x:c>
      <x:c r="R32" s="14" t="str">
        <x:v>2022–2023</x:v>
      </x:c>
      <x:c r="S32" s="14" t="n">
        <x:v>2023</x:v>
      </x:c>
      <x:c r="T32" s="14" t="n">
        <x:v>2023</x:v>
      </x:c>
      <x:c r="U32" s="14" t="str">
        <x:v>Production assigned to future entry year</x:v>
      </x:c>
      <x:c r="V32" s="14" t="str">
        <x:v>Master register assigns production to 2023, not 2022.</x:v>
      </x:c>
      <x:c r="W32" s="14" t="str">
        <x:v>Annual source/master-register conflict</x:v>
      </x:c>
      <x:c r="X32" s="14" t="str">
        <x:v>Included</x:v>
      </x:c>
      <x:c r="Y32" s="14"/>
      <x:c r="Z32" s="14" t="str">
        <x:v>Funny Woman.docx</x:v>
      </x:c>
      <x:c r="AA3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Sky / NOW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HYPERLINK("https://en.wikipedia.org/wiki/Funny_Woman","Open source")</x:f>
        <x:v>HYPERLINK is not implemented. linkLocation=https://en.wikipedia.org/wiki/Funny_Woman, friendlyName=Open source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 t="str">
        <x:v>No established-register match</x:v>
      </x:c>
      <x:c r="AT32" s="14"/>
      <x:c r="AU32" s="14"/>
      <x:c r="AV32" s="14" t="str">
        <x:v>No established apparent-disability match</x:v>
      </x:c>
      <x:c r="AW32" s="14"/>
      <x:c r="AX32" s="14" t="str">
        <x:v>No</x:v>
      </x:c>
      <x:c r="AY32" s="14" t="str">
        <x:v>Unmatched</x:v>
      </x:c>
      <x:c r="AZ32" s="14" t="str">
        <x:v>Final supplied register</x:v>
      </x:c>
      <x:c r="BA32" s="14" t="str">
        <x:v>Absence from the register is not evidence that the performer is not disabled.</x:v>
      </x:c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/>
      <x:c r="BP32" s="14" t="str">
        <x:v>Unable to calculate from supplied records.</x:v>
      </x:c>
      <x:c r="BQ32" s="14" t="str">
        <x:v>Unable to determine</x:v>
      </x:c>
      <x:c r="BR32" s="15" t="n">
        <x:v>2</x:v>
      </x:c>
      <x:c r="BS32" s="16"/>
      <x:c r="BT32" s="14" t="str">
        <x:v>Unable to calculate</x:v>
      </x:c>
      <x:c r="BU32" s="14" t="str">
        <x:v>Unable to determine</x:v>
      </x:c>
      <x:c r="BV32" s="14" t="str">
        <x:v>Episode count or production-total proxy unavailable.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tt15309272|nm13672328|sal</x:v>
      </x:c>
      <x:c r="B33" s="14" t="str">
        <x:v>08</x:v>
      </x:c>
      <x:c r="C33" s="14" t="str">
        <x:v>2022_IMDb_Cast_Lists_Batch_08(1).xlsx</x:v>
      </x:c>
      <x:c r="D33" s="14" t="str">
        <x:v>Funny Woman</x:v>
      </x:c>
      <x:c r="E33" s="14" t="n">
        <x:v>42</x:v>
      </x:c>
      <x:c r="F33" s="14" t="str">
        <x:v>Funny Woman</x:v>
      </x:c>
      <x:c r="G33" s="14" t="str">
        <x:v>tt15309272</x:v>
      </x:c>
      <x:c r="H33" s="14" t="n">
        <x:v>2023</x:v>
      </x:c>
      <x:c r="I33" s="14" t="n">
        <x:v>2023</x:v>
      </x:c>
      <x:c r="J33" s="14" t="str">
        <x:v>New Commission Cohort</x:v>
      </x:c>
      <x:c r="K33" s="14" t="n">
        <x:v>2022</x:v>
      </x:c>
      <x:c r="L33" s="14" t="str">
        <x:v>Used in 2023 annual analysis</x:v>
      </x:c>
      <x:c r="M33" s="15" t="n">
        <x:v>35</x:v>
      </x:c>
      <x:c r="N33" s="14" t="str">
        <x:v>Karen Young</x:v>
      </x:c>
      <x:c r="O33" s="14" t="str">
        <x:v>nm13672328</x:v>
      </x:c>
      <x:c r="P33" s="14" t="str">
        <x:v>Sal</x:v>
      </x:c>
      <x:c r="Q33" s="15" t="n">
        <x:v>2</x:v>
      </x:c>
      <x:c r="R33" s="14" t="str">
        <x:v>2022</x:v>
      </x:c>
      <x:c r="S33" s="14" t="n">
        <x:v>2023</x:v>
      </x:c>
      <x:c r="T33" s="14" t="n">
        <x:v>2023</x:v>
      </x:c>
      <x:c r="U33" s="14" t="str">
        <x:v>Production assigned to future entry year</x:v>
      </x:c>
      <x:c r="V33" s="14" t="str">
        <x:v>Master register assigns production to 2023, not 2022.</x:v>
      </x:c>
      <x:c r="W33" s="14" t="str">
        <x:v>Annual source/master-register conflict</x:v>
      </x:c>
      <x:c r="X33" s="14" t="str">
        <x:v>Included</x:v>
      </x:c>
      <x:c r="Y33" s="14"/>
      <x:c r="Z33" s="14" t="str">
        <x:v>Funny Woman.docx</x:v>
      </x:c>
      <x:c r="AA3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Sky / NOW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HYPERLINK("https://en.wikipedia.org/wiki/Funny_Woman","Open source")</x:f>
        <x:v>HYPERLINK is not implemented. linkLocation=https://en.wikipedia.org/wiki/Funny_Woman, friendlyName=Open source</x:v>
      </x:c>
      <x:c r="AN33" s="14" t="str">
        <x:v>No qualifying BBC relationship</x:v>
      </x:c>
      <x:c r="AO33" s="14" t="str">
        <x:v>No</x:v>
      </x:c>
      <x:c r="AP33" s="14" t="str">
        <x:v>Out of scope</x:v>
      </x:c>
      <x:c r="AQ33" s="14" t="str">
        <x:v>No</x:v>
      </x:c>
      <x:c r="AR33" s="14" t="str">
        <x:v>Resolved from master register</x:v>
      </x:c>
      <x:c r="AS33" s="14" t="str">
        <x:v>No established-register match</x:v>
      </x:c>
      <x:c r="AT33" s="14"/>
      <x:c r="AU33" s="14"/>
      <x:c r="AV33" s="14" t="str">
        <x:v>No established apparent-disability match</x:v>
      </x:c>
      <x:c r="AW33" s="14"/>
      <x:c r="AX33" s="14" t="str">
        <x:v>No</x:v>
      </x:c>
      <x:c r="AY33" s="14" t="str">
        <x:v>Unmatched</x:v>
      </x:c>
      <x:c r="AZ33" s="14" t="str">
        <x:v>Final supplied register</x:v>
      </x:c>
      <x:c r="BA33" s="14" t="str">
        <x:v>Absence from the register is not evidence that the performer is not disabled.</x:v>
      </x:c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/>
      <x:c r="BP33" s="14" t="str">
        <x:v>Unable to calculate from supplied records.</x:v>
      </x:c>
      <x:c r="BQ33" s="14" t="str">
        <x:v>Unable to determine</x:v>
      </x:c>
      <x:c r="BR33" s="15" t="n">
        <x:v>2</x:v>
      </x:c>
      <x:c r="BS33" s="16"/>
      <x:c r="BT33" s="14" t="str">
        <x:v>Unable to calculate</x:v>
      </x:c>
      <x:c r="BU33" s="14" t="str">
        <x:v>Unable to determine</x:v>
      </x:c>
      <x:c r="BV33" s="14" t="str">
        <x:v>Episode count or production-total proxy unavailable.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tt15309272|nm0203696|beryl</x:v>
      </x:c>
      <x:c r="B34" s="14" t="str">
        <x:v>08</x:v>
      </x:c>
      <x:c r="C34" s="14" t="str">
        <x:v>2022_IMDb_Cast_Lists_Batch_08(1).xlsx</x:v>
      </x:c>
      <x:c r="D34" s="14" t="str">
        <x:v>Funny Woman</x:v>
      </x:c>
      <x:c r="E34" s="14" t="n">
        <x:v>44</x:v>
      </x:c>
      <x:c r="F34" s="14" t="str">
        <x:v>Funny Woman</x:v>
      </x:c>
      <x:c r="G34" s="14" t="str">
        <x:v>tt15309272</x:v>
      </x:c>
      <x:c r="H34" s="14" t="n">
        <x:v>2023</x:v>
      </x:c>
      <x:c r="I34" s="14" t="n">
        <x:v>2023</x:v>
      </x:c>
      <x:c r="J34" s="14" t="str">
        <x:v>New Commission Cohort</x:v>
      </x:c>
      <x:c r="K34" s="14" t="n">
        <x:v>2022</x:v>
      </x:c>
      <x:c r="L34" s="14" t="str">
        <x:v>Used in 2023 annual analysis</x:v>
      </x:c>
      <x:c r="M34" s="15" t="n">
        <x:v>37</x:v>
      </x:c>
      <x:c r="N34" s="14" t="str">
        <x:v>Emma Davies</x:v>
      </x:c>
      <x:c r="O34" s="14" t="str">
        <x:v>nm0203696</x:v>
      </x:c>
      <x:c r="P34" s="14" t="str">
        <x:v>Beryl</x:v>
      </x:c>
      <x:c r="Q34" s="15" t="n">
        <x:v>2</x:v>
      </x:c>
      <x:c r="R34" s="14" t="str">
        <x:v>2022–2023</x:v>
      </x:c>
      <x:c r="S34" s="14" t="n">
        <x:v>2023</x:v>
      </x:c>
      <x:c r="T34" s="14" t="n">
        <x:v>2023</x:v>
      </x:c>
      <x:c r="U34" s="14" t="str">
        <x:v>Production assigned to future entry year</x:v>
      </x:c>
      <x:c r="V34" s="14" t="str">
        <x:v>Master register assigns production to 2023, not 2022.</x:v>
      </x:c>
      <x:c r="W34" s="14" t="str">
        <x:v>Annual source/master-register conflict</x:v>
      </x:c>
      <x:c r="X34" s="14" t="str">
        <x:v>Included</x:v>
      </x:c>
      <x:c r="Y34" s="14"/>
      <x:c r="Z34" s="14" t="str">
        <x:v>Funny Woman.docx</x:v>
      </x:c>
      <x:c r="AA3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Sky / NOW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HYPERLINK("https://en.wikipedia.org/wiki/Funny_Woman","Open source")</x:f>
        <x:v>HYPERLINK is not implemented. linkLocation=https://en.wikipedia.org/wiki/Funny_Woman, friendlyName=Open source</x:v>
      </x:c>
      <x:c r="AN34" s="14" t="str">
        <x:v>No qualifying BBC relationship</x:v>
      </x:c>
      <x:c r="AO34" s="14" t="str">
        <x:v>No</x:v>
      </x:c>
      <x:c r="AP34" s="14" t="str">
        <x:v>Out of scope</x:v>
      </x:c>
      <x:c r="AQ34" s="14" t="str">
        <x:v>No</x:v>
      </x:c>
      <x:c r="AR34" s="14" t="str">
        <x:v>Resolved from master register</x:v>
      </x:c>
      <x:c r="AS34" s="14" t="str">
        <x:v>No established-register match</x:v>
      </x:c>
      <x:c r="AT34" s="14"/>
      <x:c r="AU34" s="14"/>
      <x:c r="AV34" s="14" t="str">
        <x:v>No established apparent-disability match</x:v>
      </x:c>
      <x:c r="AW34" s="14"/>
      <x:c r="AX34" s="14" t="str">
        <x:v>No</x:v>
      </x:c>
      <x:c r="AY34" s="14" t="str">
        <x:v>Unmatched</x:v>
      </x:c>
      <x:c r="AZ34" s="14" t="str">
        <x:v>Final supplied register</x:v>
      </x:c>
      <x:c r="BA34" s="14" t="str">
        <x:v>Absence from the register is not evidence that the performer is not disabled.</x:v>
      </x:c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/>
      <x:c r="BP34" s="14" t="str">
        <x:v>Unable to calculate from supplied records.</x:v>
      </x:c>
      <x:c r="BQ34" s="14" t="str">
        <x:v>Unable to determine</x:v>
      </x:c>
      <x:c r="BR34" s="15" t="n">
        <x:v>2</x:v>
      </x:c>
      <x:c r="BS34" s="16"/>
      <x:c r="BT34" s="14" t="str">
        <x:v>Unable to calculate</x:v>
      </x:c>
      <x:c r="BU34" s="14" t="str">
        <x:v>Unable to determine</x:v>
      </x:c>
      <x:c r="BV34" s="14" t="str">
        <x:v>Episode count or production-total proxy unavailable.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tt15309272|nm3812385|anya</x:v>
      </x:c>
      <x:c r="B35" s="14" t="str">
        <x:v>08</x:v>
      </x:c>
      <x:c r="C35" s="14" t="str">
        <x:v>2022_IMDb_Cast_Lists_Batch_08(1).xlsx</x:v>
      </x:c>
      <x:c r="D35" s="14" t="str">
        <x:v>Funny Woman</x:v>
      </x:c>
      <x:c r="E35" s="14" t="n">
        <x:v>45</x:v>
      </x:c>
      <x:c r="F35" s="14" t="str">
        <x:v>Funny Woman</x:v>
      </x:c>
      <x:c r="G35" s="14" t="str">
        <x:v>tt15309272</x:v>
      </x:c>
      <x:c r="H35" s="14" t="n">
        <x:v>2023</x:v>
      </x:c>
      <x:c r="I35" s="14" t="n">
        <x:v>2023</x:v>
      </x:c>
      <x:c r="J35" s="14" t="str">
        <x:v>New Commission Cohort</x:v>
      </x:c>
      <x:c r="K35" s="14" t="n">
        <x:v>2022</x:v>
      </x:c>
      <x:c r="L35" s="14" t="str">
        <x:v>Used in 2023 annual analysis</x:v>
      </x:c>
      <x:c r="M35" s="15" t="n">
        <x:v>38</x:v>
      </x:c>
      <x:c r="N35" s="14" t="str">
        <x:v>Manpreet Bambra</x:v>
      </x:c>
      <x:c r="O35" s="14" t="str">
        <x:v>nm3812385</x:v>
      </x:c>
      <x:c r="P35" s="14" t="str">
        <x:v>Anya</x:v>
      </x:c>
      <x:c r="Q35" s="15" t="n">
        <x:v>2</x:v>
      </x:c>
      <x:c r="R35" s="14" t="str">
        <x:v>2022–2023</x:v>
      </x:c>
      <x:c r="S35" s="14" t="n">
        <x:v>2023</x:v>
      </x:c>
      <x:c r="T35" s="14" t="n">
        <x:v>2023</x:v>
      </x:c>
      <x:c r="U35" s="14" t="str">
        <x:v>Production assigned to future entry year</x:v>
      </x:c>
      <x:c r="V35" s="14" t="str">
        <x:v>Master register assigns production to 2023, not 2022.</x:v>
      </x:c>
      <x:c r="W35" s="14" t="str">
        <x:v>Annual source/master-register conflict</x:v>
      </x:c>
      <x:c r="X35" s="14" t="str">
        <x:v>Included</x:v>
      </x:c>
      <x:c r="Y35" s="14"/>
      <x:c r="Z35" s="14" t="str">
        <x:v>Funny Woman.docx</x:v>
      </x:c>
      <x:c r="AA3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Sky / NOW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HYPERLINK("https://en.wikipedia.org/wiki/Funny_Woman","Open source")</x:f>
        <x:v>HYPERLINK is not implemented. linkLocation=https://en.wikipedia.org/wiki/Funny_Woman, friendlyName=Open source</x:v>
      </x:c>
      <x:c r="AN35" s="14" t="str">
        <x:v>No qualifying BBC relationship</x:v>
      </x:c>
      <x:c r="AO35" s="14" t="str">
        <x:v>No</x:v>
      </x:c>
      <x:c r="AP35" s="14" t="str">
        <x:v>Out of scope</x:v>
      </x:c>
      <x:c r="AQ35" s="14" t="str">
        <x:v>No</x:v>
      </x:c>
      <x:c r="AR35" s="14" t="str">
        <x:v>Resolved from master register</x:v>
      </x:c>
      <x:c r="AS35" s="14" t="str">
        <x:v>No established-register match</x:v>
      </x:c>
      <x:c r="AT35" s="14"/>
      <x:c r="AU35" s="14"/>
      <x:c r="AV35" s="14" t="str">
        <x:v>No established apparent-disability match</x:v>
      </x:c>
      <x:c r="AW35" s="14"/>
      <x:c r="AX35" s="14" t="str">
        <x:v>No</x:v>
      </x:c>
      <x:c r="AY35" s="14" t="str">
        <x:v>Unmatched</x:v>
      </x:c>
      <x:c r="AZ35" s="14" t="str">
        <x:v>Final supplied register</x:v>
      </x:c>
      <x:c r="BA35" s="14" t="str">
        <x:v>Absence from the register is not evidence that the performer is not disabled.</x:v>
      </x:c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/>
      <x:c r="BP35" s="14" t="str">
        <x:v>Unable to calculate from supplied records.</x:v>
      </x:c>
      <x:c r="BQ35" s="14" t="str">
        <x:v>Unable to determine</x:v>
      </x:c>
      <x:c r="BR35" s="15" t="n">
        <x:v>2</x:v>
      </x:c>
      <x:c r="BS35" s="16"/>
      <x:c r="BT35" s="14" t="str">
        <x:v>Unable to calculate</x:v>
      </x:c>
      <x:c r="BU35" s="14" t="str">
        <x:v>Unable to determine</x:v>
      </x:c>
      <x:c r="BV35" s="14" t="str">
        <x:v>Episode count or production-total proxy unavailable.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tt15309272|nm2874099|jason knight</x:v>
      </x:c>
      <x:c r="B36" s="14" t="str">
        <x:v>08</x:v>
      </x:c>
      <x:c r="C36" s="14" t="str">
        <x:v>2022_IMDb_Cast_Lists_Batch_08(1).xlsx</x:v>
      </x:c>
      <x:c r="D36" s="14" t="str">
        <x:v>Funny Woman</x:v>
      </x:c>
      <x:c r="E36" s="14" t="n">
        <x:v>46</x:v>
      </x:c>
      <x:c r="F36" s="14" t="str">
        <x:v>Funny Woman</x:v>
      </x:c>
      <x:c r="G36" s="14" t="str">
        <x:v>tt15309272</x:v>
      </x:c>
      <x:c r="H36" s="14" t="n">
        <x:v>2023</x:v>
      </x:c>
      <x:c r="I36" s="14" t="n">
        <x:v>2023</x:v>
      </x:c>
      <x:c r="J36" s="14" t="str">
        <x:v>New Commission Cohort</x:v>
      </x:c>
      <x:c r="K36" s="14" t="n">
        <x:v>2022</x:v>
      </x:c>
      <x:c r="L36" s="14" t="str">
        <x:v>Used in 2023 annual analysis</x:v>
      </x:c>
      <x:c r="M36" s="15" t="n">
        <x:v>39</x:v>
      </x:c>
      <x:c r="N36" s="14" t="str">
        <x:v>Graham Dickson</x:v>
      </x:c>
      <x:c r="O36" s="14" t="str">
        <x:v>nm2874099</x:v>
      </x:c>
      <x:c r="P36" s="14" t="str">
        <x:v>Jason Knight</x:v>
      </x:c>
      <x:c r="Q36" s="15" t="n">
        <x:v>1</x:v>
      </x:c>
      <x:c r="R36" s="14" t="str">
        <x:v>2022</x:v>
      </x:c>
      <x:c r="S36" s="14" t="n">
        <x:v>2023</x:v>
      </x:c>
      <x:c r="T36" s="14" t="n">
        <x:v>2023</x:v>
      </x:c>
      <x:c r="U36" s="14" t="str">
        <x:v>Production assigned to future entry year</x:v>
      </x:c>
      <x:c r="V36" s="14" t="str">
        <x:v>Master register assigns production to 2023, not 2022.</x:v>
      </x:c>
      <x:c r="W36" s="14" t="str">
        <x:v>Annual source/master-register conflict</x:v>
      </x:c>
      <x:c r="X36" s="14" t="str">
        <x:v>Included</x:v>
      </x:c>
      <x:c r="Y36" s="14"/>
      <x:c r="Z36" s="14" t="str">
        <x:v>Funny Woman.docx</x:v>
      </x:c>
      <x:c r="AA3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Sky / NOW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HYPERLINK("https://en.wikipedia.org/wiki/Funny_Woman","Open source")</x:f>
        <x:v>HYPERLINK is not implemented. linkLocation=https://en.wikipedia.org/wiki/Funny_Woman, friendlyName=Open source</x:v>
      </x:c>
      <x:c r="AN36" s="14" t="str">
        <x:v>No qualifying BBC relationship</x:v>
      </x:c>
      <x:c r="AO36" s="14" t="str">
        <x:v>No</x:v>
      </x:c>
      <x:c r="AP36" s="14" t="str">
        <x:v>Out of scope</x:v>
      </x:c>
      <x:c r="AQ36" s="14" t="str">
        <x:v>No</x:v>
      </x:c>
      <x:c r="AR36" s="14" t="str">
        <x:v>Resolved from master register</x:v>
      </x:c>
      <x:c r="AS36" s="14" t="str">
        <x:v>No established-register match</x:v>
      </x:c>
      <x:c r="AT36" s="14"/>
      <x:c r="AU36" s="14"/>
      <x:c r="AV36" s="14" t="str">
        <x:v>No established apparent-disability match</x:v>
      </x:c>
      <x:c r="AW36" s="14"/>
      <x:c r="AX36" s="14" t="str">
        <x:v>No</x:v>
      </x:c>
      <x:c r="AY36" s="14" t="str">
        <x:v>Unmatched</x:v>
      </x:c>
      <x:c r="AZ36" s="14" t="str">
        <x:v>Final supplied register</x:v>
      </x:c>
      <x:c r="BA36" s="14" t="str">
        <x:v>Absence from the register is not evidence that the performer is not disabled.</x:v>
      </x:c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/>
      <x:c r="BP36" s="14" t="str">
        <x:v>Unable to calculate from supplied records.</x:v>
      </x:c>
      <x:c r="BQ36" s="14" t="str">
        <x:v>Unable to determine</x:v>
      </x:c>
      <x:c r="BR36" s="15" t="n">
        <x:v>1</x:v>
      </x:c>
      <x:c r="BS36" s="16"/>
      <x:c r="BT36" s="14" t="str">
        <x:v>Unable to calculate</x:v>
      </x:c>
      <x:c r="BU36" s="14" t="str">
        <x:v>Unable to determine</x:v>
      </x:c>
      <x:c r="BV36" s="14" t="str">
        <x:v>Episode count or production-total proxy unavailable.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tt15309272|nm0528650|beehive</x:v>
      </x:c>
      <x:c r="B37" s="14" t="str">
        <x:v>08</x:v>
      </x:c>
      <x:c r="C37" s="14" t="str">
        <x:v>2022_IMDb_Cast_Lists_Batch_08(1).xlsx</x:v>
      </x:c>
      <x:c r="D37" s="14" t="str">
        <x:v>Funny Woman</x:v>
      </x:c>
      <x:c r="E37" s="14" t="n">
        <x:v>47</x:v>
      </x:c>
      <x:c r="F37" s="14" t="str">
        <x:v>Funny Woman</x:v>
      </x:c>
      <x:c r="G37" s="14" t="str">
        <x:v>tt15309272</x:v>
      </x:c>
      <x:c r="H37" s="14" t="n">
        <x:v>2023</x:v>
      </x:c>
      <x:c r="I37" s="14" t="n">
        <x:v>2023</x:v>
      </x:c>
      <x:c r="J37" s="14" t="str">
        <x:v>New Commission Cohort</x:v>
      </x:c>
      <x:c r="K37" s="14" t="n">
        <x:v>2022</x:v>
      </x:c>
      <x:c r="L37" s="14" t="str">
        <x:v>Used in 2023 annual analysis</x:v>
      </x:c>
      <x:c r="M37" s="15" t="n">
        <x:v>40</x:v>
      </x:c>
      <x:c r="N37" s="14" t="str">
        <x:v>Dave Lynn</x:v>
      </x:c>
      <x:c r="O37" s="14" t="str">
        <x:v>nm0528650</x:v>
      </x:c>
      <x:c r="P37" s="14" t="str">
        <x:v>Beehive</x:v>
      </x:c>
      <x:c r="Q37" s="15" t="n">
        <x:v>1</x:v>
      </x:c>
      <x:c r="R37" s="14" t="str">
        <x:v>2022</x:v>
      </x:c>
      <x:c r="S37" s="14" t="n">
        <x:v>2023</x:v>
      </x:c>
      <x:c r="T37" s="14" t="n">
        <x:v>2023</x:v>
      </x:c>
      <x:c r="U37" s="14" t="str">
        <x:v>Production assigned to future entry year</x:v>
      </x:c>
      <x:c r="V37" s="14" t="str">
        <x:v>Master register assigns production to 2023, not 2022.</x:v>
      </x:c>
      <x:c r="W37" s="14" t="str">
        <x:v>Annual source/master-register conflict</x:v>
      </x:c>
      <x:c r="X37" s="14" t="str">
        <x:v>Included</x:v>
      </x:c>
      <x:c r="Y37" s="14"/>
      <x:c r="Z37" s="14" t="str">
        <x:v>Funny Woman.docx</x:v>
      </x:c>
      <x:c r="AA3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Sky / NOW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HYPERLINK("https://en.wikipedia.org/wiki/Funny_Woman","Open source")</x:f>
        <x:v>HYPERLINK is not implemented. linkLocation=https://en.wikipedia.org/wiki/Funny_Woman, friendlyName=Open source</x:v>
      </x:c>
      <x:c r="AN37" s="14" t="str">
        <x:v>No qualifying BBC relationship</x:v>
      </x:c>
      <x:c r="AO37" s="14" t="str">
        <x:v>No</x:v>
      </x:c>
      <x:c r="AP37" s="14" t="str">
        <x:v>Out of scope</x:v>
      </x:c>
      <x:c r="AQ37" s="14" t="str">
        <x:v>No</x:v>
      </x:c>
      <x:c r="AR37" s="14" t="str">
        <x:v>Resolved from master register</x:v>
      </x:c>
      <x:c r="AS37" s="14" t="str">
        <x:v>No established-register match</x:v>
      </x:c>
      <x:c r="AT37" s="14"/>
      <x:c r="AU37" s="14"/>
      <x:c r="AV37" s="14" t="str">
        <x:v>No established apparent-disability match</x:v>
      </x:c>
      <x:c r="AW37" s="14"/>
      <x:c r="AX37" s="14" t="str">
        <x:v>No</x:v>
      </x:c>
      <x:c r="AY37" s="14" t="str">
        <x:v>Unmatched</x:v>
      </x:c>
      <x:c r="AZ37" s="14" t="str">
        <x:v>Final supplied register</x:v>
      </x:c>
      <x:c r="BA37" s="14" t="str">
        <x:v>Absence from the register is not evidence that the performer is not disabled.</x:v>
      </x:c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/>
      <x:c r="BP37" s="14" t="str">
        <x:v>Unable to calculate from supplied records.</x:v>
      </x:c>
      <x:c r="BQ37" s="14" t="str">
        <x:v>Unable to determine</x:v>
      </x:c>
      <x:c r="BR37" s="15" t="n">
        <x:v>1</x:v>
      </x:c>
      <x:c r="BS37" s="16"/>
      <x:c r="BT37" s="14" t="str">
        <x:v>Unable to calculate</x:v>
      </x:c>
      <x:c r="BU37" s="14" t="str">
        <x:v>Unable to determine</x:v>
      </x:c>
      <x:c r="BV37" s="14" t="str">
        <x:v>Episode count or production-total proxy unavailable.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tt15309272|nm5930685|deirdre</x:v>
      </x:c>
      <x:c r="B38" s="14" t="str">
        <x:v>08</x:v>
      </x:c>
      <x:c r="C38" s="14" t="str">
        <x:v>2022_IMDb_Cast_Lists_Batch_08(1).xlsx</x:v>
      </x:c>
      <x:c r="D38" s="14" t="str">
        <x:v>Funny Woman</x:v>
      </x:c>
      <x:c r="E38" s="14" t="n">
        <x:v>48</x:v>
      </x:c>
      <x:c r="F38" s="14" t="str">
        <x:v>Funny Woman</x:v>
      </x:c>
      <x:c r="G38" s="14" t="str">
        <x:v>tt15309272</x:v>
      </x:c>
      <x:c r="H38" s="14" t="n">
        <x:v>2023</x:v>
      </x:c>
      <x:c r="I38" s="14" t="n">
        <x:v>2023</x:v>
      </x:c>
      <x:c r="J38" s="14" t="str">
        <x:v>New Commission Cohort</x:v>
      </x:c>
      <x:c r="K38" s="14" t="n">
        <x:v>2022</x:v>
      </x:c>
      <x:c r="L38" s="14" t="str">
        <x:v>Used in 2023 annual analysis</x:v>
      </x:c>
      <x:c r="M38" s="15" t="n">
        <x:v>41</x:v>
      </x:c>
      <x:c r="N38" s="14" t="str">
        <x:v>Elly Condron</x:v>
      </x:c>
      <x:c r="O38" s="14" t="str">
        <x:v>nm5930685</x:v>
      </x:c>
      <x:c r="P38" s="14" t="str">
        <x:v>Deirdre</x:v>
      </x:c>
      <x:c r="Q38" s="15" t="n">
        <x:v>1</x:v>
      </x:c>
      <x:c r="R38" s="14" t="str">
        <x:v>2022</x:v>
      </x:c>
      <x:c r="S38" s="14" t="n">
        <x:v>2023</x:v>
      </x:c>
      <x:c r="T38" s="14" t="n">
        <x:v>2023</x:v>
      </x:c>
      <x:c r="U38" s="14" t="str">
        <x:v>Production assigned to future entry year</x:v>
      </x:c>
      <x:c r="V38" s="14" t="str">
        <x:v>Master register assigns production to 2023, not 2022.</x:v>
      </x:c>
      <x:c r="W38" s="14" t="str">
        <x:v>Annual source/master-register conflict</x:v>
      </x:c>
      <x:c r="X38" s="14" t="str">
        <x:v>Included</x:v>
      </x:c>
      <x:c r="Y38" s="14"/>
      <x:c r="Z38" s="14" t="str">
        <x:v>Funny Woman.docx</x:v>
      </x:c>
      <x:c r="AA3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Sky / NOW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HYPERLINK("https://en.wikipedia.org/wiki/Funny_Woman","Open source")</x:f>
        <x:v>HYPERLINK is not implemented. linkLocation=https://en.wikipedia.org/wiki/Funny_Woman, friendlyName=Open source</x:v>
      </x:c>
      <x:c r="AN38" s="14" t="str">
        <x:v>No qualifying BBC relationship</x:v>
      </x:c>
      <x:c r="AO38" s="14" t="str">
        <x:v>No</x:v>
      </x:c>
      <x:c r="AP38" s="14" t="str">
        <x:v>Out of scope</x:v>
      </x:c>
      <x:c r="AQ38" s="14" t="str">
        <x:v>No</x:v>
      </x:c>
      <x:c r="AR38" s="14" t="str">
        <x:v>Resolved from master register</x:v>
      </x:c>
      <x:c r="AS38" s="14" t="str">
        <x:v>No established-register match</x:v>
      </x:c>
      <x:c r="AT38" s="14"/>
      <x:c r="AU38" s="14"/>
      <x:c r="AV38" s="14" t="str">
        <x:v>No established apparent-disability match</x:v>
      </x:c>
      <x:c r="AW38" s="14"/>
      <x:c r="AX38" s="14" t="str">
        <x:v>No</x:v>
      </x:c>
      <x:c r="AY38" s="14" t="str">
        <x:v>Unmatched</x:v>
      </x:c>
      <x:c r="AZ38" s="14" t="str">
        <x:v>Final supplied register</x:v>
      </x:c>
      <x:c r="BA38" s="14" t="str">
        <x:v>Absence from the register is not evidence that the performer is not disabled.</x:v>
      </x:c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/>
      <x:c r="BP38" s="14" t="str">
        <x:v>Unable to calculate from supplied records.</x:v>
      </x:c>
      <x:c r="BQ38" s="14" t="str">
        <x:v>Unable to determine</x:v>
      </x:c>
      <x:c r="BR38" s="15" t="n">
        <x:v>1</x:v>
      </x:c>
      <x:c r="BS38" s="16"/>
      <x:c r="BT38" s="14" t="str">
        <x:v>Unable to calculate</x:v>
      </x:c>
      <x:c r="BU38" s="14" t="str">
        <x:v>Unable to determine</x:v>
      </x:c>
      <x:c r="BV38" s="14" t="str">
        <x:v>Episode count or production-total proxy unavailable.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tt15309272|nm8424509|posh ivy</x:v>
      </x:c>
      <x:c r="B39" s="14" t="str">
        <x:v>08</x:v>
      </x:c>
      <x:c r="C39" s="14" t="str">
        <x:v>2022_IMDb_Cast_Lists_Batch_08(1).xlsx</x:v>
      </x:c>
      <x:c r="D39" s="14" t="str">
        <x:v>Funny Woman</x:v>
      </x:c>
      <x:c r="E39" s="14" t="n">
        <x:v>49</x:v>
      </x:c>
      <x:c r="F39" s="14" t="str">
        <x:v>Funny Woman</x:v>
      </x:c>
      <x:c r="G39" s="14" t="str">
        <x:v>tt15309272</x:v>
      </x:c>
      <x:c r="H39" s="14" t="n">
        <x:v>2023</x:v>
      </x:c>
      <x:c r="I39" s="14" t="n">
        <x:v>2023</x:v>
      </x:c>
      <x:c r="J39" s="14" t="str">
        <x:v>New Commission Cohort</x:v>
      </x:c>
      <x:c r="K39" s="14" t="n">
        <x:v>2022</x:v>
      </x:c>
      <x:c r="L39" s="14" t="str">
        <x:v>Used in 2023 annual analysis</x:v>
      </x:c>
      <x:c r="M39" s="15" t="n">
        <x:v>42</x:v>
      </x:c>
      <x:c r="N39" s="14" t="str">
        <x:v>Lily Knight</x:v>
      </x:c>
      <x:c r="O39" s="14" t="str">
        <x:v>nm8424509</x:v>
      </x:c>
      <x:c r="P39" s="14" t="str">
        <x:v>Posh Ivy</x:v>
      </x:c>
      <x:c r="Q39" s="15" t="n">
        <x:v>1</x:v>
      </x:c>
      <x:c r="R39" s="14" t="str">
        <x:v>2022</x:v>
      </x:c>
      <x:c r="S39" s="14" t="n">
        <x:v>2023</x:v>
      </x:c>
      <x:c r="T39" s="14" t="n">
        <x:v>2023</x:v>
      </x:c>
      <x:c r="U39" s="14" t="str">
        <x:v>Production assigned to future entry year</x:v>
      </x:c>
      <x:c r="V39" s="14" t="str">
        <x:v>Master register assigns production to 2023, not 2022.</x:v>
      </x:c>
      <x:c r="W39" s="14" t="str">
        <x:v>Annual source/master-register conflict</x:v>
      </x:c>
      <x:c r="X39" s="14" t="str">
        <x:v>Included</x:v>
      </x:c>
      <x:c r="Y39" s="14"/>
      <x:c r="Z39" s="14" t="str">
        <x:v>Funny Woman.docx</x:v>
      </x:c>
      <x:c r="AA3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Sky / NOW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HYPERLINK("https://en.wikipedia.org/wiki/Funny_Woman","Open source")</x:f>
        <x:v>HYPERLINK is not implemented. linkLocation=https://en.wikipedia.org/wiki/Funny_Woman, friendlyName=Open source</x:v>
      </x:c>
      <x:c r="AN39" s="14" t="str">
        <x:v>No qualifying BBC relationship</x:v>
      </x:c>
      <x:c r="AO39" s="14" t="str">
        <x:v>No</x:v>
      </x:c>
      <x:c r="AP39" s="14" t="str">
        <x:v>Out of scope</x:v>
      </x:c>
      <x:c r="AQ39" s="14" t="str">
        <x:v>No</x:v>
      </x:c>
      <x:c r="AR39" s="14" t="str">
        <x:v>Resolved from master register</x:v>
      </x:c>
      <x:c r="AS39" s="14" t="str">
        <x:v>No established-register match</x:v>
      </x:c>
      <x:c r="AT39" s="14"/>
      <x:c r="AU39" s="14"/>
      <x:c r="AV39" s="14" t="str">
        <x:v>No established apparent-disability match</x:v>
      </x:c>
      <x:c r="AW39" s="14"/>
      <x:c r="AX39" s="14" t="str">
        <x:v>No</x:v>
      </x:c>
      <x:c r="AY39" s="14" t="str">
        <x:v>Unmatched</x:v>
      </x:c>
      <x:c r="AZ39" s="14" t="str">
        <x:v>Final supplied register</x:v>
      </x:c>
      <x:c r="BA39" s="14" t="str">
        <x:v>Absence from the register is not evidence that the performer is not disabled.</x:v>
      </x:c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/>
      <x:c r="BP39" s="14" t="str">
        <x:v>Unable to calculate from supplied records.</x:v>
      </x:c>
      <x:c r="BQ39" s="14" t="str">
        <x:v>Unable to determine</x:v>
      </x:c>
      <x:c r="BR39" s="15" t="n">
        <x:v>1</x:v>
      </x:c>
      <x:c r="BS39" s="16"/>
      <x:c r="BT39" s="14" t="str">
        <x:v>Unable to calculate</x:v>
      </x:c>
      <x:c r="BU39" s="14" t="str">
        <x:v>Unable to determine</x:v>
      </x:c>
      <x:c r="BV39" s="14" t="str">
        <x:v>Episode count or production-total proxy unavailable.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tt15309272|nm7530093|mrs. mayor</x:v>
      </x:c>
      <x:c r="B40" s="14" t="str">
        <x:v>08</x:v>
      </x:c>
      <x:c r="C40" s="14" t="str">
        <x:v>2022_IMDb_Cast_Lists_Batch_08(1).xlsx</x:v>
      </x:c>
      <x:c r="D40" s="14" t="str">
        <x:v>Funny Woman</x:v>
      </x:c>
      <x:c r="E40" s="14" t="n">
        <x:v>50</x:v>
      </x:c>
      <x:c r="F40" s="14" t="str">
        <x:v>Funny Woman</x:v>
      </x:c>
      <x:c r="G40" s="14" t="str">
        <x:v>tt15309272</x:v>
      </x:c>
      <x:c r="H40" s="14" t="n">
        <x:v>2023</x:v>
      </x:c>
      <x:c r="I40" s="14" t="n">
        <x:v>2023</x:v>
      </x:c>
      <x:c r="J40" s="14" t="str">
        <x:v>New Commission Cohort</x:v>
      </x:c>
      <x:c r="K40" s="14" t="n">
        <x:v>2022</x:v>
      </x:c>
      <x:c r="L40" s="14" t="str">
        <x:v>Used in 2023 annual analysis</x:v>
      </x:c>
      <x:c r="M40" s="15" t="n">
        <x:v>43</x:v>
      </x:c>
      <x:c r="N40" s="14" t="str">
        <x:v>Geraldine Moloney Judge</x:v>
      </x:c>
      <x:c r="O40" s="14" t="str">
        <x:v>nm7530093</x:v>
      </x:c>
      <x:c r="P40" s="14" t="str">
        <x:v>Mrs. Mayor</x:v>
      </x:c>
      <x:c r="Q40" s="15" t="n">
        <x:v>1</x:v>
      </x:c>
      <x:c r="R40" s="14" t="str">
        <x:v>2023</x:v>
      </x:c>
      <x:c r="S40" s="14" t="n">
        <x:v>2023</x:v>
      </x:c>
      <x:c r="T40" s="14" t="n">
        <x:v>2023</x:v>
      </x:c>
      <x:c r="U40" s="14" t="str">
        <x:v>Production assigned to future entry year</x:v>
      </x:c>
      <x:c r="V40" s="14" t="str">
        <x:v>Master register assigns production to 2023, not 2022.</x:v>
      </x:c>
      <x:c r="W40" s="14" t="str">
        <x:v>Annual source/master-register conflict</x:v>
      </x:c>
      <x:c r="X40" s="14" t="str">
        <x:v>Included</x:v>
      </x:c>
      <x:c r="Y40" s="14"/>
      <x:c r="Z40" s="14" t="str">
        <x:v>Funny Woman.docx</x:v>
      </x:c>
      <x:c r="AA4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Sky / NOW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HYPERLINK("https://en.wikipedia.org/wiki/Funny_Woman","Open source")</x:f>
        <x:v>HYPERLINK is not implemented. linkLocation=https://en.wikipedia.org/wiki/Funny_Woman, friendlyName=Open source</x:v>
      </x:c>
      <x:c r="AN40" s="14" t="str">
        <x:v>No qualifying BBC relationship</x:v>
      </x:c>
      <x:c r="AO40" s="14" t="str">
        <x:v>No</x:v>
      </x:c>
      <x:c r="AP40" s="14" t="str">
        <x:v>Out of scope</x:v>
      </x:c>
      <x:c r="AQ40" s="14" t="str">
        <x:v>No</x:v>
      </x:c>
      <x:c r="AR40" s="14" t="str">
        <x:v>Resolved from master register</x:v>
      </x:c>
      <x:c r="AS40" s="14" t="str">
        <x:v>No established-register match</x:v>
      </x:c>
      <x:c r="AT40" s="14"/>
      <x:c r="AU40" s="14"/>
      <x:c r="AV40" s="14" t="str">
        <x:v>No established apparent-disability match</x:v>
      </x:c>
      <x:c r="AW40" s="14"/>
      <x:c r="AX40" s="14" t="str">
        <x:v>No</x:v>
      </x:c>
      <x:c r="AY40" s="14" t="str">
        <x:v>Unmatched</x:v>
      </x:c>
      <x:c r="AZ40" s="14" t="str">
        <x:v>Final supplied register</x:v>
      </x:c>
      <x:c r="BA40" s="14" t="str">
        <x:v>Absence from the register is not evidence that the performer is not disabled.</x:v>
      </x:c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/>
      <x:c r="BP40" s="14" t="str">
        <x:v>Unable to calculate from supplied records.</x:v>
      </x:c>
      <x:c r="BQ40" s="14" t="str">
        <x:v>Unable to determine</x:v>
      </x:c>
      <x:c r="BR40" s="15" t="n">
        <x:v>1</x:v>
      </x:c>
      <x:c r="BS40" s="16"/>
      <x:c r="BT40" s="14" t="str">
        <x:v>Unable to calculate</x:v>
      </x:c>
      <x:c r="BU40" s="14" t="str">
        <x:v>Unable to determine</x:v>
      </x:c>
      <x:c r="BV40" s="14" t="str">
        <x:v>Episode count or production-total proxy unavailable.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tt15309272|nm9103559|female customer in hats</x:v>
      </x:c>
      <x:c r="B41" s="14" t="str">
        <x:v>08</x:v>
      </x:c>
      <x:c r="C41" s="14" t="str">
        <x:v>2022_IMDb_Cast_Lists_Batch_08(1).xlsx</x:v>
      </x:c>
      <x:c r="D41" s="14" t="str">
        <x:v>Funny Woman</x:v>
      </x:c>
      <x:c r="E41" s="14" t="n">
        <x:v>53</x:v>
      </x:c>
      <x:c r="F41" s="14" t="str">
        <x:v>Funny Woman</x:v>
      </x:c>
      <x:c r="G41" s="14" t="str">
        <x:v>tt15309272</x:v>
      </x:c>
      <x:c r="H41" s="14" t="n">
        <x:v>2023</x:v>
      </x:c>
      <x:c r="I41" s="14" t="n">
        <x:v>2023</x:v>
      </x:c>
      <x:c r="J41" s="14" t="str">
        <x:v>New Commission Cohort</x:v>
      </x:c>
      <x:c r="K41" s="14" t="n">
        <x:v>2022</x:v>
      </x:c>
      <x:c r="L41" s="14" t="str">
        <x:v>Used in 2023 annual analysis</x:v>
      </x:c>
      <x:c r="M41" s="15" t="n">
        <x:v>46</x:v>
      </x:c>
      <x:c r="N41" s="14" t="str">
        <x:v>Kathryn Rigby</x:v>
      </x:c>
      <x:c r="O41" s="14" t="str">
        <x:v>nm9103559</x:v>
      </x:c>
      <x:c r="P41" s="14" t="str">
        <x:v>Female Customer in Hats</x:v>
      </x:c>
      <x:c r="Q41" s="15" t="n">
        <x:v>1</x:v>
      </x:c>
      <x:c r="R41" s="14" t="str">
        <x:v>2023</x:v>
      </x:c>
      <x:c r="S41" s="14" t="n">
        <x:v>2023</x:v>
      </x:c>
      <x:c r="T41" s="14" t="n">
        <x:v>2023</x:v>
      </x:c>
      <x:c r="U41" s="14" t="str">
        <x:v>Production assigned to future entry year</x:v>
      </x:c>
      <x:c r="V41" s="14" t="str">
        <x:v>Master register assigns production to 2023, not 2022.</x:v>
      </x:c>
      <x:c r="W41" s="14" t="str">
        <x:v>Annual source/master-register conflict</x:v>
      </x:c>
      <x:c r="X41" s="14" t="str">
        <x:v>Included</x:v>
      </x:c>
      <x:c r="Y41" s="14"/>
      <x:c r="Z41" s="14" t="str">
        <x:v>Funny Woman.docx</x:v>
      </x:c>
      <x:c r="AA4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Sky / NOW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HYPERLINK("https://en.wikipedia.org/wiki/Funny_Woman","Open source")</x:f>
        <x:v>HYPERLINK is not implemented. linkLocation=https://en.wikipedia.org/wiki/Funny_Woman, friendlyName=Open source</x:v>
      </x:c>
      <x:c r="AN41" s="14" t="str">
        <x:v>No qualifying BBC relationship</x:v>
      </x:c>
      <x:c r="AO41" s="14" t="str">
        <x:v>No</x:v>
      </x:c>
      <x:c r="AP41" s="14" t="str">
        <x:v>Out of scope</x:v>
      </x:c>
      <x:c r="AQ41" s="14" t="str">
        <x:v>No</x:v>
      </x:c>
      <x:c r="AR41" s="14" t="str">
        <x:v>Resolved from master register</x:v>
      </x:c>
      <x:c r="AS41" s="14" t="str">
        <x:v>No established-register match</x:v>
      </x:c>
      <x:c r="AT41" s="14"/>
      <x:c r="AU41" s="14"/>
      <x:c r="AV41" s="14" t="str">
        <x:v>No established apparent-disability match</x:v>
      </x:c>
      <x:c r="AW41" s="14"/>
      <x:c r="AX41" s="14" t="str">
        <x:v>No</x:v>
      </x:c>
      <x:c r="AY41" s="14" t="str">
        <x:v>Unmatched</x:v>
      </x:c>
      <x:c r="AZ41" s="14" t="str">
        <x:v>Final supplied register</x:v>
      </x:c>
      <x:c r="BA41" s="14" t="str">
        <x:v>Absence from the register is not evidence that the performer is not disabled.</x:v>
      </x:c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/>
      <x:c r="BP41" s="14" t="str">
        <x:v>Unable to calculate from supplied records.</x:v>
      </x:c>
      <x:c r="BQ41" s="14" t="str">
        <x:v>Unable to determine</x:v>
      </x:c>
      <x:c r="BR41" s="15" t="n">
        <x:v>1</x:v>
      </x:c>
      <x:c r="BS41" s="16"/>
      <x:c r="BT41" s="14" t="str">
        <x:v>Unable to calculate</x:v>
      </x:c>
      <x:c r="BU41" s="14" t="str">
        <x:v>Unable to determine</x:v>
      </x:c>
      <x:c r="BV41" s="14" t="str">
        <x:v>Episode count or production-total proxy unavailable.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tt15309272|nm2930154|terry clarke</x:v>
      </x:c>
      <x:c r="B42" s="14" t="str">
        <x:v>08</x:v>
      </x:c>
      <x:c r="C42" s="14" t="str">
        <x:v>2022_IMDb_Cast_Lists_Batch_08(1).xlsx</x:v>
      </x:c>
      <x:c r="D42" s="14" t="str">
        <x:v>Funny Woman</x:v>
      </x:c>
      <x:c r="E42" s="14" t="n">
        <x:v>56</x:v>
      </x:c>
      <x:c r="F42" s="14" t="str">
        <x:v>Funny Woman</x:v>
      </x:c>
      <x:c r="G42" s="14" t="str">
        <x:v>tt15309272</x:v>
      </x:c>
      <x:c r="H42" s="14" t="n">
        <x:v>2023</x:v>
      </x:c>
      <x:c r="I42" s="14" t="n">
        <x:v>2023</x:v>
      </x:c>
      <x:c r="J42" s="14" t="str">
        <x:v>New Commission Cohort</x:v>
      </x:c>
      <x:c r="K42" s="14" t="n">
        <x:v>2022</x:v>
      </x:c>
      <x:c r="L42" s="14" t="str">
        <x:v>Used in 2023 annual analysis</x:v>
      </x:c>
      <x:c r="M42" s="15" t="n">
        <x:v>49</x:v>
      </x:c>
      <x:c r="N42" s="14" t="str">
        <x:v>Elliot J. Langridge</x:v>
      </x:c>
      <x:c r="O42" s="14" t="str">
        <x:v>nm2930154</x:v>
      </x:c>
      <x:c r="P42" s="14" t="str">
        <x:v>Terry Clarke</x:v>
      </x:c>
      <x:c r="Q42" s="15" t="n">
        <x:v>1</x:v>
      </x:c>
      <x:c r="R42" s="14" t="str">
        <x:v>2022</x:v>
      </x:c>
      <x:c r="S42" s="14" t="n">
        <x:v>2023</x:v>
      </x:c>
      <x:c r="T42" s="14" t="n">
        <x:v>2023</x:v>
      </x:c>
      <x:c r="U42" s="14" t="str">
        <x:v>Production assigned to future entry year</x:v>
      </x:c>
      <x:c r="V42" s="14" t="str">
        <x:v>Master register assigns production to 2023, not 2022.</x:v>
      </x:c>
      <x:c r="W42" s="14" t="str">
        <x:v>Annual source/master-register conflict</x:v>
      </x:c>
      <x:c r="X42" s="14" t="str">
        <x:v>Included</x:v>
      </x:c>
      <x:c r="Y42" s="14" t="str">
        <x:v>(as Elliot James Langridge)</x:v>
      </x:c>
      <x:c r="Z42" s="14" t="str">
        <x:v>Funny Woman.docx</x:v>
      </x:c>
      <x:c r="AA4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2" s="14" t="str">
        <x:v>Existing established-register match</x:v>
      </x:c>
      <x:c r="AC42" s="14" t="str">
        <x:v>Neurodivergent</x:v>
      </x:c>
      <x:c r="AD42" s="14" t="str">
        <x:v>Existing register classification: Neurodivergent</x:v>
      </x:c>
      <x:c r="AE42" s="14" t="str">
        <x:v>Established_Disability_Category_Register V1.2.xlsx</x:v>
      </x:c>
      <x:c r="AF42" s="14"/>
      <x:c r="AG42" s="14" t="str">
        <x:v>Established user-supplied classification retained for deduplication; evidence was not re-researched in this batch.</x:v>
      </x:c>
      <x:c r="AH42" s="14" t="str">
        <x:v>Sky / NOW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HYPERLINK("https://en.wikipedia.org/wiki/Funny_Woman","Open source")</x:f>
        <x:v>HYPERLINK is not implemented. linkLocation=https://en.wikipedia.org/wiki/Funny_Woman, friendlyName=Open source</x:v>
      </x:c>
      <x:c r="AN42" s="14" t="str">
        <x:v>No qualifying BBC relationship</x:v>
      </x:c>
      <x:c r="AO42" s="14" t="str">
        <x:v>No</x:v>
      </x:c>
      <x:c r="AP42" s="14" t="str">
        <x:v>Out of scope</x:v>
      </x:c>
      <x:c r="AQ42" s="14" t="str">
        <x:v>No</x:v>
      </x:c>
      <x:c r="AR42" s="14" t="str">
        <x:v>Resolved from master register</x:v>
      </x:c>
      <x:c r="AS42" s="14" t="str">
        <x:v>Exact IMDb performer ID match</x:v>
      </x:c>
      <x:c r="AT42" s="14" t="str">
        <x:v>nm2930154</x:v>
      </x:c>
      <x:c r="AU42" s="14" t="str">
        <x:v>Neurodivergent</x:v>
      </x:c>
      <x:c r="AV42" s="14" t="str">
        <x:v>No</x:v>
      </x:c>
      <x:c r="AW42" s="14"/>
      <x:c r="AX42" s="14" t="str">
        <x:v>Yes</x:v>
      </x:c>
      <x:c r="AY42" s="14" t="str">
        <x:v>Matched</x:v>
      </x:c>
      <x:c r="AZ42" s="14" t="str">
        <x:v>Final supplied register</x:v>
      </x:c>
      <x:c r="BA42" s="14"/>
      <x:c r="BB42" s="14" t="str">
        <x:v>Exact IMDb performer ID match</x:v>
      </x:c>
      <x:c r="BC42" s="14" t="str">
        <x:v>nm2930154</x:v>
      </x:c>
      <x:c r="BD42" s="14" t="str">
        <x:v>Elliot J. Langridge</x:v>
      </x:c>
      <x:c r="BE42" s="14" t="str">
        <x:v>Neurodivergent</x:v>
      </x:c>
      <x:c r="BF42" s="14" t="str">
        <x:v>No</x:v>
      </x:c>
      <x:c r="BG42" s="14"/>
      <x:c r="BH42" s="14" t="str">
        <x:v>Yes</x:v>
      </x:c>
      <x:c r="BI42" s="14" t="str">
        <x:v>User-supplied established classification</x:v>
      </x:c>
      <x:c r="BJ42" s="14" t="str">
        <x:v>11_Neurodivergent..csv</x:v>
      </x:c>
      <x:c r="BK42" s="14"/>
      <x:c r="BL42" s="14" t="str">
        <x:v>Matched</x:v>
      </x:c>
      <x:c r="BM42" s="14" t="str">
        <x:v>Final supplied register</x:v>
      </x:c>
      <x:c r="BN42" s="14"/>
      <x:c r="BO42" s="14"/>
      <x:c r="BP42" s="14" t="str">
        <x:v>Unable to calculate from supplied records.</x:v>
      </x:c>
      <x:c r="BQ42" s="14" t="str">
        <x:v>Unable to determine</x:v>
      </x:c>
      <x:c r="BR42" s="15" t="n">
        <x:v>1</x:v>
      </x:c>
      <x:c r="BS42" s="16"/>
      <x:c r="BT42" s="14" t="str">
        <x:v>Unable to calculate</x:v>
      </x:c>
      <x:c r="BU42" s="14" t="str">
        <x:v>Unable to determine</x:v>
      </x:c>
      <x:c r="BV42" s="14" t="str">
        <x:v>Episode count or production-total proxy unavailable.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tt15309272|nm13672323|boss</x:v>
      </x:c>
      <x:c r="B43" s="14" t="str">
        <x:v>08</x:v>
      </x:c>
      <x:c r="C43" s="14" t="str">
        <x:v>2022_IMDb_Cast_Lists_Batch_08(1).xlsx</x:v>
      </x:c>
      <x:c r="D43" s="14" t="str">
        <x:v>Funny Woman</x:v>
      </x:c>
      <x:c r="E43" s="14" t="n">
        <x:v>57</x:v>
      </x:c>
      <x:c r="F43" s="14" t="str">
        <x:v>Funny Woman</x:v>
      </x:c>
      <x:c r="G43" s="14" t="str">
        <x:v>tt15309272</x:v>
      </x:c>
      <x:c r="H43" s="14" t="n">
        <x:v>2023</x:v>
      </x:c>
      <x:c r="I43" s="14" t="n">
        <x:v>2023</x:v>
      </x:c>
      <x:c r="J43" s="14" t="str">
        <x:v>New Commission Cohort</x:v>
      </x:c>
      <x:c r="K43" s="14" t="n">
        <x:v>2022</x:v>
      </x:c>
      <x:c r="L43" s="14" t="str">
        <x:v>Used in 2023 annual analysis</x:v>
      </x:c>
      <x:c r="M43" s="15" t="n">
        <x:v>50</x:v>
      </x:c>
      <x:c r="N43" s="14" t="str">
        <x:v>Michael Christopher</x:v>
      </x:c>
      <x:c r="O43" s="14" t="str">
        <x:v>nm13672323</x:v>
      </x:c>
      <x:c r="P43" s="14" t="str">
        <x:v>Boss</x:v>
      </x:c>
      <x:c r="Q43" s="15" t="n">
        <x:v>1</x:v>
      </x:c>
      <x:c r="R43" s="14" t="str">
        <x:v>2023</x:v>
      </x:c>
      <x:c r="S43" s="14" t="n">
        <x:v>2023</x:v>
      </x:c>
      <x:c r="T43" s="14" t="n">
        <x:v>2023</x:v>
      </x:c>
      <x:c r="U43" s="14" t="str">
        <x:v>Production assigned to future entry year</x:v>
      </x:c>
      <x:c r="V43" s="14" t="str">
        <x:v>Master register assigns production to 2023, not 2022.</x:v>
      </x:c>
      <x:c r="W43" s="14" t="str">
        <x:v>Annual source/master-register conflict</x:v>
      </x:c>
      <x:c r="X43" s="14" t="str">
        <x:v>Included</x:v>
      </x:c>
      <x:c r="Y43" s="14"/>
      <x:c r="Z43" s="14" t="str">
        <x:v>Funny Woman.docx</x:v>
      </x:c>
      <x:c r="AA4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Sky / NOW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HYPERLINK("https://en.wikipedia.org/wiki/Funny_Woman","Open source")</x:f>
        <x:v>HYPERLINK is not implemented. linkLocation=https://en.wikipedia.org/wiki/Funny_Woman, friendlyName=Open source</x:v>
      </x:c>
      <x:c r="AN43" s="14" t="str">
        <x:v>No qualifying BBC relationship</x:v>
      </x:c>
      <x:c r="AO43" s="14" t="str">
        <x:v>No</x:v>
      </x:c>
      <x:c r="AP43" s="14" t="str">
        <x:v>Out of scope</x:v>
      </x:c>
      <x:c r="AQ43" s="14" t="str">
        <x:v>No</x:v>
      </x:c>
      <x:c r="AR43" s="14" t="str">
        <x:v>Resolved from master register</x:v>
      </x:c>
      <x:c r="AS43" s="14" t="str">
        <x:v>No established-register match</x:v>
      </x:c>
      <x:c r="AT43" s="14"/>
      <x:c r="AU43" s="14"/>
      <x:c r="AV43" s="14" t="str">
        <x:v>No established apparent-disability match</x:v>
      </x:c>
      <x:c r="AW43" s="14"/>
      <x:c r="AX43" s="14" t="str">
        <x:v>No</x:v>
      </x:c>
      <x:c r="AY43" s="14" t="str">
        <x:v>Unmatched</x:v>
      </x:c>
      <x:c r="AZ43" s="14" t="str">
        <x:v>Final supplied register</x:v>
      </x:c>
      <x:c r="BA43" s="14" t="str">
        <x:v>Absence from the register is not evidence that the performer is not disabled.</x:v>
      </x:c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/>
      <x:c r="BP43" s="14" t="str">
        <x:v>Unable to calculate from supplied records.</x:v>
      </x:c>
      <x:c r="BQ43" s="14" t="str">
        <x:v>Unable to determine</x:v>
      </x:c>
      <x:c r="BR43" s="15" t="n">
        <x:v>1</x:v>
      </x:c>
      <x:c r="BS43" s="16"/>
      <x:c r="BT43" s="14" t="str">
        <x:v>Unable to calculate</x:v>
      </x:c>
      <x:c r="BU43" s="14" t="str">
        <x:v>Unable to determine</x:v>
      </x:c>
      <x:c r="BV43" s="14" t="str">
        <x:v>Episode count or production-total proxy unavailable.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tt15309272|nm11538585|security guard</x:v>
      </x:c>
      <x:c r="B44" s="14" t="str">
        <x:v>08</x:v>
      </x:c>
      <x:c r="C44" s="14" t="str">
        <x:v>2022_IMDb_Cast_Lists_Batch_08(1).xlsx</x:v>
      </x:c>
      <x:c r="D44" s="14" t="str">
        <x:v>Funny Woman</x:v>
      </x:c>
      <x:c r="E44" s="14" t="n">
        <x:v>61</x:v>
      </x:c>
      <x:c r="F44" s="14" t="str">
        <x:v>Funny Woman</x:v>
      </x:c>
      <x:c r="G44" s="14" t="str">
        <x:v>tt15309272</x:v>
      </x:c>
      <x:c r="H44" s="14" t="n">
        <x:v>2023</x:v>
      </x:c>
      <x:c r="I44" s="14" t="n">
        <x:v>2023</x:v>
      </x:c>
      <x:c r="J44" s="14" t="str">
        <x:v>New Commission Cohort</x:v>
      </x:c>
      <x:c r="K44" s="14" t="n">
        <x:v>2022</x:v>
      </x:c>
      <x:c r="L44" s="14" t="str">
        <x:v>Used in 2023 annual analysis</x:v>
      </x:c>
      <x:c r="M44" s="15" t="n">
        <x:v>54</x:v>
      </x:c>
      <x:c r="N44" s="14" t="str">
        <x:v>Dalu Thebe</x:v>
      </x:c>
      <x:c r="O44" s="14" t="str">
        <x:v>nm11538585</x:v>
      </x:c>
      <x:c r="P44" s="14" t="str">
        <x:v>Security Guard</x:v>
      </x:c>
      <x:c r="Q44" s="15" t="n">
        <x:v>1</x:v>
      </x:c>
      <x:c r="R44" s="14" t="str">
        <x:v>2022</x:v>
      </x:c>
      <x:c r="S44" s="14" t="n">
        <x:v>2023</x:v>
      </x:c>
      <x:c r="T44" s="14" t="n">
        <x:v>2023</x:v>
      </x:c>
      <x:c r="U44" s="14" t="str">
        <x:v>Production assigned to future entry year</x:v>
      </x:c>
      <x:c r="V44" s="14" t="str">
        <x:v>Master register assigns production to 2023, not 2022.</x:v>
      </x:c>
      <x:c r="W44" s="14" t="str">
        <x:v>Annual source/master-register conflict</x:v>
      </x:c>
      <x:c r="X44" s="14" t="str">
        <x:v>Included</x:v>
      </x:c>
      <x:c r="Y44" s="14"/>
      <x:c r="Z44" s="14" t="str">
        <x:v>Funny Woman.docx</x:v>
      </x:c>
      <x:c r="AA4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Sky / NOW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HYPERLINK("https://en.wikipedia.org/wiki/Funny_Woman","Open source")</x:f>
        <x:v>HYPERLINK is not implemented. linkLocation=https://en.wikipedia.org/wiki/Funny_Woman, friendlyName=Open source</x:v>
      </x:c>
      <x:c r="AN44" s="14" t="str">
        <x:v>No qualifying BBC relationship</x:v>
      </x:c>
      <x:c r="AO44" s="14" t="str">
        <x:v>No</x:v>
      </x:c>
      <x:c r="AP44" s="14" t="str">
        <x:v>Out of scope</x:v>
      </x:c>
      <x:c r="AQ44" s="14" t="str">
        <x:v>No</x:v>
      </x:c>
      <x:c r="AR44" s="14" t="str">
        <x:v>Resolved from master register</x:v>
      </x:c>
      <x:c r="AS44" s="14" t="str">
        <x:v>No established-register match</x:v>
      </x:c>
      <x:c r="AT44" s="14"/>
      <x:c r="AU44" s="14"/>
      <x:c r="AV44" s="14" t="str">
        <x:v>No established apparent-disability match</x:v>
      </x:c>
      <x:c r="AW44" s="14"/>
      <x:c r="AX44" s="14" t="str">
        <x:v>No</x:v>
      </x:c>
      <x:c r="AY44" s="14" t="str">
        <x:v>Unmatched</x:v>
      </x:c>
      <x:c r="AZ44" s="14" t="str">
        <x:v>Final supplied register</x:v>
      </x:c>
      <x:c r="BA44" s="14" t="str">
        <x:v>Absence from the register is not evidence that the performer is not disabled.</x:v>
      </x:c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/>
      <x:c r="BP44" s="14" t="str">
        <x:v>Unable to calculate from supplied records.</x:v>
      </x:c>
      <x:c r="BQ44" s="14" t="str">
        <x:v>Unable to determine</x:v>
      </x:c>
      <x:c r="BR44" s="15" t="n">
        <x:v>1</x:v>
      </x:c>
      <x:c r="BS44" s="16"/>
      <x:c r="BT44" s="14" t="str">
        <x:v>Unable to calculate</x:v>
      </x:c>
      <x:c r="BU44" s="14" t="str">
        <x:v>Unable to determine</x:v>
      </x:c>
      <x:c r="BV44" s="14" t="str">
        <x:v>Episode count or production-total proxy unavailable.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tt15309272|nm0691928|valentine laws</x:v>
      </x:c>
      <x:c r="B45" s="14" t="str">
        <x:v>08</x:v>
      </x:c>
      <x:c r="C45" s="14" t="str">
        <x:v>2022_IMDb_Cast_Lists_Batch_08(1).xlsx</x:v>
      </x:c>
      <x:c r="D45" s="14" t="str">
        <x:v>Funny Woman</x:v>
      </x:c>
      <x:c r="E45" s="14" t="n">
        <x:v>62</x:v>
      </x:c>
      <x:c r="F45" s="14" t="str">
        <x:v>Funny Woman</x:v>
      </x:c>
      <x:c r="G45" s="14" t="str">
        <x:v>tt15309272</x:v>
      </x:c>
      <x:c r="H45" s="14" t="n">
        <x:v>2023</x:v>
      </x:c>
      <x:c r="I45" s="14" t="n">
        <x:v>2023</x:v>
      </x:c>
      <x:c r="J45" s="14" t="str">
        <x:v>New Commission Cohort</x:v>
      </x:c>
      <x:c r="K45" s="14" t="n">
        <x:v>2022</x:v>
      </x:c>
      <x:c r="L45" s="14" t="str">
        <x:v>Used in 2023 annual analysis</x:v>
      </x:c>
      <x:c r="M45" s="15" t="n">
        <x:v>55</x:v>
      </x:c>
      <x:c r="N45" s="14" t="str">
        <x:v>Robert Portal</x:v>
      </x:c>
      <x:c r="O45" s="14" t="str">
        <x:v>nm0691928</x:v>
      </x:c>
      <x:c r="P45" s="14" t="str">
        <x:v>Valentine Laws</x:v>
      </x:c>
      <x:c r="Q45" s="15" t="n">
        <x:v>1</x:v>
      </x:c>
      <x:c r="R45" s="14" t="str">
        <x:v>2023</x:v>
      </x:c>
      <x:c r="S45" s="14" t="n">
        <x:v>2023</x:v>
      </x:c>
      <x:c r="T45" s="14" t="n">
        <x:v>2023</x:v>
      </x:c>
      <x:c r="U45" s="14" t="str">
        <x:v>Production assigned to future entry year</x:v>
      </x:c>
      <x:c r="V45" s="14" t="str">
        <x:v>Master register assigns production to 2023, not 2022.</x:v>
      </x:c>
      <x:c r="W45" s="14" t="str">
        <x:v>Annual source/master-register conflict</x:v>
      </x:c>
      <x:c r="X45" s="14" t="str">
        <x:v>Included</x:v>
      </x:c>
      <x:c r="Y45" s="14"/>
      <x:c r="Z45" s="14" t="str">
        <x:v>Funny Woman.docx</x:v>
      </x:c>
      <x:c r="AA4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Sky / NOW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HYPERLINK("https://en.wikipedia.org/wiki/Funny_Woman","Open source")</x:f>
        <x:v>HYPERLINK is not implemented. linkLocation=https://en.wikipedia.org/wiki/Funny_Woman, friendlyName=Open source</x:v>
      </x:c>
      <x:c r="AN45" s="14" t="str">
        <x:v>No qualifying BBC relationship</x:v>
      </x:c>
      <x:c r="AO45" s="14" t="str">
        <x:v>No</x:v>
      </x:c>
      <x:c r="AP45" s="14" t="str">
        <x:v>Out of scope</x:v>
      </x:c>
      <x:c r="AQ45" s="14" t="str">
        <x:v>No</x:v>
      </x:c>
      <x:c r="AR45" s="14" t="str">
        <x:v>Resolved from master register</x:v>
      </x:c>
      <x:c r="AS45" s="14" t="str">
        <x:v>No established-register match</x:v>
      </x:c>
      <x:c r="AT45" s="14"/>
      <x:c r="AU45" s="14"/>
      <x:c r="AV45" s="14" t="str">
        <x:v>No established apparent-disability match</x:v>
      </x:c>
      <x:c r="AW45" s="14"/>
      <x:c r="AX45" s="14" t="str">
        <x:v>No</x:v>
      </x:c>
      <x:c r="AY45" s="14" t="str">
        <x:v>Unmatched</x:v>
      </x:c>
      <x:c r="AZ45" s="14" t="str">
        <x:v>Final supplied register</x:v>
      </x:c>
      <x:c r="BA45" s="14" t="str">
        <x:v>Absence from the register is not evidence that the performer is not disabled.</x:v>
      </x:c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/>
      <x:c r="BP45" s="14" t="str">
        <x:v>Unable to calculate from supplied records.</x:v>
      </x:c>
      <x:c r="BQ45" s="14" t="str">
        <x:v>Unable to determine</x:v>
      </x:c>
      <x:c r="BR45" s="15" t="n">
        <x:v>1</x:v>
      </x:c>
      <x:c r="BS45" s="16"/>
      <x:c r="BT45" s="14" t="str">
        <x:v>Unable to calculate</x:v>
      </x:c>
      <x:c r="BU45" s="14" t="str">
        <x:v>Unable to determine</x:v>
      </x:c>
      <x:c r="BV45" s="14" t="str">
        <x:v>Episode count or production-total proxy unavailable.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tt15309272|nm13672324|mrs. boss</x:v>
      </x:c>
      <x:c r="B46" s="14" t="str">
        <x:v>08</x:v>
      </x:c>
      <x:c r="C46" s="14" t="str">
        <x:v>2022_IMDb_Cast_Lists_Batch_08(1).xlsx</x:v>
      </x:c>
      <x:c r="D46" s="14" t="str">
        <x:v>Funny Woman</x:v>
      </x:c>
      <x:c r="E46" s="14" t="n">
        <x:v>63</x:v>
      </x:c>
      <x:c r="F46" s="14" t="str">
        <x:v>Funny Woman</x:v>
      </x:c>
      <x:c r="G46" s="14" t="str">
        <x:v>tt15309272</x:v>
      </x:c>
      <x:c r="H46" s="14" t="n">
        <x:v>2023</x:v>
      </x:c>
      <x:c r="I46" s="14" t="n">
        <x:v>2023</x:v>
      </x:c>
      <x:c r="J46" s="14" t="str">
        <x:v>New Commission Cohort</x:v>
      </x:c>
      <x:c r="K46" s="14" t="n">
        <x:v>2022</x:v>
      </x:c>
      <x:c r="L46" s="14" t="str">
        <x:v>Used in 2023 annual analysis</x:v>
      </x:c>
      <x:c r="M46" s="15" t="n">
        <x:v>56</x:v>
      </x:c>
      <x:c r="N46" s="14" t="str">
        <x:v>Pamela Rose-Taylor</x:v>
      </x:c>
      <x:c r="O46" s="14" t="str">
        <x:v>nm13672324</x:v>
      </x:c>
      <x:c r="P46" s="14" t="str">
        <x:v>Mrs. Boss</x:v>
      </x:c>
      <x:c r="Q46" s="15" t="n">
        <x:v>1</x:v>
      </x:c>
      <x:c r="R46" s="14" t="str">
        <x:v>2023</x:v>
      </x:c>
      <x:c r="S46" s="14" t="n">
        <x:v>2023</x:v>
      </x:c>
      <x:c r="T46" s="14" t="n">
        <x:v>2023</x:v>
      </x:c>
      <x:c r="U46" s="14" t="str">
        <x:v>Production assigned to future entry year</x:v>
      </x:c>
      <x:c r="V46" s="14" t="str">
        <x:v>Master register assigns production to 2023, not 2022.</x:v>
      </x:c>
      <x:c r="W46" s="14" t="str">
        <x:v>Annual source/master-register conflict</x:v>
      </x:c>
      <x:c r="X46" s="14" t="str">
        <x:v>Included</x:v>
      </x:c>
      <x:c r="Y46" s="14" t="str">
        <x:v>(as Pamela Rose Taylor)</x:v>
      </x:c>
      <x:c r="Z46" s="14" t="str">
        <x:v>Funny Woman.docx</x:v>
      </x:c>
      <x:c r="AA4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Sky / NOW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HYPERLINK("https://en.wikipedia.org/wiki/Funny_Woman","Open source")</x:f>
        <x:v>HYPERLINK is not implemented. linkLocation=https://en.wikipedia.org/wiki/Funny_Woman, friendlyName=Open source</x:v>
      </x:c>
      <x:c r="AN46" s="14" t="str">
        <x:v>No qualifying BBC relationship</x:v>
      </x:c>
      <x:c r="AO46" s="14" t="str">
        <x:v>No</x:v>
      </x:c>
      <x:c r="AP46" s="14" t="str">
        <x:v>Out of scope</x:v>
      </x:c>
      <x:c r="AQ46" s="14" t="str">
        <x:v>No</x:v>
      </x:c>
      <x:c r="AR46" s="14" t="str">
        <x:v>Resolved from master register</x:v>
      </x:c>
      <x:c r="AS46" s="14" t="str">
        <x:v>No established-register match</x:v>
      </x:c>
      <x:c r="AT46" s="14"/>
      <x:c r="AU46" s="14"/>
      <x:c r="AV46" s="14" t="str">
        <x:v>No established apparent-disability match</x:v>
      </x:c>
      <x:c r="AW46" s="14"/>
      <x:c r="AX46" s="14" t="str">
        <x:v>No</x:v>
      </x:c>
      <x:c r="AY46" s="14" t="str">
        <x:v>Unmatched</x:v>
      </x:c>
      <x:c r="AZ46" s="14" t="str">
        <x:v>Final supplied register</x:v>
      </x:c>
      <x:c r="BA46" s="14" t="str">
        <x:v>Absence from the register is not evidence that the performer is not disabled.</x:v>
      </x:c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/>
      <x:c r="BP46" s="14" t="str">
        <x:v>Unable to calculate from supplied records.</x:v>
      </x:c>
      <x:c r="BQ46" s="14" t="str">
        <x:v>Unable to determine</x:v>
      </x:c>
      <x:c r="BR46" s="15" t="n">
        <x:v>1</x:v>
      </x:c>
      <x:c r="BS46" s="16"/>
      <x:c r="BT46" s="14" t="str">
        <x:v>Unable to calculate</x:v>
      </x:c>
      <x:c r="BU46" s="14" t="str">
        <x:v>Unable to determine</x:v>
      </x:c>
      <x:c r="BV46" s="14" t="str">
        <x:v>Episode count or production-total proxy unavailable.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tt15309272|nm6207630|security guard 2</x:v>
      </x:c>
      <x:c r="B47" s="14" t="str">
        <x:v>08</x:v>
      </x:c>
      <x:c r="C47" s="14" t="str">
        <x:v>2022_IMDb_Cast_Lists_Batch_08(1).xlsx</x:v>
      </x:c>
      <x:c r="D47" s="14" t="str">
        <x:v>Funny Woman</x:v>
      </x:c>
      <x:c r="E47" s="14" t="n">
        <x:v>67</x:v>
      </x:c>
      <x:c r="F47" s="14" t="str">
        <x:v>Funny Woman</x:v>
      </x:c>
      <x:c r="G47" s="14" t="str">
        <x:v>tt15309272</x:v>
      </x:c>
      <x:c r="H47" s="14" t="n">
        <x:v>2023</x:v>
      </x:c>
      <x:c r="I47" s="14" t="n">
        <x:v>2023</x:v>
      </x:c>
      <x:c r="J47" s="14" t="str">
        <x:v>New Commission Cohort</x:v>
      </x:c>
      <x:c r="K47" s="14" t="n">
        <x:v>2022</x:v>
      </x:c>
      <x:c r="L47" s="14" t="str">
        <x:v>Used in 2023 annual analysis</x:v>
      </x:c>
      <x:c r="M47" s="15" t="n">
        <x:v>60</x:v>
      </x:c>
      <x:c r="N47" s="14" t="str">
        <x:v>John Tueart</x:v>
      </x:c>
      <x:c r="O47" s="14" t="str">
        <x:v>nm6207630</x:v>
      </x:c>
      <x:c r="P47" s="14" t="str">
        <x:v>Security Guard 2</x:v>
      </x:c>
      <x:c r="Q47" s="15" t="n">
        <x:v>1</x:v>
      </x:c>
      <x:c r="R47" s="14" t="str">
        <x:v>2022</x:v>
      </x:c>
      <x:c r="S47" s="14" t="n">
        <x:v>2023</x:v>
      </x:c>
      <x:c r="T47" s="14" t="n">
        <x:v>2023</x:v>
      </x:c>
      <x:c r="U47" s="14" t="str">
        <x:v>Production assigned to future entry year</x:v>
      </x:c>
      <x:c r="V47" s="14" t="str">
        <x:v>Master register assigns production to 2023, not 2022.</x:v>
      </x:c>
      <x:c r="W47" s="14" t="str">
        <x:v>Annual source/master-register conflict</x:v>
      </x:c>
      <x:c r="X47" s="14" t="str">
        <x:v>Included</x:v>
      </x:c>
      <x:c r="Y47" s="14"/>
      <x:c r="Z47" s="14" t="str">
        <x:v>Funny Woman.docx</x:v>
      </x:c>
      <x:c r="AA4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Sky / NOW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HYPERLINK("https://en.wikipedia.org/wiki/Funny_Woman","Open source")</x:f>
        <x:v>HYPERLINK is not implemented. linkLocation=https://en.wikipedia.org/wiki/Funny_Woman, friendlyName=Open source</x:v>
      </x:c>
      <x:c r="AN47" s="14" t="str">
        <x:v>No qualifying BBC relationship</x:v>
      </x:c>
      <x:c r="AO47" s="14" t="str">
        <x:v>No</x:v>
      </x:c>
      <x:c r="AP47" s="14" t="str">
        <x:v>Out of scope</x:v>
      </x:c>
      <x:c r="AQ47" s="14" t="str">
        <x:v>No</x:v>
      </x:c>
      <x:c r="AR47" s="14" t="str">
        <x:v>Resolved from master register</x:v>
      </x:c>
      <x:c r="AS47" s="14" t="str">
        <x:v>No established-register match</x:v>
      </x:c>
      <x:c r="AT47" s="14"/>
      <x:c r="AU47" s="14"/>
      <x:c r="AV47" s="14" t="str">
        <x:v>No established apparent-disability match</x:v>
      </x:c>
      <x:c r="AW47" s="14"/>
      <x:c r="AX47" s="14" t="str">
        <x:v>No</x:v>
      </x:c>
      <x:c r="AY47" s="14" t="str">
        <x:v>Unmatched</x:v>
      </x:c>
      <x:c r="AZ47" s="14" t="str">
        <x:v>Final supplied register</x:v>
      </x:c>
      <x:c r="BA47" s="14" t="str">
        <x:v>Absence from the register is not evidence that the performer is not disabled.</x:v>
      </x:c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/>
      <x:c r="BP47" s="14" t="str">
        <x:v>Unable to calculate from supplied records.</x:v>
      </x:c>
      <x:c r="BQ47" s="14" t="str">
        <x:v>Unable to determine</x:v>
      </x:c>
      <x:c r="BR47" s="15" t="n">
        <x:v>1</x:v>
      </x:c>
      <x:c r="BS47" s="16"/>
      <x:c r="BT47" s="14" t="str">
        <x:v>Unable to calculate</x:v>
      </x:c>
      <x:c r="BU47" s="14" t="str">
        <x:v>Unable to determine</x:v>
      </x:c>
      <x:c r="BV47" s="14" t="str">
        <x:v>Episode count or production-total proxy unavailable.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tt15309272|nm1836638|frankie howerd</x:v>
      </x:c>
      <x:c r="B48" s="14" t="str">
        <x:v>08</x:v>
      </x:c>
      <x:c r="C48" s="14" t="str">
        <x:v>2022_IMDb_Cast_Lists_Batch_08(1).xlsx</x:v>
      </x:c>
      <x:c r="D48" s="14" t="str">
        <x:v>Funny Woman</x:v>
      </x:c>
      <x:c r="E48" s="14" t="n">
        <x:v>68</x:v>
      </x:c>
      <x:c r="F48" s="14" t="str">
        <x:v>Funny Woman</x:v>
      </x:c>
      <x:c r="G48" s="14" t="str">
        <x:v>tt15309272</x:v>
      </x:c>
      <x:c r="H48" s="14" t="n">
        <x:v>2023</x:v>
      </x:c>
      <x:c r="I48" s="14" t="n">
        <x:v>2023</x:v>
      </x:c>
      <x:c r="J48" s="14" t="str">
        <x:v>New Commission Cohort</x:v>
      </x:c>
      <x:c r="K48" s="14" t="n">
        <x:v>2022</x:v>
      </x:c>
      <x:c r="L48" s="14" t="str">
        <x:v>Used in 2023 annual analysis</x:v>
      </x:c>
      <x:c r="M48" s="15" t="n">
        <x:v>61</x:v>
      </x:c>
      <x:c r="N48" s="14" t="str">
        <x:v>Robert Forknall</x:v>
      </x:c>
      <x:c r="O48" s="14" t="str">
        <x:v>nm1836638</x:v>
      </x:c>
      <x:c r="P48" s="14" t="str">
        <x:v>Frankie Howerd</x:v>
      </x:c>
      <x:c r="Q48" s="15" t="n">
        <x:v>1</x:v>
      </x:c>
      <x:c r="R48" s="14" t="str">
        <x:v>2022</x:v>
      </x:c>
      <x:c r="S48" s="14" t="n">
        <x:v>2023</x:v>
      </x:c>
      <x:c r="T48" s="14" t="n">
        <x:v>2023</x:v>
      </x:c>
      <x:c r="U48" s="14" t="str">
        <x:v>Production assigned to future entry year</x:v>
      </x:c>
      <x:c r="V48" s="14" t="str">
        <x:v>Master register assigns production to 2023, not 2022.</x:v>
      </x:c>
      <x:c r="W48" s="14" t="str">
        <x:v>Annual source/master-register conflict</x:v>
      </x:c>
      <x:c r="X48" s="14" t="str">
        <x:v>Included</x:v>
      </x:c>
      <x:c r="Y48" s="14"/>
      <x:c r="Z48" s="14" t="str">
        <x:v>Funny Woman.docx</x:v>
      </x:c>
      <x:c r="AA4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Sky / NOW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HYPERLINK("https://en.wikipedia.org/wiki/Funny_Woman","Open source")</x:f>
        <x:v>HYPERLINK is not implemented. linkLocation=https://en.wikipedia.org/wiki/Funny_Woman, friendlyName=Open source</x:v>
      </x:c>
      <x:c r="AN48" s="14" t="str">
        <x:v>No qualifying BBC relationship</x:v>
      </x:c>
      <x:c r="AO48" s="14" t="str">
        <x:v>No</x:v>
      </x:c>
      <x:c r="AP48" s="14" t="str">
        <x:v>Out of scope</x:v>
      </x:c>
      <x:c r="AQ48" s="14" t="str">
        <x:v>No</x:v>
      </x:c>
      <x:c r="AR48" s="14" t="str">
        <x:v>Resolved from master register</x:v>
      </x:c>
      <x:c r="AS48" s="14" t="str">
        <x:v>No established-register match</x:v>
      </x:c>
      <x:c r="AT48" s="14"/>
      <x:c r="AU48" s="14"/>
      <x:c r="AV48" s="14" t="str">
        <x:v>No established apparent-disability match</x:v>
      </x:c>
      <x:c r="AW48" s="14"/>
      <x:c r="AX48" s="14" t="str">
        <x:v>No</x:v>
      </x:c>
      <x:c r="AY48" s="14" t="str">
        <x:v>Unmatched</x:v>
      </x:c>
      <x:c r="AZ48" s="14" t="str">
        <x:v>Final supplied register</x:v>
      </x:c>
      <x:c r="BA48" s="14" t="str">
        <x:v>Absence from the register is not evidence that the performer is not disabled.</x:v>
      </x:c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/>
      <x:c r="BP48" s="14" t="str">
        <x:v>Unable to calculate from supplied records.</x:v>
      </x:c>
      <x:c r="BQ48" s="14" t="str">
        <x:v>Unable to determine</x:v>
      </x:c>
      <x:c r="BR48" s="15" t="n">
        <x:v>1</x:v>
      </x:c>
      <x:c r="BS48" s="16"/>
      <x:c r="BT48" s="14" t="str">
        <x:v>Unable to calculate</x:v>
      </x:c>
      <x:c r="BU48" s="14" t="str">
        <x:v>Unable to determine</x:v>
      </x:c>
      <x:c r="BV48" s="14" t="str">
        <x:v>Episode count or production-total proxy unavailable.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tt15309272|nm13672092|sidney</x:v>
      </x:c>
      <x:c r="B49" s="14" t="str">
        <x:v>08</x:v>
      </x:c>
      <x:c r="C49" s="14" t="str">
        <x:v>2022_IMDb_Cast_Lists_Batch_08(1).xlsx</x:v>
      </x:c>
      <x:c r="D49" s="14" t="str">
        <x:v>Funny Woman</x:v>
      </x:c>
      <x:c r="E49" s="14" t="n">
        <x:v>69</x:v>
      </x:c>
      <x:c r="F49" s="14" t="str">
        <x:v>Funny Woman</x:v>
      </x:c>
      <x:c r="G49" s="14" t="str">
        <x:v>tt15309272</x:v>
      </x:c>
      <x:c r="H49" s="14" t="n">
        <x:v>2023</x:v>
      </x:c>
      <x:c r="I49" s="14" t="n">
        <x:v>2023</x:v>
      </x:c>
      <x:c r="J49" s="14" t="str">
        <x:v>New Commission Cohort</x:v>
      </x:c>
      <x:c r="K49" s="14" t="n">
        <x:v>2022</x:v>
      </x:c>
      <x:c r="L49" s="14" t="str">
        <x:v>Used in 2023 annual analysis</x:v>
      </x:c>
      <x:c r="M49" s="15" t="n">
        <x:v>62</x:v>
      </x:c>
      <x:c r="N49" s="14" t="str">
        <x:v>William Hayes</x:v>
      </x:c>
      <x:c r="O49" s="14" t="str">
        <x:v>nm13672092</x:v>
      </x:c>
      <x:c r="P49" s="14" t="str">
        <x:v>Sidney</x:v>
      </x:c>
      <x:c r="Q49" s="15" t="n">
        <x:v>1</x:v>
      </x:c>
      <x:c r="R49" s="14" t="str">
        <x:v>2023</x:v>
      </x:c>
      <x:c r="S49" s="14" t="n">
        <x:v>2023</x:v>
      </x:c>
      <x:c r="T49" s="14" t="n">
        <x:v>2023</x:v>
      </x:c>
      <x:c r="U49" s="14" t="str">
        <x:v>Production assigned to future entry year</x:v>
      </x:c>
      <x:c r="V49" s="14" t="str">
        <x:v>Master register assigns production to 2023, not 2022.</x:v>
      </x:c>
      <x:c r="W49" s="14" t="str">
        <x:v>Annual source/master-register conflict</x:v>
      </x:c>
      <x:c r="X49" s="14" t="str">
        <x:v>Included</x:v>
      </x:c>
      <x:c r="Y49" s="14"/>
      <x:c r="Z49" s="14" t="str">
        <x:v>Funny Woman.docx</x:v>
      </x:c>
      <x:c r="AA4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Sky / NOW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HYPERLINK("https://en.wikipedia.org/wiki/Funny_Woman","Open source")</x:f>
        <x:v>HYPERLINK is not implemented. linkLocation=https://en.wikipedia.org/wiki/Funny_Woman, friendlyName=Open source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 t="str">
        <x:v>No established-register match</x:v>
      </x:c>
      <x:c r="AT49" s="14"/>
      <x:c r="AU49" s="14"/>
      <x:c r="AV49" s="14" t="str">
        <x:v>No established apparent-disability match</x:v>
      </x:c>
      <x:c r="AW49" s="14"/>
      <x:c r="AX49" s="14" t="str">
        <x:v>No</x:v>
      </x:c>
      <x:c r="AY49" s="14" t="str">
        <x:v>Unmatched</x:v>
      </x:c>
      <x:c r="AZ49" s="14" t="str">
        <x:v>Final supplied register</x:v>
      </x:c>
      <x:c r="BA49" s="14" t="str">
        <x:v>Absence from the register is not evidence that the performer is not disabled.</x:v>
      </x:c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/>
      <x:c r="BP49" s="14" t="str">
        <x:v>Unable to calculate from supplied records.</x:v>
      </x:c>
      <x:c r="BQ49" s="14" t="str">
        <x:v>Unable to determine</x:v>
      </x:c>
      <x:c r="BR49" s="15" t="n">
        <x:v>1</x:v>
      </x:c>
      <x:c r="BS49" s="16"/>
      <x:c r="BT49" s="14" t="str">
        <x:v>Unable to calculate</x:v>
      </x:c>
      <x:c r="BU49" s="14" t="str">
        <x:v>Unable to determine</x:v>
      </x:c>
      <x:c r="BV49" s="14" t="str">
        <x:v>Episode count or production-total proxy unavailable.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tt15309272|nm6179065|eleanor bron</x:v>
      </x:c>
      <x:c r="B50" s="14" t="str">
        <x:v>08</x:v>
      </x:c>
      <x:c r="C50" s="14" t="str">
        <x:v>2022_IMDb_Cast_Lists_Batch_08(1).xlsx</x:v>
      </x:c>
      <x:c r="D50" s="14" t="str">
        <x:v>Funny Woman</x:v>
      </x:c>
      <x:c r="E50" s="14" t="n">
        <x:v>70</x:v>
      </x:c>
      <x:c r="F50" s="14" t="str">
        <x:v>Funny Woman</x:v>
      </x:c>
      <x:c r="G50" s="14" t="str">
        <x:v>tt15309272</x:v>
      </x:c>
      <x:c r="H50" s="14" t="n">
        <x:v>2023</x:v>
      </x:c>
      <x:c r="I50" s="14" t="n">
        <x:v>2023</x:v>
      </x:c>
      <x:c r="J50" s="14" t="str">
        <x:v>New Commission Cohort</x:v>
      </x:c>
      <x:c r="K50" s="14" t="n">
        <x:v>2022</x:v>
      </x:c>
      <x:c r="L50" s="14" t="str">
        <x:v>Used in 2023 annual analysis</x:v>
      </x:c>
      <x:c r="M50" s="15" t="n">
        <x:v>63</x:v>
      </x:c>
      <x:c r="N50" s="14" t="str">
        <x:v>Emma Humpston</x:v>
      </x:c>
      <x:c r="O50" s="14" t="str">
        <x:v>nm6179065</x:v>
      </x:c>
      <x:c r="P50" s="14" t="str">
        <x:v>Eleanor Bron</x:v>
      </x:c>
      <x:c r="Q50" s="15" t="n">
        <x:v>1</x:v>
      </x:c>
      <x:c r="R50" s="14" t="str">
        <x:v>2022</x:v>
      </x:c>
      <x:c r="S50" s="14" t="n">
        <x:v>2023</x:v>
      </x:c>
      <x:c r="T50" s="14" t="n">
        <x:v>2023</x:v>
      </x:c>
      <x:c r="U50" s="14" t="str">
        <x:v>Production assigned to future entry year</x:v>
      </x:c>
      <x:c r="V50" s="14" t="str">
        <x:v>Master register assigns production to 2023, not 2022.</x:v>
      </x:c>
      <x:c r="W50" s="14" t="str">
        <x:v>Annual source/master-register conflict</x:v>
      </x:c>
      <x:c r="X50" s="14" t="str">
        <x:v>Included</x:v>
      </x:c>
      <x:c r="Y50" s="14"/>
      <x:c r="Z50" s="14" t="str">
        <x:v>Funny Woman.docx</x:v>
      </x:c>
      <x:c r="AA5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Sky / NOW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HYPERLINK("https://en.wikipedia.org/wiki/Funny_Woman","Open source")</x:f>
        <x:v>HYPERLINK is not implemented. linkLocation=https://en.wikipedia.org/wiki/Funny_Woman, friendlyName=Open source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 t="str">
        <x:v>No established-register match</x:v>
      </x:c>
      <x:c r="AT50" s="14"/>
      <x:c r="AU50" s="14"/>
      <x:c r="AV50" s="14" t="str">
        <x:v>No established apparent-disability match</x:v>
      </x:c>
      <x:c r="AW50" s="14"/>
      <x:c r="AX50" s="14" t="str">
        <x:v>No</x:v>
      </x:c>
      <x:c r="AY50" s="14" t="str">
        <x:v>Unmatched</x:v>
      </x:c>
      <x:c r="AZ50" s="14" t="str">
        <x:v>Final supplied register</x:v>
      </x:c>
      <x:c r="BA50" s="14" t="str">
        <x:v>Absence from the register is not evidence that the performer is not disabled.</x:v>
      </x:c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/>
      <x:c r="BP50" s="14" t="str">
        <x:v>Unable to calculate from supplied records.</x:v>
      </x:c>
      <x:c r="BQ50" s="14" t="str">
        <x:v>Unable to determine</x:v>
      </x:c>
      <x:c r="BR50" s="15" t="n">
        <x:v>1</x:v>
      </x:c>
      <x:c r="BS50" s="16"/>
      <x:c r="BT50" s="14" t="str">
        <x:v>Unable to calculate</x:v>
      </x:c>
      <x:c r="BU50" s="14" t="str">
        <x:v>Unable to determine</x:v>
      </x:c>
      <x:c r="BV50" s="14" t="str">
        <x:v>Episode count or production-total proxy unavailable.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tt15309272|nm0397452|audrey</x:v>
      </x:c>
      <x:c r="B51" s="14" t="str">
        <x:v>08</x:v>
      </x:c>
      <x:c r="C51" s="14" t="str">
        <x:v>2022_IMDb_Cast_Lists_Batch_08(1).xlsx</x:v>
      </x:c>
      <x:c r="D51" s="14" t="str">
        <x:v>Funny Woman</x:v>
      </x:c>
      <x:c r="E51" s="14" t="n">
        <x:v>71</x:v>
      </x:c>
      <x:c r="F51" s="14" t="str">
        <x:v>Funny Woman</x:v>
      </x:c>
      <x:c r="G51" s="14" t="str">
        <x:v>tt15309272</x:v>
      </x:c>
      <x:c r="H51" s="14" t="n">
        <x:v>2023</x:v>
      </x:c>
      <x:c r="I51" s="14" t="n">
        <x:v>2023</x:v>
      </x:c>
      <x:c r="J51" s="14" t="str">
        <x:v>New Commission Cohort</x:v>
      </x:c>
      <x:c r="K51" s="14" t="n">
        <x:v>2022</x:v>
      </x:c>
      <x:c r="L51" s="14" t="str">
        <x:v>Used in 2023 annual analysis</x:v>
      </x:c>
      <x:c r="M51" s="15" t="n">
        <x:v>64</x:v>
      </x:c>
      <x:c r="N51" s="14" t="str">
        <x:v>Laura Howard</x:v>
      </x:c>
      <x:c r="O51" s="14" t="str">
        <x:v>nm0397452</x:v>
      </x:c>
      <x:c r="P51" s="14" t="str">
        <x:v>Audrey</x:v>
      </x:c>
      <x:c r="Q51" s="15" t="n">
        <x:v>1</x:v>
      </x:c>
      <x:c r="R51" s="14" t="str">
        <x:v>2023</x:v>
      </x:c>
      <x:c r="S51" s="14" t="n">
        <x:v>2023</x:v>
      </x:c>
      <x:c r="T51" s="14" t="n">
        <x:v>2023</x:v>
      </x:c>
      <x:c r="U51" s="14" t="str">
        <x:v>Production assigned to future entry year</x:v>
      </x:c>
      <x:c r="V51" s="14" t="str">
        <x:v>Master register assigns production to 2023, not 2022.</x:v>
      </x:c>
      <x:c r="W51" s="14" t="str">
        <x:v>Annual source/master-register conflict</x:v>
      </x:c>
      <x:c r="X51" s="14" t="str">
        <x:v>Included</x:v>
      </x:c>
      <x:c r="Y51" s="14"/>
      <x:c r="Z51" s="14" t="str">
        <x:v>Funny Woman.docx</x:v>
      </x:c>
      <x:c r="AA5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Sky / NOW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HYPERLINK("https://en.wikipedia.org/wiki/Funny_Woman","Open source")</x:f>
        <x:v>HYPERLINK is not implemented. linkLocation=https://en.wikipedia.org/wiki/Funny_Woman, friendlyName=Open source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 t="str">
        <x:v>No established-register match</x:v>
      </x:c>
      <x:c r="AT51" s="14"/>
      <x:c r="AU51" s="14"/>
      <x:c r="AV51" s="14" t="str">
        <x:v>No established apparent-disability match</x:v>
      </x:c>
      <x:c r="AW51" s="14"/>
      <x:c r="AX51" s="14" t="str">
        <x:v>No</x:v>
      </x:c>
      <x:c r="AY51" s="14" t="str">
        <x:v>Unmatched</x:v>
      </x:c>
      <x:c r="AZ51" s="14" t="str">
        <x:v>Final supplied register</x:v>
      </x:c>
      <x:c r="BA51" s="14" t="str">
        <x:v>Absence from the register is not evidence that the performer is not disabled.</x:v>
      </x:c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/>
      <x:c r="BP51" s="14" t="str">
        <x:v>Unable to calculate from supplied records.</x:v>
      </x:c>
      <x:c r="BQ51" s="14" t="str">
        <x:v>Unable to determine</x:v>
      </x:c>
      <x:c r="BR51" s="15" t="n">
        <x:v>1</x:v>
      </x:c>
      <x:c r="BS51" s="16"/>
      <x:c r="BT51" s="14" t="str">
        <x:v>Unable to calculate</x:v>
      </x:c>
      <x:c r="BU51" s="14" t="str">
        <x:v>Unable to determine</x:v>
      </x:c>
      <x:c r="BV51" s="14" t="str">
        <x:v>Episode count or production-total proxy unavailable.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tt15309272|nm11173806|john fortune</x:v>
      </x:c>
      <x:c r="B52" s="14" t="str">
        <x:v>08</x:v>
      </x:c>
      <x:c r="C52" s="14" t="str">
        <x:v>2022_IMDb_Cast_Lists_Batch_08(1).xlsx</x:v>
      </x:c>
      <x:c r="D52" s="14" t="str">
        <x:v>Funny Woman</x:v>
      </x:c>
      <x:c r="E52" s="14" t="n">
        <x:v>72</x:v>
      </x:c>
      <x:c r="F52" s="14" t="str">
        <x:v>Funny Woman</x:v>
      </x:c>
      <x:c r="G52" s="14" t="str">
        <x:v>tt15309272</x:v>
      </x:c>
      <x:c r="H52" s="14" t="n">
        <x:v>2023</x:v>
      </x:c>
      <x:c r="I52" s="14" t="n">
        <x:v>2023</x:v>
      </x:c>
      <x:c r="J52" s="14" t="str">
        <x:v>New Commission Cohort</x:v>
      </x:c>
      <x:c r="K52" s="14" t="n">
        <x:v>2022</x:v>
      </x:c>
      <x:c r="L52" s="14" t="str">
        <x:v>Used in 2023 annual analysis</x:v>
      </x:c>
      <x:c r="M52" s="15" t="n">
        <x:v>65</x:v>
      </x:c>
      <x:c r="N52" s="14" t="str">
        <x:v>Nathan Chatelier</x:v>
      </x:c>
      <x:c r="O52" s="14" t="str">
        <x:v>nm11173806</x:v>
      </x:c>
      <x:c r="P52" s="14" t="str">
        <x:v>John Fortune</x:v>
      </x:c>
      <x:c r="Q52" s="15" t="n">
        <x:v>1</x:v>
      </x:c>
      <x:c r="R52" s="14" t="str">
        <x:v>2022</x:v>
      </x:c>
      <x:c r="S52" s="14" t="n">
        <x:v>2023</x:v>
      </x:c>
      <x:c r="T52" s="14" t="n">
        <x:v>2023</x:v>
      </x:c>
      <x:c r="U52" s="14" t="str">
        <x:v>Production assigned to future entry year</x:v>
      </x:c>
      <x:c r="V52" s="14" t="str">
        <x:v>Master register assigns production to 2023, not 2022.</x:v>
      </x:c>
      <x:c r="W52" s="14" t="str">
        <x:v>Annual source/master-register conflict</x:v>
      </x:c>
      <x:c r="X52" s="14" t="str">
        <x:v>Included</x:v>
      </x:c>
      <x:c r="Y52" s="14" t="str">
        <x:v>(as Nathan Chateller)</x:v>
      </x:c>
      <x:c r="Z52" s="14" t="str">
        <x:v>Funny Woman.docx</x:v>
      </x:c>
      <x:c r="AA5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Sky / NOW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HYPERLINK("https://en.wikipedia.org/wiki/Funny_Woman","Open source")</x:f>
        <x:v>HYPERLINK is not implemented. linkLocation=https://en.wikipedia.org/wiki/Funny_Woman, friendlyName=Open source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 t="str">
        <x:v>No established-register match</x:v>
      </x:c>
      <x:c r="AT52" s="14"/>
      <x:c r="AU52" s="14"/>
      <x:c r="AV52" s="14" t="str">
        <x:v>No established apparent-disability match</x:v>
      </x:c>
      <x:c r="AW52" s="14"/>
      <x:c r="AX52" s="14" t="str">
        <x:v>No</x:v>
      </x:c>
      <x:c r="AY52" s="14" t="str">
        <x:v>Unmatched</x:v>
      </x:c>
      <x:c r="AZ52" s="14" t="str">
        <x:v>Final supplied register</x:v>
      </x:c>
      <x:c r="BA52" s="14" t="str">
        <x:v>Absence from the register is not evidence that the performer is not disabled.</x:v>
      </x:c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/>
      <x:c r="BP52" s="14" t="str">
        <x:v>Unable to calculate from supplied records.</x:v>
      </x:c>
      <x:c r="BQ52" s="14" t="str">
        <x:v>Unable to determine</x:v>
      </x:c>
      <x:c r="BR52" s="15" t="n">
        <x:v>1</x:v>
      </x:c>
      <x:c r="BS52" s="16"/>
      <x:c r="BT52" s="14" t="str">
        <x:v>Unable to calculate</x:v>
      </x:c>
      <x:c r="BU52" s="14" t="str">
        <x:v>Unable to determine</x:v>
      </x:c>
      <x:c r="BV52" s="14" t="str">
        <x:v>Episode count or production-total proxy unavailable.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tt15309272|nm6414867|sheila</x:v>
      </x:c>
      <x:c r="B53" s="14" t="str">
        <x:v>08</x:v>
      </x:c>
      <x:c r="C53" s="14" t="str">
        <x:v>2022_IMDb_Cast_Lists_Batch_08(1).xlsx</x:v>
      </x:c>
      <x:c r="D53" s="14" t="str">
        <x:v>Funny Woman</x:v>
      </x:c>
      <x:c r="E53" s="14" t="n">
        <x:v>73</x:v>
      </x:c>
      <x:c r="F53" s="14" t="str">
        <x:v>Funny Woman</x:v>
      </x:c>
      <x:c r="G53" s="14" t="str">
        <x:v>tt15309272</x:v>
      </x:c>
      <x:c r="H53" s="14" t="n">
        <x:v>2023</x:v>
      </x:c>
      <x:c r="I53" s="14" t="n">
        <x:v>2023</x:v>
      </x:c>
      <x:c r="J53" s="14" t="str">
        <x:v>New Commission Cohort</x:v>
      </x:c>
      <x:c r="K53" s="14" t="n">
        <x:v>2022</x:v>
      </x:c>
      <x:c r="L53" s="14" t="str">
        <x:v>Used in 2023 annual analysis</x:v>
      </x:c>
      <x:c r="M53" s="15" t="n">
        <x:v>66</x:v>
      </x:c>
      <x:c r="N53" s="14" t="str">
        <x:v>Django Chan-Reeves</x:v>
      </x:c>
      <x:c r="O53" s="14" t="str">
        <x:v>nm6414867</x:v>
      </x:c>
      <x:c r="P53" s="14" t="str">
        <x:v>Sheila</x:v>
      </x:c>
      <x:c r="Q53" s="15" t="n">
        <x:v>1</x:v>
      </x:c>
      <x:c r="R53" s="14" t="str">
        <x:v>2023</x:v>
      </x:c>
      <x:c r="S53" s="14" t="n">
        <x:v>2023</x:v>
      </x:c>
      <x:c r="T53" s="14" t="n">
        <x:v>2023</x:v>
      </x:c>
      <x:c r="U53" s="14" t="str">
        <x:v>Production assigned to future entry year</x:v>
      </x:c>
      <x:c r="V53" s="14" t="str">
        <x:v>Master register assigns production to 2023, not 2022.</x:v>
      </x:c>
      <x:c r="W53" s="14" t="str">
        <x:v>Annual source/master-register conflict</x:v>
      </x:c>
      <x:c r="X53" s="14" t="str">
        <x:v>Included</x:v>
      </x:c>
      <x:c r="Y53" s="14"/>
      <x:c r="Z53" s="14" t="str">
        <x:v>Funny Woman.docx</x:v>
      </x:c>
      <x:c r="AA5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Sky / NOW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HYPERLINK("https://en.wikipedia.org/wiki/Funny_Woman","Open source")</x:f>
        <x:v>HYPERLINK is not implemented. linkLocation=https://en.wikipedia.org/wiki/Funny_Woman, friendlyName=Open source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 t="str">
        <x:v>No established-register match</x:v>
      </x:c>
      <x:c r="AT53" s="14"/>
      <x:c r="AU53" s="14"/>
      <x:c r="AV53" s="14" t="str">
        <x:v>No established apparent-disability match</x:v>
      </x:c>
      <x:c r="AW53" s="14"/>
      <x:c r="AX53" s="14" t="str">
        <x:v>No</x:v>
      </x:c>
      <x:c r="AY53" s="14" t="str">
        <x:v>Unmatched</x:v>
      </x:c>
      <x:c r="AZ53" s="14" t="str">
        <x:v>Final supplied register</x:v>
      </x:c>
      <x:c r="BA53" s="14" t="str">
        <x:v>Absence from the register is not evidence that the performer is not disabled.</x:v>
      </x:c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/>
      <x:c r="BP53" s="14" t="str">
        <x:v>Unable to calculate from supplied records.</x:v>
      </x:c>
      <x:c r="BQ53" s="14" t="str">
        <x:v>Unable to determine</x:v>
      </x:c>
      <x:c r="BR53" s="15" t="n">
        <x:v>1</x:v>
      </x:c>
      <x:c r="BS53" s="16"/>
      <x:c r="BT53" s="14" t="str">
        <x:v>Unable to calculate</x:v>
      </x:c>
      <x:c r="BU53" s="14" t="str">
        <x:v>Unable to determine</x:v>
      </x:c>
      <x:c r="BV53" s="14" t="str">
        <x:v>Episode count or production-total proxy unavailable.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tt15309272|nm12061189|sydney best</x:v>
      </x:c>
      <x:c r="B54" s="14" t="str">
        <x:v>08</x:v>
      </x:c>
      <x:c r="C54" s="14" t="str">
        <x:v>2022_IMDb_Cast_Lists_Batch_08(1).xlsx</x:v>
      </x:c>
      <x:c r="D54" s="14" t="str">
        <x:v>Funny Woman</x:v>
      </x:c>
      <x:c r="E54" s="14" t="n">
        <x:v>76</x:v>
      </x:c>
      <x:c r="F54" s="14" t="str">
        <x:v>Funny Woman</x:v>
      </x:c>
      <x:c r="G54" s="14" t="str">
        <x:v>tt15309272</x:v>
      </x:c>
      <x:c r="H54" s="14" t="n">
        <x:v>2023</x:v>
      </x:c>
      <x:c r="I54" s="14" t="n">
        <x:v>2023</x:v>
      </x:c>
      <x:c r="J54" s="14" t="str">
        <x:v>New Commission Cohort</x:v>
      </x:c>
      <x:c r="K54" s="14" t="n">
        <x:v>2022</x:v>
      </x:c>
      <x:c r="L54" s="14" t="str">
        <x:v>Used in 2023 annual analysis</x:v>
      </x:c>
      <x:c r="M54" s="15" t="n">
        <x:v>69</x:v>
      </x:c>
      <x:c r="N54" s="14" t="str">
        <x:v>Christopher Everett</x:v>
      </x:c>
      <x:c r="O54" s="14" t="str">
        <x:v>nm12061189</x:v>
      </x:c>
      <x:c r="P54" s="14" t="str">
        <x:v>Sydney Best</x:v>
      </x:c>
      <x:c r="Q54" s="15" t="n">
        <x:v>1</x:v>
      </x:c>
      <x:c r="R54" s="14" t="str">
        <x:v>2022</x:v>
      </x:c>
      <x:c r="S54" s="14" t="n">
        <x:v>2023</x:v>
      </x:c>
      <x:c r="T54" s="14" t="n">
        <x:v>2023</x:v>
      </x:c>
      <x:c r="U54" s="14" t="str">
        <x:v>Production assigned to future entry year</x:v>
      </x:c>
      <x:c r="V54" s="14" t="str">
        <x:v>Master register assigns production to 2023, not 2022.</x:v>
      </x:c>
      <x:c r="W54" s="14" t="str">
        <x:v>Annual source/master-register conflict</x:v>
      </x:c>
      <x:c r="X54" s="14" t="str">
        <x:v>Included</x:v>
      </x:c>
      <x:c r="Y54" s="14"/>
      <x:c r="Z54" s="14" t="str">
        <x:v>Funny Woman.docx</x:v>
      </x:c>
      <x:c r="AA5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Sky / NOW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HYPERLINK("https://en.wikipedia.org/wiki/Funny_Woman","Open source")</x:f>
        <x:v>HYPERLINK is not implemented. linkLocation=https://en.wikipedia.org/wiki/Funny_Woman, friendlyName=Open source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 t="str">
        <x:v>No established-register match</x:v>
      </x:c>
      <x:c r="AT54" s="14"/>
      <x:c r="AU54" s="14"/>
      <x:c r="AV54" s="14" t="str">
        <x:v>No established apparent-disability match</x:v>
      </x:c>
      <x:c r="AW54" s="14"/>
      <x:c r="AX54" s="14" t="str">
        <x:v>No</x:v>
      </x:c>
      <x:c r="AY54" s="14" t="str">
        <x:v>Unmatched</x:v>
      </x:c>
      <x:c r="AZ54" s="14" t="str">
        <x:v>Final supplied register</x:v>
      </x:c>
      <x:c r="BA54" s="14" t="str">
        <x:v>Absence from the register is not evidence that the performer is not disabled.</x:v>
      </x:c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/>
      <x:c r="BP54" s="14" t="str">
        <x:v>Unable to calculate from supplied records.</x:v>
      </x:c>
      <x:c r="BQ54" s="14" t="str">
        <x:v>Unable to determine</x:v>
      </x:c>
      <x:c r="BR54" s="15" t="n">
        <x:v>1</x:v>
      </x:c>
      <x:c r="BS54" s="16"/>
      <x:c r="BT54" s="14" t="str">
        <x:v>Unable to calculate</x:v>
      </x:c>
      <x:c r="BU54" s="14" t="str">
        <x:v>Unable to determine</x:v>
      </x:c>
      <x:c r="BV54" s="14" t="str">
        <x:v>Episode count or production-total proxy unavailable.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tt15309272|nm1110040|desmond debarge</x:v>
      </x:c>
      <x:c r="B55" s="14" t="str">
        <x:v>08</x:v>
      </x:c>
      <x:c r="C55" s="14" t="str">
        <x:v>2022_IMDb_Cast_Lists_Batch_08(1).xlsx</x:v>
      </x:c>
      <x:c r="D55" s="14" t="str">
        <x:v>Funny Woman</x:v>
      </x:c>
      <x:c r="E55" s="14" t="n">
        <x:v>77</x:v>
      </x:c>
      <x:c r="F55" s="14" t="str">
        <x:v>Funny Woman</x:v>
      </x:c>
      <x:c r="G55" s="14" t="str">
        <x:v>tt15309272</x:v>
      </x:c>
      <x:c r="H55" s="14" t="n">
        <x:v>2023</x:v>
      </x:c>
      <x:c r="I55" s="14" t="n">
        <x:v>2023</x:v>
      </x:c>
      <x:c r="J55" s="14" t="str">
        <x:v>New Commission Cohort</x:v>
      </x:c>
      <x:c r="K55" s="14" t="n">
        <x:v>2022</x:v>
      </x:c>
      <x:c r="L55" s="14" t="str">
        <x:v>Used in 2023 annual analysis</x:v>
      </x:c>
      <x:c r="M55" s="15" t="n">
        <x:v>70</x:v>
      </x:c>
      <x:c r="N55" s="14" t="str">
        <x:v>Nicholas Murchie</x:v>
      </x:c>
      <x:c r="O55" s="14" t="str">
        <x:v>nm1110040</x:v>
      </x:c>
      <x:c r="P55" s="14" t="str">
        <x:v>Desmond Debarge</x:v>
      </x:c>
      <x:c r="Q55" s="15" t="n">
        <x:v>1</x:v>
      </x:c>
      <x:c r="R55" s="14" t="str">
        <x:v>2023</x:v>
      </x:c>
      <x:c r="S55" s="14" t="n">
        <x:v>2023</x:v>
      </x:c>
      <x:c r="T55" s="14" t="n">
        <x:v>2023</x:v>
      </x:c>
      <x:c r="U55" s="14" t="str">
        <x:v>Production assigned to future entry year</x:v>
      </x:c>
      <x:c r="V55" s="14" t="str">
        <x:v>Master register assigns production to 2023, not 2022.</x:v>
      </x:c>
      <x:c r="W55" s="14" t="str">
        <x:v>Annual source/master-register conflict</x:v>
      </x:c>
      <x:c r="X55" s="14" t="str">
        <x:v>Included</x:v>
      </x:c>
      <x:c r="Y55" s="14"/>
      <x:c r="Z55" s="14" t="str">
        <x:v>Funny Woman.docx</x:v>
      </x:c>
      <x:c r="AA5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Sky / NOW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HYPERLINK("https://en.wikipedia.org/wiki/Funny_Woman","Open source")</x:f>
        <x:v>HYPERLINK is not implemented. linkLocation=https://en.wikipedia.org/wiki/Funny_Woman, friendlyName=Open source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 t="str">
        <x:v>No established-register match</x:v>
      </x:c>
      <x:c r="AT55" s="14"/>
      <x:c r="AU55" s="14"/>
      <x:c r="AV55" s="14" t="str">
        <x:v>No established apparent-disability match</x:v>
      </x:c>
      <x:c r="AW55" s="14"/>
      <x:c r="AX55" s="14" t="str">
        <x:v>No</x:v>
      </x:c>
      <x:c r="AY55" s="14" t="str">
        <x:v>Unmatched</x:v>
      </x:c>
      <x:c r="AZ55" s="14" t="str">
        <x:v>Final supplied register</x:v>
      </x:c>
      <x:c r="BA55" s="14" t="str">
        <x:v>Absence from the register is not evidence that the performer is not disabled.</x:v>
      </x:c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/>
      <x:c r="BP55" s="14" t="str">
        <x:v>Unable to calculate from supplied records.</x:v>
      </x:c>
      <x:c r="BQ55" s="14" t="str">
        <x:v>Unable to determine</x:v>
      </x:c>
      <x:c r="BR55" s="15" t="n">
        <x:v>1</x:v>
      </x:c>
      <x:c r="BS55" s="16"/>
      <x:c r="BT55" s="14" t="str">
        <x:v>Unable to calculate</x:v>
      </x:c>
      <x:c r="BU55" s="14" t="str">
        <x:v>Unable to determine</x:v>
      </x:c>
      <x:c r="BV55" s="14" t="str">
        <x:v>Episode count or production-total proxy unavailable.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tt15309272|nm1571673|mim</x:v>
      </x:c>
      <x:c r="B56" s="14" t="str">
        <x:v>08</x:v>
      </x:c>
      <x:c r="C56" s="14" t="str">
        <x:v>2022_IMDb_Cast_Lists_Batch_08(1).xlsx</x:v>
      </x:c>
      <x:c r="D56" s="14" t="str">
        <x:v>Funny Woman</x:v>
      </x:c>
      <x:c r="E56" s="14" t="n">
        <x:v>80</x:v>
      </x:c>
      <x:c r="F56" s="14" t="str">
        <x:v>Funny Woman</x:v>
      </x:c>
      <x:c r="G56" s="14" t="str">
        <x:v>tt15309272</x:v>
      </x:c>
      <x:c r="H56" s="14" t="n">
        <x:v>2023</x:v>
      </x:c>
      <x:c r="I56" s="14" t="n">
        <x:v>2023</x:v>
      </x:c>
      <x:c r="J56" s="14" t="str">
        <x:v>New Commission Cohort</x:v>
      </x:c>
      <x:c r="K56" s="14" t="n">
        <x:v>2022</x:v>
      </x:c>
      <x:c r="L56" s="14" t="str">
        <x:v>Used in 2023 annual analysis</x:v>
      </x:c>
      <x:c r="M56" s="15" t="n">
        <x:v>73</x:v>
      </x:c>
      <x:c r="N56" s="14" t="str">
        <x:v>Gillian Hardie</x:v>
      </x:c>
      <x:c r="O56" s="14" t="str">
        <x:v>nm1571673</x:v>
      </x:c>
      <x:c r="P56" s="14" t="str">
        <x:v>Mim</x:v>
      </x:c>
      <x:c r="Q56" s="15" t="n">
        <x:v>1</x:v>
      </x:c>
      <x:c r="R56" s="14" t="str">
        <x:v>2022</x:v>
      </x:c>
      <x:c r="S56" s="14" t="n">
        <x:v>2023</x:v>
      </x:c>
      <x:c r="T56" s="14" t="n">
        <x:v>2023</x:v>
      </x:c>
      <x:c r="U56" s="14" t="str">
        <x:v>Production assigned to future entry year</x:v>
      </x:c>
      <x:c r="V56" s="14" t="str">
        <x:v>Master register assigns production to 2023, not 2022.</x:v>
      </x:c>
      <x:c r="W56" s="14" t="str">
        <x:v>Annual source/master-register conflict</x:v>
      </x:c>
      <x:c r="X56" s="14" t="str">
        <x:v>Included</x:v>
      </x:c>
      <x:c r="Y56" s="14"/>
      <x:c r="Z56" s="14" t="str">
        <x:v>Funny Woman.docx</x:v>
      </x:c>
      <x:c r="AA5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Sky / NOW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HYPERLINK("https://en.wikipedia.org/wiki/Funny_Woman","Open source")</x:f>
        <x:v>HYPERLINK is not implemented. linkLocation=https://en.wikipedia.org/wiki/Funny_Woman, friendlyName=Open source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 t="str">
        <x:v>No established-register match</x:v>
      </x:c>
      <x:c r="AT56" s="14"/>
      <x:c r="AU56" s="14"/>
      <x:c r="AV56" s="14" t="str">
        <x:v>No established apparent-disability match</x:v>
      </x:c>
      <x:c r="AW56" s="14"/>
      <x:c r="AX56" s="14" t="str">
        <x:v>No</x:v>
      </x:c>
      <x:c r="AY56" s="14" t="str">
        <x:v>Unmatched</x:v>
      </x:c>
      <x:c r="AZ56" s="14" t="str">
        <x:v>Final supplied register</x:v>
      </x:c>
      <x:c r="BA56" s="14" t="str">
        <x:v>Absence from the register is not evidence that the performer is not disabled.</x:v>
      </x:c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/>
      <x:c r="BP56" s="14" t="str">
        <x:v>Unable to calculate from supplied records.</x:v>
      </x:c>
      <x:c r="BQ56" s="14" t="str">
        <x:v>Unable to determine</x:v>
      </x:c>
      <x:c r="BR56" s="15" t="n">
        <x:v>1</x:v>
      </x:c>
      <x:c r="BS56" s="16"/>
      <x:c r="BT56" s="14" t="str">
        <x:v>Unable to calculate</x:v>
      </x:c>
      <x:c r="BU56" s="14" t="str">
        <x:v>Unable to determine</x:v>
      </x:c>
      <x:c r="BV56" s="14" t="str">
        <x:v>Episode count or production-total proxy unavailable.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tt15309272|nm8462224|ad director</x:v>
      </x:c>
      <x:c r="B57" s="14" t="str">
        <x:v>08</x:v>
      </x:c>
      <x:c r="C57" s="14" t="str">
        <x:v>2022_IMDb_Cast_Lists_Batch_08(1).xlsx</x:v>
      </x:c>
      <x:c r="D57" s="14" t="str">
        <x:v>Funny Woman</x:v>
      </x:c>
      <x:c r="E57" s="14" t="n">
        <x:v>81</x:v>
      </x:c>
      <x:c r="F57" s="14" t="str">
        <x:v>Funny Woman</x:v>
      </x:c>
      <x:c r="G57" s="14" t="str">
        <x:v>tt15309272</x:v>
      </x:c>
      <x:c r="H57" s="14" t="n">
        <x:v>2023</x:v>
      </x:c>
      <x:c r="I57" s="14" t="n">
        <x:v>2023</x:v>
      </x:c>
      <x:c r="J57" s="14" t="str">
        <x:v>New Commission Cohort</x:v>
      </x:c>
      <x:c r="K57" s="14" t="n">
        <x:v>2022</x:v>
      </x:c>
      <x:c r="L57" s="14" t="str">
        <x:v>Used in 2023 annual analysis</x:v>
      </x:c>
      <x:c r="M57" s="15" t="n">
        <x:v>74</x:v>
      </x:c>
      <x:c r="N57" s="14" t="str">
        <x:v>Enyi Okoronkwo</x:v>
      </x:c>
      <x:c r="O57" s="14" t="str">
        <x:v>nm8462224</x:v>
      </x:c>
      <x:c r="P57" s="14" t="str">
        <x:v>AD Director</x:v>
      </x:c>
      <x:c r="Q57" s="15" t="n">
        <x:v>1</x:v>
      </x:c>
      <x:c r="R57" s="14" t="str">
        <x:v>2023</x:v>
      </x:c>
      <x:c r="S57" s="14" t="n">
        <x:v>2023</x:v>
      </x:c>
      <x:c r="T57" s="14" t="n">
        <x:v>2023</x:v>
      </x:c>
      <x:c r="U57" s="14" t="str">
        <x:v>Production assigned to future entry year</x:v>
      </x:c>
      <x:c r="V57" s="14" t="str">
        <x:v>Master register assigns production to 2023, not 2022.</x:v>
      </x:c>
      <x:c r="W57" s="14" t="str">
        <x:v>Annual source/master-register conflict</x:v>
      </x:c>
      <x:c r="X57" s="14" t="str">
        <x:v>Included</x:v>
      </x:c>
      <x:c r="Y57" s="14"/>
      <x:c r="Z57" s="14" t="str">
        <x:v>Funny Woman.docx</x:v>
      </x:c>
      <x:c r="AA5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Sky / NOW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HYPERLINK("https://en.wikipedia.org/wiki/Funny_Woman","Open source")</x:f>
        <x:v>HYPERLINK is not implemented. linkLocation=https://en.wikipedia.org/wiki/Funny_Woman, friendlyName=Open source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 t="str">
        <x:v>No established-register match</x:v>
      </x:c>
      <x:c r="AT57" s="14"/>
      <x:c r="AU57" s="14"/>
      <x:c r="AV57" s="14" t="str">
        <x:v>No established apparent-disability match</x:v>
      </x:c>
      <x:c r="AW57" s="14"/>
      <x:c r="AX57" s="14" t="str">
        <x:v>No</x:v>
      </x:c>
      <x:c r="AY57" s="14" t="str">
        <x:v>Unmatched</x:v>
      </x:c>
      <x:c r="AZ57" s="14" t="str">
        <x:v>Final supplied register</x:v>
      </x:c>
      <x:c r="BA57" s="14" t="str">
        <x:v>Absence from the register is not evidence that the performer is not disabled.</x:v>
      </x:c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/>
      <x:c r="BP57" s="14" t="str">
        <x:v>Unable to calculate from supplied records.</x:v>
      </x:c>
      <x:c r="BQ57" s="14" t="str">
        <x:v>Unable to determine</x:v>
      </x:c>
      <x:c r="BR57" s="15" t="n">
        <x:v>1</x:v>
      </x:c>
      <x:c r="BS57" s="16"/>
      <x:c r="BT57" s="14" t="str">
        <x:v>Unable to calculate</x:v>
      </x:c>
      <x:c r="BU57" s="14" t="str">
        <x:v>Unable to determine</x:v>
      </x:c>
      <x:c r="BV57" s="14" t="str">
        <x:v>Episode count or production-total proxy unavailable.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tt15309272|nm13424802|nel</x:v>
      </x:c>
      <x:c r="B58" s="14" t="str">
        <x:v>08</x:v>
      </x:c>
      <x:c r="C58" s="14" t="str">
        <x:v>2022_IMDb_Cast_Lists_Batch_08(1).xlsx</x:v>
      </x:c>
      <x:c r="D58" s="14" t="str">
        <x:v>Funny Woman</x:v>
      </x:c>
      <x:c r="E58" s="14" t="n">
        <x:v>86</x:v>
      </x:c>
      <x:c r="F58" s="14" t="str">
        <x:v>Funny Woman</x:v>
      </x:c>
      <x:c r="G58" s="14" t="str">
        <x:v>tt15309272</x:v>
      </x:c>
      <x:c r="H58" s="14" t="n">
        <x:v>2023</x:v>
      </x:c>
      <x:c r="I58" s="14" t="n">
        <x:v>2023</x:v>
      </x:c>
      <x:c r="J58" s="14" t="str">
        <x:v>New Commission Cohort</x:v>
      </x:c>
      <x:c r="K58" s="14" t="n">
        <x:v>2022</x:v>
      </x:c>
      <x:c r="L58" s="14" t="str">
        <x:v>Used in 2023 annual analysis</x:v>
      </x:c>
      <x:c r="M58" s="15" t="n">
        <x:v>79</x:v>
      </x:c>
      <x:c r="N58" s="14" t="str">
        <x:v>Rosie Lou</x:v>
      </x:c>
      <x:c r="O58" s="14" t="str">
        <x:v>nm13424802</x:v>
      </x:c>
      <x:c r="P58" s="14" t="str">
        <x:v>Nel</x:v>
      </x:c>
      <x:c r="Q58" s="15" t="n">
        <x:v>1</x:v>
      </x:c>
      <x:c r="R58" s="14" t="str">
        <x:v>2022</x:v>
      </x:c>
      <x:c r="S58" s="14" t="n">
        <x:v>2023</x:v>
      </x:c>
      <x:c r="T58" s="14" t="n">
        <x:v>2023</x:v>
      </x:c>
      <x:c r="U58" s="14" t="str">
        <x:v>Production assigned to future entry year</x:v>
      </x:c>
      <x:c r="V58" s="14" t="str">
        <x:v>Master register assigns production to 2023, not 2022.</x:v>
      </x:c>
      <x:c r="W58" s="14" t="str">
        <x:v>Annual source/master-register conflict</x:v>
      </x:c>
      <x:c r="X58" s="14" t="str">
        <x:v>Included</x:v>
      </x:c>
      <x:c r="Y58" s="14"/>
      <x:c r="Z58" s="14" t="str">
        <x:v>Funny Woman.docx</x:v>
      </x:c>
      <x:c r="AA5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Sky / NOW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HYPERLINK("https://en.wikipedia.org/wiki/Funny_Woman","Open source")</x:f>
        <x:v>HYPERLINK is not implemented. linkLocation=https://en.wikipedia.org/wiki/Funny_Woman, friendlyName=Open source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 t="str">
        <x:v>No established-register match</x:v>
      </x:c>
      <x:c r="AT58" s="14"/>
      <x:c r="AU58" s="14"/>
      <x:c r="AV58" s="14" t="str">
        <x:v>No established apparent-disability match</x:v>
      </x:c>
      <x:c r="AW58" s="14"/>
      <x:c r="AX58" s="14" t="str">
        <x:v>No</x:v>
      </x:c>
      <x:c r="AY58" s="14" t="str">
        <x:v>Unmatched</x:v>
      </x:c>
      <x:c r="AZ58" s="14" t="str">
        <x:v>Final supplied register</x:v>
      </x:c>
      <x:c r="BA58" s="14" t="str">
        <x:v>Absence from the register is not evidence that the performer is not disabled.</x:v>
      </x:c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/>
      <x:c r="BP58" s="14" t="str">
        <x:v>Unable to calculate from supplied records.</x:v>
      </x:c>
      <x:c r="BQ58" s="14" t="str">
        <x:v>Unable to determine</x:v>
      </x:c>
      <x:c r="BR58" s="15" t="n">
        <x:v>1</x:v>
      </x:c>
      <x:c r="BS58" s="16"/>
      <x:c r="BT58" s="14" t="str">
        <x:v>Unable to calculate</x:v>
      </x:c>
      <x:c r="BU58" s="14" t="str">
        <x:v>Unable to determine</x:v>
      </x:c>
      <x:c r="BV58" s="14" t="str">
        <x:v>Episode count or production-total proxy unavailable.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tt15309272|nm8158627|hilary</x:v>
      </x:c>
      <x:c r="B59" s="14" t="str">
        <x:v>08</x:v>
      </x:c>
      <x:c r="C59" s="14" t="str">
        <x:v>2022_IMDb_Cast_Lists_Batch_08(1).xlsx</x:v>
      </x:c>
      <x:c r="D59" s="14" t="str">
        <x:v>Funny Woman</x:v>
      </x:c>
      <x:c r="E59" s="14" t="n">
        <x:v>87</x:v>
      </x:c>
      <x:c r="F59" s="14" t="str">
        <x:v>Funny Woman</x:v>
      </x:c>
      <x:c r="G59" s="14" t="str">
        <x:v>tt15309272</x:v>
      </x:c>
      <x:c r="H59" s="14" t="n">
        <x:v>2023</x:v>
      </x:c>
      <x:c r="I59" s="14" t="n">
        <x:v>2023</x:v>
      </x:c>
      <x:c r="J59" s="14" t="str">
        <x:v>New Commission Cohort</x:v>
      </x:c>
      <x:c r="K59" s="14" t="n">
        <x:v>2022</x:v>
      </x:c>
      <x:c r="L59" s="14" t="str">
        <x:v>Used in 2023 annual analysis</x:v>
      </x:c>
      <x:c r="M59" s="15" t="n">
        <x:v>80</x:v>
      </x:c>
      <x:c r="N59" s="14" t="str">
        <x:v>Benjamin O'Brien</x:v>
      </x:c>
      <x:c r="O59" s="14" t="str">
        <x:v>nm8158627</x:v>
      </x:c>
      <x:c r="P59" s="14" t="str">
        <x:v>Hilary</x:v>
      </x:c>
      <x:c r="Q59" s="15" t="n">
        <x:v>1</x:v>
      </x:c>
      <x:c r="R59" s="14" t="str">
        <x:v>2022</x:v>
      </x:c>
      <x:c r="S59" s="14" t="n">
        <x:v>2023</x:v>
      </x:c>
      <x:c r="T59" s="14" t="n">
        <x:v>2023</x:v>
      </x:c>
      <x:c r="U59" s="14" t="str">
        <x:v>Production assigned to future entry year</x:v>
      </x:c>
      <x:c r="V59" s="14" t="str">
        <x:v>Master register assigns production to 2023, not 2022.</x:v>
      </x:c>
      <x:c r="W59" s="14" t="str">
        <x:v>Annual source/master-register conflict</x:v>
      </x:c>
      <x:c r="X59" s="14" t="str">
        <x:v>Included</x:v>
      </x:c>
      <x:c r="Y59" s="14" t="str">
        <x:v>(as Ben O'Brien)</x:v>
      </x:c>
      <x:c r="Z59" s="14" t="str">
        <x:v>Funny Woman.docx</x:v>
      </x:c>
      <x:c r="AA5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Sky / NOW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HYPERLINK("https://en.wikipedia.org/wiki/Funny_Woman","Open source")</x:f>
        <x:v>HYPERLINK is not implemented. linkLocation=https://en.wikipedia.org/wiki/Funny_Woman, friendlyName=Open source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 t="str">
        <x:v>No established-register match</x:v>
      </x:c>
      <x:c r="AT59" s="14"/>
      <x:c r="AU59" s="14"/>
      <x:c r="AV59" s="14" t="str">
        <x:v>No established apparent-disability match</x:v>
      </x:c>
      <x:c r="AW59" s="14"/>
      <x:c r="AX59" s="14" t="str">
        <x:v>No</x:v>
      </x:c>
      <x:c r="AY59" s="14" t="str">
        <x:v>Unmatched</x:v>
      </x:c>
      <x:c r="AZ59" s="14" t="str">
        <x:v>Final supplied register</x:v>
      </x:c>
      <x:c r="BA59" s="14" t="str">
        <x:v>Absence from the register is not evidence that the performer is not disabled.</x:v>
      </x:c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/>
      <x:c r="BP59" s="14" t="str">
        <x:v>Unable to calculate from supplied records.</x:v>
      </x:c>
      <x:c r="BQ59" s="14" t="str">
        <x:v>Unable to determine</x:v>
      </x:c>
      <x:c r="BR59" s="15" t="n">
        <x:v>1</x:v>
      </x:c>
      <x:c r="BS59" s="16"/>
      <x:c r="BT59" s="14" t="str">
        <x:v>Unable to calculate</x:v>
      </x:c>
      <x:c r="BU59" s="14" t="str">
        <x:v>Unable to determine</x:v>
      </x:c>
      <x:c r="BV59" s="14" t="str">
        <x:v>Episode count or production-total proxy unavailable.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tt15309272|nm13672093|young barbara</x:v>
      </x:c>
      <x:c r="B60" s="14" t="str">
        <x:v>08</x:v>
      </x:c>
      <x:c r="C60" s="14" t="str">
        <x:v>2022_IMDb_Cast_Lists_Batch_08(1).xlsx</x:v>
      </x:c>
      <x:c r="D60" s="14" t="str">
        <x:v>Funny Woman</x:v>
      </x:c>
      <x:c r="E60" s="14" t="n">
        <x:v>88</x:v>
      </x:c>
      <x:c r="F60" s="14" t="str">
        <x:v>Funny Woman</x:v>
      </x:c>
      <x:c r="G60" s="14" t="str">
        <x:v>tt15309272</x:v>
      </x:c>
      <x:c r="H60" s="14" t="n">
        <x:v>2023</x:v>
      </x:c>
      <x:c r="I60" s="14" t="n">
        <x:v>2023</x:v>
      </x:c>
      <x:c r="J60" s="14" t="str">
        <x:v>New Commission Cohort</x:v>
      </x:c>
      <x:c r="K60" s="14" t="n">
        <x:v>2022</x:v>
      </x:c>
      <x:c r="L60" s="14" t="str">
        <x:v>Used in 2023 annual analysis</x:v>
      </x:c>
      <x:c r="M60" s="15" t="n">
        <x:v>81</x:v>
      </x:c>
      <x:c r="N60" s="14" t="str">
        <x:v>Annabella Moses-Williams</x:v>
      </x:c>
      <x:c r="O60" s="14" t="str">
        <x:v>nm13672093</x:v>
      </x:c>
      <x:c r="P60" s="14" t="str">
        <x:v>Young Barbara</x:v>
      </x:c>
      <x:c r="Q60" s="15" t="n">
        <x:v>1</x:v>
      </x:c>
      <x:c r="R60" s="14" t="str">
        <x:v>2022</x:v>
      </x:c>
      <x:c r="S60" s="14" t="n">
        <x:v>2023</x:v>
      </x:c>
      <x:c r="T60" s="14" t="n">
        <x:v>2023</x:v>
      </x:c>
      <x:c r="U60" s="14" t="str">
        <x:v>Production assigned to future entry year</x:v>
      </x:c>
      <x:c r="V60" s="14" t="str">
        <x:v>Master register assigns production to 2023, not 2022.</x:v>
      </x:c>
      <x:c r="W60" s="14" t="str">
        <x:v>Annual source/master-register conflict</x:v>
      </x:c>
      <x:c r="X60" s="14" t="str">
        <x:v>Included</x:v>
      </x:c>
      <x:c r="Y60" s="14"/>
      <x:c r="Z60" s="14" t="str">
        <x:v>Funny Woman.docx</x:v>
      </x:c>
      <x:c r="AA6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Sky / NOW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HYPERLINK("https://en.wikipedia.org/wiki/Funny_Woman","Open source")</x:f>
        <x:v>HYPERLINK is not implemented. linkLocation=https://en.wikipedia.org/wiki/Funny_Woman, friendlyName=Open source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 t="str">
        <x:v>No established-register match</x:v>
      </x:c>
      <x:c r="AT60" s="14"/>
      <x:c r="AU60" s="14"/>
      <x:c r="AV60" s="14" t="str">
        <x:v>No established apparent-disability match</x:v>
      </x:c>
      <x:c r="AW60" s="14"/>
      <x:c r="AX60" s="14" t="str">
        <x:v>No</x:v>
      </x:c>
      <x:c r="AY60" s="14" t="str">
        <x:v>Unmatched</x:v>
      </x:c>
      <x:c r="AZ60" s="14" t="str">
        <x:v>Final supplied register</x:v>
      </x:c>
      <x:c r="BA60" s="14" t="str">
        <x:v>Absence from the register is not evidence that the performer is not disabled.</x:v>
      </x:c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/>
      <x:c r="BP60" s="14" t="str">
        <x:v>Unable to calculate from supplied records.</x:v>
      </x:c>
      <x:c r="BQ60" s="14" t="str">
        <x:v>Unable to determine</x:v>
      </x:c>
      <x:c r="BR60" s="15" t="n">
        <x:v>1</x:v>
      </x:c>
      <x:c r="BS60" s="16"/>
      <x:c r="BT60" s="14" t="str">
        <x:v>Unable to calculate</x:v>
      </x:c>
      <x:c r="BU60" s="14" t="str">
        <x:v>Unable to determine</x:v>
      </x:c>
      <x:c r="BV60" s="14" t="str">
        <x:v>Episode count or production-total proxy unavailable.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tt15309272|nm2009951|taxi driver</x:v>
      </x:c>
      <x:c r="B61" s="14" t="str">
        <x:v>08</x:v>
      </x:c>
      <x:c r="C61" s="14" t="str">
        <x:v>2022_IMDb_Cast_Lists_Batch_08(1).xlsx</x:v>
      </x:c>
      <x:c r="D61" s="14" t="str">
        <x:v>Funny Woman</x:v>
      </x:c>
      <x:c r="E61" s="14" t="n">
        <x:v>89</x:v>
      </x:c>
      <x:c r="F61" s="14" t="str">
        <x:v>Funny Woman</x:v>
      </x:c>
      <x:c r="G61" s="14" t="str">
        <x:v>tt15309272</x:v>
      </x:c>
      <x:c r="H61" s="14" t="n">
        <x:v>2023</x:v>
      </x:c>
      <x:c r="I61" s="14" t="n">
        <x:v>2023</x:v>
      </x:c>
      <x:c r="J61" s="14" t="str">
        <x:v>New Commission Cohort</x:v>
      </x:c>
      <x:c r="K61" s="14" t="n">
        <x:v>2022</x:v>
      </x:c>
      <x:c r="L61" s="14" t="str">
        <x:v>Used in 2023 annual analysis</x:v>
      </x:c>
      <x:c r="M61" s="15" t="n">
        <x:v>82</x:v>
      </x:c>
      <x:c r="N61" s="14" t="str">
        <x:v>Benedict Relton</x:v>
      </x:c>
      <x:c r="O61" s="14" t="str">
        <x:v>nm2009951</x:v>
      </x:c>
      <x:c r="P61" s="14" t="str">
        <x:v>Taxi Driver</x:v>
      </x:c>
      <x:c r="Q61" s="15" t="n">
        <x:v>1</x:v>
      </x:c>
      <x:c r="R61" s="14" t="str">
        <x:v>2022</x:v>
      </x:c>
      <x:c r="S61" s="14" t="n">
        <x:v>2023</x:v>
      </x:c>
      <x:c r="T61" s="14" t="n">
        <x:v>2023</x:v>
      </x:c>
      <x:c r="U61" s="14" t="str">
        <x:v>Production assigned to future entry year</x:v>
      </x:c>
      <x:c r="V61" s="14" t="str">
        <x:v>Master register assigns production to 2023, not 2022.</x:v>
      </x:c>
      <x:c r="W61" s="14" t="str">
        <x:v>Annual source/master-register conflict</x:v>
      </x:c>
      <x:c r="X61" s="14" t="str">
        <x:v>Included</x:v>
      </x:c>
      <x:c r="Y61" s="14"/>
      <x:c r="Z61" s="14" t="str">
        <x:v>Funny Woman.docx</x:v>
      </x:c>
      <x:c r="AA6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Sky / NOW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HYPERLINK("https://en.wikipedia.org/wiki/Funny_Woman","Open source")</x:f>
        <x:v>HYPERLINK is not implemented. linkLocation=https://en.wikipedia.org/wiki/Funny_Woman, friendlyName=Open source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 t="str">
        <x:v>No established-register match</x:v>
      </x:c>
      <x:c r="AT61" s="14"/>
      <x:c r="AU61" s="14"/>
      <x:c r="AV61" s="14" t="str">
        <x:v>No established apparent-disability match</x:v>
      </x:c>
      <x:c r="AW61" s="14"/>
      <x:c r="AX61" s="14" t="str">
        <x:v>No</x:v>
      </x:c>
      <x:c r="AY61" s="14" t="str">
        <x:v>Unmatched</x:v>
      </x:c>
      <x:c r="AZ61" s="14" t="str">
        <x:v>Final supplied register</x:v>
      </x:c>
      <x:c r="BA61" s="14" t="str">
        <x:v>Absence from the register is not evidence that the performer is not disabled.</x:v>
      </x:c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/>
      <x:c r="BP61" s="14" t="str">
        <x:v>Unable to calculate from supplied records.</x:v>
      </x:c>
      <x:c r="BQ61" s="14" t="str">
        <x:v>Unable to determine</x:v>
      </x:c>
      <x:c r="BR61" s="15" t="n">
        <x:v>1</x:v>
      </x:c>
      <x:c r="BS61" s="16"/>
      <x:c r="BT61" s="14" t="str">
        <x:v>Unable to calculate</x:v>
      </x:c>
      <x:c r="BU61" s="14" t="str">
        <x:v>Unable to determine</x:v>
      </x:c>
      <x:c r="BV61" s="14" t="str">
        <x:v>Episode count or production-total proxy unavailable.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tt15309272|nm8604549|val doonican</x:v>
      </x:c>
      <x:c r="B62" s="14" t="str">
        <x:v>08</x:v>
      </x:c>
      <x:c r="C62" s="14" t="str">
        <x:v>2022_IMDb_Cast_Lists_Batch_08(1).xlsx</x:v>
      </x:c>
      <x:c r="D62" s="14" t="str">
        <x:v>Funny Woman</x:v>
      </x:c>
      <x:c r="E62" s="14" t="n">
        <x:v>90</x:v>
      </x:c>
      <x:c r="F62" s="14" t="str">
        <x:v>Funny Woman</x:v>
      </x:c>
      <x:c r="G62" s="14" t="str">
        <x:v>tt15309272</x:v>
      </x:c>
      <x:c r="H62" s="14" t="n">
        <x:v>2023</x:v>
      </x:c>
      <x:c r="I62" s="14" t="n">
        <x:v>2023</x:v>
      </x:c>
      <x:c r="J62" s="14" t="str">
        <x:v>New Commission Cohort</x:v>
      </x:c>
      <x:c r="K62" s="14" t="n">
        <x:v>2022</x:v>
      </x:c>
      <x:c r="L62" s="14" t="str">
        <x:v>Used in 2023 annual analysis</x:v>
      </x:c>
      <x:c r="M62" s="15" t="n">
        <x:v>83</x:v>
      </x:c>
      <x:c r="N62" s="14" t="str">
        <x:v>Mike Prior</x:v>
      </x:c>
      <x:c r="O62" s="14" t="str">
        <x:v>nm8604549</x:v>
      </x:c>
      <x:c r="P62" s="14" t="str">
        <x:v>Val Doonican</x:v>
      </x:c>
      <x:c r="Q62" s="15" t="n">
        <x:v>1</x:v>
      </x:c>
      <x:c r="R62" s="14" t="str">
        <x:v>2023</x:v>
      </x:c>
      <x:c r="S62" s="14" t="n">
        <x:v>2023</x:v>
      </x:c>
      <x:c r="T62" s="14" t="n">
        <x:v>2023</x:v>
      </x:c>
      <x:c r="U62" s="14" t="str">
        <x:v>Production assigned to future entry year</x:v>
      </x:c>
      <x:c r="V62" s="14" t="str">
        <x:v>Master register assigns production to 2023, not 2022.</x:v>
      </x:c>
      <x:c r="W62" s="14" t="str">
        <x:v>Annual source/master-register conflict</x:v>
      </x:c>
      <x:c r="X62" s="14" t="str">
        <x:v>Included</x:v>
      </x:c>
      <x:c r="Y62" s="14"/>
      <x:c r="Z62" s="14" t="str">
        <x:v>Funny Woman.docx</x:v>
      </x:c>
      <x:c r="AA6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Sky / NOW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HYPERLINK("https://en.wikipedia.org/wiki/Funny_Woman","Open source")</x:f>
        <x:v>HYPERLINK is not implemented. linkLocation=https://en.wikipedia.org/wiki/Funny_Woman, friendlyName=Open source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 t="str">
        <x:v>No established-register match</x:v>
      </x:c>
      <x:c r="AT62" s="14"/>
      <x:c r="AU62" s="14"/>
      <x:c r="AV62" s="14" t="str">
        <x:v>No established apparent-disability match</x:v>
      </x:c>
      <x:c r="AW62" s="14"/>
      <x:c r="AX62" s="14" t="str">
        <x:v>No</x:v>
      </x:c>
      <x:c r="AY62" s="14" t="str">
        <x:v>Unmatched</x:v>
      </x:c>
      <x:c r="AZ62" s="14" t="str">
        <x:v>Final supplied register</x:v>
      </x:c>
      <x:c r="BA62" s="14" t="str">
        <x:v>Absence from the register is not evidence that the performer is not disabled.</x:v>
      </x:c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/>
      <x:c r="BP62" s="14" t="str">
        <x:v>Unable to calculate from supplied records.</x:v>
      </x:c>
      <x:c r="BQ62" s="14" t="str">
        <x:v>Unable to determine</x:v>
      </x:c>
      <x:c r="BR62" s="15" t="n">
        <x:v>1</x:v>
      </x:c>
      <x:c r="BS62" s="16"/>
      <x:c r="BT62" s="14" t="str">
        <x:v>Unable to calculate</x:v>
      </x:c>
      <x:c r="BU62" s="14" t="str">
        <x:v>Unable to determine</x:v>
      </x:c>
      <x:c r="BV62" s="14" t="str">
        <x:v>Episode count or production-total proxy unavailable.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tt15309272|nm10503552|harinder</x:v>
      </x:c>
      <x:c r="B63" s="14" t="str">
        <x:v>08</x:v>
      </x:c>
      <x:c r="C63" s="14" t="str">
        <x:v>2022_IMDb_Cast_Lists_Batch_08(1).xlsx</x:v>
      </x:c>
      <x:c r="D63" s="14" t="str">
        <x:v>Funny Woman</x:v>
      </x:c>
      <x:c r="E63" s="14" t="n">
        <x:v>91</x:v>
      </x:c>
      <x:c r="F63" s="14" t="str">
        <x:v>Funny Woman</x:v>
      </x:c>
      <x:c r="G63" s="14" t="str">
        <x:v>tt15309272</x:v>
      </x:c>
      <x:c r="H63" s="14" t="n">
        <x:v>2023</x:v>
      </x:c>
      <x:c r="I63" s="14" t="n">
        <x:v>2023</x:v>
      </x:c>
      <x:c r="J63" s="14" t="str">
        <x:v>New Commission Cohort</x:v>
      </x:c>
      <x:c r="K63" s="14" t="n">
        <x:v>2022</x:v>
      </x:c>
      <x:c r="L63" s="14" t="str">
        <x:v>Used in 2023 annual analysis</x:v>
      </x:c>
      <x:c r="M63" s="15" t="n">
        <x:v>84</x:v>
      </x:c>
      <x:c r="N63" s="14" t="str">
        <x:v>Bhavik C. Pankhania</x:v>
      </x:c>
      <x:c r="O63" s="14" t="str">
        <x:v>nm10503552</x:v>
      </x:c>
      <x:c r="P63" s="14" t="str">
        <x:v>Harinder</x:v>
      </x:c>
      <x:c r="Q63" s="15" t="n">
        <x:v>1</x:v>
      </x:c>
      <x:c r="R63" s="14" t="str">
        <x:v>2022</x:v>
      </x:c>
      <x:c r="S63" s="14" t="n">
        <x:v>2023</x:v>
      </x:c>
      <x:c r="T63" s="14" t="n">
        <x:v>2023</x:v>
      </x:c>
      <x:c r="U63" s="14" t="str">
        <x:v>Production assigned to future entry year</x:v>
      </x:c>
      <x:c r="V63" s="14" t="str">
        <x:v>Master register assigns production to 2023, not 2022.</x:v>
      </x:c>
      <x:c r="W63" s="14" t="str">
        <x:v>Annual source/master-register conflict</x:v>
      </x:c>
      <x:c r="X63" s="14" t="str">
        <x:v>Included</x:v>
      </x:c>
      <x:c r="Y63" s="14"/>
      <x:c r="Z63" s="14" t="str">
        <x:v>Funny Woman.docx</x:v>
      </x:c>
      <x:c r="AA6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Sky / NOW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HYPERLINK("https://en.wikipedia.org/wiki/Funny_Woman","Open source")</x:f>
        <x:v>HYPERLINK is not implemented. linkLocation=https://en.wikipedia.org/wiki/Funny_Woman, friendlyName=Open source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 t="str">
        <x:v>No established-register match</x:v>
      </x:c>
      <x:c r="AT63" s="14"/>
      <x:c r="AU63" s="14"/>
      <x:c r="AV63" s="14" t="str">
        <x:v>No established apparent-disability match</x:v>
      </x:c>
      <x:c r="AW63" s="14"/>
      <x:c r="AX63" s="14" t="str">
        <x:v>No</x:v>
      </x:c>
      <x:c r="AY63" s="14" t="str">
        <x:v>Unmatched</x:v>
      </x:c>
      <x:c r="AZ63" s="14" t="str">
        <x:v>Final supplied register</x:v>
      </x:c>
      <x:c r="BA63" s="14" t="str">
        <x:v>Absence from the register is not evidence that the performer is not disabled.</x:v>
      </x:c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/>
      <x:c r="BP63" s="14" t="str">
        <x:v>Unable to calculate from supplied records.</x:v>
      </x:c>
      <x:c r="BQ63" s="14" t="str">
        <x:v>Unable to determine</x:v>
      </x:c>
      <x:c r="BR63" s="15" t="n">
        <x:v>1</x:v>
      </x:c>
      <x:c r="BS63" s="16"/>
      <x:c r="BT63" s="14" t="str">
        <x:v>Unable to calculate</x:v>
      </x:c>
      <x:c r="BU63" s="14" t="str">
        <x:v>Unable to determine</x:v>
      </x:c>
      <x:c r="BV63" s="14" t="str">
        <x:v>Episode count or production-total proxy unavailable.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tt15309272|nm1257480|mr. magic</x:v>
      </x:c>
      <x:c r="B64" s="14" t="str">
        <x:v>08</x:v>
      </x:c>
      <x:c r="C64" s="14" t="str">
        <x:v>2022_IMDb_Cast_Lists_Batch_08(1).xlsx</x:v>
      </x:c>
      <x:c r="D64" s="14" t="str">
        <x:v>Funny Woman</x:v>
      </x:c>
      <x:c r="E64" s="14" t="n">
        <x:v>92</x:v>
      </x:c>
      <x:c r="F64" s="14" t="str">
        <x:v>Funny Woman</x:v>
      </x:c>
      <x:c r="G64" s="14" t="str">
        <x:v>tt15309272</x:v>
      </x:c>
      <x:c r="H64" s="14" t="n">
        <x:v>2023</x:v>
      </x:c>
      <x:c r="I64" s="14" t="n">
        <x:v>2023</x:v>
      </x:c>
      <x:c r="J64" s="14" t="str">
        <x:v>New Commission Cohort</x:v>
      </x:c>
      <x:c r="K64" s="14" t="n">
        <x:v>2022</x:v>
      </x:c>
      <x:c r="L64" s="14" t="str">
        <x:v>Used in 2023 annual analysis</x:v>
      </x:c>
      <x:c r="M64" s="15" t="n">
        <x:v>85</x:v>
      </x:c>
      <x:c r="N64" s="14" t="str">
        <x:v>Rufus Jones</x:v>
      </x:c>
      <x:c r="O64" s="14" t="str">
        <x:v>nm1257480</x:v>
      </x:c>
      <x:c r="P64" s="14" t="str">
        <x:v>Mr. Magic</x:v>
      </x:c>
      <x:c r="Q64" s="15" t="n">
        <x:v>1</x:v>
      </x:c>
      <x:c r="R64" s="14" t="str">
        <x:v>2023</x:v>
      </x:c>
      <x:c r="S64" s="14" t="n">
        <x:v>2023</x:v>
      </x:c>
      <x:c r="T64" s="14" t="n">
        <x:v>2023</x:v>
      </x:c>
      <x:c r="U64" s="14" t="str">
        <x:v>Production assigned to future entry year</x:v>
      </x:c>
      <x:c r="V64" s="14" t="str">
        <x:v>Master register assigns production to 2023, not 2022.</x:v>
      </x:c>
      <x:c r="W64" s="14" t="str">
        <x:v>Annual source/master-register conflict</x:v>
      </x:c>
      <x:c r="X64" s="14" t="str">
        <x:v>Included</x:v>
      </x:c>
      <x:c r="Y64" s="14"/>
      <x:c r="Z64" s="14" t="str">
        <x:v>Funny Woman.docx</x:v>
      </x:c>
      <x:c r="AA6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Sky / NOW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HYPERLINK("https://en.wikipedia.org/wiki/Funny_Woman","Open source")</x:f>
        <x:v>HYPERLINK is not implemented. linkLocation=https://en.wikipedia.org/wiki/Funny_Woman, friendlyName=Open source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 t="str">
        <x:v>No established-register match</x:v>
      </x:c>
      <x:c r="AT64" s="14"/>
      <x:c r="AU64" s="14"/>
      <x:c r="AV64" s="14" t="str">
        <x:v>No established apparent-disability match</x:v>
      </x:c>
      <x:c r="AW64" s="14"/>
      <x:c r="AX64" s="14" t="str">
        <x:v>No</x:v>
      </x:c>
      <x:c r="AY64" s="14" t="str">
        <x:v>Unmatched</x:v>
      </x:c>
      <x:c r="AZ64" s="14" t="str">
        <x:v>Final supplied register</x:v>
      </x:c>
      <x:c r="BA64" s="14" t="str">
        <x:v>Absence from the register is not evidence that the performer is not disabled.</x:v>
      </x:c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/>
      <x:c r="BP64" s="14" t="str">
        <x:v>Unable to calculate from supplied records.</x:v>
      </x:c>
      <x:c r="BQ64" s="14" t="str">
        <x:v>Unable to determine</x:v>
      </x:c>
      <x:c r="BR64" s="15" t="n">
        <x:v>1</x:v>
      </x:c>
      <x:c r="BS64" s="16"/>
      <x:c r="BT64" s="14" t="str">
        <x:v>Unable to calculate</x:v>
      </x:c>
      <x:c r="BU64" s="14" t="str">
        <x:v>Unable to determine</x:v>
      </x:c>
      <x:c r="BV64" s="14" t="str">
        <x:v>Episode count or production-total proxy unavailable.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tt15309272|nm8704244|doorman</x:v>
      </x:c>
      <x:c r="B65" s="14" t="str">
        <x:v>08</x:v>
      </x:c>
      <x:c r="C65" s="14" t="str">
        <x:v>2022_IMDb_Cast_Lists_Batch_08(1).xlsx</x:v>
      </x:c>
      <x:c r="D65" s="14" t="str">
        <x:v>Funny Woman</x:v>
      </x:c>
      <x:c r="E65" s="14" t="n">
        <x:v>93</x:v>
      </x:c>
      <x:c r="F65" s="14" t="str">
        <x:v>Funny Woman</x:v>
      </x:c>
      <x:c r="G65" s="14" t="str">
        <x:v>tt15309272</x:v>
      </x:c>
      <x:c r="H65" s="14" t="n">
        <x:v>2023</x:v>
      </x:c>
      <x:c r="I65" s="14" t="n">
        <x:v>2023</x:v>
      </x:c>
      <x:c r="J65" s="14" t="str">
        <x:v>New Commission Cohort</x:v>
      </x:c>
      <x:c r="K65" s="14" t="n">
        <x:v>2022</x:v>
      </x:c>
      <x:c r="L65" s="14" t="str">
        <x:v>Used in 2023 annual analysis</x:v>
      </x:c>
      <x:c r="M65" s="15" t="n">
        <x:v>86</x:v>
      </x:c>
      <x:c r="N65" s="14" t="str">
        <x:v>Morgan Bailey</x:v>
      </x:c>
      <x:c r="O65" s="14" t="str">
        <x:v>nm8704244</x:v>
      </x:c>
      <x:c r="P65" s="14" t="str">
        <x:v>Doorman</x:v>
      </x:c>
      <x:c r="Q65" s="15" t="n">
        <x:v>1</x:v>
      </x:c>
      <x:c r="R65" s="14" t="str">
        <x:v>2023</x:v>
      </x:c>
      <x:c r="S65" s="14" t="n">
        <x:v>2023</x:v>
      </x:c>
      <x:c r="T65" s="14" t="n">
        <x:v>2023</x:v>
      </x:c>
      <x:c r="U65" s="14" t="str">
        <x:v>Production assigned to future entry year</x:v>
      </x:c>
      <x:c r="V65" s="14" t="str">
        <x:v>Master register assigns production to 2023, not 2022.</x:v>
      </x:c>
      <x:c r="W65" s="14" t="str">
        <x:v>Annual source/master-register conflict</x:v>
      </x:c>
      <x:c r="X65" s="14" t="str">
        <x:v>Included</x:v>
      </x:c>
      <x:c r="Y65" s="14"/>
      <x:c r="Z65" s="14" t="str">
        <x:v>Funny Woman.docx</x:v>
      </x:c>
      <x:c r="AA6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Sky / NOW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HYPERLINK("https://en.wikipedia.org/wiki/Funny_Woman","Open source")</x:f>
        <x:v>HYPERLINK is not implemented. linkLocation=https://en.wikipedia.org/wiki/Funny_Woman, friendlyName=Open source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 t="str">
        <x:v>No established-register match</x:v>
      </x:c>
      <x:c r="AT65" s="14"/>
      <x:c r="AU65" s="14"/>
      <x:c r="AV65" s="14" t="str">
        <x:v>No established apparent-disability match</x:v>
      </x:c>
      <x:c r="AW65" s="14"/>
      <x:c r="AX65" s="14" t="str">
        <x:v>No</x:v>
      </x:c>
      <x:c r="AY65" s="14" t="str">
        <x:v>Unmatched</x:v>
      </x:c>
      <x:c r="AZ65" s="14" t="str">
        <x:v>Final supplied register</x:v>
      </x:c>
      <x:c r="BA65" s="14" t="str">
        <x:v>Absence from the register is not evidence that the performer is not disabled.</x:v>
      </x:c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/>
      <x:c r="BP65" s="14" t="str">
        <x:v>Unable to calculate from supplied records.</x:v>
      </x:c>
      <x:c r="BQ65" s="14" t="str">
        <x:v>Unable to determine</x:v>
      </x:c>
      <x:c r="BR65" s="15" t="n">
        <x:v>1</x:v>
      </x:c>
      <x:c r="BS65" s="16"/>
      <x:c r="BT65" s="14" t="str">
        <x:v>Unable to calculate</x:v>
      </x:c>
      <x:c r="BU65" s="14" t="str">
        <x:v>Unable to determine</x:v>
      </x:c>
      <x:c r="BV65" s="14" t="str">
        <x:v>Episode count or production-total proxy unavailable.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tt15309272|nm12943080|johnny</x:v>
      </x:c>
      <x:c r="B66" s="14" t="str">
        <x:v>08</x:v>
      </x:c>
      <x:c r="C66" s="14" t="str">
        <x:v>2022_IMDb_Cast_Lists_Batch_08(1).xlsx</x:v>
      </x:c>
      <x:c r="D66" s="14" t="str">
        <x:v>Funny Woman</x:v>
      </x:c>
      <x:c r="E66" s="14" t="n">
        <x:v>94</x:v>
      </x:c>
      <x:c r="F66" s="14" t="str">
        <x:v>Funny Woman</x:v>
      </x:c>
      <x:c r="G66" s="14" t="str">
        <x:v>tt15309272</x:v>
      </x:c>
      <x:c r="H66" s="14" t="n">
        <x:v>2023</x:v>
      </x:c>
      <x:c r="I66" s="14" t="n">
        <x:v>2023</x:v>
      </x:c>
      <x:c r="J66" s="14" t="str">
        <x:v>New Commission Cohort</x:v>
      </x:c>
      <x:c r="K66" s="14" t="n">
        <x:v>2022</x:v>
      </x:c>
      <x:c r="L66" s="14" t="str">
        <x:v>Used in 2023 annual analysis</x:v>
      </x:c>
      <x:c r="M66" s="15" t="n">
        <x:v>87</x:v>
      </x:c>
      <x:c r="N66" s="14" t="str">
        <x:v>Elan Butler</x:v>
      </x:c>
      <x:c r="O66" s="14" t="str">
        <x:v>nm12943080</x:v>
      </x:c>
      <x:c r="P66" s="14" t="str">
        <x:v>Johnny</x:v>
      </x:c>
      <x:c r="Q66" s="15" t="n">
        <x:v>1</x:v>
      </x:c>
      <x:c r="R66" s="14" t="str">
        <x:v>2023</x:v>
      </x:c>
      <x:c r="S66" s="14" t="n">
        <x:v>2023</x:v>
      </x:c>
      <x:c r="T66" s="14" t="n">
        <x:v>2023</x:v>
      </x:c>
      <x:c r="U66" s="14" t="str">
        <x:v>Production assigned to future entry year</x:v>
      </x:c>
      <x:c r="V66" s="14" t="str">
        <x:v>Master register assigns production to 2023, not 2022.</x:v>
      </x:c>
      <x:c r="W66" s="14" t="str">
        <x:v>Annual source/master-register conflict</x:v>
      </x:c>
      <x:c r="X66" s="14" t="str">
        <x:v>Included</x:v>
      </x:c>
      <x:c r="Y66" s="14"/>
      <x:c r="Z66" s="14" t="str">
        <x:v>Funny Woman.docx</x:v>
      </x:c>
      <x:c r="AA6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Sky / NOW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HYPERLINK("https://en.wikipedia.org/wiki/Funny_Woman","Open source")</x:f>
        <x:v>HYPERLINK is not implemented. linkLocation=https://en.wikipedia.org/wiki/Funny_Woman, friendlyName=Open source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 t="str">
        <x:v>No established-register match</x:v>
      </x:c>
      <x:c r="AT66" s="14"/>
      <x:c r="AU66" s="14"/>
      <x:c r="AV66" s="14" t="str">
        <x:v>No established apparent-disability match</x:v>
      </x:c>
      <x:c r="AW66" s="14"/>
      <x:c r="AX66" s="14" t="str">
        <x:v>No</x:v>
      </x:c>
      <x:c r="AY66" s="14" t="str">
        <x:v>Unmatched</x:v>
      </x:c>
      <x:c r="AZ66" s="14" t="str">
        <x:v>Final supplied register</x:v>
      </x:c>
      <x:c r="BA66" s="14" t="str">
        <x:v>Absence from the register is not evidence that the performer is not disabled.</x:v>
      </x:c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/>
      <x:c r="BP66" s="14" t="str">
        <x:v>Unable to calculate from supplied records.</x:v>
      </x:c>
      <x:c r="BQ66" s="14" t="str">
        <x:v>Unable to determine</x:v>
      </x:c>
      <x:c r="BR66" s="15" t="n">
        <x:v>1</x:v>
      </x:c>
      <x:c r="BS66" s="16"/>
      <x:c r="BT66" s="14" t="str">
        <x:v>Unable to calculate</x:v>
      </x:c>
      <x:c r="BU66" s="14" t="str">
        <x:v>Unable to determine</x:v>
      </x:c>
      <x:c r="BV66" s="14" t="str">
        <x:v>Episode count or production-total proxy unavailable.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tt15309272|nm3997154|young man</x:v>
      </x:c>
      <x:c r="B67" s="14" t="str">
        <x:v>08</x:v>
      </x:c>
      <x:c r="C67" s="14" t="str">
        <x:v>2022_IMDb_Cast_Lists_Batch_08(1).xlsx</x:v>
      </x:c>
      <x:c r="D67" s="14" t="str">
        <x:v>Funny Woman</x:v>
      </x:c>
      <x:c r="E67" s="14" t="n">
        <x:v>95</x:v>
      </x:c>
      <x:c r="F67" s="14" t="str">
        <x:v>Funny Woman</x:v>
      </x:c>
      <x:c r="G67" s="14" t="str">
        <x:v>tt15309272</x:v>
      </x:c>
      <x:c r="H67" s="14" t="n">
        <x:v>2023</x:v>
      </x:c>
      <x:c r="I67" s="14" t="n">
        <x:v>2023</x:v>
      </x:c>
      <x:c r="J67" s="14" t="str">
        <x:v>New Commission Cohort</x:v>
      </x:c>
      <x:c r="K67" s="14" t="n">
        <x:v>2022</x:v>
      </x:c>
      <x:c r="L67" s="14" t="str">
        <x:v>Used in 2023 annual analysis</x:v>
      </x:c>
      <x:c r="M67" s="15" t="n">
        <x:v>88</x:v>
      </x:c>
      <x:c r="N67" s="14" t="str">
        <x:v>Miles Higson</x:v>
      </x:c>
      <x:c r="O67" s="14" t="str">
        <x:v>nm3997154</x:v>
      </x:c>
      <x:c r="P67" s="14" t="str">
        <x:v>Young Man</x:v>
      </x:c>
      <x:c r="Q67" s="15" t="n">
        <x:v>1</x:v>
      </x:c>
      <x:c r="R67" s="14" t="str">
        <x:v>2022</x:v>
      </x:c>
      <x:c r="S67" s="14" t="n">
        <x:v>2023</x:v>
      </x:c>
      <x:c r="T67" s="14" t="n">
        <x:v>2023</x:v>
      </x:c>
      <x:c r="U67" s="14" t="str">
        <x:v>Production assigned to future entry year</x:v>
      </x:c>
      <x:c r="V67" s="14" t="str">
        <x:v>Master register assigns production to 2023, not 2022.</x:v>
      </x:c>
      <x:c r="W67" s="14" t="str">
        <x:v>Annual source/master-register conflict</x:v>
      </x:c>
      <x:c r="X67" s="14" t="str">
        <x:v>Included</x:v>
      </x:c>
      <x:c r="Y67" s="14"/>
      <x:c r="Z67" s="14" t="str">
        <x:v>Funny Woman.docx</x:v>
      </x:c>
      <x:c r="AA6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Sky / NOW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HYPERLINK("https://en.wikipedia.org/wiki/Funny_Woman","Open source")</x:f>
        <x:v>HYPERLINK is not implemented. linkLocation=https://en.wikipedia.org/wiki/Funny_Woman, friendlyName=Open source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 t="str">
        <x:v>No established-register match</x:v>
      </x:c>
      <x:c r="AT67" s="14"/>
      <x:c r="AU67" s="14"/>
      <x:c r="AV67" s="14" t="str">
        <x:v>No established apparent-disability match</x:v>
      </x:c>
      <x:c r="AW67" s="14"/>
      <x:c r="AX67" s="14" t="str">
        <x:v>No</x:v>
      </x:c>
      <x:c r="AY67" s="14" t="str">
        <x:v>Unmatched</x:v>
      </x:c>
      <x:c r="AZ67" s="14" t="str">
        <x:v>Final supplied register</x:v>
      </x:c>
      <x:c r="BA67" s="14" t="str">
        <x:v>Absence from the register is not evidence that the performer is not disabled.</x:v>
      </x:c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/>
      <x:c r="BP67" s="14" t="str">
        <x:v>Unable to calculate from supplied records.</x:v>
      </x:c>
      <x:c r="BQ67" s="14" t="str">
        <x:v>Unable to determine</x:v>
      </x:c>
      <x:c r="BR67" s="15" t="n">
        <x:v>1</x:v>
      </x:c>
      <x:c r="BS67" s="16"/>
      <x:c r="BT67" s="14" t="str">
        <x:v>Unable to calculate</x:v>
      </x:c>
      <x:c r="BU67" s="14" t="str">
        <x:v>Unable to determine</x:v>
      </x:c>
      <x:c r="BV67" s="14" t="str">
        <x:v>Episode count or production-total proxy unavailable.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tt15309272|nm1133728|mario cassandro</x:v>
      </x:c>
      <x:c r="B68" s="14" t="str">
        <x:v>08</x:v>
      </x:c>
      <x:c r="C68" s="14" t="str">
        <x:v>2022_IMDb_Cast_Lists_Batch_08(1).xlsx</x:v>
      </x:c>
      <x:c r="D68" s="14" t="str">
        <x:v>Funny Woman</x:v>
      </x:c>
      <x:c r="E68" s="14" t="n">
        <x:v>96</x:v>
      </x:c>
      <x:c r="F68" s="14" t="str">
        <x:v>Funny Woman</x:v>
      </x:c>
      <x:c r="G68" s="14" t="str">
        <x:v>tt15309272</x:v>
      </x:c>
      <x:c r="H68" s="14" t="n">
        <x:v>2023</x:v>
      </x:c>
      <x:c r="I68" s="14" t="n">
        <x:v>2023</x:v>
      </x:c>
      <x:c r="J68" s="14" t="str">
        <x:v>New Commission Cohort</x:v>
      </x:c>
      <x:c r="K68" s="14" t="n">
        <x:v>2022</x:v>
      </x:c>
      <x:c r="L68" s="14" t="str">
        <x:v>Used in 2023 annual analysis</x:v>
      </x:c>
      <x:c r="M68" s="15" t="n">
        <x:v>89</x:v>
      </x:c>
      <x:c r="N68" s="14" t="str">
        <x:v>Stephen Marzella</x:v>
      </x:c>
      <x:c r="O68" s="14" t="str">
        <x:v>nm1133728</x:v>
      </x:c>
      <x:c r="P68" s="14" t="str">
        <x:v>Mario Cassandro</x:v>
      </x:c>
      <x:c r="Q68" s="15" t="n">
        <x:v>1</x:v>
      </x:c>
      <x:c r="R68" s="14" t="str">
        <x:v>2023</x:v>
      </x:c>
      <x:c r="S68" s="14" t="n">
        <x:v>2023</x:v>
      </x:c>
      <x:c r="T68" s="14" t="n">
        <x:v>2023</x:v>
      </x:c>
      <x:c r="U68" s="14" t="str">
        <x:v>Production assigned to future entry year</x:v>
      </x:c>
      <x:c r="V68" s="14" t="str">
        <x:v>Master register assigns production to 2023, not 2022.</x:v>
      </x:c>
      <x:c r="W68" s="14" t="str">
        <x:v>Annual source/master-register conflict</x:v>
      </x:c>
      <x:c r="X68" s="14" t="str">
        <x:v>Included</x:v>
      </x:c>
      <x:c r="Y68" s="14"/>
      <x:c r="Z68" s="14" t="str">
        <x:v>Funny Woman.docx</x:v>
      </x:c>
      <x:c r="AA6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Sky / NOW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HYPERLINK("https://en.wikipedia.org/wiki/Funny_Woman","Open source")</x:f>
        <x:v>HYPERLINK is not implemented. linkLocation=https://en.wikipedia.org/wiki/Funny_Woman, friendlyName=Open source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 t="str">
        <x:v>No established-register match</x:v>
      </x:c>
      <x:c r="AT68" s="14"/>
      <x:c r="AU68" s="14"/>
      <x:c r="AV68" s="14" t="str">
        <x:v>No established apparent-disability match</x:v>
      </x:c>
      <x:c r="AW68" s="14"/>
      <x:c r="AX68" s="14" t="str">
        <x:v>No</x:v>
      </x:c>
      <x:c r="AY68" s="14" t="str">
        <x:v>Unmatched</x:v>
      </x:c>
      <x:c r="AZ68" s="14" t="str">
        <x:v>Final supplied register</x:v>
      </x:c>
      <x:c r="BA68" s="14" t="str">
        <x:v>Absence from the register is not evidence that the performer is not disabled.</x:v>
      </x:c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/>
      <x:c r="BP68" s="14" t="str">
        <x:v>Unable to calculate from supplied records.</x:v>
      </x:c>
      <x:c r="BQ68" s="14" t="str">
        <x:v>Unable to determine</x:v>
      </x:c>
      <x:c r="BR68" s="15" t="n">
        <x:v>1</x:v>
      </x:c>
      <x:c r="BS68" s="16"/>
      <x:c r="BT68" s="14" t="str">
        <x:v>Unable to calculate</x:v>
      </x:c>
      <x:c r="BU68" s="14" t="str">
        <x:v>Unable to determine</x:v>
      </x:c>
      <x:c r="BV68" s="14" t="str">
        <x:v>Episode count or production-total proxy unavailable.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tt15309272|nm8160956|spike milligan</x:v>
      </x:c>
      <x:c r="B69" s="14" t="str">
        <x:v>08</x:v>
      </x:c>
      <x:c r="C69" s="14" t="str">
        <x:v>2022_IMDb_Cast_Lists_Batch_08(1).xlsx</x:v>
      </x:c>
      <x:c r="D69" s="14" t="str">
        <x:v>Funny Woman</x:v>
      </x:c>
      <x:c r="E69" s="14" t="n">
        <x:v>97</x:v>
      </x:c>
      <x:c r="F69" s="14" t="str">
        <x:v>Funny Woman</x:v>
      </x:c>
      <x:c r="G69" s="14" t="str">
        <x:v>tt15309272</x:v>
      </x:c>
      <x:c r="H69" s="14" t="n">
        <x:v>2023</x:v>
      </x:c>
      <x:c r="I69" s="14" t="n">
        <x:v>2023</x:v>
      </x:c>
      <x:c r="J69" s="14" t="str">
        <x:v>New Commission Cohort</x:v>
      </x:c>
      <x:c r="K69" s="14" t="n">
        <x:v>2022</x:v>
      </x:c>
      <x:c r="L69" s="14" t="str">
        <x:v>Used in 2023 annual analysis</x:v>
      </x:c>
      <x:c r="M69" s="15" t="n">
        <x:v>90</x:v>
      </x:c>
      <x:c r="N69" s="14" t="str">
        <x:v>Alexander Jonas</x:v>
      </x:c>
      <x:c r="O69" s="14" t="str">
        <x:v>nm8160956</x:v>
      </x:c>
      <x:c r="P69" s="14" t="str">
        <x:v>Spike Milligan</x:v>
      </x:c>
      <x:c r="Q69" s="15" t="n">
        <x:v>1</x:v>
      </x:c>
      <x:c r="R69" s="14" t="str">
        <x:v>2022</x:v>
      </x:c>
      <x:c r="S69" s="14" t="n">
        <x:v>2023</x:v>
      </x:c>
      <x:c r="T69" s="14" t="n">
        <x:v>2023</x:v>
      </x:c>
      <x:c r="U69" s="14" t="str">
        <x:v>Production assigned to future entry year</x:v>
      </x:c>
      <x:c r="V69" s="14" t="str">
        <x:v>Master register assigns production to 2023, not 2022.</x:v>
      </x:c>
      <x:c r="W69" s="14" t="str">
        <x:v>Annual source/master-register conflict</x:v>
      </x:c>
      <x:c r="X69" s="14" t="str">
        <x:v>Included</x:v>
      </x:c>
      <x:c r="Y69" s="14"/>
      <x:c r="Z69" s="14" t="str">
        <x:v>Funny Woman.docx</x:v>
      </x:c>
      <x:c r="AA6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Sky / NOW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HYPERLINK("https://en.wikipedia.org/wiki/Funny_Woman","Open source")</x:f>
        <x:v>HYPERLINK is not implemented. linkLocation=https://en.wikipedia.org/wiki/Funny_Woman, friendlyName=Open source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 t="str">
        <x:v>No established-register match</x:v>
      </x:c>
      <x:c r="AT69" s="14"/>
      <x:c r="AU69" s="14"/>
      <x:c r="AV69" s="14" t="str">
        <x:v>No established apparent-disability match</x:v>
      </x:c>
      <x:c r="AW69" s="14"/>
      <x:c r="AX69" s="14" t="str">
        <x:v>No</x:v>
      </x:c>
      <x:c r="AY69" s="14" t="str">
        <x:v>Unmatched</x:v>
      </x:c>
      <x:c r="AZ69" s="14" t="str">
        <x:v>Final supplied register</x:v>
      </x:c>
      <x:c r="BA69" s="14" t="str">
        <x:v>Absence from the register is not evidence that the performer is not disabled.</x:v>
      </x:c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/>
      <x:c r="BP69" s="14" t="str">
        <x:v>Unable to calculate from supplied records.</x:v>
      </x:c>
      <x:c r="BQ69" s="14" t="str">
        <x:v>Unable to determine</x:v>
      </x:c>
      <x:c r="BR69" s="15" t="n">
        <x:v>1</x:v>
      </x:c>
      <x:c r="BS69" s="16"/>
      <x:c r="BT69" s="14" t="str">
        <x:v>Unable to calculate</x:v>
      </x:c>
      <x:c r="BU69" s="14" t="str">
        <x:v>Unable to determine</x:v>
      </x:c>
      <x:c r="BV69" s="14" t="str">
        <x:v>Episode count or production-total proxy unavailable.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tt13683866|nm1600132|tariq</x:v>
      </x:c>
      <x:c r="B70" s="14" t="str">
        <x:v>01</x:v>
      </x:c>
      <x:c r="C70" s="14" t="str">
        <x:v>2022_IMDb_Cast_Lists_Batch_01(1).xlsx</x:v>
      </x:c>
      <x:c r="D70" s="14" t="str">
        <x:v>Big Boys</x:v>
      </x:c>
      <x:c r="E70" s="14" t="n">
        <x:v>20</x:v>
      </x:c>
      <x:c r="F70" s="14" t="str">
        <x:v>Big Boys</x:v>
      </x:c>
      <x:c r="G70" s="14" t="str">
        <x:v>tt13683866</x:v>
      </x:c>
      <x:c r="H70" s="14" t="n">
        <x:v>2022</x:v>
      </x:c>
      <x:c r="I70" s="14" t="n">
        <x:v>2023</x:v>
      </x:c>
      <x:c r="J70" s="14" t="str">
        <x:v>Earlier-Production Carry-In Cohort</x:v>
      </x:c>
      <x:c r="K70" s="14" t="n">
        <x:v>2022</x:v>
      </x:c>
      <x:c r="L70" s="14" t="str">
        <x:v>Used in 2023 annual analysis</x:v>
      </x:c>
      <x:c r="M70" s="15" t="n">
        <x:v>13</x:v>
      </x:c>
      <x:c r="N70" s="14" t="str">
        <x:v>Shane Zaza</x:v>
      </x:c>
      <x:c r="O70" s="14" t="str">
        <x:v>nm1600132</x:v>
      </x:c>
      <x:c r="P70" s="14" t="str">
        <x:v>Tariq</x:v>
      </x:c>
      <x:c r="Q70" s="15" t="n">
        <x:v>6</x:v>
      </x:c>
      <x:c r="R70" s="14" t="str">
        <x:v>2023–2025</x:v>
      </x:c>
      <x:c r="S70" s="14" t="n">
        <x:v>2023</x:v>
      </x:c>
      <x:c r="T70" s="14" t="n">
        <x:v>2023</x:v>
      </x:c>
      <x:c r="U70" s="14" t="str">
        <x:v>Explicit source first year retained</x:v>
      </x:c>
      <x:c r="V70" s="14" t="str">
        <x:v>Earliest supplied year is 2023.</x:v>
      </x:c>
      <x:c r="W70" s="14"/>
      <x:c r="X70" s="14" t="str">
        <x:v>Included</x:v>
      </x:c>
      <x:c r="Y70" s="14"/>
      <x:c r="Z70" s="14" t="str">
        <x:v>Big Boys.docx</x:v>
      </x:c>
      <x:c r="AA7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Channel 4 / E4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HYPERLINK("https://en.wikipedia.org/wiki/Big_Boy","Open source")</x:f>
        <x:v>HYPERLINK is not implemented. linkLocation=https://en.wikipedia.org/wiki/Big_Boy, friendlyName=Open source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 t="str">
        <x:v>No established-register match</x:v>
      </x:c>
      <x:c r="AT70" s="14"/>
      <x:c r="AU70" s="14"/>
      <x:c r="AV70" s="14" t="str">
        <x:v>No established apparent-disability match</x:v>
      </x:c>
      <x:c r="AW70" s="14"/>
      <x:c r="AX70" s="14" t="str">
        <x:v>No</x:v>
      </x:c>
      <x:c r="AY70" s="14" t="str">
        <x:v>Unmatched</x:v>
      </x:c>
      <x:c r="AZ70" s="14" t="str">
        <x:v>Final supplied register</x:v>
      </x:c>
      <x:c r="BA70" s="14" t="str">
        <x:v>Absence from the register is not evidence that the performer is not disabled.</x:v>
      </x:c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18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6</x:v>
      </x:c>
      <x:c r="BS70" s="16" t="n">
        <x:v>0.3333333333333333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tt13683866|nm0912938|dennis</x:v>
      </x:c>
      <x:c r="B71" s="14" t="str">
        <x:v>01</x:v>
      </x:c>
      <x:c r="C71" s="14" t="str">
        <x:v>2022_IMDb_Cast_Lists_Batch_01(1).xlsx</x:v>
      </x:c>
      <x:c r="D71" s="14" t="str">
        <x:v>Big Boys</x:v>
      </x:c>
      <x:c r="E71" s="14" t="n">
        <x:v>22</x:v>
      </x:c>
      <x:c r="F71" s="14" t="str">
        <x:v>Big Boys</x:v>
      </x:c>
      <x:c r="G71" s="14" t="str">
        <x:v>tt13683866</x:v>
      </x:c>
      <x:c r="H71" s="14" t="n">
        <x:v>2022</x:v>
      </x:c>
      <x:c r="I71" s="14" t="n">
        <x:v>2023</x:v>
      </x:c>
      <x:c r="J71" s="14" t="str">
        <x:v>Earlier-Production Carry-In Cohort</x:v>
      </x:c>
      <x:c r="K71" s="14" t="n">
        <x:v>2022</x:v>
      </x:c>
      <x:c r="L71" s="14" t="str">
        <x:v>Used in 2023 annual analysis</x:v>
      </x:c>
      <x:c r="M71" s="15" t="n">
        <x:v>15</x:v>
      </x:c>
      <x:c r="N71" s="14" t="str">
        <x:v>Marc Warren</x:v>
      </x:c>
      <x:c r="O71" s="14" t="str">
        <x:v>nm0912938</x:v>
      </x:c>
      <x:c r="P71" s="14" t="str">
        <x:v>Dennis</x:v>
      </x:c>
      <x:c r="Q71" s="15" t="n">
        <x:v>4</x:v>
      </x:c>
      <x:c r="R71" s="14" t="str">
        <x:v>2023–2025</x:v>
      </x:c>
      <x:c r="S71" s="14" t="n">
        <x:v>2023</x:v>
      </x:c>
      <x:c r="T71" s="14" t="n">
        <x:v>2023</x:v>
      </x:c>
      <x:c r="U71" s="14" t="str">
        <x:v>Explicit source first year retained</x:v>
      </x:c>
      <x:c r="V71" s="14" t="str">
        <x:v>Earliest supplied year is 2023.</x:v>
      </x:c>
      <x:c r="W71" s="14"/>
      <x:c r="X71" s="14" t="str">
        <x:v>Included</x:v>
      </x:c>
      <x:c r="Y71" s="14"/>
      <x:c r="Z71" s="14" t="str">
        <x:v>Big Boys.docx</x:v>
      </x:c>
      <x:c r="AA7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Channel 4 / E4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HYPERLINK("https://en.wikipedia.org/wiki/Big_Boy","Open source")</x:f>
        <x:v>HYPERLINK is not implemented. linkLocation=https://en.wikipedia.org/wiki/Big_Boy, friendlyName=Open source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 t="str">
        <x:v>No established-register match</x:v>
      </x:c>
      <x:c r="AT71" s="14"/>
      <x:c r="AU71" s="14"/>
      <x:c r="AV71" s="14" t="str">
        <x:v>No established apparent-disability match</x:v>
      </x:c>
      <x:c r="AW71" s="14"/>
      <x:c r="AX71" s="14" t="str">
        <x:v>No</x:v>
      </x:c>
      <x:c r="AY71" s="14" t="str">
        <x:v>Unmatched</x:v>
      </x:c>
      <x:c r="AZ71" s="14" t="str">
        <x:v>Final supplied register</x:v>
      </x:c>
      <x:c r="BA71" s="14" t="str">
        <x:v>Absence from the register is not evidence that the performer is not disabled.</x:v>
      </x:c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18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4</x:v>
      </x:c>
      <x:c r="BS71" s="16" t="n">
        <x:v>0.2222222222222222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tt13683866|nm0230577|russell</x:v>
      </x:c>
      <x:c r="B72" s="14" t="str">
        <x:v>01</x:v>
      </x:c>
      <x:c r="C72" s="14" t="str">
        <x:v>2022_IMDb_Cast_Lists_Batch_01(1).xlsx</x:v>
      </x:c>
      <x:c r="D72" s="14" t="str">
        <x:v>Big Boys</x:v>
      </x:c>
      <x:c r="E72" s="14" t="n">
        <x:v>24</x:v>
      </x:c>
      <x:c r="F72" s="14" t="str">
        <x:v>Big Boys</x:v>
      </x:c>
      <x:c r="G72" s="14" t="str">
        <x:v>tt13683866</x:v>
      </x:c>
      <x:c r="H72" s="14" t="n">
        <x:v>2022</x:v>
      </x:c>
      <x:c r="I72" s="14" t="n">
        <x:v>2023</x:v>
      </x:c>
      <x:c r="J72" s="14" t="str">
        <x:v>Earlier-Production Carry-In Cohort</x:v>
      </x:c>
      <x:c r="K72" s="14" t="n">
        <x:v>2022</x:v>
      </x:c>
      <x:c r="L72" s="14" t="str">
        <x:v>Used in 2023 annual analysis</x:v>
      </x:c>
      <x:c r="M72" s="15" t="n">
        <x:v>17</x:v>
      </x:c>
      <x:c r="N72" s="14" t="str">
        <x:v>James Doherty</x:v>
      </x:c>
      <x:c r="O72" s="14" t="str">
        <x:v>nm0230577</x:v>
      </x:c>
      <x:c r="P72" s="14" t="str">
        <x:v>Russell</x:v>
      </x:c>
      <x:c r="Q72" s="15" t="n">
        <x:v>4</x:v>
      </x:c>
      <x:c r="R72" s="14" t="str">
        <x:v>2023–2025</x:v>
      </x:c>
      <x:c r="S72" s="14" t="n">
        <x:v>2023</x:v>
      </x:c>
      <x:c r="T72" s="14" t="n">
        <x:v>2023</x:v>
      </x:c>
      <x:c r="U72" s="14" t="str">
        <x:v>Explicit source first year retained</x:v>
      </x:c>
      <x:c r="V72" s="14" t="str">
        <x:v>Earliest supplied year is 2023.</x:v>
      </x:c>
      <x:c r="W72" s="14"/>
      <x:c r="X72" s="14" t="str">
        <x:v>Included</x:v>
      </x:c>
      <x:c r="Y72" s="14"/>
      <x:c r="Z72" s="14" t="str">
        <x:v>Big Boys.docx</x:v>
      </x:c>
      <x:c r="AA7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Channel 4 / E4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HYPERLINK("https://en.wikipedia.org/wiki/Big_Boy","Open source")</x:f>
        <x:v>HYPERLINK is not implemented. linkLocation=https://en.wikipedia.org/wiki/Big_Boy, friendlyName=Open source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 t="str">
        <x:v>No established-register match</x:v>
      </x:c>
      <x:c r="AT72" s="14"/>
      <x:c r="AU72" s="14"/>
      <x:c r="AV72" s="14" t="str">
        <x:v>No established apparent-disability match</x:v>
      </x:c>
      <x:c r="AW72" s="14"/>
      <x:c r="AX72" s="14" t="str">
        <x:v>No</x:v>
      </x:c>
      <x:c r="AY72" s="14" t="str">
        <x:v>Unmatched</x:v>
      </x:c>
      <x:c r="AZ72" s="14" t="str">
        <x:v>Final supplied register</x:v>
      </x:c>
      <x:c r="BA72" s="14" t="str">
        <x:v>Absence from the register is not evidence that the performer is not disabled.</x:v>
      </x:c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18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4</x:v>
      </x:c>
      <x:c r="BS72" s="16" t="n">
        <x:v>0.2222222222222222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tt13683866|nm8252768|oscar</x:v>
      </x:c>
      <x:c r="B73" s="14" t="str">
        <x:v>01</x:v>
      </x:c>
      <x:c r="C73" s="14" t="str">
        <x:v>2022_IMDb_Cast_Lists_Batch_01(1).xlsx</x:v>
      </x:c>
      <x:c r="D73" s="14" t="str">
        <x:v>Big Boys</x:v>
      </x:c>
      <x:c r="E73" s="14" t="n">
        <x:v>28</x:v>
      </x:c>
      <x:c r="F73" s="14" t="str">
        <x:v>Big Boys</x:v>
      </x:c>
      <x:c r="G73" s="14" t="str">
        <x:v>tt13683866</x:v>
      </x:c>
      <x:c r="H73" s="14" t="n">
        <x:v>2022</x:v>
      </x:c>
      <x:c r="I73" s="14" t="n">
        <x:v>2023</x:v>
      </x:c>
      <x:c r="J73" s="14" t="str">
        <x:v>Earlier-Production Carry-In Cohort</x:v>
      </x:c>
      <x:c r="K73" s="14" t="n">
        <x:v>2022</x:v>
      </x:c>
      <x:c r="L73" s="14" t="str">
        <x:v>Used in 2023 annual analysis</x:v>
      </x:c>
      <x:c r="M73" s="15" t="n">
        <x:v>21</x:v>
      </x:c>
      <x:c r="N73" s="14" t="str">
        <x:v>Jake Dunn</x:v>
      </x:c>
      <x:c r="O73" s="14" t="str">
        <x:v>nm8252768</x:v>
      </x:c>
      <x:c r="P73" s="14" t="str">
        <x:v>Oscar</x:v>
      </x:c>
      <x:c r="Q73" s="15" t="n">
        <x:v>2</x:v>
      </x:c>
      <x:c r="R73" s="14" t="str">
        <x:v>2023</x:v>
      </x:c>
      <x:c r="S73" s="14" t="n">
        <x:v>2023</x:v>
      </x:c>
      <x:c r="T73" s="14" t="n">
        <x:v>2023</x:v>
      </x:c>
      <x:c r="U73" s="14" t="str">
        <x:v>Explicit source first year retained</x:v>
      </x:c>
      <x:c r="V73" s="14" t="str">
        <x:v>Earliest supplied year is 2023.</x:v>
      </x:c>
      <x:c r="W73" s="14"/>
      <x:c r="X73" s="14" t="str">
        <x:v>Included</x:v>
      </x:c>
      <x:c r="Y73" s="14"/>
      <x:c r="Z73" s="14" t="str">
        <x:v>Big Boys.docx</x:v>
      </x:c>
      <x:c r="AA7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Channel 4 / E4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HYPERLINK("https://en.wikipedia.org/wiki/Big_Boy","Open source")</x:f>
        <x:v>HYPERLINK is not implemented. linkLocation=https://en.wikipedia.org/wiki/Big_Boy, friendlyName=Open source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 t="str">
        <x:v>No established-register match</x:v>
      </x:c>
      <x:c r="AT73" s="14"/>
      <x:c r="AU73" s="14"/>
      <x:c r="AV73" s="14" t="str">
        <x:v>No established apparent-disability match</x:v>
      </x:c>
      <x:c r="AW73" s="14"/>
      <x:c r="AX73" s="14" t="str">
        <x:v>No</x:v>
      </x:c>
      <x:c r="AY73" s="14" t="str">
        <x:v>Unmatched</x:v>
      </x:c>
      <x:c r="AZ73" s="14" t="str">
        <x:v>Final supplied register</x:v>
      </x:c>
      <x:c r="BA73" s="14" t="str">
        <x:v>Absence from the register is not evidence that the performer is not disabled.</x:v>
      </x:c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18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0.1111111111111111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tt13683866|nm11346330|sally</x:v>
      </x:c>
      <x:c r="B74" s="14" t="str">
        <x:v>01</x:v>
      </x:c>
      <x:c r="C74" s="14" t="str">
        <x:v>2022_IMDb_Cast_Lists_Batch_01(1).xlsx</x:v>
      </x:c>
      <x:c r="D74" s="14" t="str">
        <x:v>Big Boys</x:v>
      </x:c>
      <x:c r="E74" s="14" t="n">
        <x:v>30</x:v>
      </x:c>
      <x:c r="F74" s="14" t="str">
        <x:v>Big Boys</x:v>
      </x:c>
      <x:c r="G74" s="14" t="str">
        <x:v>tt13683866</x:v>
      </x:c>
      <x:c r="H74" s="14" t="n">
        <x:v>2022</x:v>
      </x:c>
      <x:c r="I74" s="14" t="n">
        <x:v>2023</x:v>
      </x:c>
      <x:c r="J74" s="14" t="str">
        <x:v>Earlier-Production Carry-In Cohort</x:v>
      </x:c>
      <x:c r="K74" s="14" t="n">
        <x:v>2022</x:v>
      </x:c>
      <x:c r="L74" s="14" t="str">
        <x:v>Used in 2023 annual analysis</x:v>
      </x:c>
      <x:c r="M74" s="15" t="n">
        <x:v>23</x:v>
      </x:c>
      <x:c r="N74" s="14" t="str">
        <x:v>Madelyn Smedley</x:v>
      </x:c>
      <x:c r="O74" s="14" t="str">
        <x:v>nm11346330</x:v>
      </x:c>
      <x:c r="P74" s="14" t="str">
        <x:v>Sally</x:v>
      </x:c>
      <x:c r="Q74" s="15" t="n">
        <x:v>2</x:v>
      </x:c>
      <x:c r="R74" s="14" t="str">
        <x:v>2023</x:v>
      </x:c>
      <x:c r="S74" s="14" t="n">
        <x:v>2023</x:v>
      </x:c>
      <x:c r="T74" s="14" t="n">
        <x:v>2023</x:v>
      </x:c>
      <x:c r="U74" s="14" t="str">
        <x:v>Explicit source first year retained</x:v>
      </x:c>
      <x:c r="V74" s="14" t="str">
        <x:v>Earliest supplied year is 2023.</x:v>
      </x:c>
      <x:c r="W74" s="14"/>
      <x:c r="X74" s="14" t="str">
        <x:v>Included</x:v>
      </x:c>
      <x:c r="Y74" s="14"/>
      <x:c r="Z74" s="14" t="str">
        <x:v>Big Boys.docx</x:v>
      </x:c>
      <x:c r="AA7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Channel 4 / E4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HYPERLINK("https://en.wikipedia.org/wiki/Big_Boy","Open source")</x:f>
        <x:v>HYPERLINK is not implemented. linkLocation=https://en.wikipedia.org/wiki/Big_Boy, friendlyName=Open source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 t="str">
        <x:v>No established-register match</x:v>
      </x:c>
      <x:c r="AT74" s="14"/>
      <x:c r="AU74" s="14"/>
      <x:c r="AV74" s="14" t="str">
        <x:v>No established apparent-disability match</x:v>
      </x:c>
      <x:c r="AW74" s="14"/>
      <x:c r="AX74" s="14" t="str">
        <x:v>No</x:v>
      </x:c>
      <x:c r="AY74" s="14" t="str">
        <x:v>Unmatched</x:v>
      </x:c>
      <x:c r="AZ74" s="14" t="str">
        <x:v>Final supplied register</x:v>
      </x:c>
      <x:c r="BA74" s="14" t="str">
        <x:v>Absence from the register is not evidence that the performer is not disabled.</x:v>
      </x:c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18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2</x:v>
      </x:c>
      <x:c r="BS74" s="16" t="n">
        <x:v>0.1111111111111111</x:v>
      </x:c>
      <x:c r="BT74" s="14" t="str">
        <x:v>Minority of episodes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tt13683866|nm5065265|cousin mark</x:v>
      </x:c>
      <x:c r="B75" s="14" t="str">
        <x:v>01</x:v>
      </x:c>
      <x:c r="C75" s="14" t="str">
        <x:v>2022_IMDb_Cast_Lists_Batch_01(1).xlsx</x:v>
      </x:c>
      <x:c r="D75" s="14" t="str">
        <x:v>Big Boys</x:v>
      </x:c>
      <x:c r="E75" s="14" t="n">
        <x:v>34</x:v>
      </x:c>
      <x:c r="F75" s="14" t="str">
        <x:v>Big Boys</x:v>
      </x:c>
      <x:c r="G75" s="14" t="str">
        <x:v>tt13683866</x:v>
      </x:c>
      <x:c r="H75" s="14" t="n">
        <x:v>2022</x:v>
      </x:c>
      <x:c r="I75" s="14" t="n">
        <x:v>2023</x:v>
      </x:c>
      <x:c r="J75" s="14" t="str">
        <x:v>Earlier-Production Carry-In Cohort</x:v>
      </x:c>
      <x:c r="K75" s="14" t="n">
        <x:v>2022</x:v>
      </x:c>
      <x:c r="L75" s="14" t="str">
        <x:v>Used in 2023 annual analysis</x:v>
      </x:c>
      <x:c r="M75" s="15" t="n">
        <x:v>27</x:v>
      </x:c>
      <x:c r="N75" s="14" t="str">
        <x:v>Charley Palmer Rothwell</x:v>
      </x:c>
      <x:c r="O75" s="14" t="str">
        <x:v>nm5065265</x:v>
      </x:c>
      <x:c r="P75" s="14" t="str">
        <x:v>Cousin Mark</x:v>
      </x:c>
      <x:c r="Q75" s="15" t="n">
        <x:v>2</x:v>
      </x:c>
      <x:c r="R75" s="14" t="str">
        <x:v>2023–2025</x:v>
      </x:c>
      <x:c r="S75" s="14" t="n">
        <x:v>2023</x:v>
      </x:c>
      <x:c r="T75" s="14" t="n">
        <x:v>2023</x:v>
      </x:c>
      <x:c r="U75" s="14" t="str">
        <x:v>Explicit source first year retained</x:v>
      </x:c>
      <x:c r="V75" s="14" t="str">
        <x:v>Earliest supplied year is 2023.</x:v>
      </x:c>
      <x:c r="W75" s="14"/>
      <x:c r="X75" s="14" t="str">
        <x:v>Included</x:v>
      </x:c>
      <x:c r="Y75" s="14"/>
      <x:c r="Z75" s="14" t="str">
        <x:v>Big Boys.docx</x:v>
      </x:c>
      <x:c r="AA7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Channel 4 / E4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HYPERLINK("https://en.wikipedia.org/wiki/Big_Boy","Open source")</x:f>
        <x:v>HYPERLINK is not implemented. linkLocation=https://en.wikipedia.org/wiki/Big_Boy, friendlyName=Open source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 t="str">
        <x:v>No established-register match</x:v>
      </x:c>
      <x:c r="AT75" s="14"/>
      <x:c r="AU75" s="14"/>
      <x:c r="AV75" s="14" t="str">
        <x:v>No established apparent-disability match</x:v>
      </x:c>
      <x:c r="AW75" s="14"/>
      <x:c r="AX75" s="14" t="str">
        <x:v>No</x:v>
      </x:c>
      <x:c r="AY75" s="14" t="str">
        <x:v>Unmatched</x:v>
      </x:c>
      <x:c r="AZ75" s="14" t="str">
        <x:v>Final supplied register</x:v>
      </x:c>
      <x:c r="BA75" s="14" t="str">
        <x:v>Absence from the register is not evidence that the performer is not disabled.</x:v>
      </x:c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18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2</x:v>
      </x:c>
      <x:c r="BS75" s="16" t="n">
        <x:v>0.1111111111111111</x:v>
      </x:c>
      <x:c r="BT75" s="14" t="str">
        <x:v>Minority of episodes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tt13683866|nm7328091|lgbtqia+society / student</x:v>
      </x:c>
      <x:c r="B76" s="14" t="str">
        <x:v>01</x:v>
      </x:c>
      <x:c r="C76" s="14" t="str">
        <x:v>2022_IMDb_Cast_Lists_Batch_01(1).xlsx</x:v>
      </x:c>
      <x:c r="D76" s="14" t="str">
        <x:v>Big Boys</x:v>
      </x:c>
      <x:c r="E76" s="14" t="n">
        <x:v>35</x:v>
      </x:c>
      <x:c r="F76" s="14" t="str">
        <x:v>Big Boys</x:v>
      </x:c>
      <x:c r="G76" s="14" t="str">
        <x:v>tt13683866</x:v>
      </x:c>
      <x:c r="H76" s="14" t="n">
        <x:v>2022</x:v>
      </x:c>
      <x:c r="I76" s="14" t="n">
        <x:v>2023</x:v>
      </x:c>
      <x:c r="J76" s="14" t="str">
        <x:v>Earlier-Production Carry-In Cohort</x:v>
      </x:c>
      <x:c r="K76" s="14" t="n">
        <x:v>2022</x:v>
      </x:c>
      <x:c r="L76" s="14" t="str">
        <x:v>Used in 2023 annual analysis</x:v>
      </x:c>
      <x:c r="M76" s="15" t="n">
        <x:v>28</x:v>
      </x:c>
      <x:c r="N76" s="14" t="str">
        <x:v>Aetheria Angel</x:v>
      </x:c>
      <x:c r="O76" s="14" t="str">
        <x:v>nm7328091</x:v>
      </x:c>
      <x:c r="P76" s="14" t="str">
        <x:v>Lgbtqia+Society / Student</x:v>
      </x:c>
      <x:c r="Q76" s="15" t="n">
        <x:v>2</x:v>
      </x:c>
      <x:c r="R76" s="14" t="str">
        <x:v>2023</x:v>
      </x:c>
      <x:c r="S76" s="14" t="n">
        <x:v>2023</x:v>
      </x:c>
      <x:c r="T76" s="14" t="n">
        <x:v>2023</x:v>
      </x:c>
      <x:c r="U76" s="14" t="str">
        <x:v>Explicit source first year retained</x:v>
      </x:c>
      <x:c r="V76" s="14" t="str">
        <x:v>Earliest supplied year is 2023.</x:v>
      </x:c>
      <x:c r="W76" s="14"/>
      <x:c r="X76" s="14" t="str">
        <x:v>Included</x:v>
      </x:c>
      <x:c r="Y76" s="14"/>
      <x:c r="Z76" s="14" t="str">
        <x:v>Big Boys.docx</x:v>
      </x:c>
      <x:c r="AA7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Channel 4 / E4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HYPERLINK("https://en.wikipedia.org/wiki/Big_Boy","Open source")</x:f>
        <x:v>HYPERLINK is not implemented. linkLocation=https://en.wikipedia.org/wiki/Big_Boy, friendlyName=Open source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 t="str">
        <x:v>No established-register match</x:v>
      </x:c>
      <x:c r="AT76" s="14"/>
      <x:c r="AU76" s="14"/>
      <x:c r="AV76" s="14" t="str">
        <x:v>No established apparent-disability match</x:v>
      </x:c>
      <x:c r="AW76" s="14"/>
      <x:c r="AX76" s="14" t="str">
        <x:v>No</x:v>
      </x:c>
      <x:c r="AY76" s="14" t="str">
        <x:v>Unmatched</x:v>
      </x:c>
      <x:c r="AZ76" s="14" t="str">
        <x:v>Final supplied register</x:v>
      </x:c>
      <x:c r="BA76" s="14" t="str">
        <x:v>Absence from the register is not evidence that the performer is not disabled.</x:v>
      </x:c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18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2</x:v>
      </x:c>
      <x:c r="BS76" s="16" t="n">
        <x:v>0.1111111111111111</x:v>
      </x:c>
      <x:c r="BT76" s="14" t="str">
        <x:v>Minority of episodes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tt13683866|nm11125256|suzie</x:v>
      </x:c>
      <x:c r="B77" s="14" t="str">
        <x:v>01</x:v>
      </x:c>
      <x:c r="C77" s="14" t="str">
        <x:v>2022_IMDb_Cast_Lists_Batch_01(1).xlsx</x:v>
      </x:c>
      <x:c r="D77" s="14" t="str">
        <x:v>Big Boys</x:v>
      </x:c>
      <x:c r="E77" s="14" t="n">
        <x:v>39</x:v>
      </x:c>
      <x:c r="F77" s="14" t="str">
        <x:v>Big Boys</x:v>
      </x:c>
      <x:c r="G77" s="14" t="str">
        <x:v>tt13683866</x:v>
      </x:c>
      <x:c r="H77" s="14" t="n">
        <x:v>2022</x:v>
      </x:c>
      <x:c r="I77" s="14" t="n">
        <x:v>2023</x:v>
      </x:c>
      <x:c r="J77" s="14" t="str">
        <x:v>Earlier-Production Carry-In Cohort</x:v>
      </x:c>
      <x:c r="K77" s="14" t="n">
        <x:v>2022</x:v>
      </x:c>
      <x:c r="L77" s="14" t="str">
        <x:v>Used in 2023 annual analysis</x:v>
      </x:c>
      <x:c r="M77" s="15" t="n">
        <x:v>32</x:v>
      </x:c>
      <x:c r="N77" s="14" t="str">
        <x:v>Clare Pointing</x:v>
      </x:c>
      <x:c r="O77" s="14" t="str">
        <x:v>nm11125256</x:v>
      </x:c>
      <x:c r="P77" s="14" t="str">
        <x:v>Suzie</x:v>
      </x:c>
      <x:c r="Q77" s="15" t="n">
        <x:v>1</x:v>
      </x:c>
      <x:c r="R77" s="14" t="str">
        <x:v>2023</x:v>
      </x:c>
      <x:c r="S77" s="14" t="n">
        <x:v>2023</x:v>
      </x:c>
      <x:c r="T77" s="14" t="n">
        <x:v>2023</x:v>
      </x:c>
      <x:c r="U77" s="14" t="str">
        <x:v>Explicit source first year retained</x:v>
      </x:c>
      <x:c r="V77" s="14" t="str">
        <x:v>Earliest supplied year is 2023.</x:v>
      </x:c>
      <x:c r="W77" s="14"/>
      <x:c r="X77" s="14" t="str">
        <x:v>Included</x:v>
      </x:c>
      <x:c r="Y77" s="14"/>
      <x:c r="Z77" s="14" t="str">
        <x:v>Big Boys.docx</x:v>
      </x:c>
      <x:c r="AA7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Channel 4 / E4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HYPERLINK("https://en.wikipedia.org/wiki/Big_Boy","Open source")</x:f>
        <x:v>HYPERLINK is not implemented. linkLocation=https://en.wikipedia.org/wiki/Big_Boy, friendlyName=Open source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 t="str">
        <x:v>No established-register match</x:v>
      </x:c>
      <x:c r="AT77" s="14"/>
      <x:c r="AU77" s="14"/>
      <x:c r="AV77" s="14" t="str">
        <x:v>No established apparent-disability match</x:v>
      </x:c>
      <x:c r="AW77" s="14"/>
      <x:c r="AX77" s="14" t="str">
        <x:v>No</x:v>
      </x:c>
      <x:c r="AY77" s="14" t="str">
        <x:v>Unmatched</x:v>
      </x:c>
      <x:c r="AZ77" s="14" t="str">
        <x:v>Final supplied register</x:v>
      </x:c>
      <x:c r="BA77" s="14" t="str">
        <x:v>Absence from the register is not evidence that the performer is not disabled.</x:v>
      </x:c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18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0.05555555555555555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tt13683866|nm9195817|bertie</x:v>
      </x:c>
      <x:c r="B78" s="14" t="str">
        <x:v>01</x:v>
      </x:c>
      <x:c r="C78" s="14" t="str">
        <x:v>2022_IMDb_Cast_Lists_Batch_01(1).xlsx</x:v>
      </x:c>
      <x:c r="D78" s="14" t="str">
        <x:v>Big Boys</x:v>
      </x:c>
      <x:c r="E78" s="14" t="n">
        <x:v>41</x:v>
      </x:c>
      <x:c r="F78" s="14" t="str">
        <x:v>Big Boys</x:v>
      </x:c>
      <x:c r="G78" s="14" t="str">
        <x:v>tt13683866</x:v>
      </x:c>
      <x:c r="H78" s="14" t="n">
        <x:v>2022</x:v>
      </x:c>
      <x:c r="I78" s="14" t="n">
        <x:v>2023</x:v>
      </x:c>
      <x:c r="J78" s="14" t="str">
        <x:v>Earlier-Production Carry-In Cohort</x:v>
      </x:c>
      <x:c r="K78" s="14" t="n">
        <x:v>2022</x:v>
      </x:c>
      <x:c r="L78" s="14" t="str">
        <x:v>Used in 2023 annual analysis</x:v>
      </x:c>
      <x:c r="M78" s="15" t="n">
        <x:v>34</x:v>
      </x:c>
      <x:c r="N78" s="14" t="str">
        <x:v>Ed Jones</x:v>
      </x:c>
      <x:c r="O78" s="14" t="str">
        <x:v>nm9195817</x:v>
      </x:c>
      <x:c r="P78" s="14" t="str">
        <x:v>Bertie</x:v>
      </x:c>
      <x:c r="Q78" s="15" t="n">
        <x:v>1</x:v>
      </x:c>
      <x:c r="R78" s="14" t="str">
        <x:v>2023</x:v>
      </x:c>
      <x:c r="S78" s="14" t="n">
        <x:v>2023</x:v>
      </x:c>
      <x:c r="T78" s="14" t="n">
        <x:v>2023</x:v>
      </x:c>
      <x:c r="U78" s="14" t="str">
        <x:v>Explicit source first year retained</x:v>
      </x:c>
      <x:c r="V78" s="14" t="str">
        <x:v>Earliest supplied year is 2023.</x:v>
      </x:c>
      <x:c r="W78" s="14"/>
      <x:c r="X78" s="14" t="str">
        <x:v>Included</x:v>
      </x:c>
      <x:c r="Y78" s="14"/>
      <x:c r="Z78" s="14" t="str">
        <x:v>Big Boys.docx</x:v>
      </x:c>
      <x:c r="AA7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Channel 4 / E4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HYPERLINK("https://en.wikipedia.org/wiki/Big_Boy","Open source")</x:f>
        <x:v>HYPERLINK is not implemented. linkLocation=https://en.wikipedia.org/wiki/Big_Boy, friendlyName=Open source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 t="str">
        <x:v>No established-register match</x:v>
      </x:c>
      <x:c r="AT78" s="14"/>
      <x:c r="AU78" s="14"/>
      <x:c r="AV78" s="14" t="str">
        <x:v>No established apparent-disability match</x:v>
      </x:c>
      <x:c r="AW78" s="14"/>
      <x:c r="AX78" s="14" t="str">
        <x:v>No</x:v>
      </x:c>
      <x:c r="AY78" s="14" t="str">
        <x:v>Unmatched</x:v>
      </x:c>
      <x:c r="AZ78" s="14" t="str">
        <x:v>Final supplied register</x:v>
      </x:c>
      <x:c r="BA78" s="14" t="str">
        <x:v>Absence from the register is not evidence that the performer is not disabled.</x:v>
      </x:c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18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0.05555555555555555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tt13683866|nm8651742|bernie</x:v>
      </x:c>
      <x:c r="B79" s="14" t="str">
        <x:v>01</x:v>
      </x:c>
      <x:c r="C79" s="14" t="str">
        <x:v>2022_IMDb_Cast_Lists_Batch_01(1).xlsx</x:v>
      </x:c>
      <x:c r="D79" s="14" t="str">
        <x:v>Big Boys</x:v>
      </x:c>
      <x:c r="E79" s="14" t="n">
        <x:v>42</x:v>
      </x:c>
      <x:c r="F79" s="14" t="str">
        <x:v>Big Boys</x:v>
      </x:c>
      <x:c r="G79" s="14" t="str">
        <x:v>tt13683866</x:v>
      </x:c>
      <x:c r="H79" s="14" t="n">
        <x:v>2022</x:v>
      </x:c>
      <x:c r="I79" s="14" t="n">
        <x:v>2023</x:v>
      </x:c>
      <x:c r="J79" s="14" t="str">
        <x:v>Earlier-Production Carry-In Cohort</x:v>
      </x:c>
      <x:c r="K79" s="14" t="n">
        <x:v>2022</x:v>
      </x:c>
      <x:c r="L79" s="14" t="str">
        <x:v>Used in 2023 annual analysis</x:v>
      </x:c>
      <x:c r="M79" s="15" t="n">
        <x:v>35</x:v>
      </x:c>
      <x:c r="N79" s="14" t="str">
        <x:v>Eoin Duffy</x:v>
      </x:c>
      <x:c r="O79" s="14" t="str">
        <x:v>nm8651742</x:v>
      </x:c>
      <x:c r="P79" s="14" t="str">
        <x:v>Bernie</x:v>
      </x:c>
      <x:c r="Q79" s="15" t="n">
        <x:v>1</x:v>
      </x:c>
      <x:c r="R79" s="14" t="str">
        <x:v>2023</x:v>
      </x:c>
      <x:c r="S79" s="14" t="n">
        <x:v>2023</x:v>
      </x:c>
      <x:c r="T79" s="14" t="n">
        <x:v>2023</x:v>
      </x:c>
      <x:c r="U79" s="14" t="str">
        <x:v>Explicit source first year retained</x:v>
      </x:c>
      <x:c r="V79" s="14" t="str">
        <x:v>Earliest supplied year is 2023.</x:v>
      </x:c>
      <x:c r="W79" s="14"/>
      <x:c r="X79" s="14" t="str">
        <x:v>Included</x:v>
      </x:c>
      <x:c r="Y79" s="14"/>
      <x:c r="Z79" s="14" t="str">
        <x:v>Big Boys.docx</x:v>
      </x:c>
      <x:c r="AA7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Channel 4 / E4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HYPERLINK("https://en.wikipedia.org/wiki/Big_Boy","Open source")</x:f>
        <x:v>HYPERLINK is not implemented. linkLocation=https://en.wikipedia.org/wiki/Big_Boy, friendlyName=Open source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 t="str">
        <x:v>No established-register match</x:v>
      </x:c>
      <x:c r="AT79" s="14"/>
      <x:c r="AU79" s="14"/>
      <x:c r="AV79" s="14" t="str">
        <x:v>No established apparent-disability match</x:v>
      </x:c>
      <x:c r="AW79" s="14"/>
      <x:c r="AX79" s="14" t="str">
        <x:v>No</x:v>
      </x:c>
      <x:c r="AY79" s="14" t="str">
        <x:v>Unmatched</x:v>
      </x:c>
      <x:c r="AZ79" s="14" t="str">
        <x:v>Final supplied register</x:v>
      </x:c>
      <x:c r="BA79" s="14" t="str">
        <x:v>Absence from the register is not evidence that the performer is not disabled.</x:v>
      </x:c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18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0.05555555555555555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tt13683866|nm5308665|kerry</x:v>
      </x:c>
      <x:c r="B80" s="14" t="str">
        <x:v>01</x:v>
      </x:c>
      <x:c r="C80" s="14" t="str">
        <x:v>2022_IMDb_Cast_Lists_Batch_01(1).xlsx</x:v>
      </x:c>
      <x:c r="D80" s="14" t="str">
        <x:v>Big Boys</x:v>
      </x:c>
      <x:c r="E80" s="14" t="n">
        <x:v>44</x:v>
      </x:c>
      <x:c r="F80" s="14" t="str">
        <x:v>Big Boys</x:v>
      </x:c>
      <x:c r="G80" s="14" t="str">
        <x:v>tt13683866</x:v>
      </x:c>
      <x:c r="H80" s="14" t="n">
        <x:v>2022</x:v>
      </x:c>
      <x:c r="I80" s="14" t="n">
        <x:v>2023</x:v>
      </x:c>
      <x:c r="J80" s="14" t="str">
        <x:v>Earlier-Production Carry-In Cohort</x:v>
      </x:c>
      <x:c r="K80" s="14" t="n">
        <x:v>2022</x:v>
      </x:c>
      <x:c r="L80" s="14" t="str">
        <x:v>Used in 2023 annual analysis</x:v>
      </x:c>
      <x:c r="M80" s="15" t="n">
        <x:v>37</x:v>
      </x:c>
      <x:c r="N80" s="14" t="str">
        <x:v>Louisa Harland</x:v>
      </x:c>
      <x:c r="O80" s="14" t="str">
        <x:v>nm5308665</x:v>
      </x:c>
      <x:c r="P80" s="14" t="str">
        <x:v>Kerry</x:v>
      </x:c>
      <x:c r="Q80" s="15" t="n">
        <x:v>1</x:v>
      </x:c>
      <x:c r="R80" s="14" t="str">
        <x:v>2023</x:v>
      </x:c>
      <x:c r="S80" s="14" t="n">
        <x:v>2023</x:v>
      </x:c>
      <x:c r="T80" s="14" t="n">
        <x:v>2023</x:v>
      </x:c>
      <x:c r="U80" s="14" t="str">
        <x:v>Explicit source first year retained</x:v>
      </x:c>
      <x:c r="V80" s="14" t="str">
        <x:v>Earliest supplied year is 2023.</x:v>
      </x:c>
      <x:c r="W80" s="14"/>
      <x:c r="X80" s="14" t="str">
        <x:v>Included</x:v>
      </x:c>
      <x:c r="Y80" s="14"/>
      <x:c r="Z80" s="14" t="str">
        <x:v>Big Boys.docx</x:v>
      </x:c>
      <x:c r="AA8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Channel 4 / E4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HYPERLINK("https://en.wikipedia.org/wiki/Big_Boy","Open source")</x:f>
        <x:v>HYPERLINK is not implemented. linkLocation=https://en.wikipedia.org/wiki/Big_Boy, friendlyName=Open source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 t="str">
        <x:v>No established-register match</x:v>
      </x:c>
      <x:c r="AT80" s="14"/>
      <x:c r="AU80" s="14"/>
      <x:c r="AV80" s="14" t="str">
        <x:v>No established apparent-disability match</x:v>
      </x:c>
      <x:c r="AW80" s="14"/>
      <x:c r="AX80" s="14" t="str">
        <x:v>No</x:v>
      </x:c>
      <x:c r="AY80" s="14" t="str">
        <x:v>Unmatched</x:v>
      </x:c>
      <x:c r="AZ80" s="14" t="str">
        <x:v>Final supplied register</x:v>
      </x:c>
      <x:c r="BA80" s="14" t="str">
        <x:v>Absence from the register is not evidence that the performer is not disabled.</x:v>
      </x:c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18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0.05555555555555555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tt13683866|nm15726284|georgia</x:v>
      </x:c>
      <x:c r="B81" s="14" t="str">
        <x:v>01</x:v>
      </x:c>
      <x:c r="C81" s="14" t="str">
        <x:v>2022_IMDb_Cast_Lists_Batch_01(1).xlsx</x:v>
      </x:c>
      <x:c r="D81" s="14" t="str">
        <x:v>Big Boys</x:v>
      </x:c>
      <x:c r="E81" s="14" t="n">
        <x:v>45</x:v>
      </x:c>
      <x:c r="F81" s="14" t="str">
        <x:v>Big Boys</x:v>
      </x:c>
      <x:c r="G81" s="14" t="str">
        <x:v>tt13683866</x:v>
      </x:c>
      <x:c r="H81" s="14" t="n">
        <x:v>2022</x:v>
      </x:c>
      <x:c r="I81" s="14" t="n">
        <x:v>2023</x:v>
      </x:c>
      <x:c r="J81" s="14" t="str">
        <x:v>Earlier-Production Carry-In Cohort</x:v>
      </x:c>
      <x:c r="K81" s="14" t="n">
        <x:v>2022</x:v>
      </x:c>
      <x:c r="L81" s="14" t="str">
        <x:v>Used in 2023 annual analysis</x:v>
      </x:c>
      <x:c r="M81" s="15" t="n">
        <x:v>38</x:v>
      </x:c>
      <x:c r="N81" s="14" t="str">
        <x:v>Olivia Mai</x:v>
      </x:c>
      <x:c r="O81" s="14" t="str">
        <x:v>nm15726284</x:v>
      </x:c>
      <x:c r="P81" s="14" t="str">
        <x:v>Georgia</x:v>
      </x:c>
      <x:c r="Q81" s="15" t="n">
        <x:v>1</x:v>
      </x:c>
      <x:c r="R81" s="14" t="str">
        <x:v>2023</x:v>
      </x:c>
      <x:c r="S81" s="14" t="n">
        <x:v>2023</x:v>
      </x:c>
      <x:c r="T81" s="14" t="n">
        <x:v>2023</x:v>
      </x:c>
      <x:c r="U81" s="14" t="str">
        <x:v>Explicit source first year retained</x:v>
      </x:c>
      <x:c r="V81" s="14" t="str">
        <x:v>Earliest supplied year is 2023.</x:v>
      </x:c>
      <x:c r="W81" s="14"/>
      <x:c r="X81" s="14" t="str">
        <x:v>Included</x:v>
      </x:c>
      <x:c r="Y81" s="14"/>
      <x:c r="Z81" s="14" t="str">
        <x:v>Big Boys.docx</x:v>
      </x:c>
      <x:c r="AA8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Channel 4 / E4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HYPERLINK("https://en.wikipedia.org/wiki/Big_Boy","Open source")</x:f>
        <x:v>HYPERLINK is not implemented. linkLocation=https://en.wikipedia.org/wiki/Big_Boy, friendlyName=Open source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 t="str">
        <x:v>No established-register match</x:v>
      </x:c>
      <x:c r="AT81" s="14"/>
      <x:c r="AU81" s="14"/>
      <x:c r="AV81" s="14" t="str">
        <x:v>No established apparent-disability match</x:v>
      </x:c>
      <x:c r="AW81" s="14"/>
      <x:c r="AX81" s="14" t="str">
        <x:v>No</x:v>
      </x:c>
      <x:c r="AY81" s="14" t="str">
        <x:v>Unmatched</x:v>
      </x:c>
      <x:c r="AZ81" s="14" t="str">
        <x:v>Final supplied register</x:v>
      </x:c>
      <x:c r="BA81" s="14" t="str">
        <x:v>Absence from the register is not evidence that the performer is not disabled.</x:v>
      </x:c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18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1</x:v>
      </x:c>
      <x:c r="BS81" s="16" t="n">
        <x:v>0.05555555555555555</x:v>
      </x:c>
      <x:c r="BT81" s="14" t="str">
        <x:v>One episode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tt13683866|nm7726913|eddie</x:v>
      </x:c>
      <x:c r="B82" s="14" t="str">
        <x:v>01</x:v>
      </x:c>
      <x:c r="C82" s="14" t="str">
        <x:v>2022_IMDb_Cast_Lists_Batch_01(1).xlsx</x:v>
      </x:c>
      <x:c r="D82" s="14" t="str">
        <x:v>Big Boys</x:v>
      </x:c>
      <x:c r="E82" s="14" t="n">
        <x:v>46</x:v>
      </x:c>
      <x:c r="F82" s="14" t="str">
        <x:v>Big Boys</x:v>
      </x:c>
      <x:c r="G82" s="14" t="str">
        <x:v>tt13683866</x:v>
      </x:c>
      <x:c r="H82" s="14" t="n">
        <x:v>2022</x:v>
      </x:c>
      <x:c r="I82" s="14" t="n">
        <x:v>2023</x:v>
      </x:c>
      <x:c r="J82" s="14" t="str">
        <x:v>Earlier-Production Carry-In Cohort</x:v>
      </x:c>
      <x:c r="K82" s="14" t="n">
        <x:v>2022</x:v>
      </x:c>
      <x:c r="L82" s="14" t="str">
        <x:v>Used in 2023 annual analysis</x:v>
      </x:c>
      <x:c r="M82" s="15" t="n">
        <x:v>39</x:v>
      </x:c>
      <x:c r="N82" s="14" t="str">
        <x:v>Henry Perryment</x:v>
      </x:c>
      <x:c r="O82" s="14" t="str">
        <x:v>nm7726913</x:v>
      </x:c>
      <x:c r="P82" s="14" t="str">
        <x:v>Eddie</x:v>
      </x:c>
      <x:c r="Q82" s="15" t="n">
        <x:v>1</x:v>
      </x:c>
      <x:c r="R82" s="14" t="str">
        <x:v>2023</x:v>
      </x:c>
      <x:c r="S82" s="14" t="n">
        <x:v>2023</x:v>
      </x:c>
      <x:c r="T82" s="14" t="n">
        <x:v>2023</x:v>
      </x:c>
      <x:c r="U82" s="14" t="str">
        <x:v>Explicit source first year retained</x:v>
      </x:c>
      <x:c r="V82" s="14" t="str">
        <x:v>Earliest supplied year is 2023.</x:v>
      </x:c>
      <x:c r="W82" s="14"/>
      <x:c r="X82" s="14" t="str">
        <x:v>Included</x:v>
      </x:c>
      <x:c r="Y82" s="14"/>
      <x:c r="Z82" s="14" t="str">
        <x:v>Big Boys.docx</x:v>
      </x:c>
      <x:c r="AA8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Channel 4 / E4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HYPERLINK("https://en.wikipedia.org/wiki/Big_Boy","Open source")</x:f>
        <x:v>HYPERLINK is not implemented. linkLocation=https://en.wikipedia.org/wiki/Big_Boy, friendlyName=Open source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 t="str">
        <x:v>No established-register match</x:v>
      </x:c>
      <x:c r="AT82" s="14"/>
      <x:c r="AU82" s="14"/>
      <x:c r="AV82" s="14" t="str">
        <x:v>No established apparent-disability match</x:v>
      </x:c>
      <x:c r="AW82" s="14"/>
      <x:c r="AX82" s="14" t="str">
        <x:v>No</x:v>
      </x:c>
      <x:c r="AY82" s="14" t="str">
        <x:v>Unmatched</x:v>
      </x:c>
      <x:c r="AZ82" s="14" t="str">
        <x:v>Final supplied register</x:v>
      </x:c>
      <x:c r="BA82" s="14" t="str">
        <x:v>Absence from the register is not evidence that the performer is not disabled.</x:v>
      </x:c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18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1</x:v>
      </x:c>
      <x:c r="BS82" s="16" t="n">
        <x:v>0.05555555555555555</x:v>
      </x:c>
      <x:c r="BT82" s="14" t="str">
        <x:v>One episode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tt13683866|nm15721997|teen danny</x:v>
      </x:c>
      <x:c r="B83" s="14" t="str">
        <x:v>01</x:v>
      </x:c>
      <x:c r="C83" s="14" t="str">
        <x:v>2022_IMDb_Cast_Lists_Batch_01(1).xlsx</x:v>
      </x:c>
      <x:c r="D83" s="14" t="str">
        <x:v>Big Boys</x:v>
      </x:c>
      <x:c r="E83" s="14" t="n">
        <x:v>47</x:v>
      </x:c>
      <x:c r="F83" s="14" t="str">
        <x:v>Big Boys</x:v>
      </x:c>
      <x:c r="G83" s="14" t="str">
        <x:v>tt13683866</x:v>
      </x:c>
      <x:c r="H83" s="14" t="n">
        <x:v>2022</x:v>
      </x:c>
      <x:c r="I83" s="14" t="n">
        <x:v>2023</x:v>
      </x:c>
      <x:c r="J83" s="14" t="str">
        <x:v>Earlier-Production Carry-In Cohort</x:v>
      </x:c>
      <x:c r="K83" s="14" t="n">
        <x:v>2022</x:v>
      </x:c>
      <x:c r="L83" s="14" t="str">
        <x:v>Used in 2023 annual analysis</x:v>
      </x:c>
      <x:c r="M83" s="15" t="n">
        <x:v>40</x:v>
      </x:c>
      <x:c r="N83" s="14" t="str">
        <x:v>Caelan Wallington</x:v>
      </x:c>
      <x:c r="O83" s="14" t="str">
        <x:v>nm15721997</x:v>
      </x:c>
      <x:c r="P83" s="14" t="str">
        <x:v>Teen Danny</x:v>
      </x:c>
      <x:c r="Q83" s="15" t="n">
        <x:v>1</x:v>
      </x:c>
      <x:c r="R83" s="14" t="str">
        <x:v>2023</x:v>
      </x:c>
      <x:c r="S83" s="14" t="n">
        <x:v>2023</x:v>
      </x:c>
      <x:c r="T83" s="14" t="n">
        <x:v>2023</x:v>
      </x:c>
      <x:c r="U83" s="14" t="str">
        <x:v>Explicit source first year retained</x:v>
      </x:c>
      <x:c r="V83" s="14" t="str">
        <x:v>Earliest supplied year is 2023.</x:v>
      </x:c>
      <x:c r="W83" s="14"/>
      <x:c r="X83" s="14" t="str">
        <x:v>Included</x:v>
      </x:c>
      <x:c r="Y83" s="14"/>
      <x:c r="Z83" s="14" t="str">
        <x:v>Big Boys.docx</x:v>
      </x:c>
      <x:c r="AA8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Channel 4 / E4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HYPERLINK("https://en.wikipedia.org/wiki/Big_Boy","Open source")</x:f>
        <x:v>HYPERLINK is not implemented. linkLocation=https://en.wikipedia.org/wiki/Big_Boy, friendlyName=Open source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 t="str">
        <x:v>No established-register match</x:v>
      </x:c>
      <x:c r="AT83" s="14"/>
      <x:c r="AU83" s="14"/>
      <x:c r="AV83" s="14" t="str">
        <x:v>No established apparent-disability match</x:v>
      </x:c>
      <x:c r="AW83" s="14"/>
      <x:c r="AX83" s="14" t="str">
        <x:v>No</x:v>
      </x:c>
      <x:c r="AY83" s="14" t="str">
        <x:v>Unmatched</x:v>
      </x:c>
      <x:c r="AZ83" s="14" t="str">
        <x:v>Final supplied register</x:v>
      </x:c>
      <x:c r="BA83" s="14" t="str">
        <x:v>Absence from the register is not evidence that the performer is not disabled.</x:v>
      </x:c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18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1</x:v>
      </x:c>
      <x:c r="BS83" s="16" t="n">
        <x:v>0.05555555555555555</x:v>
      </x:c>
      <x:c r="BT83" s="14" t="str">
        <x:v>One episode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tt13683866|nm7471061|beth</x:v>
      </x:c>
      <x:c r="B84" s="14" t="str">
        <x:v>01</x:v>
      </x:c>
      <x:c r="C84" s="14" t="str">
        <x:v>2022_IMDb_Cast_Lists_Batch_01(1).xlsx</x:v>
      </x:c>
      <x:c r="D84" s="14" t="str">
        <x:v>Big Boys</x:v>
      </x:c>
      <x:c r="E84" s="14" t="n">
        <x:v>48</x:v>
      </x:c>
      <x:c r="F84" s="14" t="str">
        <x:v>Big Boys</x:v>
      </x:c>
      <x:c r="G84" s="14" t="str">
        <x:v>tt13683866</x:v>
      </x:c>
      <x:c r="H84" s="14" t="n">
        <x:v>2022</x:v>
      </x:c>
      <x:c r="I84" s="14" t="n">
        <x:v>2023</x:v>
      </x:c>
      <x:c r="J84" s="14" t="str">
        <x:v>Earlier-Production Carry-In Cohort</x:v>
      </x:c>
      <x:c r="K84" s="14" t="n">
        <x:v>2022</x:v>
      </x:c>
      <x:c r="L84" s="14" t="str">
        <x:v>Used in 2023 annual analysis</x:v>
      </x:c>
      <x:c r="M84" s="15" t="n">
        <x:v>41</x:v>
      </x:c>
      <x:c r="N84" s="14" t="str">
        <x:v>Rosa Robson</x:v>
      </x:c>
      <x:c r="O84" s="14" t="str">
        <x:v>nm7471061</x:v>
      </x:c>
      <x:c r="P84" s="14" t="str">
        <x:v>Beth</x:v>
      </x:c>
      <x:c r="Q84" s="15" t="n">
        <x:v>1</x:v>
      </x:c>
      <x:c r="R84" s="14" t="str">
        <x:v>2023</x:v>
      </x:c>
      <x:c r="S84" s="14" t="n">
        <x:v>2023</x:v>
      </x:c>
      <x:c r="T84" s="14" t="n">
        <x:v>2023</x:v>
      </x:c>
      <x:c r="U84" s="14" t="str">
        <x:v>Explicit source first year retained</x:v>
      </x:c>
      <x:c r="V84" s="14" t="str">
        <x:v>Earliest supplied year is 2023.</x:v>
      </x:c>
      <x:c r="W84" s="14"/>
      <x:c r="X84" s="14" t="str">
        <x:v>Included</x:v>
      </x:c>
      <x:c r="Y84" s="14"/>
      <x:c r="Z84" s="14" t="str">
        <x:v>Big Boys.docx</x:v>
      </x:c>
      <x:c r="AA8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Channel 4 / E4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HYPERLINK("https://en.wikipedia.org/wiki/Big_Boy","Open source")</x:f>
        <x:v>HYPERLINK is not implemented. linkLocation=https://en.wikipedia.org/wiki/Big_Boy, friendlyName=Open source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 t="str">
        <x:v>No established-register match</x:v>
      </x:c>
      <x:c r="AT84" s="14"/>
      <x:c r="AU84" s="14"/>
      <x:c r="AV84" s="14" t="str">
        <x:v>No established apparent-disability match</x:v>
      </x:c>
      <x:c r="AW84" s="14"/>
      <x:c r="AX84" s="14" t="str">
        <x:v>No</x:v>
      </x:c>
      <x:c r="AY84" s="14" t="str">
        <x:v>Unmatched</x:v>
      </x:c>
      <x:c r="AZ84" s="14" t="str">
        <x:v>Final supplied register</x:v>
      </x:c>
      <x:c r="BA84" s="14" t="str">
        <x:v>Absence from the register is not evidence that the performer is not disabled.</x:v>
      </x:c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18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1</x:v>
      </x:c>
      <x:c r="BS84" s="16" t="n">
        <x:v>0.05555555555555555</x:v>
      </x:c>
      <x:c r="BT84" s="14" t="str">
        <x:v>One episode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tt13683866|nm1328789|dj keith</x:v>
      </x:c>
      <x:c r="B85" s="14" t="str">
        <x:v>01</x:v>
      </x:c>
      <x:c r="C85" s="14" t="str">
        <x:v>2022_IMDb_Cast_Lists_Batch_01(1).xlsx</x:v>
      </x:c>
      <x:c r="D85" s="14" t="str">
        <x:v>Big Boys</x:v>
      </x:c>
      <x:c r="E85" s="14" t="n">
        <x:v>49</x:v>
      </x:c>
      <x:c r="F85" s="14" t="str">
        <x:v>Big Boys</x:v>
      </x:c>
      <x:c r="G85" s="14" t="str">
        <x:v>tt13683866</x:v>
      </x:c>
      <x:c r="H85" s="14" t="n">
        <x:v>2022</x:v>
      </x:c>
      <x:c r="I85" s="14" t="n">
        <x:v>2023</x:v>
      </x:c>
      <x:c r="J85" s="14" t="str">
        <x:v>Earlier-Production Carry-In Cohort</x:v>
      </x:c>
      <x:c r="K85" s="14" t="n">
        <x:v>2022</x:v>
      </x:c>
      <x:c r="L85" s="14" t="str">
        <x:v>Used in 2023 annual analysis</x:v>
      </x:c>
      <x:c r="M85" s="15" t="n">
        <x:v>42</x:v>
      </x:c>
      <x:c r="N85" s="14" t="str">
        <x:v>Christopher Pizzey</x:v>
      </x:c>
      <x:c r="O85" s="14" t="str">
        <x:v>nm1328789</x:v>
      </x:c>
      <x:c r="P85" s="14" t="str">
        <x:v>DJ Keith</x:v>
      </x:c>
      <x:c r="Q85" s="15" t="n">
        <x:v>1</x:v>
      </x:c>
      <x:c r="R85" s="14" t="str">
        <x:v>2023</x:v>
      </x:c>
      <x:c r="S85" s="14" t="n">
        <x:v>2023</x:v>
      </x:c>
      <x:c r="T85" s="14" t="n">
        <x:v>2023</x:v>
      </x:c>
      <x:c r="U85" s="14" t="str">
        <x:v>Explicit source first year retained</x:v>
      </x:c>
      <x:c r="V85" s="14" t="str">
        <x:v>Earliest supplied year is 2023.</x:v>
      </x:c>
      <x:c r="W85" s="14"/>
      <x:c r="X85" s="14" t="str">
        <x:v>Included</x:v>
      </x:c>
      <x:c r="Y85" s="14"/>
      <x:c r="Z85" s="14" t="str">
        <x:v>Big Boys.docx</x:v>
      </x:c>
      <x:c r="AA8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Channel 4 / E4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HYPERLINK("https://en.wikipedia.org/wiki/Big_Boy","Open source")</x:f>
        <x:v>HYPERLINK is not implemented. linkLocation=https://en.wikipedia.org/wiki/Big_Boy, friendlyName=Open source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 t="str">
        <x:v>No established-register match</x:v>
      </x:c>
      <x:c r="AT85" s="14"/>
      <x:c r="AU85" s="14"/>
      <x:c r="AV85" s="14" t="str">
        <x:v>No established apparent-disability match</x:v>
      </x:c>
      <x:c r="AW85" s="14"/>
      <x:c r="AX85" s="14" t="str">
        <x:v>No</x:v>
      </x:c>
      <x:c r="AY85" s="14" t="str">
        <x:v>Unmatched</x:v>
      </x:c>
      <x:c r="AZ85" s="14" t="str">
        <x:v>Final supplied register</x:v>
      </x:c>
      <x:c r="BA85" s="14" t="str">
        <x:v>Absence from the register is not evidence that the performer is not disabled.</x:v>
      </x:c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18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1</x:v>
      </x:c>
      <x:c r="BS85" s="16" t="n">
        <x:v>0.05555555555555555</x:v>
      </x:c>
      <x:c r="BT85" s="14" t="str">
        <x:v>One episode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tt13683866|nm10568064|spencer</x:v>
      </x:c>
      <x:c r="B86" s="14" t="str">
        <x:v>01</x:v>
      </x:c>
      <x:c r="C86" s="14" t="str">
        <x:v>2022_IMDb_Cast_Lists_Batch_01(1).xlsx</x:v>
      </x:c>
      <x:c r="D86" s="14" t="str">
        <x:v>Big Boys</x:v>
      </x:c>
      <x:c r="E86" s="14" t="n">
        <x:v>50</x:v>
      </x:c>
      <x:c r="F86" s="14" t="str">
        <x:v>Big Boys</x:v>
      </x:c>
      <x:c r="G86" s="14" t="str">
        <x:v>tt13683866</x:v>
      </x:c>
      <x:c r="H86" s="14" t="n">
        <x:v>2022</x:v>
      </x:c>
      <x:c r="I86" s="14" t="n">
        <x:v>2023</x:v>
      </x:c>
      <x:c r="J86" s="14" t="str">
        <x:v>Earlier-Production Carry-In Cohort</x:v>
      </x:c>
      <x:c r="K86" s="14" t="n">
        <x:v>2022</x:v>
      </x:c>
      <x:c r="L86" s="14" t="str">
        <x:v>Used in 2023 annual analysis</x:v>
      </x:c>
      <x:c r="M86" s="15" t="n">
        <x:v>43</x:v>
      </x:c>
      <x:c r="N86" s="14" t="str">
        <x:v>Barney Fishwick</x:v>
      </x:c>
      <x:c r="O86" s="14" t="str">
        <x:v>nm10568064</x:v>
      </x:c>
      <x:c r="P86" s="14" t="str">
        <x:v>Spencer</x:v>
      </x:c>
      <x:c r="Q86" s="15" t="n">
        <x:v>1</x:v>
      </x:c>
      <x:c r="R86" s="14" t="str">
        <x:v>2023</x:v>
      </x:c>
      <x:c r="S86" s="14" t="n">
        <x:v>2023</x:v>
      </x:c>
      <x:c r="T86" s="14" t="n">
        <x:v>2023</x:v>
      </x:c>
      <x:c r="U86" s="14" t="str">
        <x:v>Explicit source first year retained</x:v>
      </x:c>
      <x:c r="V86" s="14" t="str">
        <x:v>Earliest supplied year is 2023.</x:v>
      </x:c>
      <x:c r="W86" s="14"/>
      <x:c r="X86" s="14" t="str">
        <x:v>Included</x:v>
      </x:c>
      <x:c r="Y86" s="14"/>
      <x:c r="Z86" s="14" t="str">
        <x:v>Big Boys.docx</x:v>
      </x:c>
      <x:c r="AA8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Channel 4 / E4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HYPERLINK("https://en.wikipedia.org/wiki/Big_Boy","Open source")</x:f>
        <x:v>HYPERLINK is not implemented. linkLocation=https://en.wikipedia.org/wiki/Big_Boy, friendlyName=Open source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 t="str">
        <x:v>No established-register match</x:v>
      </x:c>
      <x:c r="AT86" s="14"/>
      <x:c r="AU86" s="14"/>
      <x:c r="AV86" s="14" t="str">
        <x:v>No established apparent-disability match</x:v>
      </x:c>
      <x:c r="AW86" s="14"/>
      <x:c r="AX86" s="14" t="str">
        <x:v>No</x:v>
      </x:c>
      <x:c r="AY86" s="14" t="str">
        <x:v>Unmatched</x:v>
      </x:c>
      <x:c r="AZ86" s="14" t="str">
        <x:v>Final supplied register</x:v>
      </x:c>
      <x:c r="BA86" s="14" t="str">
        <x:v>Absence from the register is not evidence that the performer is not disabled.</x:v>
      </x:c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18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1</x:v>
      </x:c>
      <x:c r="BS86" s="16" t="n">
        <x:v>0.05555555555555555</x:v>
      </x:c>
      <x:c r="BT86" s="14" t="str">
        <x:v>One episode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tt13683866|nm3544818|meryl</x:v>
      </x:c>
      <x:c r="B87" s="14" t="str">
        <x:v>01</x:v>
      </x:c>
      <x:c r="C87" s="14" t="str">
        <x:v>2022_IMDb_Cast_Lists_Batch_01(1).xlsx</x:v>
      </x:c>
      <x:c r="D87" s="14" t="str">
        <x:v>Big Boys</x:v>
      </x:c>
      <x:c r="E87" s="14" t="n">
        <x:v>51</x:v>
      </x:c>
      <x:c r="F87" s="14" t="str">
        <x:v>Big Boys</x:v>
      </x:c>
      <x:c r="G87" s="14" t="str">
        <x:v>tt13683866</x:v>
      </x:c>
      <x:c r="H87" s="14" t="n">
        <x:v>2022</x:v>
      </x:c>
      <x:c r="I87" s="14" t="n">
        <x:v>2023</x:v>
      </x:c>
      <x:c r="J87" s="14" t="str">
        <x:v>Earlier-Production Carry-In Cohort</x:v>
      </x:c>
      <x:c r="K87" s="14" t="n">
        <x:v>2022</x:v>
      </x:c>
      <x:c r="L87" s="14" t="str">
        <x:v>Used in 2023 annual analysis</x:v>
      </x:c>
      <x:c r="M87" s="15" t="n">
        <x:v>44</x:v>
      </x:c>
      <x:c r="N87" s="14" t="str">
        <x:v>Dani Moseley</x:v>
      </x:c>
      <x:c r="O87" s="14" t="str">
        <x:v>nm3544818</x:v>
      </x:c>
      <x:c r="P87" s="14" t="str">
        <x:v>Meryl</x:v>
      </x:c>
      <x:c r="Q87" s="15" t="n">
        <x:v>1</x:v>
      </x:c>
      <x:c r="R87" s="14" t="str">
        <x:v>2023</x:v>
      </x:c>
      <x:c r="S87" s="14" t="n">
        <x:v>2023</x:v>
      </x:c>
      <x:c r="T87" s="14" t="n">
        <x:v>2023</x:v>
      </x:c>
      <x:c r="U87" s="14" t="str">
        <x:v>Explicit source first year retained</x:v>
      </x:c>
      <x:c r="V87" s="14" t="str">
        <x:v>Earliest supplied year is 2023.</x:v>
      </x:c>
      <x:c r="W87" s="14"/>
      <x:c r="X87" s="14" t="str">
        <x:v>Included</x:v>
      </x:c>
      <x:c r="Y87" s="14"/>
      <x:c r="Z87" s="14" t="str">
        <x:v>Big Boys.docx</x:v>
      </x:c>
      <x:c r="AA8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Channel 4 / E4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HYPERLINK("https://en.wikipedia.org/wiki/Big_Boy","Open source")</x:f>
        <x:v>HYPERLINK is not implemented. linkLocation=https://en.wikipedia.org/wiki/Big_Boy, friendlyName=Open source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 t="str">
        <x:v>No established-register match</x:v>
      </x:c>
      <x:c r="AT87" s="14"/>
      <x:c r="AU87" s="14"/>
      <x:c r="AV87" s="14" t="str">
        <x:v>No established apparent-disability match</x:v>
      </x:c>
      <x:c r="AW87" s="14"/>
      <x:c r="AX87" s="14" t="str">
        <x:v>No</x:v>
      </x:c>
      <x:c r="AY87" s="14" t="str">
        <x:v>Unmatched</x:v>
      </x:c>
      <x:c r="AZ87" s="14" t="str">
        <x:v>Final supplied register</x:v>
      </x:c>
      <x:c r="BA87" s="14" t="str">
        <x:v>Absence from the register is not evidence that the performer is not disabled.</x:v>
      </x:c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18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1</x:v>
      </x:c>
      <x:c r="BS87" s="16" t="n">
        <x:v>0.05555555555555555</x:v>
      </x:c>
      <x:c r="BT87" s="14" t="str">
        <x:v>One episode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tt13683866|nm4773862|peaky</x:v>
      </x:c>
      <x:c r="B88" s="14" t="str">
        <x:v>01</x:v>
      </x:c>
      <x:c r="C88" s="14" t="str">
        <x:v>2022_IMDb_Cast_Lists_Batch_01(1).xlsx</x:v>
      </x:c>
      <x:c r="D88" s="14" t="str">
        <x:v>Big Boys</x:v>
      </x:c>
      <x:c r="E88" s="14" t="n">
        <x:v>52</x:v>
      </x:c>
      <x:c r="F88" s="14" t="str">
        <x:v>Big Boys</x:v>
      </x:c>
      <x:c r="G88" s="14" t="str">
        <x:v>tt13683866</x:v>
      </x:c>
      <x:c r="H88" s="14" t="n">
        <x:v>2022</x:v>
      </x:c>
      <x:c r="I88" s="14" t="n">
        <x:v>2023</x:v>
      </x:c>
      <x:c r="J88" s="14" t="str">
        <x:v>Earlier-Production Carry-In Cohort</x:v>
      </x:c>
      <x:c r="K88" s="14" t="n">
        <x:v>2022</x:v>
      </x:c>
      <x:c r="L88" s="14" t="str">
        <x:v>Used in 2023 annual analysis</x:v>
      </x:c>
      <x:c r="M88" s="15" t="n">
        <x:v>45</x:v>
      </x:c>
      <x:c r="N88" s="14" t="str">
        <x:v>Jack Binstead</x:v>
      </x:c>
      <x:c r="O88" s="14" t="str">
        <x:v>nm4773862</x:v>
      </x:c>
      <x:c r="P88" s="14" t="str">
        <x:v>Peaky</x:v>
      </x:c>
      <x:c r="Q88" s="15" t="n">
        <x:v>1</x:v>
      </x:c>
      <x:c r="R88" s="14" t="str">
        <x:v>2023</x:v>
      </x:c>
      <x:c r="S88" s="14" t="n">
        <x:v>2023</x:v>
      </x:c>
      <x:c r="T88" s="14" t="n">
        <x:v>2023</x:v>
      </x:c>
      <x:c r="U88" s="14" t="str">
        <x:v>Explicit source first year retained</x:v>
      </x:c>
      <x:c r="V88" s="14" t="str">
        <x:v>Earliest supplied year is 2023.</x:v>
      </x:c>
      <x:c r="W88" s="14"/>
      <x:c r="X88" s="14" t="str">
        <x:v>Included</x:v>
      </x:c>
      <x:c r="Y88" s="14"/>
      <x:c r="Z88" s="14" t="str">
        <x:v>Big Boys.docx</x:v>
      </x:c>
      <x:c r="AA8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Channel 4 / E4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HYPERLINK("https://en.wikipedia.org/wiki/Big_Boy","Open source")</x:f>
        <x:v>HYPERLINK is not implemented. linkLocation=https://en.wikipedia.org/wiki/Big_Boy, friendlyName=Open source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 t="str">
        <x:v>No established-register match</x:v>
      </x:c>
      <x:c r="AT88" s="14"/>
      <x:c r="AU88" s="14"/>
      <x:c r="AV88" s="14" t="str">
        <x:v>No established apparent-disability match</x:v>
      </x:c>
      <x:c r="AW88" s="14"/>
      <x:c r="AX88" s="14" t="str">
        <x:v>No</x:v>
      </x:c>
      <x:c r="AY88" s="14" t="str">
        <x:v>Unmatched</x:v>
      </x:c>
      <x:c r="AZ88" s="14" t="str">
        <x:v>Final supplied register</x:v>
      </x:c>
      <x:c r="BA88" s="14" t="str">
        <x:v>Absence from the register is not evidence that the performer is not disabled.</x:v>
      </x:c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18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1</x:v>
      </x:c>
      <x:c r="BS88" s="16" t="n">
        <x:v>0.05555555555555555</x:v>
      </x:c>
      <x:c r="BT88" s="14" t="str">
        <x:v>One episode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tt13683866|nm8999001|chappy</x:v>
      </x:c>
      <x:c r="B89" s="14" t="str">
        <x:v>01</x:v>
      </x:c>
      <x:c r="C89" s="14" t="str">
        <x:v>2022_IMDb_Cast_Lists_Batch_01(1).xlsx</x:v>
      </x:c>
      <x:c r="D89" s="14" t="str">
        <x:v>Big Boys</x:v>
      </x:c>
      <x:c r="E89" s="14" t="n">
        <x:v>53</x:v>
      </x:c>
      <x:c r="F89" s="14" t="str">
        <x:v>Big Boys</x:v>
      </x:c>
      <x:c r="G89" s="14" t="str">
        <x:v>tt13683866</x:v>
      </x:c>
      <x:c r="H89" s="14" t="n">
        <x:v>2022</x:v>
      </x:c>
      <x:c r="I89" s="14" t="n">
        <x:v>2023</x:v>
      </x:c>
      <x:c r="J89" s="14" t="str">
        <x:v>Earlier-Production Carry-In Cohort</x:v>
      </x:c>
      <x:c r="K89" s="14" t="n">
        <x:v>2022</x:v>
      </x:c>
      <x:c r="L89" s="14" t="str">
        <x:v>Used in 2023 annual analysis</x:v>
      </x:c>
      <x:c r="M89" s="15" t="n">
        <x:v>46</x:v>
      </x:c>
      <x:c r="N89" s="14" t="str">
        <x:v>Samuel Armfield</x:v>
      </x:c>
      <x:c r="O89" s="14" t="str">
        <x:v>nm8999001</x:v>
      </x:c>
      <x:c r="P89" s="14" t="str">
        <x:v>Chappy</x:v>
      </x:c>
      <x:c r="Q89" s="15" t="n">
        <x:v>1</x:v>
      </x:c>
      <x:c r="R89" s="14" t="str">
        <x:v>2023</x:v>
      </x:c>
      <x:c r="S89" s="14" t="n">
        <x:v>2023</x:v>
      </x:c>
      <x:c r="T89" s="14" t="n">
        <x:v>2023</x:v>
      </x:c>
      <x:c r="U89" s="14" t="str">
        <x:v>Explicit source first year retained</x:v>
      </x:c>
      <x:c r="V89" s="14" t="str">
        <x:v>Earliest supplied year is 2023.</x:v>
      </x:c>
      <x:c r="W89" s="14"/>
      <x:c r="X89" s="14" t="str">
        <x:v>Included</x:v>
      </x:c>
      <x:c r="Y89" s="14"/>
      <x:c r="Z89" s="14" t="str">
        <x:v>Big Boys.docx</x:v>
      </x:c>
      <x:c r="AA8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Channel 4 / E4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HYPERLINK("https://en.wikipedia.org/wiki/Big_Boy","Open source")</x:f>
        <x:v>HYPERLINK is not implemented. linkLocation=https://en.wikipedia.org/wiki/Big_Boy, friendlyName=Open source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 t="str">
        <x:v>No established-register match</x:v>
      </x:c>
      <x:c r="AT89" s="14"/>
      <x:c r="AU89" s="14"/>
      <x:c r="AV89" s="14" t="str">
        <x:v>No established apparent-disability match</x:v>
      </x:c>
      <x:c r="AW89" s="14"/>
      <x:c r="AX89" s="14" t="str">
        <x:v>No</x:v>
      </x:c>
      <x:c r="AY89" s="14" t="str">
        <x:v>Unmatched</x:v>
      </x:c>
      <x:c r="AZ89" s="14" t="str">
        <x:v>Final supplied register</x:v>
      </x:c>
      <x:c r="BA89" s="14" t="str">
        <x:v>Absence from the register is not evidence that the performer is not disabled.</x:v>
      </x:c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18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1</x:v>
      </x:c>
      <x:c r="BS89" s="16" t="n">
        <x:v>0.05555555555555555</x:v>
      </x:c>
      <x:c r="BT89" s="14" t="str">
        <x:v>One episode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tt13683866|nm16970559|nurse</x:v>
      </x:c>
      <x:c r="B90" s="14" t="str">
        <x:v>01</x:v>
      </x:c>
      <x:c r="C90" s="14" t="str">
        <x:v>2022_IMDb_Cast_Lists_Batch_01(1).xlsx</x:v>
      </x:c>
      <x:c r="D90" s="14" t="str">
        <x:v>Big Boys</x:v>
      </x:c>
      <x:c r="E90" s="14" t="n">
        <x:v>56</x:v>
      </x:c>
      <x:c r="F90" s="14" t="str">
        <x:v>Big Boys</x:v>
      </x:c>
      <x:c r="G90" s="14" t="str">
        <x:v>tt13683866</x:v>
      </x:c>
      <x:c r="H90" s="14" t="n">
        <x:v>2022</x:v>
      </x:c>
      <x:c r="I90" s="14" t="n">
        <x:v>2023</x:v>
      </x:c>
      <x:c r="J90" s="14" t="str">
        <x:v>Earlier-Production Carry-In Cohort</x:v>
      </x:c>
      <x:c r="K90" s="14" t="n">
        <x:v>2022</x:v>
      </x:c>
      <x:c r="L90" s="14" t="str">
        <x:v>Used in 2023 annual analysis</x:v>
      </x:c>
      <x:c r="M90" s="15" t="n">
        <x:v>49</x:v>
      </x:c>
      <x:c r="N90" s="14" t="str">
        <x:v>Lucy Benton</x:v>
      </x:c>
      <x:c r="O90" s="14" t="str">
        <x:v>nm16970559</x:v>
      </x:c>
      <x:c r="P90" s="14" t="str">
        <x:v>Nurse</x:v>
      </x:c>
      <x:c r="Q90" s="15" t="n">
        <x:v>1</x:v>
      </x:c>
      <x:c r="R90" s="14" t="str">
        <x:v>2023</x:v>
      </x:c>
      <x:c r="S90" s="14" t="n">
        <x:v>2023</x:v>
      </x:c>
      <x:c r="T90" s="14" t="n">
        <x:v>2023</x:v>
      </x:c>
      <x:c r="U90" s="14" t="str">
        <x:v>Explicit source first year retained</x:v>
      </x:c>
      <x:c r="V90" s="14" t="str">
        <x:v>Earliest supplied year is 2023.</x:v>
      </x:c>
      <x:c r="W90" s="14"/>
      <x:c r="X90" s="14" t="str">
        <x:v>Included</x:v>
      </x:c>
      <x:c r="Y90" s="14"/>
      <x:c r="Z90" s="14" t="str">
        <x:v>Big Boys.docx</x:v>
      </x:c>
      <x:c r="AA9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Channel 4 / E4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HYPERLINK("https://en.wikipedia.org/wiki/Big_Boy","Open source")</x:f>
        <x:v>HYPERLINK is not implemented. linkLocation=https://en.wikipedia.org/wiki/Big_Boy, friendlyName=Open source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 t="str">
        <x:v>No established-register match</x:v>
      </x:c>
      <x:c r="AT90" s="14"/>
      <x:c r="AU90" s="14"/>
      <x:c r="AV90" s="14" t="str">
        <x:v>No established apparent-disability match</x:v>
      </x:c>
      <x:c r="AW90" s="14"/>
      <x:c r="AX90" s="14" t="str">
        <x:v>No</x:v>
      </x:c>
      <x:c r="AY90" s="14" t="str">
        <x:v>Unmatched</x:v>
      </x:c>
      <x:c r="AZ90" s="14" t="str">
        <x:v>Final supplied register</x:v>
      </x:c>
      <x:c r="BA90" s="14" t="str">
        <x:v>Absence from the register is not evidence that the performer is not disabled.</x:v>
      </x:c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18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1</x:v>
      </x:c>
      <x:c r="BS90" s="16" t="n">
        <x:v>0.05555555555555555</x:v>
      </x:c>
      <x:c r="BT90" s="14" t="str">
        <x:v>One episode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tt13683866|nm15882774|fresher</x:v>
      </x:c>
      <x:c r="B91" s="14" t="str">
        <x:v>01</x:v>
      </x:c>
      <x:c r="C91" s="14" t="str">
        <x:v>2022_IMDb_Cast_Lists_Batch_01(1).xlsx</x:v>
      </x:c>
      <x:c r="D91" s="14" t="str">
        <x:v>Big Boys</x:v>
      </x:c>
      <x:c r="E91" s="14" t="n">
        <x:v>57</x:v>
      </x:c>
      <x:c r="F91" s="14" t="str">
        <x:v>Big Boys</x:v>
      </x:c>
      <x:c r="G91" s="14" t="str">
        <x:v>tt13683866</x:v>
      </x:c>
      <x:c r="H91" s="14" t="n">
        <x:v>2022</x:v>
      </x:c>
      <x:c r="I91" s="14" t="n">
        <x:v>2023</x:v>
      </x:c>
      <x:c r="J91" s="14" t="str">
        <x:v>Earlier-Production Carry-In Cohort</x:v>
      </x:c>
      <x:c r="K91" s="14" t="n">
        <x:v>2022</x:v>
      </x:c>
      <x:c r="L91" s="14" t="str">
        <x:v>Used in 2023 annual analysis</x:v>
      </x:c>
      <x:c r="M91" s="15" t="n">
        <x:v>50</x:v>
      </x:c>
      <x:c r="N91" s="14" t="str">
        <x:v>Samira Choudhury</x:v>
      </x:c>
      <x:c r="O91" s="14" t="str">
        <x:v>nm15882774</x:v>
      </x:c>
      <x:c r="P91" s="14" t="str">
        <x:v>Fresher</x:v>
      </x:c>
      <x:c r="Q91" s="15" t="n">
        <x:v>1</x:v>
      </x:c>
      <x:c r="R91" s="14" t="str">
        <x:v>2023</x:v>
      </x:c>
      <x:c r="S91" s="14" t="n">
        <x:v>2023</x:v>
      </x:c>
      <x:c r="T91" s="14" t="n">
        <x:v>2023</x:v>
      </x:c>
      <x:c r="U91" s="14" t="str">
        <x:v>Explicit source first year retained</x:v>
      </x:c>
      <x:c r="V91" s="14" t="str">
        <x:v>Earliest supplied year is 2023.</x:v>
      </x:c>
      <x:c r="W91" s="14"/>
      <x:c r="X91" s="14" t="str">
        <x:v>Included</x:v>
      </x:c>
      <x:c r="Y91" s="14"/>
      <x:c r="Z91" s="14" t="str">
        <x:v>Big Boys.docx</x:v>
      </x:c>
      <x:c r="AA9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Channel 4 / E4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HYPERLINK("https://en.wikipedia.org/wiki/Big_Boy","Open source")</x:f>
        <x:v>HYPERLINK is not implemented. linkLocation=https://en.wikipedia.org/wiki/Big_Boy, friendlyName=Open source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 t="str">
        <x:v>No established-register match</x:v>
      </x:c>
      <x:c r="AT91" s="14"/>
      <x:c r="AU91" s="14"/>
      <x:c r="AV91" s="14" t="str">
        <x:v>No established apparent-disability match</x:v>
      </x:c>
      <x:c r="AW91" s="14"/>
      <x:c r="AX91" s="14" t="str">
        <x:v>No</x:v>
      </x:c>
      <x:c r="AY91" s="14" t="str">
        <x:v>Unmatched</x:v>
      </x:c>
      <x:c r="AZ91" s="14" t="str">
        <x:v>Final supplied register</x:v>
      </x:c>
      <x:c r="BA91" s="14" t="str">
        <x:v>Absence from the register is not evidence that the performer is not disabled.</x:v>
      </x:c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18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1</x:v>
      </x:c>
      <x:c r="BS91" s="16" t="n">
        <x:v>0.05555555555555555</x:v>
      </x:c>
      <x:c r="BT91" s="14" t="str">
        <x:v>One episode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tt13683866|nm14588223|doddsy</x:v>
      </x:c>
      <x:c r="B92" s="14" t="str">
        <x:v>01</x:v>
      </x:c>
      <x:c r="C92" s="14" t="str">
        <x:v>2022_IMDb_Cast_Lists_Batch_01(1).xlsx</x:v>
      </x:c>
      <x:c r="D92" s="14" t="str">
        <x:v>Big Boys</x:v>
      </x:c>
      <x:c r="E92" s="14" t="n">
        <x:v>58</x:v>
      </x:c>
      <x:c r="F92" s="14" t="str">
        <x:v>Big Boys</x:v>
      </x:c>
      <x:c r="G92" s="14" t="str">
        <x:v>tt13683866</x:v>
      </x:c>
      <x:c r="H92" s="14" t="n">
        <x:v>2022</x:v>
      </x:c>
      <x:c r="I92" s="14" t="n">
        <x:v>2023</x:v>
      </x:c>
      <x:c r="J92" s="14" t="str">
        <x:v>Earlier-Production Carry-In Cohort</x:v>
      </x:c>
      <x:c r="K92" s="14" t="n">
        <x:v>2022</x:v>
      </x:c>
      <x:c r="L92" s="14" t="str">
        <x:v>Used in 2023 annual analysis</x:v>
      </x:c>
      <x:c r="M92" s="15" t="n">
        <x:v>51</x:v>
      </x:c>
      <x:c r="N92" s="14" t="str">
        <x:v>Marco Young</x:v>
      </x:c>
      <x:c r="O92" s="14" t="str">
        <x:v>nm14588223</x:v>
      </x:c>
      <x:c r="P92" s="14" t="str">
        <x:v>Doddsy</x:v>
      </x:c>
      <x:c r="Q92" s="15" t="n">
        <x:v>1</x:v>
      </x:c>
      <x:c r="R92" s="14" t="str">
        <x:v>2023</x:v>
      </x:c>
      <x:c r="S92" s="14" t="n">
        <x:v>2023</x:v>
      </x:c>
      <x:c r="T92" s="14" t="n">
        <x:v>2023</x:v>
      </x:c>
      <x:c r="U92" s="14" t="str">
        <x:v>Explicit source first year retained</x:v>
      </x:c>
      <x:c r="V92" s="14" t="str">
        <x:v>Earliest supplied year is 2023.</x:v>
      </x:c>
      <x:c r="W92" s="14"/>
      <x:c r="X92" s="14" t="str">
        <x:v>Included</x:v>
      </x:c>
      <x:c r="Y92" s="14"/>
      <x:c r="Z92" s="14" t="str">
        <x:v>Big Boys.docx</x:v>
      </x:c>
      <x:c r="AA9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Channel 4 / E4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HYPERLINK("https://en.wikipedia.org/wiki/Big_Boy","Open source")</x:f>
        <x:v>HYPERLINK is not implemented. linkLocation=https://en.wikipedia.org/wiki/Big_Boy, friendlyName=Open source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 t="str">
        <x:v>No established-register match</x:v>
      </x:c>
      <x:c r="AT92" s="14"/>
      <x:c r="AU92" s="14"/>
      <x:c r="AV92" s="14" t="str">
        <x:v>No established apparent-disability match</x:v>
      </x:c>
      <x:c r="AW92" s="14"/>
      <x:c r="AX92" s="14" t="str">
        <x:v>No</x:v>
      </x:c>
      <x:c r="AY92" s="14" t="str">
        <x:v>Unmatched</x:v>
      </x:c>
      <x:c r="AZ92" s="14" t="str">
        <x:v>Final supplied register</x:v>
      </x:c>
      <x:c r="BA92" s="14" t="str">
        <x:v>Absence from the register is not evidence that the performer is not disabled.</x:v>
      </x:c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18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0.05555555555555555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tt14815774|nm2000960|marco bonacini</x:v>
      </x:c>
      <x:c r="B93" s="14" t="str">
        <x:v>02</x:v>
      </x:c>
      <x:c r="C93" s="14" t="str">
        <x:v>2022_IMDb_Cast_Lists_Batch_02(1).xlsx</x:v>
      </x:c>
      <x:c r="D93" s="14" t="str">
        <x:v>Hotel Portofino</x:v>
      </x:c>
      <x:c r="E93" s="14" t="n">
        <x:v>19</x:v>
      </x:c>
      <x:c r="F93" s="14" t="str">
        <x:v>Hotel Portofino</x:v>
      </x:c>
      <x:c r="G93" s="14" t="str">
        <x:v>tt14815774</x:v>
      </x:c>
      <x:c r="H93" s="14" t="n">
        <x:v>2022</x:v>
      </x:c>
      <x:c r="I93" s="14" t="n">
        <x:v>2023</x:v>
      </x:c>
      <x:c r="J93" s="14" t="str">
        <x:v>Earlier-Production Carry-In Cohort</x:v>
      </x:c>
      <x:c r="K93" s="14" t="n">
        <x:v>2022</x:v>
      </x:c>
      <x:c r="L93" s="14" t="str">
        <x:v>Used in 2023 annual analysis</x:v>
      </x:c>
      <x:c r="M93" s="15" t="n">
        <x:v>12</x:v>
      </x:c>
      <x:c r="N93" s="14" t="str">
        <x:v>Giorgio Marchesi</x:v>
      </x:c>
      <x:c r="O93" s="14" t="str">
        <x:v>nm2000960</x:v>
      </x:c>
      <x:c r="P93" s="14" t="str">
        <x:v>Marco Bonacini</x:v>
      </x:c>
      <x:c r="Q93" s="15" t="n">
        <x:v>12</x:v>
      </x:c>
      <x:c r="R93" s="14" t="str">
        <x:v>2023–2024</x:v>
      </x:c>
      <x:c r="S93" s="14" t="n">
        <x:v>2023</x:v>
      </x:c>
      <x:c r="T93" s="14" t="n">
        <x:v>2023</x:v>
      </x:c>
      <x:c r="U93" s="14" t="str">
        <x:v>Explicit source first year retained</x:v>
      </x:c>
      <x:c r="V93" s="14" t="str">
        <x:v>Earliest supplied year is 2023.</x:v>
      </x:c>
      <x:c r="W93" s="14"/>
      <x:c r="X93" s="14" t="str">
        <x:v>Included</x:v>
      </x:c>
      <x:c r="Y93" s="14"/>
      <x:c r="Z93" s="14" t="str">
        <x:v>Hotel Portofino.docx</x:v>
      </x:c>
      <x:c r="AA9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BritBox UK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HYPERLINK("https://en.wikipedia.org/wiki/Hotel_Portofino","Open source")</x:f>
        <x:v>HYPERLINK is not implemented. linkLocation=https://en.wikipedia.org/wiki/Hotel_Portofino, friendlyName=Open source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 t="str">
        <x:v>No established-register match</x:v>
      </x:c>
      <x:c r="AT93" s="14"/>
      <x:c r="AU93" s="14"/>
      <x:c r="AV93" s="14" t="str">
        <x:v>No established apparent-disability match</x:v>
      </x:c>
      <x:c r="AW93" s="14"/>
      <x:c r="AX93" s="14" t="str">
        <x:v>No</x:v>
      </x:c>
      <x:c r="AY93" s="14" t="str">
        <x:v>Unmatched</x:v>
      </x:c>
      <x:c r="AZ93" s="14" t="str">
        <x:v>Final supplied register</x:v>
      </x:c>
      <x:c r="BA93" s="14" t="str">
        <x:v>Absence from the register is not evidence that the performer is not disabled.</x:v>
      </x:c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18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12</x:v>
      </x:c>
      <x:c r="BS93" s="16" t="n">
        <x:v>0.6666666666666666</x:v>
      </x:c>
      <x:c r="BT93" s="14" t="str">
        <x:v>Majority of episodes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tt14815774|nm0618671|salvatore</x:v>
      </x:c>
      <x:c r="B94" s="14" t="str">
        <x:v>02</x:v>
      </x:c>
      <x:c r="C94" s="14" t="str">
        <x:v>2022_IMDb_Cast_Lists_Batch_02(1).xlsx</x:v>
      </x:c>
      <x:c r="D94" s="14" t="str">
        <x:v>Hotel Portofino</x:v>
      </x:c>
      <x:c r="E94" s="14" t="n">
        <x:v>25</x:v>
      </x:c>
      <x:c r="F94" s="14" t="str">
        <x:v>Hotel Portofino</x:v>
      </x:c>
      <x:c r="G94" s="14" t="str">
        <x:v>tt14815774</x:v>
      </x:c>
      <x:c r="H94" s="14" t="n">
        <x:v>2022</x:v>
      </x:c>
      <x:c r="I94" s="14" t="n">
        <x:v>2023</x:v>
      </x:c>
      <x:c r="J94" s="14" t="str">
        <x:v>Earlier-Production Carry-In Cohort</x:v>
      </x:c>
      <x:c r="K94" s="14" t="n">
        <x:v>2022</x:v>
      </x:c>
      <x:c r="L94" s="14" t="str">
        <x:v>Used in 2023 annual analysis</x:v>
      </x:c>
      <x:c r="M94" s="15" t="n">
        <x:v>18</x:v>
      </x:c>
      <x:c r="N94" s="14" t="str">
        <x:v>Bruno Nacinovich</x:v>
      </x:c>
      <x:c r="O94" s="14" t="str">
        <x:v>nm0618671</x:v>
      </x:c>
      <x:c r="P94" s="14" t="str">
        <x:v>Salvatore</x:v>
      </x:c>
      <x:c r="Q94" s="15" t="n">
        <x:v>10</x:v>
      </x:c>
      <x:c r="R94" s="14" t="str">
        <x:v>2023–2024</x:v>
      </x:c>
      <x:c r="S94" s="14" t="n">
        <x:v>2023</x:v>
      </x:c>
      <x:c r="T94" s="14" t="n">
        <x:v>2023</x:v>
      </x:c>
      <x:c r="U94" s="14" t="str">
        <x:v>Explicit source first year retained</x:v>
      </x:c>
      <x:c r="V94" s="14" t="str">
        <x:v>Earliest supplied year is 2023.</x:v>
      </x:c>
      <x:c r="W94" s="14"/>
      <x:c r="X94" s="14" t="str">
        <x:v>Included</x:v>
      </x:c>
      <x:c r="Y94" s="14"/>
      <x:c r="Z94" s="14" t="str">
        <x:v>Hotel Portofino.docx</x:v>
      </x:c>
      <x:c r="AA9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BritBox UK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HYPERLINK("https://en.wikipedia.org/wiki/Hotel_Portofino","Open source")</x:f>
        <x:v>HYPERLINK is not implemented. linkLocation=https://en.wikipedia.org/wiki/Hotel_Portofino, friendlyName=Open source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 t="str">
        <x:v>No established-register match</x:v>
      </x:c>
      <x:c r="AT94" s="14"/>
      <x:c r="AU94" s="14"/>
      <x:c r="AV94" s="14" t="str">
        <x:v>No established apparent-disability match</x:v>
      </x:c>
      <x:c r="AW94" s="14"/>
      <x:c r="AX94" s="14" t="str">
        <x:v>No</x:v>
      </x:c>
      <x:c r="AY94" s="14" t="str">
        <x:v>Unmatched</x:v>
      </x:c>
      <x:c r="AZ94" s="14" t="str">
        <x:v>Final supplied register</x:v>
      </x:c>
      <x:c r="BA94" s="14" t="str">
        <x:v>Absence from the register is not evidence that the performer is not disabled.</x:v>
      </x:c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18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10</x:v>
      </x:c>
      <x:c r="BS94" s="16" t="n">
        <x:v>0.5555555555555556</x:v>
      </x:c>
      <x:c r="BT94" s="14" t="str">
        <x:v>Majority of episodes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tt14815774|nm2962011|jonathan bertram</x:v>
      </x:c>
      <x:c r="B95" s="14" t="str">
        <x:v>02</x:v>
      </x:c>
      <x:c r="C95" s="14" t="str">
        <x:v>2022_IMDb_Cast_Lists_Batch_02(1).xlsx</x:v>
      </x:c>
      <x:c r="D95" s="14" t="str">
        <x:v>Hotel Portofino</x:v>
      </x:c>
      <x:c r="E95" s="14" t="n">
        <x:v>35</x:v>
      </x:c>
      <x:c r="F95" s="14" t="str">
        <x:v>Hotel Portofino</x:v>
      </x:c>
      <x:c r="G95" s="14" t="str">
        <x:v>tt14815774</x:v>
      </x:c>
      <x:c r="H95" s="14" t="n">
        <x:v>2022</x:v>
      </x:c>
      <x:c r="I95" s="14" t="n">
        <x:v>2023</x:v>
      </x:c>
      <x:c r="J95" s="14" t="str">
        <x:v>Earlier-Production Carry-In Cohort</x:v>
      </x:c>
      <x:c r="K95" s="14" t="n">
        <x:v>2022</x:v>
      </x:c>
      <x:c r="L95" s="14" t="str">
        <x:v>Used in 2023 annual analysis</x:v>
      </x:c>
      <x:c r="M95" s="15" t="n">
        <x:v>28</x:v>
      </x:c>
      <x:c r="N95" s="14" t="str">
        <x:v>Oscar Lloyd</x:v>
      </x:c>
      <x:c r="O95" s="14" t="str">
        <x:v>nm2962011</x:v>
      </x:c>
      <x:c r="P95" s="14" t="str">
        <x:v>Jonathan Bertram</x:v>
      </x:c>
      <x:c r="Q95" s="15" t="n">
        <x:v>5</x:v>
      </x:c>
      <x:c r="R95" s="14" t="str">
        <x:v>2023</x:v>
      </x:c>
      <x:c r="S95" s="14" t="n">
        <x:v>2023</x:v>
      </x:c>
      <x:c r="T95" s="14" t="n">
        <x:v>2023</x:v>
      </x:c>
      <x:c r="U95" s="14" t="str">
        <x:v>Explicit source first year retained</x:v>
      </x:c>
      <x:c r="V95" s="14" t="str">
        <x:v>Earliest supplied year is 2023.</x:v>
      </x:c>
      <x:c r="W95" s="14"/>
      <x:c r="X95" s="14" t="str">
        <x:v>Included</x:v>
      </x:c>
      <x:c r="Y95" s="14"/>
      <x:c r="Z95" s="14" t="str">
        <x:v>Hotel Portofino.docx</x:v>
      </x:c>
      <x:c r="AA9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BritBox UK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HYPERLINK("https://en.wikipedia.org/wiki/Hotel_Portofino","Open source")</x:f>
        <x:v>HYPERLINK is not implemented. linkLocation=https://en.wikipedia.org/wiki/Hotel_Portofino, friendlyName=Open source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 t="str">
        <x:v>No established-register match</x:v>
      </x:c>
      <x:c r="AT95" s="14"/>
      <x:c r="AU95" s="14"/>
      <x:c r="AV95" s="14" t="str">
        <x:v>No established apparent-disability match</x:v>
      </x:c>
      <x:c r="AW95" s="14"/>
      <x:c r="AX95" s="14" t="str">
        <x:v>No</x:v>
      </x:c>
      <x:c r="AY95" s="14" t="str">
        <x:v>Unmatched</x:v>
      </x:c>
      <x:c r="AZ95" s="14" t="str">
        <x:v>Final supplied register</x:v>
      </x:c>
      <x:c r="BA95" s="14" t="str">
        <x:v>Absence from the register is not evidence that the performer is not disabled.</x:v>
      </x:c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18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5</x:v>
      </x:c>
      <x:c r="BS95" s="16" t="n">
        <x:v>0.2777777777777778</x:v>
      </x:c>
      <x:c r="BT95" s="14" t="str">
        <x:v>Minority of episodes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tt14815774|nm4950410|bruno</x:v>
      </x:c>
      <x:c r="B96" s="14" t="str">
        <x:v>02</x:v>
      </x:c>
      <x:c r="C96" s="14" t="str">
        <x:v>2022_IMDb_Cast_Lists_Batch_02(1).xlsx</x:v>
      </x:c>
      <x:c r="D96" s="14" t="str">
        <x:v>Hotel Portofino</x:v>
      </x:c>
      <x:c r="E96" s="14" t="n">
        <x:v>37</x:v>
      </x:c>
      <x:c r="F96" s="14" t="str">
        <x:v>Hotel Portofino</x:v>
      </x:c>
      <x:c r="G96" s="14" t="str">
        <x:v>tt14815774</x:v>
      </x:c>
      <x:c r="H96" s="14" t="n">
        <x:v>2022</x:v>
      </x:c>
      <x:c r="I96" s="14" t="n">
        <x:v>2023</x:v>
      </x:c>
      <x:c r="J96" s="14" t="str">
        <x:v>Earlier-Production Carry-In Cohort</x:v>
      </x:c>
      <x:c r="K96" s="14" t="n">
        <x:v>2022</x:v>
      </x:c>
      <x:c r="L96" s="14" t="str">
        <x:v>Used in 2023 annual analysis</x:v>
      </x:c>
      <x:c r="M96" s="15" t="n">
        <x:v>30</x:v>
      </x:c>
      <x:c r="N96" s="14" t="str">
        <x:v>Marko Braić</x:v>
      </x:c>
      <x:c r="O96" s="14" t="str">
        <x:v>nm4950410</x:v>
      </x:c>
      <x:c r="P96" s="14" t="str">
        <x:v>Bruno</x:v>
      </x:c>
      <x:c r="Q96" s="15" t="n">
        <x:v>5</x:v>
      </x:c>
      <x:c r="R96" s="14" t="str">
        <x:v>2023–2024</x:v>
      </x:c>
      <x:c r="S96" s="14" t="n">
        <x:v>2023</x:v>
      </x:c>
      <x:c r="T96" s="14" t="n">
        <x:v>2023</x:v>
      </x:c>
      <x:c r="U96" s="14" t="str">
        <x:v>Explicit source first year retained</x:v>
      </x:c>
      <x:c r="V96" s="14" t="str">
        <x:v>Earliest supplied year is 2023.</x:v>
      </x:c>
      <x:c r="W96" s="14"/>
      <x:c r="X96" s="14" t="str">
        <x:v>Included</x:v>
      </x:c>
      <x:c r="Y96" s="14" t="str">
        <x:v>(as Marko Braic)</x:v>
      </x:c>
      <x:c r="Z96" s="14" t="str">
        <x:v>Hotel Portofino.docx</x:v>
      </x:c>
      <x:c r="AA9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BritBox UK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HYPERLINK("https://en.wikipedia.org/wiki/Hotel_Portofino","Open source")</x:f>
        <x:v>HYPERLINK is not implemented. linkLocation=https://en.wikipedia.org/wiki/Hotel_Portofino, friendlyName=Open source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 t="str">
        <x:v>No established-register match</x:v>
      </x:c>
      <x:c r="AT96" s="14"/>
      <x:c r="AU96" s="14"/>
      <x:c r="AV96" s="14" t="str">
        <x:v>No established apparent-disability match</x:v>
      </x:c>
      <x:c r="AW96" s="14"/>
      <x:c r="AX96" s="14" t="str">
        <x:v>No</x:v>
      </x:c>
      <x:c r="AY96" s="14" t="str">
        <x:v>Unmatched</x:v>
      </x:c>
      <x:c r="AZ96" s="14" t="str">
        <x:v>Final supplied register</x:v>
      </x:c>
      <x:c r="BA96" s="14" t="str">
        <x:v>Absence from the register is not evidence that the performer is not disabled.</x:v>
      </x:c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18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5</x:v>
      </x:c>
      <x:c r="BS96" s="16" t="n">
        <x:v>0.2777777777777778</x:v>
      </x:c>
      <x:c r="BT96" s="14" t="str">
        <x:v>Minority of episodes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tt14815774|nm10938514|black shirt / blackshirt / ...</x:v>
      </x:c>
      <x:c r="B97" s="14" t="str">
        <x:v>02</x:v>
      </x:c>
      <x:c r="C97" s="14" t="str">
        <x:v>2022_IMDb_Cast_Lists_Batch_02(1).xlsx</x:v>
      </x:c>
      <x:c r="D97" s="14" t="str">
        <x:v>Hotel Portofino</x:v>
      </x:c>
      <x:c r="E97" s="14" t="n">
        <x:v>40</x:v>
      </x:c>
      <x:c r="F97" s="14" t="str">
        <x:v>Hotel Portofino</x:v>
      </x:c>
      <x:c r="G97" s="14" t="str">
        <x:v>tt14815774</x:v>
      </x:c>
      <x:c r="H97" s="14" t="n">
        <x:v>2022</x:v>
      </x:c>
      <x:c r="I97" s="14" t="n">
        <x:v>2023</x:v>
      </x:c>
      <x:c r="J97" s="14" t="str">
        <x:v>Earlier-Production Carry-In Cohort</x:v>
      </x:c>
      <x:c r="K97" s="14" t="n">
        <x:v>2022</x:v>
      </x:c>
      <x:c r="L97" s="14" t="str">
        <x:v>Used in 2023 annual analysis</x:v>
      </x:c>
      <x:c r="M97" s="15" t="n">
        <x:v>33</x:v>
      </x:c>
      <x:c r="N97" s="14" t="str">
        <x:v>Vlasto Ivanovic</x:v>
      </x:c>
      <x:c r="O97" s="14" t="str">
        <x:v>nm10938514</x:v>
      </x:c>
      <x:c r="P97" s="14" t="str">
        <x:v>Black Shirt / Blackshirt / ...</x:v>
      </x:c>
      <x:c r="Q97" s="15" t="n">
        <x:v>5</x:v>
      </x:c>
      <x:c r="R97" s="14" t="str">
        <x:v>2023–2024</x:v>
      </x:c>
      <x:c r="S97" s="14" t="n">
        <x:v>2023</x:v>
      </x:c>
      <x:c r="T97" s="14" t="n">
        <x:v>2023</x:v>
      </x:c>
      <x:c r="U97" s="14" t="str">
        <x:v>Explicit source first year retained</x:v>
      </x:c>
      <x:c r="V97" s="14" t="str">
        <x:v>Earliest supplied year is 2023.</x:v>
      </x:c>
      <x:c r="W97" s="14"/>
      <x:c r="X97" s="14" t="str">
        <x:v>Included</x:v>
      </x:c>
      <x:c r="Y97" s="14"/>
      <x:c r="Z97" s="14" t="str">
        <x:v>Hotel Portofino.docx</x:v>
      </x:c>
      <x:c r="AA9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BritBox UK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HYPERLINK("https://en.wikipedia.org/wiki/Hotel_Portofino","Open source")</x:f>
        <x:v>HYPERLINK is not implemented. linkLocation=https://en.wikipedia.org/wiki/Hotel_Portofino, friendlyName=Open source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 t="str">
        <x:v>No established-register match</x:v>
      </x:c>
      <x:c r="AT97" s="14"/>
      <x:c r="AU97" s="14"/>
      <x:c r="AV97" s="14" t="str">
        <x:v>No established apparent-disability match</x:v>
      </x:c>
      <x:c r="AW97" s="14"/>
      <x:c r="AX97" s="14" t="str">
        <x:v>No</x:v>
      </x:c>
      <x:c r="AY97" s="14" t="str">
        <x:v>Unmatched</x:v>
      </x:c>
      <x:c r="AZ97" s="14" t="str">
        <x:v>Final supplied register</x:v>
      </x:c>
      <x:c r="BA97" s="14" t="str">
        <x:v>Absence from the register is not evidence that the performer is not disabled.</x:v>
      </x:c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18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5</x:v>
      </x:c>
      <x:c r="BS97" s="16" t="n">
        <x:v>0.2777777777777778</x:v>
      </x:c>
      <x:c r="BT97" s="14" t="str">
        <x:v>Minority of episodes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tt14815774|nm3244313|victor michel</x:v>
      </x:c>
      <x:c r="B98" s="14" t="str">
        <x:v>02</x:v>
      </x:c>
      <x:c r="C98" s="14" t="str">
        <x:v>2022_IMDb_Cast_Lists_Batch_02(1).xlsx</x:v>
      </x:c>
      <x:c r="D98" s="14" t="str">
        <x:v>Hotel Portofino</x:v>
      </x:c>
      <x:c r="E98" s="14" t="n">
        <x:v>43</x:v>
      </x:c>
      <x:c r="F98" s="14" t="str">
        <x:v>Hotel Portofino</x:v>
      </x:c>
      <x:c r="G98" s="14" t="str">
        <x:v>tt14815774</x:v>
      </x:c>
      <x:c r="H98" s="14" t="n">
        <x:v>2022</x:v>
      </x:c>
      <x:c r="I98" s="14" t="n">
        <x:v>2023</x:v>
      </x:c>
      <x:c r="J98" s="14" t="str">
        <x:v>Earlier-Production Carry-In Cohort</x:v>
      </x:c>
      <x:c r="K98" s="14" t="n">
        <x:v>2022</x:v>
      </x:c>
      <x:c r="L98" s="14" t="str">
        <x:v>Used in 2023 annual analysis</x:v>
      </x:c>
      <x:c r="M98" s="15" t="n">
        <x:v>36</x:v>
      </x:c>
      <x:c r="N98" s="14" t="str">
        <x:v>Roby Schinasi</x:v>
      </x:c>
      <x:c r="O98" s="14" t="str">
        <x:v>nm3244313</x:v>
      </x:c>
      <x:c r="P98" s="14" t="str">
        <x:v>Victor Michel</x:v>
      </x:c>
      <x:c r="Q98" s="15" t="n">
        <x:v>4</x:v>
      </x:c>
      <x:c r="R98" s="14" t="str">
        <x:v>2023</x:v>
      </x:c>
      <x:c r="S98" s="14" t="n">
        <x:v>2023</x:v>
      </x:c>
      <x:c r="T98" s="14" t="n">
        <x:v>2023</x:v>
      </x:c>
      <x:c r="U98" s="14" t="str">
        <x:v>Explicit source first year retained</x:v>
      </x:c>
      <x:c r="V98" s="14" t="str">
        <x:v>Earliest supplied year is 2023.</x:v>
      </x:c>
      <x:c r="W98" s="14"/>
      <x:c r="X98" s="14" t="str">
        <x:v>Included</x:v>
      </x:c>
      <x:c r="Y98" s="14"/>
      <x:c r="Z98" s="14" t="str">
        <x:v>Hotel Portofino.docx</x:v>
      </x:c>
      <x:c r="AA9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BritBox UK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HYPERLINK("https://en.wikipedia.org/wiki/Hotel_Portofino","Open source")</x:f>
        <x:v>HYPERLINK is not implemented. linkLocation=https://en.wikipedia.org/wiki/Hotel_Portofino, friendlyName=Open source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 t="str">
        <x:v>No established-register match</x:v>
      </x:c>
      <x:c r="AT98" s="14"/>
      <x:c r="AU98" s="14"/>
      <x:c r="AV98" s="14" t="str">
        <x:v>No established apparent-disability match</x:v>
      </x:c>
      <x:c r="AW98" s="14"/>
      <x:c r="AX98" s="14" t="str">
        <x:v>No</x:v>
      </x:c>
      <x:c r="AY98" s="14" t="str">
        <x:v>Unmatched</x:v>
      </x:c>
      <x:c r="AZ98" s="14" t="str">
        <x:v>Final supplied register</x:v>
      </x:c>
      <x:c r="BA98" s="14" t="str">
        <x:v>Absence from the register is not evidence that the performer is not disabled.</x:v>
      </x:c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18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4</x:v>
      </x:c>
      <x:c r="BS98" s="16" t="n">
        <x:v>0.2222222222222222</x:v>
      </x:c>
      <x:c r="BT98" s="14" t="str">
        <x:v>Minority of episodes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tt14815774|nm2217355|jane dodsworth</x:v>
      </x:c>
      <x:c r="B99" s="14" t="str">
        <x:v>02</x:v>
      </x:c>
      <x:c r="C99" s="14" t="str">
        <x:v>2022_IMDb_Cast_Lists_Batch_02(1).xlsx</x:v>
      </x:c>
      <x:c r="D99" s="14" t="str">
        <x:v>Hotel Portofino</x:v>
      </x:c>
      <x:c r="E99" s="14" t="n">
        <x:v>44</x:v>
      </x:c>
      <x:c r="F99" s="14" t="str">
        <x:v>Hotel Portofino</x:v>
      </x:c>
      <x:c r="G99" s="14" t="str">
        <x:v>tt14815774</x:v>
      </x:c>
      <x:c r="H99" s="14" t="n">
        <x:v>2022</x:v>
      </x:c>
      <x:c r="I99" s="14" t="n">
        <x:v>2023</x:v>
      </x:c>
      <x:c r="J99" s="14" t="str">
        <x:v>Earlier-Production Carry-In Cohort</x:v>
      </x:c>
      <x:c r="K99" s="14" t="n">
        <x:v>2022</x:v>
      </x:c>
      <x:c r="L99" s="14" t="str">
        <x:v>Used in 2023 annual analysis</x:v>
      </x:c>
      <x:c r="M99" s="15" t="n">
        <x:v>37</x:v>
      </x:c>
      <x:c r="N99" s="14" t="str">
        <x:v>Melanie Gray</x:v>
      </x:c>
      <x:c r="O99" s="14" t="str">
        <x:v>nm2217355</x:v>
      </x:c>
      <x:c r="P99" s="14" t="str">
        <x:v>Jane Dodsworth</x:v>
      </x:c>
      <x:c r="Q99" s="15" t="n">
        <x:v>4</x:v>
      </x:c>
      <x:c r="R99" s="14" t="str">
        <x:v>2023</x:v>
      </x:c>
      <x:c r="S99" s="14" t="n">
        <x:v>2023</x:v>
      </x:c>
      <x:c r="T99" s="14" t="n">
        <x:v>2023</x:v>
      </x:c>
      <x:c r="U99" s="14" t="str">
        <x:v>Explicit source first year retained</x:v>
      </x:c>
      <x:c r="V99" s="14" t="str">
        <x:v>Earliest supplied year is 2023.</x:v>
      </x:c>
      <x:c r="W99" s="14"/>
      <x:c r="X99" s="14" t="str">
        <x:v>Included</x:v>
      </x:c>
      <x:c r="Y99" s="14"/>
      <x:c r="Z99" s="14" t="str">
        <x:v>Hotel Portofino.docx</x:v>
      </x:c>
      <x:c r="AA9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BritBox UK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HYPERLINK("https://en.wikipedia.org/wiki/Hotel_Portofino","Open source")</x:f>
        <x:v>HYPERLINK is not implemented. linkLocation=https://en.wikipedia.org/wiki/Hotel_Portofino, friendlyName=Open source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 t="str">
        <x:v>No established-register match</x:v>
      </x:c>
      <x:c r="AT99" s="14"/>
      <x:c r="AU99" s="14"/>
      <x:c r="AV99" s="14" t="str">
        <x:v>No established apparent-disability match</x:v>
      </x:c>
      <x:c r="AW99" s="14"/>
      <x:c r="AX99" s="14" t="str">
        <x:v>No</x:v>
      </x:c>
      <x:c r="AY99" s="14" t="str">
        <x:v>Unmatched</x:v>
      </x:c>
      <x:c r="AZ99" s="14" t="str">
        <x:v>Final supplied register</x:v>
      </x:c>
      <x:c r="BA99" s="14" t="str">
        <x:v>Absence from the register is not evidence that the performer is not disabled.</x:v>
      </x:c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18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4</x:v>
      </x:c>
      <x:c r="BS99" s="16" t="n">
        <x:v>0.2222222222222222</x:v>
      </x:c>
      <x:c r="BT99" s="14" t="str">
        <x:v>Minority of episodes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tt14815774|nm1692732|luigi farrino</x:v>
      </x:c>
      <x:c r="B100" s="14" t="str">
        <x:v>02</x:v>
      </x:c>
      <x:c r="C100" s="14" t="str">
        <x:v>2022_IMDb_Cast_Lists_Batch_02(1).xlsx</x:v>
      </x:c>
      <x:c r="D100" s="14" t="str">
        <x:v>Hotel Portofino</x:v>
      </x:c>
      <x:c r="E100" s="14" t="n">
        <x:v>45</x:v>
      </x:c>
      <x:c r="F100" s="14" t="str">
        <x:v>Hotel Portofino</x:v>
      </x:c>
      <x:c r="G100" s="14" t="str">
        <x:v>tt14815774</x:v>
      </x:c>
      <x:c r="H100" s="14" t="n">
        <x:v>2022</x:v>
      </x:c>
      <x:c r="I100" s="14" t="n">
        <x:v>2023</x:v>
      </x:c>
      <x:c r="J100" s="14" t="str">
        <x:v>Earlier-Production Carry-In Cohort</x:v>
      </x:c>
      <x:c r="K100" s="14" t="n">
        <x:v>2022</x:v>
      </x:c>
      <x:c r="L100" s="14" t="str">
        <x:v>Used in 2023 annual analysis</x:v>
      </x:c>
      <x:c r="M100" s="15" t="n">
        <x:v>38</x:v>
      </x:c>
      <x:c r="N100" s="14" t="str">
        <x:v>Joseph Balderrama</x:v>
      </x:c>
      <x:c r="O100" s="14" t="str">
        <x:v>nm1692732</x:v>
      </x:c>
      <x:c r="P100" s="14" t="str">
        <x:v>Luigi Farrino</x:v>
      </x:c>
      <x:c r="Q100" s="15" t="n">
        <x:v>4</x:v>
      </x:c>
      <x:c r="R100" s="14" t="str">
        <x:v>2023</x:v>
      </x:c>
      <x:c r="S100" s="14" t="n">
        <x:v>2023</x:v>
      </x:c>
      <x:c r="T100" s="14" t="n">
        <x:v>2023</x:v>
      </x:c>
      <x:c r="U100" s="14" t="str">
        <x:v>Explicit source first year retained</x:v>
      </x:c>
      <x:c r="V100" s="14" t="str">
        <x:v>Earliest supplied year is 2023.</x:v>
      </x:c>
      <x:c r="W100" s="14"/>
      <x:c r="X100" s="14" t="str">
        <x:v>Included</x:v>
      </x:c>
      <x:c r="Y100" s="14"/>
      <x:c r="Z100" s="14" t="str">
        <x:v>Hotel Portofino.docx</x:v>
      </x:c>
      <x:c r="AA10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BritBox UK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HYPERLINK("https://en.wikipedia.org/wiki/Hotel_Portofino","Open source")</x:f>
        <x:v>HYPERLINK is not implemented. linkLocation=https://en.wikipedia.org/wiki/Hotel_Portofino, friendlyName=Open source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 t="str">
        <x:v>No established-register match</x:v>
      </x:c>
      <x:c r="AT100" s="14"/>
      <x:c r="AU100" s="14"/>
      <x:c r="AV100" s="14" t="str">
        <x:v>No established apparent-disability match</x:v>
      </x:c>
      <x:c r="AW100" s="14"/>
      <x:c r="AX100" s="14" t="str">
        <x:v>No</x:v>
      </x:c>
      <x:c r="AY100" s="14" t="str">
        <x:v>Unmatched</x:v>
      </x:c>
      <x:c r="AZ100" s="14" t="str">
        <x:v>Final supplied register</x:v>
      </x:c>
      <x:c r="BA100" s="14" t="str">
        <x:v>Absence from the register is not evidence that the performer is not disabled.</x:v>
      </x:c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18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4</x:v>
      </x:c>
      <x:c r="BS100" s="16" t="n">
        <x:v>0.2222222222222222</x:v>
      </x:c>
      <x:c r="BT100" s="14" t="str">
        <x:v>Minority of episodes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tt14815774|nm2508189|patricia dodsworth</x:v>
      </x:c>
      <x:c r="B101" s="14" t="str">
        <x:v>02</x:v>
      </x:c>
      <x:c r="C101" s="14" t="str">
        <x:v>2022_IMDb_Cast_Lists_Batch_02(1).xlsx</x:v>
      </x:c>
      <x:c r="D101" s="14" t="str">
        <x:v>Hotel Portofino</x:v>
      </x:c>
      <x:c r="E101" s="14" t="n">
        <x:v>46</x:v>
      </x:c>
      <x:c r="F101" s="14" t="str">
        <x:v>Hotel Portofino</x:v>
      </x:c>
      <x:c r="G101" s="14" t="str">
        <x:v>tt14815774</x:v>
      </x:c>
      <x:c r="H101" s="14" t="n">
        <x:v>2022</x:v>
      </x:c>
      <x:c r="I101" s="14" t="n">
        <x:v>2023</x:v>
      </x:c>
      <x:c r="J101" s="14" t="str">
        <x:v>Earlier-Production Carry-In Cohort</x:v>
      </x:c>
      <x:c r="K101" s="14" t="n">
        <x:v>2022</x:v>
      </x:c>
      <x:c r="L101" s="14" t="str">
        <x:v>Used in 2023 annual analysis</x:v>
      </x:c>
      <x:c r="M101" s="15" t="n">
        <x:v>39</x:v>
      </x:c>
      <x:c r="N101" s="14" t="str">
        <x:v>Michele Moran</x:v>
      </x:c>
      <x:c r="O101" s="14" t="str">
        <x:v>nm2508189</x:v>
      </x:c>
      <x:c r="P101" s="14" t="str">
        <x:v>Patricia Dodsworth</x:v>
      </x:c>
      <x:c r="Q101" s="15" t="n">
        <x:v>4</x:v>
      </x:c>
      <x:c r="R101" s="14" t="str">
        <x:v>2023</x:v>
      </x:c>
      <x:c r="S101" s="14" t="n">
        <x:v>2023</x:v>
      </x:c>
      <x:c r="T101" s="14" t="n">
        <x:v>2023</x:v>
      </x:c>
      <x:c r="U101" s="14" t="str">
        <x:v>Explicit source first year retained</x:v>
      </x:c>
      <x:c r="V101" s="14" t="str">
        <x:v>Earliest supplied year is 2023.</x:v>
      </x:c>
      <x:c r="W101" s="14"/>
      <x:c r="X101" s="14" t="str">
        <x:v>Included</x:v>
      </x:c>
      <x:c r="Y101" s="14"/>
      <x:c r="Z101" s="14" t="str">
        <x:v>Hotel Portofino.docx</x:v>
      </x:c>
      <x:c r="AA10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BritBox UK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HYPERLINK("https://en.wikipedia.org/wiki/Hotel_Portofino","Open source")</x:f>
        <x:v>HYPERLINK is not implemented. linkLocation=https://en.wikipedia.org/wiki/Hotel_Portofino, friendlyName=Open source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 t="str">
        <x:v>No established-register match</x:v>
      </x:c>
      <x:c r="AT101" s="14"/>
      <x:c r="AU101" s="14"/>
      <x:c r="AV101" s="14" t="str">
        <x:v>No established apparent-disability match</x:v>
      </x:c>
      <x:c r="AW101" s="14"/>
      <x:c r="AX101" s="14" t="str">
        <x:v>No</x:v>
      </x:c>
      <x:c r="AY101" s="14" t="str">
        <x:v>Unmatched</x:v>
      </x:c>
      <x:c r="AZ101" s="14" t="str">
        <x:v>Final supplied register</x:v>
      </x:c>
      <x:c r="BA101" s="14" t="str">
        <x:v>Absence from the register is not evidence that the performer is not disabled.</x:v>
      </x:c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18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4</x:v>
      </x:c>
      <x:c r="BS101" s="16" t="n">
        <x:v>0.2222222222222222</x:v>
      </x:c>
      <x:c r="BT101" s="14" t="str">
        <x:v>Minority of episodes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tt14815774|nm8982579|sergeant poretti</x:v>
      </x:c>
      <x:c r="B102" s="14" t="str">
        <x:v>02</x:v>
      </x:c>
      <x:c r="C102" s="14" t="str">
        <x:v>2022_IMDb_Cast_Lists_Batch_02(1).xlsx</x:v>
      </x:c>
      <x:c r="D102" s="14" t="str">
        <x:v>Hotel Portofino</x:v>
      </x:c>
      <x:c r="E102" s="14" t="n">
        <x:v>49</x:v>
      </x:c>
      <x:c r="F102" s="14" t="str">
        <x:v>Hotel Portofino</x:v>
      </x:c>
      <x:c r="G102" s="14" t="str">
        <x:v>tt14815774</x:v>
      </x:c>
      <x:c r="H102" s="14" t="n">
        <x:v>2022</x:v>
      </x:c>
      <x:c r="I102" s="14" t="n">
        <x:v>2023</x:v>
      </x:c>
      <x:c r="J102" s="14" t="str">
        <x:v>Earlier-Production Carry-In Cohort</x:v>
      </x:c>
      <x:c r="K102" s="14" t="n">
        <x:v>2022</x:v>
      </x:c>
      <x:c r="L102" s="14" t="str">
        <x:v>Used in 2023 annual analysis</x:v>
      </x:c>
      <x:c r="M102" s="15" t="n">
        <x:v>42</x:v>
      </x:c>
      <x:c r="N102" s="14" t="str">
        <x:v>Antonio Scarpa</x:v>
      </x:c>
      <x:c r="O102" s="14" t="str">
        <x:v>nm8982579</x:v>
      </x:c>
      <x:c r="P102" s="14" t="str">
        <x:v>Sergeant Poretti</x:v>
      </x:c>
      <x:c r="Q102" s="15" t="n">
        <x:v>4</x:v>
      </x:c>
      <x:c r="R102" s="14" t="str">
        <x:v>2023</x:v>
      </x:c>
      <x:c r="S102" s="14" t="n">
        <x:v>2023</x:v>
      </x:c>
      <x:c r="T102" s="14" t="n">
        <x:v>2023</x:v>
      </x:c>
      <x:c r="U102" s="14" t="str">
        <x:v>Explicit source first year retained</x:v>
      </x:c>
      <x:c r="V102" s="14" t="str">
        <x:v>Earliest supplied year is 2023.</x:v>
      </x:c>
      <x:c r="W102" s="14"/>
      <x:c r="X102" s="14" t="str">
        <x:v>Included</x:v>
      </x:c>
      <x:c r="Y102" s="14"/>
      <x:c r="Z102" s="14" t="str">
        <x:v>Hotel Portofino.docx</x:v>
      </x:c>
      <x:c r="AA10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BritBox UK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HYPERLINK("https://en.wikipedia.org/wiki/Hotel_Portofino","Open source")</x:f>
        <x:v>HYPERLINK is not implemented. linkLocation=https://en.wikipedia.org/wiki/Hotel_Portofino, friendlyName=Open source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 t="str">
        <x:v>No established-register match</x:v>
      </x:c>
      <x:c r="AT102" s="14"/>
      <x:c r="AU102" s="14"/>
      <x:c r="AV102" s="14" t="str">
        <x:v>No established apparent-disability match</x:v>
      </x:c>
      <x:c r="AW102" s="14"/>
      <x:c r="AX102" s="14" t="str">
        <x:v>No</x:v>
      </x:c>
      <x:c r="AY102" s="14" t="str">
        <x:v>Unmatched</x:v>
      </x:c>
      <x:c r="AZ102" s="14" t="str">
        <x:v>Final supplied register</x:v>
      </x:c>
      <x:c r="BA102" s="14" t="str">
        <x:v>Absence from the register is not evidence that the performer is not disabled.</x:v>
      </x:c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18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4</x:v>
      </x:c>
      <x:c r="BS102" s="16" t="n">
        <x:v>0.2222222222222222</x:v>
      </x:c>
      <x:c r="BT102" s="14" t="str">
        <x:v>Minority of episodes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tt14815774|nm1779016|p.e. instructor</x:v>
      </x:c>
      <x:c r="B103" s="14" t="str">
        <x:v>02</x:v>
      </x:c>
      <x:c r="C103" s="14" t="str">
        <x:v>2022_IMDb_Cast_Lists_Batch_02(1).xlsx</x:v>
      </x:c>
      <x:c r="D103" s="14" t="str">
        <x:v>Hotel Portofino</x:v>
      </x:c>
      <x:c r="E103" s="14" t="n">
        <x:v>53</x:v>
      </x:c>
      <x:c r="F103" s="14" t="str">
        <x:v>Hotel Portofino</x:v>
      </x:c>
      <x:c r="G103" s="14" t="str">
        <x:v>tt14815774</x:v>
      </x:c>
      <x:c r="H103" s="14" t="n">
        <x:v>2022</x:v>
      </x:c>
      <x:c r="I103" s="14" t="n">
        <x:v>2023</x:v>
      </x:c>
      <x:c r="J103" s="14" t="str">
        <x:v>Earlier-Production Carry-In Cohort</x:v>
      </x:c>
      <x:c r="K103" s="14" t="n">
        <x:v>2022</x:v>
      </x:c>
      <x:c r="L103" s="14" t="str">
        <x:v>Used in 2023 annual analysis</x:v>
      </x:c>
      <x:c r="M103" s="15" t="n">
        <x:v>46</x:v>
      </x:c>
      <x:c r="N103" s="14" t="str">
        <x:v>Mario Valentic</x:v>
      </x:c>
      <x:c r="O103" s="14" t="str">
        <x:v>nm1779016</x:v>
      </x:c>
      <x:c r="P103" s="14" t="str">
        <x:v>P.E. Instructor</x:v>
      </x:c>
      <x:c r="Q103" s="15" t="n">
        <x:v>2</x:v>
      </x:c>
      <x:c r="R103" s="14" t="str">
        <x:v>2023</x:v>
      </x:c>
      <x:c r="S103" s="14" t="n">
        <x:v>2023</x:v>
      </x:c>
      <x:c r="T103" s="14" t="n">
        <x:v>2023</x:v>
      </x:c>
      <x:c r="U103" s="14" t="str">
        <x:v>Explicit source first year retained</x:v>
      </x:c>
      <x:c r="V103" s="14" t="str">
        <x:v>Earliest supplied year is 2023.</x:v>
      </x:c>
      <x:c r="W103" s="14"/>
      <x:c r="X103" s="14" t="str">
        <x:v>Included</x:v>
      </x:c>
      <x:c r="Y103" s="14" t="str">
        <x:v>(as Mario Valentić)</x:v>
      </x:c>
      <x:c r="Z103" s="14" t="str">
        <x:v>Hotel Portofino.docx</x:v>
      </x:c>
      <x:c r="AA10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BritBox UK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HYPERLINK("https://en.wikipedia.org/wiki/Hotel_Portofino","Open source")</x:f>
        <x:v>HYPERLINK is not implemented. linkLocation=https://en.wikipedia.org/wiki/Hotel_Portofino, friendlyName=Open source</x:v>
      </x:c>
      <x:c r="AN103" s="14" t="str">
        <x:v>No qualifying BBC relationship</x:v>
      </x:c>
      <x:c r="AO103" s="14" t="str">
        <x:v>No</x:v>
      </x:c>
      <x:c r="AP103" s="14" t="str">
        <x:v>Out of scope</x:v>
      </x:c>
      <x:c r="AQ103" s="14" t="str">
        <x:v>No</x:v>
      </x:c>
      <x:c r="AR103" s="14" t="str">
        <x:v>Resolved from master register</x:v>
      </x:c>
      <x:c r="AS103" s="14" t="str">
        <x:v>No established-register match</x:v>
      </x:c>
      <x:c r="AT103" s="14"/>
      <x:c r="AU103" s="14"/>
      <x:c r="AV103" s="14" t="str">
        <x:v>No established apparent-disability match</x:v>
      </x:c>
      <x:c r="AW103" s="14"/>
      <x:c r="AX103" s="14" t="str">
        <x:v>No</x:v>
      </x:c>
      <x:c r="AY103" s="14" t="str">
        <x:v>Unmatched</x:v>
      </x:c>
      <x:c r="AZ103" s="14" t="str">
        <x:v>Final supplied register</x:v>
      </x:c>
      <x:c r="BA103" s="14" t="str">
        <x:v>Absence from the register is not evidence that the performer is not disabled.</x:v>
      </x:c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18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2</x:v>
      </x:c>
      <x:c r="BS103" s="16" t="n">
        <x:v>0.1111111111111111</x:v>
      </x:c>
      <x:c r="BT103" s="14" t="str">
        <x:v>Minority of episodes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tt14815774|nm10735755|franco</x:v>
      </x:c>
      <x:c r="B104" s="14" t="str">
        <x:v>02</x:v>
      </x:c>
      <x:c r="C104" s="14" t="str">
        <x:v>2022_IMDb_Cast_Lists_Batch_02(1).xlsx</x:v>
      </x:c>
      <x:c r="D104" s="14" t="str">
        <x:v>Hotel Portofino</x:v>
      </x:c>
      <x:c r="E104" s="14" t="n">
        <x:v>57</x:v>
      </x:c>
      <x:c r="F104" s="14" t="str">
        <x:v>Hotel Portofino</x:v>
      </x:c>
      <x:c r="G104" s="14" t="str">
        <x:v>tt14815774</x:v>
      </x:c>
      <x:c r="H104" s="14" t="n">
        <x:v>2022</x:v>
      </x:c>
      <x:c r="I104" s="14" t="n">
        <x:v>2023</x:v>
      </x:c>
      <x:c r="J104" s="14" t="str">
        <x:v>Earlier-Production Carry-In Cohort</x:v>
      </x:c>
      <x:c r="K104" s="14" t="n">
        <x:v>2022</x:v>
      </x:c>
      <x:c r="L104" s="14" t="str">
        <x:v>Used in 2023 annual analysis</x:v>
      </x:c>
      <x:c r="M104" s="15" t="n">
        <x:v>50</x:v>
      </x:c>
      <x:c r="N104" s="14" t="str">
        <x:v>Dominik Cicak</x:v>
      </x:c>
      <x:c r="O104" s="14" t="str">
        <x:v>nm10735755</x:v>
      </x:c>
      <x:c r="P104" s="14" t="str">
        <x:v>Franco</x:v>
      </x:c>
      <x:c r="Q104" s="15" t="n">
        <x:v>2</x:v>
      </x:c>
      <x:c r="R104" s="14" t="str">
        <x:v>2023</x:v>
      </x:c>
      <x:c r="S104" s="14" t="n">
        <x:v>2023</x:v>
      </x:c>
      <x:c r="T104" s="14" t="n">
        <x:v>2023</x:v>
      </x:c>
      <x:c r="U104" s="14" t="str">
        <x:v>Explicit source first year retained</x:v>
      </x:c>
      <x:c r="V104" s="14" t="str">
        <x:v>Earliest supplied year is 2023.</x:v>
      </x:c>
      <x:c r="W104" s="14"/>
      <x:c r="X104" s="14" t="str">
        <x:v>Included</x:v>
      </x:c>
      <x:c r="Y104" s="14" t="str">
        <x:v>(as Dominik Čičak)</x:v>
      </x:c>
      <x:c r="Z104" s="14" t="str">
        <x:v>Hotel Portofino.docx</x:v>
      </x:c>
      <x:c r="AA10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BritBox UK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HYPERLINK("https://en.wikipedia.org/wiki/Hotel_Portofino","Open source")</x:f>
        <x:v>HYPERLINK is not implemented. linkLocation=https://en.wikipedia.org/wiki/Hotel_Portofino, friendlyName=Open source</x:v>
      </x:c>
      <x:c r="AN104" s="14" t="str">
        <x:v>No qualifying BBC relationship</x:v>
      </x:c>
      <x:c r="AO104" s="14" t="str">
        <x:v>No</x:v>
      </x:c>
      <x:c r="AP104" s="14" t="str">
        <x:v>Out of scope</x:v>
      </x:c>
      <x:c r="AQ104" s="14" t="str">
        <x:v>No</x:v>
      </x:c>
      <x:c r="AR104" s="14" t="str">
        <x:v>Resolved from master register</x:v>
      </x:c>
      <x:c r="AS104" s="14" t="str">
        <x:v>No established-register match</x:v>
      </x:c>
      <x:c r="AT104" s="14"/>
      <x:c r="AU104" s="14"/>
      <x:c r="AV104" s="14" t="str">
        <x:v>No established apparent-disability match</x:v>
      </x:c>
      <x:c r="AW104" s="14"/>
      <x:c r="AX104" s="14" t="str">
        <x:v>No</x:v>
      </x:c>
      <x:c r="AY104" s="14" t="str">
        <x:v>Unmatched</x:v>
      </x:c>
      <x:c r="AZ104" s="14" t="str">
        <x:v>Final supplied register</x:v>
      </x:c>
      <x:c r="BA104" s="14" t="str">
        <x:v>Absence from the register is not evidence that the performer is not disabled.</x:v>
      </x:c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18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2</x:v>
      </x:c>
      <x:c r="BS104" s="16" t="n">
        <x:v>0.1111111111111111</x:v>
      </x:c>
      <x:c r="BT104" s="14" t="str">
        <x:v>Minority of episodes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tt14815774|nm2099072|saunders</x:v>
      </x:c>
      <x:c r="B105" s="14" t="str">
        <x:v>02</x:v>
      </x:c>
      <x:c r="C105" s="14" t="str">
        <x:v>2022_IMDb_Cast_Lists_Batch_02(1).xlsx</x:v>
      </x:c>
      <x:c r="D105" s="14" t="str">
        <x:v>Hotel Portofino</x:v>
      </x:c>
      <x:c r="E105" s="14" t="n">
        <x:v>58</x:v>
      </x:c>
      <x:c r="F105" s="14" t="str">
        <x:v>Hotel Portofino</x:v>
      </x:c>
      <x:c r="G105" s="14" t="str">
        <x:v>tt14815774</x:v>
      </x:c>
      <x:c r="H105" s="14" t="n">
        <x:v>2022</x:v>
      </x:c>
      <x:c r="I105" s="14" t="n">
        <x:v>2023</x:v>
      </x:c>
      <x:c r="J105" s="14" t="str">
        <x:v>Earlier-Production Carry-In Cohort</x:v>
      </x:c>
      <x:c r="K105" s="14" t="n">
        <x:v>2022</x:v>
      </x:c>
      <x:c r="L105" s="14" t="str">
        <x:v>Used in 2023 annual analysis</x:v>
      </x:c>
      <x:c r="M105" s="15" t="n">
        <x:v>51</x:v>
      </x:c>
      <x:c r="N105" s="14" t="str">
        <x:v>Adam Wimpenny</x:v>
      </x:c>
      <x:c r="O105" s="14" t="str">
        <x:v>nm2099072</x:v>
      </x:c>
      <x:c r="P105" s="14" t="str">
        <x:v>Saunders</x:v>
      </x:c>
      <x:c r="Q105" s="15" t="n">
        <x:v>2</x:v>
      </x:c>
      <x:c r="R105" s="14" t="str">
        <x:v>2023</x:v>
      </x:c>
      <x:c r="S105" s="14" t="n">
        <x:v>2023</x:v>
      </x:c>
      <x:c r="T105" s="14" t="n">
        <x:v>2023</x:v>
      </x:c>
      <x:c r="U105" s="14" t="str">
        <x:v>Explicit source first year retained</x:v>
      </x:c>
      <x:c r="V105" s="14" t="str">
        <x:v>Earliest supplied year is 2023.</x:v>
      </x:c>
      <x:c r="W105" s="14"/>
      <x:c r="X105" s="14" t="str">
        <x:v>Included</x:v>
      </x:c>
      <x:c r="Y105" s="14"/>
      <x:c r="Z105" s="14" t="str">
        <x:v>Hotel Portofino.docx</x:v>
      </x:c>
      <x:c r="AA10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BritBox UK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HYPERLINK("https://en.wikipedia.org/wiki/Hotel_Portofino","Open source")</x:f>
        <x:v>HYPERLINK is not implemented. linkLocation=https://en.wikipedia.org/wiki/Hotel_Portofino, friendlyName=Open source</x:v>
      </x:c>
      <x:c r="AN105" s="14" t="str">
        <x:v>No qualifying BBC relationship</x:v>
      </x:c>
      <x:c r="AO105" s="14" t="str">
        <x:v>No</x:v>
      </x:c>
      <x:c r="AP105" s="14" t="str">
        <x:v>Out of scope</x:v>
      </x:c>
      <x:c r="AQ105" s="14" t="str">
        <x:v>No</x:v>
      </x:c>
      <x:c r="AR105" s="14" t="str">
        <x:v>Resolved from master register</x:v>
      </x:c>
      <x:c r="AS105" s="14" t="str">
        <x:v>No established-register match</x:v>
      </x:c>
      <x:c r="AT105" s="14"/>
      <x:c r="AU105" s="14"/>
      <x:c r="AV105" s="14" t="str">
        <x:v>No established apparent-disability match</x:v>
      </x:c>
      <x:c r="AW105" s="14"/>
      <x:c r="AX105" s="14" t="str">
        <x:v>No</x:v>
      </x:c>
      <x:c r="AY105" s="14" t="str">
        <x:v>Unmatched</x:v>
      </x:c>
      <x:c r="AZ105" s="14" t="str">
        <x:v>Final supplied register</x:v>
      </x:c>
      <x:c r="BA105" s="14" t="str">
        <x:v>Absence from the register is not evidence that the performer is not disabled.</x:v>
      </x:c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18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2</x:v>
      </x:c>
      <x:c r="BS105" s="16" t="n">
        <x:v>0.1111111111111111</x:v>
      </x:c>
      <x:c r="BT105" s="14" t="str">
        <x:v>Minority of episodes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tt14815774|nm11312611|hubert</x:v>
      </x:c>
      <x:c r="B106" s="14" t="str">
        <x:v>02</x:v>
      </x:c>
      <x:c r="C106" s="14" t="str">
        <x:v>2022_IMDb_Cast_Lists_Batch_02(1).xlsx</x:v>
      </x:c>
      <x:c r="D106" s="14" t="str">
        <x:v>Hotel Portofino</x:v>
      </x:c>
      <x:c r="E106" s="14" t="n">
        <x:v>60</x:v>
      </x:c>
      <x:c r="F106" s="14" t="str">
        <x:v>Hotel Portofino</x:v>
      </x:c>
      <x:c r="G106" s="14" t="str">
        <x:v>tt14815774</x:v>
      </x:c>
      <x:c r="H106" s="14" t="n">
        <x:v>2022</x:v>
      </x:c>
      <x:c r="I106" s="14" t="n">
        <x:v>2023</x:v>
      </x:c>
      <x:c r="J106" s="14" t="str">
        <x:v>Earlier-Production Carry-In Cohort</x:v>
      </x:c>
      <x:c r="K106" s="14" t="n">
        <x:v>2022</x:v>
      </x:c>
      <x:c r="L106" s="14" t="str">
        <x:v>Used in 2023 annual analysis</x:v>
      </x:c>
      <x:c r="M106" s="15" t="n">
        <x:v>53</x:v>
      </x:c>
      <x:c r="N106" s="14" t="str">
        <x:v>Davor Tomic</x:v>
      </x:c>
      <x:c r="O106" s="14" t="str">
        <x:v>nm11312611</x:v>
      </x:c>
      <x:c r="P106" s="14" t="str">
        <x:v>Hubert</x:v>
      </x:c>
      <x:c r="Q106" s="15" t="n">
        <x:v>2</x:v>
      </x:c>
      <x:c r="R106" s="14" t="str">
        <x:v>2023</x:v>
      </x:c>
      <x:c r="S106" s="14" t="n">
        <x:v>2023</x:v>
      </x:c>
      <x:c r="T106" s="14" t="n">
        <x:v>2023</x:v>
      </x:c>
      <x:c r="U106" s="14" t="str">
        <x:v>Explicit source first year retained</x:v>
      </x:c>
      <x:c r="V106" s="14" t="str">
        <x:v>Earliest supplied year is 2023.</x:v>
      </x:c>
      <x:c r="W106" s="14"/>
      <x:c r="X106" s="14" t="str">
        <x:v>Included</x:v>
      </x:c>
      <x:c r="Y106" s="14"/>
      <x:c r="Z106" s="14" t="str">
        <x:v>Hotel Portofino.docx</x:v>
      </x:c>
      <x:c r="AA10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BritBox UK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HYPERLINK("https://en.wikipedia.org/wiki/Hotel_Portofino","Open source")</x:f>
        <x:v>HYPERLINK is not implemented. linkLocation=https://en.wikipedia.org/wiki/Hotel_Portofino, friendlyName=Open source</x:v>
      </x:c>
      <x:c r="AN106" s="14" t="str">
        <x:v>No qualifying BBC relationship</x:v>
      </x:c>
      <x:c r="AO106" s="14" t="str">
        <x:v>No</x:v>
      </x:c>
      <x:c r="AP106" s="14" t="str">
        <x:v>Out of scope</x:v>
      </x:c>
      <x:c r="AQ106" s="14" t="str">
        <x:v>No</x:v>
      </x:c>
      <x:c r="AR106" s="14" t="str">
        <x:v>Resolved from master register</x:v>
      </x:c>
      <x:c r="AS106" s="14" t="str">
        <x:v>No established-register match</x:v>
      </x:c>
      <x:c r="AT106" s="14"/>
      <x:c r="AU106" s="14"/>
      <x:c r="AV106" s="14" t="str">
        <x:v>No established apparent-disability match</x:v>
      </x:c>
      <x:c r="AW106" s="14"/>
      <x:c r="AX106" s="14" t="str">
        <x:v>No</x:v>
      </x:c>
      <x:c r="AY106" s="14" t="str">
        <x:v>Unmatched</x:v>
      </x:c>
      <x:c r="AZ106" s="14" t="str">
        <x:v>Final supplied register</x:v>
      </x:c>
      <x:c r="BA106" s="14" t="str">
        <x:v>Absence from the register is not evidence that the performer is not disabled.</x:v>
      </x:c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18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2</x:v>
      </x:c>
      <x:c r="BS106" s="16" t="n">
        <x:v>0.1111111111111111</x:v>
      </x:c>
      <x:c r="BT106" s="14" t="str">
        <x:v>Minority of episodes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tt14815774|nm0884141|bruzzone</x:v>
      </x:c>
      <x:c r="B107" s="14" t="str">
        <x:v>02</x:v>
      </x:c>
      <x:c r="C107" s="14" t="str">
        <x:v>2022_IMDb_Cast_Lists_Batch_02(1).xlsx</x:v>
      </x:c>
      <x:c r="D107" s="14" t="str">
        <x:v>Hotel Portofino</x:v>
      </x:c>
      <x:c r="E107" s="14" t="n">
        <x:v>61</x:v>
      </x:c>
      <x:c r="F107" s="14" t="str">
        <x:v>Hotel Portofino</x:v>
      </x:c>
      <x:c r="G107" s="14" t="str">
        <x:v>tt14815774</x:v>
      </x:c>
      <x:c r="H107" s="14" t="n">
        <x:v>2022</x:v>
      </x:c>
      <x:c r="I107" s="14" t="n">
        <x:v>2023</x:v>
      </x:c>
      <x:c r="J107" s="14" t="str">
        <x:v>Earlier-Production Carry-In Cohort</x:v>
      </x:c>
      <x:c r="K107" s="14" t="n">
        <x:v>2022</x:v>
      </x:c>
      <x:c r="L107" s="14" t="str">
        <x:v>Used in 2023 annual analysis</x:v>
      </x:c>
      <x:c r="M107" s="15" t="n">
        <x:v>54</x:v>
      </x:c>
      <x:c r="N107" s="14" t="str">
        <x:v>Dusko Valentic</x:v>
      </x:c>
      <x:c r="O107" s="14" t="str">
        <x:v>nm0884141</x:v>
      </x:c>
      <x:c r="P107" s="14" t="str">
        <x:v>Bruzzone</x:v>
      </x:c>
      <x:c r="Q107" s="15" t="n">
        <x:v>2</x:v>
      </x:c>
      <x:c r="R107" s="14" t="str">
        <x:v>2023</x:v>
      </x:c>
      <x:c r="S107" s="14" t="n">
        <x:v>2023</x:v>
      </x:c>
      <x:c r="T107" s="14" t="n">
        <x:v>2023</x:v>
      </x:c>
      <x:c r="U107" s="14" t="str">
        <x:v>Explicit source first year retained</x:v>
      </x:c>
      <x:c r="V107" s="14" t="str">
        <x:v>Earliest supplied year is 2023.</x:v>
      </x:c>
      <x:c r="W107" s="14"/>
      <x:c r="X107" s="14" t="str">
        <x:v>Included</x:v>
      </x:c>
      <x:c r="Y107" s="14" t="str">
        <x:v>(as Duško Valetić)</x:v>
      </x:c>
      <x:c r="Z107" s="14" t="str">
        <x:v>Hotel Portofino.docx</x:v>
      </x:c>
      <x:c r="AA10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BritBox UK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HYPERLINK("https://en.wikipedia.org/wiki/Hotel_Portofino","Open source")</x:f>
        <x:v>HYPERLINK is not implemented. linkLocation=https://en.wikipedia.org/wiki/Hotel_Portofino, friendlyName=Open source</x:v>
      </x:c>
      <x:c r="AN107" s="14" t="str">
        <x:v>No qualifying BBC relationship</x:v>
      </x:c>
      <x:c r="AO107" s="14" t="str">
        <x:v>No</x:v>
      </x:c>
      <x:c r="AP107" s="14" t="str">
        <x:v>Out of scope</x:v>
      </x:c>
      <x:c r="AQ107" s="14" t="str">
        <x:v>No</x:v>
      </x:c>
      <x:c r="AR107" s="14" t="str">
        <x:v>Resolved from master register</x:v>
      </x:c>
      <x:c r="AS107" s="14" t="str">
        <x:v>No established-register match</x:v>
      </x:c>
      <x:c r="AT107" s="14"/>
      <x:c r="AU107" s="14"/>
      <x:c r="AV107" s="14" t="str">
        <x:v>No established apparent-disability match</x:v>
      </x:c>
      <x:c r="AW107" s="14"/>
      <x:c r="AX107" s="14" t="str">
        <x:v>No</x:v>
      </x:c>
      <x:c r="AY107" s="14" t="str">
        <x:v>Unmatched</x:v>
      </x:c>
      <x:c r="AZ107" s="14" t="str">
        <x:v>Final supplied register</x:v>
      </x:c>
      <x:c r="BA107" s="14" t="str">
        <x:v>Absence from the register is not evidence that the performer is not disabled.</x:v>
      </x:c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18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2</x:v>
      </x:c>
      <x:c r="BS107" s="16" t="n">
        <x:v>0.1111111111111111</x:v>
      </x:c>
      <x:c r="BT107" s="14" t="str">
        <x:v>Minority of episodes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tt14815774|nm1472522|henry bowater</x:v>
      </x:c>
      <x:c r="B108" s="14" t="str">
        <x:v>02</x:v>
      </x:c>
      <x:c r="C108" s="14" t="str">
        <x:v>2022_IMDb_Cast_Lists_Batch_02(1).xlsx</x:v>
      </x:c>
      <x:c r="D108" s="14" t="str">
        <x:v>Hotel Portofino</x:v>
      </x:c>
      <x:c r="E108" s="14" t="n">
        <x:v>63</x:v>
      </x:c>
      <x:c r="F108" s="14" t="str">
        <x:v>Hotel Portofino</x:v>
      </x:c>
      <x:c r="G108" s="14" t="str">
        <x:v>tt14815774</x:v>
      </x:c>
      <x:c r="H108" s="14" t="n">
        <x:v>2022</x:v>
      </x:c>
      <x:c r="I108" s="14" t="n">
        <x:v>2023</x:v>
      </x:c>
      <x:c r="J108" s="14" t="str">
        <x:v>Earlier-Production Carry-In Cohort</x:v>
      </x:c>
      <x:c r="K108" s="14" t="n">
        <x:v>2022</x:v>
      </x:c>
      <x:c r="L108" s="14" t="str">
        <x:v>Used in 2023 annual analysis</x:v>
      </x:c>
      <x:c r="M108" s="15" t="n">
        <x:v>56</x:v>
      </x:c>
      <x:c r="N108" s="14" t="str">
        <x:v>Oliver Dimsdale</x:v>
      </x:c>
      <x:c r="O108" s="14" t="str">
        <x:v>nm1472522</x:v>
      </x:c>
      <x:c r="P108" s="14" t="str">
        <x:v>Henry Bowater</x:v>
      </x:c>
      <x:c r="Q108" s="15" t="n">
        <x:v>2</x:v>
      </x:c>
      <x:c r="R108" s="14" t="str">
        <x:v>2023</x:v>
      </x:c>
      <x:c r="S108" s="14" t="n">
        <x:v>2023</x:v>
      </x:c>
      <x:c r="T108" s="14" t="n">
        <x:v>2023</x:v>
      </x:c>
      <x:c r="U108" s="14" t="str">
        <x:v>Explicit source first year retained</x:v>
      </x:c>
      <x:c r="V108" s="14" t="str">
        <x:v>Earliest supplied year is 2023.</x:v>
      </x:c>
      <x:c r="W108" s="14"/>
      <x:c r="X108" s="14" t="str">
        <x:v>Included</x:v>
      </x:c>
      <x:c r="Y108" s="14"/>
      <x:c r="Z108" s="14" t="str">
        <x:v>Hotel Portofino.docx</x:v>
      </x:c>
      <x:c r="AA10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BritBox UK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HYPERLINK("https://en.wikipedia.org/wiki/Hotel_Portofino","Open source")</x:f>
        <x:v>HYPERLINK is not implemented. linkLocation=https://en.wikipedia.org/wiki/Hotel_Portofino, friendlyName=Open source</x:v>
      </x:c>
      <x:c r="AN108" s="14" t="str">
        <x:v>No qualifying BBC relationship</x:v>
      </x:c>
      <x:c r="AO108" s="14" t="str">
        <x:v>No</x:v>
      </x:c>
      <x:c r="AP108" s="14" t="str">
        <x:v>Out of scope</x:v>
      </x:c>
      <x:c r="AQ108" s="14" t="str">
        <x:v>No</x:v>
      </x:c>
      <x:c r="AR108" s="14" t="str">
        <x:v>Resolved from master register</x:v>
      </x:c>
      <x:c r="AS108" s="14" t="str">
        <x:v>No established-register match</x:v>
      </x:c>
      <x:c r="AT108" s="14"/>
      <x:c r="AU108" s="14"/>
      <x:c r="AV108" s="14" t="str">
        <x:v>No established apparent-disability match</x:v>
      </x:c>
      <x:c r="AW108" s="14"/>
      <x:c r="AX108" s="14" t="str">
        <x:v>No</x:v>
      </x:c>
      <x:c r="AY108" s="14" t="str">
        <x:v>Unmatched</x:v>
      </x:c>
      <x:c r="AZ108" s="14" t="str">
        <x:v>Final supplied register</x:v>
      </x:c>
      <x:c r="BA108" s="14" t="str">
        <x:v>Absence from the register is not evidence that the performer is not disabled.</x:v>
      </x:c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18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2</x:v>
      </x:c>
      <x:c r="BS108" s="16" t="n">
        <x:v>0.1111111111111111</x:v>
      </x:c>
      <x:c r="BT108" s="14" t="str">
        <x:v>Minority of episodes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tt14815774|nm5434775|raffaele</x:v>
      </x:c>
      <x:c r="B109" s="14" t="str">
        <x:v>02</x:v>
      </x:c>
      <x:c r="C109" s="14" t="str">
        <x:v>2022_IMDb_Cast_Lists_Batch_02(1).xlsx</x:v>
      </x:c>
      <x:c r="D109" s="14" t="str">
        <x:v>Hotel Portofino</x:v>
      </x:c>
      <x:c r="E109" s="14" t="n">
        <x:v>64</x:v>
      </x:c>
      <x:c r="F109" s="14" t="str">
        <x:v>Hotel Portofino</x:v>
      </x:c>
      <x:c r="G109" s="14" t="str">
        <x:v>tt14815774</x:v>
      </x:c>
      <x:c r="H109" s="14" t="n">
        <x:v>2022</x:v>
      </x:c>
      <x:c r="I109" s="14" t="n">
        <x:v>2023</x:v>
      </x:c>
      <x:c r="J109" s="14" t="str">
        <x:v>Earlier-Production Carry-In Cohort</x:v>
      </x:c>
      <x:c r="K109" s="14" t="n">
        <x:v>2022</x:v>
      </x:c>
      <x:c r="L109" s="14" t="str">
        <x:v>Used in 2023 annual analysis</x:v>
      </x:c>
      <x:c r="M109" s="15" t="n">
        <x:v>57</x:v>
      </x:c>
      <x:c r="N109" s="14" t="str">
        <x:v>Domagoj Mrkonjić</x:v>
      </x:c>
      <x:c r="O109" s="14" t="str">
        <x:v>nm5434775</x:v>
      </x:c>
      <x:c r="P109" s="14" t="str">
        <x:v>Raffaele</x:v>
      </x:c>
      <x:c r="Q109" s="15" t="n">
        <x:v>2</x:v>
      </x:c>
      <x:c r="R109" s="14" t="str">
        <x:v>2023</x:v>
      </x:c>
      <x:c r="S109" s="14" t="n">
        <x:v>2023</x:v>
      </x:c>
      <x:c r="T109" s="14" t="n">
        <x:v>2023</x:v>
      </x:c>
      <x:c r="U109" s="14" t="str">
        <x:v>Explicit source first year retained</x:v>
      </x:c>
      <x:c r="V109" s="14" t="str">
        <x:v>Earliest supplied year is 2023.</x:v>
      </x:c>
      <x:c r="W109" s="14"/>
      <x:c r="X109" s="14" t="str">
        <x:v>Included</x:v>
      </x:c>
      <x:c r="Y109" s="14" t="str">
        <x:v>(as Domagoj Mrkonjic)</x:v>
      </x:c>
      <x:c r="Z109" s="14" t="str">
        <x:v>Hotel Portofino.docx</x:v>
      </x:c>
      <x:c r="AA10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BritBox UK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HYPERLINK("https://en.wikipedia.org/wiki/Hotel_Portofino","Open source")</x:f>
        <x:v>HYPERLINK is not implemented. linkLocation=https://en.wikipedia.org/wiki/Hotel_Portofino, friendlyName=Open source</x:v>
      </x:c>
      <x:c r="AN109" s="14" t="str">
        <x:v>No qualifying BBC relationship</x:v>
      </x:c>
      <x:c r="AO109" s="14" t="str">
        <x:v>No</x:v>
      </x:c>
      <x:c r="AP109" s="14" t="str">
        <x:v>Out of scope</x:v>
      </x:c>
      <x:c r="AQ109" s="14" t="str">
        <x:v>No</x:v>
      </x:c>
      <x:c r="AR109" s="14" t="str">
        <x:v>Resolved from master register</x:v>
      </x:c>
      <x:c r="AS109" s="14" t="str">
        <x:v>No established-register match</x:v>
      </x:c>
      <x:c r="AT109" s="14"/>
      <x:c r="AU109" s="14"/>
      <x:c r="AV109" s="14" t="str">
        <x:v>No established apparent-disability match</x:v>
      </x:c>
      <x:c r="AW109" s="14"/>
      <x:c r="AX109" s="14" t="str">
        <x:v>No</x:v>
      </x:c>
      <x:c r="AY109" s="14" t="str">
        <x:v>Unmatched</x:v>
      </x:c>
      <x:c r="AZ109" s="14" t="str">
        <x:v>Final supplied register</x:v>
      </x:c>
      <x:c r="BA109" s="14" t="str">
        <x:v>Absence from the register is not evidence that the performer is not disabled.</x:v>
      </x:c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18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2</x:v>
      </x:c>
      <x:c r="BS109" s="16" t="n">
        <x:v>0.1111111111111111</x:v>
      </x:c>
      <x:c r="BT109" s="14" t="str">
        <x:v>Minority of episodes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tt14815774|nm1469295|fanny</x:v>
      </x:c>
      <x:c r="B110" s="14" t="str">
        <x:v>02</x:v>
      </x:c>
      <x:c r="C110" s="14" t="str">
        <x:v>2022_IMDb_Cast_Lists_Batch_02(1).xlsx</x:v>
      </x:c>
      <x:c r="D110" s="14" t="str">
        <x:v>Hotel Portofino</x:v>
      </x:c>
      <x:c r="E110" s="14" t="n">
        <x:v>67</x:v>
      </x:c>
      <x:c r="F110" s="14" t="str">
        <x:v>Hotel Portofino</x:v>
      </x:c>
      <x:c r="G110" s="14" t="str">
        <x:v>tt14815774</x:v>
      </x:c>
      <x:c r="H110" s="14" t="n">
        <x:v>2022</x:v>
      </x:c>
      <x:c r="I110" s="14" t="n">
        <x:v>2023</x:v>
      </x:c>
      <x:c r="J110" s="14" t="str">
        <x:v>Earlier-Production Carry-In Cohort</x:v>
      </x:c>
      <x:c r="K110" s="14" t="n">
        <x:v>2022</x:v>
      </x:c>
      <x:c r="L110" s="14" t="str">
        <x:v>Used in 2023 annual analysis</x:v>
      </x:c>
      <x:c r="M110" s="15" t="n">
        <x:v>60</x:v>
      </x:c>
      <x:c r="N110" s="14" t="str">
        <x:v>Emma Tate</x:v>
      </x:c>
      <x:c r="O110" s="14" t="str">
        <x:v>nm1469295</x:v>
      </x:c>
      <x:c r="P110" s="14" t="str">
        <x:v>Fanny</x:v>
      </x:c>
      <x:c r="Q110" s="15" t="n">
        <x:v>2</x:v>
      </x:c>
      <x:c r="R110" s="14" t="str">
        <x:v>2023</x:v>
      </x:c>
      <x:c r="S110" s="14" t="n">
        <x:v>2023</x:v>
      </x:c>
      <x:c r="T110" s="14" t="n">
        <x:v>2023</x:v>
      </x:c>
      <x:c r="U110" s="14" t="str">
        <x:v>Explicit source first year retained</x:v>
      </x:c>
      <x:c r="V110" s="14" t="str">
        <x:v>Earliest supplied year is 2023.</x:v>
      </x:c>
      <x:c r="W110" s="14"/>
      <x:c r="X110" s="14" t="str">
        <x:v>Included</x:v>
      </x:c>
      <x:c r="Y110" s="14"/>
      <x:c r="Z110" s="14" t="str">
        <x:v>Hotel Portofino.docx</x:v>
      </x:c>
      <x:c r="AA11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BritBox UK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HYPERLINK("https://en.wikipedia.org/wiki/Hotel_Portofino","Open source")</x:f>
        <x:v>HYPERLINK is not implemented. linkLocation=https://en.wikipedia.org/wiki/Hotel_Portofino, friendlyName=Open source</x:v>
      </x:c>
      <x:c r="AN110" s="14" t="str">
        <x:v>No qualifying BBC relationship</x:v>
      </x:c>
      <x:c r="AO110" s="14" t="str">
        <x:v>No</x:v>
      </x:c>
      <x:c r="AP110" s="14" t="str">
        <x:v>Out of scope</x:v>
      </x:c>
      <x:c r="AQ110" s="14" t="str">
        <x:v>No</x:v>
      </x:c>
      <x:c r="AR110" s="14" t="str">
        <x:v>Resolved from master register</x:v>
      </x:c>
      <x:c r="AS110" s="14" t="str">
        <x:v>No established-register match</x:v>
      </x:c>
      <x:c r="AT110" s="14"/>
      <x:c r="AU110" s="14"/>
      <x:c r="AV110" s="14" t="str">
        <x:v>No established apparent-disability match</x:v>
      </x:c>
      <x:c r="AW110" s="14"/>
      <x:c r="AX110" s="14" t="str">
        <x:v>No</x:v>
      </x:c>
      <x:c r="AY110" s="14" t="str">
        <x:v>Unmatched</x:v>
      </x:c>
      <x:c r="AZ110" s="14" t="str">
        <x:v>Final supplied register</x:v>
      </x:c>
      <x:c r="BA110" s="14" t="str">
        <x:v>Absence from the register is not evidence that the performer is not disabled.</x:v>
      </x:c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18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2</x:v>
      </x:c>
      <x:c r="BS110" s="16" t="n">
        <x:v>0.1111111111111111</x:v>
      </x:c>
      <x:c r="BT110" s="14" t="str">
        <x:v>Minority of episodes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tt14815774|nm5260558|henchman</x:v>
      </x:c>
      <x:c r="B111" s="14" t="str">
        <x:v>02</x:v>
      </x:c>
      <x:c r="C111" s="14" t="str">
        <x:v>2022_IMDb_Cast_Lists_Batch_02(1).xlsx</x:v>
      </x:c>
      <x:c r="D111" s="14" t="str">
        <x:v>Hotel Portofino</x:v>
      </x:c>
      <x:c r="E111" s="14" t="n">
        <x:v>69</x:v>
      </x:c>
      <x:c r="F111" s="14" t="str">
        <x:v>Hotel Portofino</x:v>
      </x:c>
      <x:c r="G111" s="14" t="str">
        <x:v>tt14815774</x:v>
      </x:c>
      <x:c r="H111" s="14" t="n">
        <x:v>2022</x:v>
      </x:c>
      <x:c r="I111" s="14" t="n">
        <x:v>2023</x:v>
      </x:c>
      <x:c r="J111" s="14" t="str">
        <x:v>Earlier-Production Carry-In Cohort</x:v>
      </x:c>
      <x:c r="K111" s="14" t="n">
        <x:v>2022</x:v>
      </x:c>
      <x:c r="L111" s="14" t="str">
        <x:v>Used in 2023 annual analysis</x:v>
      </x:c>
      <x:c r="M111" s="15" t="n">
        <x:v>62</x:v>
      </x:c>
      <x:c r="N111" s="14" t="str">
        <x:v>Goran Stjepanovic</x:v>
      </x:c>
      <x:c r="O111" s="14" t="str">
        <x:v>nm5260558</x:v>
      </x:c>
      <x:c r="P111" s="14" t="str">
        <x:v>Henchman</x:v>
      </x:c>
      <x:c r="Q111" s="15" t="n">
        <x:v>1</x:v>
      </x:c>
      <x:c r="R111" s="14" t="str">
        <x:v>2023</x:v>
      </x:c>
      <x:c r="S111" s="14" t="n">
        <x:v>2023</x:v>
      </x:c>
      <x:c r="T111" s="14" t="n">
        <x:v>2023</x:v>
      </x:c>
      <x:c r="U111" s="14" t="str">
        <x:v>Explicit source first year retained</x:v>
      </x:c>
      <x:c r="V111" s="14" t="str">
        <x:v>Earliest supplied year is 2023.</x:v>
      </x:c>
      <x:c r="W111" s="14"/>
      <x:c r="X111" s="14" t="str">
        <x:v>Included</x:v>
      </x:c>
      <x:c r="Y111" s="14"/>
      <x:c r="Z111" s="14" t="str">
        <x:v>Hotel Portofino.docx</x:v>
      </x:c>
      <x:c r="AA11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BritBox UK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HYPERLINK("https://en.wikipedia.org/wiki/Hotel_Portofino","Open source")</x:f>
        <x:v>HYPERLINK is not implemented. linkLocation=https://en.wikipedia.org/wiki/Hotel_Portofino, friendlyName=Open source</x:v>
      </x:c>
      <x:c r="AN111" s="14" t="str">
        <x:v>No qualifying BBC relationship</x:v>
      </x:c>
      <x:c r="AO111" s="14" t="str">
        <x:v>No</x:v>
      </x:c>
      <x:c r="AP111" s="14" t="str">
        <x:v>Out of scope</x:v>
      </x:c>
      <x:c r="AQ111" s="14" t="str">
        <x:v>No</x:v>
      </x:c>
      <x:c r="AR111" s="14" t="str">
        <x:v>Resolved from master register</x:v>
      </x:c>
      <x:c r="AS111" s="14" t="str">
        <x:v>No established-register match</x:v>
      </x:c>
      <x:c r="AT111" s="14"/>
      <x:c r="AU111" s="14"/>
      <x:c r="AV111" s="14" t="str">
        <x:v>No established apparent-disability match</x:v>
      </x:c>
      <x:c r="AW111" s="14"/>
      <x:c r="AX111" s="14" t="str">
        <x:v>No</x:v>
      </x:c>
      <x:c r="AY111" s="14" t="str">
        <x:v>Unmatched</x:v>
      </x:c>
      <x:c r="AZ111" s="14" t="str">
        <x:v>Final supplied register</x:v>
      </x:c>
      <x:c r="BA111" s="14" t="str">
        <x:v>Absence from the register is not evidence that the performer is not disabled.</x:v>
      </x:c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18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0.05555555555555555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tt14815774|nm14440484|reginald briggs</x:v>
      </x:c>
      <x:c r="B112" s="14" t="str">
        <x:v>02</x:v>
      </x:c>
      <x:c r="C112" s="14" t="str">
        <x:v>2022_IMDb_Cast_Lists_Batch_02(1).xlsx</x:v>
      </x:c>
      <x:c r="D112" s="14" t="str">
        <x:v>Hotel Portofino</x:v>
      </x:c>
      <x:c r="E112" s="14" t="n">
        <x:v>71</x:v>
      </x:c>
      <x:c r="F112" s="14" t="str">
        <x:v>Hotel Portofino</x:v>
      </x:c>
      <x:c r="G112" s="14" t="str">
        <x:v>tt14815774</x:v>
      </x:c>
      <x:c r="H112" s="14" t="n">
        <x:v>2022</x:v>
      </x:c>
      <x:c r="I112" s="14" t="n">
        <x:v>2023</x:v>
      </x:c>
      <x:c r="J112" s="14" t="str">
        <x:v>Earlier-Production Carry-In Cohort</x:v>
      </x:c>
      <x:c r="K112" s="14" t="n">
        <x:v>2022</x:v>
      </x:c>
      <x:c r="L112" s="14" t="str">
        <x:v>Used in 2023 annual analysis</x:v>
      </x:c>
      <x:c r="M112" s="15" t="n">
        <x:v>64</x:v>
      </x:c>
      <x:c r="N112" s="14" t="str">
        <x:v>Joe Hill</x:v>
      </x:c>
      <x:c r="O112" s="14" t="str">
        <x:v>nm14440484</x:v>
      </x:c>
      <x:c r="P112" s="14" t="str">
        <x:v>Reginald Briggs</x:v>
      </x:c>
      <x:c r="Q112" s="15" t="n">
        <x:v>1</x:v>
      </x:c>
      <x:c r="R112" s="14" t="str">
        <x:v>2023</x:v>
      </x:c>
      <x:c r="S112" s="14" t="n">
        <x:v>2023</x:v>
      </x:c>
      <x:c r="T112" s="14" t="n">
        <x:v>2023</x:v>
      </x:c>
      <x:c r="U112" s="14" t="str">
        <x:v>Explicit source first year retained</x:v>
      </x:c>
      <x:c r="V112" s="14" t="str">
        <x:v>Earliest supplied year is 2023.</x:v>
      </x:c>
      <x:c r="W112" s="14"/>
      <x:c r="X112" s="14" t="str">
        <x:v>Included</x:v>
      </x:c>
      <x:c r="Y112" s="14"/>
      <x:c r="Z112" s="14" t="str">
        <x:v>Hotel Portofino.docx</x:v>
      </x:c>
      <x:c r="AA11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BritBox UK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HYPERLINK("https://en.wikipedia.org/wiki/Hotel_Portofino","Open source")</x:f>
        <x:v>HYPERLINK is not implemented. linkLocation=https://en.wikipedia.org/wiki/Hotel_Portofino, friendlyName=Open source</x:v>
      </x:c>
      <x:c r="AN112" s="14" t="str">
        <x:v>No qualifying BBC relationship</x:v>
      </x:c>
      <x:c r="AO112" s="14" t="str">
        <x:v>No</x:v>
      </x:c>
      <x:c r="AP112" s="14" t="str">
        <x:v>Out of scope</x:v>
      </x:c>
      <x:c r="AQ112" s="14" t="str">
        <x:v>No</x:v>
      </x:c>
      <x:c r="AR112" s="14" t="str">
        <x:v>Resolved from master register</x:v>
      </x:c>
      <x:c r="AS112" s="14" t="str">
        <x:v>No established-register match</x:v>
      </x:c>
      <x:c r="AT112" s="14"/>
      <x:c r="AU112" s="14"/>
      <x:c r="AV112" s="14" t="str">
        <x:v>No established apparent-disability match</x:v>
      </x:c>
      <x:c r="AW112" s="14"/>
      <x:c r="AX112" s="14" t="str">
        <x:v>No</x:v>
      </x:c>
      <x:c r="AY112" s="14" t="str">
        <x:v>Unmatched</x:v>
      </x:c>
      <x:c r="AZ112" s="14" t="str">
        <x:v>Final supplied register</x:v>
      </x:c>
      <x:c r="BA112" s="14" t="str">
        <x:v>Absence from the register is not evidence that the performer is not disabled.</x:v>
      </x:c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18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0.05555555555555555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tt14815774|nm9702409|joan</x:v>
      </x:c>
      <x:c r="B113" s="14" t="str">
        <x:v>02</x:v>
      </x:c>
      <x:c r="C113" s="14" t="str">
        <x:v>2022_IMDb_Cast_Lists_Batch_02(1).xlsx</x:v>
      </x:c>
      <x:c r="D113" s="14" t="str">
        <x:v>Hotel Portofino</x:v>
      </x:c>
      <x:c r="E113" s="14" t="n">
        <x:v>73</x:v>
      </x:c>
      <x:c r="F113" s="14" t="str">
        <x:v>Hotel Portofino</x:v>
      </x:c>
      <x:c r="G113" s="14" t="str">
        <x:v>tt14815774</x:v>
      </x:c>
      <x:c r="H113" s="14" t="n">
        <x:v>2022</x:v>
      </x:c>
      <x:c r="I113" s="14" t="n">
        <x:v>2023</x:v>
      </x:c>
      <x:c r="J113" s="14" t="str">
        <x:v>Earlier-Production Carry-In Cohort</x:v>
      </x:c>
      <x:c r="K113" s="14" t="n">
        <x:v>2022</x:v>
      </x:c>
      <x:c r="L113" s="14" t="str">
        <x:v>Used in 2023 annual analysis</x:v>
      </x:c>
      <x:c r="M113" s="15" t="n">
        <x:v>66</x:v>
      </x:c>
      <x:c r="N113" s="14" t="str">
        <x:v>Ella Bruccoleri</x:v>
      </x:c>
      <x:c r="O113" s="14" t="str">
        <x:v>nm9702409</x:v>
      </x:c>
      <x:c r="P113" s="14" t="str">
        <x:v>Joan</x:v>
      </x:c>
      <x:c r="Q113" s="15" t="n">
        <x:v>1</x:v>
      </x:c>
      <x:c r="R113" s="14" t="str">
        <x:v>2023</x:v>
      </x:c>
      <x:c r="S113" s="14" t="n">
        <x:v>2023</x:v>
      </x:c>
      <x:c r="T113" s="14" t="n">
        <x:v>2023</x:v>
      </x:c>
      <x:c r="U113" s="14" t="str">
        <x:v>Explicit source first year retained</x:v>
      </x:c>
      <x:c r="V113" s="14" t="str">
        <x:v>Earliest supplied year is 2023.</x:v>
      </x:c>
      <x:c r="W113" s="14"/>
      <x:c r="X113" s="14" t="str">
        <x:v>Included</x:v>
      </x:c>
      <x:c r="Y113" s="14"/>
      <x:c r="Z113" s="14" t="str">
        <x:v>Hotel Portofino.docx</x:v>
      </x:c>
      <x:c r="AA11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BritBox UK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HYPERLINK("https://en.wikipedia.org/wiki/Hotel_Portofino","Open source")</x:f>
        <x:v>HYPERLINK is not implemented. linkLocation=https://en.wikipedia.org/wiki/Hotel_Portofino, friendlyName=Open source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 t="str">
        <x:v>No established-register match</x:v>
      </x:c>
      <x:c r="AT113" s="14"/>
      <x:c r="AU113" s="14"/>
      <x:c r="AV113" s="14" t="str">
        <x:v>No established apparent-disability match</x:v>
      </x:c>
      <x:c r="AW113" s="14"/>
      <x:c r="AX113" s="14" t="str">
        <x:v>No</x:v>
      </x:c>
      <x:c r="AY113" s="14" t="str">
        <x:v>Unmatched</x:v>
      </x:c>
      <x:c r="AZ113" s="14" t="str">
        <x:v>Final supplied register</x:v>
      </x:c>
      <x:c r="BA113" s="14" t="str">
        <x:v>Absence from the register is not evidence that the performer is not disabled.</x:v>
      </x:c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18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0.05555555555555555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tt14815774|nm14440485|telegraph operator</x:v>
      </x:c>
      <x:c r="B114" s="14" t="str">
        <x:v>02</x:v>
      </x:c>
      <x:c r="C114" s="14" t="str">
        <x:v>2022_IMDb_Cast_Lists_Batch_02(1).xlsx</x:v>
      </x:c>
      <x:c r="D114" s="14" t="str">
        <x:v>Hotel Portofino</x:v>
      </x:c>
      <x:c r="E114" s="14" t="n">
        <x:v>74</x:v>
      </x:c>
      <x:c r="F114" s="14" t="str">
        <x:v>Hotel Portofino</x:v>
      </x:c>
      <x:c r="G114" s="14" t="str">
        <x:v>tt14815774</x:v>
      </x:c>
      <x:c r="H114" s="14" t="n">
        <x:v>2022</x:v>
      </x:c>
      <x:c r="I114" s="14" t="n">
        <x:v>2023</x:v>
      </x:c>
      <x:c r="J114" s="14" t="str">
        <x:v>Earlier-Production Carry-In Cohort</x:v>
      </x:c>
      <x:c r="K114" s="14" t="n">
        <x:v>2022</x:v>
      </x:c>
      <x:c r="L114" s="14" t="str">
        <x:v>Used in 2023 annual analysis</x:v>
      </x:c>
      <x:c r="M114" s="15" t="n">
        <x:v>67</x:v>
      </x:c>
      <x:c r="N114" s="14" t="str">
        <x:v>Livio Coccolo</x:v>
      </x:c>
      <x:c r="O114" s="14" t="str">
        <x:v>nm14440485</x:v>
      </x:c>
      <x:c r="P114" s="14" t="str">
        <x:v>Telegraph Operator</x:v>
      </x:c>
      <x:c r="Q114" s="15" t="n">
        <x:v>1</x:v>
      </x:c>
      <x:c r="R114" s="14" t="str">
        <x:v>2023</x:v>
      </x:c>
      <x:c r="S114" s="14" t="n">
        <x:v>2023</x:v>
      </x:c>
      <x:c r="T114" s="14" t="n">
        <x:v>2023</x:v>
      </x:c>
      <x:c r="U114" s="14" t="str">
        <x:v>Explicit source first year retained</x:v>
      </x:c>
      <x:c r="V114" s="14" t="str">
        <x:v>Earliest supplied year is 2023.</x:v>
      </x:c>
      <x:c r="W114" s="14"/>
      <x:c r="X114" s="14" t="str">
        <x:v>Included</x:v>
      </x:c>
      <x:c r="Y114" s="14"/>
      <x:c r="Z114" s="14" t="str">
        <x:v>Hotel Portofino.docx</x:v>
      </x:c>
      <x:c r="AA11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BritBox UK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HYPERLINK("https://en.wikipedia.org/wiki/Hotel_Portofino","Open source")</x:f>
        <x:v>HYPERLINK is not implemented. linkLocation=https://en.wikipedia.org/wiki/Hotel_Portofino,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 t="str">
        <x:v>No established-register match</x:v>
      </x:c>
      <x:c r="AT114" s="14"/>
      <x:c r="AU114" s="14"/>
      <x:c r="AV114" s="14" t="str">
        <x:v>No established apparent-disability match</x:v>
      </x:c>
      <x:c r="AW114" s="14"/>
      <x:c r="AX114" s="14" t="str">
        <x:v>No</x:v>
      </x:c>
      <x:c r="AY114" s="14" t="str">
        <x:v>Unmatched</x:v>
      </x:c>
      <x:c r="AZ114" s="14" t="str">
        <x:v>Final supplied register</x:v>
      </x:c>
      <x:c r="BA114" s="14" t="str">
        <x:v>Absence from the register is not evidence that the performer is not disabled.</x:v>
      </x:c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18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0.05555555555555555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tt14815774|nm0242762|manners</x:v>
      </x:c>
      <x:c r="B115" s="14" t="str">
        <x:v>02</x:v>
      </x:c>
      <x:c r="C115" s="14" t="str">
        <x:v>2022_IMDb_Cast_Lists_Batch_02(1).xlsx</x:v>
      </x:c>
      <x:c r="D115" s="14" t="str">
        <x:v>Hotel Portofino</x:v>
      </x:c>
      <x:c r="E115" s="14" t="n">
        <x:v>76</x:v>
      </x:c>
      <x:c r="F115" s="14" t="str">
        <x:v>Hotel Portofino</x:v>
      </x:c>
      <x:c r="G115" s="14" t="str">
        <x:v>tt14815774</x:v>
      </x:c>
      <x:c r="H115" s="14" t="n">
        <x:v>2022</x:v>
      </x:c>
      <x:c r="I115" s="14" t="n">
        <x:v>2023</x:v>
      </x:c>
      <x:c r="J115" s="14" t="str">
        <x:v>Earlier-Production Carry-In Cohort</x:v>
      </x:c>
      <x:c r="K115" s="14" t="n">
        <x:v>2022</x:v>
      </x:c>
      <x:c r="L115" s="14" t="str">
        <x:v>Used in 2023 annual analysis</x:v>
      </x:c>
      <x:c r="M115" s="15" t="n">
        <x:v>69</x:v>
      </x:c>
      <x:c r="N115" s="14" t="str">
        <x:v>Sebastian Dunn</x:v>
      </x:c>
      <x:c r="O115" s="14" t="str">
        <x:v>nm0242762</x:v>
      </x:c>
      <x:c r="P115" s="14" t="str">
        <x:v>Manners</x:v>
      </x:c>
      <x:c r="Q115" s="15" t="n">
        <x:v>1</x:v>
      </x:c>
      <x:c r="R115" s="14" t="str">
        <x:v>2023</x:v>
      </x:c>
      <x:c r="S115" s="14" t="n">
        <x:v>2023</x:v>
      </x:c>
      <x:c r="T115" s="14" t="n">
        <x:v>2023</x:v>
      </x:c>
      <x:c r="U115" s="14" t="str">
        <x:v>Explicit source first year retained</x:v>
      </x:c>
      <x:c r="V115" s="14" t="str">
        <x:v>Earliest supplied year is 2023.</x:v>
      </x:c>
      <x:c r="W115" s="14"/>
      <x:c r="X115" s="14" t="str">
        <x:v>Included</x:v>
      </x:c>
      <x:c r="Y115" s="14"/>
      <x:c r="Z115" s="14" t="str">
        <x:v>Hotel Portofino.docx</x:v>
      </x:c>
      <x:c r="AA11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BritBox UK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HYPERLINK("https://en.wikipedia.org/wiki/Hotel_Portofino","Open source")</x:f>
        <x:v>HYPERLINK is not implemented. linkLocation=https://en.wikipedia.org/wiki/Hotel_Portofino,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 t="str">
        <x:v>No established-register match</x:v>
      </x:c>
      <x:c r="AT115" s="14"/>
      <x:c r="AU115" s="14"/>
      <x:c r="AV115" s="14" t="str">
        <x:v>No established apparent-disability match</x:v>
      </x:c>
      <x:c r="AW115" s="14"/>
      <x:c r="AX115" s="14" t="str">
        <x:v>No</x:v>
      </x:c>
      <x:c r="AY115" s="14" t="str">
        <x:v>Unmatched</x:v>
      </x:c>
      <x:c r="AZ115" s="14" t="str">
        <x:v>Final supplied register</x:v>
      </x:c>
      <x:c r="BA115" s="14" t="str">
        <x:v>Absence from the register is not evidence that the performer is not disabled.</x:v>
      </x:c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18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0.05555555555555555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tt14815774|nm0054087|mitchell</x:v>
      </x:c>
      <x:c r="B116" s="14" t="str">
        <x:v>02</x:v>
      </x:c>
      <x:c r="C116" s="14" t="str">
        <x:v>2022_IMDb_Cast_Lists_Batch_02(1).xlsx</x:v>
      </x:c>
      <x:c r="D116" s="14" t="str">
        <x:v>Hotel Portofino</x:v>
      </x:c>
      <x:c r="E116" s="14" t="n">
        <x:v>80</x:v>
      </x:c>
      <x:c r="F116" s="14" t="str">
        <x:v>Hotel Portofino</x:v>
      </x:c>
      <x:c r="G116" s="14" t="str">
        <x:v>tt14815774</x:v>
      </x:c>
      <x:c r="H116" s="14" t="n">
        <x:v>2022</x:v>
      </x:c>
      <x:c r="I116" s="14" t="n">
        <x:v>2023</x:v>
      </x:c>
      <x:c r="J116" s="14" t="str">
        <x:v>Earlier-Production Carry-In Cohort</x:v>
      </x:c>
      <x:c r="K116" s="14" t="n">
        <x:v>2022</x:v>
      </x:c>
      <x:c r="L116" s="14" t="str">
        <x:v>Used in 2023 annual analysis</x:v>
      </x:c>
      <x:c r="M116" s="15" t="n">
        <x:v>73</x:v>
      </x:c>
      <x:c r="N116" s="14" t="str">
        <x:v>Roger Barclay</x:v>
      </x:c>
      <x:c r="O116" s="14" t="str">
        <x:v>nm0054087</x:v>
      </x:c>
      <x:c r="P116" s="14" t="str">
        <x:v>Mitchell</x:v>
      </x:c>
      <x:c r="Q116" s="15" t="n">
        <x:v>1</x:v>
      </x:c>
      <x:c r="R116" s="14" t="str">
        <x:v>2023</x:v>
      </x:c>
      <x:c r="S116" s="14" t="n">
        <x:v>2023</x:v>
      </x:c>
      <x:c r="T116" s="14" t="n">
        <x:v>2023</x:v>
      </x:c>
      <x:c r="U116" s="14" t="str">
        <x:v>Explicit source first year retained</x:v>
      </x:c>
      <x:c r="V116" s="14" t="str">
        <x:v>Earliest supplied year is 2023.</x:v>
      </x:c>
      <x:c r="W116" s="14"/>
      <x:c r="X116" s="14" t="str">
        <x:v>Included</x:v>
      </x:c>
      <x:c r="Y116" s="14"/>
      <x:c r="Z116" s="14" t="str">
        <x:v>Hotel Portofino.docx</x:v>
      </x:c>
      <x:c r="AA11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BritBox UK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HYPERLINK("https://en.wikipedia.org/wiki/Hotel_Portofino","Open source")</x:f>
        <x:v>HYPERLINK is not implemented. linkLocation=https://en.wikipedia.org/wiki/Hotel_Portofino,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 t="str">
        <x:v>No established-register match</x:v>
      </x:c>
      <x:c r="AT116" s="14"/>
      <x:c r="AU116" s="14"/>
      <x:c r="AV116" s="14" t="str">
        <x:v>No established apparent-disability match</x:v>
      </x:c>
      <x:c r="AW116" s="14"/>
      <x:c r="AX116" s="14" t="str">
        <x:v>No</x:v>
      </x:c>
      <x:c r="AY116" s="14" t="str">
        <x:v>Unmatched</x:v>
      </x:c>
      <x:c r="AZ116" s="14" t="str">
        <x:v>Final supplied register</x:v>
      </x:c>
      <x:c r="BA116" s="14" t="str">
        <x:v>Absence from the register is not evidence that the performer is not disabled.</x:v>
      </x:c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18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0.05555555555555555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tt14815774|nm5455936|hester</x:v>
      </x:c>
      <x:c r="B117" s="14" t="str">
        <x:v>02</x:v>
      </x:c>
      <x:c r="C117" s="14" t="str">
        <x:v>2022_IMDb_Cast_Lists_Batch_02(1).xlsx</x:v>
      </x:c>
      <x:c r="D117" s="14" t="str">
        <x:v>Hotel Portofino</x:v>
      </x:c>
      <x:c r="E117" s="14" t="n">
        <x:v>83</x:v>
      </x:c>
      <x:c r="F117" s="14" t="str">
        <x:v>Hotel Portofino</x:v>
      </x:c>
      <x:c r="G117" s="14" t="str">
        <x:v>tt14815774</x:v>
      </x:c>
      <x:c r="H117" s="14" t="n">
        <x:v>2022</x:v>
      </x:c>
      <x:c r="I117" s="14" t="n">
        <x:v>2023</x:v>
      </x:c>
      <x:c r="J117" s="14" t="str">
        <x:v>Earlier-Production Carry-In Cohort</x:v>
      </x:c>
      <x:c r="K117" s="14" t="n">
        <x:v>2022</x:v>
      </x:c>
      <x:c r="L117" s="14" t="str">
        <x:v>Used in 2023 annual analysis</x:v>
      </x:c>
      <x:c r="M117" s="15" t="n">
        <x:v>76</x:v>
      </x:c>
      <x:c r="N117" s="14" t="str">
        <x:v>Nadia Cvitanović</x:v>
      </x:c>
      <x:c r="O117" s="14" t="str">
        <x:v>nm5455936</x:v>
      </x:c>
      <x:c r="P117" s="14" t="str">
        <x:v>Hester</x:v>
      </x:c>
      <x:c r="Q117" s="15" t="n">
        <x:v>1</x:v>
      </x:c>
      <x:c r="R117" s="14" t="str">
        <x:v>2023</x:v>
      </x:c>
      <x:c r="S117" s="14" t="n">
        <x:v>2023</x:v>
      </x:c>
      <x:c r="T117" s="14" t="n">
        <x:v>2023</x:v>
      </x:c>
      <x:c r="U117" s="14" t="str">
        <x:v>Explicit source first year retained</x:v>
      </x:c>
      <x:c r="V117" s="14" t="str">
        <x:v>Earliest supplied year is 2023.</x:v>
      </x:c>
      <x:c r="W117" s="14"/>
      <x:c r="X117" s="14" t="str">
        <x:v>Included</x:v>
      </x:c>
      <x:c r="Y117" s="14" t="str">
        <x:v>(as Nadia Cvitanovic)</x:v>
      </x:c>
      <x:c r="Z117" s="14" t="str">
        <x:v>Hotel Portofino.docx</x:v>
      </x:c>
      <x:c r="AA11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BritBox UK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HYPERLINK("https://en.wikipedia.org/wiki/Hotel_Portofino","Open source")</x:f>
        <x:v>HYPERLINK is not implemented. linkLocation=https://en.wikipedia.org/wiki/Hotel_Portofino,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 t="str">
        <x:v>No established-register match</x:v>
      </x:c>
      <x:c r="AT117" s="14"/>
      <x:c r="AU117" s="14"/>
      <x:c r="AV117" s="14" t="str">
        <x:v>No established apparent-disability match</x:v>
      </x:c>
      <x:c r="AW117" s="14"/>
      <x:c r="AX117" s="14" t="str">
        <x:v>No</x:v>
      </x:c>
      <x:c r="AY117" s="14" t="str">
        <x:v>Unmatched</x:v>
      </x:c>
      <x:c r="AZ117" s="14" t="str">
        <x:v>Final supplied register</x:v>
      </x:c>
      <x:c r="BA117" s="14" t="str">
        <x:v>Absence from the register is not evidence that the performer is not disabled.</x:v>
      </x:c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18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1</x:v>
      </x:c>
      <x:c r="BS117" s="16" t="n">
        <x:v>0.05555555555555555</x:v>
      </x:c>
      <x:c r="BT117" s="14" t="str">
        <x:v>One episode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tt14815774|nm18296883|passenger</x:v>
      </x:c>
      <x:c r="B118" s="14" t="str">
        <x:v>02</x:v>
      </x:c>
      <x:c r="C118" s="14" t="str">
        <x:v>2022_IMDb_Cast_Lists_Batch_02(1).xlsx</x:v>
      </x:c>
      <x:c r="D118" s="14" t="str">
        <x:v>Hotel Portofino</x:v>
      </x:c>
      <x:c r="E118" s="14" t="n">
        <x:v>86</x:v>
      </x:c>
      <x:c r="F118" s="14" t="str">
        <x:v>Hotel Portofino</x:v>
      </x:c>
      <x:c r="G118" s="14" t="str">
        <x:v>tt14815774</x:v>
      </x:c>
      <x:c r="H118" s="14" t="n">
        <x:v>2022</x:v>
      </x:c>
      <x:c r="I118" s="14" t="n">
        <x:v>2023</x:v>
      </x:c>
      <x:c r="J118" s="14" t="str">
        <x:v>Earlier-Production Carry-In Cohort</x:v>
      </x:c>
      <x:c r="K118" s="14" t="n">
        <x:v>2022</x:v>
      </x:c>
      <x:c r="L118" s="14" t="str">
        <x:v>Used in 2023 annual analysis</x:v>
      </x:c>
      <x:c r="M118" s="15" t="n">
        <x:v>79</x:v>
      </x:c>
      <x:c r="N118" s="14" t="str">
        <x:v>Mirjana Pogačić</x:v>
      </x:c>
      <x:c r="O118" s="14" t="str">
        <x:v>nm18296883</x:v>
      </x:c>
      <x:c r="P118" s="14" t="str">
        <x:v>Passenger</x:v>
      </x:c>
      <x:c r="Q118" s="15" t="n">
        <x:v>1</x:v>
      </x:c>
      <x:c r="R118" s="14" t="str">
        <x:v>2023</x:v>
      </x:c>
      <x:c r="S118" s="14" t="n">
        <x:v>2023</x:v>
      </x:c>
      <x:c r="T118" s="14" t="n">
        <x:v>2023</x:v>
      </x:c>
      <x:c r="U118" s="14" t="str">
        <x:v>Explicit source first year retained</x:v>
      </x:c>
      <x:c r="V118" s="14" t="str">
        <x:v>Earliest supplied year is 2023.</x:v>
      </x:c>
      <x:c r="W118" s="14"/>
      <x:c r="X118" s="14" t="str">
        <x:v>Included</x:v>
      </x:c>
      <x:c r="Y118" s="14" t="str">
        <x:v>(as Mirjana Pogacic)</x:v>
      </x:c>
      <x:c r="Z118" s="14" t="str">
        <x:v>Hotel Portofino.docx</x:v>
      </x:c>
      <x:c r="AA11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BritBox UK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HYPERLINK("https://en.wikipedia.org/wiki/Hotel_Portofino","Open source")</x:f>
        <x:v>HYPERLINK is not implemented. linkLocation=https://en.wikipedia.org/wiki/Hotel_Portofino,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 t="str">
        <x:v>No established-register match</x:v>
      </x:c>
      <x:c r="AT118" s="14"/>
      <x:c r="AU118" s="14"/>
      <x:c r="AV118" s="14" t="str">
        <x:v>No established apparent-disability match</x:v>
      </x:c>
      <x:c r="AW118" s="14"/>
      <x:c r="AX118" s="14" t="str">
        <x:v>No</x:v>
      </x:c>
      <x:c r="AY118" s="14" t="str">
        <x:v>Unmatched</x:v>
      </x:c>
      <x:c r="AZ118" s="14" t="str">
        <x:v>Final supplied register</x:v>
      </x:c>
      <x:c r="BA118" s="14" t="str">
        <x:v>Absence from the register is not evidence that the performer is not disabled.</x:v>
      </x:c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18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0.05555555555555555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tt14708510|nm0408846|patrick morgan</x:v>
      </x:c>
      <x:c r="B119" s="14" t="str">
        <x:v>04</x:v>
      </x:c>
      <x:c r="C119" s="14" t="str">
        <x:v>2022_IMDb_Cast_Lists_Batch_04(1).xlsx</x:v>
      </x:c>
      <x:c r="D119" s="14" t="str">
        <x:v>Screw</x:v>
      </x:c>
      <x:c r="E119" s="14" t="n">
        <x:v>24</x:v>
      </x:c>
      <x:c r="F119" s="14" t="str">
        <x:v>Screw</x:v>
      </x:c>
      <x:c r="G119" s="14" t="str">
        <x:v>tt14708510</x:v>
      </x:c>
      <x:c r="H119" s="14" t="n">
        <x:v>2022</x:v>
      </x:c>
      <x:c r="I119" s="14" t="n">
        <x:v>2023</x:v>
      </x:c>
      <x:c r="J119" s="14" t="str">
        <x:v>Earlier-Production Carry-In Cohort</x:v>
      </x:c>
      <x:c r="K119" s="14" t="n">
        <x:v>2022</x:v>
      </x:c>
      <x:c r="L119" s="14" t="str">
        <x:v>Used in 2023 annual analysis</x:v>
      </x:c>
      <x:c r="M119" s="15" t="n">
        <x:v>17</x:v>
      </x:c>
      <x:c r="N119" s="14" t="str">
        <x:v>Lee Ingleby</x:v>
      </x:c>
      <x:c r="O119" s="14" t="str">
        <x:v>nm0408846</x:v>
      </x:c>
      <x:c r="P119" s="14" t="str">
        <x:v>Patrick Morgan</x:v>
      </x:c>
      <x:c r="Q119" s="15" t="n">
        <x:v>6</x:v>
      </x:c>
      <x:c r="R119" s="14" t="str">
        <x:v>2023</x:v>
      </x:c>
      <x:c r="S119" s="14" t="n">
        <x:v>2023</x:v>
      </x:c>
      <x:c r="T119" s="14" t="n">
        <x:v>2023</x:v>
      </x:c>
      <x:c r="U119" s="14" t="str">
        <x:v>Explicit source first year retained</x:v>
      </x:c>
      <x:c r="V119" s="14" t="str">
        <x:v>Earliest supplied year is 2023.</x:v>
      </x:c>
      <x:c r="W119" s="14"/>
      <x:c r="X119" s="14" t="str">
        <x:v>Included</x:v>
      </x:c>
      <x:c r="Y119" s="14"/>
      <x:c r="Z119" s="14" t="str">
        <x:v>Screw.docx</x:v>
      </x:c>
      <x:c r="AA119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Channel 4 / E4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HYPERLINK("https://en.wikipedia.org/wiki/Screw","Open source")</x:f>
        <x:v>HYPERLINK is not implemented. linkLocation=https://en.wikipedia.org/wiki/Screw,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 t="str">
        <x:v>No established-register match</x:v>
      </x:c>
      <x:c r="AT119" s="14"/>
      <x:c r="AU119" s="14"/>
      <x:c r="AV119" s="14" t="str">
        <x:v>No established apparent-disability match</x:v>
      </x:c>
      <x:c r="AW119" s="14"/>
      <x:c r="AX119" s="14" t="str">
        <x:v>No</x:v>
      </x:c>
      <x:c r="AY119" s="14" t="str">
        <x:v>Unmatched</x:v>
      </x:c>
      <x:c r="AZ119" s="14" t="str">
        <x:v>Final supplied register</x:v>
      </x:c>
      <x:c r="BA119" s="14" t="str">
        <x:v>Absence from the register is not evidence that the performer is not disabled.</x:v>
      </x:c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12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6</x:v>
      </x:c>
      <x:c r="BS119" s="16" t="n">
        <x:v>0.5</x:v>
      </x:c>
      <x:c r="BT119" s="14" t="str">
        <x:v>Minority of episodes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tt14708510|nm2210536|wade hemmings</x:v>
      </x:c>
      <x:c r="B120" s="14" t="str">
        <x:v>04</x:v>
      </x:c>
      <x:c r="C120" s="14" t="str">
        <x:v>2022_IMDb_Cast_Lists_Batch_04(1).xlsx</x:v>
      </x:c>
      <x:c r="D120" s="14" t="str">
        <x:v>Screw</x:v>
      </x:c>
      <x:c r="E120" s="14" t="n">
        <x:v>25</x:v>
      </x:c>
      <x:c r="F120" s="14" t="str">
        <x:v>Screw</x:v>
      </x:c>
      <x:c r="G120" s="14" t="str">
        <x:v>tt14708510</x:v>
      </x:c>
      <x:c r="H120" s="14" t="n">
        <x:v>2022</x:v>
      </x:c>
      <x:c r="I120" s="14" t="n">
        <x:v>2023</x:v>
      </x:c>
      <x:c r="J120" s="14" t="str">
        <x:v>Earlier-Production Carry-In Cohort</x:v>
      </x:c>
      <x:c r="K120" s="14" t="n">
        <x:v>2022</x:v>
      </x:c>
      <x:c r="L120" s="14" t="str">
        <x:v>Used in 2023 annual analysis</x:v>
      </x:c>
      <x:c r="M120" s="15" t="n">
        <x:v>18</x:v>
      </x:c>
      <x:c r="N120" s="14" t="str">
        <x:v>David Judge</x:v>
      </x:c>
      <x:c r="O120" s="14" t="str">
        <x:v>nm2210536</x:v>
      </x:c>
      <x:c r="P120" s="14" t="str">
        <x:v>Wade Hemmings</x:v>
      </x:c>
      <x:c r="Q120" s="15" t="n">
        <x:v>6</x:v>
      </x:c>
      <x:c r="R120" s="14" t="str">
        <x:v>2023</x:v>
      </x:c>
      <x:c r="S120" s="14" t="n">
        <x:v>2023</x:v>
      </x:c>
      <x:c r="T120" s="14" t="n">
        <x:v>2023</x:v>
      </x:c>
      <x:c r="U120" s="14" t="str">
        <x:v>Explicit source first year retained</x:v>
      </x:c>
      <x:c r="V120" s="14" t="str">
        <x:v>Earliest supplied year is 2023.</x:v>
      </x:c>
      <x:c r="W120" s="14"/>
      <x:c r="X120" s="14" t="str">
        <x:v>Included</x:v>
      </x:c>
      <x:c r="Y120" s="14"/>
      <x:c r="Z120" s="14" t="str">
        <x:v>Screw.docx</x:v>
      </x:c>
      <x:c r="AA120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Channel 4 / E4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HYPERLINK("https://en.wikipedia.org/wiki/Screw","Open source")</x:f>
        <x:v>HYPERLINK is not implemented. linkLocation=https://en.wikipedia.org/wiki/Screw, friendlyName=Open source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 t="str">
        <x:v>No established-register match</x:v>
      </x:c>
      <x:c r="AT120" s="14"/>
      <x:c r="AU120" s="14"/>
      <x:c r="AV120" s="14" t="str">
        <x:v>No established apparent-disability match</x:v>
      </x:c>
      <x:c r="AW120" s="14"/>
      <x:c r="AX120" s="14" t="str">
        <x:v>No</x:v>
      </x:c>
      <x:c r="AY120" s="14" t="str">
        <x:v>Unmatched</x:v>
      </x:c>
      <x:c r="AZ120" s="14" t="str">
        <x:v>Final supplied register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12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6</x:v>
      </x:c>
      <x:c r="BS120" s="16" t="n">
        <x:v>0.5</x:v>
      </x:c>
      <x:c r="BT120" s="14" t="str">
        <x:v>Minority of episodes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tt14708510|nm0442997|governor mayhew</x:v>
      </x:c>
      <x:c r="B121" s="14" t="str">
        <x:v>04</x:v>
      </x:c>
      <x:c r="C121" s="14" t="str">
        <x:v>2022_IMDb_Cast_Lists_Batch_04(1).xlsx</x:v>
      </x:c>
      <x:c r="D121" s="14" t="str">
        <x:v>Screw</x:v>
      </x:c>
      <x:c r="E121" s="14" t="n">
        <x:v>26</x:v>
      </x:c>
      <x:c r="F121" s="14" t="str">
        <x:v>Screw</x:v>
      </x:c>
      <x:c r="G121" s="14" t="str">
        <x:v>tt14708510</x:v>
      </x:c>
      <x:c r="H121" s="14" t="n">
        <x:v>2022</x:v>
      </x:c>
      <x:c r="I121" s="14" t="n">
        <x:v>2023</x:v>
      </x:c>
      <x:c r="J121" s="14" t="str">
        <x:v>Earlier-Production Carry-In Cohort</x:v>
      </x:c>
      <x:c r="K121" s="14" t="n">
        <x:v>2022</x:v>
      </x:c>
      <x:c r="L121" s="14" t="str">
        <x:v>Used in 2023 annual analysis</x:v>
      </x:c>
      <x:c r="M121" s="15" t="n">
        <x:v>19</x:v>
      </x:c>
      <x:c r="N121" s="14" t="str">
        <x:v>Barnaby Kay</x:v>
      </x:c>
      <x:c r="O121" s="14" t="str">
        <x:v>nm0442997</x:v>
      </x:c>
      <x:c r="P121" s="14" t="str">
        <x:v>Governor Mayhew</x:v>
      </x:c>
      <x:c r="Q121" s="15" t="n">
        <x:v>6</x:v>
      </x:c>
      <x:c r="R121" s="14" t="str">
        <x:v>2023</x:v>
      </x:c>
      <x:c r="S121" s="14" t="n">
        <x:v>2023</x:v>
      </x:c>
      <x:c r="T121" s="14" t="n">
        <x:v>2023</x:v>
      </x:c>
      <x:c r="U121" s="14" t="str">
        <x:v>Explicit source first year retained</x:v>
      </x:c>
      <x:c r="V121" s="14" t="str">
        <x:v>Earliest supplied year is 2023.</x:v>
      </x:c>
      <x:c r="W121" s="14"/>
      <x:c r="X121" s="14" t="str">
        <x:v>Included</x:v>
      </x:c>
      <x:c r="Y121" s="14"/>
      <x:c r="Z121" s="14" t="str">
        <x:v>Screw.docx</x:v>
      </x:c>
      <x:c r="AA121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Channel 4 / E4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HYPERLINK("https://en.wikipedia.org/wiki/Screw","Open source")</x:f>
        <x:v>HYPERLINK is not implemented. linkLocation=https://en.wikipedia.org/wiki/Screw, friendlyName=Open source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 t="str">
        <x:v>No established-register match</x:v>
      </x:c>
      <x:c r="AT121" s="14"/>
      <x:c r="AU121" s="14"/>
      <x:c r="AV121" s="14" t="str">
        <x:v>No established apparent-disability match</x:v>
      </x:c>
      <x:c r="AW121" s="14"/>
      <x:c r="AX121" s="14" t="str">
        <x:v>No</x:v>
      </x:c>
      <x:c r="AY121" s="14" t="str">
        <x:v>Unmatched</x:v>
      </x:c>
      <x:c r="AZ121" s="14" t="str">
        <x:v>Final supplied register</x:v>
      </x:c>
      <x:c r="BA121" s="14" t="str">
        <x:v>Absence from the register is not evidence that the performer is not disabled.</x:v>
      </x:c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12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6</x:v>
      </x:c>
      <x:c r="BS121" s="16" t="n">
        <x:v>0.5</x:v>
      </x:c>
      <x:c r="BT121" s="14" t="str">
        <x:v>Minority of episodes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tt14708510|nm0339877|tyler reeks</x:v>
      </x:c>
      <x:c r="B122" s="14" t="str">
        <x:v>04</x:v>
      </x:c>
      <x:c r="C122" s="14" t="str">
        <x:v>2022_IMDb_Cast_Lists_Batch_04(1).xlsx</x:v>
      </x:c>
      <x:c r="D122" s="14" t="str">
        <x:v>Screw</x:v>
      </x:c>
      <x:c r="E122" s="14" t="n">
        <x:v>32</x:v>
      </x:c>
      <x:c r="F122" s="14" t="str">
        <x:v>Screw</x:v>
      </x:c>
      <x:c r="G122" s="14" t="str">
        <x:v>tt14708510</x:v>
      </x:c>
      <x:c r="H122" s="14" t="n">
        <x:v>2022</x:v>
      </x:c>
      <x:c r="I122" s="14" t="n">
        <x:v>2023</x:v>
      </x:c>
      <x:c r="J122" s="14" t="str">
        <x:v>Earlier-Production Carry-In Cohort</x:v>
      </x:c>
      <x:c r="K122" s="14" t="n">
        <x:v>2022</x:v>
      </x:c>
      <x:c r="L122" s="14" t="str">
        <x:v>Used in 2023 annual analysis</x:v>
      </x:c>
      <x:c r="M122" s="15" t="n">
        <x:v>25</x:v>
      </x:c>
      <x:c r="N122" s="14" t="str">
        <x:v>Leo Gregory</x:v>
      </x:c>
      <x:c r="O122" s="14" t="str">
        <x:v>nm0339877</x:v>
      </x:c>
      <x:c r="P122" s="14" t="str">
        <x:v>Tyler Reeks</x:v>
      </x:c>
      <x:c r="Q122" s="15" t="n">
        <x:v>4</x:v>
      </x:c>
      <x:c r="R122" s="14" t="str">
        <x:v>2023</x:v>
      </x:c>
      <x:c r="S122" s="14" t="n">
        <x:v>2023</x:v>
      </x:c>
      <x:c r="T122" s="14" t="n">
        <x:v>2023</x:v>
      </x:c>
      <x:c r="U122" s="14" t="str">
        <x:v>Explicit source first year retained</x:v>
      </x:c>
      <x:c r="V122" s="14" t="str">
        <x:v>Earliest supplied year is 2023.</x:v>
      </x:c>
      <x:c r="W122" s="14"/>
      <x:c r="X122" s="14" t="str">
        <x:v>Included</x:v>
      </x:c>
      <x:c r="Y122" s="14"/>
      <x:c r="Z122" s="14" t="str">
        <x:v>Screw.docx</x:v>
      </x:c>
      <x:c r="AA122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Channel 4 / E4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HYPERLINK("https://en.wikipedia.org/wiki/Screw","Open source")</x:f>
        <x:v>HYPERLINK is not implemented. linkLocation=https://en.wikipedia.org/wiki/Screw, friendlyName=Open source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 t="str">
        <x:v>No established-register match</x:v>
      </x:c>
      <x:c r="AT122" s="14"/>
      <x:c r="AU122" s="14"/>
      <x:c r="AV122" s="14" t="str">
        <x:v>No established apparent-disability match</x:v>
      </x:c>
      <x:c r="AW122" s="14"/>
      <x:c r="AX122" s="14" t="str">
        <x:v>No</x:v>
      </x:c>
      <x:c r="AY122" s="14" t="str">
        <x:v>Unmatched</x:v>
      </x:c>
      <x:c r="AZ122" s="14" t="str">
        <x:v>Final supplied register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12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4</x:v>
      </x:c>
      <x:c r="BS122" s="16" t="n">
        <x:v>0.3333333333333333</x:v>
      </x:c>
      <x:c r="BT122" s="14" t="str">
        <x:v>Minority of episodes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tt14708510|nm0149808|anya forsythe</x:v>
      </x:c>
      <x:c r="B123" s="14" t="str">
        <x:v>04</x:v>
      </x:c>
      <x:c r="C123" s="14" t="str">
        <x:v>2022_IMDb_Cast_Lists_Batch_04(1).xlsx</x:v>
      </x:c>
      <x:c r="D123" s="14" t="str">
        <x:v>Screw</x:v>
      </x:c>
      <x:c r="E123" s="14" t="n">
        <x:v>47</x:v>
      </x:c>
      <x:c r="F123" s="14" t="str">
        <x:v>Screw</x:v>
      </x:c>
      <x:c r="G123" s="14" t="str">
        <x:v>tt14708510</x:v>
      </x:c>
      <x:c r="H123" s="14" t="n">
        <x:v>2022</x:v>
      </x:c>
      <x:c r="I123" s="14" t="n">
        <x:v>2023</x:v>
      </x:c>
      <x:c r="J123" s="14" t="str">
        <x:v>Earlier-Production Carry-In Cohort</x:v>
      </x:c>
      <x:c r="K123" s="14" t="n">
        <x:v>2022</x:v>
      </x:c>
      <x:c r="L123" s="14" t="str">
        <x:v>Used in 2023 annual analysis</x:v>
      </x:c>
      <x:c r="M123" s="15" t="n">
        <x:v>40</x:v>
      </x:c>
      <x:c r="N123" s="14" t="str">
        <x:v>Lolita Chakrabarti</x:v>
      </x:c>
      <x:c r="O123" s="14" t="str">
        <x:v>nm0149808</x:v>
      </x:c>
      <x:c r="P123" s="14" t="str">
        <x:v>Anya Forsythe</x:v>
      </x:c>
      <x:c r="Q123" s="15" t="n">
        <x:v>1</x:v>
      </x:c>
      <x:c r="R123" s="14" t="str">
        <x:v>2023</x:v>
      </x:c>
      <x:c r="S123" s="14" t="n">
        <x:v>2023</x:v>
      </x:c>
      <x:c r="T123" s="14" t="n">
        <x:v>2023</x:v>
      </x:c>
      <x:c r="U123" s="14" t="str">
        <x:v>Explicit source first year retained</x:v>
      </x:c>
      <x:c r="V123" s="14" t="str">
        <x:v>Earliest supplied year is 2023.</x:v>
      </x:c>
      <x:c r="W123" s="14"/>
      <x:c r="X123" s="14" t="str">
        <x:v>Included</x:v>
      </x:c>
      <x:c r="Y123" s="14"/>
      <x:c r="Z123" s="14" t="str">
        <x:v>Screw.docx</x:v>
      </x:c>
      <x:c r="AA123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Channel 4 / E4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HYPERLINK("https://en.wikipedia.org/wiki/Screw","Open source")</x:f>
        <x:v>HYPERLINK is not implemented. linkLocation=https://en.wikipedia.org/wiki/Screw, friendlyName=Open source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 t="str">
        <x:v>No established-register match</x:v>
      </x:c>
      <x:c r="AT123" s="14"/>
      <x:c r="AU123" s="14"/>
      <x:c r="AV123" s="14" t="str">
        <x:v>No established apparent-disability match</x:v>
      </x:c>
      <x:c r="AW123" s="14"/>
      <x:c r="AX123" s="14" t="str">
        <x:v>No</x:v>
      </x:c>
      <x:c r="AY123" s="14" t="str">
        <x:v>Unmatched</x:v>
      </x:c>
      <x:c r="AZ123" s="14" t="str">
        <x:v>Final supplied register</x:v>
      </x:c>
      <x:c r="BA123" s="14" t="str">
        <x:v>Absence from the register is not evidence that the performer is not disabled.</x:v>
      </x:c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12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0.08333333333333333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tt14708510|nm11715250|prisoner hawk</x:v>
      </x:c>
      <x:c r="B124" s="14" t="str">
        <x:v>04</x:v>
      </x:c>
      <x:c r="C124" s="14" t="str">
        <x:v>2022_IMDb_Cast_Lists_Batch_04(1).xlsx</x:v>
      </x:c>
      <x:c r="D124" s="14" t="str">
        <x:v>Screw</x:v>
      </x:c>
      <x:c r="E124" s="14" t="n">
        <x:v>54</x:v>
      </x:c>
      <x:c r="F124" s="14" t="str">
        <x:v>Screw</x:v>
      </x:c>
      <x:c r="G124" s="14" t="str">
        <x:v>tt14708510</x:v>
      </x:c>
      <x:c r="H124" s="14" t="n">
        <x:v>2022</x:v>
      </x:c>
      <x:c r="I124" s="14" t="n">
        <x:v>2023</x:v>
      </x:c>
      <x:c r="J124" s="14" t="str">
        <x:v>Earlier-Production Carry-In Cohort</x:v>
      </x:c>
      <x:c r="K124" s="14" t="n">
        <x:v>2022</x:v>
      </x:c>
      <x:c r="L124" s="14" t="str">
        <x:v>Used in 2023 annual analysis</x:v>
      </x:c>
      <x:c r="M124" s="15" t="n">
        <x:v>47</x:v>
      </x:c>
      <x:c r="N124" s="14" t="str">
        <x:v>Vincent Van Craig</x:v>
      </x:c>
      <x:c r="O124" s="14" t="str">
        <x:v>nm11715250</x:v>
      </x:c>
      <x:c r="P124" s="14" t="str">
        <x:v>Prisoner Hawk</x:v>
      </x:c>
      <x:c r="Q124" s="15" t="n">
        <x:v>1</x:v>
      </x:c>
      <x:c r="R124" s="14" t="str">
        <x:v>2023</x:v>
      </x:c>
      <x:c r="S124" s="14" t="n">
        <x:v>2023</x:v>
      </x:c>
      <x:c r="T124" s="14" t="n">
        <x:v>2023</x:v>
      </x:c>
      <x:c r="U124" s="14" t="str">
        <x:v>Explicit source first year retained</x:v>
      </x:c>
      <x:c r="V124" s="14" t="str">
        <x:v>Earliest supplied year is 2023.</x:v>
      </x:c>
      <x:c r="W124" s="14"/>
      <x:c r="X124" s="14" t="str">
        <x:v>Included</x:v>
      </x:c>
      <x:c r="Y124" s="14"/>
      <x:c r="Z124" s="14" t="str">
        <x:v>Screw.docx</x:v>
      </x:c>
      <x:c r="AA124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Channel 4 / E4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HYPERLINK("https://en.wikipedia.org/wiki/Screw","Open source")</x:f>
        <x:v>HYPERLINK is not implemented. linkLocation=https://en.wikipedia.org/wiki/Screw, friendlyName=Open source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 t="str">
        <x:v>No established-register match</x:v>
      </x:c>
      <x:c r="AT124" s="14"/>
      <x:c r="AU124" s="14"/>
      <x:c r="AV124" s="14" t="str">
        <x:v>No established apparent-disability match</x:v>
      </x:c>
      <x:c r="AW124" s="14"/>
      <x:c r="AX124" s="14" t="str">
        <x:v>No</x:v>
      </x:c>
      <x:c r="AY124" s="14" t="str">
        <x:v>Unmatched</x:v>
      </x:c>
      <x:c r="AZ124" s="14" t="str">
        <x:v>Final supplied register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12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0.08333333333333333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tt14708510|nm0616750|ezekiel</x:v>
      </x:c>
      <x:c r="B125" s="14" t="str">
        <x:v>04</x:v>
      </x:c>
      <x:c r="C125" s="14" t="str">
        <x:v>2022_IMDb_Cast_Lists_Batch_04(1).xlsx</x:v>
      </x:c>
      <x:c r="D125" s="14" t="str">
        <x:v>Screw</x:v>
      </x:c>
      <x:c r="E125" s="14" t="n">
        <x:v>66</x:v>
      </x:c>
      <x:c r="F125" s="14" t="str">
        <x:v>Screw</x:v>
      </x:c>
      <x:c r="G125" s="14" t="str">
        <x:v>tt14708510</x:v>
      </x:c>
      <x:c r="H125" s="14" t="n">
        <x:v>2022</x:v>
      </x:c>
      <x:c r="I125" s="14" t="n">
        <x:v>2023</x:v>
      </x:c>
      <x:c r="J125" s="14" t="str">
        <x:v>Earlier-Production Carry-In Cohort</x:v>
      </x:c>
      <x:c r="K125" s="14" t="n">
        <x:v>2022</x:v>
      </x:c>
      <x:c r="L125" s="14" t="str">
        <x:v>Used in 2023 annual analysis</x:v>
      </x:c>
      <x:c r="M125" s="15" t="n">
        <x:v>59</x:v>
      </x:c>
      <x:c r="N125" s="14" t="str">
        <x:v>Johann Myers</x:v>
      </x:c>
      <x:c r="O125" s="14" t="str">
        <x:v>nm0616750</x:v>
      </x:c>
      <x:c r="P125" s="14" t="str">
        <x:v>Ezekiel</x:v>
      </x:c>
      <x:c r="Q125" s="15" t="n">
        <x:v>1</x:v>
      </x:c>
      <x:c r="R125" s="14" t="str">
        <x:v>2023</x:v>
      </x:c>
      <x:c r="S125" s="14" t="n">
        <x:v>2023</x:v>
      </x:c>
      <x:c r="T125" s="14" t="n">
        <x:v>2023</x:v>
      </x:c>
      <x:c r="U125" s="14" t="str">
        <x:v>Explicit source first year retained</x:v>
      </x:c>
      <x:c r="V125" s="14" t="str">
        <x:v>Earliest supplied year is 2023.</x:v>
      </x:c>
      <x:c r="W125" s="14"/>
      <x:c r="X125" s="14" t="str">
        <x:v>Included</x:v>
      </x:c>
      <x:c r="Y125" s="14"/>
      <x:c r="Z125" s="14" t="str">
        <x:v>Screw.docx</x:v>
      </x:c>
      <x:c r="AA125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Channel 4 / E4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HYPERLINK("https://en.wikipedia.org/wiki/Screw","Open source")</x:f>
        <x:v>HYPERLINK is not implemented. linkLocation=https://en.wikipedia.org/wiki/Screw, friendlyName=Open source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 t="str">
        <x:v>No established-register match</x:v>
      </x:c>
      <x:c r="AT125" s="14"/>
      <x:c r="AU125" s="14"/>
      <x:c r="AV125" s="14" t="str">
        <x:v>No established apparent-disability match</x:v>
      </x:c>
      <x:c r="AW125" s="14"/>
      <x:c r="AX125" s="14" t="str">
        <x:v>No</x:v>
      </x:c>
      <x:c r="AY125" s="14" t="str">
        <x:v>Unmatched</x:v>
      </x:c>
      <x:c r="AZ125" s="14" t="str">
        <x:v>Final supplied register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12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0.08333333333333333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tt14708510|nm0997747|di trevor pearson</x:v>
      </x:c>
      <x:c r="B126" s="14" t="str">
        <x:v>04</x:v>
      </x:c>
      <x:c r="C126" s="14" t="str">
        <x:v>2022_IMDb_Cast_Lists_Batch_04(1).xlsx</x:v>
      </x:c>
      <x:c r="D126" s="14" t="str">
        <x:v>Screw</x:v>
      </x:c>
      <x:c r="E126" s="14" t="n">
        <x:v>67</x:v>
      </x:c>
      <x:c r="F126" s="14" t="str">
        <x:v>Screw</x:v>
      </x:c>
      <x:c r="G126" s="14" t="str">
        <x:v>tt14708510</x:v>
      </x:c>
      <x:c r="H126" s="14" t="n">
        <x:v>2022</x:v>
      </x:c>
      <x:c r="I126" s="14" t="n">
        <x:v>2023</x:v>
      </x:c>
      <x:c r="J126" s="14" t="str">
        <x:v>Earlier-Production Carry-In Cohort</x:v>
      </x:c>
      <x:c r="K126" s="14" t="n">
        <x:v>2022</x:v>
      </x:c>
      <x:c r="L126" s="14" t="str">
        <x:v>Used in 2023 annual analysis</x:v>
      </x:c>
      <x:c r="M126" s="15" t="n">
        <x:v>60</x:v>
      </x:c>
      <x:c r="N126" s="14" t="str">
        <x:v>Gary Pillai</x:v>
      </x:c>
      <x:c r="O126" s="14" t="str">
        <x:v>nm0997747</x:v>
      </x:c>
      <x:c r="P126" s="14" t="str">
        <x:v>DI Trevor Pearson</x:v>
      </x:c>
      <x:c r="Q126" s="15" t="n">
        <x:v>1</x:v>
      </x:c>
      <x:c r="R126" s="14" t="str">
        <x:v>2023</x:v>
      </x:c>
      <x:c r="S126" s="14" t="n">
        <x:v>2023</x:v>
      </x:c>
      <x:c r="T126" s="14" t="n">
        <x:v>2023</x:v>
      </x:c>
      <x:c r="U126" s="14" t="str">
        <x:v>Explicit source first year retained</x:v>
      </x:c>
      <x:c r="V126" s="14" t="str">
        <x:v>Earliest supplied year is 2023.</x:v>
      </x:c>
      <x:c r="W126" s="14"/>
      <x:c r="X126" s="14" t="str">
        <x:v>Included</x:v>
      </x:c>
      <x:c r="Y126" s="14"/>
      <x:c r="Z126" s="14" t="str">
        <x:v>Screw.docx</x:v>
      </x:c>
      <x:c r="AA126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Channel 4 / E4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HYPERLINK("https://en.wikipedia.org/wiki/Screw","Open source")</x:f>
        <x:v>HYPERLINK is not implemented. linkLocation=https://en.wikipedia.org/wiki/Screw, friendlyName=Open source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 t="str">
        <x:v>No established-register match</x:v>
      </x:c>
      <x:c r="AT126" s="14"/>
      <x:c r="AU126" s="14"/>
      <x:c r="AV126" s="14" t="str">
        <x:v>No established apparent-disability match</x:v>
      </x:c>
      <x:c r="AW126" s="14"/>
      <x:c r="AX126" s="14" t="str">
        <x:v>No</x:v>
      </x:c>
      <x:c r="AY126" s="14" t="str">
        <x:v>Unmatched</x:v>
      </x:c>
      <x:c r="AZ126" s="14" t="str">
        <x:v>Final supplied register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12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0.08333333333333333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tt14708510|nm3345234|shaun michaels</x:v>
      </x:c>
      <x:c r="B127" s="14" t="str">
        <x:v>04</x:v>
      </x:c>
      <x:c r="C127" s="14" t="str">
        <x:v>2022_IMDb_Cast_Lists_Batch_04(1).xlsx</x:v>
      </x:c>
      <x:c r="D127" s="14" t="str">
        <x:v>Screw</x:v>
      </x:c>
      <x:c r="E127" s="14" t="n">
        <x:v>68</x:v>
      </x:c>
      <x:c r="F127" s="14" t="str">
        <x:v>Screw</x:v>
      </x:c>
      <x:c r="G127" s="14" t="str">
        <x:v>tt14708510</x:v>
      </x:c>
      <x:c r="H127" s="14" t="n">
        <x:v>2022</x:v>
      </x:c>
      <x:c r="I127" s="14" t="n">
        <x:v>2023</x:v>
      </x:c>
      <x:c r="J127" s="14" t="str">
        <x:v>Earlier-Production Carry-In Cohort</x:v>
      </x:c>
      <x:c r="K127" s="14" t="n">
        <x:v>2022</x:v>
      </x:c>
      <x:c r="L127" s="14" t="str">
        <x:v>Used in 2023 annual analysis</x:v>
      </x:c>
      <x:c r="M127" s="15" t="n">
        <x:v>61</x:v>
      </x:c>
      <x:c r="N127" s="14" t="str">
        <x:v>David Carlyle</x:v>
      </x:c>
      <x:c r="O127" s="14" t="str">
        <x:v>nm3345234</x:v>
      </x:c>
      <x:c r="P127" s="14" t="str">
        <x:v>Shaun Michaels</x:v>
      </x:c>
      <x:c r="Q127" s="15" t="n">
        <x:v>1</x:v>
      </x:c>
      <x:c r="R127" s="14" t="str">
        <x:v>2023</x:v>
      </x:c>
      <x:c r="S127" s="14" t="n">
        <x:v>2023</x:v>
      </x:c>
      <x:c r="T127" s="14" t="n">
        <x:v>2023</x:v>
      </x:c>
      <x:c r="U127" s="14" t="str">
        <x:v>Explicit source first year retained</x:v>
      </x:c>
      <x:c r="V127" s="14" t="str">
        <x:v>Earliest supplied year is 2023.</x:v>
      </x:c>
      <x:c r="W127" s="14"/>
      <x:c r="X127" s="14" t="str">
        <x:v>Included</x:v>
      </x:c>
      <x:c r="Y127" s="14"/>
      <x:c r="Z127" s="14" t="str">
        <x:v>Screw.docx</x:v>
      </x:c>
      <x:c r="AA127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Channel 4 / E4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HYPERLINK("https://en.wikipedia.org/wiki/Screw","Open source")</x:f>
        <x:v>HYPERLINK is not implemented. linkLocation=https://en.wikipedia.org/wiki/Screw, friendlyName=Open source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 t="str">
        <x:v>No established-register match</x:v>
      </x:c>
      <x:c r="AT127" s="14"/>
      <x:c r="AU127" s="14"/>
      <x:c r="AV127" s="14" t="str">
        <x:v>No established apparent-disability match</x:v>
      </x:c>
      <x:c r="AW127" s="14"/>
      <x:c r="AX127" s="14" t="str">
        <x:v>No</x:v>
      </x:c>
      <x:c r="AY127" s="14" t="str">
        <x:v>Unmatched</x:v>
      </x:c>
      <x:c r="AZ127" s="14" t="str">
        <x:v>Final supplied register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12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0.08333333333333333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tt14708510|nm7842996|chobbler</x:v>
      </x:c>
      <x:c r="B128" s="14" t="str">
        <x:v>04</x:v>
      </x:c>
      <x:c r="C128" s="14" t="str">
        <x:v>2022_IMDb_Cast_Lists_Batch_04(1).xlsx</x:v>
      </x:c>
      <x:c r="D128" s="14" t="str">
        <x:v>Screw</x:v>
      </x:c>
      <x:c r="E128" s="14" t="n">
        <x:v>69</x:v>
      </x:c>
      <x:c r="F128" s="14" t="str">
        <x:v>Screw</x:v>
      </x:c>
      <x:c r="G128" s="14" t="str">
        <x:v>tt14708510</x:v>
      </x:c>
      <x:c r="H128" s="14" t="n">
        <x:v>2022</x:v>
      </x:c>
      <x:c r="I128" s="14" t="n">
        <x:v>2023</x:v>
      </x:c>
      <x:c r="J128" s="14" t="str">
        <x:v>Earlier-Production Carry-In Cohort</x:v>
      </x:c>
      <x:c r="K128" s="14" t="n">
        <x:v>2022</x:v>
      </x:c>
      <x:c r="L128" s="14" t="str">
        <x:v>Used in 2023 annual analysis</x:v>
      </x:c>
      <x:c r="M128" s="15" t="n">
        <x:v>62</x:v>
      </x:c>
      <x:c r="N128" s="14" t="str">
        <x:v>Michael John Treanor</x:v>
      </x:c>
      <x:c r="O128" s="14" t="str">
        <x:v>nm7842996</x:v>
      </x:c>
      <x:c r="P128" s="14" t="str">
        <x:v>Chobbler</x:v>
      </x:c>
      <x:c r="Q128" s="15" t="n">
        <x:v>1</x:v>
      </x:c>
      <x:c r="R128" s="14" t="str">
        <x:v>2023</x:v>
      </x:c>
      <x:c r="S128" s="14" t="n">
        <x:v>2023</x:v>
      </x:c>
      <x:c r="T128" s="14" t="n">
        <x:v>2023</x:v>
      </x:c>
      <x:c r="U128" s="14" t="str">
        <x:v>Explicit source first year retained</x:v>
      </x:c>
      <x:c r="V128" s="14" t="str">
        <x:v>Earliest supplied year is 2023.</x:v>
      </x:c>
      <x:c r="W128" s="14"/>
      <x:c r="X128" s="14" t="str">
        <x:v>Included</x:v>
      </x:c>
      <x:c r="Y128" s="14"/>
      <x:c r="Z128" s="14" t="str">
        <x:v>Screw.docx</x:v>
      </x:c>
      <x:c r="AA128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Channel 4 / E4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HYPERLINK("https://en.wikipedia.org/wiki/Screw","Open source")</x:f>
        <x:v>HYPERLINK is not implemented. linkLocation=https://en.wikipedia.org/wiki/Screw, friendlyName=Open source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 t="str">
        <x:v>No established-register match</x:v>
      </x:c>
      <x:c r="AT128" s="14"/>
      <x:c r="AU128" s="14"/>
      <x:c r="AV128" s="14" t="str">
        <x:v>No established apparent-disability match</x:v>
      </x:c>
      <x:c r="AW128" s="14"/>
      <x:c r="AX128" s="14" t="str">
        <x:v>No</x:v>
      </x:c>
      <x:c r="AY128" s="14" t="str">
        <x:v>Unmatched</x:v>
      </x:c>
      <x:c r="AZ128" s="14" t="str">
        <x:v>Final supplied register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12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0.08333333333333333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tt14708510|nm9419368|vic tennant</x:v>
      </x:c>
      <x:c r="B129" s="14" t="str">
        <x:v>04</x:v>
      </x:c>
      <x:c r="C129" s="14" t="str">
        <x:v>2022_IMDb_Cast_Lists_Batch_04(1).xlsx</x:v>
      </x:c>
      <x:c r="D129" s="14" t="str">
        <x:v>Screw</x:v>
      </x:c>
      <x:c r="E129" s="14" t="n">
        <x:v>70</x:v>
      </x:c>
      <x:c r="F129" s="14" t="str">
        <x:v>Screw</x:v>
      </x:c>
      <x:c r="G129" s="14" t="str">
        <x:v>tt14708510</x:v>
      </x:c>
      <x:c r="H129" s="14" t="n">
        <x:v>2022</x:v>
      </x:c>
      <x:c r="I129" s="14" t="n">
        <x:v>2023</x:v>
      </x:c>
      <x:c r="J129" s="14" t="str">
        <x:v>Earlier-Production Carry-In Cohort</x:v>
      </x:c>
      <x:c r="K129" s="14" t="n">
        <x:v>2022</x:v>
      </x:c>
      <x:c r="L129" s="14" t="str">
        <x:v>Used in 2023 annual analysis</x:v>
      </x:c>
      <x:c r="M129" s="15" t="n">
        <x:v>63</x:v>
      </x:c>
      <x:c r="N129" s="14" t="str">
        <x:v>Gabriel Akuwudike</x:v>
      </x:c>
      <x:c r="O129" s="14" t="str">
        <x:v>nm9419368</x:v>
      </x:c>
      <x:c r="P129" s="14" t="str">
        <x:v>Vic Tennant</x:v>
      </x:c>
      <x:c r="Q129" s="15" t="n">
        <x:v>1</x:v>
      </x:c>
      <x:c r="R129" s="14" t="str">
        <x:v>2023</x:v>
      </x:c>
      <x:c r="S129" s="14" t="n">
        <x:v>2023</x:v>
      </x:c>
      <x:c r="T129" s="14" t="n">
        <x:v>2023</x:v>
      </x:c>
      <x:c r="U129" s="14" t="str">
        <x:v>Explicit source first year retained</x:v>
      </x:c>
      <x:c r="V129" s="14" t="str">
        <x:v>Earliest supplied year is 2023.</x:v>
      </x:c>
      <x:c r="W129" s="14"/>
      <x:c r="X129" s="14" t="str">
        <x:v>Included</x:v>
      </x:c>
      <x:c r="Y129" s="14"/>
      <x:c r="Z129" s="14" t="str">
        <x:v>Screw.docx</x:v>
      </x:c>
      <x:c r="AA129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Channel 4 / E4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HYPERLINK("https://en.wikipedia.org/wiki/Screw","Open source")</x:f>
        <x:v>HYPERLINK is not implemented. linkLocation=https://en.wikipedia.org/wiki/Screw, friendlyName=Open source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 t="str">
        <x:v>No established-register match</x:v>
      </x:c>
      <x:c r="AT129" s="14"/>
      <x:c r="AU129" s="14"/>
      <x:c r="AV129" s="14" t="str">
        <x:v>No established apparent-disability match</x:v>
      </x:c>
      <x:c r="AW129" s="14"/>
      <x:c r="AX129" s="14" t="str">
        <x:v>No</x:v>
      </x:c>
      <x:c r="AY129" s="14" t="str">
        <x:v>Unmatched</x:v>
      </x:c>
      <x:c r="AZ129" s="14" t="str">
        <x:v>Final supplied register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12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1</x:v>
      </x:c>
      <x:c r="BS129" s="16" t="n">
        <x:v>0.08333333333333333</x:v>
      </x:c>
      <x:c r="BT129" s="14" t="str">
        <x:v>One episode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tt14708510|nm8565573|jesse doyle</x:v>
      </x:c>
      <x:c r="B130" s="14" t="str">
        <x:v>04</x:v>
      </x:c>
      <x:c r="C130" s="14" t="str">
        <x:v>2022_IMDb_Cast_Lists_Batch_04(1).xlsx</x:v>
      </x:c>
      <x:c r="D130" s="14" t="str">
        <x:v>Screw</x:v>
      </x:c>
      <x:c r="E130" s="14" t="n">
        <x:v>71</x:v>
      </x:c>
      <x:c r="F130" s="14" t="str">
        <x:v>Screw</x:v>
      </x:c>
      <x:c r="G130" s="14" t="str">
        <x:v>tt14708510</x:v>
      </x:c>
      <x:c r="H130" s="14" t="n">
        <x:v>2022</x:v>
      </x:c>
      <x:c r="I130" s="14" t="n">
        <x:v>2023</x:v>
      </x:c>
      <x:c r="J130" s="14" t="str">
        <x:v>Earlier-Production Carry-In Cohort</x:v>
      </x:c>
      <x:c r="K130" s="14" t="n">
        <x:v>2022</x:v>
      </x:c>
      <x:c r="L130" s="14" t="str">
        <x:v>Used in 2023 annual analysis</x:v>
      </x:c>
      <x:c r="M130" s="15" t="n">
        <x:v>64</x:v>
      </x:c>
      <x:c r="N130" s="14" t="str">
        <x:v>Kieran Urquhart</x:v>
      </x:c>
      <x:c r="O130" s="14" t="str">
        <x:v>nm8565573</x:v>
      </x:c>
      <x:c r="P130" s="14" t="str">
        <x:v>Jesse Doyle</x:v>
      </x:c>
      <x:c r="Q130" s="15" t="n">
        <x:v>1</x:v>
      </x:c>
      <x:c r="R130" s="14" t="str">
        <x:v>2023</x:v>
      </x:c>
      <x:c r="S130" s="14" t="n">
        <x:v>2023</x:v>
      </x:c>
      <x:c r="T130" s="14" t="n">
        <x:v>2023</x:v>
      </x:c>
      <x:c r="U130" s="14" t="str">
        <x:v>Explicit source first year retained</x:v>
      </x:c>
      <x:c r="V130" s="14" t="str">
        <x:v>Earliest supplied year is 2023.</x:v>
      </x:c>
      <x:c r="W130" s="14"/>
      <x:c r="X130" s="14" t="str">
        <x:v>Included</x:v>
      </x:c>
      <x:c r="Y130" s="14"/>
      <x:c r="Z130" s="14" t="str">
        <x:v>Screw.docx</x:v>
      </x:c>
      <x:c r="AA130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Channel 4 / E4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HYPERLINK("https://en.wikipedia.org/wiki/Screw","Open source")</x:f>
        <x:v>HYPERLINK is not implemented. linkLocation=https://en.wikipedia.org/wiki/Screw, friendlyName=Open source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 t="str">
        <x:v>No established-register match</x:v>
      </x:c>
      <x:c r="AT130" s="14"/>
      <x:c r="AU130" s="14"/>
      <x:c r="AV130" s="14" t="str">
        <x:v>No established apparent-disability match</x:v>
      </x:c>
      <x:c r="AW130" s="14"/>
      <x:c r="AX130" s="14" t="str">
        <x:v>No</x:v>
      </x:c>
      <x:c r="AY130" s="14" t="str">
        <x:v>Unmatched</x:v>
      </x:c>
      <x:c r="AZ130" s="14" t="str">
        <x:v>Final supplied register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12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0.08333333333333333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tt14708510|nm14283927|linda trent</x:v>
      </x:c>
      <x:c r="B131" s="14" t="str">
        <x:v>04</x:v>
      </x:c>
      <x:c r="C131" s="14" t="str">
        <x:v>2022_IMDb_Cast_Lists_Batch_04(1).xlsx</x:v>
      </x:c>
      <x:c r="D131" s="14" t="str">
        <x:v>Screw</x:v>
      </x:c>
      <x:c r="E131" s="14" t="n">
        <x:v>72</x:v>
      </x:c>
      <x:c r="F131" s="14" t="str">
        <x:v>Screw</x:v>
      </x:c>
      <x:c r="G131" s="14" t="str">
        <x:v>tt14708510</x:v>
      </x:c>
      <x:c r="H131" s="14" t="n">
        <x:v>2022</x:v>
      </x:c>
      <x:c r="I131" s="14" t="n">
        <x:v>2023</x:v>
      </x:c>
      <x:c r="J131" s="14" t="str">
        <x:v>Earlier-Production Carry-In Cohort</x:v>
      </x:c>
      <x:c r="K131" s="14" t="n">
        <x:v>2022</x:v>
      </x:c>
      <x:c r="L131" s="14" t="str">
        <x:v>Used in 2023 annual analysis</x:v>
      </x:c>
      <x:c r="M131" s="15" t="n">
        <x:v>65</x:v>
      </x:c>
      <x:c r="N131" s="14" t="str">
        <x:v>Janet Coulson</x:v>
      </x:c>
      <x:c r="O131" s="14" t="str">
        <x:v>nm14283927</x:v>
      </x:c>
      <x:c r="P131" s="14" t="str">
        <x:v>Linda Trent</x:v>
      </x:c>
      <x:c r="Q131" s="15" t="n">
        <x:v>1</x:v>
      </x:c>
      <x:c r="R131" s="14" t="str">
        <x:v>2023</x:v>
      </x:c>
      <x:c r="S131" s="14" t="n">
        <x:v>2023</x:v>
      </x:c>
      <x:c r="T131" s="14" t="n">
        <x:v>2023</x:v>
      </x:c>
      <x:c r="U131" s="14" t="str">
        <x:v>Explicit source first year retained</x:v>
      </x:c>
      <x:c r="V131" s="14" t="str">
        <x:v>Earliest supplied year is 2023.</x:v>
      </x:c>
      <x:c r="W131" s="14"/>
      <x:c r="X131" s="14" t="str">
        <x:v>Included</x:v>
      </x:c>
      <x:c r="Y131" s="14"/>
      <x:c r="Z131" s="14" t="str">
        <x:v>Screw.docx</x:v>
      </x:c>
      <x:c r="AA131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Channel 4 / E4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HYPERLINK("https://en.wikipedia.org/wiki/Screw","Open source")</x:f>
        <x:v>HYPERLINK is not implemented. linkLocation=https://en.wikipedia.org/wiki/Screw, friendlyName=Open source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 t="str">
        <x:v>No established-register match</x:v>
      </x:c>
      <x:c r="AT131" s="14"/>
      <x:c r="AU131" s="14"/>
      <x:c r="AV131" s="14" t="str">
        <x:v>No established apparent-disability match</x:v>
      </x:c>
      <x:c r="AW131" s="14"/>
      <x:c r="AX131" s="14" t="str">
        <x:v>No</x:v>
      </x:c>
      <x:c r="AY131" s="14" t="str">
        <x:v>Unmatched</x:v>
      </x:c>
      <x:c r="AZ131" s="14" t="str">
        <x:v>Final supplied register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12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0.08333333333333333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tt14708510|nm15214097|zahid</x:v>
      </x:c>
      <x:c r="B132" s="14" t="str">
        <x:v>04</x:v>
      </x:c>
      <x:c r="C132" s="14" t="str">
        <x:v>2022_IMDb_Cast_Lists_Batch_04(1).xlsx</x:v>
      </x:c>
      <x:c r="D132" s="14" t="str">
        <x:v>Screw</x:v>
      </x:c>
      <x:c r="E132" s="14" t="n">
        <x:v>73</x:v>
      </x:c>
      <x:c r="F132" s="14" t="str">
        <x:v>Screw</x:v>
      </x:c>
      <x:c r="G132" s="14" t="str">
        <x:v>tt14708510</x:v>
      </x:c>
      <x:c r="H132" s="14" t="n">
        <x:v>2022</x:v>
      </x:c>
      <x:c r="I132" s="14" t="n">
        <x:v>2023</x:v>
      </x:c>
      <x:c r="J132" s="14" t="str">
        <x:v>Earlier-Production Carry-In Cohort</x:v>
      </x:c>
      <x:c r="K132" s="14" t="n">
        <x:v>2022</x:v>
      </x:c>
      <x:c r="L132" s="14" t="str">
        <x:v>Used in 2023 annual analysis</x:v>
      </x:c>
      <x:c r="M132" s="15" t="n">
        <x:v>66</x:v>
      </x:c>
      <x:c r="N132" s="14" t="str">
        <x:v>Louis Bisson</x:v>
      </x:c>
      <x:c r="O132" s="14" t="str">
        <x:v>nm15214097</x:v>
      </x:c>
      <x:c r="P132" s="14" t="str">
        <x:v>Zahid</x:v>
      </x:c>
      <x:c r="Q132" s="15" t="n">
        <x:v>1</x:v>
      </x:c>
      <x:c r="R132" s="14" t="str">
        <x:v>2023</x:v>
      </x:c>
      <x:c r="S132" s="14" t="n">
        <x:v>2023</x:v>
      </x:c>
      <x:c r="T132" s="14" t="n">
        <x:v>2023</x:v>
      </x:c>
      <x:c r="U132" s="14" t="str">
        <x:v>Explicit source first year retained</x:v>
      </x:c>
      <x:c r="V132" s="14" t="str">
        <x:v>Earliest supplied year is 2023.</x:v>
      </x:c>
      <x:c r="W132" s="14"/>
      <x:c r="X132" s="14" t="str">
        <x:v>Included</x:v>
      </x:c>
      <x:c r="Y132" s="14"/>
      <x:c r="Z132" s="14" t="str">
        <x:v>Screw.docx</x:v>
      </x:c>
      <x:c r="AA132" s="17" t="e">
        <x:f>HYPERLINK("https://www.imdb.com/title/tt14708510/fullcredits/","Open source")</x:f>
        <x:v>HYPERLINK is not implemented. linkLocation=https://www.imdb.com/title/tt14708510/fullcredits/,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Channel 4 / E4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HYPERLINK("https://en.wikipedia.org/wiki/Screw","Open source")</x:f>
        <x:v>HYPERLINK is not implemented. linkLocation=https://en.wikipedia.org/wiki/Screw, friendlyName=Open source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 t="str">
        <x:v>No established-register match</x:v>
      </x:c>
      <x:c r="AT132" s="14"/>
      <x:c r="AU132" s="14"/>
      <x:c r="AV132" s="14" t="str">
        <x:v>No established apparent-disability match</x:v>
      </x:c>
      <x:c r="AW132" s="14"/>
      <x:c r="AX132" s="14" t="str">
        <x:v>No</x:v>
      </x:c>
      <x:c r="AY132" s="14" t="str">
        <x:v>Unmatched</x:v>
      </x:c>
      <x:c r="AZ132" s="14" t="str">
        <x:v>Final supplied register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12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0.08333333333333333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HYPERLINK("https://www.imdb.com/title/tt14708510/fullcredits/","Open source")</x:f>
        <x:v>HYPERLINK is not implemented. linkLocation=https://www.imdb.com/title/tt14708510/fullcredits/,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tt15407098|nm8804504|norman whalley</x:v>
      </x:c>
      <x:c r="B133" s="14" t="str">
        <x:v>05</x:v>
      </x:c>
      <x:c r="C133" s="14" t="str">
        <x:v>2022_IMDb_Cast_Lists_Batch_05(1).xlsx</x:v>
      </x:c>
      <x:c r="D133" s="14" t="str">
        <x:v>Sister Boniface Mysteries</x:v>
      </x:c>
      <x:c r="E133" s="14" t="n">
        <x:v>19</x:v>
      </x:c>
      <x:c r="F133" s="14" t="str">
        <x:v>Sister Boniface Mysteries</x:v>
      </x:c>
      <x:c r="G133" s="14" t="str">
        <x:v>tt15407098</x:v>
      </x:c>
      <x:c r="H133" s="14" t="n">
        <x:v>2022</x:v>
      </x:c>
      <x:c r="I133" s="14" t="n">
        <x:v>2023</x:v>
      </x:c>
      <x:c r="J133" s="14" t="str">
        <x:v>Earlier-Production Carry-In Cohort</x:v>
      </x:c>
      <x:c r="K133" s="14" t="n">
        <x:v>2022</x:v>
      </x:c>
      <x:c r="L133" s="14" t="str">
        <x:v>Used in 2023 annual analysis</x:v>
      </x:c>
      <x:c r="M133" s="15" t="n">
        <x:v>12</x:v>
      </x:c>
      <x:c r="N133" s="14" t="str">
        <x:v>Jack Gouldbourne</x:v>
      </x:c>
      <x:c r="O133" s="14" t="str">
        <x:v>nm8804504</x:v>
      </x:c>
      <x:c r="P133" s="14" t="str">
        <x:v>Norman Whalley</x:v>
      </x:c>
      <x:c r="Q133" s="15" t="n">
        <x:v>12</x:v>
      </x:c>
      <x:c r="R133" s="14" t="str">
        <x:v>2023–2025</x:v>
      </x:c>
      <x:c r="S133" s="14" t="n">
        <x:v>2023</x:v>
      </x:c>
      <x:c r="T133" s="14" t="n">
        <x:v>2023</x:v>
      </x:c>
      <x:c r="U133" s="14" t="str">
        <x:v>Explicit source first year retained</x:v>
      </x:c>
      <x:c r="V133" s="14" t="str">
        <x:v>Earliest supplied year is 2023.</x:v>
      </x:c>
      <x:c r="W133" s="14"/>
      <x:c r="X133" s="14" t="str">
        <x:v>Included</x:v>
      </x:c>
      <x:c r="Y133" s="14"/>
      <x:c r="Z133" s="14" t="str">
        <x:v>Sister Boniface Mysteries.docx</x:v>
      </x:c>
      <x:c r="AA13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BritBox UK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 t="str">
        <x:v>No established-register match</x:v>
      </x:c>
      <x:c r="AT133" s="14"/>
      <x:c r="AU133" s="14"/>
      <x:c r="AV133" s="14" t="str">
        <x:v>No established apparent-disability match</x:v>
      </x:c>
      <x:c r="AW133" s="14"/>
      <x:c r="AX133" s="14" t="str">
        <x:v>No</x:v>
      </x:c>
      <x:c r="AY133" s="14" t="str">
        <x:v>Unmatched</x:v>
      </x:c>
      <x:c r="AZ133" s="14" t="str">
        <x:v>Final supplied register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38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12</x:v>
      </x:c>
      <x:c r="BS133" s="16" t="n">
        <x:v>0.3157894736842105</x:v>
      </x:c>
      <x:c r="BT133" s="14" t="str">
        <x:v>Minority of episodes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tt15407098|nm0798025|bbc journalist / newsreader / ...</x:v>
      </x:c>
      <x:c r="B134" s="14" t="str">
        <x:v>05</x:v>
      </x:c>
      <x:c r="C134" s="14" t="str">
        <x:v>2022_IMDb_Cast_Lists_Batch_05(1).xlsx</x:v>
      </x:c>
      <x:c r="D134" s="14" t="str">
        <x:v>Sister Boniface Mysteries</x:v>
      </x:c>
      <x:c r="E134" s="14" t="n">
        <x:v>22</x:v>
      </x:c>
      <x:c r="F134" s="14" t="str">
        <x:v>Sister Boniface Mysteries</x:v>
      </x:c>
      <x:c r="G134" s="14" t="str">
        <x:v>tt15407098</x:v>
      </x:c>
      <x:c r="H134" s="14" t="n">
        <x:v>2022</x:v>
      </x:c>
      <x:c r="I134" s="14" t="n">
        <x:v>2023</x:v>
      </x:c>
      <x:c r="J134" s="14" t="str">
        <x:v>Earlier-Production Carry-In Cohort</x:v>
      </x:c>
      <x:c r="K134" s="14" t="n">
        <x:v>2022</x:v>
      </x:c>
      <x:c r="L134" s="14" t="str">
        <x:v>Used in 2023 annual analysis</x:v>
      </x:c>
      <x:c r="M134" s="15" t="n">
        <x:v>15</x:v>
      </x:c>
      <x:c r="N134" s="14" t="str">
        <x:v>Marc Silk</x:v>
      </x:c>
      <x:c r="O134" s="14" t="str">
        <x:v>nm0798025</x:v>
      </x:c>
      <x:c r="P134" s="14" t="str">
        <x:v>BBC Journalist / Newsreader / ...</x:v>
      </x:c>
      <x:c r="Q134" s="15" t="n">
        <x:v>4</x:v>
      </x:c>
      <x:c r="R134" s="14" t="str">
        <x:v>2023–2024</x:v>
      </x:c>
      <x:c r="S134" s="14" t="n">
        <x:v>2023</x:v>
      </x:c>
      <x:c r="T134" s="14" t="n">
        <x:v>2023</x:v>
      </x:c>
      <x:c r="U134" s="14" t="str">
        <x:v>Explicit source first year retained</x:v>
      </x:c>
      <x:c r="V134" s="14" t="str">
        <x:v>Earliest supplied year is 2023.</x:v>
      </x:c>
      <x:c r="W134" s="14"/>
      <x:c r="X134" s="14" t="str">
        <x:v>Included</x:v>
      </x:c>
      <x:c r="Y134" s="14"/>
      <x:c r="Z134" s="14" t="str">
        <x:v>Sister Boniface Mysteries.docx</x:v>
      </x:c>
      <x:c r="AA13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BritBox UK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 t="str">
        <x:v>No established-register match</x:v>
      </x:c>
      <x:c r="AT134" s="14"/>
      <x:c r="AU134" s="14"/>
      <x:c r="AV134" s="14" t="str">
        <x:v>No established apparent-disability match</x:v>
      </x:c>
      <x:c r="AW134" s="14"/>
      <x:c r="AX134" s="14" t="str">
        <x:v>No</x:v>
      </x:c>
      <x:c r="AY134" s="14" t="str">
        <x:v>Unmatched</x:v>
      </x:c>
      <x:c r="AZ134" s="14" t="str">
        <x:v>Final supplied register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38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4</x:v>
      </x:c>
      <x:c r="BS134" s="16" t="n">
        <x:v>0.10526315789473684</x:v>
      </x:c>
      <x:c r="BT134" s="14" t="str">
        <x:v>Minority of episodes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tt15407098|nm0824353|vivienne bonham-crane</x:v>
      </x:c>
      <x:c r="B135" s="14" t="str">
        <x:v>05</x:v>
      </x:c>
      <x:c r="C135" s="14" t="str">
        <x:v>2022_IMDb_Cast_Lists_Batch_05(1).xlsx</x:v>
      </x:c>
      <x:c r="D135" s="14" t="str">
        <x:v>Sister Boniface Mysteries</x:v>
      </x:c>
      <x:c r="E135" s="14" t="n">
        <x:v>26</x:v>
      </x:c>
      <x:c r="F135" s="14" t="str">
        <x:v>Sister Boniface Mysteries</x:v>
      </x:c>
      <x:c r="G135" s="14" t="str">
        <x:v>tt15407098</x:v>
      </x:c>
      <x:c r="H135" s="14" t="n">
        <x:v>2022</x:v>
      </x:c>
      <x:c r="I135" s="14" t="n">
        <x:v>2023</x:v>
      </x:c>
      <x:c r="J135" s="14" t="str">
        <x:v>Earlier-Production Carry-In Cohort</x:v>
      </x:c>
      <x:c r="K135" s="14" t="n">
        <x:v>2022</x:v>
      </x:c>
      <x:c r="L135" s="14" t="str">
        <x:v>Used in 2023 annual analysis</x:v>
      </x:c>
      <x:c r="M135" s="15" t="n">
        <x:v>19</x:v>
      </x:c>
      <x:c r="N135" s="14" t="str">
        <x:v>Maggie Steed</x:v>
      </x:c>
      <x:c r="O135" s="14" t="str">
        <x:v>nm0824353</x:v>
      </x:c>
      <x:c r="P135" s="14" t="str">
        <x:v>Vivienne Bonham-Crane</x:v>
      </x:c>
      <x:c r="Q135" s="15" t="n">
        <x:v>2</x:v>
      </x:c>
      <x:c r="R135" s="14" t="str">
        <x:v>2023</x:v>
      </x:c>
      <x:c r="S135" s="14" t="n">
        <x:v>2023</x:v>
      </x:c>
      <x:c r="T135" s="14" t="n">
        <x:v>2023</x:v>
      </x:c>
      <x:c r="U135" s="14" t="str">
        <x:v>Explicit source first year retained</x:v>
      </x:c>
      <x:c r="V135" s="14" t="str">
        <x:v>Earliest supplied year is 2023.</x:v>
      </x:c>
      <x:c r="W135" s="14"/>
      <x:c r="X135" s="14" t="str">
        <x:v>Included</x:v>
      </x:c>
      <x:c r="Y135" s="14"/>
      <x:c r="Z135" s="14" t="str">
        <x:v>Sister Boniface Mysteries.docx</x:v>
      </x:c>
      <x:c r="AA13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BritBox UK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 t="str">
        <x:v>No established-register match</x:v>
      </x:c>
      <x:c r="AT135" s="14"/>
      <x:c r="AU135" s="14"/>
      <x:c r="AV135" s="14" t="str">
        <x:v>No established apparent-disability match</x:v>
      </x:c>
      <x:c r="AW135" s="14"/>
      <x:c r="AX135" s="14" t="str">
        <x:v>No</x:v>
      </x:c>
      <x:c r="AY135" s="14" t="str">
        <x:v>Unmatched</x:v>
      </x:c>
      <x:c r="AZ135" s="14" t="str">
        <x:v>Final supplied register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38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2</x:v>
      </x:c>
      <x:c r="BS135" s="16" t="n">
        <x:v>0.05263157894736842</x:v>
      </x:c>
      <x:c r="BT135" s="14" t="str">
        <x:v>Minority of episodes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tt15407098|nm0569416|malise bonham-crane</x:v>
      </x:c>
      <x:c r="B136" s="14" t="str">
        <x:v>05</x:v>
      </x:c>
      <x:c r="C136" s="14" t="str">
        <x:v>2022_IMDb_Cast_Lists_Batch_05(1).xlsx</x:v>
      </x:c>
      <x:c r="D136" s="14" t="str">
        <x:v>Sister Boniface Mysteries</x:v>
      </x:c>
      <x:c r="E136" s="14" t="n">
        <x:v>27</x:v>
      </x:c>
      <x:c r="F136" s="14" t="str">
        <x:v>Sister Boniface Mysteries</x:v>
      </x:c>
      <x:c r="G136" s="14" t="str">
        <x:v>tt15407098</x:v>
      </x:c>
      <x:c r="H136" s="14" t="n">
        <x:v>2022</x:v>
      </x:c>
      <x:c r="I136" s="14" t="n">
        <x:v>2023</x:v>
      </x:c>
      <x:c r="J136" s="14" t="str">
        <x:v>Earlier-Production Carry-In Cohort</x:v>
      </x:c>
      <x:c r="K136" s="14" t="n">
        <x:v>2022</x:v>
      </x:c>
      <x:c r="L136" s="14" t="str">
        <x:v>Used in 2023 annual analysis</x:v>
      </x:c>
      <x:c r="M136" s="15" t="n">
        <x:v>20</x:v>
      </x:c>
      <x:c r="N136" s="14" t="str">
        <x:v>Geoffrey McGivern</x:v>
      </x:c>
      <x:c r="O136" s="14" t="str">
        <x:v>nm0569416</x:v>
      </x:c>
      <x:c r="P136" s="14" t="str">
        <x:v>Malise Bonham-Crane</x:v>
      </x:c>
      <x:c r="Q136" s="15" t="n">
        <x:v>2</x:v>
      </x:c>
      <x:c r="R136" s="14" t="str">
        <x:v>2023</x:v>
      </x:c>
      <x:c r="S136" s="14" t="n">
        <x:v>2023</x:v>
      </x:c>
      <x:c r="T136" s="14" t="n">
        <x:v>2023</x:v>
      </x:c>
      <x:c r="U136" s="14" t="str">
        <x:v>Explicit source first year retained</x:v>
      </x:c>
      <x:c r="V136" s="14" t="str">
        <x:v>Earliest supplied year is 2023.</x:v>
      </x:c>
      <x:c r="W136" s="14"/>
      <x:c r="X136" s="14" t="str">
        <x:v>Included</x:v>
      </x:c>
      <x:c r="Y136" s="14"/>
      <x:c r="Z136" s="14" t="str">
        <x:v>Sister Boniface Mysteries.docx</x:v>
      </x:c>
      <x:c r="AA13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BritBox UK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 t="str">
        <x:v>No established-register match</x:v>
      </x:c>
      <x:c r="AT136" s="14"/>
      <x:c r="AU136" s="14"/>
      <x:c r="AV136" s="14" t="str">
        <x:v>No established apparent-disability match</x:v>
      </x:c>
      <x:c r="AW136" s="14"/>
      <x:c r="AX136" s="14" t="str">
        <x:v>No</x:v>
      </x:c>
      <x:c r="AY136" s="14" t="str">
        <x:v>Unmatched</x:v>
      </x:c>
      <x:c r="AZ136" s="14" t="str">
        <x:v>Final supplied register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38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2</x:v>
      </x:c>
      <x:c r="BS136" s="16" t="n">
        <x:v>0.05263157894736842</x:v>
      </x:c>
      <x:c r="BT136" s="14" t="str">
        <x:v>Minority of episodes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tt15407098|nm0292196|clement rugg</x:v>
      </x:c>
      <x:c r="B137" s="14" t="str">
        <x:v>05</x:v>
      </x:c>
      <x:c r="C137" s="14" t="str">
        <x:v>2022_IMDb_Cast_Lists_Batch_05(1).xlsx</x:v>
      </x:c>
      <x:c r="D137" s="14" t="str">
        <x:v>Sister Boniface Mysteries</x:v>
      </x:c>
      <x:c r="E137" s="14" t="n">
        <x:v>29</x:v>
      </x:c>
      <x:c r="F137" s="14" t="str">
        <x:v>Sister Boniface Mysteries</x:v>
      </x:c>
      <x:c r="G137" s="14" t="str">
        <x:v>tt15407098</x:v>
      </x:c>
      <x:c r="H137" s="14" t="n">
        <x:v>2022</x:v>
      </x:c>
      <x:c r="I137" s="14" t="n">
        <x:v>2023</x:v>
      </x:c>
      <x:c r="J137" s="14" t="str">
        <x:v>Earlier-Production Carry-In Cohort</x:v>
      </x:c>
      <x:c r="K137" s="14" t="n">
        <x:v>2022</x:v>
      </x:c>
      <x:c r="L137" s="14" t="str">
        <x:v>Used in 2023 annual analysis</x:v>
      </x:c>
      <x:c r="M137" s="15" t="n">
        <x:v>22</x:v>
      </x:c>
      <x:c r="N137" s="14" t="str">
        <x:v>Mat Fraser</x:v>
      </x:c>
      <x:c r="O137" s="14" t="str">
        <x:v>nm0292196</x:v>
      </x:c>
      <x:c r="P137" s="14" t="str">
        <x:v>Clement Rugg</x:v>
      </x:c>
      <x:c r="Q137" s="15" t="n">
        <x:v>2</x:v>
      </x:c>
      <x:c r="R137" s="14" t="str">
        <x:v>2023</x:v>
      </x:c>
      <x:c r="S137" s="14" t="n">
        <x:v>2023</x:v>
      </x:c>
      <x:c r="T137" s="14" t="n">
        <x:v>2023</x:v>
      </x:c>
      <x:c r="U137" s="14" t="str">
        <x:v>Explicit source first year retained</x:v>
      </x:c>
      <x:c r="V137" s="14" t="str">
        <x:v>Earliest supplied year is 2023.</x:v>
      </x:c>
      <x:c r="W137" s="14"/>
      <x:c r="X137" s="14" t="str">
        <x:v>Included</x:v>
      </x:c>
      <x:c r="Y137" s="14"/>
      <x:c r="Z137" s="14" t="str">
        <x:v>Sister Boniface Mysteries.docx</x:v>
      </x:c>
      <x:c r="AA13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7" s="14" t="str">
        <x:v>Existing established-register match</x:v>
      </x:c>
      <x:c r="AC137" s="14" t="str">
        <x:v>Physical disability</x:v>
      </x:c>
      <x:c r="AD137" s="14" t="str">
        <x:v>Existing register classification: Physical disability</x:v>
      </x:c>
      <x:c r="AE137" s="14" t="str">
        <x:v>Established_Disability_Category_Register V1.2.xlsx</x:v>
      </x:c>
      <x:c r="AF137" s="14"/>
      <x:c r="AG137" s="14" t="str">
        <x:v>Established user-supplied classification retained for deduplication; evidence was not re-researched in this batch.</x:v>
      </x:c>
      <x:c r="AH137" s="14" t="str">
        <x:v>BritBox UK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 t="str">
        <x:v>Exact IMDb performer ID match</x:v>
      </x:c>
      <x:c r="AT137" s="14" t="str">
        <x:v>nm0292196</x:v>
      </x:c>
      <x:c r="AU137" s="14" t="str">
        <x:v>Physical disability</x:v>
      </x:c>
      <x:c r="AV137" s="14" t="str">
        <x:v>Yes</x:v>
      </x:c>
      <x:c r="AW137" s="14" t="str">
        <x:v>Physical disability</x:v>
      </x:c>
      <x:c r="AX137" s="14" t="str">
        <x:v>No</x:v>
      </x:c>
      <x:c r="AY137" s="14" t="str">
        <x:v>Matched</x:v>
      </x:c>
      <x:c r="AZ137" s="14" t="str">
        <x:v>Final supplied register</x:v>
      </x:c>
      <x:c r="BA137" s="14"/>
      <x:c r="BB137" s="14" t="str">
        <x:v>Exact IMDb performer ID match</x:v>
      </x:c>
      <x:c r="BC137" s="14" t="str">
        <x:v>nm0292196</x:v>
      </x:c>
      <x:c r="BD137" s="14" t="str">
        <x:v>Mat Fraser</x:v>
      </x:c>
      <x:c r="BE137" s="14" t="str">
        <x:v>Physical disability</x:v>
      </x:c>
      <x:c r="BF137" s="14" t="str">
        <x:v>Yes</x:v>
      </x:c>
      <x:c r="BG137" s="14" t="str">
        <x:v>Physical disability</x:v>
      </x:c>
      <x:c r="BH137" s="14" t="str">
        <x:v>No</x:v>
      </x:c>
      <x:c r="BI137" s="14" t="str">
        <x:v>User-supplied established classification</x:v>
      </x:c>
      <x:c r="BJ137" s="14" t="str">
        <x:v>04_Physical_disability.csv</x:v>
      </x:c>
      <x:c r="BK137" s="14"/>
      <x:c r="BL137" s="14" t="str">
        <x:v>Matched</x:v>
      </x:c>
      <x:c r="BM137" s="14" t="str">
        <x:v>Final supplied register</x:v>
      </x:c>
      <x:c r="BN137" s="14"/>
      <x:c r="BO137" s="14" t="n">
        <x:v>38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2</x:v>
      </x:c>
      <x:c r="BS137" s="16" t="n">
        <x:v>0.05263157894736842</x:v>
      </x:c>
      <x:c r="BT137" s="14" t="str">
        <x:v>Minority of episodes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tt15407098|nm0922367|charles usher</x:v>
      </x:c>
      <x:c r="B138" s="14" t="str">
        <x:v>05</x:v>
      </x:c>
      <x:c r="C138" s="14" t="str">
        <x:v>2022_IMDb_Cast_Lists_Batch_05(1).xlsx</x:v>
      </x:c>
      <x:c r="D138" s="14" t="str">
        <x:v>Sister Boniface Mysteries</x:v>
      </x:c>
      <x:c r="E138" s="14" t="n">
        <x:v>37</x:v>
      </x:c>
      <x:c r="F138" s="14" t="str">
        <x:v>Sister Boniface Mysteries</x:v>
      </x:c>
      <x:c r="G138" s="14" t="str">
        <x:v>tt15407098</x:v>
      </x:c>
      <x:c r="H138" s="14" t="n">
        <x:v>2022</x:v>
      </x:c>
      <x:c r="I138" s="14" t="n">
        <x:v>2023</x:v>
      </x:c>
      <x:c r="J138" s="14" t="str">
        <x:v>Earlier-Production Carry-In Cohort</x:v>
      </x:c>
      <x:c r="K138" s="14" t="n">
        <x:v>2022</x:v>
      </x:c>
      <x:c r="L138" s="14" t="str">
        <x:v>Used in 2023 annual analysis</x:v>
      </x:c>
      <x:c r="M138" s="15" t="n">
        <x:v>30</x:v>
      </x:c>
      <x:c r="N138" s="14" t="str">
        <x:v>Timothy West</x:v>
      </x:c>
      <x:c r="O138" s="14" t="str">
        <x:v>nm0922367</x:v>
      </x:c>
      <x:c r="P138" s="14" t="str">
        <x:v>Charles Usher</x:v>
      </x:c>
      <x:c r="Q138" s="15" t="n">
        <x:v>1</x:v>
      </x:c>
      <x:c r="R138" s="14" t="str">
        <x:v>2023</x:v>
      </x:c>
      <x:c r="S138" s="14" t="n">
        <x:v>2023</x:v>
      </x:c>
      <x:c r="T138" s="14" t="n">
        <x:v>2023</x:v>
      </x:c>
      <x:c r="U138" s="14" t="str">
        <x:v>Explicit source first year retained</x:v>
      </x:c>
      <x:c r="V138" s="14" t="str">
        <x:v>Earliest supplied year is 2023.</x:v>
      </x:c>
      <x:c r="W138" s="14"/>
      <x:c r="X138" s="14" t="str">
        <x:v>Included</x:v>
      </x:c>
      <x:c r="Y138" s="14"/>
      <x:c r="Z138" s="14" t="str">
        <x:v>Sister Boniface Mysteries.docx</x:v>
      </x:c>
      <x:c r="AA13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BritBox UK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38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0.02631578947368421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tt15407098|nm10572105|billy king</x:v>
      </x:c>
      <x:c r="B139" s="14" t="str">
        <x:v>05</x:v>
      </x:c>
      <x:c r="C139" s="14" t="str">
        <x:v>2022_IMDb_Cast_Lists_Batch_05(1).xlsx</x:v>
      </x:c>
      <x:c r="D139" s="14" t="str">
        <x:v>Sister Boniface Mysteries</x:v>
      </x:c>
      <x:c r="E139" s="14" t="n">
        <x:v>38</x:v>
      </x:c>
      <x:c r="F139" s="14" t="str">
        <x:v>Sister Boniface Mysteries</x:v>
      </x:c>
      <x:c r="G139" s="14" t="str">
        <x:v>tt15407098</x:v>
      </x:c>
      <x:c r="H139" s="14" t="n">
        <x:v>2022</x:v>
      </x:c>
      <x:c r="I139" s="14" t="n">
        <x:v>2023</x:v>
      </x:c>
      <x:c r="J139" s="14" t="str">
        <x:v>Earlier-Production Carry-In Cohort</x:v>
      </x:c>
      <x:c r="K139" s="14" t="n">
        <x:v>2022</x:v>
      </x:c>
      <x:c r="L139" s="14" t="str">
        <x:v>Used in 2023 annual analysis</x:v>
      </x:c>
      <x:c r="M139" s="15" t="n">
        <x:v>31</x:v>
      </x:c>
      <x:c r="N139" s="14" t="str">
        <x:v>Thomas Flynn</x:v>
      </x:c>
      <x:c r="O139" s="14" t="str">
        <x:v>nm10572105</x:v>
      </x:c>
      <x:c r="P139" s="14" t="str">
        <x:v>Billy King</x:v>
      </x:c>
      <x:c r="Q139" s="15" t="n">
        <x:v>1</x:v>
      </x:c>
      <x:c r="R139" s="14" t="str">
        <x:v>2023</x:v>
      </x:c>
      <x:c r="S139" s="14" t="n">
        <x:v>2023</x:v>
      </x:c>
      <x:c r="T139" s="14" t="n">
        <x:v>2023</x:v>
      </x:c>
      <x:c r="U139" s="14" t="str">
        <x:v>Explicit source first year retained</x:v>
      </x:c>
      <x:c r="V139" s="14" t="str">
        <x:v>Earliest supplied year is 2023.</x:v>
      </x:c>
      <x:c r="W139" s="14"/>
      <x:c r="X139" s="14" t="str">
        <x:v>Included</x:v>
      </x:c>
      <x:c r="Y139" s="14"/>
      <x:c r="Z139" s="14" t="str">
        <x:v>Sister Boniface Mysteries.docx</x:v>
      </x:c>
      <x:c r="AA13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BritBox UK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38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0.02631578947368421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tt15407098|nm2196406|terry smith</x:v>
      </x:c>
      <x:c r="B140" s="14" t="str">
        <x:v>05</x:v>
      </x:c>
      <x:c r="C140" s="14" t="str">
        <x:v>2022_IMDb_Cast_Lists_Batch_05(1).xlsx</x:v>
      </x:c>
      <x:c r="D140" s="14" t="str">
        <x:v>Sister Boniface Mysteries</x:v>
      </x:c>
      <x:c r="E140" s="14" t="n">
        <x:v>39</x:v>
      </x:c>
      <x:c r="F140" s="14" t="str">
        <x:v>Sister Boniface Mysteries</x:v>
      </x:c>
      <x:c r="G140" s="14" t="str">
        <x:v>tt15407098</x:v>
      </x:c>
      <x:c r="H140" s="14" t="n">
        <x:v>2022</x:v>
      </x:c>
      <x:c r="I140" s="14" t="n">
        <x:v>2023</x:v>
      </x:c>
      <x:c r="J140" s="14" t="str">
        <x:v>Earlier-Production Carry-In Cohort</x:v>
      </x:c>
      <x:c r="K140" s="14" t="n">
        <x:v>2022</x:v>
      </x:c>
      <x:c r="L140" s="14" t="str">
        <x:v>Used in 2023 annual analysis</x:v>
      </x:c>
      <x:c r="M140" s="15" t="n">
        <x:v>32</x:v>
      </x:c>
      <x:c r="N140" s="14" t="str">
        <x:v>Nigel Boyle</x:v>
      </x:c>
      <x:c r="O140" s="14" t="str">
        <x:v>nm2196406</x:v>
      </x:c>
      <x:c r="P140" s="14" t="str">
        <x:v>Terry Smith</x:v>
      </x:c>
      <x:c r="Q140" s="15" t="n">
        <x:v>1</x:v>
      </x:c>
      <x:c r="R140" s="14" t="str">
        <x:v>2023</x:v>
      </x:c>
      <x:c r="S140" s="14" t="n">
        <x:v>2023</x:v>
      </x:c>
      <x:c r="T140" s="14" t="n">
        <x:v>2023</x:v>
      </x:c>
      <x:c r="U140" s="14" t="str">
        <x:v>Explicit source first year retained</x:v>
      </x:c>
      <x:c r="V140" s="14" t="str">
        <x:v>Earliest supplied year is 2023.</x:v>
      </x:c>
      <x:c r="W140" s="14"/>
      <x:c r="X140" s="14" t="str">
        <x:v>Included</x:v>
      </x:c>
      <x:c r="Y140" s="14"/>
      <x:c r="Z140" s="14" t="str">
        <x:v>Sister Boniface Mysteries.docx</x:v>
      </x:c>
      <x:c r="AA14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BritBox UK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 t="str">
        <x:v>No established-register match</x:v>
      </x:c>
      <x:c r="AT140" s="14"/>
      <x:c r="AU140" s="14"/>
      <x:c r="AV140" s="14" t="str">
        <x:v>No established apparent-disability match</x:v>
      </x:c>
      <x:c r="AW140" s="14"/>
      <x:c r="AX140" s="14" t="str">
        <x:v>No</x:v>
      </x:c>
      <x:c r="AY140" s="14" t="str">
        <x:v>Unmatched</x:v>
      </x:c>
      <x:c r="AZ140" s="14" t="str">
        <x:v>Final supplied register</x:v>
      </x:c>
      <x:c r="BA140" s="14" t="str">
        <x:v>Absence from the register is not evidence that the performer is not disabled.</x:v>
      </x:c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38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0.02631578947368421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tt15407098|nm0003859|captain pargiter</x:v>
      </x:c>
      <x:c r="B141" s="14" t="str">
        <x:v>05</x:v>
      </x:c>
      <x:c r="C141" s="14" t="str">
        <x:v>2022_IMDb_Cast_Lists_Batch_05(1).xlsx</x:v>
      </x:c>
      <x:c r="D141" s="14" t="str">
        <x:v>Sister Boniface Mysteries</x:v>
      </x:c>
      <x:c r="E141" s="14" t="n">
        <x:v>40</x:v>
      </x:c>
      <x:c r="F141" s="14" t="str">
        <x:v>Sister Boniface Mysteries</x:v>
      </x:c>
      <x:c r="G141" s="14" t="str">
        <x:v>tt15407098</x:v>
      </x:c>
      <x:c r="H141" s="14" t="n">
        <x:v>2022</x:v>
      </x:c>
      <x:c r="I141" s="14" t="n">
        <x:v>2023</x:v>
      </x:c>
      <x:c r="J141" s="14" t="str">
        <x:v>Earlier-Production Carry-In Cohort</x:v>
      </x:c>
      <x:c r="K141" s="14" t="n">
        <x:v>2022</x:v>
      </x:c>
      <x:c r="L141" s="14" t="str">
        <x:v>Used in 2023 annual analysis</x:v>
      </x:c>
      <x:c r="M141" s="15" t="n">
        <x:v>33</x:v>
      </x:c>
      <x:c r="N141" s="14" t="str">
        <x:v>Owen Brenman</x:v>
      </x:c>
      <x:c r="O141" s="14" t="str">
        <x:v>nm0003859</x:v>
      </x:c>
      <x:c r="P141" s="14" t="str">
        <x:v>Captain Pargiter</x:v>
      </x:c>
      <x:c r="Q141" s="15" t="n">
        <x:v>1</x:v>
      </x:c>
      <x:c r="R141" s="14" t="str">
        <x:v>2023</x:v>
      </x:c>
      <x:c r="S141" s="14" t="n">
        <x:v>2023</x:v>
      </x:c>
      <x:c r="T141" s="14" t="n">
        <x:v>2023</x:v>
      </x:c>
      <x:c r="U141" s="14" t="str">
        <x:v>Explicit source first year retained</x:v>
      </x:c>
      <x:c r="V141" s="14" t="str">
        <x:v>Earliest supplied year is 2023.</x:v>
      </x:c>
      <x:c r="W141" s="14"/>
      <x:c r="X141" s="14" t="str">
        <x:v>Included</x:v>
      </x:c>
      <x:c r="Y141" s="14"/>
      <x:c r="Z141" s="14" t="str">
        <x:v>Sister Boniface Mysteries.docx</x:v>
      </x:c>
      <x:c r="AA14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BritBox UK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38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0.02631578947368421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tt15407098|nm12880862|robin carter</x:v>
      </x:c>
      <x:c r="B142" s="14" t="str">
        <x:v>05</x:v>
      </x:c>
      <x:c r="C142" s="14" t="str">
        <x:v>2022_IMDb_Cast_Lists_Batch_05(1).xlsx</x:v>
      </x:c>
      <x:c r="D142" s="14" t="str">
        <x:v>Sister Boniface Mysteries</x:v>
      </x:c>
      <x:c r="E142" s="14" t="n">
        <x:v>41</x:v>
      </x:c>
      <x:c r="F142" s="14" t="str">
        <x:v>Sister Boniface Mysteries</x:v>
      </x:c>
      <x:c r="G142" s="14" t="str">
        <x:v>tt15407098</x:v>
      </x:c>
      <x:c r="H142" s="14" t="n">
        <x:v>2022</x:v>
      </x:c>
      <x:c r="I142" s="14" t="n">
        <x:v>2023</x:v>
      </x:c>
      <x:c r="J142" s="14" t="str">
        <x:v>Earlier-Production Carry-In Cohort</x:v>
      </x:c>
      <x:c r="K142" s="14" t="n">
        <x:v>2022</x:v>
      </x:c>
      <x:c r="L142" s="14" t="str">
        <x:v>Used in 2023 annual analysis</x:v>
      </x:c>
      <x:c r="M142" s="15" t="n">
        <x:v>34</x:v>
      </x:c>
      <x:c r="N142" s="14" t="str">
        <x:v>Maddy Ambus</x:v>
      </x:c>
      <x:c r="O142" s="14" t="str">
        <x:v>nm12880862</x:v>
      </x:c>
      <x:c r="P142" s="14" t="str">
        <x:v>Robin Carter</x:v>
      </x:c>
      <x:c r="Q142" s="15" t="n">
        <x:v>1</x:v>
      </x:c>
      <x:c r="R142" s="14" t="str">
        <x:v>2023</x:v>
      </x:c>
      <x:c r="S142" s="14" t="n">
        <x:v>2023</x:v>
      </x:c>
      <x:c r="T142" s="14" t="n">
        <x:v>2023</x:v>
      </x:c>
      <x:c r="U142" s="14" t="str">
        <x:v>Explicit source first year retained</x:v>
      </x:c>
      <x:c r="V142" s="14" t="str">
        <x:v>Earliest supplied year is 2023.</x:v>
      </x:c>
      <x:c r="W142" s="14"/>
      <x:c r="X142" s="14" t="str">
        <x:v>Included</x:v>
      </x:c>
      <x:c r="Y142" s="14"/>
      <x:c r="Z142" s="14" t="str">
        <x:v>Sister Boniface Mysteries.docx</x:v>
      </x:c>
      <x:c r="AA14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BritBox UK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38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0.02631578947368421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tt15407098|nm0020776|irene symonds</x:v>
      </x:c>
      <x:c r="B143" s="14" t="str">
        <x:v>05</x:v>
      </x:c>
      <x:c r="C143" s="14" t="str">
        <x:v>2022_IMDb_Cast_Lists_Batch_05(1).xlsx</x:v>
      </x:c>
      <x:c r="D143" s="14" t="str">
        <x:v>Sister Boniface Mysteries</x:v>
      </x:c>
      <x:c r="E143" s="14" t="n">
        <x:v>42</x:v>
      </x:c>
      <x:c r="F143" s="14" t="str">
        <x:v>Sister Boniface Mysteries</x:v>
      </x:c>
      <x:c r="G143" s="14" t="str">
        <x:v>tt15407098</x:v>
      </x:c>
      <x:c r="H143" s="14" t="n">
        <x:v>2022</x:v>
      </x:c>
      <x:c r="I143" s="14" t="n">
        <x:v>2023</x:v>
      </x:c>
      <x:c r="J143" s="14" t="str">
        <x:v>Earlier-Production Carry-In Cohort</x:v>
      </x:c>
      <x:c r="K143" s="14" t="n">
        <x:v>2022</x:v>
      </x:c>
      <x:c r="L143" s="14" t="str">
        <x:v>Used in 2023 annual analysis</x:v>
      </x:c>
      <x:c r="M143" s="15" t="n">
        <x:v>35</x:v>
      </x:c>
      <x:c r="N143" s="14" t="str">
        <x:v>Lisa Allen</x:v>
      </x:c>
      <x:c r="O143" s="14" t="str">
        <x:v>nm0020776</x:v>
      </x:c>
      <x:c r="P143" s="14" t="str">
        <x:v>Irene Symonds</x:v>
      </x:c>
      <x:c r="Q143" s="15" t="n">
        <x:v>1</x:v>
      </x:c>
      <x:c r="R143" s="14" t="str">
        <x:v>2023</x:v>
      </x:c>
      <x:c r="S143" s="14" t="n">
        <x:v>2023</x:v>
      </x:c>
      <x:c r="T143" s="14" t="n">
        <x:v>2023</x:v>
      </x:c>
      <x:c r="U143" s="14" t="str">
        <x:v>Explicit source first year retained</x:v>
      </x:c>
      <x:c r="V143" s="14" t="str">
        <x:v>Earliest supplied year is 2023.</x:v>
      </x:c>
      <x:c r="W143" s="14"/>
      <x:c r="X143" s="14" t="str">
        <x:v>Included</x:v>
      </x:c>
      <x:c r="Y143" s="14"/>
      <x:c r="Z143" s="14" t="str">
        <x:v>Sister Boniface Mysteries.docx</x:v>
      </x:c>
      <x:c r="AA14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BritBox UK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38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0.02631578947368421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tt15407098|nm14726766|poopdeck pete</x:v>
      </x:c>
      <x:c r="B144" s="14" t="str">
        <x:v>05</x:v>
      </x:c>
      <x:c r="C144" s="14" t="str">
        <x:v>2022_IMDb_Cast_Lists_Batch_05(1).xlsx</x:v>
      </x:c>
      <x:c r="D144" s="14" t="str">
        <x:v>Sister Boniface Mysteries</x:v>
      </x:c>
      <x:c r="E144" s="14" t="n">
        <x:v>43</x:v>
      </x:c>
      <x:c r="F144" s="14" t="str">
        <x:v>Sister Boniface Mysteries</x:v>
      </x:c>
      <x:c r="G144" s="14" t="str">
        <x:v>tt15407098</x:v>
      </x:c>
      <x:c r="H144" s="14" t="n">
        <x:v>2022</x:v>
      </x:c>
      <x:c r="I144" s="14" t="n">
        <x:v>2023</x:v>
      </x:c>
      <x:c r="J144" s="14" t="str">
        <x:v>Earlier-Production Carry-In Cohort</x:v>
      </x:c>
      <x:c r="K144" s="14" t="n">
        <x:v>2022</x:v>
      </x:c>
      <x:c r="L144" s="14" t="str">
        <x:v>Used in 2023 annual analysis</x:v>
      </x:c>
      <x:c r="M144" s="15" t="n">
        <x:v>36</x:v>
      </x:c>
      <x:c r="N144" s="14" t="str">
        <x:v>Britten</x:v>
      </x:c>
      <x:c r="O144" s="14" t="str">
        <x:v>nm14726766</x:v>
      </x:c>
      <x:c r="P144" s="14" t="str">
        <x:v>Poopdeck Pete</x:v>
      </x:c>
      <x:c r="Q144" s="15" t="n">
        <x:v>1</x:v>
      </x:c>
      <x:c r="R144" s="14" t="str">
        <x:v>2023</x:v>
      </x:c>
      <x:c r="S144" s="14" t="n">
        <x:v>2023</x:v>
      </x:c>
      <x:c r="T144" s="14" t="n">
        <x:v>2023</x:v>
      </x:c>
      <x:c r="U144" s="14" t="str">
        <x:v>Explicit source first year retained</x:v>
      </x:c>
      <x:c r="V144" s="14" t="str">
        <x:v>Earliest supplied year is 2023.</x:v>
      </x:c>
      <x:c r="W144" s="14"/>
      <x:c r="X144" s="14" t="str">
        <x:v>Included</x:v>
      </x:c>
      <x:c r="Y144" s="14" t="str">
        <x:v>(as Britten the Parrot)</x:v>
      </x:c>
      <x:c r="Z144" s="14" t="str">
        <x:v>Sister Boniface Mysteries.docx</x:v>
      </x:c>
      <x:c r="AA14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BritBox UK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38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0.02631578947368421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tt15407098|nm0889338|sir swinton usher</x:v>
      </x:c>
      <x:c r="B145" s="14" t="str">
        <x:v>05</x:v>
      </x:c>
      <x:c r="C145" s="14" t="str">
        <x:v>2022_IMDb_Cast_Lists_Batch_05(1).xlsx</x:v>
      </x:c>
      <x:c r="D145" s="14" t="str">
        <x:v>Sister Boniface Mysteries</x:v>
      </x:c>
      <x:c r="E145" s="14" t="n">
        <x:v>59</x:v>
      </x:c>
      <x:c r="F145" s="14" t="str">
        <x:v>Sister Boniface Mysteries</x:v>
      </x:c>
      <x:c r="G145" s="14" t="str">
        <x:v>tt15407098</x:v>
      </x:c>
      <x:c r="H145" s="14" t="n">
        <x:v>2022</x:v>
      </x:c>
      <x:c r="I145" s="14" t="n">
        <x:v>2023</x:v>
      </x:c>
      <x:c r="J145" s="14" t="str">
        <x:v>Earlier-Production Carry-In Cohort</x:v>
      </x:c>
      <x:c r="K145" s="14" t="n">
        <x:v>2022</x:v>
      </x:c>
      <x:c r="L145" s="14" t="str">
        <x:v>Used in 2023 annual analysis</x:v>
      </x:c>
      <x:c r="M145" s="15" t="n">
        <x:v>52</x:v>
      </x:c>
      <x:c r="N145" s="14" t="str">
        <x:v>Rupert Vansittart</x:v>
      </x:c>
      <x:c r="O145" s="14" t="str">
        <x:v>nm0889338</x:v>
      </x:c>
      <x:c r="P145" s="14" t="str">
        <x:v>Sir Swinton Usher</x:v>
      </x:c>
      <x:c r="Q145" s="15" t="n">
        <x:v>1</x:v>
      </x:c>
      <x:c r="R145" s="14" t="str">
        <x:v>2023</x:v>
      </x:c>
      <x:c r="S145" s="14" t="n">
        <x:v>2023</x:v>
      </x:c>
      <x:c r="T145" s="14" t="n">
        <x:v>2023</x:v>
      </x:c>
      <x:c r="U145" s="14" t="str">
        <x:v>Explicit source first year retained</x:v>
      </x:c>
      <x:c r="V145" s="14" t="str">
        <x:v>Earliest supplied year is 2023.</x:v>
      </x:c>
      <x:c r="W145" s="14"/>
      <x:c r="X145" s="14" t="str">
        <x:v>Included</x:v>
      </x:c>
      <x:c r="Y145" s="14"/>
      <x:c r="Z145" s="14" t="str">
        <x:v>Sister Boniface Mysteries.docx</x:v>
      </x:c>
      <x:c r="AA14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BritBox UK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38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0.02631578947368421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tt15407098|nm8922574|jono hardy</x:v>
      </x:c>
      <x:c r="B146" s="14" t="str">
        <x:v>05</x:v>
      </x:c>
      <x:c r="C146" s="14" t="str">
        <x:v>2022_IMDb_Cast_Lists_Batch_05(1).xlsx</x:v>
      </x:c>
      <x:c r="D146" s="14" t="str">
        <x:v>Sister Boniface Mysteries</x:v>
      </x:c>
      <x:c r="E146" s="14" t="n">
        <x:v>60</x:v>
      </x:c>
      <x:c r="F146" s="14" t="str">
        <x:v>Sister Boniface Mysteries</x:v>
      </x:c>
      <x:c r="G146" s="14" t="str">
        <x:v>tt15407098</x:v>
      </x:c>
      <x:c r="H146" s="14" t="n">
        <x:v>2022</x:v>
      </x:c>
      <x:c r="I146" s="14" t="n">
        <x:v>2023</x:v>
      </x:c>
      <x:c r="J146" s="14" t="str">
        <x:v>Earlier-Production Carry-In Cohort</x:v>
      </x:c>
      <x:c r="K146" s="14" t="n">
        <x:v>2022</x:v>
      </x:c>
      <x:c r="L146" s="14" t="str">
        <x:v>Used in 2023 annual analysis</x:v>
      </x:c>
      <x:c r="M146" s="15" t="n">
        <x:v>53</x:v>
      </x:c>
      <x:c r="N146" s="14" t="str">
        <x:v>Alan Emrys</x:v>
      </x:c>
      <x:c r="O146" s="14" t="str">
        <x:v>nm8922574</x:v>
      </x:c>
      <x:c r="P146" s="14" t="str">
        <x:v>Jono Hardy</x:v>
      </x:c>
      <x:c r="Q146" s="15" t="n">
        <x:v>1</x:v>
      </x:c>
      <x:c r="R146" s="14" t="str">
        <x:v>2023</x:v>
      </x:c>
      <x:c r="S146" s="14" t="n">
        <x:v>2023</x:v>
      </x:c>
      <x:c r="T146" s="14" t="n">
        <x:v>2023</x:v>
      </x:c>
      <x:c r="U146" s="14" t="str">
        <x:v>Explicit source first year retained</x:v>
      </x:c>
      <x:c r="V146" s="14" t="str">
        <x:v>Earliest supplied year is 2023.</x:v>
      </x:c>
      <x:c r="W146" s="14"/>
      <x:c r="X146" s="14" t="str">
        <x:v>Included</x:v>
      </x:c>
      <x:c r="Y146" s="14"/>
      <x:c r="Z146" s="14" t="str">
        <x:v>Sister Boniface Mysteries.docx</x:v>
      </x:c>
      <x:c r="AA14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BritBox UK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38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0.02631578947368421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tt15407098|nm6892005|lucy jessop</x:v>
      </x:c>
      <x:c r="B147" s="14" t="str">
        <x:v>05</x:v>
      </x:c>
      <x:c r="C147" s="14" t="str">
        <x:v>2022_IMDb_Cast_Lists_Batch_05(1).xlsx</x:v>
      </x:c>
      <x:c r="D147" s="14" t="str">
        <x:v>Sister Boniface Mysteries</x:v>
      </x:c>
      <x:c r="E147" s="14" t="n">
        <x:v>61</x:v>
      </x:c>
      <x:c r="F147" s="14" t="str">
        <x:v>Sister Boniface Mysteries</x:v>
      </x:c>
      <x:c r="G147" s="14" t="str">
        <x:v>tt15407098</x:v>
      </x:c>
      <x:c r="H147" s="14" t="n">
        <x:v>2022</x:v>
      </x:c>
      <x:c r="I147" s="14" t="n">
        <x:v>2023</x:v>
      </x:c>
      <x:c r="J147" s="14" t="str">
        <x:v>Earlier-Production Carry-In Cohort</x:v>
      </x:c>
      <x:c r="K147" s="14" t="n">
        <x:v>2022</x:v>
      </x:c>
      <x:c r="L147" s="14" t="str">
        <x:v>Used in 2023 annual analysis</x:v>
      </x:c>
      <x:c r="M147" s="15" t="n">
        <x:v>54</x:v>
      </x:c>
      <x:c r="N147" s="14" t="str">
        <x:v>Hannah Hutch</x:v>
      </x:c>
      <x:c r="O147" s="14" t="str">
        <x:v>nm6892005</x:v>
      </x:c>
      <x:c r="P147" s="14" t="str">
        <x:v>Lucy Jessop</x:v>
      </x:c>
      <x:c r="Q147" s="15" t="n">
        <x:v>1</x:v>
      </x:c>
      <x:c r="R147" s="14" t="str">
        <x:v>2023</x:v>
      </x:c>
      <x:c r="S147" s="14" t="n">
        <x:v>2023</x:v>
      </x:c>
      <x:c r="T147" s="14" t="n">
        <x:v>2023</x:v>
      </x:c>
      <x:c r="U147" s="14" t="str">
        <x:v>Explicit source first year retained</x:v>
      </x:c>
      <x:c r="V147" s="14" t="str">
        <x:v>Earliest supplied year is 2023.</x:v>
      </x:c>
      <x:c r="W147" s="14"/>
      <x:c r="X147" s="14" t="str">
        <x:v>Included</x:v>
      </x:c>
      <x:c r="Y147" s="14"/>
      <x:c r="Z147" s="14" t="str">
        <x:v>Sister Boniface Mysteries.docx</x:v>
      </x:c>
      <x:c r="AA14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BritBox UK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38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0.02631578947368421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tt15407098|nm1478373|eric cockburn</x:v>
      </x:c>
      <x:c r="B148" s="14" t="str">
        <x:v>05</x:v>
      </x:c>
      <x:c r="C148" s="14" t="str">
        <x:v>2022_IMDb_Cast_Lists_Batch_05(1).xlsx</x:v>
      </x:c>
      <x:c r="D148" s="14" t="str">
        <x:v>Sister Boniface Mysteries</x:v>
      </x:c>
      <x:c r="E148" s="14" t="n">
        <x:v>62</x:v>
      </x:c>
      <x:c r="F148" s="14" t="str">
        <x:v>Sister Boniface Mysteries</x:v>
      </x:c>
      <x:c r="G148" s="14" t="str">
        <x:v>tt15407098</x:v>
      </x:c>
      <x:c r="H148" s="14" t="n">
        <x:v>2022</x:v>
      </x:c>
      <x:c r="I148" s="14" t="n">
        <x:v>2023</x:v>
      </x:c>
      <x:c r="J148" s="14" t="str">
        <x:v>Earlier-Production Carry-In Cohort</x:v>
      </x:c>
      <x:c r="K148" s="14" t="n">
        <x:v>2022</x:v>
      </x:c>
      <x:c r="L148" s="14" t="str">
        <x:v>Used in 2023 annual analysis</x:v>
      </x:c>
      <x:c r="M148" s="15" t="n">
        <x:v>55</x:v>
      </x:c>
      <x:c r="N148" s="14" t="str">
        <x:v>James Hurn</x:v>
      </x:c>
      <x:c r="O148" s="14" t="str">
        <x:v>nm1478373</x:v>
      </x:c>
      <x:c r="P148" s="14" t="str">
        <x:v>Eric Cockburn</x:v>
      </x:c>
      <x:c r="Q148" s="15" t="n">
        <x:v>1</x:v>
      </x:c>
      <x:c r="R148" s="14" t="str">
        <x:v>2023</x:v>
      </x:c>
      <x:c r="S148" s="14" t="n">
        <x:v>2023</x:v>
      </x:c>
      <x:c r="T148" s="14" t="n">
        <x:v>2023</x:v>
      </x:c>
      <x:c r="U148" s="14" t="str">
        <x:v>Explicit source first year retained</x:v>
      </x:c>
      <x:c r="V148" s="14" t="str">
        <x:v>Earliest supplied year is 2023.</x:v>
      </x:c>
      <x:c r="W148" s="14"/>
      <x:c r="X148" s="14" t="str">
        <x:v>Included</x:v>
      </x:c>
      <x:c r="Y148" s="14"/>
      <x:c r="Z148" s="14" t="str">
        <x:v>Sister Boniface Mysteries.docx</x:v>
      </x:c>
      <x:c r="AA14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BritBox UK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38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0.02631578947368421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tt15407098|nm0116259|marion grey</x:v>
      </x:c>
      <x:c r="B149" s="14" t="str">
        <x:v>05</x:v>
      </x:c>
      <x:c r="C149" s="14" t="str">
        <x:v>2022_IMDb_Cast_Lists_Batch_05(1).xlsx</x:v>
      </x:c>
      <x:c r="D149" s="14" t="str">
        <x:v>Sister Boniface Mysteries</x:v>
      </x:c>
      <x:c r="E149" s="14" t="n">
        <x:v>76</x:v>
      </x:c>
      <x:c r="F149" s="14" t="str">
        <x:v>Sister Boniface Mysteries</x:v>
      </x:c>
      <x:c r="G149" s="14" t="str">
        <x:v>tt15407098</x:v>
      </x:c>
      <x:c r="H149" s="14" t="n">
        <x:v>2022</x:v>
      </x:c>
      <x:c r="I149" s="14" t="n">
        <x:v>2023</x:v>
      </x:c>
      <x:c r="J149" s="14" t="str">
        <x:v>Earlier-Production Carry-In Cohort</x:v>
      </x:c>
      <x:c r="K149" s="14" t="n">
        <x:v>2022</x:v>
      </x:c>
      <x:c r="L149" s="14" t="str">
        <x:v>Used in 2023 annual analysis</x:v>
      </x:c>
      <x:c r="M149" s="15" t="n">
        <x:v>69</x:v>
      </x:c>
      <x:c r="N149" s="14" t="str">
        <x:v>Emily Bruni</x:v>
      </x:c>
      <x:c r="O149" s="14" t="str">
        <x:v>nm0116259</x:v>
      </x:c>
      <x:c r="P149" s="14" t="str">
        <x:v>Marion Grey</x:v>
      </x:c>
      <x:c r="Q149" s="15" t="n">
        <x:v>1</x:v>
      </x:c>
      <x:c r="R149" s="14" t="str">
        <x:v>2023</x:v>
      </x:c>
      <x:c r="S149" s="14" t="n">
        <x:v>2023</x:v>
      </x:c>
      <x:c r="T149" s="14" t="n">
        <x:v>2023</x:v>
      </x:c>
      <x:c r="U149" s="14" t="str">
        <x:v>Explicit source first year retained</x:v>
      </x:c>
      <x:c r="V149" s="14" t="str">
        <x:v>Earliest supplied year is 2023.</x:v>
      </x:c>
      <x:c r="W149" s="14"/>
      <x:c r="X149" s="14" t="str">
        <x:v>Included</x:v>
      </x:c>
      <x:c r="Y149" s="14"/>
      <x:c r="Z149" s="14" t="str">
        <x:v>Sister Boniface Mysteries.docx</x:v>
      </x:c>
      <x:c r="AA14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BritBox UK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38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0.02631578947368421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tt15407098|nm0580055|max savage</x:v>
      </x:c>
      <x:c r="B150" s="14" t="str">
        <x:v>05</x:v>
      </x:c>
      <x:c r="C150" s="14" t="str">
        <x:v>2022_IMDb_Cast_Lists_Batch_05(1).xlsx</x:v>
      </x:c>
      <x:c r="D150" s="14" t="str">
        <x:v>Sister Boniface Mysteries</x:v>
      </x:c>
      <x:c r="E150" s="14" t="n">
        <x:v>77</x:v>
      </x:c>
      <x:c r="F150" s="14" t="str">
        <x:v>Sister Boniface Mysteries</x:v>
      </x:c>
      <x:c r="G150" s="14" t="str">
        <x:v>tt15407098</x:v>
      </x:c>
      <x:c r="H150" s="14" t="n">
        <x:v>2022</x:v>
      </x:c>
      <x:c r="I150" s="14" t="n">
        <x:v>2023</x:v>
      </x:c>
      <x:c r="J150" s="14" t="str">
        <x:v>Earlier-Production Carry-In Cohort</x:v>
      </x:c>
      <x:c r="K150" s="14" t="n">
        <x:v>2022</x:v>
      </x:c>
      <x:c r="L150" s="14" t="str">
        <x:v>Used in 2023 annual analysis</x:v>
      </x:c>
      <x:c r="M150" s="15" t="n">
        <x:v>70</x:v>
      </x:c>
      <x:c r="N150" s="14" t="str">
        <x:v>Steve Meo</x:v>
      </x:c>
      <x:c r="O150" s="14" t="str">
        <x:v>nm0580055</x:v>
      </x:c>
      <x:c r="P150" s="14" t="str">
        <x:v>Max Savage</x:v>
      </x:c>
      <x:c r="Q150" s="15" t="n">
        <x:v>1</x:v>
      </x:c>
      <x:c r="R150" s="14" t="str">
        <x:v>2023</x:v>
      </x:c>
      <x:c r="S150" s="14" t="n">
        <x:v>2023</x:v>
      </x:c>
      <x:c r="T150" s="14" t="n">
        <x:v>2023</x:v>
      </x:c>
      <x:c r="U150" s="14" t="str">
        <x:v>Explicit source first year retained</x:v>
      </x:c>
      <x:c r="V150" s="14" t="str">
        <x:v>Earliest supplied year is 2023.</x:v>
      </x:c>
      <x:c r="W150" s="14"/>
      <x:c r="X150" s="14" t="str">
        <x:v>Included</x:v>
      </x:c>
      <x:c r="Y150" s="14"/>
      <x:c r="Z150" s="14" t="str">
        <x:v>Sister Boniface Mysteries.docx</x:v>
      </x:c>
      <x:c r="AA15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BritBox UK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38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0.02631578947368421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tt15407098|nm4628690|sandy shanks</x:v>
      </x:c>
      <x:c r="B151" s="14" t="str">
        <x:v>05</x:v>
      </x:c>
      <x:c r="C151" s="14" t="str">
        <x:v>2022_IMDb_Cast_Lists_Batch_05(1).xlsx</x:v>
      </x:c>
      <x:c r="D151" s="14" t="str">
        <x:v>Sister Boniface Mysteries</x:v>
      </x:c>
      <x:c r="E151" s="14" t="n">
        <x:v>78</x:v>
      </x:c>
      <x:c r="F151" s="14" t="str">
        <x:v>Sister Boniface Mysteries</x:v>
      </x:c>
      <x:c r="G151" s="14" t="str">
        <x:v>tt15407098</x:v>
      </x:c>
      <x:c r="H151" s="14" t="n">
        <x:v>2022</x:v>
      </x:c>
      <x:c r="I151" s="14" t="n">
        <x:v>2023</x:v>
      </x:c>
      <x:c r="J151" s="14" t="str">
        <x:v>Earlier-Production Carry-In Cohort</x:v>
      </x:c>
      <x:c r="K151" s="14" t="n">
        <x:v>2022</x:v>
      </x:c>
      <x:c r="L151" s="14" t="str">
        <x:v>Used in 2023 annual analysis</x:v>
      </x:c>
      <x:c r="M151" s="15" t="n">
        <x:v>71</x:v>
      </x:c>
      <x:c r="N151" s="14" t="str">
        <x:v>Alice Marshall</x:v>
      </x:c>
      <x:c r="O151" s="14" t="str">
        <x:v>nm4628690</x:v>
      </x:c>
      <x:c r="P151" s="14" t="str">
        <x:v>Sandy Shanks</x:v>
      </x:c>
      <x:c r="Q151" s="15" t="n">
        <x:v>1</x:v>
      </x:c>
      <x:c r="R151" s="14" t="str">
        <x:v>2023</x:v>
      </x:c>
      <x:c r="S151" s="14" t="n">
        <x:v>2023</x:v>
      </x:c>
      <x:c r="T151" s="14" t="n">
        <x:v>2023</x:v>
      </x:c>
      <x:c r="U151" s="14" t="str">
        <x:v>Explicit source first year retained</x:v>
      </x:c>
      <x:c r="V151" s="14" t="str">
        <x:v>Earliest supplied year is 2023.</x:v>
      </x:c>
      <x:c r="W151" s="14"/>
      <x:c r="X151" s="14" t="str">
        <x:v>Included</x:v>
      </x:c>
      <x:c r="Y151" s="14"/>
      <x:c r="Z151" s="14" t="str">
        <x:v>Sister Boniface Mysteries.docx</x:v>
      </x:c>
      <x:c r="AA15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BritBox UK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38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0.02631578947368421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tt15407098|nm5155822|sally chagford</x:v>
      </x:c>
      <x:c r="B152" s="14" t="str">
        <x:v>05</x:v>
      </x:c>
      <x:c r="C152" s="14" t="str">
        <x:v>2022_IMDb_Cast_Lists_Batch_05(1).xlsx</x:v>
      </x:c>
      <x:c r="D152" s="14" t="str">
        <x:v>Sister Boniface Mysteries</x:v>
      </x:c>
      <x:c r="E152" s="14" t="n">
        <x:v>79</x:v>
      </x:c>
      <x:c r="F152" s="14" t="str">
        <x:v>Sister Boniface Mysteries</x:v>
      </x:c>
      <x:c r="G152" s="14" t="str">
        <x:v>tt15407098</x:v>
      </x:c>
      <x:c r="H152" s="14" t="n">
        <x:v>2022</x:v>
      </x:c>
      <x:c r="I152" s="14" t="n">
        <x:v>2023</x:v>
      </x:c>
      <x:c r="J152" s="14" t="str">
        <x:v>Earlier-Production Carry-In Cohort</x:v>
      </x:c>
      <x:c r="K152" s="14" t="n">
        <x:v>2022</x:v>
      </x:c>
      <x:c r="L152" s="14" t="str">
        <x:v>Used in 2023 annual analysis</x:v>
      </x:c>
      <x:c r="M152" s="15" t="n">
        <x:v>72</x:v>
      </x:c>
      <x:c r="N152" s="14" t="str">
        <x:v>Chelsea Fitzgerald</x:v>
      </x:c>
      <x:c r="O152" s="14" t="str">
        <x:v>nm5155822</x:v>
      </x:c>
      <x:c r="P152" s="14" t="str">
        <x:v>Sally Chagford</x:v>
      </x:c>
      <x:c r="Q152" s="15" t="n">
        <x:v>1</x:v>
      </x:c>
      <x:c r="R152" s="14" t="str">
        <x:v>2023</x:v>
      </x:c>
      <x:c r="S152" s="14" t="n">
        <x:v>2023</x:v>
      </x:c>
      <x:c r="T152" s="14" t="n">
        <x:v>2023</x:v>
      </x:c>
      <x:c r="U152" s="14" t="str">
        <x:v>Explicit source first year retained</x:v>
      </x:c>
      <x:c r="V152" s="14" t="str">
        <x:v>Earliest supplied year is 2023.</x:v>
      </x:c>
      <x:c r="W152" s="14"/>
      <x:c r="X152" s="14" t="str">
        <x:v>Included</x:v>
      </x:c>
      <x:c r="Y152" s="14"/>
      <x:c r="Z152" s="14" t="str">
        <x:v>Sister Boniface Mysteries.docx</x:v>
      </x:c>
      <x:c r="AA15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BritBox UK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38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0.02631578947368421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tt15407098|nm1535106|jackie rice</x:v>
      </x:c>
      <x:c r="B153" s="14" t="str">
        <x:v>05</x:v>
      </x:c>
      <x:c r="C153" s="14" t="str">
        <x:v>2022_IMDb_Cast_Lists_Batch_05(1).xlsx</x:v>
      </x:c>
      <x:c r="D153" s="14" t="str">
        <x:v>Sister Boniface Mysteries</x:v>
      </x:c>
      <x:c r="E153" s="14" t="n">
        <x:v>80</x:v>
      </x:c>
      <x:c r="F153" s="14" t="str">
        <x:v>Sister Boniface Mysteries</x:v>
      </x:c>
      <x:c r="G153" s="14" t="str">
        <x:v>tt15407098</x:v>
      </x:c>
      <x:c r="H153" s="14" t="n">
        <x:v>2022</x:v>
      </x:c>
      <x:c r="I153" s="14" t="n">
        <x:v>2023</x:v>
      </x:c>
      <x:c r="J153" s="14" t="str">
        <x:v>Earlier-Production Carry-In Cohort</x:v>
      </x:c>
      <x:c r="K153" s="14" t="n">
        <x:v>2022</x:v>
      </x:c>
      <x:c r="L153" s="14" t="str">
        <x:v>Used in 2023 annual analysis</x:v>
      </x:c>
      <x:c r="M153" s="15" t="n">
        <x:v>73</x:v>
      </x:c>
      <x:c r="N153" s="14" t="str">
        <x:v>Louise Marwood</x:v>
      </x:c>
      <x:c r="O153" s="14" t="str">
        <x:v>nm1535106</x:v>
      </x:c>
      <x:c r="P153" s="14" t="str">
        <x:v>Jackie Rice</x:v>
      </x:c>
      <x:c r="Q153" s="15" t="n">
        <x:v>1</x:v>
      </x:c>
      <x:c r="R153" s="14" t="str">
        <x:v>2023</x:v>
      </x:c>
      <x:c r="S153" s="14" t="n">
        <x:v>2023</x:v>
      </x:c>
      <x:c r="T153" s="14" t="n">
        <x:v>2023</x:v>
      </x:c>
      <x:c r="U153" s="14" t="str">
        <x:v>Explicit source first year retained</x:v>
      </x:c>
      <x:c r="V153" s="14" t="str">
        <x:v>Earliest supplied year is 2023.</x:v>
      </x:c>
      <x:c r="W153" s="14"/>
      <x:c r="X153" s="14" t="str">
        <x:v>Included</x:v>
      </x:c>
      <x:c r="Y153" s="14"/>
      <x:c r="Z153" s="14" t="str">
        <x:v>Sister Boniface Mysteries.docx</x:v>
      </x:c>
      <x:c r="AA15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BritBox UK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38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0.02631578947368421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tt15407098|nm11079607|cathy bright</x:v>
      </x:c>
      <x:c r="B154" s="14" t="str">
        <x:v>05</x:v>
      </x:c>
      <x:c r="C154" s="14" t="str">
        <x:v>2022_IMDb_Cast_Lists_Batch_05(1).xlsx</x:v>
      </x:c>
      <x:c r="D154" s="14" t="str">
        <x:v>Sister Boniface Mysteries</x:v>
      </x:c>
      <x:c r="E154" s="14" t="n">
        <x:v>81</x:v>
      </x:c>
      <x:c r="F154" s="14" t="str">
        <x:v>Sister Boniface Mysteries</x:v>
      </x:c>
      <x:c r="G154" s="14" t="str">
        <x:v>tt15407098</x:v>
      </x:c>
      <x:c r="H154" s="14" t="n">
        <x:v>2022</x:v>
      </x:c>
      <x:c r="I154" s="14" t="n">
        <x:v>2023</x:v>
      </x:c>
      <x:c r="J154" s="14" t="str">
        <x:v>Earlier-Production Carry-In Cohort</x:v>
      </x:c>
      <x:c r="K154" s="14" t="n">
        <x:v>2022</x:v>
      </x:c>
      <x:c r="L154" s="14" t="str">
        <x:v>Used in 2023 annual analysis</x:v>
      </x:c>
      <x:c r="M154" s="15" t="n">
        <x:v>74</x:v>
      </x:c>
      <x:c r="N154" s="14" t="str">
        <x:v>Ellen Francis</x:v>
      </x:c>
      <x:c r="O154" s="14" t="str">
        <x:v>nm11079607</x:v>
      </x:c>
      <x:c r="P154" s="14" t="str">
        <x:v>Cathy Bright</x:v>
      </x:c>
      <x:c r="Q154" s="15" t="n">
        <x:v>1</x:v>
      </x:c>
      <x:c r="R154" s="14" t="str">
        <x:v>2023</x:v>
      </x:c>
      <x:c r="S154" s="14" t="n">
        <x:v>2023</x:v>
      </x:c>
      <x:c r="T154" s="14" t="n">
        <x:v>2023</x:v>
      </x:c>
      <x:c r="U154" s="14" t="str">
        <x:v>Explicit source first year retained</x:v>
      </x:c>
      <x:c r="V154" s="14" t="str">
        <x:v>Earliest supplied year is 2023.</x:v>
      </x:c>
      <x:c r="W154" s="14"/>
      <x:c r="X154" s="14" t="str">
        <x:v>Included</x:v>
      </x:c>
      <x:c r="Y154" s="14"/>
      <x:c r="Z154" s="14" t="str">
        <x:v>Sister Boniface Mysteries.docx</x:v>
      </x:c>
      <x:c r="AA15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BritBox UK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38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0.02631578947368421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tt15407098|nm1717331|patt garrett</x:v>
      </x:c>
      <x:c r="B155" s="14" t="str">
        <x:v>05</x:v>
      </x:c>
      <x:c r="C155" s="14" t="str">
        <x:v>2022_IMDb_Cast_Lists_Batch_05(1).xlsx</x:v>
      </x:c>
      <x:c r="D155" s="14" t="str">
        <x:v>Sister Boniface Mysteries</x:v>
      </x:c>
      <x:c r="E155" s="14" t="n">
        <x:v>94</x:v>
      </x:c>
      <x:c r="F155" s="14" t="str">
        <x:v>Sister Boniface Mysteries</x:v>
      </x:c>
      <x:c r="G155" s="14" t="str">
        <x:v>tt15407098</x:v>
      </x:c>
      <x:c r="H155" s="14" t="n">
        <x:v>2022</x:v>
      </x:c>
      <x:c r="I155" s="14" t="n">
        <x:v>2023</x:v>
      </x:c>
      <x:c r="J155" s="14" t="str">
        <x:v>Earlier-Production Carry-In Cohort</x:v>
      </x:c>
      <x:c r="K155" s="14" t="n">
        <x:v>2022</x:v>
      </x:c>
      <x:c r="L155" s="14" t="str">
        <x:v>Used in 2023 annual analysis</x:v>
      </x:c>
      <x:c r="M155" s="15" t="n">
        <x:v>87</x:v>
      </x:c>
      <x:c r="N155" s="14" t="str">
        <x:v>Karl Theobald</x:v>
      </x:c>
      <x:c r="O155" s="14" t="str">
        <x:v>nm1717331</x:v>
      </x:c>
      <x:c r="P155" s="14" t="str">
        <x:v>Patt Garrett</x:v>
      </x:c>
      <x:c r="Q155" s="15" t="n">
        <x:v>1</x:v>
      </x:c>
      <x:c r="R155" s="14" t="str">
        <x:v>2023</x:v>
      </x:c>
      <x:c r="S155" s="14" t="n">
        <x:v>2023</x:v>
      </x:c>
      <x:c r="T155" s="14" t="n">
        <x:v>2023</x:v>
      </x:c>
      <x:c r="U155" s="14" t="str">
        <x:v>Explicit source first year retained</x:v>
      </x:c>
      <x:c r="V155" s="14" t="str">
        <x:v>Earliest supplied year is 2023.</x:v>
      </x:c>
      <x:c r="W155" s="14"/>
      <x:c r="X155" s="14" t="str">
        <x:v>Included</x:v>
      </x:c>
      <x:c r="Y155" s="14"/>
      <x:c r="Z155" s="14" t="str">
        <x:v>Sister Boniface Mysteries.docx</x:v>
      </x:c>
      <x:c r="AA15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BritBox UK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38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0.02631578947368421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tt15407098|nm0551220|derek dobson</x:v>
      </x:c>
      <x:c r="B156" s="14" t="str">
        <x:v>05</x:v>
      </x:c>
      <x:c r="C156" s="14" t="str">
        <x:v>2022_IMDb_Cast_Lists_Batch_05(1).xlsx</x:v>
      </x:c>
      <x:c r="D156" s="14" t="str">
        <x:v>Sister Boniface Mysteries</x:v>
      </x:c>
      <x:c r="E156" s="14" t="n">
        <x:v>95</x:v>
      </x:c>
      <x:c r="F156" s="14" t="str">
        <x:v>Sister Boniface Mysteries</x:v>
      </x:c>
      <x:c r="G156" s="14" t="str">
        <x:v>tt15407098</x:v>
      </x:c>
      <x:c r="H156" s="14" t="n">
        <x:v>2022</x:v>
      </x:c>
      <x:c r="I156" s="14" t="n">
        <x:v>2023</x:v>
      </x:c>
      <x:c r="J156" s="14" t="str">
        <x:v>Earlier-Production Carry-In Cohort</x:v>
      </x:c>
      <x:c r="K156" s="14" t="n">
        <x:v>2022</x:v>
      </x:c>
      <x:c r="L156" s="14" t="str">
        <x:v>Used in 2023 annual analysis</x:v>
      </x:c>
      <x:c r="M156" s="15" t="n">
        <x:v>88</x:v>
      </x:c>
      <x:c r="N156" s="14" t="str">
        <x:v>Tony Marshall</x:v>
      </x:c>
      <x:c r="O156" s="14" t="str">
        <x:v>nm0551220</x:v>
      </x:c>
      <x:c r="P156" s="14" t="str">
        <x:v>Derek Dobson</x:v>
      </x:c>
      <x:c r="Q156" s="15" t="n">
        <x:v>1</x:v>
      </x:c>
      <x:c r="R156" s="14" t="str">
        <x:v>2023</x:v>
      </x:c>
      <x:c r="S156" s="14" t="n">
        <x:v>2023</x:v>
      </x:c>
      <x:c r="T156" s="14" t="n">
        <x:v>2023</x:v>
      </x:c>
      <x:c r="U156" s="14" t="str">
        <x:v>Explicit source first year retained</x:v>
      </x:c>
      <x:c r="V156" s="14" t="str">
        <x:v>Earliest supplied year is 2023.</x:v>
      </x:c>
      <x:c r="W156" s="14"/>
      <x:c r="X156" s="14" t="str">
        <x:v>Included</x:v>
      </x:c>
      <x:c r="Y156" s="14"/>
      <x:c r="Z156" s="14" t="str">
        <x:v>Sister Boniface Mysteries.docx</x:v>
      </x:c>
      <x:c r="AA15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BritBox UK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38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0.02631578947368421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tt15407098|nm1536953|genevieve loveday</x:v>
      </x:c>
      <x:c r="B157" s="14" t="str">
        <x:v>05</x:v>
      </x:c>
      <x:c r="C157" s="14" t="str">
        <x:v>2022_IMDb_Cast_Lists_Batch_05(1).xlsx</x:v>
      </x:c>
      <x:c r="D157" s="14" t="str">
        <x:v>Sister Boniface Mysteries</x:v>
      </x:c>
      <x:c r="E157" s="14" t="n">
        <x:v>96</x:v>
      </x:c>
      <x:c r="F157" s="14" t="str">
        <x:v>Sister Boniface Mysteries</x:v>
      </x:c>
      <x:c r="G157" s="14" t="str">
        <x:v>tt15407098</x:v>
      </x:c>
      <x:c r="H157" s="14" t="n">
        <x:v>2022</x:v>
      </x:c>
      <x:c r="I157" s="14" t="n">
        <x:v>2023</x:v>
      </x:c>
      <x:c r="J157" s="14" t="str">
        <x:v>Earlier-Production Carry-In Cohort</x:v>
      </x:c>
      <x:c r="K157" s="14" t="n">
        <x:v>2022</x:v>
      </x:c>
      <x:c r="L157" s="14" t="str">
        <x:v>Used in 2023 annual analysis</x:v>
      </x:c>
      <x:c r="M157" s="15" t="n">
        <x:v>89</x:v>
      </x:c>
      <x:c r="N157" s="14" t="str">
        <x:v>Lisa Ellis</x:v>
      </x:c>
      <x:c r="O157" s="14" t="str">
        <x:v>nm1536953</x:v>
      </x:c>
      <x:c r="P157" s="14" t="str">
        <x:v>Genevieve Loveday</x:v>
      </x:c>
      <x:c r="Q157" s="15" t="n">
        <x:v>1</x:v>
      </x:c>
      <x:c r="R157" s="14" t="str">
        <x:v>2023</x:v>
      </x:c>
      <x:c r="S157" s="14" t="n">
        <x:v>2023</x:v>
      </x:c>
      <x:c r="T157" s="14" t="n">
        <x:v>2023</x:v>
      </x:c>
      <x:c r="U157" s="14" t="str">
        <x:v>Explicit source first year retained</x:v>
      </x:c>
      <x:c r="V157" s="14" t="str">
        <x:v>Earliest supplied year is 2023.</x:v>
      </x:c>
      <x:c r="W157" s="14"/>
      <x:c r="X157" s="14" t="str">
        <x:v>Included</x:v>
      </x:c>
      <x:c r="Y157" s="14"/>
      <x:c r="Z157" s="14" t="str">
        <x:v>Sister Boniface Mysteries.docx</x:v>
      </x:c>
      <x:c r="AA15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BritBox UK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38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0.02631578947368421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tt15407098|nm2918048|betty jessop</x:v>
      </x:c>
      <x:c r="B158" s="14" t="str">
        <x:v>05</x:v>
      </x:c>
      <x:c r="C158" s="14" t="str">
        <x:v>2022_IMDb_Cast_Lists_Batch_05(1).xlsx</x:v>
      </x:c>
      <x:c r="D158" s="14" t="str">
        <x:v>Sister Boniface Mysteries</x:v>
      </x:c>
      <x:c r="E158" s="14" t="n">
        <x:v>97</x:v>
      </x:c>
      <x:c r="F158" s="14" t="str">
        <x:v>Sister Boniface Mysteries</x:v>
      </x:c>
      <x:c r="G158" s="14" t="str">
        <x:v>tt15407098</x:v>
      </x:c>
      <x:c r="H158" s="14" t="n">
        <x:v>2022</x:v>
      </x:c>
      <x:c r="I158" s="14" t="n">
        <x:v>2023</x:v>
      </x:c>
      <x:c r="J158" s="14" t="str">
        <x:v>Earlier-Production Carry-In Cohort</x:v>
      </x:c>
      <x:c r="K158" s="14" t="n">
        <x:v>2022</x:v>
      </x:c>
      <x:c r="L158" s="14" t="str">
        <x:v>Used in 2023 annual analysis</x:v>
      </x:c>
      <x:c r="M158" s="15" t="n">
        <x:v>90</x:v>
      </x:c>
      <x:c r="N158" s="14" t="str">
        <x:v>Caroline Sheen</x:v>
      </x:c>
      <x:c r="O158" s="14" t="str">
        <x:v>nm2918048</x:v>
      </x:c>
      <x:c r="P158" s="14" t="str">
        <x:v>Betty Jessop</x:v>
      </x:c>
      <x:c r="Q158" s="15" t="n">
        <x:v>1</x:v>
      </x:c>
      <x:c r="R158" s="14" t="str">
        <x:v>2023</x:v>
      </x:c>
      <x:c r="S158" s="14" t="n">
        <x:v>2023</x:v>
      </x:c>
      <x:c r="T158" s="14" t="n">
        <x:v>2023</x:v>
      </x:c>
      <x:c r="U158" s="14" t="str">
        <x:v>Explicit source first year retained</x:v>
      </x:c>
      <x:c r="V158" s="14" t="str">
        <x:v>Earliest supplied year is 2023.</x:v>
      </x:c>
      <x:c r="W158" s="14"/>
      <x:c r="X158" s="14" t="str">
        <x:v>Included</x:v>
      </x:c>
      <x:c r="Y158" s="14"/>
      <x:c r="Z158" s="14" t="str">
        <x:v>Sister Boniface Mysteries.docx</x:v>
      </x:c>
      <x:c r="AA15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BritBox UK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38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0.02631578947368421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tt15407098|nm3053135|sylvie simmons</x:v>
      </x:c>
      <x:c r="B159" s="14" t="str">
        <x:v>05</x:v>
      </x:c>
      <x:c r="C159" s="14" t="str">
        <x:v>2022_IMDb_Cast_Lists_Batch_05(1).xlsx</x:v>
      </x:c>
      <x:c r="D159" s="14" t="str">
        <x:v>Sister Boniface Mysteries</x:v>
      </x:c>
      <x:c r="E159" s="14" t="n">
        <x:v>98</x:v>
      </x:c>
      <x:c r="F159" s="14" t="str">
        <x:v>Sister Boniface Mysteries</x:v>
      </x:c>
      <x:c r="G159" s="14" t="str">
        <x:v>tt15407098</x:v>
      </x:c>
      <x:c r="H159" s="14" t="n">
        <x:v>2022</x:v>
      </x:c>
      <x:c r="I159" s="14" t="n">
        <x:v>2023</x:v>
      </x:c>
      <x:c r="J159" s="14" t="str">
        <x:v>Earlier-Production Carry-In Cohort</x:v>
      </x:c>
      <x:c r="K159" s="14" t="n">
        <x:v>2022</x:v>
      </x:c>
      <x:c r="L159" s="14" t="str">
        <x:v>Used in 2023 annual analysis</x:v>
      </x:c>
      <x:c r="M159" s="15" t="n">
        <x:v>91</x:v>
      </x:c>
      <x:c r="N159" s="14" t="str">
        <x:v>Amy Forrest</x:v>
      </x:c>
      <x:c r="O159" s="14" t="str">
        <x:v>nm3053135</x:v>
      </x:c>
      <x:c r="P159" s="14" t="str">
        <x:v>Sylvie Simmons</x:v>
      </x:c>
      <x:c r="Q159" s="15" t="n">
        <x:v>1</x:v>
      </x:c>
      <x:c r="R159" s="14" t="str">
        <x:v>2023</x:v>
      </x:c>
      <x:c r="S159" s="14" t="n">
        <x:v>2023</x:v>
      </x:c>
      <x:c r="T159" s="14" t="n">
        <x:v>2023</x:v>
      </x:c>
      <x:c r="U159" s="14" t="str">
        <x:v>Explicit source first year retained</x:v>
      </x:c>
      <x:c r="V159" s="14" t="str">
        <x:v>Earliest supplied year is 2023.</x:v>
      </x:c>
      <x:c r="W159" s="14"/>
      <x:c r="X159" s="14" t="str">
        <x:v>Included</x:v>
      </x:c>
      <x:c r="Y159" s="14"/>
      <x:c r="Z159" s="14" t="str">
        <x:v>Sister Boniface Mysteries.docx</x:v>
      </x:c>
      <x:c r="AA15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BritBox UK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38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1</x:v>
      </x:c>
      <x:c r="BS159" s="16" t="n">
        <x:v>0.02631578947368421</x:v>
      </x:c>
      <x:c r="BT159" s="14" t="str">
        <x:v>One episode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tt15407098|nm6682520|danny lemon</x:v>
      </x:c>
      <x:c r="B160" s="14" t="str">
        <x:v>05</x:v>
      </x:c>
      <x:c r="C160" s="14" t="str">
        <x:v>2022_IMDb_Cast_Lists_Batch_05(1).xlsx</x:v>
      </x:c>
      <x:c r="D160" s="14" t="str">
        <x:v>Sister Boniface Mysteries</x:v>
      </x:c>
      <x:c r="E160" s="14" t="n">
        <x:v>99</x:v>
      </x:c>
      <x:c r="F160" s="14" t="str">
        <x:v>Sister Boniface Mysteries</x:v>
      </x:c>
      <x:c r="G160" s="14" t="str">
        <x:v>tt15407098</x:v>
      </x:c>
      <x:c r="H160" s="14" t="n">
        <x:v>2022</x:v>
      </x:c>
      <x:c r="I160" s="14" t="n">
        <x:v>2023</x:v>
      </x:c>
      <x:c r="J160" s="14" t="str">
        <x:v>Earlier-Production Carry-In Cohort</x:v>
      </x:c>
      <x:c r="K160" s="14" t="n">
        <x:v>2022</x:v>
      </x:c>
      <x:c r="L160" s="14" t="str">
        <x:v>Used in 2023 annual analysis</x:v>
      </x:c>
      <x:c r="M160" s="15" t="n">
        <x:v>92</x:v>
      </x:c>
      <x:c r="N160" s="14" t="str">
        <x:v>Mikey Collins</x:v>
      </x:c>
      <x:c r="O160" s="14" t="str">
        <x:v>nm6682520</x:v>
      </x:c>
      <x:c r="P160" s="14" t="str">
        <x:v>Danny Lemon</x:v>
      </x:c>
      <x:c r="Q160" s="15" t="n">
        <x:v>1</x:v>
      </x:c>
      <x:c r="R160" s="14" t="str">
        <x:v>2023</x:v>
      </x:c>
      <x:c r="S160" s="14" t="n">
        <x:v>2023</x:v>
      </x:c>
      <x:c r="T160" s="14" t="n">
        <x:v>2023</x:v>
      </x:c>
      <x:c r="U160" s="14" t="str">
        <x:v>Explicit source first year retained</x:v>
      </x:c>
      <x:c r="V160" s="14" t="str">
        <x:v>Earliest supplied year is 2023.</x:v>
      </x:c>
      <x:c r="W160" s="14"/>
      <x:c r="X160" s="14" t="str">
        <x:v>Included</x:v>
      </x:c>
      <x:c r="Y160" s="14"/>
      <x:c r="Z160" s="14" t="str">
        <x:v>Sister Boniface Mysteries.docx</x:v>
      </x:c>
      <x:c r="AA16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BritBox UK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38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1</x:v>
      </x:c>
      <x:c r="BS160" s="16" t="n">
        <x:v>0.02631578947368421</x:v>
      </x:c>
      <x:c r="BT160" s="14" t="str">
        <x:v>One episode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tt15407098|nm3227473|trevor symonds</x:v>
      </x:c>
      <x:c r="B161" s="14" t="str">
        <x:v>05</x:v>
      </x:c>
      <x:c r="C161" s="14" t="str">
        <x:v>2022_IMDb_Cast_Lists_Batch_05(1).xlsx</x:v>
      </x:c>
      <x:c r="D161" s="14" t="str">
        <x:v>Sister Boniface Mysteries</x:v>
      </x:c>
      <x:c r="E161" s="14" t="n">
        <x:v>115</x:v>
      </x:c>
      <x:c r="F161" s="14" t="str">
        <x:v>Sister Boniface Mysteries</x:v>
      </x:c>
      <x:c r="G161" s="14" t="str">
        <x:v>tt15407098</x:v>
      </x:c>
      <x:c r="H161" s="14" t="n">
        <x:v>2022</x:v>
      </x:c>
      <x:c r="I161" s="14" t="n">
        <x:v>2023</x:v>
      </x:c>
      <x:c r="J161" s="14" t="str">
        <x:v>Earlier-Production Carry-In Cohort</x:v>
      </x:c>
      <x:c r="K161" s="14" t="n">
        <x:v>2022</x:v>
      </x:c>
      <x:c r="L161" s="14" t="str">
        <x:v>Used in 2023 annual analysis</x:v>
      </x:c>
      <x:c r="M161" s="15" t="n">
        <x:v>108</x:v>
      </x:c>
      <x:c r="N161" s="14" t="str">
        <x:v>John Hollingworth</x:v>
      </x:c>
      <x:c r="O161" s="14" t="str">
        <x:v>nm3227473</x:v>
      </x:c>
      <x:c r="P161" s="14" t="str">
        <x:v>Trevor Symonds</x:v>
      </x:c>
      <x:c r="Q161" s="15" t="n">
        <x:v>1</x:v>
      </x:c>
      <x:c r="R161" s="14" t="str">
        <x:v>2023</x:v>
      </x:c>
      <x:c r="S161" s="14" t="n">
        <x:v>2023</x:v>
      </x:c>
      <x:c r="T161" s="14" t="n">
        <x:v>2023</x:v>
      </x:c>
      <x:c r="U161" s="14" t="str">
        <x:v>Explicit source first year retained</x:v>
      </x:c>
      <x:c r="V161" s="14" t="str">
        <x:v>Earliest supplied year is 2023.</x:v>
      </x:c>
      <x:c r="W161" s="14"/>
      <x:c r="X161" s="14" t="str">
        <x:v>Included</x:v>
      </x:c>
      <x:c r="Y161" s="14"/>
      <x:c r="Z161" s="14" t="str">
        <x:v>Sister Boniface Mysteries.docx</x:v>
      </x:c>
      <x:c r="AA16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BritBox UK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 t="str">
        <x:v>No established-register match</x:v>
      </x:c>
      <x:c r="AT161" s="14"/>
      <x:c r="AU161" s="14"/>
      <x:c r="AV161" s="14" t="str">
        <x:v>No established apparent-disability match</x:v>
      </x:c>
      <x:c r="AW161" s="14"/>
      <x:c r="AX161" s="14" t="str">
        <x:v>No</x:v>
      </x:c>
      <x:c r="AY161" s="14" t="str">
        <x:v>Unmatched</x:v>
      </x:c>
      <x:c r="AZ161" s="14" t="str">
        <x:v>Final supplied register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38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1</x:v>
      </x:c>
      <x:c r="BS161" s="16" t="n">
        <x:v>0.02631578947368421</x:v>
      </x:c>
      <x:c r="BT161" s="14" t="str">
        <x:v>One episode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tt15407098|nm7333049|fliss forsyth</x:v>
      </x:c>
      <x:c r="B162" s="14" t="str">
        <x:v>05</x:v>
      </x:c>
      <x:c r="C162" s="14" t="str">
        <x:v>2022_IMDb_Cast_Lists_Batch_05(1).xlsx</x:v>
      </x:c>
      <x:c r="D162" s="14" t="str">
        <x:v>Sister Boniface Mysteries</x:v>
      </x:c>
      <x:c r="E162" s="14" t="n">
        <x:v>116</x:v>
      </x:c>
      <x:c r="F162" s="14" t="str">
        <x:v>Sister Boniface Mysteries</x:v>
      </x:c>
      <x:c r="G162" s="14" t="str">
        <x:v>tt15407098</x:v>
      </x:c>
      <x:c r="H162" s="14" t="n">
        <x:v>2022</x:v>
      </x:c>
      <x:c r="I162" s="14" t="n">
        <x:v>2023</x:v>
      </x:c>
      <x:c r="J162" s="14" t="str">
        <x:v>Earlier-Production Carry-In Cohort</x:v>
      </x:c>
      <x:c r="K162" s="14" t="n">
        <x:v>2022</x:v>
      </x:c>
      <x:c r="L162" s="14" t="str">
        <x:v>Used in 2023 annual analysis</x:v>
      </x:c>
      <x:c r="M162" s="15" t="n">
        <x:v>109</x:v>
      </x:c>
      <x:c r="N162" s="14" t="str">
        <x:v>Rhiannon Clements</x:v>
      </x:c>
      <x:c r="O162" s="14" t="str">
        <x:v>nm7333049</x:v>
      </x:c>
      <x:c r="P162" s="14" t="str">
        <x:v>Fliss Forsyth</x:v>
      </x:c>
      <x:c r="Q162" s="15" t="n">
        <x:v>1</x:v>
      </x:c>
      <x:c r="R162" s="14" t="str">
        <x:v>2023</x:v>
      </x:c>
      <x:c r="S162" s="14" t="n">
        <x:v>2023</x:v>
      </x:c>
      <x:c r="T162" s="14" t="n">
        <x:v>2023</x:v>
      </x:c>
      <x:c r="U162" s="14" t="str">
        <x:v>Explicit source first year retained</x:v>
      </x:c>
      <x:c r="V162" s="14" t="str">
        <x:v>Earliest supplied year is 2023.</x:v>
      </x:c>
      <x:c r="W162" s="14"/>
      <x:c r="X162" s="14" t="str">
        <x:v>Included</x:v>
      </x:c>
      <x:c r="Y162" s="14"/>
      <x:c r="Z162" s="14" t="str">
        <x:v>Sister Boniface Mysteries.docx</x:v>
      </x:c>
      <x:c r="AA16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2" s="14" t="str">
        <x:v>Existing established-register match</x:v>
      </x:c>
      <x:c r="AC162" s="14" t="str">
        <x:v>Physical disability</x:v>
      </x:c>
      <x:c r="AD162" s="14" t="str">
        <x:v>Existing register classification: Physical disability</x:v>
      </x:c>
      <x:c r="AE162" s="14" t="str">
        <x:v>Established_Disability_Category_Register V1.2.xlsx</x:v>
      </x:c>
      <x:c r="AF162" s="14"/>
      <x:c r="AG162" s="14" t="str">
        <x:v>Established user-supplied classification retained for deduplication; evidence was not re-researched in this batch.</x:v>
      </x:c>
      <x:c r="AH162" s="14" t="str">
        <x:v>BritBox UK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 t="str">
        <x:v>Exact IMDb performer ID match</x:v>
      </x:c>
      <x:c r="AT162" s="14" t="str">
        <x:v>nm7333049</x:v>
      </x:c>
      <x:c r="AU162" s="14" t="str">
        <x:v>Physical disability</x:v>
      </x:c>
      <x:c r="AV162" s="14" t="str">
        <x:v>Yes</x:v>
      </x:c>
      <x:c r="AW162" s="14" t="str">
        <x:v>Physical disability</x:v>
      </x:c>
      <x:c r="AX162" s="14" t="str">
        <x:v>No</x:v>
      </x:c>
      <x:c r="AY162" s="14" t="str">
        <x:v>Matched</x:v>
      </x:c>
      <x:c r="AZ162" s="14" t="str">
        <x:v>Final supplied register</x:v>
      </x:c>
      <x:c r="BA162" s="14"/>
      <x:c r="BB162" s="14" t="str">
        <x:v>Exact IMDb performer ID match</x:v>
      </x:c>
      <x:c r="BC162" s="14" t="str">
        <x:v>nm7333049</x:v>
      </x:c>
      <x:c r="BD162" s="14" t="str">
        <x:v>Rhiannon Clements</x:v>
      </x:c>
      <x:c r="BE162" s="14" t="str">
        <x:v>Physical disability</x:v>
      </x:c>
      <x:c r="BF162" s="14" t="str">
        <x:v>Yes</x:v>
      </x:c>
      <x:c r="BG162" s="14" t="str">
        <x:v>Physical disability</x:v>
      </x:c>
      <x:c r="BH162" s="14" t="str">
        <x:v>No</x:v>
      </x:c>
      <x:c r="BI162" s="14" t="str">
        <x:v>User-supplied established classification</x:v>
      </x:c>
      <x:c r="BJ162" s="14" t="str">
        <x:v>04_Physical_disability.csv</x:v>
      </x:c>
      <x:c r="BK162" s="14"/>
      <x:c r="BL162" s="14" t="str">
        <x:v>Matched</x:v>
      </x:c>
      <x:c r="BM162" s="14" t="str">
        <x:v>Final supplied register</x:v>
      </x:c>
      <x:c r="BN162" s="14"/>
      <x:c r="BO162" s="14" t="n">
        <x:v>38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1</x:v>
      </x:c>
      <x:c r="BS162" s="16" t="n">
        <x:v>0.02631578947368421</x:v>
      </x:c>
      <x:c r="BT162" s="14" t="str">
        <x:v>One episode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tt15407098|nm2088694|lewis garner</x:v>
      </x:c>
      <x:c r="B163" s="14" t="str">
        <x:v>05</x:v>
      </x:c>
      <x:c r="C163" s="14" t="str">
        <x:v>2022_IMDb_Cast_Lists_Batch_05(1).xlsx</x:v>
      </x:c>
      <x:c r="D163" s="14" t="str">
        <x:v>Sister Boniface Mysteries</x:v>
      </x:c>
      <x:c r="E163" s="14" t="n">
        <x:v>117</x:v>
      </x:c>
      <x:c r="F163" s="14" t="str">
        <x:v>Sister Boniface Mysteries</x:v>
      </x:c>
      <x:c r="G163" s="14" t="str">
        <x:v>tt15407098</x:v>
      </x:c>
      <x:c r="H163" s="14" t="n">
        <x:v>2022</x:v>
      </x:c>
      <x:c r="I163" s="14" t="n">
        <x:v>2023</x:v>
      </x:c>
      <x:c r="J163" s="14" t="str">
        <x:v>Earlier-Production Carry-In Cohort</x:v>
      </x:c>
      <x:c r="K163" s="14" t="n">
        <x:v>2022</x:v>
      </x:c>
      <x:c r="L163" s="14" t="str">
        <x:v>Used in 2023 annual analysis</x:v>
      </x:c>
      <x:c r="M163" s="15" t="n">
        <x:v>110</x:v>
      </x:c>
      <x:c r="N163" s="14" t="str">
        <x:v>Jack Ashton</x:v>
      </x:c>
      <x:c r="O163" s="14" t="str">
        <x:v>nm2088694</x:v>
      </x:c>
      <x:c r="P163" s="14" t="str">
        <x:v>Lewis Garner</x:v>
      </x:c>
      <x:c r="Q163" s="15" t="n">
        <x:v>1</x:v>
      </x:c>
      <x:c r="R163" s="14" t="str">
        <x:v>2023</x:v>
      </x:c>
      <x:c r="S163" s="14" t="n">
        <x:v>2023</x:v>
      </x:c>
      <x:c r="T163" s="14" t="n">
        <x:v>2023</x:v>
      </x:c>
      <x:c r="U163" s="14" t="str">
        <x:v>Explicit source first year retained</x:v>
      </x:c>
      <x:c r="V163" s="14" t="str">
        <x:v>Earliest supplied year is 2023.</x:v>
      </x:c>
      <x:c r="W163" s="14"/>
      <x:c r="X163" s="14" t="str">
        <x:v>Included</x:v>
      </x:c>
      <x:c r="Y163" s="14"/>
      <x:c r="Z163" s="14" t="str">
        <x:v>Sister Boniface Mysteries.docx</x:v>
      </x:c>
      <x:c r="AA16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BritBox UK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38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1</x:v>
      </x:c>
      <x:c r="BS163" s="16" t="n">
        <x:v>0.02631578947368421</x:v>
      </x:c>
      <x:c r="BT163" s="14" t="str">
        <x:v>One episode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tt15407098|nm0725830|heather hartwood</x:v>
      </x:c>
      <x:c r="B164" s="14" t="str">
        <x:v>05</x:v>
      </x:c>
      <x:c r="C164" s="14" t="str">
        <x:v>2022_IMDb_Cast_Lists_Batch_05(1).xlsx</x:v>
      </x:c>
      <x:c r="D164" s="14" t="str">
        <x:v>Sister Boniface Mysteries</x:v>
      </x:c>
      <x:c r="E164" s="14" t="n">
        <x:v>118</x:v>
      </x:c>
      <x:c r="F164" s="14" t="str">
        <x:v>Sister Boniface Mysteries</x:v>
      </x:c>
      <x:c r="G164" s="14" t="str">
        <x:v>tt15407098</x:v>
      </x:c>
      <x:c r="H164" s="14" t="n">
        <x:v>2022</x:v>
      </x:c>
      <x:c r="I164" s="14" t="n">
        <x:v>2023</x:v>
      </x:c>
      <x:c r="J164" s="14" t="str">
        <x:v>Earlier-Production Carry-In Cohort</x:v>
      </x:c>
      <x:c r="K164" s="14" t="n">
        <x:v>2022</x:v>
      </x:c>
      <x:c r="L164" s="14" t="str">
        <x:v>Used in 2023 annual analysis</x:v>
      </x:c>
      <x:c r="M164" s="15" t="n">
        <x:v>111</x:v>
      </x:c>
      <x:c r="N164" s="14" t="str">
        <x:v>Elizabeth Rider</x:v>
      </x:c>
      <x:c r="O164" s="14" t="str">
        <x:v>nm0725830</x:v>
      </x:c>
      <x:c r="P164" s="14" t="str">
        <x:v>Heather Hartwood</x:v>
      </x:c>
      <x:c r="Q164" s="15" t="n">
        <x:v>1</x:v>
      </x:c>
      <x:c r="R164" s="14" t="str">
        <x:v>2023</x:v>
      </x:c>
      <x:c r="S164" s="14" t="n">
        <x:v>2023</x:v>
      </x:c>
      <x:c r="T164" s="14" t="n">
        <x:v>2023</x:v>
      </x:c>
      <x:c r="U164" s="14" t="str">
        <x:v>Explicit source first year retained</x:v>
      </x:c>
      <x:c r="V164" s="14" t="str">
        <x:v>Earliest supplied year is 2023.</x:v>
      </x:c>
      <x:c r="W164" s="14"/>
      <x:c r="X164" s="14" t="str">
        <x:v>Included</x:v>
      </x:c>
      <x:c r="Y164" s="14"/>
      <x:c r="Z164" s="14" t="str">
        <x:v>Sister Boniface Mysteries.docx</x:v>
      </x:c>
      <x:c r="AA16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BritBox UK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38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1</x:v>
      </x:c>
      <x:c r="BS164" s="16" t="n">
        <x:v>0.02631578947368421</x:v>
      </x:c>
      <x:c r="BT164" s="14" t="str">
        <x:v>One episode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tt15407098|nm0998499|edwin battenberg</x:v>
      </x:c>
      <x:c r="B165" s="14" t="str">
        <x:v>05</x:v>
      </x:c>
      <x:c r="C165" s="14" t="str">
        <x:v>2022_IMDb_Cast_Lists_Batch_05(1).xlsx</x:v>
      </x:c>
      <x:c r="D165" s="14" t="str">
        <x:v>Sister Boniface Mysteries</x:v>
      </x:c>
      <x:c r="E165" s="14" t="n">
        <x:v>119</x:v>
      </x:c>
      <x:c r="F165" s="14" t="str">
        <x:v>Sister Boniface Mysteries</x:v>
      </x:c>
      <x:c r="G165" s="14" t="str">
        <x:v>tt15407098</x:v>
      </x:c>
      <x:c r="H165" s="14" t="n">
        <x:v>2022</x:v>
      </x:c>
      <x:c r="I165" s="14" t="n">
        <x:v>2023</x:v>
      </x:c>
      <x:c r="J165" s="14" t="str">
        <x:v>Earlier-Production Carry-In Cohort</x:v>
      </x:c>
      <x:c r="K165" s="14" t="n">
        <x:v>2022</x:v>
      </x:c>
      <x:c r="L165" s="14" t="str">
        <x:v>Used in 2023 annual analysis</x:v>
      </x:c>
      <x:c r="M165" s="15" t="n">
        <x:v>112</x:v>
      </x:c>
      <x:c r="N165" s="14" t="str">
        <x:v>Jason Thorpe</x:v>
      </x:c>
      <x:c r="O165" s="14" t="str">
        <x:v>nm0998499</x:v>
      </x:c>
      <x:c r="P165" s="14" t="str">
        <x:v>Edwin Battenberg</x:v>
      </x:c>
      <x:c r="Q165" s="15" t="n">
        <x:v>1</x:v>
      </x:c>
      <x:c r="R165" s="14" t="str">
        <x:v>2023</x:v>
      </x:c>
      <x:c r="S165" s="14" t="n">
        <x:v>2023</x:v>
      </x:c>
      <x:c r="T165" s="14" t="n">
        <x:v>2023</x:v>
      </x:c>
      <x:c r="U165" s="14" t="str">
        <x:v>Explicit source first year retained</x:v>
      </x:c>
      <x:c r="V165" s="14" t="str">
        <x:v>Earliest supplied year is 2023.</x:v>
      </x:c>
      <x:c r="W165" s="14"/>
      <x:c r="X165" s="14" t="str">
        <x:v>Included</x:v>
      </x:c>
      <x:c r="Y165" s="14"/>
      <x:c r="Z165" s="14" t="str">
        <x:v>Sister Boniface Mysteries.docx</x:v>
      </x:c>
      <x:c r="AA16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BritBox UK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38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1</x:v>
      </x:c>
      <x:c r="BS165" s="16" t="n">
        <x:v>0.02631578947368421</x:v>
      </x:c>
      <x:c r="BT165" s="14" t="str">
        <x:v>One episode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tt15407098|nm11156222|tina tiny</x:v>
      </x:c>
      <x:c r="B166" s="14" t="str">
        <x:v>05</x:v>
      </x:c>
      <x:c r="C166" s="14" t="str">
        <x:v>2022_IMDb_Cast_Lists_Batch_05(1).xlsx</x:v>
      </x:c>
      <x:c r="D166" s="14" t="str">
        <x:v>Sister Boniface Mysteries</x:v>
      </x:c>
      <x:c r="E166" s="14" t="n">
        <x:v>120</x:v>
      </x:c>
      <x:c r="F166" s="14" t="str">
        <x:v>Sister Boniface Mysteries</x:v>
      </x:c>
      <x:c r="G166" s="14" t="str">
        <x:v>tt15407098</x:v>
      </x:c>
      <x:c r="H166" s="14" t="n">
        <x:v>2022</x:v>
      </x:c>
      <x:c r="I166" s="14" t="n">
        <x:v>2023</x:v>
      </x:c>
      <x:c r="J166" s="14" t="str">
        <x:v>Earlier-Production Carry-In Cohort</x:v>
      </x:c>
      <x:c r="K166" s="14" t="n">
        <x:v>2022</x:v>
      </x:c>
      <x:c r="L166" s="14" t="str">
        <x:v>Used in 2023 annual analysis</x:v>
      </x:c>
      <x:c r="M166" s="15" t="n">
        <x:v>113</x:v>
      </x:c>
      <x:c r="N166" s="14" t="str">
        <x:v>Georgia Conlan</x:v>
      </x:c>
      <x:c r="O166" s="14" t="str">
        <x:v>nm11156222</x:v>
      </x:c>
      <x:c r="P166" s="14" t="str">
        <x:v>Tina Tiny</x:v>
      </x:c>
      <x:c r="Q166" s="15" t="n">
        <x:v>1</x:v>
      </x:c>
      <x:c r="R166" s="14" t="str">
        <x:v>2023</x:v>
      </x:c>
      <x:c r="S166" s="14" t="n">
        <x:v>2023</x:v>
      </x:c>
      <x:c r="T166" s="14" t="n">
        <x:v>2023</x:v>
      </x:c>
      <x:c r="U166" s="14" t="str">
        <x:v>Explicit source first year retained</x:v>
      </x:c>
      <x:c r="V166" s="14" t="str">
        <x:v>Earliest supplied year is 2023.</x:v>
      </x:c>
      <x:c r="W166" s="14"/>
      <x:c r="X166" s="14" t="str">
        <x:v>Included</x:v>
      </x:c>
      <x:c r="Y166" s="14"/>
      <x:c r="Z166" s="14" t="str">
        <x:v>Sister Boniface Mysteries.docx</x:v>
      </x:c>
      <x:c r="AA16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BritBox UK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38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1</x:v>
      </x:c>
      <x:c r="BS166" s="16" t="n">
        <x:v>0.02631578947368421</x:v>
      </x:c>
      <x:c r="BT166" s="14" t="str">
        <x:v>One episode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tt15407098|nm0571610|nigel greybone</x:v>
      </x:c>
      <x:c r="B167" s="14" t="str">
        <x:v>05</x:v>
      </x:c>
      <x:c r="C167" s="14" t="str">
        <x:v>2022_IMDb_Cast_Lists_Batch_05(1).xlsx</x:v>
      </x:c>
      <x:c r="D167" s="14" t="str">
        <x:v>Sister Boniface Mysteries</x:v>
      </x:c>
      <x:c r="E167" s="14" t="n">
        <x:v>121</x:v>
      </x:c>
      <x:c r="F167" s="14" t="str">
        <x:v>Sister Boniface Mysteries</x:v>
      </x:c>
      <x:c r="G167" s="14" t="str">
        <x:v>tt15407098</x:v>
      </x:c>
      <x:c r="H167" s="14" t="n">
        <x:v>2022</x:v>
      </x:c>
      <x:c r="I167" s="14" t="n">
        <x:v>2023</x:v>
      </x:c>
      <x:c r="J167" s="14" t="str">
        <x:v>Earlier-Production Carry-In Cohort</x:v>
      </x:c>
      <x:c r="K167" s="14" t="n">
        <x:v>2022</x:v>
      </x:c>
      <x:c r="L167" s="14" t="str">
        <x:v>Used in 2023 annual analysis</x:v>
      </x:c>
      <x:c r="M167" s="15" t="n">
        <x:v>114</x:v>
      </x:c>
      <x:c r="N167" s="14" t="str">
        <x:v>Sean McKenzie</x:v>
      </x:c>
      <x:c r="O167" s="14" t="str">
        <x:v>nm0571610</x:v>
      </x:c>
      <x:c r="P167" s="14" t="str">
        <x:v>Nigel Greybone</x:v>
      </x:c>
      <x:c r="Q167" s="15" t="n">
        <x:v>1</x:v>
      </x:c>
      <x:c r="R167" s="14" t="str">
        <x:v>2023</x:v>
      </x:c>
      <x:c r="S167" s="14" t="n">
        <x:v>2023</x:v>
      </x:c>
      <x:c r="T167" s="14" t="n">
        <x:v>2023</x:v>
      </x:c>
      <x:c r="U167" s="14" t="str">
        <x:v>Explicit source first year retained</x:v>
      </x:c>
      <x:c r="V167" s="14" t="str">
        <x:v>Earliest supplied year is 2023.</x:v>
      </x:c>
      <x:c r="W167" s="14"/>
      <x:c r="X167" s="14" t="str">
        <x:v>Included</x:v>
      </x:c>
      <x:c r="Y167" s="14"/>
      <x:c r="Z167" s="14" t="str">
        <x:v>Sister Boniface Mysteries.docx</x:v>
      </x:c>
      <x:c r="AA16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BritBox UK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38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0.02631578947368421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tt15407098|nm4545047|sexton st. juste</x:v>
      </x:c>
      <x:c r="B168" s="14" t="str">
        <x:v>05</x:v>
      </x:c>
      <x:c r="C168" s="14" t="str">
        <x:v>2022_IMDb_Cast_Lists_Batch_05(1).xlsx</x:v>
      </x:c>
      <x:c r="D168" s="14" t="str">
        <x:v>Sister Boniface Mysteries</x:v>
      </x:c>
      <x:c r="E168" s="14" t="n">
        <x:v>122</x:v>
      </x:c>
      <x:c r="F168" s="14" t="str">
        <x:v>Sister Boniface Mysteries</x:v>
      </x:c>
      <x:c r="G168" s="14" t="str">
        <x:v>tt15407098</x:v>
      </x:c>
      <x:c r="H168" s="14" t="n">
        <x:v>2022</x:v>
      </x:c>
      <x:c r="I168" s="14" t="n">
        <x:v>2023</x:v>
      </x:c>
      <x:c r="J168" s="14" t="str">
        <x:v>Earlier-Production Carry-In Cohort</x:v>
      </x:c>
      <x:c r="K168" s="14" t="n">
        <x:v>2022</x:v>
      </x:c>
      <x:c r="L168" s="14" t="str">
        <x:v>Used in 2023 annual analysis</x:v>
      </x:c>
      <x:c r="M168" s="15" t="n">
        <x:v>115</x:v>
      </x:c>
      <x:c r="N168" s="14" t="str">
        <x:v>Stephen Matthews</x:v>
      </x:c>
      <x:c r="O168" s="14" t="str">
        <x:v>nm4545047</x:v>
      </x:c>
      <x:c r="P168" s="14" t="str">
        <x:v>Sexton St. Juste</x:v>
      </x:c>
      <x:c r="Q168" s="15" t="n">
        <x:v>1</x:v>
      </x:c>
      <x:c r="R168" s="14" t="str">
        <x:v>2023</x:v>
      </x:c>
      <x:c r="S168" s="14" t="n">
        <x:v>2023</x:v>
      </x:c>
      <x:c r="T168" s="14" t="n">
        <x:v>2023</x:v>
      </x:c>
      <x:c r="U168" s="14" t="str">
        <x:v>Explicit source first year retained</x:v>
      </x:c>
      <x:c r="V168" s="14" t="str">
        <x:v>Earliest supplied year is 2023.</x:v>
      </x:c>
      <x:c r="W168" s="14"/>
      <x:c r="X168" s="14" t="str">
        <x:v>Included</x:v>
      </x:c>
      <x:c r="Y168" s="14"/>
      <x:c r="Z168" s="14" t="str">
        <x:v>Sister Boniface Mysteries.docx</x:v>
      </x:c>
      <x:c r="AA1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BritBox UK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38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0.02631578947368421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tt15407098|nm0857173|dinah morgan</x:v>
      </x:c>
      <x:c r="B169" s="14" t="str">
        <x:v>05</x:v>
      </x:c>
      <x:c r="C169" s="14" t="str">
        <x:v>2022_IMDb_Cast_Lists_Batch_05(1).xlsx</x:v>
      </x:c>
      <x:c r="D169" s="14" t="str">
        <x:v>Sister Boniface Mysteries</x:v>
      </x:c>
      <x:c r="E169" s="14" t="n">
        <x:v>131</x:v>
      </x:c>
      <x:c r="F169" s="14" t="str">
        <x:v>Sister Boniface Mysteries</x:v>
      </x:c>
      <x:c r="G169" s="14" t="str">
        <x:v>tt15407098</x:v>
      </x:c>
      <x:c r="H169" s="14" t="n">
        <x:v>2022</x:v>
      </x:c>
      <x:c r="I169" s="14" t="n">
        <x:v>2023</x:v>
      </x:c>
      <x:c r="J169" s="14" t="str">
        <x:v>Earlier-Production Carry-In Cohort</x:v>
      </x:c>
      <x:c r="K169" s="14" t="n">
        <x:v>2022</x:v>
      </x:c>
      <x:c r="L169" s="14" t="str">
        <x:v>Used in 2023 annual analysis</x:v>
      </x:c>
      <x:c r="M169" s="15" t="n">
        <x:v>124</x:v>
      </x:c>
      <x:c r="N169" s="14" t="str">
        <x:v>Abigail Thaw</x:v>
      </x:c>
      <x:c r="O169" s="14" t="str">
        <x:v>nm0857173</x:v>
      </x:c>
      <x:c r="P169" s="14" t="str">
        <x:v>Dinah Morgan</x:v>
      </x:c>
      <x:c r="Q169" s="15" t="n">
        <x:v>1</x:v>
      </x:c>
      <x:c r="R169" s="14" t="str">
        <x:v>2023</x:v>
      </x:c>
      <x:c r="S169" s="14" t="n">
        <x:v>2023</x:v>
      </x:c>
      <x:c r="T169" s="14" t="n">
        <x:v>2023</x:v>
      </x:c>
      <x:c r="U169" s="14" t="str">
        <x:v>Explicit source first year retained</x:v>
      </x:c>
      <x:c r="V169" s="14" t="str">
        <x:v>Earliest supplied year is 2023.</x:v>
      </x:c>
      <x:c r="W169" s="14"/>
      <x:c r="X169" s="14" t="str">
        <x:v>Included</x:v>
      </x:c>
      <x:c r="Y169" s="14"/>
      <x:c r="Z169" s="14" t="str">
        <x:v>Sister Boniface Mysteries.docx</x:v>
      </x:c>
      <x:c r="AA1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BritBox UK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38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0.02631578947368421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tt15407098|nm1616822|roy perk</x:v>
      </x:c>
      <x:c r="B170" s="14" t="str">
        <x:v>05</x:v>
      </x:c>
      <x:c r="C170" s="14" t="str">
        <x:v>2022_IMDb_Cast_Lists_Batch_05(1).xlsx</x:v>
      </x:c>
      <x:c r="D170" s="14" t="str">
        <x:v>Sister Boniface Mysteries</x:v>
      </x:c>
      <x:c r="E170" s="14" t="n">
        <x:v>132</x:v>
      </x:c>
      <x:c r="F170" s="14" t="str">
        <x:v>Sister Boniface Mysteries</x:v>
      </x:c>
      <x:c r="G170" s="14" t="str">
        <x:v>tt15407098</x:v>
      </x:c>
      <x:c r="H170" s="14" t="n">
        <x:v>2022</x:v>
      </x:c>
      <x:c r="I170" s="14" t="n">
        <x:v>2023</x:v>
      </x:c>
      <x:c r="J170" s="14" t="str">
        <x:v>Earlier-Production Carry-In Cohort</x:v>
      </x:c>
      <x:c r="K170" s="14" t="n">
        <x:v>2022</x:v>
      </x:c>
      <x:c r="L170" s="14" t="str">
        <x:v>Used in 2023 annual analysis</x:v>
      </x:c>
      <x:c r="M170" s="15" t="n">
        <x:v>125</x:v>
      </x:c>
      <x:c r="N170" s="14" t="str">
        <x:v>Jamie Kenna</x:v>
      </x:c>
      <x:c r="O170" s="14" t="str">
        <x:v>nm1616822</x:v>
      </x:c>
      <x:c r="P170" s="14" t="str">
        <x:v>Roy Perk</x:v>
      </x:c>
      <x:c r="Q170" s="15" t="n">
        <x:v>1</x:v>
      </x:c>
      <x:c r="R170" s="14" t="str">
        <x:v>2023</x:v>
      </x:c>
      <x:c r="S170" s="14" t="n">
        <x:v>2023</x:v>
      </x:c>
      <x:c r="T170" s="14" t="n">
        <x:v>2023</x:v>
      </x:c>
      <x:c r="U170" s="14" t="str">
        <x:v>Explicit source first year retained</x:v>
      </x:c>
      <x:c r="V170" s="14" t="str">
        <x:v>Earliest supplied year is 2023.</x:v>
      </x:c>
      <x:c r="W170" s="14"/>
      <x:c r="X170" s="14" t="str">
        <x:v>Included</x:v>
      </x:c>
      <x:c r="Y170" s="14"/>
      <x:c r="Z170" s="14" t="str">
        <x:v>Sister Boniface Mysteries.docx</x:v>
      </x:c>
      <x:c r="AA1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BritBox UK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38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0.02631578947368421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tt15407098|nm2876073|oliver canning</x:v>
      </x:c>
      <x:c r="B171" s="14" t="str">
        <x:v>05</x:v>
      </x:c>
      <x:c r="C171" s="14" t="str">
        <x:v>2022_IMDb_Cast_Lists_Batch_05(1).xlsx</x:v>
      </x:c>
      <x:c r="D171" s="14" t="str">
        <x:v>Sister Boniface Mysteries</x:v>
      </x:c>
      <x:c r="E171" s="14" t="n">
        <x:v>133</x:v>
      </x:c>
      <x:c r="F171" s="14" t="str">
        <x:v>Sister Boniface Mysteries</x:v>
      </x:c>
      <x:c r="G171" s="14" t="str">
        <x:v>tt15407098</x:v>
      </x:c>
      <x:c r="H171" s="14" t="n">
        <x:v>2022</x:v>
      </x:c>
      <x:c r="I171" s="14" t="n">
        <x:v>2023</x:v>
      </x:c>
      <x:c r="J171" s="14" t="str">
        <x:v>Earlier-Production Carry-In Cohort</x:v>
      </x:c>
      <x:c r="K171" s="14" t="n">
        <x:v>2022</x:v>
      </x:c>
      <x:c r="L171" s="14" t="str">
        <x:v>Used in 2023 annual analysis</x:v>
      </x:c>
      <x:c r="M171" s="15" t="n">
        <x:v>126</x:v>
      </x:c>
      <x:c r="N171" s="14" t="str">
        <x:v>Ben Mansfield</x:v>
      </x:c>
      <x:c r="O171" s="14" t="str">
        <x:v>nm2876073</x:v>
      </x:c>
      <x:c r="P171" s="14" t="str">
        <x:v>Oliver Canning</x:v>
      </x:c>
      <x:c r="Q171" s="15" t="n">
        <x:v>1</x:v>
      </x:c>
      <x:c r="R171" s="14" t="str">
        <x:v>2023</x:v>
      </x:c>
      <x:c r="S171" s="14" t="n">
        <x:v>2023</x:v>
      </x:c>
      <x:c r="T171" s="14" t="n">
        <x:v>2023</x:v>
      </x:c>
      <x:c r="U171" s="14" t="str">
        <x:v>Explicit source first year retained</x:v>
      </x:c>
      <x:c r="V171" s="14" t="str">
        <x:v>Earliest supplied year is 2023.</x:v>
      </x:c>
      <x:c r="W171" s="14"/>
      <x:c r="X171" s="14" t="str">
        <x:v>Included</x:v>
      </x:c>
      <x:c r="Y171" s="14"/>
      <x:c r="Z171" s="14" t="str">
        <x:v>Sister Boniface Mysteries.docx</x:v>
      </x:c>
      <x:c r="AA1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BritBox UK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38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0.02631578947368421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tt15407098|nm0635773|hildy prentice</x:v>
      </x:c>
      <x:c r="B172" s="14" t="str">
        <x:v>05</x:v>
      </x:c>
      <x:c r="C172" s="14" t="str">
        <x:v>2022_IMDb_Cast_Lists_Batch_05(1).xlsx</x:v>
      </x:c>
      <x:c r="D172" s="14" t="str">
        <x:v>Sister Boniface Mysteries</x:v>
      </x:c>
      <x:c r="E172" s="14" t="n">
        <x:v>134</x:v>
      </x:c>
      <x:c r="F172" s="14" t="str">
        <x:v>Sister Boniface Mysteries</x:v>
      </x:c>
      <x:c r="G172" s="14" t="str">
        <x:v>tt15407098</x:v>
      </x:c>
      <x:c r="H172" s="14" t="n">
        <x:v>2022</x:v>
      </x:c>
      <x:c r="I172" s="14" t="n">
        <x:v>2023</x:v>
      </x:c>
      <x:c r="J172" s="14" t="str">
        <x:v>Earlier-Production Carry-In Cohort</x:v>
      </x:c>
      <x:c r="K172" s="14" t="n">
        <x:v>2022</x:v>
      </x:c>
      <x:c r="L172" s="14" t="str">
        <x:v>Used in 2023 annual analysis</x:v>
      </x:c>
      <x:c r="M172" s="15" t="n">
        <x:v>127</x:v>
      </x:c>
      <x:c r="N172" s="14" t="str">
        <x:v>Carli Norris</x:v>
      </x:c>
      <x:c r="O172" s="14" t="str">
        <x:v>nm0635773</x:v>
      </x:c>
      <x:c r="P172" s="14" t="str">
        <x:v>Hildy Prentice</x:v>
      </x:c>
      <x:c r="Q172" s="15" t="n">
        <x:v>1</x:v>
      </x:c>
      <x:c r="R172" s="14" t="str">
        <x:v>2023</x:v>
      </x:c>
      <x:c r="S172" s="14" t="n">
        <x:v>2023</x:v>
      </x:c>
      <x:c r="T172" s="14" t="n">
        <x:v>2023</x:v>
      </x:c>
      <x:c r="U172" s="14" t="str">
        <x:v>Explicit source first year retained</x:v>
      </x:c>
      <x:c r="V172" s="14" t="str">
        <x:v>Earliest supplied year is 2023.</x:v>
      </x:c>
      <x:c r="W172" s="14"/>
      <x:c r="X172" s="14" t="str">
        <x:v>Included</x:v>
      </x:c>
      <x:c r="Y172" s="14"/>
      <x:c r="Z172" s="14" t="str">
        <x:v>Sister Boniface Mysteries.docx</x:v>
      </x:c>
      <x:c r="AA1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BritBox UK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38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0.02631578947368421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tt15407098|nm4737043|ben matthews</x:v>
      </x:c>
      <x:c r="B173" s="14" t="str">
        <x:v>05</x:v>
      </x:c>
      <x:c r="C173" s="14" t="str">
        <x:v>2022_IMDb_Cast_Lists_Batch_05(1).xlsx</x:v>
      </x:c>
      <x:c r="D173" s="14" t="str">
        <x:v>Sister Boniface Mysteries</x:v>
      </x:c>
      <x:c r="E173" s="14" t="n">
        <x:v>135</x:v>
      </x:c>
      <x:c r="F173" s="14" t="str">
        <x:v>Sister Boniface Mysteries</x:v>
      </x:c>
      <x:c r="G173" s="14" t="str">
        <x:v>tt15407098</x:v>
      </x:c>
      <x:c r="H173" s="14" t="n">
        <x:v>2022</x:v>
      </x:c>
      <x:c r="I173" s="14" t="n">
        <x:v>2023</x:v>
      </x:c>
      <x:c r="J173" s="14" t="str">
        <x:v>Earlier-Production Carry-In Cohort</x:v>
      </x:c>
      <x:c r="K173" s="14" t="n">
        <x:v>2022</x:v>
      </x:c>
      <x:c r="L173" s="14" t="str">
        <x:v>Used in 2023 annual analysis</x:v>
      </x:c>
      <x:c r="M173" s="15" t="n">
        <x:v>128</x:v>
      </x:c>
      <x:c r="N173" s="14" t="str">
        <x:v>George Sargeant</x:v>
      </x:c>
      <x:c r="O173" s="14" t="str">
        <x:v>nm4737043</x:v>
      </x:c>
      <x:c r="P173" s="14" t="str">
        <x:v>Ben Matthews</x:v>
      </x:c>
      <x:c r="Q173" s="15" t="n">
        <x:v>1</x:v>
      </x:c>
      <x:c r="R173" s="14" t="str">
        <x:v>2023</x:v>
      </x:c>
      <x:c r="S173" s="14" t="n">
        <x:v>2023</x:v>
      </x:c>
      <x:c r="T173" s="14" t="n">
        <x:v>2023</x:v>
      </x:c>
      <x:c r="U173" s="14" t="str">
        <x:v>Explicit source first year retained</x:v>
      </x:c>
      <x:c r="V173" s="14" t="str">
        <x:v>Earliest supplied year is 2023.</x:v>
      </x:c>
      <x:c r="W173" s="14"/>
      <x:c r="X173" s="14" t="str">
        <x:v>Included</x:v>
      </x:c>
      <x:c r="Y173" s="14"/>
      <x:c r="Z173" s="14" t="str">
        <x:v>Sister Boniface Mysteries.docx</x:v>
      </x:c>
      <x:c r="AA1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BritBox UK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38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0.02631578947368421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tt15407098|nm3017284|arnie cuningham</x:v>
      </x:c>
      <x:c r="B174" s="14" t="str">
        <x:v>05</x:v>
      </x:c>
      <x:c r="C174" s="14" t="str">
        <x:v>2022_IMDb_Cast_Lists_Batch_05(1).xlsx</x:v>
      </x:c>
      <x:c r="D174" s="14" t="str">
        <x:v>Sister Boniface Mysteries</x:v>
      </x:c>
      <x:c r="E174" s="14" t="n">
        <x:v>145</x:v>
      </x:c>
      <x:c r="F174" s="14" t="str">
        <x:v>Sister Boniface Mysteries</x:v>
      </x:c>
      <x:c r="G174" s="14" t="str">
        <x:v>tt15407098</x:v>
      </x:c>
      <x:c r="H174" s="14" t="n">
        <x:v>2022</x:v>
      </x:c>
      <x:c r="I174" s="14" t="n">
        <x:v>2023</x:v>
      </x:c>
      <x:c r="J174" s="14" t="str">
        <x:v>Earlier-Production Carry-In Cohort</x:v>
      </x:c>
      <x:c r="K174" s="14" t="n">
        <x:v>2022</x:v>
      </x:c>
      <x:c r="L174" s="14" t="str">
        <x:v>Used in 2023 annual analysis</x:v>
      </x:c>
      <x:c r="M174" s="15" t="n">
        <x:v>138</x:v>
      </x:c>
      <x:c r="N174" s="14" t="str">
        <x:v>Josh Bolt</x:v>
      </x:c>
      <x:c r="O174" s="14" t="str">
        <x:v>nm3017284</x:v>
      </x:c>
      <x:c r="P174" s="14" t="str">
        <x:v>Arnie Cuningham</x:v>
      </x:c>
      <x:c r="Q174" s="15" t="n">
        <x:v>1</x:v>
      </x:c>
      <x:c r="R174" s="14" t="str">
        <x:v>2023</x:v>
      </x:c>
      <x:c r="S174" s="14" t="n">
        <x:v>2023</x:v>
      </x:c>
      <x:c r="T174" s="14" t="n">
        <x:v>2023</x:v>
      </x:c>
      <x:c r="U174" s="14" t="str">
        <x:v>Explicit source first year retained</x:v>
      </x:c>
      <x:c r="V174" s="14" t="str">
        <x:v>Earliest supplied year is 2023.</x:v>
      </x:c>
      <x:c r="W174" s="14"/>
      <x:c r="X174" s="14" t="str">
        <x:v>Included</x:v>
      </x:c>
      <x:c r="Y174" s="14"/>
      <x:c r="Z174" s="14" t="str">
        <x:v>Sister Boniface Mysteries.docx</x:v>
      </x:c>
      <x:c r="AA1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BritBox UK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38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0.02631578947368421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tt15407098|nm0642109|shirley turner</x:v>
      </x:c>
      <x:c r="B175" s="14" t="str">
        <x:v>05</x:v>
      </x:c>
      <x:c r="C175" s="14" t="str">
        <x:v>2022_IMDb_Cast_Lists_Batch_05(1).xlsx</x:v>
      </x:c>
      <x:c r="D175" s="14" t="str">
        <x:v>Sister Boniface Mysteries</x:v>
      </x:c>
      <x:c r="E175" s="14" t="n">
        <x:v>146</x:v>
      </x:c>
      <x:c r="F175" s="14" t="str">
        <x:v>Sister Boniface Mysteries</x:v>
      </x:c>
      <x:c r="G175" s="14" t="str">
        <x:v>tt15407098</x:v>
      </x:c>
      <x:c r="H175" s="14" t="n">
        <x:v>2022</x:v>
      </x:c>
      <x:c r="I175" s="14" t="n">
        <x:v>2023</x:v>
      </x:c>
      <x:c r="J175" s="14" t="str">
        <x:v>Earlier-Production Carry-In Cohort</x:v>
      </x:c>
      <x:c r="K175" s="14" t="n">
        <x:v>2022</x:v>
      </x:c>
      <x:c r="L175" s="14" t="str">
        <x:v>Used in 2023 annual analysis</x:v>
      </x:c>
      <x:c r="M175" s="15" t="n">
        <x:v>139</x:v>
      </x:c>
      <x:c r="N175" s="14" t="str">
        <x:v>Caroline O'Neill</x:v>
      </x:c>
      <x:c r="O175" s="14" t="str">
        <x:v>nm0642109</x:v>
      </x:c>
      <x:c r="P175" s="14" t="str">
        <x:v>Shirley Turner</x:v>
      </x:c>
      <x:c r="Q175" s="15" t="n">
        <x:v>1</x:v>
      </x:c>
      <x:c r="R175" s="14" t="str">
        <x:v>2023</x:v>
      </x:c>
      <x:c r="S175" s="14" t="n">
        <x:v>2023</x:v>
      </x:c>
      <x:c r="T175" s="14" t="n">
        <x:v>2023</x:v>
      </x:c>
      <x:c r="U175" s="14" t="str">
        <x:v>Explicit source first year retained</x:v>
      </x:c>
      <x:c r="V175" s="14" t="str">
        <x:v>Earliest supplied year is 2023.</x:v>
      </x:c>
      <x:c r="W175" s="14"/>
      <x:c r="X175" s="14" t="str">
        <x:v>Included</x:v>
      </x:c>
      <x:c r="Y175" s="14"/>
      <x:c r="Z175" s="14" t="str">
        <x:v>Sister Boniface Mysteries.docx</x:v>
      </x:c>
      <x:c r="AA1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BritBox UK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38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0.02631578947368421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tt15407098|nm4392221|leigh matthews</x:v>
      </x:c>
      <x:c r="B176" s="14" t="str">
        <x:v>05</x:v>
      </x:c>
      <x:c r="C176" s="14" t="str">
        <x:v>2022_IMDb_Cast_Lists_Batch_05(1).xlsx</x:v>
      </x:c>
      <x:c r="D176" s="14" t="str">
        <x:v>Sister Boniface Mysteries</x:v>
      </x:c>
      <x:c r="E176" s="14" t="n">
        <x:v>147</x:v>
      </x:c>
      <x:c r="F176" s="14" t="str">
        <x:v>Sister Boniface Mysteries</x:v>
      </x:c>
      <x:c r="G176" s="14" t="str">
        <x:v>tt15407098</x:v>
      </x:c>
      <x:c r="H176" s="14" t="n">
        <x:v>2022</x:v>
      </x:c>
      <x:c r="I176" s="14" t="n">
        <x:v>2023</x:v>
      </x:c>
      <x:c r="J176" s="14" t="str">
        <x:v>Earlier-Production Carry-In Cohort</x:v>
      </x:c>
      <x:c r="K176" s="14" t="n">
        <x:v>2022</x:v>
      </x:c>
      <x:c r="L176" s="14" t="str">
        <x:v>Used in 2023 annual analysis</x:v>
      </x:c>
      <x:c r="M176" s="15" t="n">
        <x:v>140</x:v>
      </x:c>
      <x:c r="N176" s="14" t="str">
        <x:v>Jahannah James</x:v>
      </x:c>
      <x:c r="O176" s="14" t="str">
        <x:v>nm4392221</x:v>
      </x:c>
      <x:c r="P176" s="14" t="str">
        <x:v>Leigh Matthews</x:v>
      </x:c>
      <x:c r="Q176" s="15" t="n">
        <x:v>1</x:v>
      </x:c>
      <x:c r="R176" s="14" t="str">
        <x:v>2023</x:v>
      </x:c>
      <x:c r="S176" s="14" t="n">
        <x:v>2023</x:v>
      </x:c>
      <x:c r="T176" s="14" t="n">
        <x:v>2023</x:v>
      </x:c>
      <x:c r="U176" s="14" t="str">
        <x:v>Explicit source first year retained</x:v>
      </x:c>
      <x:c r="V176" s="14" t="str">
        <x:v>Earliest supplied year is 2023.</x:v>
      </x:c>
      <x:c r="W176" s="14"/>
      <x:c r="X176" s="14" t="str">
        <x:v>Included</x:v>
      </x:c>
      <x:c r="Y176" s="14"/>
      <x:c r="Z176" s="14" t="str">
        <x:v>Sister Boniface Mysteries.docx</x:v>
      </x:c>
      <x:c r="AA1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BritBox UK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 t="str">
        <x:v>No established-register match</x:v>
      </x:c>
      <x:c r="AT176" s="14"/>
      <x:c r="AU176" s="14"/>
      <x:c r="AV176" s="14" t="str">
        <x:v>No established apparent-disability match</x:v>
      </x:c>
      <x:c r="AW176" s="14"/>
      <x:c r="AX176" s="14" t="str">
        <x:v>No</x:v>
      </x:c>
      <x:c r="AY176" s="14" t="str">
        <x:v>Unmatched</x:v>
      </x:c>
      <x:c r="AZ176" s="14" t="str">
        <x:v>Final supplied register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38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0.02631578947368421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tt15407098|nm0753133|myrtle hunnisweet</x:v>
      </x:c>
      <x:c r="B177" s="14" t="str">
        <x:v>05</x:v>
      </x:c>
      <x:c r="C177" s="14" t="str">
        <x:v>2022_IMDb_Cast_Lists_Batch_05(1).xlsx</x:v>
      </x:c>
      <x:c r="D177" s="14" t="str">
        <x:v>Sister Boniface Mysteries</x:v>
      </x:c>
      <x:c r="E177" s="14" t="n">
        <x:v>148</x:v>
      </x:c>
      <x:c r="F177" s="14" t="str">
        <x:v>Sister Boniface Mysteries</x:v>
      </x:c>
      <x:c r="G177" s="14" t="str">
        <x:v>tt15407098</x:v>
      </x:c>
      <x:c r="H177" s="14" t="n">
        <x:v>2022</x:v>
      </x:c>
      <x:c r="I177" s="14" t="n">
        <x:v>2023</x:v>
      </x:c>
      <x:c r="J177" s="14" t="str">
        <x:v>Earlier-Production Carry-In Cohort</x:v>
      </x:c>
      <x:c r="K177" s="14" t="n">
        <x:v>2022</x:v>
      </x:c>
      <x:c r="L177" s="14" t="str">
        <x:v>Used in 2023 annual analysis</x:v>
      </x:c>
      <x:c r="M177" s="15" t="n">
        <x:v>141</x:v>
      </x:c>
      <x:c r="N177" s="14" t="str">
        <x:v>Penny Ryder</x:v>
      </x:c>
      <x:c r="O177" s="14" t="str">
        <x:v>nm0753133</x:v>
      </x:c>
      <x:c r="P177" s="14" t="str">
        <x:v>Myrtle Hunnisweet</x:v>
      </x:c>
      <x:c r="Q177" s="15" t="n">
        <x:v>1</x:v>
      </x:c>
      <x:c r="R177" s="14" t="str">
        <x:v>2023</x:v>
      </x:c>
      <x:c r="S177" s="14" t="n">
        <x:v>2023</x:v>
      </x:c>
      <x:c r="T177" s="14" t="n">
        <x:v>2023</x:v>
      </x:c>
      <x:c r="U177" s="14" t="str">
        <x:v>Explicit source first year retained</x:v>
      </x:c>
      <x:c r="V177" s="14" t="str">
        <x:v>Earliest supplied year is 2023.</x:v>
      </x:c>
      <x:c r="W177" s="14"/>
      <x:c r="X177" s="14" t="str">
        <x:v>Included</x:v>
      </x:c>
      <x:c r="Y177" s="14"/>
      <x:c r="Z177" s="14" t="str">
        <x:v>Sister Boniface Mysteries.docx</x:v>
      </x:c>
      <x:c r="AA1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BritBox UK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 t="str">
        <x:v>No established-register match</x:v>
      </x:c>
      <x:c r="AT177" s="14"/>
      <x:c r="AU177" s="14"/>
      <x:c r="AV177" s="14" t="str">
        <x:v>No established apparent-disability match</x:v>
      </x:c>
      <x:c r="AW177" s="14"/>
      <x:c r="AX177" s="14" t="str">
        <x:v>No</x:v>
      </x:c>
      <x:c r="AY177" s="14" t="str">
        <x:v>Unmatched</x:v>
      </x:c>
      <x:c r="AZ177" s="14" t="str">
        <x:v>Final supplied register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38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0.02631578947368421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tt15407098|nm11240198|myrna potts</x:v>
      </x:c>
      <x:c r="B178" s="14" t="str">
        <x:v>05</x:v>
      </x:c>
      <x:c r="C178" s="14" t="str">
        <x:v>2022_IMDb_Cast_Lists_Batch_05(1).xlsx</x:v>
      </x:c>
      <x:c r="D178" s="14" t="str">
        <x:v>Sister Boniface Mysteries</x:v>
      </x:c>
      <x:c r="E178" s="14" t="n">
        <x:v>149</x:v>
      </x:c>
      <x:c r="F178" s="14" t="str">
        <x:v>Sister Boniface Mysteries</x:v>
      </x:c>
      <x:c r="G178" s="14" t="str">
        <x:v>tt15407098</x:v>
      </x:c>
      <x:c r="H178" s="14" t="n">
        <x:v>2022</x:v>
      </x:c>
      <x:c r="I178" s="14" t="n">
        <x:v>2023</x:v>
      </x:c>
      <x:c r="J178" s="14" t="str">
        <x:v>Earlier-Production Carry-In Cohort</x:v>
      </x:c>
      <x:c r="K178" s="14" t="n">
        <x:v>2022</x:v>
      </x:c>
      <x:c r="L178" s="14" t="str">
        <x:v>Used in 2023 annual analysis</x:v>
      </x:c>
      <x:c r="M178" s="15" t="n">
        <x:v>142</x:v>
      </x:c>
      <x:c r="N178" s="14" t="str">
        <x:v>Laurel Waghorn</x:v>
      </x:c>
      <x:c r="O178" s="14" t="str">
        <x:v>nm11240198</x:v>
      </x:c>
      <x:c r="P178" s="14" t="str">
        <x:v>Myrna Potts</x:v>
      </x:c>
      <x:c r="Q178" s="15" t="n">
        <x:v>1</x:v>
      </x:c>
      <x:c r="R178" s="14" t="str">
        <x:v>2023</x:v>
      </x:c>
      <x:c r="S178" s="14" t="n">
        <x:v>2023</x:v>
      </x:c>
      <x:c r="T178" s="14" t="n">
        <x:v>2023</x:v>
      </x:c>
      <x:c r="U178" s="14" t="str">
        <x:v>Explicit source first year retained</x:v>
      </x:c>
      <x:c r="V178" s="14" t="str">
        <x:v>Earliest supplied year is 2023.</x:v>
      </x:c>
      <x:c r="W178" s="14"/>
      <x:c r="X178" s="14" t="str">
        <x:v>Included</x:v>
      </x:c>
      <x:c r="Y178" s="14"/>
      <x:c r="Z178" s="14" t="str">
        <x:v>Sister Boniface Mysteries.docx</x:v>
      </x:c>
      <x:c r="AA1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BritBox UK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 t="str">
        <x:v>No established-register match</x:v>
      </x:c>
      <x:c r="AT178" s="14"/>
      <x:c r="AU178" s="14"/>
      <x:c r="AV178" s="14" t="str">
        <x:v>No established apparent-disability match</x:v>
      </x:c>
      <x:c r="AW178" s="14"/>
      <x:c r="AX178" s="14" t="str">
        <x:v>No</x:v>
      </x:c>
      <x:c r="AY178" s="14" t="str">
        <x:v>Unmatched</x:v>
      </x:c>
      <x:c r="AZ178" s="14" t="str">
        <x:v>Final supplied register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38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0.02631578947368421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tt15407098|nm0861027|leonard monk</x:v>
      </x:c>
      <x:c r="B179" s="14" t="str">
        <x:v>05</x:v>
      </x:c>
      <x:c r="C179" s="14" t="str">
        <x:v>2022_IMDb_Cast_Lists_Batch_05(1).xlsx</x:v>
      </x:c>
      <x:c r="D179" s="14" t="str">
        <x:v>Sister Boniface Mysteries</x:v>
      </x:c>
      <x:c r="E179" s="14" t="n">
        <x:v>159</x:v>
      </x:c>
      <x:c r="F179" s="14" t="str">
        <x:v>Sister Boniface Mysteries</x:v>
      </x:c>
      <x:c r="G179" s="14" t="str">
        <x:v>tt15407098</x:v>
      </x:c>
      <x:c r="H179" s="14" t="n">
        <x:v>2022</x:v>
      </x:c>
      <x:c r="I179" s="14" t="n">
        <x:v>2023</x:v>
      </x:c>
      <x:c r="J179" s="14" t="str">
        <x:v>Earlier-Production Carry-In Cohort</x:v>
      </x:c>
      <x:c r="K179" s="14" t="n">
        <x:v>2022</x:v>
      </x:c>
      <x:c r="L179" s="14" t="str">
        <x:v>Used in 2023 annual analysis</x:v>
      </x:c>
      <x:c r="M179" s="15" t="n">
        <x:v>152</x:v>
      </x:c>
      <x:c r="N179" s="14" t="str">
        <x:v>John Thomson</x:v>
      </x:c>
      <x:c r="O179" s="14" t="str">
        <x:v>nm0861027</x:v>
      </x:c>
      <x:c r="P179" s="14" t="str">
        <x:v>Leonard Monk</x:v>
      </x:c>
      <x:c r="Q179" s="15" t="n">
        <x:v>1</x:v>
      </x:c>
      <x:c r="R179" s="14" t="str">
        <x:v>2023</x:v>
      </x:c>
      <x:c r="S179" s="14" t="n">
        <x:v>2023</x:v>
      </x:c>
      <x:c r="T179" s="14" t="n">
        <x:v>2023</x:v>
      </x:c>
      <x:c r="U179" s="14" t="str">
        <x:v>Explicit source first year retained</x:v>
      </x:c>
      <x:c r="V179" s="14" t="str">
        <x:v>Earliest supplied year is 2023.</x:v>
      </x:c>
      <x:c r="W179" s="14"/>
      <x:c r="X179" s="14" t="str">
        <x:v>Included</x:v>
      </x:c>
      <x:c r="Y179" s="14"/>
      <x:c r="Z179" s="14" t="str">
        <x:v>Sister Boniface Mysteries.docx</x:v>
      </x:c>
      <x:c r="AA1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BritBox UK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 t="str">
        <x:v>No established-register match</x:v>
      </x:c>
      <x:c r="AT179" s="14"/>
      <x:c r="AU179" s="14"/>
      <x:c r="AV179" s="14" t="str">
        <x:v>No established apparent-disability match</x:v>
      </x:c>
      <x:c r="AW179" s="14"/>
      <x:c r="AX179" s="14" t="str">
        <x:v>No</x:v>
      </x:c>
      <x:c r="AY179" s="14" t="str">
        <x:v>Unmatched</x:v>
      </x:c>
      <x:c r="AZ179" s="14" t="str">
        <x:v>Final supplied register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38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0.02631578947368421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tt15407098|nm2132319|nadiya whitlock</x:v>
      </x:c>
      <x:c r="B180" s="14" t="str">
        <x:v>05</x:v>
      </x:c>
      <x:c r="C180" s="14" t="str">
        <x:v>2022_IMDb_Cast_Lists_Batch_05(1).xlsx</x:v>
      </x:c>
      <x:c r="D180" s="14" t="str">
        <x:v>Sister Boniface Mysteries</x:v>
      </x:c>
      <x:c r="E180" s="14" t="n">
        <x:v>160</x:v>
      </x:c>
      <x:c r="F180" s="14" t="str">
        <x:v>Sister Boniface Mysteries</x:v>
      </x:c>
      <x:c r="G180" s="14" t="str">
        <x:v>tt15407098</x:v>
      </x:c>
      <x:c r="H180" s="14" t="n">
        <x:v>2022</x:v>
      </x:c>
      <x:c r="I180" s="14" t="n">
        <x:v>2023</x:v>
      </x:c>
      <x:c r="J180" s="14" t="str">
        <x:v>Earlier-Production Carry-In Cohort</x:v>
      </x:c>
      <x:c r="K180" s="14" t="n">
        <x:v>2022</x:v>
      </x:c>
      <x:c r="L180" s="14" t="str">
        <x:v>Used in 2023 annual analysis</x:v>
      </x:c>
      <x:c r="M180" s="15" t="n">
        <x:v>153</x:v>
      </x:c>
      <x:c r="N180" s="14" t="str">
        <x:v>Andreea Paduraru</x:v>
      </x:c>
      <x:c r="O180" s="14" t="str">
        <x:v>nm2132319</x:v>
      </x:c>
      <x:c r="P180" s="14" t="str">
        <x:v>Nadiya Whitlock</x:v>
      </x:c>
      <x:c r="Q180" s="15" t="n">
        <x:v>1</x:v>
      </x:c>
      <x:c r="R180" s="14" t="str">
        <x:v>2023</x:v>
      </x:c>
      <x:c r="S180" s="14" t="n">
        <x:v>2023</x:v>
      </x:c>
      <x:c r="T180" s="14" t="n">
        <x:v>2023</x:v>
      </x:c>
      <x:c r="U180" s="14" t="str">
        <x:v>Explicit source first year retained</x:v>
      </x:c>
      <x:c r="V180" s="14" t="str">
        <x:v>Earliest supplied year is 2023.</x:v>
      </x:c>
      <x:c r="W180" s="14"/>
      <x:c r="X180" s="14" t="str">
        <x:v>Included</x:v>
      </x:c>
      <x:c r="Y180" s="14"/>
      <x:c r="Z180" s="14" t="str">
        <x:v>Sister Boniface Mysteries.docx</x:v>
      </x:c>
      <x:c r="AA1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BritBox UK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 t="str">
        <x:v>No established-register match</x:v>
      </x:c>
      <x:c r="AT180" s="14"/>
      <x:c r="AU180" s="14"/>
      <x:c r="AV180" s="14" t="str">
        <x:v>No established apparent-disability match</x:v>
      </x:c>
      <x:c r="AW180" s="14"/>
      <x:c r="AX180" s="14" t="str">
        <x:v>No</x:v>
      </x:c>
      <x:c r="AY180" s="14" t="str">
        <x:v>Unmatched</x:v>
      </x:c>
      <x:c r="AZ180" s="14" t="str">
        <x:v>Final supplied register</x:v>
      </x:c>
      <x:c r="BA180" s="14" t="str">
        <x:v>Absence from the register is not evidence that the performer is not disabled.</x:v>
      </x:c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38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0.02631578947368421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tt15407098|nm0290344|victor goodbody</x:v>
      </x:c>
      <x:c r="B181" s="14" t="str">
        <x:v>05</x:v>
      </x:c>
      <x:c r="C181" s="14" t="str">
        <x:v>2022_IMDb_Cast_Lists_Batch_05(1).xlsx</x:v>
      </x:c>
      <x:c r="D181" s="14" t="str">
        <x:v>Sister Boniface Mysteries</x:v>
      </x:c>
      <x:c r="E181" s="14" t="n">
        <x:v>161</x:v>
      </x:c>
      <x:c r="F181" s="14" t="str">
        <x:v>Sister Boniface Mysteries</x:v>
      </x:c>
      <x:c r="G181" s="14" t="str">
        <x:v>tt15407098</x:v>
      </x:c>
      <x:c r="H181" s="14" t="n">
        <x:v>2022</x:v>
      </x:c>
      <x:c r="I181" s="14" t="n">
        <x:v>2023</x:v>
      </x:c>
      <x:c r="J181" s="14" t="str">
        <x:v>Earlier-Production Carry-In Cohort</x:v>
      </x:c>
      <x:c r="K181" s="14" t="n">
        <x:v>2022</x:v>
      </x:c>
      <x:c r="L181" s="14" t="str">
        <x:v>Used in 2023 annual analysis</x:v>
      </x:c>
      <x:c r="M181" s="15" t="n">
        <x:v>154</x:v>
      </x:c>
      <x:c r="N181" s="14" t="str">
        <x:v>Tim Frances</x:v>
      </x:c>
      <x:c r="O181" s="14" t="str">
        <x:v>nm0290344</x:v>
      </x:c>
      <x:c r="P181" s="14" t="str">
        <x:v>Victor Goodbody</x:v>
      </x:c>
      <x:c r="Q181" s="15" t="n">
        <x:v>1</x:v>
      </x:c>
      <x:c r="R181" s="14" t="str">
        <x:v>2023</x:v>
      </x:c>
      <x:c r="S181" s="14" t="n">
        <x:v>2023</x:v>
      </x:c>
      <x:c r="T181" s="14" t="n">
        <x:v>2023</x:v>
      </x:c>
      <x:c r="U181" s="14" t="str">
        <x:v>Explicit source first year retained</x:v>
      </x:c>
      <x:c r="V181" s="14" t="str">
        <x:v>Earliest supplied year is 2023.</x:v>
      </x:c>
      <x:c r="W181" s="14"/>
      <x:c r="X181" s="14" t="str">
        <x:v>Included</x:v>
      </x:c>
      <x:c r="Y181" s="14"/>
      <x:c r="Z181" s="14" t="str">
        <x:v>Sister Boniface Mysteries.docx</x:v>
      </x:c>
      <x:c r="AA1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BritBox UK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 t="str">
        <x:v>No established-register match</x:v>
      </x:c>
      <x:c r="AT181" s="14"/>
      <x:c r="AU181" s="14"/>
      <x:c r="AV181" s="14" t="str">
        <x:v>No established apparent-disability match</x:v>
      </x:c>
      <x:c r="AW181" s="14"/>
      <x:c r="AX181" s="14" t="str">
        <x:v>No</x:v>
      </x:c>
      <x:c r="AY181" s="14" t="str">
        <x:v>Unmatched</x:v>
      </x:c>
      <x:c r="AZ181" s="14" t="str">
        <x:v>Final supplied register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38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0.02631578947368421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tt15407098|nm0148738|anthony whitlock</x:v>
      </x:c>
      <x:c r="B182" s="14" t="str">
        <x:v>05</x:v>
      </x:c>
      <x:c r="C182" s="14" t="str">
        <x:v>2022_IMDb_Cast_Lists_Batch_05(1).xlsx</x:v>
      </x:c>
      <x:c r="D182" s="14" t="str">
        <x:v>Sister Boniface Mysteries</x:v>
      </x:c>
      <x:c r="E182" s="14" t="n">
        <x:v>172</x:v>
      </x:c>
      <x:c r="F182" s="14" t="str">
        <x:v>Sister Boniface Mysteries</x:v>
      </x:c>
      <x:c r="G182" s="14" t="str">
        <x:v>tt15407098</x:v>
      </x:c>
      <x:c r="H182" s="14" t="n">
        <x:v>2022</x:v>
      </x:c>
      <x:c r="I182" s="14" t="n">
        <x:v>2023</x:v>
      </x:c>
      <x:c r="J182" s="14" t="str">
        <x:v>Earlier-Production Carry-In Cohort</x:v>
      </x:c>
      <x:c r="K182" s="14" t="n">
        <x:v>2022</x:v>
      </x:c>
      <x:c r="L182" s="14" t="str">
        <x:v>Used in 2023 annual analysis</x:v>
      </x:c>
      <x:c r="M182" s="15" t="n">
        <x:v>165</x:v>
      </x:c>
      <x:c r="N182" s="14" t="str">
        <x:v>Daniel Cerqueira</x:v>
      </x:c>
      <x:c r="O182" s="14" t="str">
        <x:v>nm0148738</x:v>
      </x:c>
      <x:c r="P182" s="14" t="str">
        <x:v>Anthony Whitlock</x:v>
      </x:c>
      <x:c r="Q182" s="15" t="n">
        <x:v>1</x:v>
      </x:c>
      <x:c r="R182" s="14" t="str">
        <x:v>2023</x:v>
      </x:c>
      <x:c r="S182" s="14" t="n">
        <x:v>2023</x:v>
      </x:c>
      <x:c r="T182" s="14" t="n">
        <x:v>2023</x:v>
      </x:c>
      <x:c r="U182" s="14" t="str">
        <x:v>Explicit source first year retained</x:v>
      </x:c>
      <x:c r="V182" s="14" t="str">
        <x:v>Earliest supplied year is 2023.</x:v>
      </x:c>
      <x:c r="W182" s="14"/>
      <x:c r="X182" s="14" t="str">
        <x:v>Included</x:v>
      </x:c>
      <x:c r="Y182" s="14"/>
      <x:c r="Z182" s="14" t="str">
        <x:v>Sister Boniface Mysteries.docx</x:v>
      </x:c>
      <x:c r="AA1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BritBox UK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 t="str">
        <x:v>No established-register match</x:v>
      </x:c>
      <x:c r="AT182" s="14"/>
      <x:c r="AU182" s="14"/>
      <x:c r="AV182" s="14" t="str">
        <x:v>No established apparent-disability match</x:v>
      </x:c>
      <x:c r="AW182" s="14"/>
      <x:c r="AX182" s="14" t="str">
        <x:v>No</x:v>
      </x:c>
      <x:c r="AY182" s="14" t="str">
        <x:v>Unmatched</x:v>
      </x:c>
      <x:c r="AZ182" s="14" t="str">
        <x:v>Final supplied register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38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1</x:v>
      </x:c>
      <x:c r="BS182" s="16" t="n">
        <x:v>0.02631578947368421</x:v>
      </x:c>
      <x:c r="BT182" s="14" t="str">
        <x:v>One episode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tt15407098|nm1638211|connie dumas</x:v>
      </x:c>
      <x:c r="B183" s="14" t="str">
        <x:v>05</x:v>
      </x:c>
      <x:c r="C183" s="14" t="str">
        <x:v>2022_IMDb_Cast_Lists_Batch_05(1).xlsx</x:v>
      </x:c>
      <x:c r="D183" s="14" t="str">
        <x:v>Sister Boniface Mysteries</x:v>
      </x:c>
      <x:c r="E183" s="14" t="n">
        <x:v>173</x:v>
      </x:c>
      <x:c r="F183" s="14" t="str">
        <x:v>Sister Boniface Mysteries</x:v>
      </x:c>
      <x:c r="G183" s="14" t="str">
        <x:v>tt15407098</x:v>
      </x:c>
      <x:c r="H183" s="14" t="n">
        <x:v>2022</x:v>
      </x:c>
      <x:c r="I183" s="14" t="n">
        <x:v>2023</x:v>
      </x:c>
      <x:c r="J183" s="14" t="str">
        <x:v>Earlier-Production Carry-In Cohort</x:v>
      </x:c>
      <x:c r="K183" s="14" t="n">
        <x:v>2022</x:v>
      </x:c>
      <x:c r="L183" s="14" t="str">
        <x:v>Used in 2023 annual analysis</x:v>
      </x:c>
      <x:c r="M183" s="15" t="n">
        <x:v>166</x:v>
      </x:c>
      <x:c r="N183" s="14" t="str">
        <x:v>Sarah Moyle</x:v>
      </x:c>
      <x:c r="O183" s="14" t="str">
        <x:v>nm1638211</x:v>
      </x:c>
      <x:c r="P183" s="14" t="str">
        <x:v>Connie Dumas</x:v>
      </x:c>
      <x:c r="Q183" s="15" t="n">
        <x:v>1</x:v>
      </x:c>
      <x:c r="R183" s="14" t="str">
        <x:v>2023</x:v>
      </x:c>
      <x:c r="S183" s="14" t="n">
        <x:v>2023</x:v>
      </x:c>
      <x:c r="T183" s="14" t="n">
        <x:v>2023</x:v>
      </x:c>
      <x:c r="U183" s="14" t="str">
        <x:v>Explicit source first year retained</x:v>
      </x:c>
      <x:c r="V183" s="14" t="str">
        <x:v>Earliest supplied year is 2023.</x:v>
      </x:c>
      <x:c r="W183" s="14"/>
      <x:c r="X183" s="14" t="str">
        <x:v>Included</x:v>
      </x:c>
      <x:c r="Y183" s="14"/>
      <x:c r="Z183" s="14" t="str">
        <x:v>Sister Boniface Mysteries.docx</x:v>
      </x:c>
      <x:c r="AA1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BritBox UK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 t="str">
        <x:v>No established-register match</x:v>
      </x:c>
      <x:c r="AT183" s="14"/>
      <x:c r="AU183" s="14"/>
      <x:c r="AV183" s="14" t="str">
        <x:v>No established apparent-disability match</x:v>
      </x:c>
      <x:c r="AW183" s="14"/>
      <x:c r="AX183" s="14" t="str">
        <x:v>No</x:v>
      </x:c>
      <x:c r="AY183" s="14" t="str">
        <x:v>Unmatched</x:v>
      </x:c>
      <x:c r="AZ183" s="14" t="str">
        <x:v>Final supplied register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38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1</x:v>
      </x:c>
      <x:c r="BS183" s="16" t="n">
        <x:v>0.02631578947368421</x:v>
      </x:c>
      <x:c r="BT183" s="14" t="str">
        <x:v>One episode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tt15407098|nm0101424|quentin waterford</x:v>
      </x:c>
      <x:c r="B184" s="14" t="str">
        <x:v>05</x:v>
      </x:c>
      <x:c r="C184" s="14" t="str">
        <x:v>2022_IMDb_Cast_Lists_Batch_05(1).xlsx</x:v>
      </x:c>
      <x:c r="D184" s="14" t="str">
        <x:v>Sister Boniface Mysteries</x:v>
      </x:c>
      <x:c r="E184" s="14" t="n">
        <x:v>186</x:v>
      </x:c>
      <x:c r="F184" s="14" t="str">
        <x:v>Sister Boniface Mysteries</x:v>
      </x:c>
      <x:c r="G184" s="14" t="str">
        <x:v>tt15407098</x:v>
      </x:c>
      <x:c r="H184" s="14" t="n">
        <x:v>2022</x:v>
      </x:c>
      <x:c r="I184" s="14" t="n">
        <x:v>2023</x:v>
      </x:c>
      <x:c r="J184" s="14" t="str">
        <x:v>Earlier-Production Carry-In Cohort</x:v>
      </x:c>
      <x:c r="K184" s="14" t="n">
        <x:v>2022</x:v>
      </x:c>
      <x:c r="L184" s="14" t="str">
        <x:v>Used in 2023 annual analysis</x:v>
      </x:c>
      <x:c r="M184" s="15" t="n">
        <x:v>179</x:v>
      </x:c>
      <x:c r="N184" s="14" t="str">
        <x:v>Paul Bown</x:v>
      </x:c>
      <x:c r="O184" s="14" t="str">
        <x:v>nm0101424</x:v>
      </x:c>
      <x:c r="P184" s="14" t="str">
        <x:v>Quentin Waterford</x:v>
      </x:c>
      <x:c r="Q184" s="15" t="n">
        <x:v>1</x:v>
      </x:c>
      <x:c r="R184" s="14" t="str">
        <x:v>2023</x:v>
      </x:c>
      <x:c r="S184" s="14" t="n">
        <x:v>2023</x:v>
      </x:c>
      <x:c r="T184" s="14" t="n">
        <x:v>2023</x:v>
      </x:c>
      <x:c r="U184" s="14" t="str">
        <x:v>Explicit source first year retained</x:v>
      </x:c>
      <x:c r="V184" s="14" t="str">
        <x:v>Earliest supplied year is 2023.</x:v>
      </x:c>
      <x:c r="W184" s="14"/>
      <x:c r="X184" s="14" t="str">
        <x:v>Included</x:v>
      </x:c>
      <x:c r="Y184" s="14"/>
      <x:c r="Z184" s="14" t="str">
        <x:v>Sister Boniface Mysteries.docx</x:v>
      </x:c>
      <x:c r="AA1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BritBox UK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 t="str">
        <x:v>No established-register match</x:v>
      </x:c>
      <x:c r="AT184" s="14"/>
      <x:c r="AU184" s="14"/>
      <x:c r="AV184" s="14" t="str">
        <x:v>No established apparent-disability match</x:v>
      </x:c>
      <x:c r="AW184" s="14"/>
      <x:c r="AX184" s="14" t="str">
        <x:v>No</x:v>
      </x:c>
      <x:c r="AY184" s="14" t="str">
        <x:v>Unmatched</x:v>
      </x:c>
      <x:c r="AZ184" s="14" t="str">
        <x:v>Final supplied register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38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1</x:v>
      </x:c>
      <x:c r="BS184" s="16" t="n">
        <x:v>0.02631578947368421</x:v>
      </x:c>
      <x:c r="BT184" s="14" t="str">
        <x:v>One episode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tt15407098|nm2957851|brenda bristow</x:v>
      </x:c>
      <x:c r="B185" s="14" t="str">
        <x:v>05</x:v>
      </x:c>
      <x:c r="C185" s="14" t="str">
        <x:v>2022_IMDb_Cast_Lists_Batch_05(1).xlsx</x:v>
      </x:c>
      <x:c r="D185" s="14" t="str">
        <x:v>Sister Boniface Mysteries</x:v>
      </x:c>
      <x:c r="E185" s="14" t="n">
        <x:v>187</x:v>
      </x:c>
      <x:c r="F185" s="14" t="str">
        <x:v>Sister Boniface Mysteries</x:v>
      </x:c>
      <x:c r="G185" s="14" t="str">
        <x:v>tt15407098</x:v>
      </x:c>
      <x:c r="H185" s="14" t="n">
        <x:v>2022</x:v>
      </x:c>
      <x:c r="I185" s="14" t="n">
        <x:v>2023</x:v>
      </x:c>
      <x:c r="J185" s="14" t="str">
        <x:v>Earlier-Production Carry-In Cohort</x:v>
      </x:c>
      <x:c r="K185" s="14" t="n">
        <x:v>2022</x:v>
      </x:c>
      <x:c r="L185" s="14" t="str">
        <x:v>Used in 2023 annual analysis</x:v>
      </x:c>
      <x:c r="M185" s="15" t="n">
        <x:v>180</x:v>
      </x:c>
      <x:c r="N185" s="14" t="str">
        <x:v>Juliet Oldfield</x:v>
      </x:c>
      <x:c r="O185" s="14" t="str">
        <x:v>nm2957851</x:v>
      </x:c>
      <x:c r="P185" s="14" t="str">
        <x:v>Brenda Bristow</x:v>
      </x:c>
      <x:c r="Q185" s="15" t="n">
        <x:v>1</x:v>
      </x:c>
      <x:c r="R185" s="14" t="str">
        <x:v>2023</x:v>
      </x:c>
      <x:c r="S185" s="14" t="n">
        <x:v>2023</x:v>
      </x:c>
      <x:c r="T185" s="14" t="n">
        <x:v>2023</x:v>
      </x:c>
      <x:c r="U185" s="14" t="str">
        <x:v>Explicit source first year retained</x:v>
      </x:c>
      <x:c r="V185" s="14" t="str">
        <x:v>Earliest supplied year is 2023.</x:v>
      </x:c>
      <x:c r="W185" s="14"/>
      <x:c r="X185" s="14" t="str">
        <x:v>Included</x:v>
      </x:c>
      <x:c r="Y185" s="14"/>
      <x:c r="Z185" s="14" t="str">
        <x:v>Sister Boniface Mysteries.docx</x:v>
      </x:c>
      <x:c r="AA1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BritBox UK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 t="str">
        <x:v>No established-register match</x:v>
      </x:c>
      <x:c r="AT185" s="14"/>
      <x:c r="AU185" s="14"/>
      <x:c r="AV185" s="14" t="str">
        <x:v>No established apparent-disability match</x:v>
      </x:c>
      <x:c r="AW185" s="14"/>
      <x:c r="AX185" s="14" t="str">
        <x:v>No</x:v>
      </x:c>
      <x:c r="AY185" s="14" t="str">
        <x:v>Unmatched</x:v>
      </x:c>
      <x:c r="AZ185" s="14" t="str">
        <x:v>Final supplied register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38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0.02631578947368421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tt15407098|nm7966041|gabriel viegas</x:v>
      </x:c>
      <x:c r="B186" s="14" t="str">
        <x:v>05</x:v>
      </x:c>
      <x:c r="C186" s="14" t="str">
        <x:v>2022_IMDb_Cast_Lists_Batch_05(1).xlsx</x:v>
      </x:c>
      <x:c r="D186" s="14" t="str">
        <x:v>Sister Boniface Mysteries</x:v>
      </x:c>
      <x:c r="E186" s="14" t="n">
        <x:v>188</x:v>
      </x:c>
      <x:c r="F186" s="14" t="str">
        <x:v>Sister Boniface Mysteries</x:v>
      </x:c>
      <x:c r="G186" s="14" t="str">
        <x:v>tt15407098</x:v>
      </x:c>
      <x:c r="H186" s="14" t="n">
        <x:v>2022</x:v>
      </x:c>
      <x:c r="I186" s="14" t="n">
        <x:v>2023</x:v>
      </x:c>
      <x:c r="J186" s="14" t="str">
        <x:v>Earlier-Production Carry-In Cohort</x:v>
      </x:c>
      <x:c r="K186" s="14" t="n">
        <x:v>2022</x:v>
      </x:c>
      <x:c r="L186" s="14" t="str">
        <x:v>Used in 2023 annual analysis</x:v>
      </x:c>
      <x:c r="M186" s="15" t="n">
        <x:v>181</x:v>
      </x:c>
      <x:c r="N186" s="14" t="str">
        <x:v>Tibu Fortes</x:v>
      </x:c>
      <x:c r="O186" s="14" t="str">
        <x:v>nm7966041</x:v>
      </x:c>
      <x:c r="P186" s="14" t="str">
        <x:v>Gabriel Viegas</x:v>
      </x:c>
      <x:c r="Q186" s="15" t="n">
        <x:v>1</x:v>
      </x:c>
      <x:c r="R186" s="14" t="str">
        <x:v>2023</x:v>
      </x:c>
      <x:c r="S186" s="14" t="n">
        <x:v>2023</x:v>
      </x:c>
      <x:c r="T186" s="14" t="n">
        <x:v>2023</x:v>
      </x:c>
      <x:c r="U186" s="14" t="str">
        <x:v>Explicit source first year retained</x:v>
      </x:c>
      <x:c r="V186" s="14" t="str">
        <x:v>Earliest supplied year is 2023.</x:v>
      </x:c>
      <x:c r="W186" s="14"/>
      <x:c r="X186" s="14" t="str">
        <x:v>Included</x:v>
      </x:c>
      <x:c r="Y186" s="14"/>
      <x:c r="Z186" s="14" t="str">
        <x:v>Sister Boniface Mysteries.docx</x:v>
      </x:c>
      <x:c r="AA1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BritBox UK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 t="str">
        <x:v>No established-register match</x:v>
      </x:c>
      <x:c r="AT186" s="14"/>
      <x:c r="AU186" s="14"/>
      <x:c r="AV186" s="14" t="str">
        <x:v>No established apparent-disability match</x:v>
      </x:c>
      <x:c r="AW186" s="14"/>
      <x:c r="AX186" s="14" t="str">
        <x:v>No</x:v>
      </x:c>
      <x:c r="AY186" s="14" t="str">
        <x:v>Unmatched</x:v>
      </x:c>
      <x:c r="AZ186" s="14" t="str">
        <x:v>Final supplied register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38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0.02631578947368421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tt15407098|nm7030314|jack denbury</x:v>
      </x:c>
      <x:c r="B187" s="14" t="str">
        <x:v>05</x:v>
      </x:c>
      <x:c r="C187" s="14" t="str">
        <x:v>2022_IMDb_Cast_Lists_Batch_05(1).xlsx</x:v>
      </x:c>
      <x:c r="D187" s="14" t="str">
        <x:v>Sister Boniface Mysteries</x:v>
      </x:c>
      <x:c r="E187" s="14" t="n">
        <x:v>198</x:v>
      </x:c>
      <x:c r="F187" s="14" t="str">
        <x:v>Sister Boniface Mysteries</x:v>
      </x:c>
      <x:c r="G187" s="14" t="str">
        <x:v>tt15407098</x:v>
      </x:c>
      <x:c r="H187" s="14" t="n">
        <x:v>2022</x:v>
      </x:c>
      <x:c r="I187" s="14" t="n">
        <x:v>2023</x:v>
      </x:c>
      <x:c r="J187" s="14" t="str">
        <x:v>Earlier-Production Carry-In Cohort</x:v>
      </x:c>
      <x:c r="K187" s="14" t="n">
        <x:v>2022</x:v>
      </x:c>
      <x:c r="L187" s="14" t="str">
        <x:v>Used in 2023 annual analysis</x:v>
      </x:c>
      <x:c r="M187" s="15" t="n">
        <x:v>191</x:v>
      </x:c>
      <x:c r="N187" s="14" t="str">
        <x:v>Tom Glenister</x:v>
      </x:c>
      <x:c r="O187" s="14" t="str">
        <x:v>nm7030314</x:v>
      </x:c>
      <x:c r="P187" s="14" t="str">
        <x:v>Jack Denbury</x:v>
      </x:c>
      <x:c r="Q187" s="15" t="n">
        <x:v>1</x:v>
      </x:c>
      <x:c r="R187" s="14" t="str">
        <x:v>2023</x:v>
      </x:c>
      <x:c r="S187" s="14" t="n">
        <x:v>2023</x:v>
      </x:c>
      <x:c r="T187" s="14" t="n">
        <x:v>2023</x:v>
      </x:c>
      <x:c r="U187" s="14" t="str">
        <x:v>Explicit source first year retained</x:v>
      </x:c>
      <x:c r="V187" s="14" t="str">
        <x:v>Earliest supplied year is 2023.</x:v>
      </x:c>
      <x:c r="W187" s="14"/>
      <x:c r="X187" s="14" t="str">
        <x:v>Included</x:v>
      </x:c>
      <x:c r="Y187" s="14"/>
      <x:c r="Z187" s="14" t="str">
        <x:v>Sister Boniface Mysteries.docx</x:v>
      </x:c>
      <x:c r="AA1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BritBox UK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 t="str">
        <x:v>No established-register match</x:v>
      </x:c>
      <x:c r="AT187" s="14"/>
      <x:c r="AU187" s="14"/>
      <x:c r="AV187" s="14" t="str">
        <x:v>No established apparent-disability match</x:v>
      </x:c>
      <x:c r="AW187" s="14"/>
      <x:c r="AX187" s="14" t="str">
        <x:v>No</x:v>
      </x:c>
      <x:c r="AY187" s="14" t="str">
        <x:v>Unmatched</x:v>
      </x:c>
      <x:c r="AZ187" s="14" t="str">
        <x:v>Final supplied register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38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</x:v>
      </x:c>
      <x:c r="BS187" s="16" t="n">
        <x:v>0.02631578947368421</x:v>
      </x:c>
      <x:c r="BT187" s="14" t="str">
        <x:v>One episode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tt15407098|nm4759846|oswald blower</x:v>
      </x:c>
      <x:c r="B188" s="14" t="str">
        <x:v>05</x:v>
      </x:c>
      <x:c r="C188" s="14" t="str">
        <x:v>2022_IMDb_Cast_Lists_Batch_05(1).xlsx</x:v>
      </x:c>
      <x:c r="D188" s="14" t="str">
        <x:v>Sister Boniface Mysteries</x:v>
      </x:c>
      <x:c r="E188" s="14" t="n">
        <x:v>199</x:v>
      </x:c>
      <x:c r="F188" s="14" t="str">
        <x:v>Sister Boniface Mysteries</x:v>
      </x:c>
      <x:c r="G188" s="14" t="str">
        <x:v>tt15407098</x:v>
      </x:c>
      <x:c r="H188" s="14" t="n">
        <x:v>2022</x:v>
      </x:c>
      <x:c r="I188" s="14" t="n">
        <x:v>2023</x:v>
      </x:c>
      <x:c r="J188" s="14" t="str">
        <x:v>Earlier-Production Carry-In Cohort</x:v>
      </x:c>
      <x:c r="K188" s="14" t="n">
        <x:v>2022</x:v>
      </x:c>
      <x:c r="L188" s="14" t="str">
        <x:v>Used in 2023 annual analysis</x:v>
      </x:c>
      <x:c r="M188" s="15" t="n">
        <x:v>192</x:v>
      </x:c>
      <x:c r="N188" s="14" t="str">
        <x:v>Robert Maskell</x:v>
      </x:c>
      <x:c r="O188" s="14" t="str">
        <x:v>nm4759846</x:v>
      </x:c>
      <x:c r="P188" s="14" t="str">
        <x:v>Oswald Blower</x:v>
      </x:c>
      <x:c r="Q188" s="15" t="n">
        <x:v>1</x:v>
      </x:c>
      <x:c r="R188" s="14" t="str">
        <x:v>2023</x:v>
      </x:c>
      <x:c r="S188" s="14" t="n">
        <x:v>2023</x:v>
      </x:c>
      <x:c r="T188" s="14" t="n">
        <x:v>2023</x:v>
      </x:c>
      <x:c r="U188" s="14" t="str">
        <x:v>Explicit source first year retained</x:v>
      </x:c>
      <x:c r="V188" s="14" t="str">
        <x:v>Earliest supplied year is 2023.</x:v>
      </x:c>
      <x:c r="W188" s="14"/>
      <x:c r="X188" s="14" t="str">
        <x:v>Included</x:v>
      </x:c>
      <x:c r="Y188" s="14"/>
      <x:c r="Z188" s="14" t="str">
        <x:v>Sister Boniface Mysteries.docx</x:v>
      </x:c>
      <x:c r="AA1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BritBox UK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38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1</x:v>
      </x:c>
      <x:c r="BS188" s="16" t="n">
        <x:v>0.02631578947368421</x:v>
      </x:c>
      <x:c r="BT188" s="14" t="str">
        <x:v>One episode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tt15407098|nm0740383|verity martin</x:v>
      </x:c>
      <x:c r="B189" s="14" t="str">
        <x:v>05</x:v>
      </x:c>
      <x:c r="C189" s="14" t="str">
        <x:v>2022_IMDb_Cast_Lists_Batch_05(1).xlsx</x:v>
      </x:c>
      <x:c r="D189" s="14" t="str">
        <x:v>Sister Boniface Mysteries</x:v>
      </x:c>
      <x:c r="E189" s="14" t="n">
        <x:v>208</x:v>
      </x:c>
      <x:c r="F189" s="14" t="str">
        <x:v>Sister Boniface Mysteries</x:v>
      </x:c>
      <x:c r="G189" s="14" t="str">
        <x:v>tt15407098</x:v>
      </x:c>
      <x:c r="H189" s="14" t="n">
        <x:v>2022</x:v>
      </x:c>
      <x:c r="I189" s="14" t="n">
        <x:v>2023</x:v>
      </x:c>
      <x:c r="J189" s="14" t="str">
        <x:v>Earlier-Production Carry-In Cohort</x:v>
      </x:c>
      <x:c r="K189" s="14" t="n">
        <x:v>2022</x:v>
      </x:c>
      <x:c r="L189" s="14" t="str">
        <x:v>Used in 2023 annual analysis</x:v>
      </x:c>
      <x:c r="M189" s="15" t="n">
        <x:v>201</x:v>
      </x:c>
      <x:c r="N189" s="14" t="str">
        <x:v>Jemima Rooper</x:v>
      </x:c>
      <x:c r="O189" s="14" t="str">
        <x:v>nm0740383</x:v>
      </x:c>
      <x:c r="P189" s="14" t="str">
        <x:v>Verity Martin</x:v>
      </x:c>
      <x:c r="Q189" s="15" t="n">
        <x:v>1</x:v>
      </x:c>
      <x:c r="R189" s="14" t="str">
        <x:v>2023</x:v>
      </x:c>
      <x:c r="S189" s="14" t="n">
        <x:v>2023</x:v>
      </x:c>
      <x:c r="T189" s="14" t="n">
        <x:v>2023</x:v>
      </x:c>
      <x:c r="U189" s="14" t="str">
        <x:v>Explicit source first year retained</x:v>
      </x:c>
      <x:c r="V189" s="14" t="str">
        <x:v>Earliest supplied year is 2023.</x:v>
      </x:c>
      <x:c r="W189" s="14"/>
      <x:c r="X189" s="14" t="str">
        <x:v>Included</x:v>
      </x:c>
      <x:c r="Y189" s="14"/>
      <x:c r="Z189" s="14" t="str">
        <x:v>Sister Boniface Mysteries.docx</x:v>
      </x:c>
      <x:c r="AA1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BritBox UK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38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1</x:v>
      </x:c>
      <x:c r="BS189" s="16" t="n">
        <x:v>0.02631578947368421</x:v>
      </x:c>
      <x:c r="BT189" s="14" t="str">
        <x:v>One episode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tt15407098|nm11478130|evelyn thurleigh</x:v>
      </x:c>
      <x:c r="B190" s="14" t="str">
        <x:v>05</x:v>
      </x:c>
      <x:c r="C190" s="14" t="str">
        <x:v>2022_IMDb_Cast_Lists_Batch_05(1).xlsx</x:v>
      </x:c>
      <x:c r="D190" s="14" t="str">
        <x:v>Sister Boniface Mysteries</x:v>
      </x:c>
      <x:c r="E190" s="14" t="n">
        <x:v>209</x:v>
      </x:c>
      <x:c r="F190" s="14" t="str">
        <x:v>Sister Boniface Mysteries</x:v>
      </x:c>
      <x:c r="G190" s="14" t="str">
        <x:v>tt15407098</x:v>
      </x:c>
      <x:c r="H190" s="14" t="n">
        <x:v>2022</x:v>
      </x:c>
      <x:c r="I190" s="14" t="n">
        <x:v>2023</x:v>
      </x:c>
      <x:c r="J190" s="14" t="str">
        <x:v>Earlier-Production Carry-In Cohort</x:v>
      </x:c>
      <x:c r="K190" s="14" t="n">
        <x:v>2022</x:v>
      </x:c>
      <x:c r="L190" s="14" t="str">
        <x:v>Used in 2023 annual analysis</x:v>
      </x:c>
      <x:c r="M190" s="15" t="n">
        <x:v>202</x:v>
      </x:c>
      <x:c r="N190" s="14" t="str">
        <x:v>Jonny Khan</x:v>
      </x:c>
      <x:c r="O190" s="14" t="str">
        <x:v>nm11478130</x:v>
      </x:c>
      <x:c r="P190" s="14" t="str">
        <x:v>Evelyn Thurleigh</x:v>
      </x:c>
      <x:c r="Q190" s="15" t="n">
        <x:v>1</x:v>
      </x:c>
      <x:c r="R190" s="14" t="str">
        <x:v>2023</x:v>
      </x:c>
      <x:c r="S190" s="14" t="n">
        <x:v>2023</x:v>
      </x:c>
      <x:c r="T190" s="14" t="n">
        <x:v>2023</x:v>
      </x:c>
      <x:c r="U190" s="14" t="str">
        <x:v>Explicit source first year retained</x:v>
      </x:c>
      <x:c r="V190" s="14" t="str">
        <x:v>Earliest supplied year is 2023.</x:v>
      </x:c>
      <x:c r="W190" s="14"/>
      <x:c r="X190" s="14" t="str">
        <x:v>Included</x:v>
      </x:c>
      <x:c r="Y190" s="14"/>
      <x:c r="Z190" s="14" t="str">
        <x:v>Sister Boniface Mysteries.docx</x:v>
      </x:c>
      <x:c r="AA1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BritBox UK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38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1</x:v>
      </x:c>
      <x:c r="BS190" s="16" t="n">
        <x:v>0.02631578947368421</x:v>
      </x:c>
      <x:c r="BT190" s="14" t="str">
        <x:v>One episode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tt15407098|nm1841006|moses valentino</x:v>
      </x:c>
      <x:c r="B191" s="14" t="str">
        <x:v>05</x:v>
      </x:c>
      <x:c r="C191" s="14" t="str">
        <x:v>2022_IMDb_Cast_Lists_Batch_05(1).xlsx</x:v>
      </x:c>
      <x:c r="D191" s="14" t="str">
        <x:v>Sister Boniface Mysteries</x:v>
      </x:c>
      <x:c r="E191" s="14" t="n">
        <x:v>214</x:v>
      </x:c>
      <x:c r="F191" s="14" t="str">
        <x:v>Sister Boniface Mysteries</x:v>
      </x:c>
      <x:c r="G191" s="14" t="str">
        <x:v>tt15407098</x:v>
      </x:c>
      <x:c r="H191" s="14" t="n">
        <x:v>2022</x:v>
      </x:c>
      <x:c r="I191" s="14" t="n">
        <x:v>2023</x:v>
      </x:c>
      <x:c r="J191" s="14" t="str">
        <x:v>Earlier-Production Carry-In Cohort</x:v>
      </x:c>
      <x:c r="K191" s="14" t="n">
        <x:v>2022</x:v>
      </x:c>
      <x:c r="L191" s="14" t="str">
        <x:v>Used in 2023 annual analysis</x:v>
      </x:c>
      <x:c r="M191" s="15" t="n">
        <x:v>207</x:v>
      </x:c>
      <x:c r="N191" s="14" t="str">
        <x:v>Brendan Howley</x:v>
      </x:c>
      <x:c r="O191" s="14" t="str">
        <x:v>nm1841006</x:v>
      </x:c>
      <x:c r="P191" s="14" t="str">
        <x:v>Moses Valentino</x:v>
      </x:c>
      <x:c r="Q191" s="15" t="n">
        <x:v>1</x:v>
      </x:c>
      <x:c r="R191" s="14" t="str">
        <x:v>2023</x:v>
      </x:c>
      <x:c r="S191" s="14" t="n">
        <x:v>2023</x:v>
      </x:c>
      <x:c r="T191" s="14" t="n">
        <x:v>2023</x:v>
      </x:c>
      <x:c r="U191" s="14" t="str">
        <x:v>Explicit source first year retained</x:v>
      </x:c>
      <x:c r="V191" s="14" t="str">
        <x:v>Earliest supplied year is 2023.</x:v>
      </x:c>
      <x:c r="W191" s="14"/>
      <x:c r="X191" s="14" t="str">
        <x:v>Included</x:v>
      </x:c>
      <x:c r="Y191" s="14"/>
      <x:c r="Z191" s="14" t="str">
        <x:v>Sister Boniface Mysteries.docx</x:v>
      </x:c>
      <x:c r="AA1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BritBox UK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38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1</x:v>
      </x:c>
      <x:c r="BS191" s="16" t="n">
        <x:v>0.02631578947368421</x:v>
      </x:c>
      <x:c r="BT191" s="14" t="str">
        <x:v>One episode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tt15407098|nm11528499|carol cooper</x:v>
      </x:c>
      <x:c r="B192" s="14" t="str">
        <x:v>05</x:v>
      </x:c>
      <x:c r="C192" s="14" t="str">
        <x:v>2022_IMDb_Cast_Lists_Batch_05(1).xlsx</x:v>
      </x:c>
      <x:c r="D192" s="14" t="str">
        <x:v>Sister Boniface Mysteries</x:v>
      </x:c>
      <x:c r="E192" s="14" t="n">
        <x:v>215</x:v>
      </x:c>
      <x:c r="F192" s="14" t="str">
        <x:v>Sister Boniface Mysteries</x:v>
      </x:c>
      <x:c r="G192" s="14" t="str">
        <x:v>tt15407098</x:v>
      </x:c>
      <x:c r="H192" s="14" t="n">
        <x:v>2022</x:v>
      </x:c>
      <x:c r="I192" s="14" t="n">
        <x:v>2023</x:v>
      </x:c>
      <x:c r="J192" s="14" t="str">
        <x:v>Earlier-Production Carry-In Cohort</x:v>
      </x:c>
      <x:c r="K192" s="14" t="n">
        <x:v>2022</x:v>
      </x:c>
      <x:c r="L192" s="14" t="str">
        <x:v>Used in 2023 annual analysis</x:v>
      </x:c>
      <x:c r="M192" s="15" t="n">
        <x:v>208</x:v>
      </x:c>
      <x:c r="N192" s="14" t="str">
        <x:v>Bethany Milner</x:v>
      </x:c>
      <x:c r="O192" s="14" t="str">
        <x:v>nm11528499</x:v>
      </x:c>
      <x:c r="P192" s="14" t="str">
        <x:v>Carol Cooper</x:v>
      </x:c>
      <x:c r="Q192" s="15" t="n">
        <x:v>1</x:v>
      </x:c>
      <x:c r="R192" s="14" t="str">
        <x:v>2023</x:v>
      </x:c>
      <x:c r="S192" s="14" t="n">
        <x:v>2023</x:v>
      </x:c>
      <x:c r="T192" s="14" t="n">
        <x:v>2023</x:v>
      </x:c>
      <x:c r="U192" s="14" t="str">
        <x:v>Explicit source first year retained</x:v>
      </x:c>
      <x:c r="V192" s="14" t="str">
        <x:v>Earliest supplied year is 2023.</x:v>
      </x:c>
      <x:c r="W192" s="14"/>
      <x:c r="X192" s="14" t="str">
        <x:v>Included</x:v>
      </x:c>
      <x:c r="Y192" s="14"/>
      <x:c r="Z192" s="14" t="str">
        <x:v>Sister Boniface Mysteries.docx</x:v>
      </x:c>
      <x:c r="AA1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BritBox UK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38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1</x:v>
      </x:c>
      <x:c r="BS192" s="16" t="n">
        <x:v>0.02631578947368421</x:v>
      </x:c>
      <x:c r="BT192" s="14" t="str">
        <x:v>One episode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tt15407098|nm2375311|martin marceau</x:v>
      </x:c>
      <x:c r="B193" s="14" t="str">
        <x:v>05</x:v>
      </x:c>
      <x:c r="C193" s="14" t="str">
        <x:v>2022_IMDb_Cast_Lists_Batch_05(1).xlsx</x:v>
      </x:c>
      <x:c r="D193" s="14" t="str">
        <x:v>Sister Boniface Mysteries</x:v>
      </x:c>
      <x:c r="E193" s="14" t="n">
        <x:v>216</x:v>
      </x:c>
      <x:c r="F193" s="14" t="str">
        <x:v>Sister Boniface Mysteries</x:v>
      </x:c>
      <x:c r="G193" s="14" t="str">
        <x:v>tt15407098</x:v>
      </x:c>
      <x:c r="H193" s="14" t="n">
        <x:v>2022</x:v>
      </x:c>
      <x:c r="I193" s="14" t="n">
        <x:v>2023</x:v>
      </x:c>
      <x:c r="J193" s="14" t="str">
        <x:v>Earlier-Production Carry-In Cohort</x:v>
      </x:c>
      <x:c r="K193" s="14" t="n">
        <x:v>2022</x:v>
      </x:c>
      <x:c r="L193" s="14" t="str">
        <x:v>Used in 2023 annual analysis</x:v>
      </x:c>
      <x:c r="M193" s="15" t="n">
        <x:v>209</x:v>
      </x:c>
      <x:c r="N193" s="14" t="str">
        <x:v>Javier Marzan</x:v>
      </x:c>
      <x:c r="O193" s="14" t="str">
        <x:v>nm2375311</x:v>
      </x:c>
      <x:c r="P193" s="14" t="str">
        <x:v>Martin Marceau</x:v>
      </x:c>
      <x:c r="Q193" s="15" t="n">
        <x:v>1</x:v>
      </x:c>
      <x:c r="R193" s="14" t="str">
        <x:v>2023</x:v>
      </x:c>
      <x:c r="S193" s="14" t="n">
        <x:v>2023</x:v>
      </x:c>
      <x:c r="T193" s="14" t="n">
        <x:v>2023</x:v>
      </x:c>
      <x:c r="U193" s="14" t="str">
        <x:v>Explicit source first year retained</x:v>
      </x:c>
      <x:c r="V193" s="14" t="str">
        <x:v>Earliest supplied year is 2023.</x:v>
      </x:c>
      <x:c r="W193" s="14"/>
      <x:c r="X193" s="14" t="str">
        <x:v>Included</x:v>
      </x:c>
      <x:c r="Y193" s="14"/>
      <x:c r="Z193" s="14" t="str">
        <x:v>Sister Boniface Mysteries.docx</x:v>
      </x:c>
      <x:c r="AA1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BritBox UK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38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1</x:v>
      </x:c>
      <x:c r="BS193" s="16" t="n">
        <x:v>0.02631578947368421</x:v>
      </x:c>
      <x:c r="BT193" s="14" t="str">
        <x:v>One episode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tt15407098|nm3297549|jane beaufort</x:v>
      </x:c>
      <x:c r="B194" s="14" t="str">
        <x:v>05</x:v>
      </x:c>
      <x:c r="C194" s="14" t="str">
        <x:v>2022_IMDb_Cast_Lists_Batch_05(1).xlsx</x:v>
      </x:c>
      <x:c r="D194" s="14" t="str">
        <x:v>Sister Boniface Mysteries</x:v>
      </x:c>
      <x:c r="E194" s="14" t="n">
        <x:v>224</x:v>
      </x:c>
      <x:c r="F194" s="14" t="str">
        <x:v>Sister Boniface Mysteries</x:v>
      </x:c>
      <x:c r="G194" s="14" t="str">
        <x:v>tt15407098</x:v>
      </x:c>
      <x:c r="H194" s="14" t="n">
        <x:v>2022</x:v>
      </x:c>
      <x:c r="I194" s="14" t="n">
        <x:v>2023</x:v>
      </x:c>
      <x:c r="J194" s="14" t="str">
        <x:v>Earlier-Production Carry-In Cohort</x:v>
      </x:c>
      <x:c r="K194" s="14" t="n">
        <x:v>2022</x:v>
      </x:c>
      <x:c r="L194" s="14" t="str">
        <x:v>Used in 2023 annual analysis</x:v>
      </x:c>
      <x:c r="M194" s="15" t="n">
        <x:v>217</x:v>
      </x:c>
      <x:c r="N194" s="14" t="str">
        <x:v>Antonia Kinlay</x:v>
      </x:c>
      <x:c r="O194" s="14" t="str">
        <x:v>nm3297549</x:v>
      </x:c>
      <x:c r="P194" s="14" t="str">
        <x:v>Jane Beaufort</x:v>
      </x:c>
      <x:c r="Q194" s="15" t="n">
        <x:v>1</x:v>
      </x:c>
      <x:c r="R194" s="14" t="str">
        <x:v>2023</x:v>
      </x:c>
      <x:c r="S194" s="14" t="n">
        <x:v>2023</x:v>
      </x:c>
      <x:c r="T194" s="14" t="n">
        <x:v>2023</x:v>
      </x:c>
      <x:c r="U194" s="14" t="str">
        <x:v>Explicit source first year retained</x:v>
      </x:c>
      <x:c r="V194" s="14" t="str">
        <x:v>Earliest supplied year is 2023.</x:v>
      </x:c>
      <x:c r="W194" s="14"/>
      <x:c r="X194" s="14" t="str">
        <x:v>Included</x:v>
      </x:c>
      <x:c r="Y194" s="14"/>
      <x:c r="Z194" s="14" t="str">
        <x:v>Sister Boniface Mysteries.docx</x:v>
      </x:c>
      <x:c r="AA1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BritBox UK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38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1</x:v>
      </x:c>
      <x:c r="BS194" s="16" t="n">
        <x:v>0.02631578947368421</x:v>
      </x:c>
      <x:c r="BT194" s="14" t="str">
        <x:v>One episode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tt15407098|nm4145398|jean smythe</x:v>
      </x:c>
      <x:c r="B195" s="14" t="str">
        <x:v>05</x:v>
      </x:c>
      <x:c r="C195" s="14" t="str">
        <x:v>2022_IMDb_Cast_Lists_Batch_05(1).xlsx</x:v>
      </x:c>
      <x:c r="D195" s="14" t="str">
        <x:v>Sister Boniface Mysteries</x:v>
      </x:c>
      <x:c r="E195" s="14" t="n">
        <x:v>225</x:v>
      </x:c>
      <x:c r="F195" s="14" t="str">
        <x:v>Sister Boniface Mysteries</x:v>
      </x:c>
      <x:c r="G195" s="14" t="str">
        <x:v>tt15407098</x:v>
      </x:c>
      <x:c r="H195" s="14" t="n">
        <x:v>2022</x:v>
      </x:c>
      <x:c r="I195" s="14" t="n">
        <x:v>2023</x:v>
      </x:c>
      <x:c r="J195" s="14" t="str">
        <x:v>Earlier-Production Carry-In Cohort</x:v>
      </x:c>
      <x:c r="K195" s="14" t="n">
        <x:v>2022</x:v>
      </x:c>
      <x:c r="L195" s="14" t="str">
        <x:v>Used in 2023 annual analysis</x:v>
      </x:c>
      <x:c r="M195" s="15" t="n">
        <x:v>218</x:v>
      </x:c>
      <x:c r="N195" s="14" t="str">
        <x:v>Hedydd Dylan</x:v>
      </x:c>
      <x:c r="O195" s="14" t="str">
        <x:v>nm4145398</x:v>
      </x:c>
      <x:c r="P195" s="14" t="str">
        <x:v>Jean Smythe</x:v>
      </x:c>
      <x:c r="Q195" s="15" t="n">
        <x:v>1</x:v>
      </x:c>
      <x:c r="R195" s="14" t="str">
        <x:v>2023</x:v>
      </x:c>
      <x:c r="S195" s="14" t="n">
        <x:v>2023</x:v>
      </x:c>
      <x:c r="T195" s="14" t="n">
        <x:v>2023</x:v>
      </x:c>
      <x:c r="U195" s="14" t="str">
        <x:v>Explicit source first year retained</x:v>
      </x:c>
      <x:c r="V195" s="14" t="str">
        <x:v>Earliest supplied year is 2023.</x:v>
      </x:c>
      <x:c r="W195" s="14"/>
      <x:c r="X195" s="14" t="str">
        <x:v>Included</x:v>
      </x:c>
      <x:c r="Y195" s="14"/>
      <x:c r="Z195" s="14" t="str">
        <x:v>Sister Boniface Mysteries.docx</x:v>
      </x:c>
      <x:c r="AA1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BritBox UK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38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1</x:v>
      </x:c>
      <x:c r="BS195" s="16" t="n">
        <x:v>0.02631578947368421</x:v>
      </x:c>
      <x:c r="BT195" s="14" t="str">
        <x:v>One episode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tt15407098|nm5562793|young captain pargiter</x:v>
      </x:c>
      <x:c r="B196" s="14" t="str">
        <x:v>05</x:v>
      </x:c>
      <x:c r="C196" s="14" t="str">
        <x:v>2022_IMDb_Cast_Lists_Batch_05(1).xlsx</x:v>
      </x:c>
      <x:c r="D196" s="14" t="str">
        <x:v>Sister Boniface Mysteries</x:v>
      </x:c>
      <x:c r="E196" s="14" t="n">
        <x:v>226</x:v>
      </x:c>
      <x:c r="F196" s="14" t="str">
        <x:v>Sister Boniface Mysteries</x:v>
      </x:c>
      <x:c r="G196" s="14" t="str">
        <x:v>tt15407098</x:v>
      </x:c>
      <x:c r="H196" s="14" t="n">
        <x:v>2022</x:v>
      </x:c>
      <x:c r="I196" s="14" t="n">
        <x:v>2023</x:v>
      </x:c>
      <x:c r="J196" s="14" t="str">
        <x:v>Earlier-Production Carry-In Cohort</x:v>
      </x:c>
      <x:c r="K196" s="14" t="n">
        <x:v>2022</x:v>
      </x:c>
      <x:c r="L196" s="14" t="str">
        <x:v>Used in 2023 annual analysis</x:v>
      </x:c>
      <x:c r="M196" s="15" t="n">
        <x:v>219</x:v>
      </x:c>
      <x:c r="N196" s="14" t="str">
        <x:v>Liam Currie</x:v>
      </x:c>
      <x:c r="O196" s="14" t="str">
        <x:v>nm5562793</x:v>
      </x:c>
      <x:c r="P196" s="14" t="str">
        <x:v>Young Captain Pargiter</x:v>
      </x:c>
      <x:c r="Q196" s="15" t="n">
        <x:v>1</x:v>
      </x:c>
      <x:c r="R196" s="14" t="str">
        <x:v>2023</x:v>
      </x:c>
      <x:c r="S196" s="14" t="n">
        <x:v>2023</x:v>
      </x:c>
      <x:c r="T196" s="14" t="n">
        <x:v>2023</x:v>
      </x:c>
      <x:c r="U196" s="14" t="str">
        <x:v>Explicit source first year retained</x:v>
      </x:c>
      <x:c r="V196" s="14" t="str">
        <x:v>Earliest supplied year is 2023.</x:v>
      </x:c>
      <x:c r="W196" s="14"/>
      <x:c r="X196" s="14" t="str">
        <x:v>Included</x:v>
      </x:c>
      <x:c r="Y196" s="14"/>
      <x:c r="Z196" s="14" t="str">
        <x:v>Sister Boniface Mysteries.docx</x:v>
      </x:c>
      <x:c r="AA1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BritBox UK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38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1</x:v>
      </x:c>
      <x:c r="BS196" s="16" t="n">
        <x:v>0.02631578947368421</x:v>
      </x:c>
      <x:c r="BT196" s="14" t="str">
        <x:v>One episode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tt15407098|nm3518982|abigail usher</x:v>
      </x:c>
      <x:c r="B197" s="14" t="str">
        <x:v>05</x:v>
      </x:c>
      <x:c r="C197" s="14" t="str">
        <x:v>2022_IMDb_Cast_Lists_Batch_05(1).xlsx</x:v>
      </x:c>
      <x:c r="D197" s="14" t="str">
        <x:v>Sister Boniface Mysteries</x:v>
      </x:c>
      <x:c r="E197" s="14" t="n">
        <x:v>231</x:v>
      </x:c>
      <x:c r="F197" s="14" t="str">
        <x:v>Sister Boniface Mysteries</x:v>
      </x:c>
      <x:c r="G197" s="14" t="str">
        <x:v>tt15407098</x:v>
      </x:c>
      <x:c r="H197" s="14" t="n">
        <x:v>2022</x:v>
      </x:c>
      <x:c r="I197" s="14" t="n">
        <x:v>2023</x:v>
      </x:c>
      <x:c r="J197" s="14" t="str">
        <x:v>Earlier-Production Carry-In Cohort</x:v>
      </x:c>
      <x:c r="K197" s="14" t="n">
        <x:v>2022</x:v>
      </x:c>
      <x:c r="L197" s="14" t="str">
        <x:v>Used in 2023 annual analysis</x:v>
      </x:c>
      <x:c r="M197" s="15" t="n">
        <x:v>224</x:v>
      </x:c>
      <x:c r="N197" s="14" t="str">
        <x:v>Margaret Clunie</x:v>
      </x:c>
      <x:c r="O197" s="14" t="str">
        <x:v>nm3518982</x:v>
      </x:c>
      <x:c r="P197" s="14" t="str">
        <x:v>Abigail Usher</x:v>
      </x:c>
      <x:c r="Q197" s="15" t="n">
        <x:v>1</x:v>
      </x:c>
      <x:c r="R197" s="14" t="str">
        <x:v>2023</x:v>
      </x:c>
      <x:c r="S197" s="14" t="n">
        <x:v>2023</x:v>
      </x:c>
      <x:c r="T197" s="14" t="n">
        <x:v>2023</x:v>
      </x:c>
      <x:c r="U197" s="14" t="str">
        <x:v>Explicit source first year retained</x:v>
      </x:c>
      <x:c r="V197" s="14" t="str">
        <x:v>Earliest supplied year is 2023.</x:v>
      </x:c>
      <x:c r="W197" s="14"/>
      <x:c r="X197" s="14" t="str">
        <x:v>Included</x:v>
      </x:c>
      <x:c r="Y197" s="14"/>
      <x:c r="Z197" s="14" t="str">
        <x:v>Sister Boniface Mysteries.docx</x:v>
      </x:c>
      <x:c r="AA1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BritBox UK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38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1</x:v>
      </x:c>
      <x:c r="BS197" s="16" t="n">
        <x:v>0.02631578947368421</x:v>
      </x:c>
      <x:c r="BT197" s="14" t="str">
        <x:v>One episode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tt15407098|nm9582029|ambrose chance</x:v>
      </x:c>
      <x:c r="B198" s="14" t="str">
        <x:v>05</x:v>
      </x:c>
      <x:c r="C198" s="14" t="str">
        <x:v>2022_IMDb_Cast_Lists_Batch_05(1).xlsx</x:v>
      </x:c>
      <x:c r="D198" s="14" t="str">
        <x:v>Sister Boniface Mysteries</x:v>
      </x:c>
      <x:c r="E198" s="14" t="n">
        <x:v>232</x:v>
      </x:c>
      <x:c r="F198" s="14" t="str">
        <x:v>Sister Boniface Mysteries</x:v>
      </x:c>
      <x:c r="G198" s="14" t="str">
        <x:v>tt15407098</x:v>
      </x:c>
      <x:c r="H198" s="14" t="n">
        <x:v>2022</x:v>
      </x:c>
      <x:c r="I198" s="14" t="n">
        <x:v>2023</x:v>
      </x:c>
      <x:c r="J198" s="14" t="str">
        <x:v>Earlier-Production Carry-In Cohort</x:v>
      </x:c>
      <x:c r="K198" s="14" t="n">
        <x:v>2022</x:v>
      </x:c>
      <x:c r="L198" s="14" t="str">
        <x:v>Used in 2023 annual analysis</x:v>
      </x:c>
      <x:c r="M198" s="15" t="n">
        <x:v>225</x:v>
      </x:c>
      <x:c r="N198" s="14" t="str">
        <x:v>Tom Crowhurst</x:v>
      </x:c>
      <x:c r="O198" s="14" t="str">
        <x:v>nm9582029</x:v>
      </x:c>
      <x:c r="P198" s="14" t="str">
        <x:v>Ambrose Chance</x:v>
      </x:c>
      <x:c r="Q198" s="15" t="n">
        <x:v>1</x:v>
      </x:c>
      <x:c r="R198" s="14" t="str">
        <x:v>2023</x:v>
      </x:c>
      <x:c r="S198" s="14" t="n">
        <x:v>2023</x:v>
      </x:c>
      <x:c r="T198" s="14" t="n">
        <x:v>2023</x:v>
      </x:c>
      <x:c r="U198" s="14" t="str">
        <x:v>Explicit source first year retained</x:v>
      </x:c>
      <x:c r="V198" s="14" t="str">
        <x:v>Earliest supplied year is 2023.</x:v>
      </x:c>
      <x:c r="W198" s="14"/>
      <x:c r="X198" s="14" t="str">
        <x:v>Included</x:v>
      </x:c>
      <x:c r="Y198" s="14"/>
      <x:c r="Z198" s="14" t="str">
        <x:v>Sister Boniface Mysteries.docx</x:v>
      </x:c>
      <x:c r="AA1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BritBox UK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38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1</x:v>
      </x:c>
      <x:c r="BS198" s="16" t="n">
        <x:v>0.02631578947368421</x:v>
      </x:c>
      <x:c r="BT198" s="14" t="str">
        <x:v>One episode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tt15407098|nm5852483|bletchley park supervisor</x:v>
      </x:c>
      <x:c r="B199" s="14" t="str">
        <x:v>05</x:v>
      </x:c>
      <x:c r="C199" s="14" t="str">
        <x:v>2022_IMDb_Cast_Lists_Batch_05(1).xlsx</x:v>
      </x:c>
      <x:c r="D199" s="14" t="str">
        <x:v>Sister Boniface Mysteries</x:v>
      </x:c>
      <x:c r="E199" s="14" t="n">
        <x:v>233</x:v>
      </x:c>
      <x:c r="F199" s="14" t="str">
        <x:v>Sister Boniface Mysteries</x:v>
      </x:c>
      <x:c r="G199" s="14" t="str">
        <x:v>tt15407098</x:v>
      </x:c>
      <x:c r="H199" s="14" t="n">
        <x:v>2022</x:v>
      </x:c>
      <x:c r="I199" s="14" t="n">
        <x:v>2023</x:v>
      </x:c>
      <x:c r="J199" s="14" t="str">
        <x:v>Earlier-Production Carry-In Cohort</x:v>
      </x:c>
      <x:c r="K199" s="14" t="n">
        <x:v>2022</x:v>
      </x:c>
      <x:c r="L199" s="14" t="str">
        <x:v>Used in 2023 annual analysis</x:v>
      </x:c>
      <x:c r="M199" s="15" t="n">
        <x:v>226</x:v>
      </x:c>
      <x:c r="N199" s="14" t="str">
        <x:v>Mark Donald</x:v>
      </x:c>
      <x:c r="O199" s="14" t="str">
        <x:v>nm5852483</x:v>
      </x:c>
      <x:c r="P199" s="14" t="str">
        <x:v>Bletchley Park Supervisor</x:v>
      </x:c>
      <x:c r="Q199" s="15" t="n">
        <x:v>1</x:v>
      </x:c>
      <x:c r="R199" s="14" t="str">
        <x:v>2023</x:v>
      </x:c>
      <x:c r="S199" s="14" t="n">
        <x:v>2023</x:v>
      </x:c>
      <x:c r="T199" s="14" t="n">
        <x:v>2023</x:v>
      </x:c>
      <x:c r="U199" s="14" t="str">
        <x:v>Explicit source first year retained</x:v>
      </x:c>
      <x:c r="V199" s="14" t="str">
        <x:v>Earliest supplied year is 2023.</x:v>
      </x:c>
      <x:c r="W199" s="14"/>
      <x:c r="X199" s="14" t="str">
        <x:v>Included</x:v>
      </x:c>
      <x:c r="Y199" s="14"/>
      <x:c r="Z199" s="14" t="str">
        <x:v>Sister Boniface Mysteries.docx</x:v>
      </x:c>
      <x:c r="AA1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BritBox UK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38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1</x:v>
      </x:c>
      <x:c r="BS199" s="16" t="n">
        <x:v>0.02631578947368421</x:v>
      </x:c>
      <x:c r="BT199" s="14" t="str">
        <x:v>One episode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tt15407098|nm3065849|ranulph usher</x:v>
      </x:c>
      <x:c r="B200" s="14" t="str">
        <x:v>05</x:v>
      </x:c>
      <x:c r="C200" s="14" t="str">
        <x:v>2022_IMDb_Cast_Lists_Batch_05(1).xlsx</x:v>
      </x:c>
      <x:c r="D200" s="14" t="str">
        <x:v>Sister Boniface Mysteries</x:v>
      </x:c>
      <x:c r="E200" s="14" t="n">
        <x:v>241</x:v>
      </x:c>
      <x:c r="F200" s="14" t="str">
        <x:v>Sister Boniface Mysteries</x:v>
      </x:c>
      <x:c r="G200" s="14" t="str">
        <x:v>tt15407098</x:v>
      </x:c>
      <x:c r="H200" s="14" t="n">
        <x:v>2022</x:v>
      </x:c>
      <x:c r="I200" s="14" t="n">
        <x:v>2023</x:v>
      </x:c>
      <x:c r="J200" s="14" t="str">
        <x:v>Earlier-Production Carry-In Cohort</x:v>
      </x:c>
      <x:c r="K200" s="14" t="n">
        <x:v>2022</x:v>
      </x:c>
      <x:c r="L200" s="14" t="str">
        <x:v>Used in 2023 annual analysis</x:v>
      </x:c>
      <x:c r="M200" s="15" t="n">
        <x:v>234</x:v>
      </x:c>
      <x:c r="N200" s="14" t="str">
        <x:v>Mark Edel-Hunt</x:v>
      </x:c>
      <x:c r="O200" s="14" t="str">
        <x:v>nm3065849</x:v>
      </x:c>
      <x:c r="P200" s="14" t="str">
        <x:v>Ranulph Usher</x:v>
      </x:c>
      <x:c r="Q200" s="15" t="n">
        <x:v>1</x:v>
      </x:c>
      <x:c r="R200" s="14" t="str">
        <x:v>2023</x:v>
      </x:c>
      <x:c r="S200" s="14" t="n">
        <x:v>2023</x:v>
      </x:c>
      <x:c r="T200" s="14" t="n">
        <x:v>2023</x:v>
      </x:c>
      <x:c r="U200" s="14" t="str">
        <x:v>Explicit source first year retained</x:v>
      </x:c>
      <x:c r="V200" s="14" t="str">
        <x:v>Earliest supplied year is 2023.</x:v>
      </x:c>
      <x:c r="W200" s="14"/>
      <x:c r="X200" s="14" t="str">
        <x:v>Included</x:v>
      </x:c>
      <x:c r="Y200" s="14"/>
      <x:c r="Z200" s="14" t="str">
        <x:v>Sister Boniface Mysteries.docx</x:v>
      </x:c>
      <x:c r="AA2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BritBox UK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38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1</x:v>
      </x:c>
      <x:c r="BS200" s="16" t="n">
        <x:v>0.02631578947368421</x:v>
      </x:c>
      <x:c r="BT200" s="14" t="str">
        <x:v>One episode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tt15407098|nm0173434|mr. henry medwick</x:v>
      </x:c>
      <x:c r="B201" s="14" t="str">
        <x:v>05</x:v>
      </x:c>
      <x:c r="C201" s="14" t="str">
        <x:v>2022_IMDb_Cast_Lists_Batch_05(1).xlsx</x:v>
      </x:c>
      <x:c r="D201" s="14" t="str">
        <x:v>Sister Boniface Mysteries</x:v>
      </x:c>
      <x:c r="E201" s="14" t="n">
        <x:v>243</x:v>
      </x:c>
      <x:c r="F201" s="14" t="str">
        <x:v>Sister Boniface Mysteries</x:v>
      </x:c>
      <x:c r="G201" s="14" t="str">
        <x:v>tt15407098</x:v>
      </x:c>
      <x:c r="H201" s="14" t="n">
        <x:v>2022</x:v>
      </x:c>
      <x:c r="I201" s="14" t="n">
        <x:v>2023</x:v>
      </x:c>
      <x:c r="J201" s="14" t="str">
        <x:v>Earlier-Production Carry-In Cohort</x:v>
      </x:c>
      <x:c r="K201" s="14" t="n">
        <x:v>2022</x:v>
      </x:c>
      <x:c r="L201" s="14" t="str">
        <x:v>Used in 2023 annual analysis</x:v>
      </x:c>
      <x:c r="M201" s="15" t="n">
        <x:v>236</x:v>
      </x:c>
      <x:c r="N201" s="14" t="str">
        <x:v>Eric Colvin</x:v>
      </x:c>
      <x:c r="O201" s="14" t="str">
        <x:v>nm0173434</x:v>
      </x:c>
      <x:c r="P201" s="14" t="str">
        <x:v>Mr. Henry Medwick</x:v>
      </x:c>
      <x:c r="Q201" s="15" t="n">
        <x:v>1</x:v>
      </x:c>
      <x:c r="R201" s="14" t="str">
        <x:v>2023</x:v>
      </x:c>
      <x:c r="S201" s="14" t="n">
        <x:v>2023</x:v>
      </x:c>
      <x:c r="T201" s="14" t="n">
        <x:v>2023</x:v>
      </x:c>
      <x:c r="U201" s="14" t="str">
        <x:v>Explicit source first year retained</x:v>
      </x:c>
      <x:c r="V201" s="14" t="str">
        <x:v>Earliest supplied year is 2023.</x:v>
      </x:c>
      <x:c r="W201" s="14"/>
      <x:c r="X201" s="14" t="str">
        <x:v>Included</x:v>
      </x:c>
      <x:c r="Y201" s="14"/>
      <x:c r="Z201" s="14" t="str">
        <x:v>Sister Boniface Mysteries.docx</x:v>
      </x:c>
      <x:c r="AA2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BritBox UK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38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1</x:v>
      </x:c>
      <x:c r="BS201" s="16" t="n">
        <x:v>0.02631578947368421</x:v>
      </x:c>
      <x:c r="BT201" s="14" t="str">
        <x:v>One episode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tt15407098|nm1697766|harinder ray</x:v>
      </x:c>
      <x:c r="B202" s="14" t="str">
        <x:v>05</x:v>
      </x:c>
      <x:c r="C202" s="14" t="str">
        <x:v>2022_IMDb_Cast_Lists_Batch_05(1).xlsx</x:v>
      </x:c>
      <x:c r="D202" s="14" t="str">
        <x:v>Sister Boniface Mysteries</x:v>
      </x:c>
      <x:c r="E202" s="14" t="n">
        <x:v>245</x:v>
      </x:c>
      <x:c r="F202" s="14" t="str">
        <x:v>Sister Boniface Mysteries</x:v>
      </x:c>
      <x:c r="G202" s="14" t="str">
        <x:v>tt15407098</x:v>
      </x:c>
      <x:c r="H202" s="14" t="n">
        <x:v>2022</x:v>
      </x:c>
      <x:c r="I202" s="14" t="n">
        <x:v>2023</x:v>
      </x:c>
      <x:c r="J202" s="14" t="str">
        <x:v>Earlier-Production Carry-In Cohort</x:v>
      </x:c>
      <x:c r="K202" s="14" t="n">
        <x:v>2022</x:v>
      </x:c>
      <x:c r="L202" s="14" t="str">
        <x:v>Used in 2023 annual analysis</x:v>
      </x:c>
      <x:c r="M202" s="15" t="n">
        <x:v>238</x:v>
      </x:c>
      <x:c r="N202" s="14" t="str">
        <x:v>Stephen Rahman Hughes</x:v>
      </x:c>
      <x:c r="O202" s="14" t="str">
        <x:v>nm1697766</x:v>
      </x:c>
      <x:c r="P202" s="14" t="str">
        <x:v>Harinder Ray</x:v>
      </x:c>
      <x:c r="Q202" s="15" t="n">
        <x:v>1</x:v>
      </x:c>
      <x:c r="R202" s="14" t="str">
        <x:v>2023</x:v>
      </x:c>
      <x:c r="S202" s="14" t="n">
        <x:v>2023</x:v>
      </x:c>
      <x:c r="T202" s="14" t="n">
        <x:v>2023</x:v>
      </x:c>
      <x:c r="U202" s="14" t="str">
        <x:v>Explicit source first year retained</x:v>
      </x:c>
      <x:c r="V202" s="14" t="str">
        <x:v>Earliest supplied year is 2023.</x:v>
      </x:c>
      <x:c r="W202" s="14"/>
      <x:c r="X202" s="14" t="str">
        <x:v>Included</x:v>
      </x:c>
      <x:c r="Y202" s="14" t="str">
        <x:v>(as Stephen Rahman-Hughes)</x:v>
      </x:c>
      <x:c r="Z202" s="14" t="str">
        <x:v>Sister Boniface Mysteries.docx</x:v>
      </x:c>
      <x:c r="AA2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BritBox UK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 t="str">
        <x:v>No established-register match</x:v>
      </x:c>
      <x:c r="AT202" s="14"/>
      <x:c r="AU202" s="14"/>
      <x:c r="AV202" s="14" t="str">
        <x:v>No established apparent-disability match</x:v>
      </x:c>
      <x:c r="AW202" s="14"/>
      <x:c r="AX202" s="14" t="str">
        <x:v>No</x:v>
      </x:c>
      <x:c r="AY202" s="14" t="str">
        <x:v>Unmatched</x:v>
      </x:c>
      <x:c r="AZ202" s="14" t="str">
        <x:v>Final supplied register</x:v>
      </x:c>
      <x:c r="BA202" s="14" t="str">
        <x:v>Absence from the register is not evidence that the performer is not disabled.</x:v>
      </x:c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38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1</x:v>
      </x:c>
      <x:c r="BS202" s="16" t="n">
        <x:v>0.02631578947368421</x:v>
      </x:c>
      <x:c r="BT202" s="14" t="str">
        <x:v>One episode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tt15407098|nm0627995|stanley fawcett</x:v>
      </x:c>
      <x:c r="B203" s="14" t="str">
        <x:v>05</x:v>
      </x:c>
      <x:c r="C203" s="14" t="str">
        <x:v>2022_IMDb_Cast_Lists_Batch_05(1).xlsx</x:v>
      </x:c>
      <x:c r="D203" s="14" t="str">
        <x:v>Sister Boniface Mysteries</x:v>
      </x:c>
      <x:c r="E203" s="14" t="n">
        <x:v>246</x:v>
      </x:c>
      <x:c r="F203" s="14" t="str">
        <x:v>Sister Boniface Mysteries</x:v>
      </x:c>
      <x:c r="G203" s="14" t="str">
        <x:v>tt15407098</x:v>
      </x:c>
      <x:c r="H203" s="14" t="n">
        <x:v>2022</x:v>
      </x:c>
      <x:c r="I203" s="14" t="n">
        <x:v>2023</x:v>
      </x:c>
      <x:c r="J203" s="14" t="str">
        <x:v>Earlier-Production Carry-In Cohort</x:v>
      </x:c>
      <x:c r="K203" s="14" t="n">
        <x:v>2022</x:v>
      </x:c>
      <x:c r="L203" s="14" t="str">
        <x:v>Used in 2023 annual analysis</x:v>
      </x:c>
      <x:c r="M203" s="15" t="n">
        <x:v>239</x:v>
      </x:c>
      <x:c r="N203" s="14" t="str">
        <x:v>Alec Newman</x:v>
      </x:c>
      <x:c r="O203" s="14" t="str">
        <x:v>nm0627995</x:v>
      </x:c>
      <x:c r="P203" s="14" t="str">
        <x:v>Stanley Fawcett</x:v>
      </x:c>
      <x:c r="Q203" s="15" t="n">
        <x:v>1</x:v>
      </x:c>
      <x:c r="R203" s="14" t="str">
        <x:v>2023</x:v>
      </x:c>
      <x:c r="S203" s="14" t="n">
        <x:v>2023</x:v>
      </x:c>
      <x:c r="T203" s="14" t="n">
        <x:v>2023</x:v>
      </x:c>
      <x:c r="U203" s="14" t="str">
        <x:v>Explicit source first year retained</x:v>
      </x:c>
      <x:c r="V203" s="14" t="str">
        <x:v>Earliest supplied year is 2023.</x:v>
      </x:c>
      <x:c r="W203" s="14"/>
      <x:c r="X203" s="14" t="str">
        <x:v>Included</x:v>
      </x:c>
      <x:c r="Y203" s="14"/>
      <x:c r="Z203" s="14" t="str">
        <x:v>Sister Boniface Mysteries.docx</x:v>
      </x:c>
      <x:c r="AA2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BritBox UK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38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1</x:v>
      </x:c>
      <x:c r="BS203" s="16" t="n">
        <x:v>0.02631578947368421</x:v>
      </x:c>
      <x:c r="BT203" s="14" t="str">
        <x:v>One episode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tt15407098|nm0715093|miss fitz d'arcy</x:v>
      </x:c>
      <x:c r="B204" s="14" t="str">
        <x:v>05</x:v>
      </x:c>
      <x:c r="C204" s="14" t="str">
        <x:v>2022_IMDb_Cast_Lists_Batch_05(1).xlsx</x:v>
      </x:c>
      <x:c r="D204" s="14" t="str">
        <x:v>Sister Boniface Mysteries</x:v>
      </x:c>
      <x:c r="E204" s="14" t="n">
        <x:v>248</x:v>
      </x:c>
      <x:c r="F204" s="14" t="str">
        <x:v>Sister Boniface Mysteries</x:v>
      </x:c>
      <x:c r="G204" s="14" t="str">
        <x:v>tt15407098</x:v>
      </x:c>
      <x:c r="H204" s="14" t="n">
        <x:v>2022</x:v>
      </x:c>
      <x:c r="I204" s="14" t="n">
        <x:v>2023</x:v>
      </x:c>
      <x:c r="J204" s="14" t="str">
        <x:v>Earlier-Production Carry-In Cohort</x:v>
      </x:c>
      <x:c r="K204" s="14" t="n">
        <x:v>2022</x:v>
      </x:c>
      <x:c r="L204" s="14" t="str">
        <x:v>Used in 2023 annual analysis</x:v>
      </x:c>
      <x:c r="M204" s="15" t="n">
        <x:v>241</x:v>
      </x:c>
      <x:c r="N204" s="14" t="str">
        <x:v>Siobhan Redmond</x:v>
      </x:c>
      <x:c r="O204" s="14" t="str">
        <x:v>nm0715093</x:v>
      </x:c>
      <x:c r="P204" s="14" t="str">
        <x:v>Miss Fitz D'Arcy</x:v>
      </x:c>
      <x:c r="Q204" s="15" t="n">
        <x:v>1</x:v>
      </x:c>
      <x:c r="R204" s="14" t="str">
        <x:v>2023</x:v>
      </x:c>
      <x:c r="S204" s="14" t="n">
        <x:v>2023</x:v>
      </x:c>
      <x:c r="T204" s="14" t="n">
        <x:v>2023</x:v>
      </x:c>
      <x:c r="U204" s="14" t="str">
        <x:v>Explicit source first year retained</x:v>
      </x:c>
      <x:c r="V204" s="14" t="str">
        <x:v>Earliest supplied year is 2023.</x:v>
      </x:c>
      <x:c r="W204" s="14"/>
      <x:c r="X204" s="14" t="str">
        <x:v>Included</x:v>
      </x:c>
      <x:c r="Y204" s="14"/>
      <x:c r="Z204" s="14" t="str">
        <x:v>Sister Boniface Mysteries.docx</x:v>
      </x:c>
      <x:c r="AA2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BritBox UK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38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1</x:v>
      </x:c>
      <x:c r="BS204" s="16" t="n">
        <x:v>0.02631578947368421</x:v>
      </x:c>
      <x:c r="BT204" s="14" t="str">
        <x:v>One episode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tt15407098|nm9693721|nick foster</x:v>
      </x:c>
      <x:c r="B205" s="14" t="str">
        <x:v>05</x:v>
      </x:c>
      <x:c r="C205" s="14" t="str">
        <x:v>2022_IMDb_Cast_Lists_Batch_05(1).xlsx</x:v>
      </x:c>
      <x:c r="D205" s="14" t="str">
        <x:v>Sister Boniface Mysteries</x:v>
      </x:c>
      <x:c r="E205" s="14" t="n">
        <x:v>250</x:v>
      </x:c>
      <x:c r="F205" s="14" t="str">
        <x:v>Sister Boniface Mysteries</x:v>
      </x:c>
      <x:c r="G205" s="14" t="str">
        <x:v>tt15407098</x:v>
      </x:c>
      <x:c r="H205" s="14" t="n">
        <x:v>2022</x:v>
      </x:c>
      <x:c r="I205" s="14" t="n">
        <x:v>2023</x:v>
      </x:c>
      <x:c r="J205" s="14" t="str">
        <x:v>Earlier-Production Carry-In Cohort</x:v>
      </x:c>
      <x:c r="K205" s="14" t="n">
        <x:v>2022</x:v>
      </x:c>
      <x:c r="L205" s="14" t="str">
        <x:v>Used in 2023 annual analysis</x:v>
      </x:c>
      <x:c r="M205" s="15" t="n">
        <x:v>243</x:v>
      </x:c>
      <x:c r="N205" s="14" t="str">
        <x:v>Moses Alexander</x:v>
      </x:c>
      <x:c r="O205" s="14" t="str">
        <x:v>nm9693721</x:v>
      </x:c>
      <x:c r="P205" s="14" t="str">
        <x:v>Nick Foster</x:v>
      </x:c>
      <x:c r="Q205" s="15" t="n">
        <x:v>1</x:v>
      </x:c>
      <x:c r="R205" s="14" t="str">
        <x:v>2023</x:v>
      </x:c>
      <x:c r="S205" s="14" t="n">
        <x:v>2023</x:v>
      </x:c>
      <x:c r="T205" s="14" t="n">
        <x:v>2023</x:v>
      </x:c>
      <x:c r="U205" s="14" t="str">
        <x:v>Explicit source first year retained</x:v>
      </x:c>
      <x:c r="V205" s="14" t="str">
        <x:v>Earliest supplied year is 2023.</x:v>
      </x:c>
      <x:c r="W205" s="14"/>
      <x:c r="X205" s="14" t="str">
        <x:v>Included</x:v>
      </x:c>
      <x:c r="Y205" s="14"/>
      <x:c r="Z205" s="14" t="str">
        <x:v>Sister Boniface Mysteries.docx</x:v>
      </x:c>
      <x:c r="AA2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BritBox UK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38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0.02631578947368421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tt16352098|nm4817015|peter nelson</x:v>
      </x:c>
      <x:c r="B206" s="14" t="str">
        <x:v>05</x:v>
      </x:c>
      <x:c r="C206" s="14" t="str">
        <x:v>2022_IMDb_Cast_Lists_Batch_05(1).xlsx</x:v>
      </x:c>
      <x:c r="D206" s="14" t="str">
        <x:v>The Curse</x:v>
      </x:c>
      <x:c r="E206" s="14" t="n">
        <x:v>21</x:v>
      </x:c>
      <x:c r="F206" s="14" t="str">
        <x:v>The Curse</x:v>
      </x:c>
      <x:c r="G206" s="14" t="str">
        <x:v>tt16352098</x:v>
      </x:c>
      <x:c r="H206" s="14" t="n">
        <x:v>2022</x:v>
      </x:c>
      <x:c r="I206" s="14" t="n">
        <x:v>2023</x:v>
      </x:c>
      <x:c r="J206" s="14" t="str">
        <x:v>Earlier-Production Carry-In Cohort</x:v>
      </x:c>
      <x:c r="K206" s="14" t="n">
        <x:v>2022</x:v>
      </x:c>
      <x:c r="L206" s="14" t="str">
        <x:v>Used in 2023 annual analysis</x:v>
      </x:c>
      <x:c r="M206" s="15" t="n">
        <x:v>14</x:v>
      </x:c>
      <x:c r="N206" s="14" t="str">
        <x:v>Kiell Smith-Bynoe</x:v>
      </x:c>
      <x:c r="O206" s="14" t="str">
        <x:v>nm4817015</x:v>
      </x:c>
      <x:c r="P206" s="14" t="str">
        <x:v>Peter Nelson</x:v>
      </x:c>
      <x:c r="Q206" s="15" t="n">
        <x:v>3</x:v>
      </x:c>
      <x:c r="R206" s="14" t="str">
        <x:v>2023</x:v>
      </x:c>
      <x:c r="S206" s="14" t="n">
        <x:v>2023</x:v>
      </x:c>
      <x:c r="T206" s="14" t="n">
        <x:v>2023</x:v>
      </x:c>
      <x:c r="U206" s="14" t="str">
        <x:v>Explicit source first year retained</x:v>
      </x:c>
      <x:c r="V206" s="14" t="str">
        <x:v>Earliest supplied year is 2023.</x:v>
      </x:c>
      <x:c r="W206" s="14"/>
      <x:c r="X206" s="14" t="str">
        <x:v>Included</x:v>
      </x:c>
      <x:c r="Y206" s="14"/>
      <x:c r="Z206" s="14" t="str">
        <x:v>The Curse.docx</x:v>
      </x:c>
      <x:c r="AA206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Channel 4 / E4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HYPERLINK("https://en.wikipedia.org/wiki/The_Curse","Open source")</x:f>
        <x:v>HYPERLINK is not implemented. linkLocation=https://en.wikipedia.org/wiki/The_Curse, friendlyName=Open source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11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3</x:v>
      </x:c>
      <x:c r="BS206" s="16" t="n">
        <x:v>0.2727272727272727</x:v>
      </x:c>
      <x:c r="BT206" s="14" t="str">
        <x:v>Minority of episodes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tt16352098|nm2776168|el alcalde</x:v>
      </x:c>
      <x:c r="B207" s="14" t="str">
        <x:v>05</x:v>
      </x:c>
      <x:c r="C207" s="14" t="str">
        <x:v>2022_IMDb_Cast_Lists_Batch_05(1).xlsx</x:v>
      </x:c>
      <x:c r="D207" s="14" t="str">
        <x:v>The Curse</x:v>
      </x:c>
      <x:c r="E207" s="14" t="n">
        <x:v>24</x:v>
      </x:c>
      <x:c r="F207" s="14" t="str">
        <x:v>The Curse</x:v>
      </x:c>
      <x:c r="G207" s="14" t="str">
        <x:v>tt16352098</x:v>
      </x:c>
      <x:c r="H207" s="14" t="n">
        <x:v>2022</x:v>
      </x:c>
      <x:c r="I207" s="14" t="n">
        <x:v>2023</x:v>
      </x:c>
      <x:c r="J207" s="14" t="str">
        <x:v>Earlier-Production Carry-In Cohort</x:v>
      </x:c>
      <x:c r="K207" s="14" t="n">
        <x:v>2022</x:v>
      </x:c>
      <x:c r="L207" s="14" t="str">
        <x:v>Used in 2023 annual analysis</x:v>
      </x:c>
      <x:c r="M207" s="15" t="n">
        <x:v>17</x:v>
      </x:c>
      <x:c r="N207" s="14" t="str">
        <x:v>José Cerós</x:v>
      </x:c>
      <x:c r="O207" s="14" t="str">
        <x:v>nm2776168</x:v>
      </x:c>
      <x:c r="P207" s="14" t="str">
        <x:v>El Alcalde</x:v>
      </x:c>
      <x:c r="Q207" s="15" t="n">
        <x:v>2</x:v>
      </x:c>
      <x:c r="R207" s="14" t="str">
        <x:v>2023</x:v>
      </x:c>
      <x:c r="S207" s="14" t="n">
        <x:v>2023</x:v>
      </x:c>
      <x:c r="T207" s="14" t="n">
        <x:v>2023</x:v>
      </x:c>
      <x:c r="U207" s="14" t="str">
        <x:v>Explicit source first year retained</x:v>
      </x:c>
      <x:c r="V207" s="14" t="str">
        <x:v>Earliest supplied year is 2023.</x:v>
      </x:c>
      <x:c r="W207" s="14"/>
      <x:c r="X207" s="14" t="str">
        <x:v>Included</x:v>
      </x:c>
      <x:c r="Y207" s="14"/>
      <x:c r="Z207" s="14" t="str">
        <x:v>The Curse.docx</x:v>
      </x:c>
      <x:c r="AA207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Channel 4 / E4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HYPERLINK("https://en.wikipedia.org/wiki/The_Curse","Open source")</x:f>
        <x:v>HYPERLINK is not implemented. linkLocation=https://en.wikipedia.org/wiki/The_Curse, friendlyName=Open source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11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2</x:v>
      </x:c>
      <x:c r="BS207" s="16" t="n">
        <x:v>0.18181818181818182</x:v>
      </x:c>
      <x:c r="BT207" s="14" t="str">
        <x:v>Minority of episodes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tt16352098|nm16984357|nanny teresa</x:v>
      </x:c>
      <x:c r="B208" s="14" t="str">
        <x:v>05</x:v>
      </x:c>
      <x:c r="C208" s="14" t="str">
        <x:v>2022_IMDb_Cast_Lists_Batch_05(1).xlsx</x:v>
      </x:c>
      <x:c r="D208" s="14" t="str">
        <x:v>The Curse</x:v>
      </x:c>
      <x:c r="E208" s="14" t="n">
        <x:v>25</x:v>
      </x:c>
      <x:c r="F208" s="14" t="str">
        <x:v>The Curse</x:v>
      </x:c>
      <x:c r="G208" s="14" t="str">
        <x:v>tt16352098</x:v>
      </x:c>
      <x:c r="H208" s="14" t="n">
        <x:v>2022</x:v>
      </x:c>
      <x:c r="I208" s="14" t="n">
        <x:v>2023</x:v>
      </x:c>
      <x:c r="J208" s="14" t="str">
        <x:v>Earlier-Production Carry-In Cohort</x:v>
      </x:c>
      <x:c r="K208" s="14" t="n">
        <x:v>2022</x:v>
      </x:c>
      <x:c r="L208" s="14" t="str">
        <x:v>Used in 2023 annual analysis</x:v>
      </x:c>
      <x:c r="M208" s="15" t="n">
        <x:v>18</x:v>
      </x:c>
      <x:c r="N208" s="14" t="str">
        <x:v>Patri California</x:v>
      </x:c>
      <x:c r="O208" s="14" t="str">
        <x:v>nm16984357</x:v>
      </x:c>
      <x:c r="P208" s="14" t="str">
        <x:v>Nanny Teresa</x:v>
      </x:c>
      <x:c r="Q208" s="15" t="n">
        <x:v>2</x:v>
      </x:c>
      <x:c r="R208" s="14" t="str">
        <x:v>2023</x:v>
      </x:c>
      <x:c r="S208" s="14" t="n">
        <x:v>2023</x:v>
      </x:c>
      <x:c r="T208" s="14" t="n">
        <x:v>2023</x:v>
      </x:c>
      <x:c r="U208" s="14" t="str">
        <x:v>Explicit source first year retained</x:v>
      </x:c>
      <x:c r="V208" s="14" t="str">
        <x:v>Earliest supplied year is 2023.</x:v>
      </x:c>
      <x:c r="W208" s="14"/>
      <x:c r="X208" s="14" t="str">
        <x:v>Included</x:v>
      </x:c>
      <x:c r="Y208" s="14"/>
      <x:c r="Z208" s="14" t="str">
        <x:v>The Curse.docx</x:v>
      </x:c>
      <x:c r="AA208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Channel 4 / E4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HYPERLINK("https://en.wikipedia.org/wiki/The_Curse","Open source")</x:f>
        <x:v>HYPERLINK is not implemented. linkLocation=https://en.wikipedia.org/wiki/The_Curse, friendlyName=Open source</x:v>
      </x:c>
      <x:c r="AN208" s="14" t="str">
        <x:v>No qualifying BBC relationship</x:v>
      </x:c>
      <x:c r="AO208" s="14" t="str">
        <x:v>No</x:v>
      </x:c>
      <x:c r="AP208" s="14" t="str">
        <x:v>Out of scope</x:v>
      </x:c>
      <x:c r="AQ208" s="14" t="str">
        <x:v>No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11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2</x:v>
      </x:c>
      <x:c r="BS208" s="16" t="n">
        <x:v>0.18181818181818182</x:v>
      </x:c>
      <x:c r="BT208" s="14" t="str">
        <x:v>Minority of episodes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tt16352098|nm1936521|chief police</x:v>
      </x:c>
      <x:c r="B209" s="14" t="str">
        <x:v>05</x:v>
      </x:c>
      <x:c r="C209" s="14" t="str">
        <x:v>2022_IMDb_Cast_Lists_Batch_05(1).xlsx</x:v>
      </x:c>
      <x:c r="D209" s="14" t="str">
        <x:v>The Curse</x:v>
      </x:c>
      <x:c r="E209" s="14" t="n">
        <x:v>34</x:v>
      </x:c>
      <x:c r="F209" s="14" t="str">
        <x:v>The Curse</x:v>
      </x:c>
      <x:c r="G209" s="14" t="str">
        <x:v>tt16352098</x:v>
      </x:c>
      <x:c r="H209" s="14" t="n">
        <x:v>2022</x:v>
      </x:c>
      <x:c r="I209" s="14" t="n">
        <x:v>2023</x:v>
      </x:c>
      <x:c r="J209" s="14" t="str">
        <x:v>Earlier-Production Carry-In Cohort</x:v>
      </x:c>
      <x:c r="K209" s="14" t="n">
        <x:v>2022</x:v>
      </x:c>
      <x:c r="L209" s="14" t="str">
        <x:v>Used in 2023 annual analysis</x:v>
      </x:c>
      <x:c r="M209" s="15" t="n">
        <x:v>27</x:v>
      </x:c>
      <x:c r="N209" s="14" t="str">
        <x:v>Cristóbal Pinto</x:v>
      </x:c>
      <x:c r="O209" s="14" t="str">
        <x:v>nm1936521</x:v>
      </x:c>
      <x:c r="P209" s="14" t="str">
        <x:v>Chief Police</x:v>
      </x:c>
      <x:c r="Q209" s="15" t="n">
        <x:v>1</x:v>
      </x:c>
      <x:c r="R209" s="14" t="str">
        <x:v>2023</x:v>
      </x:c>
      <x:c r="S209" s="14" t="n">
        <x:v>2023</x:v>
      </x:c>
      <x:c r="T209" s="14" t="n">
        <x:v>2023</x:v>
      </x:c>
      <x:c r="U209" s="14" t="str">
        <x:v>Explicit source first year retained</x:v>
      </x:c>
      <x:c r="V209" s="14" t="str">
        <x:v>Earliest supplied year is 2023.</x:v>
      </x:c>
      <x:c r="W209" s="14"/>
      <x:c r="X209" s="14" t="str">
        <x:v>Included</x:v>
      </x:c>
      <x:c r="Y209" s="14"/>
      <x:c r="Z209" s="14" t="str">
        <x:v>The Curse.docx</x:v>
      </x:c>
      <x:c r="AA209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Channel 4 / E4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HYPERLINK("https://en.wikipedia.org/wiki/The_Curse","Open source")</x:f>
        <x:v>HYPERLINK is not implemented. linkLocation=https://en.wikipedia.org/wiki/The_Curse, friendlyName=Open source</x:v>
      </x:c>
      <x:c r="AN209" s="14" t="str">
        <x:v>No qualifying BBC relationship</x:v>
      </x:c>
      <x:c r="AO209" s="14" t="str">
        <x:v>No</x:v>
      </x:c>
      <x:c r="AP209" s="14" t="str">
        <x:v>Out of scope</x:v>
      </x:c>
      <x:c r="AQ209" s="14" t="str">
        <x:v>No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11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0.09090909090909091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tt16352098|nm9601820|prison visitor</x:v>
      </x:c>
      <x:c r="B210" s="14" t="str">
        <x:v>05</x:v>
      </x:c>
      <x:c r="C210" s="14" t="str">
        <x:v>2022_IMDb_Cast_Lists_Batch_05(1).xlsx</x:v>
      </x:c>
      <x:c r="D210" s="14" t="str">
        <x:v>The Curse</x:v>
      </x:c>
      <x:c r="E210" s="14" t="n">
        <x:v>40</x:v>
      </x:c>
      <x:c r="F210" s="14" t="str">
        <x:v>The Curse</x:v>
      </x:c>
      <x:c r="G210" s="14" t="str">
        <x:v>tt16352098</x:v>
      </x:c>
      <x:c r="H210" s="14" t="n">
        <x:v>2022</x:v>
      </x:c>
      <x:c r="I210" s="14" t="n">
        <x:v>2023</x:v>
      </x:c>
      <x:c r="J210" s="14" t="str">
        <x:v>Earlier-Production Carry-In Cohort</x:v>
      </x:c>
      <x:c r="K210" s="14" t="n">
        <x:v>2022</x:v>
      </x:c>
      <x:c r="L210" s="14" t="str">
        <x:v>Used in 2023 annual analysis</x:v>
      </x:c>
      <x:c r="M210" s="15" t="n">
        <x:v>33</x:v>
      </x:c>
      <x:c r="N210" s="14" t="str">
        <x:v>Tina Louise Roberts</x:v>
      </x:c>
      <x:c r="O210" s="14" t="str">
        <x:v>nm9601820</x:v>
      </x:c>
      <x:c r="P210" s="14" t="str">
        <x:v>Prison visitor</x:v>
      </x:c>
      <x:c r="Q210" s="15" t="n">
        <x:v>1</x:v>
      </x:c>
      <x:c r="R210" s="14" t="str">
        <x:v>2023</x:v>
      </x:c>
      <x:c r="S210" s="14" t="n">
        <x:v>2023</x:v>
      </x:c>
      <x:c r="T210" s="14" t="n">
        <x:v>2023</x:v>
      </x:c>
      <x:c r="U210" s="14" t="str">
        <x:v>Explicit source first year retained</x:v>
      </x:c>
      <x:c r="V210" s="14" t="str">
        <x:v>Earliest supplied year is 2023.</x:v>
      </x:c>
      <x:c r="W210" s="14"/>
      <x:c r="X210" s="14" t="str">
        <x:v>Included</x:v>
      </x:c>
      <x:c r="Y210" s="14" t="str">
        <x:v>(as Tina Louise Owens)</x:v>
      </x:c>
      <x:c r="Z210" s="14" t="str">
        <x:v>The Curse.docx</x:v>
      </x:c>
      <x:c r="AA210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Channel 4 / E4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HYPERLINK("https://en.wikipedia.org/wiki/The_Curse","Open source")</x:f>
        <x:v>HYPERLINK is not implemented. linkLocation=https://en.wikipedia.org/wiki/The_Curse, friendlyName=Open source</x:v>
      </x:c>
      <x:c r="AN210" s="14" t="str">
        <x:v>No qualifying BBC relationship</x:v>
      </x:c>
      <x:c r="AO210" s="14" t="str">
        <x:v>No</x:v>
      </x:c>
      <x:c r="AP210" s="14" t="str">
        <x:v>Out of scope</x:v>
      </x:c>
      <x:c r="AQ210" s="14" t="str">
        <x:v>No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11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1</x:v>
      </x:c>
      <x:c r="BS210" s="16" t="n">
        <x:v>0.09090909090909091</x:v>
      </x:c>
      <x:c r="BT210" s="14" t="str">
        <x:v>One episode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tt16352098|nm6866625|prisoner</x:v>
      </x:c>
      <x:c r="B211" s="14" t="str">
        <x:v>05</x:v>
      </x:c>
      <x:c r="C211" s="14" t="str">
        <x:v>2022_IMDb_Cast_Lists_Batch_05(1).xlsx</x:v>
      </x:c>
      <x:c r="D211" s="14" t="str">
        <x:v>The Curse</x:v>
      </x:c>
      <x:c r="E211" s="14" t="n">
        <x:v>41</x:v>
      </x:c>
      <x:c r="F211" s="14" t="str">
        <x:v>The Curse</x:v>
      </x:c>
      <x:c r="G211" s="14" t="str">
        <x:v>tt16352098</x:v>
      </x:c>
      <x:c r="H211" s="14" t="n">
        <x:v>2022</x:v>
      </x:c>
      <x:c r="I211" s="14" t="n">
        <x:v>2023</x:v>
      </x:c>
      <x:c r="J211" s="14" t="str">
        <x:v>Earlier-Production Carry-In Cohort</x:v>
      </x:c>
      <x:c r="K211" s="14" t="n">
        <x:v>2022</x:v>
      </x:c>
      <x:c r="L211" s="14" t="str">
        <x:v>Used in 2023 annual analysis</x:v>
      </x:c>
      <x:c r="M211" s="15" t="n">
        <x:v>34</x:v>
      </x:c>
      <x:c r="N211" s="14" t="str">
        <x:v>Christian Di Sciullo</x:v>
      </x:c>
      <x:c r="O211" s="14" t="str">
        <x:v>nm6866625</x:v>
      </x:c>
      <x:c r="P211" s="14" t="str">
        <x:v>Prisoner</x:v>
      </x:c>
      <x:c r="Q211" s="15" t="n">
        <x:v>1</x:v>
      </x:c>
      <x:c r="R211" s="14" t="str">
        <x:v>2023</x:v>
      </x:c>
      <x:c r="S211" s="14" t="n">
        <x:v>2023</x:v>
      </x:c>
      <x:c r="T211" s="14" t="n">
        <x:v>2023</x:v>
      </x:c>
      <x:c r="U211" s="14" t="str">
        <x:v>Explicit source first year retained</x:v>
      </x:c>
      <x:c r="V211" s="14" t="str">
        <x:v>Earliest supplied year is 2023.</x:v>
      </x:c>
      <x:c r="W211" s="14"/>
      <x:c r="X211" s="14" t="str">
        <x:v>Included</x:v>
      </x:c>
      <x:c r="Y211" s="14"/>
      <x:c r="Z211" s="14" t="str">
        <x:v>The Curse.docx</x:v>
      </x:c>
      <x:c r="AA211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Channel 4 / E4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HYPERLINK("https://en.wikipedia.org/wiki/The_Curse","Open source")</x:f>
        <x:v>HYPERLINK is not implemented. linkLocation=https://en.wikipedia.org/wiki/The_Curse, friendlyName=Open source</x:v>
      </x:c>
      <x:c r="AN211" s="14" t="str">
        <x:v>No qualifying BBC relationship</x:v>
      </x:c>
      <x:c r="AO211" s="14" t="str">
        <x:v>No</x:v>
      </x:c>
      <x:c r="AP211" s="14" t="str">
        <x:v>Out of scope</x:v>
      </x:c>
      <x:c r="AQ211" s="14" t="str">
        <x:v>No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11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0.09090909090909091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tt16352098|nm6596669|officer</x:v>
      </x:c>
      <x:c r="B212" s="14" t="str">
        <x:v>05</x:v>
      </x:c>
      <x:c r="C212" s="14" t="str">
        <x:v>2022_IMDb_Cast_Lists_Batch_05(1).xlsx</x:v>
      </x:c>
      <x:c r="D212" s="14" t="str">
        <x:v>The Curse</x:v>
      </x:c>
      <x:c r="E212" s="14" t="n">
        <x:v>42</x:v>
      </x:c>
      <x:c r="F212" s="14" t="str">
        <x:v>The Curse</x:v>
      </x:c>
      <x:c r="G212" s="14" t="str">
        <x:v>tt16352098</x:v>
      </x:c>
      <x:c r="H212" s="14" t="n">
        <x:v>2022</x:v>
      </x:c>
      <x:c r="I212" s="14" t="n">
        <x:v>2023</x:v>
      </x:c>
      <x:c r="J212" s="14" t="str">
        <x:v>Earlier-Production Carry-In Cohort</x:v>
      </x:c>
      <x:c r="K212" s="14" t="n">
        <x:v>2022</x:v>
      </x:c>
      <x:c r="L212" s="14" t="str">
        <x:v>Used in 2023 annual analysis</x:v>
      </x:c>
      <x:c r="M212" s="15" t="n">
        <x:v>35</x:v>
      </x:c>
      <x:c r="N212" s="14" t="str">
        <x:v>Quique Medina</x:v>
      </x:c>
      <x:c r="O212" s="14" t="str">
        <x:v>nm6596669</x:v>
      </x:c>
      <x:c r="P212" s="14" t="str">
        <x:v>Officer</x:v>
      </x:c>
      <x:c r="Q212" s="15" t="n">
        <x:v>1</x:v>
      </x:c>
      <x:c r="R212" s="14" t="str">
        <x:v>2023</x:v>
      </x:c>
      <x:c r="S212" s="14" t="n">
        <x:v>2023</x:v>
      </x:c>
      <x:c r="T212" s="14" t="n">
        <x:v>2023</x:v>
      </x:c>
      <x:c r="U212" s="14" t="str">
        <x:v>Explicit source first year retained</x:v>
      </x:c>
      <x:c r="V212" s="14" t="str">
        <x:v>Earliest supplied year is 2023.</x:v>
      </x:c>
      <x:c r="W212" s="14"/>
      <x:c r="X212" s="14" t="str">
        <x:v>Included</x:v>
      </x:c>
      <x:c r="Y212" s="14" t="str">
        <x:v>(credit only)</x:v>
      </x:c>
      <x:c r="Z212" s="14" t="str">
        <x:v>The Curse.docx</x:v>
      </x:c>
      <x:c r="AA212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Channel 4 / E4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HYPERLINK("https://en.wikipedia.org/wiki/The_Curse","Open source")</x:f>
        <x:v>HYPERLINK is not implemented. linkLocation=https://en.wikipedia.org/wiki/The_Curse, friendlyName=Open source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11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1</x:v>
      </x:c>
      <x:c r="BS212" s="16" t="n">
        <x:v>0.09090909090909091</x:v>
      </x:c>
      <x:c r="BT212" s="14" t="str">
        <x:v>One episode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tt16352098|nm10153124|gloria</x:v>
      </x:c>
      <x:c r="B213" s="14" t="str">
        <x:v>05</x:v>
      </x:c>
      <x:c r="C213" s="14" t="str">
        <x:v>2022_IMDb_Cast_Lists_Batch_05(1).xlsx</x:v>
      </x:c>
      <x:c r="D213" s="14" t="str">
        <x:v>The Curse</x:v>
      </x:c>
      <x:c r="E213" s="14" t="n">
        <x:v>43</x:v>
      </x:c>
      <x:c r="F213" s="14" t="str">
        <x:v>The Curse</x:v>
      </x:c>
      <x:c r="G213" s="14" t="str">
        <x:v>tt16352098</x:v>
      </x:c>
      <x:c r="H213" s="14" t="n">
        <x:v>2022</x:v>
      </x:c>
      <x:c r="I213" s="14" t="n">
        <x:v>2023</x:v>
      </x:c>
      <x:c r="J213" s="14" t="str">
        <x:v>Earlier-Production Carry-In Cohort</x:v>
      </x:c>
      <x:c r="K213" s="14" t="n">
        <x:v>2022</x:v>
      </x:c>
      <x:c r="L213" s="14" t="str">
        <x:v>Used in 2023 annual analysis</x:v>
      </x:c>
      <x:c r="M213" s="15" t="n">
        <x:v>36</x:v>
      </x:c>
      <x:c r="N213" s="14" t="str">
        <x:v>Tamia Déniz</x:v>
      </x:c>
      <x:c r="O213" s="14" t="str">
        <x:v>nm10153124</x:v>
      </x:c>
      <x:c r="P213" s="14" t="str">
        <x:v>Gloria</x:v>
      </x:c>
      <x:c r="Q213" s="15" t="n">
        <x:v>1</x:v>
      </x:c>
      <x:c r="R213" s="14" t="str">
        <x:v>2023</x:v>
      </x:c>
      <x:c r="S213" s="14" t="n">
        <x:v>2023</x:v>
      </x:c>
      <x:c r="T213" s="14" t="n">
        <x:v>2023</x:v>
      </x:c>
      <x:c r="U213" s="14" t="str">
        <x:v>Explicit source first year retained</x:v>
      </x:c>
      <x:c r="V213" s="14" t="str">
        <x:v>Earliest supplied year is 2023.</x:v>
      </x:c>
      <x:c r="W213" s="14"/>
      <x:c r="X213" s="14" t="str">
        <x:v>Included</x:v>
      </x:c>
      <x:c r="Y213" s="14"/>
      <x:c r="Z213" s="14" t="str">
        <x:v>The Curse.docx</x:v>
      </x:c>
      <x:c r="AA213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Channel 4 / E4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HYPERLINK("https://en.wikipedia.org/wiki/The_Curse","Open source")</x:f>
        <x:v>HYPERLINK is not implemented. linkLocation=https://en.wikipedia.org/wiki/The_Curse, friendlyName=Open source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11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1</x:v>
      </x:c>
      <x:c r="BS213" s="16" t="n">
        <x:v>0.09090909090909091</x:v>
      </x:c>
      <x:c r="BT213" s="14" t="str">
        <x:v>One episode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tt16352098|nm7484965|lorenzo</x:v>
      </x:c>
      <x:c r="B214" s="14" t="str">
        <x:v>05</x:v>
      </x:c>
      <x:c r="C214" s="14" t="str">
        <x:v>2022_IMDb_Cast_Lists_Batch_05(1).xlsx</x:v>
      </x:c>
      <x:c r="D214" s="14" t="str">
        <x:v>The Curse</x:v>
      </x:c>
      <x:c r="E214" s="14" t="n">
        <x:v>44</x:v>
      </x:c>
      <x:c r="F214" s="14" t="str">
        <x:v>The Curse</x:v>
      </x:c>
      <x:c r="G214" s="14" t="str">
        <x:v>tt16352098</x:v>
      </x:c>
      <x:c r="H214" s="14" t="n">
        <x:v>2022</x:v>
      </x:c>
      <x:c r="I214" s="14" t="n">
        <x:v>2023</x:v>
      </x:c>
      <x:c r="J214" s="14" t="str">
        <x:v>Earlier-Production Carry-In Cohort</x:v>
      </x:c>
      <x:c r="K214" s="14" t="n">
        <x:v>2022</x:v>
      </x:c>
      <x:c r="L214" s="14" t="str">
        <x:v>Used in 2023 annual analysis</x:v>
      </x:c>
      <x:c r="M214" s="15" t="n">
        <x:v>37</x:v>
      </x:c>
      <x:c r="N214" s="14" t="str">
        <x:v>Roberto Kuzmanich</x:v>
      </x:c>
      <x:c r="O214" s="14" t="str">
        <x:v>nm7484965</x:v>
      </x:c>
      <x:c r="P214" s="14" t="str">
        <x:v>Lorenzo</x:v>
      </x:c>
      <x:c r="Q214" s="15" t="n">
        <x:v>1</x:v>
      </x:c>
      <x:c r="R214" s="14" t="str">
        <x:v>2023</x:v>
      </x:c>
      <x:c r="S214" s="14" t="n">
        <x:v>2023</x:v>
      </x:c>
      <x:c r="T214" s="14" t="n">
        <x:v>2023</x:v>
      </x:c>
      <x:c r="U214" s="14" t="str">
        <x:v>Explicit source first year retained</x:v>
      </x:c>
      <x:c r="V214" s="14" t="str">
        <x:v>Earliest supplied year is 2023.</x:v>
      </x:c>
      <x:c r="W214" s="14"/>
      <x:c r="X214" s="14" t="str">
        <x:v>Included</x:v>
      </x:c>
      <x:c r="Y214" s="14"/>
      <x:c r="Z214" s="14" t="str">
        <x:v>The Curse.docx</x:v>
      </x:c>
      <x:c r="AA214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Channel 4 / E4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HYPERLINK("https://en.wikipedia.org/wiki/The_Curse","Open source")</x:f>
        <x:v>HYPERLINK is not implemented. linkLocation=https://en.wikipedia.org/wiki/The_Curse, friendlyName=Open source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11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0.09090909090909091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tt16352098|nm6382003|anciano</x:v>
      </x:c>
      <x:c r="B215" s="14" t="str">
        <x:v>05</x:v>
      </x:c>
      <x:c r="C215" s="14" t="str">
        <x:v>2022_IMDb_Cast_Lists_Batch_05(1).xlsx</x:v>
      </x:c>
      <x:c r="D215" s="14" t="str">
        <x:v>The Curse</x:v>
      </x:c>
      <x:c r="E215" s="14" t="n">
        <x:v>45</x:v>
      </x:c>
      <x:c r="F215" s="14" t="str">
        <x:v>The Curse</x:v>
      </x:c>
      <x:c r="G215" s="14" t="str">
        <x:v>tt16352098</x:v>
      </x:c>
      <x:c r="H215" s="14" t="n">
        <x:v>2022</x:v>
      </x:c>
      <x:c r="I215" s="14" t="n">
        <x:v>2023</x:v>
      </x:c>
      <x:c r="J215" s="14" t="str">
        <x:v>Earlier-Production Carry-In Cohort</x:v>
      </x:c>
      <x:c r="K215" s="14" t="n">
        <x:v>2022</x:v>
      </x:c>
      <x:c r="L215" s="14" t="str">
        <x:v>Used in 2023 annual analysis</x:v>
      </x:c>
      <x:c r="M215" s="15" t="n">
        <x:v>38</x:v>
      </x:c>
      <x:c r="N215" s="14" t="str">
        <x:v>Miguel Angel Maciel</x:v>
      </x:c>
      <x:c r="O215" s="14" t="str">
        <x:v>nm6382003</x:v>
      </x:c>
      <x:c r="P215" s="14" t="str">
        <x:v>Anciano</x:v>
      </x:c>
      <x:c r="Q215" s="15" t="n">
        <x:v>1</x:v>
      </x:c>
      <x:c r="R215" s="14" t="str">
        <x:v>2023</x:v>
      </x:c>
      <x:c r="S215" s="14" t="n">
        <x:v>2023</x:v>
      </x:c>
      <x:c r="T215" s="14" t="n">
        <x:v>2023</x:v>
      </x:c>
      <x:c r="U215" s="14" t="str">
        <x:v>Explicit source first year retained</x:v>
      </x:c>
      <x:c r="V215" s="14" t="str">
        <x:v>Earliest supplied year is 2023.</x:v>
      </x:c>
      <x:c r="W215" s="14"/>
      <x:c r="X215" s="14" t="str">
        <x:v>Included</x:v>
      </x:c>
      <x:c r="Y215" s="14"/>
      <x:c r="Z215" s="14" t="str">
        <x:v>The Curse.docx</x:v>
      </x:c>
      <x:c r="AA215" s="17" t="e">
        <x:f>HYPERLINK("https://www.imdb.com/title/tt16352098/fullcredits/","Open source")</x:f>
        <x:v>HYPERLINK is not implemented. linkLocation=https://www.imdb.com/title/tt16352098/fullcredits/,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Channel 4 / E4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HYPERLINK("https://en.wikipedia.org/wiki/The_Curse","Open source")</x:f>
        <x:v>HYPERLINK is not implemented. linkLocation=https://en.wikipedia.org/wiki/The_Curse, friendlyName=Open source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11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0.09090909090909091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7" t="e">
        <x:f>HYPERLINK("https://www.imdb.com/title/tt16352098/fullcredits/","Open source")</x:f>
        <x:v>HYPERLINK is not implemented. linkLocation=https://www.imdb.com/title/tt16352098/fullcredits/,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tt14190592|nm0873744|dr. samson</x:v>
      </x:c>
      <x:c r="B216" s="14" t="str">
        <x:v>06</x:v>
      </x:c>
      <x:c r="C216" s="14" t="str">
        <x:v>2022_IMDb_Cast_Lists_Batch_06(1).xlsx</x:v>
      </x:c>
      <x:c r="D216" s="14" t="str">
        <x:v>The Lazarus Project</x:v>
      </x:c>
      <x:c r="E216" s="14" t="n">
        <x:v>20</x:v>
      </x:c>
      <x:c r="F216" s="14" t="str">
        <x:v>The Lazarus Project</x:v>
      </x:c>
      <x:c r="G216" s="14" t="str">
        <x:v>tt14190592</x:v>
      </x:c>
      <x:c r="H216" s="14" t="n">
        <x:v>2022</x:v>
      </x:c>
      <x:c r="I216" s="14" t="n">
        <x:v>2023</x:v>
      </x:c>
      <x:c r="J216" s="14" t="str">
        <x:v>Earlier-Production Carry-In Cohort</x:v>
      </x:c>
      <x:c r="K216" s="14" t="n">
        <x:v>2022</x:v>
      </x:c>
      <x:c r="L216" s="14" t="str">
        <x:v>Used in 2023 annual analysis</x:v>
      </x:c>
      <x:c r="M216" s="15" t="n">
        <x:v>13</x:v>
      </x:c>
      <x:c r="N216" s="14" t="str">
        <x:v>Sam Troughton</x:v>
      </x:c>
      <x:c r="O216" s="14" t="str">
        <x:v>nm0873744</x:v>
      </x:c>
      <x:c r="P216" s="14" t="str">
        <x:v>Dr. Samson</x:v>
      </x:c>
      <x:c r="Q216" s="15" t="n">
        <x:v>8</x:v>
      </x:c>
      <x:c r="R216" s="14" t="str">
        <x:v>2023</x:v>
      </x:c>
      <x:c r="S216" s="14" t="n">
        <x:v>2023</x:v>
      </x:c>
      <x:c r="T216" s="14" t="n">
        <x:v>2023</x:v>
      </x:c>
      <x:c r="U216" s="14" t="str">
        <x:v>Explicit source first year retained</x:v>
      </x:c>
      <x:c r="V216" s="14" t="str">
        <x:v>Earliest supplied year is 2023.</x:v>
      </x:c>
      <x:c r="W216" s="14"/>
      <x:c r="X216" s="14" t="str">
        <x:v>Included</x:v>
      </x:c>
      <x:c r="Y216" s="14"/>
      <x:c r="Z216" s="14" t="str">
        <x:v>The Lazarus Project.docx</x:v>
      </x:c>
      <x:c r="AA216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Sky / NOW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16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8</x:v>
      </x:c>
      <x:c r="BS216" s="16" t="n">
        <x:v>0.5</x:v>
      </x:c>
      <x:c r="BT216" s="14" t="str">
        <x:v>Minority of episodes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tt14190592|nm11087705|becky</x:v>
      </x:c>
      <x:c r="B217" s="14" t="str">
        <x:v>06</x:v>
      </x:c>
      <x:c r="C217" s="14" t="str">
        <x:v>2022_IMDb_Cast_Lists_Batch_06(1).xlsx</x:v>
      </x:c>
      <x:c r="D217" s="14" t="str">
        <x:v>The Lazarus Project</x:v>
      </x:c>
      <x:c r="E217" s="14" t="n">
        <x:v>21</x:v>
      </x:c>
      <x:c r="F217" s="14" t="str">
        <x:v>The Lazarus Project</x:v>
      </x:c>
      <x:c r="G217" s="14" t="str">
        <x:v>tt14190592</x:v>
      </x:c>
      <x:c r="H217" s="14" t="n">
        <x:v>2022</x:v>
      </x:c>
      <x:c r="I217" s="14" t="n">
        <x:v>2023</x:v>
      </x:c>
      <x:c r="J217" s="14" t="str">
        <x:v>Earlier-Production Carry-In Cohort</x:v>
      </x:c>
      <x:c r="K217" s="14" t="n">
        <x:v>2022</x:v>
      </x:c>
      <x:c r="L217" s="14" t="str">
        <x:v>Used in 2023 annual analysis</x:v>
      </x:c>
      <x:c r="M217" s="15" t="n">
        <x:v>14</x:v>
      </x:c>
      <x:c r="N217" s="14" t="str">
        <x:v>Safia Oakley-Green</x:v>
      </x:c>
      <x:c r="O217" s="14" t="str">
        <x:v>nm11087705</x:v>
      </x:c>
      <x:c r="P217" s="14" t="str">
        <x:v>Becky</x:v>
      </x:c>
      <x:c r="Q217" s="15" t="n">
        <x:v>8</x:v>
      </x:c>
      <x:c r="R217" s="14" t="str">
        <x:v>2023</x:v>
      </x:c>
      <x:c r="S217" s="14" t="n">
        <x:v>2023</x:v>
      </x:c>
      <x:c r="T217" s="14" t="n">
        <x:v>2023</x:v>
      </x:c>
      <x:c r="U217" s="14" t="str">
        <x:v>Explicit source first year retained</x:v>
      </x:c>
      <x:c r="V217" s="14" t="str">
        <x:v>Earliest supplied year is 2023.</x:v>
      </x:c>
      <x:c r="W217" s="14"/>
      <x:c r="X217" s="14" t="str">
        <x:v>Included</x:v>
      </x:c>
      <x:c r="Y217" s="14"/>
      <x:c r="Z217" s="14" t="str">
        <x:v>The Lazarus Project.docx</x:v>
      </x:c>
      <x:c r="AA217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Sky / NOW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16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8</x:v>
      </x:c>
      <x:c r="BS217" s="16" t="n">
        <x:v>0.5</x:v>
      </x:c>
      <x:c r="BT217" s="14" t="str">
        <x:v>Minority of episodes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tt14190592|nm4817257|bryson</x:v>
      </x:c>
      <x:c r="B218" s="14" t="str">
        <x:v>06</x:v>
      </x:c>
      <x:c r="C218" s="14" t="str">
        <x:v>2022_IMDb_Cast_Lists_Batch_06(1).xlsx</x:v>
      </x:c>
      <x:c r="D218" s="14" t="str">
        <x:v>The Lazarus Project</x:v>
      </x:c>
      <x:c r="E218" s="14" t="n">
        <x:v>22</x:v>
      </x:c>
      <x:c r="F218" s="14" t="str">
        <x:v>The Lazarus Project</x:v>
      </x:c>
      <x:c r="G218" s="14" t="str">
        <x:v>tt14190592</x:v>
      </x:c>
      <x:c r="H218" s="14" t="n">
        <x:v>2022</x:v>
      </x:c>
      <x:c r="I218" s="14" t="n">
        <x:v>2023</x:v>
      </x:c>
      <x:c r="J218" s="14" t="str">
        <x:v>Earlier-Production Carry-In Cohort</x:v>
      </x:c>
      <x:c r="K218" s="14" t="n">
        <x:v>2022</x:v>
      </x:c>
      <x:c r="L218" s="14" t="str">
        <x:v>Used in 2023 annual analysis</x:v>
      </x:c>
      <x:c r="M218" s="15" t="n">
        <x:v>15</x:v>
      </x:c>
      <x:c r="N218" s="14" t="str">
        <x:v>Royce Pierreson</x:v>
      </x:c>
      <x:c r="O218" s="14" t="str">
        <x:v>nm4817257</x:v>
      </x:c>
      <x:c r="P218" s="14" t="str">
        <x:v>Bryson</x:v>
      </x:c>
      <x:c r="Q218" s="15" t="n">
        <x:v>7</x:v>
      </x:c>
      <x:c r="R218" s="14" t="str">
        <x:v>2023</x:v>
      </x:c>
      <x:c r="S218" s="14" t="n">
        <x:v>2023</x:v>
      </x:c>
      <x:c r="T218" s="14" t="n">
        <x:v>2023</x:v>
      </x:c>
      <x:c r="U218" s="14" t="str">
        <x:v>Explicit source first year retained</x:v>
      </x:c>
      <x:c r="V218" s="14" t="str">
        <x:v>Earliest supplied year is 2023.</x:v>
      </x:c>
      <x:c r="W218" s="14"/>
      <x:c r="X218" s="14" t="str">
        <x:v>Included</x:v>
      </x:c>
      <x:c r="Y218" s="14"/>
      <x:c r="Z218" s="14" t="str">
        <x:v>The Lazarus Project.docx</x:v>
      </x:c>
      <x:c r="AA218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Sky / NOW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16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7</x:v>
      </x:c>
      <x:c r="BS218" s="16" t="n">
        <x:v>0.4375</x:v>
      </x:c>
      <x:c r="BT218" s="14" t="str">
        <x:v>Minority of episodes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tt14190592|nm0758760|robin lerner</x:v>
      </x:c>
      <x:c r="B219" s="14" t="str">
        <x:v>06</x:v>
      </x:c>
      <x:c r="C219" s="14" t="str">
        <x:v>2022_IMDb_Cast_Lists_Batch_06(1).xlsx</x:v>
      </x:c>
      <x:c r="D219" s="14" t="str">
        <x:v>The Lazarus Project</x:v>
      </x:c>
      <x:c r="E219" s="14" t="n">
        <x:v>23</x:v>
      </x:c>
      <x:c r="F219" s="14" t="str">
        <x:v>The Lazarus Project</x:v>
      </x:c>
      <x:c r="G219" s="14" t="str">
        <x:v>tt14190592</x:v>
      </x:c>
      <x:c r="H219" s="14" t="n">
        <x:v>2022</x:v>
      </x:c>
      <x:c r="I219" s="14" t="n">
        <x:v>2023</x:v>
      </x:c>
      <x:c r="J219" s="14" t="str">
        <x:v>Earlier-Production Carry-In Cohort</x:v>
      </x:c>
      <x:c r="K219" s="14" t="n">
        <x:v>2022</x:v>
      </x:c>
      <x:c r="L219" s="14" t="str">
        <x:v>Used in 2023 annual analysis</x:v>
      </x:c>
      <x:c r="M219" s="15" t="n">
        <x:v>16</x:v>
      </x:c>
      <x:c r="N219" s="14" t="str">
        <x:v>Colin Salmon</x:v>
      </x:c>
      <x:c r="O219" s="14" t="str">
        <x:v>nm0758760</x:v>
      </x:c>
      <x:c r="P219" s="14" t="str">
        <x:v>Robin Lerner</x:v>
      </x:c>
      <x:c r="Q219" s="15" t="n">
        <x:v>7</x:v>
      </x:c>
      <x:c r="R219" s="14" t="str">
        <x:v>2023</x:v>
      </x:c>
      <x:c r="S219" s="14" t="n">
        <x:v>2023</x:v>
      </x:c>
      <x:c r="T219" s="14" t="n">
        <x:v>2023</x:v>
      </x:c>
      <x:c r="U219" s="14" t="str">
        <x:v>Explicit source first year retained</x:v>
      </x:c>
      <x:c r="V219" s="14" t="str">
        <x:v>Earliest supplied year is 2023.</x:v>
      </x:c>
      <x:c r="W219" s="14"/>
      <x:c r="X219" s="14" t="str">
        <x:v>Included</x:v>
      </x:c>
      <x:c r="Y219" s="14"/>
      <x:c r="Z219" s="14" t="str">
        <x:v>The Lazarus Project.docx</x:v>
      </x:c>
      <x:c r="AA219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Sky / NOW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16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7</x:v>
      </x:c>
      <x:c r="BS219" s="16" t="n">
        <x:v>0.4375</x:v>
      </x:c>
      <x:c r="BT219" s="14" t="str">
        <x:v>Minority of episodes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tt14190592|nm0854364|dr. kitty gray</x:v>
      </x:c>
      <x:c r="B220" s="14" t="str">
        <x:v>06</x:v>
      </x:c>
      <x:c r="C220" s="14" t="str">
        <x:v>2022_IMDb_Cast_Lists_Batch_06(1).xlsx</x:v>
      </x:c>
      <x:c r="D220" s="14" t="str">
        <x:v>The Lazarus Project</x:v>
      </x:c>
      <x:c r="E220" s="14" t="n">
        <x:v>24</x:v>
      </x:c>
      <x:c r="F220" s="14" t="str">
        <x:v>The Lazarus Project</x:v>
      </x:c>
      <x:c r="G220" s="14" t="str">
        <x:v>tt14190592</x:v>
      </x:c>
      <x:c r="H220" s="14" t="n">
        <x:v>2022</x:v>
      </x:c>
      <x:c r="I220" s="14" t="n">
        <x:v>2023</x:v>
      </x:c>
      <x:c r="J220" s="14" t="str">
        <x:v>Earlier-Production Carry-In Cohort</x:v>
      </x:c>
      <x:c r="K220" s="14" t="n">
        <x:v>2022</x:v>
      </x:c>
      <x:c r="L220" s="14" t="str">
        <x:v>Used in 2023 annual analysis</x:v>
      </x:c>
      <x:c r="M220" s="15" t="n">
        <x:v>17</x:v>
      </x:c>
      <x:c r="N220" s="14" t="str">
        <x:v>Zoe Telford</x:v>
      </x:c>
      <x:c r="O220" s="14" t="str">
        <x:v>nm0854364</x:v>
      </x:c>
      <x:c r="P220" s="14" t="str">
        <x:v>Dr. Kitty Gray</x:v>
      </x:c>
      <x:c r="Q220" s="15" t="n">
        <x:v>6</x:v>
      </x:c>
      <x:c r="R220" s="14" t="str">
        <x:v>2023</x:v>
      </x:c>
      <x:c r="S220" s="14" t="n">
        <x:v>2023</x:v>
      </x:c>
      <x:c r="T220" s="14" t="n">
        <x:v>2023</x:v>
      </x:c>
      <x:c r="U220" s="14" t="str">
        <x:v>Explicit source first year retained</x:v>
      </x:c>
      <x:c r="V220" s="14" t="str">
        <x:v>Earliest supplied year is 2023.</x:v>
      </x:c>
      <x:c r="W220" s="14"/>
      <x:c r="X220" s="14" t="str">
        <x:v>Included</x:v>
      </x:c>
      <x:c r="Y220" s="14"/>
      <x:c r="Z220" s="14" t="str">
        <x:v>The Lazarus Project.docx</x:v>
      </x:c>
      <x:c r="AA220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Sky / NOW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16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6</x:v>
      </x:c>
      <x:c r="BS220" s="16" t="n">
        <x:v>0.375</x:v>
      </x:c>
      <x:c r="BT220" s="14" t="str">
        <x:v>Minority of episodes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tt14190592|nm1161961|dr. li</x:v>
      </x:c>
      <x:c r="B221" s="14" t="str">
        <x:v>06</x:v>
      </x:c>
      <x:c r="C221" s="14" t="str">
        <x:v>2022_IMDb_Cast_Lists_Batch_06(1).xlsx</x:v>
      </x:c>
      <x:c r="D221" s="14" t="str">
        <x:v>The Lazarus Project</x:v>
      </x:c>
      <x:c r="E221" s="14" t="n">
        <x:v>25</x:v>
      </x:c>
      <x:c r="F221" s="14" t="str">
        <x:v>The Lazarus Project</x:v>
      </x:c>
      <x:c r="G221" s="14" t="str">
        <x:v>tt14190592</x:v>
      </x:c>
      <x:c r="H221" s="14" t="n">
        <x:v>2022</x:v>
      </x:c>
      <x:c r="I221" s="14" t="n">
        <x:v>2023</x:v>
      </x:c>
      <x:c r="J221" s="14" t="str">
        <x:v>Earlier-Production Carry-In Cohort</x:v>
      </x:c>
      <x:c r="K221" s="14" t="n">
        <x:v>2022</x:v>
      </x:c>
      <x:c r="L221" s="14" t="str">
        <x:v>Used in 2023 annual analysis</x:v>
      </x:c>
      <x:c r="M221" s="15" t="n">
        <x:v>18</x:v>
      </x:c>
      <x:c r="N221" s="14" t="str">
        <x:v>Dan Li</x:v>
      </x:c>
      <x:c r="O221" s="14" t="str">
        <x:v>nm1161961</x:v>
      </x:c>
      <x:c r="P221" s="14" t="str">
        <x:v>Dr. Li</x:v>
      </x:c>
      <x:c r="Q221" s="15" t="n">
        <x:v>6</x:v>
      </x:c>
      <x:c r="R221" s="14" t="str">
        <x:v>2023</x:v>
      </x:c>
      <x:c r="S221" s="14" t="n">
        <x:v>2023</x:v>
      </x:c>
      <x:c r="T221" s="14" t="n">
        <x:v>2023</x:v>
      </x:c>
      <x:c r="U221" s="14" t="str">
        <x:v>Explicit source first year retained</x:v>
      </x:c>
      <x:c r="V221" s="14" t="str">
        <x:v>Earliest supplied year is 2023.</x:v>
      </x:c>
      <x:c r="W221" s="14"/>
      <x:c r="X221" s="14" t="str">
        <x:v>Included</x:v>
      </x:c>
      <x:c r="Y221" s="14"/>
      <x:c r="Z221" s="14" t="str">
        <x:v>The Lazarus Project.docx</x:v>
      </x:c>
      <x:c r="AA221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Sky / NOW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16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6</x:v>
      </x:c>
      <x:c r="BS221" s="16" t="n">
        <x:v>0.375</x:v>
      </x:c>
      <x:c r="BT221" s="14" t="str">
        <x:v>Minority of episodes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tt14190592|nm4676915|dr. morgenstein</x:v>
      </x:c>
      <x:c r="B222" s="14" t="str">
        <x:v>06</x:v>
      </x:c>
      <x:c r="C222" s="14" t="str">
        <x:v>2022_IMDb_Cast_Lists_Batch_06(1).xlsx</x:v>
      </x:c>
      <x:c r="D222" s="14" t="str">
        <x:v>The Lazarus Project</x:v>
      </x:c>
      <x:c r="E222" s="14" t="n">
        <x:v>26</x:v>
      </x:c>
      <x:c r="F222" s="14" t="str">
        <x:v>The Lazarus Project</x:v>
      </x:c>
      <x:c r="G222" s="14" t="str">
        <x:v>tt14190592</x:v>
      </x:c>
      <x:c r="H222" s="14" t="n">
        <x:v>2022</x:v>
      </x:c>
      <x:c r="I222" s="14" t="n">
        <x:v>2023</x:v>
      </x:c>
      <x:c r="J222" s="14" t="str">
        <x:v>Earlier-Production Carry-In Cohort</x:v>
      </x:c>
      <x:c r="K222" s="14" t="n">
        <x:v>2022</x:v>
      </x:c>
      <x:c r="L222" s="14" t="str">
        <x:v>Used in 2023 annual analysis</x:v>
      </x:c>
      <x:c r="M222" s="15" t="n">
        <x:v>19</x:v>
      </x:c>
      <x:c r="N222" s="14" t="str">
        <x:v>Rosie Jones</x:v>
      </x:c>
      <x:c r="O222" s="14" t="str">
        <x:v>nm4676915</x:v>
      </x:c>
      <x:c r="P222" s="14" t="str">
        <x:v>Dr. Morgenstein</x:v>
      </x:c>
      <x:c r="Q222" s="15" t="n">
        <x:v>5</x:v>
      </x:c>
      <x:c r="R222" s="14" t="str">
        <x:v>2023</x:v>
      </x:c>
      <x:c r="S222" s="14" t="n">
        <x:v>2023</x:v>
      </x:c>
      <x:c r="T222" s="14" t="n">
        <x:v>2023</x:v>
      </x:c>
      <x:c r="U222" s="14" t="str">
        <x:v>Explicit source first year retained</x:v>
      </x:c>
      <x:c r="V222" s="14" t="str">
        <x:v>Earliest supplied year is 2023.</x:v>
      </x:c>
      <x:c r="W222" s="14"/>
      <x:c r="X222" s="14" t="str">
        <x:v>Included</x:v>
      </x:c>
      <x:c r="Y222" s="14"/>
      <x:c r="Z222" s="14" t="str">
        <x:v>The Lazarus Project.docx</x:v>
      </x:c>
      <x:c r="AA222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Sky / NOW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16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5</x:v>
      </x:c>
      <x:c r="BS222" s="16" t="n">
        <x:v>0.3125</x:v>
      </x:c>
      <x:c r="BT222" s="14" t="str">
        <x:v>Minority of episodes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tt14190592|nm11703419|young becky</x:v>
      </x:c>
      <x:c r="B223" s="14" t="str">
        <x:v>06</x:v>
      </x:c>
      <x:c r="C223" s="14" t="str">
        <x:v>2022_IMDb_Cast_Lists_Batch_06(1).xlsx</x:v>
      </x:c>
      <x:c r="D223" s="14" t="str">
        <x:v>The Lazarus Project</x:v>
      </x:c>
      <x:c r="E223" s="14" t="n">
        <x:v>27</x:v>
      </x:c>
      <x:c r="F223" s="14" t="str">
        <x:v>The Lazarus Project</x:v>
      </x:c>
      <x:c r="G223" s="14" t="str">
        <x:v>tt14190592</x:v>
      </x:c>
      <x:c r="H223" s="14" t="n">
        <x:v>2022</x:v>
      </x:c>
      <x:c r="I223" s="14" t="n">
        <x:v>2023</x:v>
      </x:c>
      <x:c r="J223" s="14" t="str">
        <x:v>Earlier-Production Carry-In Cohort</x:v>
      </x:c>
      <x:c r="K223" s="14" t="n">
        <x:v>2022</x:v>
      </x:c>
      <x:c r="L223" s="14" t="str">
        <x:v>Used in 2023 annual analysis</x:v>
      </x:c>
      <x:c r="M223" s="15" t="n">
        <x:v>20</x:v>
      </x:c>
      <x:c r="N223" s="14" t="str">
        <x:v>Priya-Rose Brookwell</x:v>
      </x:c>
      <x:c r="O223" s="14" t="str">
        <x:v>nm11703419</x:v>
      </x:c>
      <x:c r="P223" s="14" t="str">
        <x:v>Young Becky</x:v>
      </x:c>
      <x:c r="Q223" s="15" t="n">
        <x:v>5</x:v>
      </x:c>
      <x:c r="R223" s="14" t="str">
        <x:v>2023</x:v>
      </x:c>
      <x:c r="S223" s="14" t="n">
        <x:v>2023</x:v>
      </x:c>
      <x:c r="T223" s="14" t="n">
        <x:v>2023</x:v>
      </x:c>
      <x:c r="U223" s="14" t="str">
        <x:v>Explicit source first year retained</x:v>
      </x:c>
      <x:c r="V223" s="14" t="str">
        <x:v>Earliest supplied year is 2023.</x:v>
      </x:c>
      <x:c r="W223" s="14"/>
      <x:c r="X223" s="14" t="str">
        <x:v>Included</x:v>
      </x:c>
      <x:c r="Y223" s="14"/>
      <x:c r="Z223" s="14" t="str">
        <x:v>The Lazarus Project.docx</x:v>
      </x:c>
      <x:c r="AA223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Sky / NOW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16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5</x:v>
      </x:c>
      <x:c r="BS223" s="16" t="n">
        <x:v>0.3125</x:v>
      </x:c>
      <x:c r="BT223" s="14" t="str">
        <x:v>Minority of episodes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tt14190592|nm4461976|cormac</x:v>
      </x:c>
      <x:c r="B224" s="14" t="str">
        <x:v>06</x:v>
      </x:c>
      <x:c r="C224" s="14" t="str">
        <x:v>2022_IMDb_Cast_Lists_Batch_06(1).xlsx</x:v>
      </x:c>
      <x:c r="D224" s="14" t="str">
        <x:v>The Lazarus Project</x:v>
      </x:c>
      <x:c r="E224" s="14" t="n">
        <x:v>33</x:v>
      </x:c>
      <x:c r="F224" s="14" t="str">
        <x:v>The Lazarus Project</x:v>
      </x:c>
      <x:c r="G224" s="14" t="str">
        <x:v>tt14190592</x:v>
      </x:c>
      <x:c r="H224" s="14" t="n">
        <x:v>2022</x:v>
      </x:c>
      <x:c r="I224" s="14" t="n">
        <x:v>2023</x:v>
      </x:c>
      <x:c r="J224" s="14" t="str">
        <x:v>Earlier-Production Carry-In Cohort</x:v>
      </x:c>
      <x:c r="K224" s="14" t="n">
        <x:v>2022</x:v>
      </x:c>
      <x:c r="L224" s="14" t="str">
        <x:v>Used in 2023 annual analysis</x:v>
      </x:c>
      <x:c r="M224" s="15" t="n">
        <x:v>26</x:v>
      </x:c>
      <x:c r="N224" s="14" t="str">
        <x:v>Lorne MacFadyen</x:v>
      </x:c>
      <x:c r="O224" s="14" t="str">
        <x:v>nm4461976</x:v>
      </x:c>
      <x:c r="P224" s="14" t="str">
        <x:v>Cormac</x:v>
      </x:c>
      <x:c r="Q224" s="15" t="n">
        <x:v>3</x:v>
      </x:c>
      <x:c r="R224" s="14" t="str">
        <x:v>2023</x:v>
      </x:c>
      <x:c r="S224" s="14" t="n">
        <x:v>2023</x:v>
      </x:c>
      <x:c r="T224" s="14" t="n">
        <x:v>2023</x:v>
      </x:c>
      <x:c r="U224" s="14" t="str">
        <x:v>Explicit source first year retained</x:v>
      </x:c>
      <x:c r="V224" s="14" t="str">
        <x:v>Earliest supplied year is 2023.</x:v>
      </x:c>
      <x:c r="W224" s="14"/>
      <x:c r="X224" s="14" t="str">
        <x:v>Included</x:v>
      </x:c>
      <x:c r="Y224" s="14"/>
      <x:c r="Z224" s="14" t="str">
        <x:v>The Lazarus Project.docx</x:v>
      </x:c>
      <x:c r="AA224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Sky / NOW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16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3</x:v>
      </x:c>
      <x:c r="BS224" s="16" t="n">
        <x:v>0.1875</x:v>
      </x:c>
      <x:c r="BT224" s="14" t="str">
        <x:v>Minority of episodes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tt14190592|nm10859109|young bryson</x:v>
      </x:c>
      <x:c r="B225" s="14" t="str">
        <x:v>06</x:v>
      </x:c>
      <x:c r="C225" s="14" t="str">
        <x:v>2022_IMDb_Cast_Lists_Batch_06(1).xlsx</x:v>
      </x:c>
      <x:c r="D225" s="14" t="str">
        <x:v>The Lazarus Project</x:v>
      </x:c>
      <x:c r="E225" s="14" t="n">
        <x:v>34</x:v>
      </x:c>
      <x:c r="F225" s="14" t="str">
        <x:v>The Lazarus Project</x:v>
      </x:c>
      <x:c r="G225" s="14" t="str">
        <x:v>tt14190592</x:v>
      </x:c>
      <x:c r="H225" s="14" t="n">
        <x:v>2022</x:v>
      </x:c>
      <x:c r="I225" s="14" t="n">
        <x:v>2023</x:v>
      </x:c>
      <x:c r="J225" s="14" t="str">
        <x:v>Earlier-Production Carry-In Cohort</x:v>
      </x:c>
      <x:c r="K225" s="14" t="n">
        <x:v>2022</x:v>
      </x:c>
      <x:c r="L225" s="14" t="str">
        <x:v>Used in 2023 annual analysis</x:v>
      </x:c>
      <x:c r="M225" s="15" t="n">
        <x:v>27</x:v>
      </x:c>
      <x:c r="N225" s="14" t="str">
        <x:v>Amaree Ali</x:v>
      </x:c>
      <x:c r="O225" s="14" t="str">
        <x:v>nm10859109</x:v>
      </x:c>
      <x:c r="P225" s="14" t="str">
        <x:v>Young Bryson</x:v>
      </x:c>
      <x:c r="Q225" s="15" t="n">
        <x:v>3</x:v>
      </x:c>
      <x:c r="R225" s="14" t="str">
        <x:v>2023</x:v>
      </x:c>
      <x:c r="S225" s="14" t="n">
        <x:v>2023</x:v>
      </x:c>
      <x:c r="T225" s="14" t="n">
        <x:v>2023</x:v>
      </x:c>
      <x:c r="U225" s="14" t="str">
        <x:v>Explicit source first year retained</x:v>
      </x:c>
      <x:c r="V225" s="14" t="str">
        <x:v>Earliest supplied year is 2023.</x:v>
      </x:c>
      <x:c r="W225" s="14"/>
      <x:c r="X225" s="14" t="str">
        <x:v>Included</x:v>
      </x:c>
      <x:c r="Y225" s="14"/>
      <x:c r="Z225" s="14" t="str">
        <x:v>The Lazarus Project.docx</x:v>
      </x:c>
      <x:c r="AA225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Sky / NOW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16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3</x:v>
      </x:c>
      <x:c r="BS225" s="16" t="n">
        <x:v>0.1875</x:v>
      </x:c>
      <x:c r="BT225" s="14" t="str">
        <x:v>Minority of episodes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tt14190592|nm3526379|michael</x:v>
      </x:c>
      <x:c r="B226" s="14" t="str">
        <x:v>06</x:v>
      </x:c>
      <x:c r="C226" s="14" t="str">
        <x:v>2022_IMDb_Cast_Lists_Batch_06(1).xlsx</x:v>
      </x:c>
      <x:c r="D226" s="14" t="str">
        <x:v>The Lazarus Project</x:v>
      </x:c>
      <x:c r="E226" s="14" t="n">
        <x:v>44</x:v>
      </x:c>
      <x:c r="F226" s="14" t="str">
        <x:v>The Lazarus Project</x:v>
      </x:c>
      <x:c r="G226" s="14" t="str">
        <x:v>tt14190592</x:v>
      </x:c>
      <x:c r="H226" s="14" t="n">
        <x:v>2022</x:v>
      </x:c>
      <x:c r="I226" s="14" t="n">
        <x:v>2023</x:v>
      </x:c>
      <x:c r="J226" s="14" t="str">
        <x:v>Earlier-Production Carry-In Cohort</x:v>
      </x:c>
      <x:c r="K226" s="14" t="n">
        <x:v>2022</x:v>
      </x:c>
      <x:c r="L226" s="14" t="str">
        <x:v>Used in 2023 annual analysis</x:v>
      </x:c>
      <x:c r="M226" s="15" t="n">
        <x:v>37</x:v>
      </x:c>
      <x:c r="N226" s="14" t="str">
        <x:v>James Atherton</x:v>
      </x:c>
      <x:c r="O226" s="14" t="str">
        <x:v>nm3526379</x:v>
      </x:c>
      <x:c r="P226" s="14" t="str">
        <x:v>Michael</x:v>
      </x:c>
      <x:c r="Q226" s="15" t="n">
        <x:v>2</x:v>
      </x:c>
      <x:c r="R226" s="14" t="str">
        <x:v>2023</x:v>
      </x:c>
      <x:c r="S226" s="14" t="n">
        <x:v>2023</x:v>
      </x:c>
      <x:c r="T226" s="14" t="n">
        <x:v>2023</x:v>
      </x:c>
      <x:c r="U226" s="14" t="str">
        <x:v>Explicit source first year retained</x:v>
      </x:c>
      <x:c r="V226" s="14" t="str">
        <x:v>Earliest supplied year is 2023.</x:v>
      </x:c>
      <x:c r="W226" s="14"/>
      <x:c r="X226" s="14" t="str">
        <x:v>Included</x:v>
      </x:c>
      <x:c r="Y226" s="14"/>
      <x:c r="Z226" s="14" t="str">
        <x:v>The Lazarus Project.docx</x:v>
      </x:c>
      <x:c r="AA226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Sky / NOW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16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2</x:v>
      </x:c>
      <x:c r="BS226" s="16" t="n">
        <x:v>0.125</x:v>
      </x:c>
      <x:c r="BT226" s="14" t="str">
        <x:v>Minority of episodes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tt14190592|nm1544303|sam</x:v>
      </x:c>
      <x:c r="B227" s="14" t="str">
        <x:v>06</x:v>
      </x:c>
      <x:c r="C227" s="14" t="str">
        <x:v>2022_IMDb_Cast_Lists_Batch_06(1).xlsx</x:v>
      </x:c>
      <x:c r="D227" s="14" t="str">
        <x:v>The Lazarus Project</x:v>
      </x:c>
      <x:c r="E227" s="14" t="n">
        <x:v>49</x:v>
      </x:c>
      <x:c r="F227" s="14" t="str">
        <x:v>The Lazarus Project</x:v>
      </x:c>
      <x:c r="G227" s="14" t="str">
        <x:v>tt14190592</x:v>
      </x:c>
      <x:c r="H227" s="14" t="n">
        <x:v>2022</x:v>
      </x:c>
      <x:c r="I227" s="14" t="n">
        <x:v>2023</x:v>
      </x:c>
      <x:c r="J227" s="14" t="str">
        <x:v>Earlier-Production Carry-In Cohort</x:v>
      </x:c>
      <x:c r="K227" s="14" t="n">
        <x:v>2022</x:v>
      </x:c>
      <x:c r="L227" s="14" t="str">
        <x:v>Used in 2023 annual analysis</x:v>
      </x:c>
      <x:c r="M227" s="15" t="n">
        <x:v>42</x:v>
      </x:c>
      <x:c r="N227" s="14" t="str">
        <x:v>Abe Jarman</x:v>
      </x:c>
      <x:c r="O227" s="14" t="str">
        <x:v>nm1544303</x:v>
      </x:c>
      <x:c r="P227" s="14" t="str">
        <x:v>Sam</x:v>
      </x:c>
      <x:c r="Q227" s="15" t="n">
        <x:v>2</x:v>
      </x:c>
      <x:c r="R227" s="14" t="str">
        <x:v>2023</x:v>
      </x:c>
      <x:c r="S227" s="14" t="n">
        <x:v>2023</x:v>
      </x:c>
      <x:c r="T227" s="14" t="n">
        <x:v>2023</x:v>
      </x:c>
      <x:c r="U227" s="14" t="str">
        <x:v>Explicit source first year retained</x:v>
      </x:c>
      <x:c r="V227" s="14" t="str">
        <x:v>Earliest supplied year is 2023.</x:v>
      </x:c>
      <x:c r="W227" s="14"/>
      <x:c r="X227" s="14" t="str">
        <x:v>Included</x:v>
      </x:c>
      <x:c r="Y227" s="14"/>
      <x:c r="Z227" s="14" t="str">
        <x:v>The Lazarus Project.docx</x:v>
      </x:c>
      <x:c r="AA227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Sky / NOW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16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2</x:v>
      </x:c>
      <x:c r="BS227" s="16" t="n">
        <x:v>0.125</x:v>
      </x:c>
      <x:c r="BT227" s="14" t="str">
        <x:v>Minority of episodes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tt14190592|nm8297121|jones</x:v>
      </x:c>
      <x:c r="B228" s="14" t="str">
        <x:v>06</x:v>
      </x:c>
      <x:c r="C228" s="14" t="str">
        <x:v>2022_IMDb_Cast_Lists_Batch_06(1).xlsx</x:v>
      </x:c>
      <x:c r="D228" s="14" t="str">
        <x:v>The Lazarus Project</x:v>
      </x:c>
      <x:c r="E228" s="14" t="n">
        <x:v>50</x:v>
      </x:c>
      <x:c r="F228" s="14" t="str">
        <x:v>The Lazarus Project</x:v>
      </x:c>
      <x:c r="G228" s="14" t="str">
        <x:v>tt14190592</x:v>
      </x:c>
      <x:c r="H228" s="14" t="n">
        <x:v>2022</x:v>
      </x:c>
      <x:c r="I228" s="14" t="n">
        <x:v>2023</x:v>
      </x:c>
      <x:c r="J228" s="14" t="str">
        <x:v>Earlier-Production Carry-In Cohort</x:v>
      </x:c>
      <x:c r="K228" s="14" t="n">
        <x:v>2022</x:v>
      </x:c>
      <x:c r="L228" s="14" t="str">
        <x:v>Used in 2023 annual analysis</x:v>
      </x:c>
      <x:c r="M228" s="15" t="n">
        <x:v>43</x:v>
      </x:c>
      <x:c r="N228" s="14" t="str">
        <x:v>Matt Concannon</x:v>
      </x:c>
      <x:c r="O228" s="14" t="str">
        <x:v>nm8297121</x:v>
      </x:c>
      <x:c r="P228" s="14" t="str">
        <x:v>Jones</x:v>
      </x:c>
      <x:c r="Q228" s="15" t="n">
        <x:v>2</x:v>
      </x:c>
      <x:c r="R228" s="14" t="str">
        <x:v>2023</x:v>
      </x:c>
      <x:c r="S228" s="14" t="n">
        <x:v>2023</x:v>
      </x:c>
      <x:c r="T228" s="14" t="n">
        <x:v>2023</x:v>
      </x:c>
      <x:c r="U228" s="14" t="str">
        <x:v>Explicit source first year retained</x:v>
      </x:c>
      <x:c r="V228" s="14" t="str">
        <x:v>Earliest supplied year is 2023.</x:v>
      </x:c>
      <x:c r="W228" s="14"/>
      <x:c r="X228" s="14" t="str">
        <x:v>Included</x:v>
      </x:c>
      <x:c r="Y228" s="14"/>
      <x:c r="Z228" s="14" t="str">
        <x:v>The Lazarus Project.docx</x:v>
      </x:c>
      <x:c r="AA228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Sky / NOW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16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2</x:v>
      </x:c>
      <x:c r="BS228" s="16" t="n">
        <x:v>0.125</x:v>
      </x:c>
      <x:c r="BT228" s="14" t="str">
        <x:v>Minority of episodes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tt14190592|nm3598512|hans</x:v>
      </x:c>
      <x:c r="B229" s="14" t="str">
        <x:v>06</x:v>
      </x:c>
      <x:c r="C229" s="14" t="str">
        <x:v>2022_IMDb_Cast_Lists_Batch_06(1).xlsx</x:v>
      </x:c>
      <x:c r="D229" s="14" t="str">
        <x:v>The Lazarus Project</x:v>
      </x:c>
      <x:c r="E229" s="14" t="n">
        <x:v>60</x:v>
      </x:c>
      <x:c r="F229" s="14" t="str">
        <x:v>The Lazarus Project</x:v>
      </x:c>
      <x:c r="G229" s="14" t="str">
        <x:v>tt14190592</x:v>
      </x:c>
      <x:c r="H229" s="14" t="n">
        <x:v>2022</x:v>
      </x:c>
      <x:c r="I229" s="14" t="n">
        <x:v>2023</x:v>
      </x:c>
      <x:c r="J229" s="14" t="str">
        <x:v>Earlier-Production Carry-In Cohort</x:v>
      </x:c>
      <x:c r="K229" s="14" t="n">
        <x:v>2022</x:v>
      </x:c>
      <x:c r="L229" s="14" t="str">
        <x:v>Used in 2023 annual analysis</x:v>
      </x:c>
      <x:c r="M229" s="15" t="n">
        <x:v>53</x:v>
      </x:c>
      <x:c r="N229" s="14" t="str">
        <x:v>Paul Boche</x:v>
      </x:c>
      <x:c r="O229" s="14" t="str">
        <x:v>nm3598512</x:v>
      </x:c>
      <x:c r="P229" s="14" t="str">
        <x:v>Hans</x:v>
      </x:c>
      <x:c r="Q229" s="15" t="n">
        <x:v>1</x:v>
      </x:c>
      <x:c r="R229" s="14" t="str">
        <x:v>2023</x:v>
      </x:c>
      <x:c r="S229" s="14" t="n">
        <x:v>2023</x:v>
      </x:c>
      <x:c r="T229" s="14" t="n">
        <x:v>2023</x:v>
      </x:c>
      <x:c r="U229" s="14" t="str">
        <x:v>Explicit source first year retained</x:v>
      </x:c>
      <x:c r="V229" s="14" t="str">
        <x:v>Earliest supplied year is 2023.</x:v>
      </x:c>
      <x:c r="W229" s="14"/>
      <x:c r="X229" s="14" t="str">
        <x:v>Included</x:v>
      </x:c>
      <x:c r="Y229" s="14"/>
      <x:c r="Z229" s="14" t="str">
        <x:v>The Lazarus Project.docx</x:v>
      </x:c>
      <x:c r="AA229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Sky / NOW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16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1</x:v>
      </x:c>
      <x:c r="BS229" s="16" t="n">
        <x:v>0.0625</x:v>
      </x:c>
      <x:c r="BT229" s="14" t="str">
        <x:v>One episode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tt14190592|nm10961338|car driver</x:v>
      </x:c>
      <x:c r="B230" s="14" t="str">
        <x:v>06</x:v>
      </x:c>
      <x:c r="C230" s="14" t="str">
        <x:v>2022_IMDb_Cast_Lists_Batch_06(1).xlsx</x:v>
      </x:c>
      <x:c r="D230" s="14" t="str">
        <x:v>The Lazarus Project</x:v>
      </x:c>
      <x:c r="E230" s="14" t="n">
        <x:v>73</x:v>
      </x:c>
      <x:c r="F230" s="14" t="str">
        <x:v>The Lazarus Project</x:v>
      </x:c>
      <x:c r="G230" s="14" t="str">
        <x:v>tt14190592</x:v>
      </x:c>
      <x:c r="H230" s="14" t="n">
        <x:v>2022</x:v>
      </x:c>
      <x:c r="I230" s="14" t="n">
        <x:v>2023</x:v>
      </x:c>
      <x:c r="J230" s="14" t="str">
        <x:v>Earlier-Production Carry-In Cohort</x:v>
      </x:c>
      <x:c r="K230" s="14" t="n">
        <x:v>2022</x:v>
      </x:c>
      <x:c r="L230" s="14" t="str">
        <x:v>Used in 2023 annual analysis</x:v>
      </x:c>
      <x:c r="M230" s="15" t="n">
        <x:v>66</x:v>
      </x:c>
      <x:c r="N230" s="14" t="str">
        <x:v>Tommy Burgess</x:v>
      </x:c>
      <x:c r="O230" s="14" t="str">
        <x:v>nm10961338</x:v>
      </x:c>
      <x:c r="P230" s="14" t="str">
        <x:v>Car Driver</x:v>
      </x:c>
      <x:c r="Q230" s="15" t="n">
        <x:v>1</x:v>
      </x:c>
      <x:c r="R230" s="14" t="str">
        <x:v>2023</x:v>
      </x:c>
      <x:c r="S230" s="14" t="n">
        <x:v>2023</x:v>
      </x:c>
      <x:c r="T230" s="14" t="n">
        <x:v>2023</x:v>
      </x:c>
      <x:c r="U230" s="14" t="str">
        <x:v>Explicit source first year retained</x:v>
      </x:c>
      <x:c r="V230" s="14" t="str">
        <x:v>Earliest supplied year is 2023.</x:v>
      </x:c>
      <x:c r="W230" s="14"/>
      <x:c r="X230" s="14" t="str">
        <x:v>Included</x:v>
      </x:c>
      <x:c r="Y230" s="14"/>
      <x:c r="Z230" s="14" t="str">
        <x:v>The Lazarus Project.docx</x:v>
      </x:c>
      <x:c r="AA230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Sky / NOW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16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1</x:v>
      </x:c>
      <x:c r="BS230" s="16" t="n">
        <x:v>0.0625</x:v>
      </x:c>
      <x:c r="BT230" s="14" t="str">
        <x:v>One episode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tt14190592|nm2364106|morris</x:v>
      </x:c>
      <x:c r="B231" s="14" t="str">
        <x:v>06</x:v>
      </x:c>
      <x:c r="C231" s="14" t="str">
        <x:v>2022_IMDb_Cast_Lists_Batch_06(1).xlsx</x:v>
      </x:c>
      <x:c r="D231" s="14" t="str">
        <x:v>The Lazarus Project</x:v>
      </x:c>
      <x:c r="E231" s="14" t="n">
        <x:v>85</x:v>
      </x:c>
      <x:c r="F231" s="14" t="str">
        <x:v>The Lazarus Project</x:v>
      </x:c>
      <x:c r="G231" s="14" t="str">
        <x:v>tt14190592</x:v>
      </x:c>
      <x:c r="H231" s="14" t="n">
        <x:v>2022</x:v>
      </x:c>
      <x:c r="I231" s="14" t="n">
        <x:v>2023</x:v>
      </x:c>
      <x:c r="J231" s="14" t="str">
        <x:v>Earlier-Production Carry-In Cohort</x:v>
      </x:c>
      <x:c r="K231" s="14" t="n">
        <x:v>2022</x:v>
      </x:c>
      <x:c r="L231" s="14" t="str">
        <x:v>Used in 2023 annual analysis</x:v>
      </x:c>
      <x:c r="M231" s="15" t="n">
        <x:v>78</x:v>
      </x:c>
      <x:c r="N231" s="14" t="str">
        <x:v>Joseph Steyne</x:v>
      </x:c>
      <x:c r="O231" s="14" t="str">
        <x:v>nm2364106</x:v>
      </x:c>
      <x:c r="P231" s="14" t="str">
        <x:v>Morris</x:v>
      </x:c>
      <x:c r="Q231" s="15" t="n">
        <x:v>1</x:v>
      </x:c>
      <x:c r="R231" s="14" t="str">
        <x:v>2023</x:v>
      </x:c>
      <x:c r="S231" s="14" t="n">
        <x:v>2023</x:v>
      </x:c>
      <x:c r="T231" s="14" t="n">
        <x:v>2023</x:v>
      </x:c>
      <x:c r="U231" s="14" t="str">
        <x:v>Explicit source first year retained</x:v>
      </x:c>
      <x:c r="V231" s="14" t="str">
        <x:v>Earliest supplied year is 2023.</x:v>
      </x:c>
      <x:c r="W231" s="14"/>
      <x:c r="X231" s="14" t="str">
        <x:v>Included</x:v>
      </x:c>
      <x:c r="Y231" s="14"/>
      <x:c r="Z231" s="14" t="str">
        <x:v>The Lazarus Project.docx</x:v>
      </x:c>
      <x:c r="AA231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Sky / NOW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16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1</x:v>
      </x:c>
      <x:c r="BS231" s="16" t="n">
        <x:v>0.0625</x:v>
      </x:c>
      <x:c r="BT231" s="14" t="str">
        <x:v>One episode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tt14190592|nm10715869|dr. feng</x:v>
      </x:c>
      <x:c r="B232" s="14" t="str">
        <x:v>06</x:v>
      </x:c>
      <x:c r="C232" s="14" t="str">
        <x:v>2022_IMDb_Cast_Lists_Batch_06(1).xlsx</x:v>
      </x:c>
      <x:c r="D232" s="14" t="str">
        <x:v>The Lazarus Project</x:v>
      </x:c>
      <x:c r="E232" s="14" t="n">
        <x:v>86</x:v>
      </x:c>
      <x:c r="F232" s="14" t="str">
        <x:v>The Lazarus Project</x:v>
      </x:c>
      <x:c r="G232" s="14" t="str">
        <x:v>tt14190592</x:v>
      </x:c>
      <x:c r="H232" s="14" t="n">
        <x:v>2022</x:v>
      </x:c>
      <x:c r="I232" s="14" t="n">
        <x:v>2023</x:v>
      </x:c>
      <x:c r="J232" s="14" t="str">
        <x:v>Earlier-Production Carry-In Cohort</x:v>
      </x:c>
      <x:c r="K232" s="14" t="n">
        <x:v>2022</x:v>
      </x:c>
      <x:c r="L232" s="14" t="str">
        <x:v>Used in 2023 annual analysis</x:v>
      </x:c>
      <x:c r="M232" s="15" t="n">
        <x:v>79</x:v>
      </x:c>
      <x:c r="N232" s="14" t="str">
        <x:v>Steven H. Li</x:v>
      </x:c>
      <x:c r="O232" s="14" t="str">
        <x:v>nm10715869</x:v>
      </x:c>
      <x:c r="P232" s="14" t="str">
        <x:v>Dr. Feng</x:v>
      </x:c>
      <x:c r="Q232" s="15" t="n">
        <x:v>1</x:v>
      </x:c>
      <x:c r="R232" s="14" t="str">
        <x:v>2023</x:v>
      </x:c>
      <x:c r="S232" s="14" t="n">
        <x:v>2023</x:v>
      </x:c>
      <x:c r="T232" s="14" t="n">
        <x:v>2023</x:v>
      </x:c>
      <x:c r="U232" s="14" t="str">
        <x:v>Explicit source first year retained</x:v>
      </x:c>
      <x:c r="V232" s="14" t="str">
        <x:v>Earliest supplied year is 2023.</x:v>
      </x:c>
      <x:c r="W232" s="14"/>
      <x:c r="X232" s="14" t="str">
        <x:v>Included</x:v>
      </x:c>
      <x:c r="Y232" s="14"/>
      <x:c r="Z232" s="14" t="str">
        <x:v>The Lazarus Project.docx</x:v>
      </x:c>
      <x:c r="AA232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Sky / NOW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16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1</x:v>
      </x:c>
      <x:c r="BS232" s="16" t="n">
        <x:v>0.0625</x:v>
      </x:c>
      <x:c r="BT232" s="14" t="str">
        <x:v>One episode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tt14190592|nm0237629|dr. harrison</x:v>
      </x:c>
      <x:c r="B233" s="14" t="str">
        <x:v>06</x:v>
      </x:c>
      <x:c r="C233" s="14" t="str">
        <x:v>2022_IMDb_Cast_Lists_Batch_06(1).xlsx</x:v>
      </x:c>
      <x:c r="D233" s="14" t="str">
        <x:v>The Lazarus Project</x:v>
      </x:c>
      <x:c r="E233" s="14" t="n">
        <x:v>94</x:v>
      </x:c>
      <x:c r="F233" s="14" t="str">
        <x:v>The Lazarus Project</x:v>
      </x:c>
      <x:c r="G233" s="14" t="str">
        <x:v>tt14190592</x:v>
      </x:c>
      <x:c r="H233" s="14" t="n">
        <x:v>2022</x:v>
      </x:c>
      <x:c r="I233" s="14" t="n">
        <x:v>2023</x:v>
      </x:c>
      <x:c r="J233" s="14" t="str">
        <x:v>Earlier-Production Carry-In Cohort</x:v>
      </x:c>
      <x:c r="K233" s="14" t="n">
        <x:v>2022</x:v>
      </x:c>
      <x:c r="L233" s="14" t="str">
        <x:v>Used in 2023 annual analysis</x:v>
      </x:c>
      <x:c r="M233" s="15" t="n">
        <x:v>87</x:v>
      </x:c>
      <x:c r="N233" s="14" t="str">
        <x:v>Amanda Drew</x:v>
      </x:c>
      <x:c r="O233" s="14" t="str">
        <x:v>nm0237629</x:v>
      </x:c>
      <x:c r="P233" s="14" t="str">
        <x:v>Dr. Harrison</x:v>
      </x:c>
      <x:c r="Q233" s="15" t="n">
        <x:v>1</x:v>
      </x:c>
      <x:c r="R233" s="14" t="str">
        <x:v>2023</x:v>
      </x:c>
      <x:c r="S233" s="14" t="n">
        <x:v>2023</x:v>
      </x:c>
      <x:c r="T233" s="14" t="n">
        <x:v>2023</x:v>
      </x:c>
      <x:c r="U233" s="14" t="str">
        <x:v>Explicit source first year retained</x:v>
      </x:c>
      <x:c r="V233" s="14" t="str">
        <x:v>Earliest supplied year is 2023.</x:v>
      </x:c>
      <x:c r="W233" s="14"/>
      <x:c r="X233" s="14" t="str">
        <x:v>Included</x:v>
      </x:c>
      <x:c r="Y233" s="14"/>
      <x:c r="Z233" s="14" t="str">
        <x:v>The Lazarus Project.docx</x:v>
      </x:c>
      <x:c r="AA233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Sky / NOW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16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1</x:v>
      </x:c>
      <x:c r="BS233" s="16" t="n">
        <x:v>0.0625</x:v>
      </x:c>
      <x:c r="BT233" s="14" t="str">
        <x:v>One episode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tt14190592|nm0524099|bernadette winters</x:v>
      </x:c>
      <x:c r="B234" s="14" t="str">
        <x:v>06</x:v>
      </x:c>
      <x:c r="C234" s="14" t="str">
        <x:v>2022_IMDb_Cast_Lists_Batch_06(1).xlsx</x:v>
      </x:c>
      <x:c r="D234" s="14" t="str">
        <x:v>The Lazarus Project</x:v>
      </x:c>
      <x:c r="E234" s="14" t="n">
        <x:v>95</x:v>
      </x:c>
      <x:c r="F234" s="14" t="str">
        <x:v>The Lazarus Project</x:v>
      </x:c>
      <x:c r="G234" s="14" t="str">
        <x:v>tt14190592</x:v>
      </x:c>
      <x:c r="H234" s="14" t="n">
        <x:v>2022</x:v>
      </x:c>
      <x:c r="I234" s="14" t="n">
        <x:v>2023</x:v>
      </x:c>
      <x:c r="J234" s="14" t="str">
        <x:v>Earlier-Production Carry-In Cohort</x:v>
      </x:c>
      <x:c r="K234" s="14" t="n">
        <x:v>2022</x:v>
      </x:c>
      <x:c r="L234" s="14" t="str">
        <x:v>Used in 2023 annual analysis</x:v>
      </x:c>
      <x:c r="M234" s="15" t="n">
        <x:v>88</x:v>
      </x:c>
      <x:c r="N234" s="14" t="str">
        <x:v>Charlotte Lucas</x:v>
      </x:c>
      <x:c r="O234" s="14" t="str">
        <x:v>nm0524099</x:v>
      </x:c>
      <x:c r="P234" s="14" t="str">
        <x:v>Bernadette Winters</x:v>
      </x:c>
      <x:c r="Q234" s="15" t="n">
        <x:v>1</x:v>
      </x:c>
      <x:c r="R234" s="14" t="str">
        <x:v>2023</x:v>
      </x:c>
      <x:c r="S234" s="14" t="n">
        <x:v>2023</x:v>
      </x:c>
      <x:c r="T234" s="14" t="n">
        <x:v>2023</x:v>
      </x:c>
      <x:c r="U234" s="14" t="str">
        <x:v>Explicit source first year retained</x:v>
      </x:c>
      <x:c r="V234" s="14" t="str">
        <x:v>Earliest supplied year is 2023.</x:v>
      </x:c>
      <x:c r="W234" s="14"/>
      <x:c r="X234" s="14" t="str">
        <x:v>Included</x:v>
      </x:c>
      <x:c r="Y234" s="14"/>
      <x:c r="Z234" s="14" t="str">
        <x:v>The Lazarus Project.docx</x:v>
      </x:c>
      <x:c r="AA234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Sky / NOW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16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1</x:v>
      </x:c>
      <x:c r="BS234" s="16" t="n">
        <x:v>0.0625</x:v>
      </x:c>
      <x:c r="BT234" s="14" t="str">
        <x:v>One episode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tt14190592|nm3769485|dejan</x:v>
      </x:c>
      <x:c r="B235" s="14" t="str">
        <x:v>06</x:v>
      </x:c>
      <x:c r="C235" s="14" t="str">
        <x:v>2022_IMDb_Cast_Lists_Batch_06(1).xlsx</x:v>
      </x:c>
      <x:c r="D235" s="14" t="str">
        <x:v>The Lazarus Project</x:v>
      </x:c>
      <x:c r="E235" s="14" t="n">
        <x:v>96</x:v>
      </x:c>
      <x:c r="F235" s="14" t="str">
        <x:v>The Lazarus Project</x:v>
      </x:c>
      <x:c r="G235" s="14" t="str">
        <x:v>tt14190592</x:v>
      </x:c>
      <x:c r="H235" s="14" t="n">
        <x:v>2022</x:v>
      </x:c>
      <x:c r="I235" s="14" t="n">
        <x:v>2023</x:v>
      </x:c>
      <x:c r="J235" s="14" t="str">
        <x:v>Earlier-Production Carry-In Cohort</x:v>
      </x:c>
      <x:c r="K235" s="14" t="n">
        <x:v>2022</x:v>
      </x:c>
      <x:c r="L235" s="14" t="str">
        <x:v>Used in 2023 annual analysis</x:v>
      </x:c>
      <x:c r="M235" s="15" t="n">
        <x:v>89</x:v>
      </x:c>
      <x:c r="N235" s="14" t="str">
        <x:v>Nathan Wright</x:v>
      </x:c>
      <x:c r="O235" s="14" t="str">
        <x:v>nm3769485</x:v>
      </x:c>
      <x:c r="P235" s="14" t="str">
        <x:v>Dejan</x:v>
      </x:c>
      <x:c r="Q235" s="15" t="n">
        <x:v>1</x:v>
      </x:c>
      <x:c r="R235" s="14" t="str">
        <x:v>2023</x:v>
      </x:c>
      <x:c r="S235" s="14" t="n">
        <x:v>2023</x:v>
      </x:c>
      <x:c r="T235" s="14" t="n">
        <x:v>2023</x:v>
      </x:c>
      <x:c r="U235" s="14" t="str">
        <x:v>Explicit source first year retained</x:v>
      </x:c>
      <x:c r="V235" s="14" t="str">
        <x:v>Earliest supplied year is 2023.</x:v>
      </x:c>
      <x:c r="W235" s="14"/>
      <x:c r="X235" s="14" t="str">
        <x:v>Included</x:v>
      </x:c>
      <x:c r="Y235" s="14"/>
      <x:c r="Z235" s="14" t="str">
        <x:v>The Lazarus Project.docx</x:v>
      </x:c>
      <x:c r="AA235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Sky / NOW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16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1</x:v>
      </x:c>
      <x:c r="BS235" s="16" t="n">
        <x:v>0.0625</x:v>
      </x:c>
      <x:c r="BT235" s="14" t="str">
        <x:v>One episode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tt14190592|nm8004657|commuter</x:v>
      </x:c>
      <x:c r="B236" s="14" t="str">
        <x:v>06</x:v>
      </x:c>
      <x:c r="C236" s="14" t="str">
        <x:v>2022_IMDb_Cast_Lists_Batch_06(1).xlsx</x:v>
      </x:c>
      <x:c r="D236" s="14" t="str">
        <x:v>The Lazarus Project</x:v>
      </x:c>
      <x:c r="E236" s="14" t="n">
        <x:v>97</x:v>
      </x:c>
      <x:c r="F236" s="14" t="str">
        <x:v>The Lazarus Project</x:v>
      </x:c>
      <x:c r="G236" s="14" t="str">
        <x:v>tt14190592</x:v>
      </x:c>
      <x:c r="H236" s="14" t="n">
        <x:v>2022</x:v>
      </x:c>
      <x:c r="I236" s="14" t="n">
        <x:v>2023</x:v>
      </x:c>
      <x:c r="J236" s="14" t="str">
        <x:v>Earlier-Production Carry-In Cohort</x:v>
      </x:c>
      <x:c r="K236" s="14" t="n">
        <x:v>2022</x:v>
      </x:c>
      <x:c r="L236" s="14" t="str">
        <x:v>Used in 2023 annual analysis</x:v>
      </x:c>
      <x:c r="M236" s="15" t="n">
        <x:v>90</x:v>
      </x:c>
      <x:c r="N236" s="14" t="str">
        <x:v>Stuart Whelan</x:v>
      </x:c>
      <x:c r="O236" s="14" t="str">
        <x:v>nm8004657</x:v>
      </x:c>
      <x:c r="P236" s="14" t="str">
        <x:v>Commuter</x:v>
      </x:c>
      <x:c r="Q236" s="15" t="n">
        <x:v>1</x:v>
      </x:c>
      <x:c r="R236" s="14" t="str">
        <x:v>2023</x:v>
      </x:c>
      <x:c r="S236" s="14" t="n">
        <x:v>2023</x:v>
      </x:c>
      <x:c r="T236" s="14" t="n">
        <x:v>2023</x:v>
      </x:c>
      <x:c r="U236" s="14" t="str">
        <x:v>Explicit source first year retained</x:v>
      </x:c>
      <x:c r="V236" s="14" t="str">
        <x:v>Earliest supplied year is 2023.</x:v>
      </x:c>
      <x:c r="W236" s="14"/>
      <x:c r="X236" s="14" t="str">
        <x:v>Included</x:v>
      </x:c>
      <x:c r="Y236" s="14"/>
      <x:c r="Z236" s="14" t="str">
        <x:v>The Lazarus Project.docx</x:v>
      </x:c>
      <x:c r="AA236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Sky / NOW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16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1</x:v>
      </x:c>
      <x:c r="BS236" s="16" t="n">
        <x:v>0.0625</x:v>
      </x:c>
      <x:c r="BT236" s="14" t="str">
        <x:v>One episode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tt14190592|nm8149136|army officer</x:v>
      </x:c>
      <x:c r="B237" s="14" t="str">
        <x:v>06</x:v>
      </x:c>
      <x:c r="C237" s="14" t="str">
        <x:v>2022_IMDb_Cast_Lists_Batch_06(1).xlsx</x:v>
      </x:c>
      <x:c r="D237" s="14" t="str">
        <x:v>The Lazarus Project</x:v>
      </x:c>
      <x:c r="E237" s="14" t="n">
        <x:v>98</x:v>
      </x:c>
      <x:c r="F237" s="14" t="str">
        <x:v>The Lazarus Project</x:v>
      </x:c>
      <x:c r="G237" s="14" t="str">
        <x:v>tt14190592</x:v>
      </x:c>
      <x:c r="H237" s="14" t="n">
        <x:v>2022</x:v>
      </x:c>
      <x:c r="I237" s="14" t="n">
        <x:v>2023</x:v>
      </x:c>
      <x:c r="J237" s="14" t="str">
        <x:v>Earlier-Production Carry-In Cohort</x:v>
      </x:c>
      <x:c r="K237" s="14" t="n">
        <x:v>2022</x:v>
      </x:c>
      <x:c r="L237" s="14" t="str">
        <x:v>Used in 2023 annual analysis</x:v>
      </x:c>
      <x:c r="M237" s="15" t="n">
        <x:v>91</x:v>
      </x:c>
      <x:c r="N237" s="14" t="str">
        <x:v>Jonny Burman</x:v>
      </x:c>
      <x:c r="O237" s="14" t="str">
        <x:v>nm8149136</x:v>
      </x:c>
      <x:c r="P237" s="14" t="str">
        <x:v>Army Officer</x:v>
      </x:c>
      <x:c r="Q237" s="15" t="n">
        <x:v>1</x:v>
      </x:c>
      <x:c r="R237" s="14" t="str">
        <x:v>2023</x:v>
      </x:c>
      <x:c r="S237" s="14" t="n">
        <x:v>2023</x:v>
      </x:c>
      <x:c r="T237" s="14" t="n">
        <x:v>2023</x:v>
      </x:c>
      <x:c r="U237" s="14" t="str">
        <x:v>Explicit source first year retained</x:v>
      </x:c>
      <x:c r="V237" s="14" t="str">
        <x:v>Earliest supplied year is 2023.</x:v>
      </x:c>
      <x:c r="W237" s="14"/>
      <x:c r="X237" s="14" t="str">
        <x:v>Included</x:v>
      </x:c>
      <x:c r="Y237" s="14"/>
      <x:c r="Z237" s="14" t="str">
        <x:v>The Lazarus Project.docx</x:v>
      </x:c>
      <x:c r="AA237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Sky / NOW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16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1</x:v>
      </x:c>
      <x:c r="BS237" s="16" t="n">
        <x:v>0.0625</x:v>
      </x:c>
      <x:c r="BT237" s="14" t="str">
        <x:v>One episode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tt14190592|nm3217952|sanjay</x:v>
      </x:c>
      <x:c r="B238" s="14" t="str">
        <x:v>06</x:v>
      </x:c>
      <x:c r="C238" s="14" t="str">
        <x:v>2022_IMDb_Cast_Lists_Batch_06(1).xlsx</x:v>
      </x:c>
      <x:c r="D238" s="14" t="str">
        <x:v>The Lazarus Project</x:v>
      </x:c>
      <x:c r="E238" s="14" t="n">
        <x:v>99</x:v>
      </x:c>
      <x:c r="F238" s="14" t="str">
        <x:v>The Lazarus Project</x:v>
      </x:c>
      <x:c r="G238" s="14" t="str">
        <x:v>tt14190592</x:v>
      </x:c>
      <x:c r="H238" s="14" t="n">
        <x:v>2022</x:v>
      </x:c>
      <x:c r="I238" s="14" t="n">
        <x:v>2023</x:v>
      </x:c>
      <x:c r="J238" s="14" t="str">
        <x:v>Earlier-Production Carry-In Cohort</x:v>
      </x:c>
      <x:c r="K238" s="14" t="n">
        <x:v>2022</x:v>
      </x:c>
      <x:c r="L238" s="14" t="str">
        <x:v>Used in 2023 annual analysis</x:v>
      </x:c>
      <x:c r="M238" s="15" t="n">
        <x:v>92</x:v>
      </x:c>
      <x:c r="N238" s="14" t="str">
        <x:v>Waleed Akhtar</x:v>
      </x:c>
      <x:c r="O238" s="14" t="str">
        <x:v>nm3217952</x:v>
      </x:c>
      <x:c r="P238" s="14" t="str">
        <x:v>Sanjay</x:v>
      </x:c>
      <x:c r="Q238" s="15" t="n">
        <x:v>1</x:v>
      </x:c>
      <x:c r="R238" s="14" t="str">
        <x:v>2023</x:v>
      </x:c>
      <x:c r="S238" s="14" t="n">
        <x:v>2023</x:v>
      </x:c>
      <x:c r="T238" s="14" t="n">
        <x:v>2023</x:v>
      </x:c>
      <x:c r="U238" s="14" t="str">
        <x:v>Explicit source first year retained</x:v>
      </x:c>
      <x:c r="V238" s="14" t="str">
        <x:v>Earliest supplied year is 2023.</x:v>
      </x:c>
      <x:c r="W238" s="14"/>
      <x:c r="X238" s="14" t="str">
        <x:v>Included</x:v>
      </x:c>
      <x:c r="Y238" s="14"/>
      <x:c r="Z238" s="14" t="str">
        <x:v>The Lazarus Project.docx</x:v>
      </x:c>
      <x:c r="AA238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Sky / NOW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16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1</x:v>
      </x:c>
      <x:c r="BS238" s="16" t="n">
        <x:v>0.0625</x:v>
      </x:c>
      <x:c r="BT238" s="14" t="str">
        <x:v>One episode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tt14190592|nm2692900|japanese proprietor</x:v>
      </x:c>
      <x:c r="B239" s="14" t="str">
        <x:v>06</x:v>
      </x:c>
      <x:c r="C239" s="14" t="str">
        <x:v>2022_IMDb_Cast_Lists_Batch_06(1).xlsx</x:v>
      </x:c>
      <x:c r="D239" s="14" t="str">
        <x:v>The Lazarus Project</x:v>
      </x:c>
      <x:c r="E239" s="14" t="n">
        <x:v>100</x:v>
      </x:c>
      <x:c r="F239" s="14" t="str">
        <x:v>The Lazarus Project</x:v>
      </x:c>
      <x:c r="G239" s="14" t="str">
        <x:v>tt14190592</x:v>
      </x:c>
      <x:c r="H239" s="14" t="n">
        <x:v>2022</x:v>
      </x:c>
      <x:c r="I239" s="14" t="n">
        <x:v>2023</x:v>
      </x:c>
      <x:c r="J239" s="14" t="str">
        <x:v>Earlier-Production Carry-In Cohort</x:v>
      </x:c>
      <x:c r="K239" s="14" t="n">
        <x:v>2022</x:v>
      </x:c>
      <x:c r="L239" s="14" t="str">
        <x:v>Used in 2023 annual analysis</x:v>
      </x:c>
      <x:c r="M239" s="15" t="n">
        <x:v>93</x:v>
      </x:c>
      <x:c r="N239" s="14" t="str">
        <x:v>Sadao Ueda</x:v>
      </x:c>
      <x:c r="O239" s="14" t="str">
        <x:v>nm2692900</x:v>
      </x:c>
      <x:c r="P239" s="14" t="str">
        <x:v>Japanese Proprietor</x:v>
      </x:c>
      <x:c r="Q239" s="15" t="n">
        <x:v>1</x:v>
      </x:c>
      <x:c r="R239" s="14" t="str">
        <x:v>2023</x:v>
      </x:c>
      <x:c r="S239" s="14" t="n">
        <x:v>2023</x:v>
      </x:c>
      <x:c r="T239" s="14" t="n">
        <x:v>2023</x:v>
      </x:c>
      <x:c r="U239" s="14" t="str">
        <x:v>Explicit source first year retained</x:v>
      </x:c>
      <x:c r="V239" s="14" t="str">
        <x:v>Earliest supplied year is 2023.</x:v>
      </x:c>
      <x:c r="W239" s="14"/>
      <x:c r="X239" s="14" t="str">
        <x:v>Included</x:v>
      </x:c>
      <x:c r="Y239" s="14"/>
      <x:c r="Z239" s="14" t="str">
        <x:v>The Lazarus Project.docx</x:v>
      </x:c>
      <x:c r="AA239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Sky / NOW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16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1</x:v>
      </x:c>
      <x:c r="BS239" s="16" t="n">
        <x:v>0.0625</x:v>
      </x:c>
      <x:c r="BT239" s="14" t="str">
        <x:v>One episode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tt14190592|nm0223567|shiv's mum</x:v>
      </x:c>
      <x:c r="B240" s="14" t="str">
        <x:v>06</x:v>
      </x:c>
      <x:c r="C240" s="14" t="str">
        <x:v>2022_IMDb_Cast_Lists_Batch_06(1).xlsx</x:v>
      </x:c>
      <x:c r="D240" s="14" t="str">
        <x:v>The Lazarus Project</x:v>
      </x:c>
      <x:c r="E240" s="14" t="n">
        <x:v>101</x:v>
      </x:c>
      <x:c r="F240" s="14" t="str">
        <x:v>The Lazarus Project</x:v>
      </x:c>
      <x:c r="G240" s="14" t="str">
        <x:v>tt14190592</x:v>
      </x:c>
      <x:c r="H240" s="14" t="n">
        <x:v>2022</x:v>
      </x:c>
      <x:c r="I240" s="14" t="n">
        <x:v>2023</x:v>
      </x:c>
      <x:c r="J240" s="14" t="str">
        <x:v>Earlier-Production Carry-In Cohort</x:v>
      </x:c>
      <x:c r="K240" s="14" t="n">
        <x:v>2022</x:v>
      </x:c>
      <x:c r="L240" s="14" t="str">
        <x:v>Used in 2023 annual analysis</x:v>
      </x:c>
      <x:c r="M240" s="15" t="n">
        <x:v>94</x:v>
      </x:c>
      <x:c r="N240" s="14" t="str">
        <x:v>Vinny Dhillon</x:v>
      </x:c>
      <x:c r="O240" s="14" t="str">
        <x:v>nm0223567</x:v>
      </x:c>
      <x:c r="P240" s="14" t="str">
        <x:v>Shiv's mum</x:v>
      </x:c>
      <x:c r="Q240" s="15" t="n">
        <x:v>1</x:v>
      </x:c>
      <x:c r="R240" s="14" t="str">
        <x:v>2023</x:v>
      </x:c>
      <x:c r="S240" s="14" t="n">
        <x:v>2023</x:v>
      </x:c>
      <x:c r="T240" s="14" t="n">
        <x:v>2023</x:v>
      </x:c>
      <x:c r="U240" s="14" t="str">
        <x:v>Explicit source first year retained</x:v>
      </x:c>
      <x:c r="V240" s="14" t="str">
        <x:v>Earliest supplied year is 2023.</x:v>
      </x:c>
      <x:c r="W240" s="14"/>
      <x:c r="X240" s="14" t="str">
        <x:v>Included</x:v>
      </x:c>
      <x:c r="Y240" s="14"/>
      <x:c r="Z240" s="14" t="str">
        <x:v>The Lazarus Project.docx</x:v>
      </x:c>
      <x:c r="AA240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Sky / NOW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16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1</x:v>
      </x:c>
      <x:c r="BS240" s="16" t="n">
        <x:v>0.0625</x:v>
      </x:c>
      <x:c r="BT240" s="14" t="str">
        <x:v>One episode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tt14190592|nm7866139|macdonald</x:v>
      </x:c>
      <x:c r="B241" s="14" t="str">
        <x:v>06</x:v>
      </x:c>
      <x:c r="C241" s="14" t="str">
        <x:v>2022_IMDb_Cast_Lists_Batch_06(1).xlsx</x:v>
      </x:c>
      <x:c r="D241" s="14" t="str">
        <x:v>The Lazarus Project</x:v>
      </x:c>
      <x:c r="E241" s="14" t="n">
        <x:v>102</x:v>
      </x:c>
      <x:c r="F241" s="14" t="str">
        <x:v>The Lazarus Project</x:v>
      </x:c>
      <x:c r="G241" s="14" t="str">
        <x:v>tt14190592</x:v>
      </x:c>
      <x:c r="H241" s="14" t="n">
        <x:v>2022</x:v>
      </x:c>
      <x:c r="I241" s="14" t="n">
        <x:v>2023</x:v>
      </x:c>
      <x:c r="J241" s="14" t="str">
        <x:v>Earlier-Production Carry-In Cohort</x:v>
      </x:c>
      <x:c r="K241" s="14" t="n">
        <x:v>2022</x:v>
      </x:c>
      <x:c r="L241" s="14" t="str">
        <x:v>Used in 2023 annual analysis</x:v>
      </x:c>
      <x:c r="M241" s="15" t="n">
        <x:v>95</x:v>
      </x:c>
      <x:c r="N241" s="14" t="str">
        <x:v>Stedroy Cabey</x:v>
      </x:c>
      <x:c r="O241" s="14" t="str">
        <x:v>nm7866139</x:v>
      </x:c>
      <x:c r="P241" s="14" t="str">
        <x:v>Macdonald</x:v>
      </x:c>
      <x:c r="Q241" s="15" t="n">
        <x:v>1</x:v>
      </x:c>
      <x:c r="R241" s="14" t="str">
        <x:v>2023</x:v>
      </x:c>
      <x:c r="S241" s="14" t="n">
        <x:v>2023</x:v>
      </x:c>
      <x:c r="T241" s="14" t="n">
        <x:v>2023</x:v>
      </x:c>
      <x:c r="U241" s="14" t="str">
        <x:v>Explicit source first year retained</x:v>
      </x:c>
      <x:c r="V241" s="14" t="str">
        <x:v>Earliest supplied year is 2023.</x:v>
      </x:c>
      <x:c r="W241" s="14"/>
      <x:c r="X241" s="14" t="str">
        <x:v>Included</x:v>
      </x:c>
      <x:c r="Y241" s="14"/>
      <x:c r="Z241" s="14" t="str">
        <x:v>The Lazarus Project.docx</x:v>
      </x:c>
      <x:c r="AA241" s="17" t="e">
        <x:f>HYPERLINK("https://www.imdb.com/title/tt14190592/fullcredits/","Open source")</x:f>
        <x:v>HYPERLINK is not implemented. linkLocation=https://www.imdb.com/title/tt14190592/fullcredits/,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Sky / NOW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HYPERLINK("https://en.wikipedia.org/wiki/The_Lazarus_Project","Open source")</x:f>
        <x:v>HYPERLINK is not implemented. linkLocation=https://en.wikipedia.org/wiki/The_Lazarus_Project, friendlyName=Open source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16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1</x:v>
      </x:c>
      <x:c r="BS241" s="16" t="n">
        <x:v>0.0625</x:v>
      </x:c>
      <x:c r="BT241" s="14" t="str">
        <x:v>One episode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7" t="e">
        <x:f>HYPERLINK("https://www.imdb.com/title/tt14190592/fullcredits/","Open source")</x:f>
        <x:v>HYPERLINK is not implemented. linkLocation=https://www.imdb.com/title/tt14190592/fullcredits/,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tt13643704|nm4215324|dc harper weston</x:v>
      </x:c>
      <x:c r="B242" s="14" t="str">
        <x:v>01</x:v>
      </x:c>
      <x:c r="C242" s="14" t="str">
        <x:v>2021_IMDb_Cast_Lists_Batch_01(1).xlsx</x:v>
      </x:c>
      <x:c r="D242" s="14" t="str">
        <x:v>Annika</x:v>
      </x:c>
      <x:c r="E242" s="14" t="n">
        <x:v>15</x:v>
      </x:c>
      <x:c r="F242" s="14" t="str">
        <x:v>Annika</x:v>
      </x:c>
      <x:c r="G242" s="14" t="str">
        <x:v>tt13643704</x:v>
      </x:c>
      <x:c r="H242" s="14" t="n">
        <x:v>2021</x:v>
      </x:c>
      <x:c r="I242" s="14" t="n">
        <x:v>2023</x:v>
      </x:c>
      <x:c r="J242" s="14" t="str">
        <x:v>Earlier-Production Carry-In Cohort</x:v>
      </x:c>
      <x:c r="K242" s="14" t="n">
        <x:v>2021</x:v>
      </x:c>
      <x:c r="L242" s="14" t="str">
        <x:v>Used in 2023 annual analysis</x:v>
      </x:c>
      <x:c r="M242" s="15" t="n">
        <x:v>8</x:v>
      </x:c>
      <x:c r="N242" s="14" t="str">
        <x:v>Varada Sethu</x:v>
      </x:c>
      <x:c r="O242" s="14" t="str">
        <x:v>nm4215324</x:v>
      </x:c>
      <x:c r="P242" s="14" t="str">
        <x:v>DC Harper Weston</x:v>
      </x:c>
      <x:c r="Q242" s="15" t="n">
        <x:v>4</x:v>
      </x:c>
      <x:c r="R242" s="14" t="str">
        <x:v>2023</x:v>
      </x:c>
      <x:c r="S242" s="14" t="n">
        <x:v>2023</x:v>
      </x:c>
      <x:c r="T242" s="14" t="n">
        <x:v>2023</x:v>
      </x:c>
      <x:c r="U242" s="14" t="str">
        <x:v>Post-2021 casting excluded</x:v>
      </x:c>
      <x:c r="V242" s="14" t="str">
        <x:v>Earliest supplied year is 2023, later than the 2021 study year.</x:v>
      </x:c>
      <x:c r="W242" s="14"/>
      <x:c r="X242" s="14" t="str">
        <x:v>Included</x:v>
      </x:c>
      <x:c r="Y242" s="14"/>
      <x:c r="Z242" s="14" t="str">
        <x:v>Annika.docx</x:v>
      </x:c>
      <x:c r="AA24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 Studios / UKTV (U&amp;Alibi)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HYPERLINK("https://en.wikipedia.org/wiki/Annika","Open source")</x:f>
        <x:v>HYPERLINK is not implemented. linkLocation=https://en.wikipedia.org/wiki/Annika, friendlyName=Open source</x:v>
      </x:c>
      <x:c r="AN242" s="14" t="str">
        <x:v>BBC Studios production for another broadcaster</x:v>
      </x:c>
      <x:c r="AO242" s="14" t="str">
        <x:v>Yes</x:v>
      </x:c>
      <x:c r="AP242" s="14" t="str">
        <x:v>Wider BBC commercial-group context only</x:v>
      </x:c>
      <x:c r="AQ242" s="14" t="str">
        <x:v>Yes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12</x:v>
      </x:c>
      <x:c r="BP242" s="14" t="str">
        <x:v>Maximum eligible IMDb cast-credit total (12), shared by 4 performer(s); not independently verified as a 2021-only episode total.</x:v>
      </x:c>
      <x:c r="BQ242" s="14" t="str">
        <x:v>Medium</x:v>
      </x:c>
      <x:c r="BR242" s="15" t="n">
        <x:v>4</x:v>
      </x:c>
      <x:c r="BS242" s="16" t="n">
        <x:v>0.3333333333333333</x:v>
      </x:c>
      <x:c r="BT242" s="14" t="str">
        <x:v>Minority of episodes</x:v>
      </x:c>
      <x:c r="BU242" s="14" t="str">
        <x:v>Medium</x:v>
      </x:c>
      <x:c r="BV242" s="14" t="str">
        <x:v>Derived from supplied IMDb episode count and the documented production-total proxy.</x:v>
      </x:c>
      <x:c r="BW242" s="14" t="str">
        <x:v>Unable to determine</x:v>
      </x:c>
      <x:c r="BX242" s="14" t="str">
        <x:v>Supplied cast data establishes the credit and episode presence but does not establish narrative prominence.</x:v>
      </x:c>
      <x:c r="BY242" s="14" t="str">
        <x:v>Supplied IMDb cast-list workbook</x:v>
      </x:c>
      <x:c r="BZ24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tt13643704|nm0377609|magnus strandhed</x:v>
      </x:c>
      <x:c r="B243" s="14" t="str">
        <x:v>01</x:v>
      </x:c>
      <x:c r="C243" s="14" t="str">
        <x:v>2021_IMDb_Cast_Lists_Batch_01(1).xlsx</x:v>
      </x:c>
      <x:c r="D243" s="14" t="str">
        <x:v>Annika</x:v>
      </x:c>
      <x:c r="E243" s="14" t="n">
        <x:v>17</x:v>
      </x:c>
      <x:c r="F243" s="14" t="str">
        <x:v>Annika</x:v>
      </x:c>
      <x:c r="G243" s="14" t="str">
        <x:v>tt13643704</x:v>
      </x:c>
      <x:c r="H243" s="14" t="n">
        <x:v>2021</x:v>
      </x:c>
      <x:c r="I243" s="14" t="n">
        <x:v>2023</x:v>
      </x:c>
      <x:c r="J243" s="14" t="str">
        <x:v>Earlier-Production Carry-In Cohort</x:v>
      </x:c>
      <x:c r="K243" s="14" t="n">
        <x:v>2021</x:v>
      </x:c>
      <x:c r="L243" s="14" t="str">
        <x:v>Used in 2023 annual analysis</x:v>
      </x:c>
      <x:c r="M243" s="15" t="n">
        <x:v>10</x:v>
      </x:c>
      <x:c r="N243" s="14" t="str">
        <x:v>Sven Henriksen</x:v>
      </x:c>
      <x:c r="O243" s="14" t="str">
        <x:v>nm0377609</x:v>
      </x:c>
      <x:c r="P243" s="14" t="str">
        <x:v>Magnus Strandhed</x:v>
      </x:c>
      <x:c r="Q243" s="15" t="n">
        <x:v>3</x:v>
      </x:c>
      <x:c r="R243" s="14" t="str">
        <x:v>2023</x:v>
      </x:c>
      <x:c r="S243" s="14" t="n">
        <x:v>2023</x:v>
      </x:c>
      <x:c r="T243" s="14" t="n">
        <x:v>2023</x:v>
      </x:c>
      <x:c r="U243" s="14" t="str">
        <x:v>Post-2021 casting excluded</x:v>
      </x:c>
      <x:c r="V243" s="14" t="str">
        <x:v>Earliest supplied year is 2023, later than the 2021 study year.</x:v>
      </x:c>
      <x:c r="W243" s="14"/>
      <x:c r="X243" s="14" t="str">
        <x:v>Included</x:v>
      </x:c>
      <x:c r="Y243" s="14"/>
      <x:c r="Z243" s="14" t="str">
        <x:v>Annika.docx</x:v>
      </x:c>
      <x:c r="AA24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 Studios / UKTV (U&amp;Alibi)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HYPERLINK("https://en.wikipedia.org/wiki/Annika","Open source")</x:f>
        <x:v>HYPERLINK is not implemented. linkLocation=https://en.wikipedia.org/wiki/Annika, friendlyName=Open source</x:v>
      </x:c>
      <x:c r="AN243" s="14" t="str">
        <x:v>BBC Studios production for another broadcaster</x:v>
      </x:c>
      <x:c r="AO243" s="14" t="str">
        <x:v>Yes</x:v>
      </x:c>
      <x:c r="AP243" s="14" t="str">
        <x:v>Wider BBC commercial-group context only</x:v>
      </x:c>
      <x:c r="AQ243" s="14" t="str">
        <x:v>Yes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12</x:v>
      </x:c>
      <x:c r="BP243" s="14" t="str">
        <x:v>Maximum eligible IMDb cast-credit total (12), shared by 4 performer(s); not independently verified as a 2021-only episode total.</x:v>
      </x:c>
      <x:c r="BQ243" s="14" t="str">
        <x:v>Medium</x:v>
      </x:c>
      <x:c r="BR243" s="15" t="n">
        <x:v>3</x:v>
      </x:c>
      <x:c r="BS243" s="16" t="n">
        <x:v>0.25</x:v>
      </x:c>
      <x:c r="BT243" s="14" t="str">
        <x:v>Minority of episodes</x:v>
      </x:c>
      <x:c r="BU243" s="14" t="str">
        <x:v>Medium</x:v>
      </x:c>
      <x:c r="BV243" s="14" t="str">
        <x:v>Derived from supplied IMDb episode count and the documented production-total proxy.</x:v>
      </x:c>
      <x:c r="BW243" s="14" t="str">
        <x:v>Unable to determine</x:v>
      </x:c>
      <x:c r="BX243" s="14" t="str">
        <x:v>Supplied cast data establishes the credit and episode presence but does not establish narrative prominence.</x:v>
      </x:c>
      <x:c r="BY243" s="14" t="str">
        <x:v>Supplied IMDb cast-list workbook</x:v>
      </x:c>
      <x:c r="BZ24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tt13643704|nm1748297|astrid mcandrews</x:v>
      </x:c>
      <x:c r="B244" s="14" t="str">
        <x:v>01</x:v>
      </x:c>
      <x:c r="C244" s="14" t="str">
        <x:v>2021_IMDb_Cast_Lists_Batch_01(1).xlsx</x:v>
      </x:c>
      <x:c r="D244" s="14" t="str">
        <x:v>Annika</x:v>
      </x:c>
      <x:c r="E244" s="14" t="n">
        <x:v>18</x:v>
      </x:c>
      <x:c r="F244" s="14" t="str">
        <x:v>Annika</x:v>
      </x:c>
      <x:c r="G244" s="14" t="str">
        <x:v>tt13643704</x:v>
      </x:c>
      <x:c r="H244" s="14" t="n">
        <x:v>2021</x:v>
      </x:c>
      <x:c r="I244" s="14" t="n">
        <x:v>2023</x:v>
      </x:c>
      <x:c r="J244" s="14" t="str">
        <x:v>Earlier-Production Carry-In Cohort</x:v>
      </x:c>
      <x:c r="K244" s="14" t="n">
        <x:v>2021</x:v>
      </x:c>
      <x:c r="L244" s="14" t="str">
        <x:v>Used in 2023 annual analysis</x:v>
      </x:c>
      <x:c r="M244" s="15" t="n">
        <x:v>11</x:v>
      </x:c>
      <x:c r="N244" s="14" t="str">
        <x:v>Cora Bissett</x:v>
      </x:c>
      <x:c r="O244" s="14" t="str">
        <x:v>nm1748297</x:v>
      </x:c>
      <x:c r="P244" s="14" t="str">
        <x:v>Astrid McAndrews</x:v>
      </x:c>
      <x:c r="Q244" s="15" t="n">
        <x:v>3</x:v>
      </x:c>
      <x:c r="R244" s="14" t="str">
        <x:v>2023</x:v>
      </x:c>
      <x:c r="S244" s="14" t="n">
        <x:v>2023</x:v>
      </x:c>
      <x:c r="T244" s="14" t="n">
        <x:v>2023</x:v>
      </x:c>
      <x:c r="U244" s="14" t="str">
        <x:v>Post-2021 casting excluded</x:v>
      </x:c>
      <x:c r="V244" s="14" t="str">
        <x:v>Earliest supplied year is 2023, later than the 2021 study year.</x:v>
      </x:c>
      <x:c r="W244" s="14"/>
      <x:c r="X244" s="14" t="str">
        <x:v>Included</x:v>
      </x:c>
      <x:c r="Y244" s="14"/>
      <x:c r="Z244" s="14" t="str">
        <x:v>Annika.docx</x:v>
      </x:c>
      <x:c r="AA24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 Studios / UKTV (U&amp;Alibi)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HYPERLINK("https://en.wikipedia.org/wiki/Annika","Open source")</x:f>
        <x:v>HYPERLINK is not implemented. linkLocation=https://en.wikipedia.org/wiki/Annika, friendlyName=Open source</x:v>
      </x:c>
      <x:c r="AN244" s="14" t="str">
        <x:v>BBC Studios production for another broadcaster</x:v>
      </x:c>
      <x:c r="AO244" s="14" t="str">
        <x:v>Yes</x:v>
      </x:c>
      <x:c r="AP244" s="14" t="str">
        <x:v>Wider BBC commercial-group context only</x:v>
      </x:c>
      <x:c r="AQ244" s="14" t="str">
        <x:v>Yes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12</x:v>
      </x:c>
      <x:c r="BP244" s="14" t="str">
        <x:v>Maximum eligible IMDb cast-credit total (12), shared by 4 performer(s); not independently verified as a 2021-only episode total.</x:v>
      </x:c>
      <x:c r="BQ244" s="14" t="str">
        <x:v>Medium</x:v>
      </x:c>
      <x:c r="BR244" s="15" t="n">
        <x:v>3</x:v>
      </x:c>
      <x:c r="BS244" s="16" t="n">
        <x:v>0.25</x:v>
      </x:c>
      <x:c r="BT244" s="14" t="str">
        <x:v>Minority of episodes</x:v>
      </x:c>
      <x:c r="BU244" s="14" t="str">
        <x:v>Medium</x:v>
      </x:c>
      <x:c r="BV244" s="14" t="str">
        <x:v>Derived from supplied IMDb episode count and the documented production-total proxy.</x:v>
      </x:c>
      <x:c r="BW244" s="14" t="str">
        <x:v>Unable to determine</x:v>
      </x:c>
      <x:c r="BX244" s="14" t="str">
        <x:v>Supplied cast data establishes the credit and episode presence but does not establish narrative prominence.</x:v>
      </x:c>
      <x:c r="BY244" s="14" t="str">
        <x:v>Supplied IMDb cast-list workbook</x:v>
      </x:c>
      <x:c r="BZ24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tt13643704|nm15137119|bess mcandrews</x:v>
      </x:c>
      <x:c r="B245" s="14" t="str">
        <x:v>01</x:v>
      </x:c>
      <x:c r="C245" s="14" t="str">
        <x:v>2021_IMDb_Cast_Lists_Batch_01(1).xlsx</x:v>
      </x:c>
      <x:c r="D245" s="14" t="str">
        <x:v>Annika</x:v>
      </x:c>
      <x:c r="E245" s="14" t="n">
        <x:v>19</x:v>
      </x:c>
      <x:c r="F245" s="14" t="str">
        <x:v>Annika</x:v>
      </x:c>
      <x:c r="G245" s="14" t="str">
        <x:v>tt13643704</x:v>
      </x:c>
      <x:c r="H245" s="14" t="n">
        <x:v>2021</x:v>
      </x:c>
      <x:c r="I245" s="14" t="n">
        <x:v>2023</x:v>
      </x:c>
      <x:c r="J245" s="14" t="str">
        <x:v>Earlier-Production Carry-In Cohort</x:v>
      </x:c>
      <x:c r="K245" s="14" t="n">
        <x:v>2021</x:v>
      </x:c>
      <x:c r="L245" s="14" t="str">
        <x:v>Used in 2023 annual analysis</x:v>
      </x:c>
      <x:c r="M245" s="15" t="n">
        <x:v>12</x:v>
      </x:c>
      <x:c r="N245" s="14" t="str">
        <x:v>Mya Milne</x:v>
      </x:c>
      <x:c r="O245" s="14" t="str">
        <x:v>nm15137119</x:v>
      </x:c>
      <x:c r="P245" s="14" t="str">
        <x:v>Bess McAndrews</x:v>
      </x:c>
      <x:c r="Q245" s="15" t="n">
        <x:v>3</x:v>
      </x:c>
      <x:c r="R245" s="14" t="str">
        <x:v>2023</x:v>
      </x:c>
      <x:c r="S245" s="14" t="n">
        <x:v>2023</x:v>
      </x:c>
      <x:c r="T245" s="14" t="n">
        <x:v>2023</x:v>
      </x:c>
      <x:c r="U245" s="14" t="str">
        <x:v>Post-2021 casting excluded</x:v>
      </x:c>
      <x:c r="V245" s="14" t="str">
        <x:v>Earliest supplied year is 2023, later than the 2021 study year.</x:v>
      </x:c>
      <x:c r="W245" s="14"/>
      <x:c r="X245" s="14" t="str">
        <x:v>Included</x:v>
      </x:c>
      <x:c r="Y245" s="14"/>
      <x:c r="Z245" s="14" t="str">
        <x:v>Annika.docx</x:v>
      </x:c>
      <x:c r="AA24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 Studios / UKTV (U&amp;Alibi)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HYPERLINK("https://en.wikipedia.org/wiki/Annika","Open source")</x:f>
        <x:v>HYPERLINK is not implemented. linkLocation=https://en.wikipedia.org/wiki/Annika, friendlyName=Open source</x:v>
      </x:c>
      <x:c r="AN245" s="14" t="str">
        <x:v>BBC Studios production for another broadcaster</x:v>
      </x:c>
      <x:c r="AO245" s="14" t="str">
        <x:v>Yes</x:v>
      </x:c>
      <x:c r="AP245" s="14" t="str">
        <x:v>Wider BBC commercial-group context only</x:v>
      </x:c>
      <x:c r="AQ245" s="14" t="str">
        <x:v>Yes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12</x:v>
      </x:c>
      <x:c r="BP245" s="14" t="str">
        <x:v>Maximum eligible IMDb cast-credit total (12), shared by 4 performer(s); not independently verified as a 2021-only episode total.</x:v>
      </x:c>
      <x:c r="BQ245" s="14" t="str">
        <x:v>Medium</x:v>
      </x:c>
      <x:c r="BR245" s="15" t="n">
        <x:v>3</x:v>
      </x:c>
      <x:c r="BS245" s="16" t="n">
        <x:v>0.25</x:v>
      </x:c>
      <x:c r="BT245" s="14" t="str">
        <x:v>Minority of episodes</x:v>
      </x:c>
      <x:c r="BU245" s="14" t="str">
        <x:v>Medium</x:v>
      </x:c>
      <x:c r="BV245" s="14" t="str">
        <x:v>Derived from supplied IMDb episode count and the documented production-total proxy.</x:v>
      </x:c>
      <x:c r="BW245" s="14" t="str">
        <x:v>Unable to determine</x:v>
      </x:c>
      <x:c r="BX245" s="14" t="str">
        <x:v>Supplied cast data establishes the credit and episode presence but does not establish narrative prominence.</x:v>
      </x:c>
      <x:c r="BY245" s="14" t="str">
        <x:v>Supplied IMDb cast-list workbook</x:v>
      </x:c>
      <x:c r="BZ24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tt13643704|nm1714307|bruce kerr</x:v>
      </x:c>
      <x:c r="B246" s="14" t="str">
        <x:v>01</x:v>
      </x:c>
      <x:c r="C246" s="14" t="str">
        <x:v>2021_IMDb_Cast_Lists_Batch_01(1).xlsx</x:v>
      </x:c>
      <x:c r="D246" s="14" t="str">
        <x:v>Annika</x:v>
      </x:c>
      <x:c r="E246" s="14" t="n">
        <x:v>27</x:v>
      </x:c>
      <x:c r="F246" s="14" t="str">
        <x:v>Annika</x:v>
      </x:c>
      <x:c r="G246" s="14" t="str">
        <x:v>tt13643704</x:v>
      </x:c>
      <x:c r="H246" s="14" t="n">
        <x:v>2021</x:v>
      </x:c>
      <x:c r="I246" s="14" t="n">
        <x:v>2023</x:v>
      </x:c>
      <x:c r="J246" s="14" t="str">
        <x:v>Earlier-Production Carry-In Cohort</x:v>
      </x:c>
      <x:c r="K246" s="14" t="n">
        <x:v>2021</x:v>
      </x:c>
      <x:c r="L246" s="14" t="str">
        <x:v>Used in 2023 annual analysis</x:v>
      </x:c>
      <x:c r="M246" s="15" t="n">
        <x:v>20</x:v>
      </x:c>
      <x:c r="N246" s="14" t="str">
        <x:v>Billy Mack</x:v>
      </x:c>
      <x:c r="O246" s="14" t="str">
        <x:v>nm1714307</x:v>
      </x:c>
      <x:c r="P246" s="14" t="str">
        <x:v>Bruce Kerr</x:v>
      </x:c>
      <x:c r="Q246" s="15" t="n">
        <x:v>1</x:v>
      </x:c>
      <x:c r="R246" s="14" t="str">
        <x:v>2023</x:v>
      </x:c>
      <x:c r="S246" s="14" t="n">
        <x:v>2023</x:v>
      </x:c>
      <x:c r="T246" s="14" t="n">
        <x:v>2023</x:v>
      </x:c>
      <x:c r="U246" s="14" t="str">
        <x:v>Post-2021 casting excluded</x:v>
      </x:c>
      <x:c r="V246" s="14" t="str">
        <x:v>Earliest supplied year is 2023, later than the 2021 study year.</x:v>
      </x:c>
      <x:c r="W246" s="14"/>
      <x:c r="X246" s="14" t="str">
        <x:v>Included</x:v>
      </x:c>
      <x:c r="Y246" s="14"/>
      <x:c r="Z246" s="14" t="str">
        <x:v>Annika.docx</x:v>
      </x:c>
      <x:c r="AA24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 Studios / UKTV (U&amp;Alibi)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HYPERLINK("https://en.wikipedia.org/wiki/Annika","Open source")</x:f>
        <x:v>HYPERLINK is not implemented. linkLocation=https://en.wikipedia.org/wiki/Annika, friendlyName=Open source</x:v>
      </x:c>
      <x:c r="AN246" s="14" t="str">
        <x:v>BBC Studios production for another broadcaster</x:v>
      </x:c>
      <x:c r="AO246" s="14" t="str">
        <x:v>Yes</x:v>
      </x:c>
      <x:c r="AP246" s="14" t="str">
        <x:v>Wider BBC commercial-group context only</x:v>
      </x:c>
      <x:c r="AQ246" s="14" t="str">
        <x:v>Yes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12</x:v>
      </x:c>
      <x:c r="BP246" s="14" t="str">
        <x:v>Maximum eligible IMDb cast-credit total (12), shared by 4 performer(s); not independently verified as a 2021-only episode total.</x:v>
      </x:c>
      <x:c r="BQ246" s="14" t="str">
        <x:v>Medium</x:v>
      </x:c>
      <x:c r="BR246" s="15" t="n">
        <x:v>1</x:v>
      </x:c>
      <x:c r="BS246" s="16" t="n">
        <x:v>0.08333333333333333</x:v>
      </x:c>
      <x:c r="BT246" s="14" t="str">
        <x:v>One episode</x:v>
      </x:c>
      <x:c r="BU246" s="14" t="str">
        <x:v>Medium</x:v>
      </x:c>
      <x:c r="BV246" s="14" t="str">
        <x:v>Derived from supplied IMDb episode count and the documented production-total proxy.</x:v>
      </x:c>
      <x:c r="BW246" s="14" t="str">
        <x:v>Unable to determine</x:v>
      </x:c>
      <x:c r="BX246" s="14" t="str">
        <x:v>Supplied cast data establishes the credit and episode presence but does not establish narrative prominence.</x:v>
      </x:c>
      <x:c r="BY246" s="14" t="str">
        <x:v>Supplied IMDb cast-list workbook</x:v>
      </x:c>
      <x:c r="BZ24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tt13643704|nm6145634|january deacon</x:v>
      </x:c>
      <x:c r="B247" s="14" t="str">
        <x:v>01</x:v>
      </x:c>
      <x:c r="C247" s="14" t="str">
        <x:v>2021_IMDb_Cast_Lists_Batch_01(1).xlsx</x:v>
      </x:c>
      <x:c r="D247" s="14" t="str">
        <x:v>Annika</x:v>
      </x:c>
      <x:c r="E247" s="14" t="n">
        <x:v>28</x:v>
      </x:c>
      <x:c r="F247" s="14" t="str">
        <x:v>Annika</x:v>
      </x:c>
      <x:c r="G247" s="14" t="str">
        <x:v>tt13643704</x:v>
      </x:c>
      <x:c r="H247" s="14" t="n">
        <x:v>2021</x:v>
      </x:c>
      <x:c r="I247" s="14" t="n">
        <x:v>2023</x:v>
      </x:c>
      <x:c r="J247" s="14" t="str">
        <x:v>Earlier-Production Carry-In Cohort</x:v>
      </x:c>
      <x:c r="K247" s="14" t="n">
        <x:v>2021</x:v>
      </x:c>
      <x:c r="L247" s="14" t="str">
        <x:v>Used in 2023 annual analysis</x:v>
      </x:c>
      <x:c r="M247" s="15" t="n">
        <x:v>21</x:v>
      </x:c>
      <x:c r="N247" s="14" t="str">
        <x:v>Shereen Cutkelvin</x:v>
      </x:c>
      <x:c r="O247" s="14" t="str">
        <x:v>nm6145634</x:v>
      </x:c>
      <x:c r="P247" s="14" t="str">
        <x:v>January Deacon</x:v>
      </x:c>
      <x:c r="Q247" s="15" t="n">
        <x:v>1</x:v>
      </x:c>
      <x:c r="R247" s="14" t="str">
        <x:v>2023</x:v>
      </x:c>
      <x:c r="S247" s="14" t="n">
        <x:v>2023</x:v>
      </x:c>
      <x:c r="T247" s="14" t="n">
        <x:v>2023</x:v>
      </x:c>
      <x:c r="U247" s="14" t="str">
        <x:v>Post-2021 casting excluded</x:v>
      </x:c>
      <x:c r="V247" s="14" t="str">
        <x:v>Earliest supplied year is 2023, later than the 2021 study year.</x:v>
      </x:c>
      <x:c r="W247" s="14"/>
      <x:c r="X247" s="14" t="str">
        <x:v>Included</x:v>
      </x:c>
      <x:c r="Y247" s="14"/>
      <x:c r="Z247" s="14" t="str">
        <x:v>Annika.docx</x:v>
      </x:c>
      <x:c r="AA24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 Studios / UKTV (U&amp;Alibi)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HYPERLINK("https://en.wikipedia.org/wiki/Annika","Open source")</x:f>
        <x:v>HYPERLINK is not implemented. linkLocation=https://en.wikipedia.org/wiki/Annika, friendlyName=Open source</x:v>
      </x:c>
      <x:c r="AN247" s="14" t="str">
        <x:v>BBC Studios production for another broadcaster</x:v>
      </x:c>
      <x:c r="AO247" s="14" t="str">
        <x:v>Yes</x:v>
      </x:c>
      <x:c r="AP247" s="14" t="str">
        <x:v>Wider BBC commercial-group context only</x:v>
      </x:c>
      <x:c r="AQ247" s="14" t="str">
        <x:v>Yes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12</x:v>
      </x:c>
      <x:c r="BP247" s="14" t="str">
        <x:v>Maximum eligible IMDb cast-credit total (12), shared by 4 performer(s); not independently verified as a 2021-only episode total.</x:v>
      </x:c>
      <x:c r="BQ247" s="14" t="str">
        <x:v>Medium</x:v>
      </x:c>
      <x:c r="BR247" s="15" t="n">
        <x:v>1</x:v>
      </x:c>
      <x:c r="BS247" s="16" t="n">
        <x:v>0.08333333333333333</x:v>
      </x:c>
      <x:c r="BT247" s="14" t="str">
        <x:v>One episode</x:v>
      </x:c>
      <x:c r="BU247" s="14" t="str">
        <x:v>Medium</x:v>
      </x:c>
      <x:c r="BV247" s="14" t="str">
        <x:v>Derived from supplied IMDb episode count and the documented production-total proxy.</x:v>
      </x:c>
      <x:c r="BW247" s="14" t="str">
        <x:v>Unable to determine</x:v>
      </x:c>
      <x:c r="BX247" s="14" t="str">
        <x:v>Supplied cast data establishes the credit and episode presence but does not establish narrative prominence.</x:v>
      </x:c>
      <x:c r="BY247" s="14" t="str">
        <x:v>Supplied IMDb cast-list workbook</x:v>
      </x:c>
      <x:c r="BZ24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tt13643704|nm10186721|eilidh das</x:v>
      </x:c>
      <x:c r="B248" s="14" t="str">
        <x:v>01</x:v>
      </x:c>
      <x:c r="C248" s="14" t="str">
        <x:v>2021_IMDb_Cast_Lists_Batch_01(1).xlsx</x:v>
      </x:c>
      <x:c r="D248" s="14" t="str">
        <x:v>Annika</x:v>
      </x:c>
      <x:c r="E248" s="14" t="n">
        <x:v>29</x:v>
      </x:c>
      <x:c r="F248" s="14" t="str">
        <x:v>Annika</x:v>
      </x:c>
      <x:c r="G248" s="14" t="str">
        <x:v>tt13643704</x:v>
      </x:c>
      <x:c r="H248" s="14" t="n">
        <x:v>2021</x:v>
      </x:c>
      <x:c r="I248" s="14" t="n">
        <x:v>2023</x:v>
      </x:c>
      <x:c r="J248" s="14" t="str">
        <x:v>Earlier-Production Carry-In Cohort</x:v>
      </x:c>
      <x:c r="K248" s="14" t="n">
        <x:v>2021</x:v>
      </x:c>
      <x:c r="L248" s="14" t="str">
        <x:v>Used in 2023 annual analysis</x:v>
      </x:c>
      <x:c r="M248" s="15" t="n">
        <x:v>22</x:v>
      </x:c>
      <x:c r="N248" s="14" t="str">
        <x:v>Sophia McLean</x:v>
      </x:c>
      <x:c r="O248" s="14" t="str">
        <x:v>nm10186721</x:v>
      </x:c>
      <x:c r="P248" s="14" t="str">
        <x:v>Eilidh Das</x:v>
      </x:c>
      <x:c r="Q248" s="15" t="n">
        <x:v>1</x:v>
      </x:c>
      <x:c r="R248" s="14" t="str">
        <x:v>2023</x:v>
      </x:c>
      <x:c r="S248" s="14" t="n">
        <x:v>2023</x:v>
      </x:c>
      <x:c r="T248" s="14" t="n">
        <x:v>2023</x:v>
      </x:c>
      <x:c r="U248" s="14" t="str">
        <x:v>Post-2021 casting excluded</x:v>
      </x:c>
      <x:c r="V248" s="14" t="str">
        <x:v>Earliest supplied year is 2023, later than the 2021 study year.</x:v>
      </x:c>
      <x:c r="W248" s="14"/>
      <x:c r="X248" s="14" t="str">
        <x:v>Included</x:v>
      </x:c>
      <x:c r="Y248" s="14"/>
      <x:c r="Z248" s="14" t="str">
        <x:v>Annika.docx</x:v>
      </x:c>
      <x:c r="AA24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 Studios / UKTV (U&amp;Alibi)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HYPERLINK("https://en.wikipedia.org/wiki/Annika","Open source")</x:f>
        <x:v>HYPERLINK is not implemented. linkLocation=https://en.wikipedia.org/wiki/Annika, friendlyName=Open source</x:v>
      </x:c>
      <x:c r="AN248" s="14" t="str">
        <x:v>BBC Studios production for another broadcaster</x:v>
      </x:c>
      <x:c r="AO248" s="14" t="str">
        <x:v>Yes</x:v>
      </x:c>
      <x:c r="AP248" s="14" t="str">
        <x:v>Wider BBC commercial-group context only</x:v>
      </x:c>
      <x:c r="AQ248" s="14" t="str">
        <x:v>Yes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12</x:v>
      </x:c>
      <x:c r="BP248" s="14" t="str">
        <x:v>Maximum eligible IMDb cast-credit total (12), shared by 4 performer(s); not independently verified as a 2021-only episode total.</x:v>
      </x:c>
      <x:c r="BQ248" s="14" t="str">
        <x:v>Medium</x:v>
      </x:c>
      <x:c r="BR248" s="15" t="n">
        <x:v>1</x:v>
      </x:c>
      <x:c r="BS248" s="16" t="n">
        <x:v>0.08333333333333333</x:v>
      </x:c>
      <x:c r="BT248" s="14" t="str">
        <x:v>One episode</x:v>
      </x:c>
      <x:c r="BU248" s="14" t="str">
        <x:v>Medium</x:v>
      </x:c>
      <x:c r="BV248" s="14" t="str">
        <x:v>Derived from supplied IMDb episode count and the documented production-total proxy.</x:v>
      </x:c>
      <x:c r="BW248" s="14" t="str">
        <x:v>Unable to determine</x:v>
      </x:c>
      <x:c r="BX248" s="14" t="str">
        <x:v>Supplied cast data establishes the credit and episode presence but does not establish narrative prominence.</x:v>
      </x:c>
      <x:c r="BY248" s="14" t="str">
        <x:v>Supplied IMDb cast-list workbook</x:v>
      </x:c>
      <x:c r="BZ24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tt13643704|nm2382666|dean malone</x:v>
      </x:c>
      <x:c r="B249" s="14" t="str">
        <x:v>01</x:v>
      </x:c>
      <x:c r="C249" s="14" t="str">
        <x:v>2021_IMDb_Cast_Lists_Batch_01(1).xlsx</x:v>
      </x:c>
      <x:c r="D249" s="14" t="str">
        <x:v>Annika</x:v>
      </x:c>
      <x:c r="E249" s="14" t="n">
        <x:v>30</x:v>
      </x:c>
      <x:c r="F249" s="14" t="str">
        <x:v>Annika</x:v>
      </x:c>
      <x:c r="G249" s="14" t="str">
        <x:v>tt13643704</x:v>
      </x:c>
      <x:c r="H249" s="14" t="n">
        <x:v>2021</x:v>
      </x:c>
      <x:c r="I249" s="14" t="n">
        <x:v>2023</x:v>
      </x:c>
      <x:c r="J249" s="14" t="str">
        <x:v>Earlier-Production Carry-In Cohort</x:v>
      </x:c>
      <x:c r="K249" s="14" t="n">
        <x:v>2021</x:v>
      </x:c>
      <x:c r="L249" s="14" t="str">
        <x:v>Used in 2023 annual analysis</x:v>
      </x:c>
      <x:c r="M249" s="15" t="n">
        <x:v>23</x:v>
      </x:c>
      <x:c r="N249" s="14" t="str">
        <x:v>Charlie Pawlett</x:v>
      </x:c>
      <x:c r="O249" s="14" t="str">
        <x:v>nm2382666</x:v>
      </x:c>
      <x:c r="P249" s="14" t="str">
        <x:v>Dean Malone</x:v>
      </x:c>
      <x:c r="Q249" s="15" t="n">
        <x:v>1</x:v>
      </x:c>
      <x:c r="R249" s="14" t="str">
        <x:v>2023</x:v>
      </x:c>
      <x:c r="S249" s="14" t="n">
        <x:v>2023</x:v>
      </x:c>
      <x:c r="T249" s="14" t="n">
        <x:v>2023</x:v>
      </x:c>
      <x:c r="U249" s="14" t="str">
        <x:v>Post-2021 casting excluded</x:v>
      </x:c>
      <x:c r="V249" s="14" t="str">
        <x:v>Earliest supplied year is 2023, later than the 2021 study year.</x:v>
      </x:c>
      <x:c r="W249" s="14"/>
      <x:c r="X249" s="14" t="str">
        <x:v>Included</x:v>
      </x:c>
      <x:c r="Y249" s="14"/>
      <x:c r="Z249" s="14" t="str">
        <x:v>Annika.docx</x:v>
      </x:c>
      <x:c r="AA24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 Studios / UKTV (U&amp;Alibi)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HYPERLINK("https://en.wikipedia.org/wiki/Annika","Open source")</x:f>
        <x:v>HYPERLINK is not implemented. linkLocation=https://en.wikipedia.org/wiki/Annika, friendlyName=Open source</x:v>
      </x:c>
      <x:c r="AN249" s="14" t="str">
        <x:v>BBC Studios production for another broadcaster</x:v>
      </x:c>
      <x:c r="AO249" s="14" t="str">
        <x:v>Yes</x:v>
      </x:c>
      <x:c r="AP249" s="14" t="str">
        <x:v>Wider BBC commercial-group context only</x:v>
      </x:c>
      <x:c r="AQ249" s="14" t="str">
        <x:v>Yes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12</x:v>
      </x:c>
      <x:c r="BP249" s="14" t="str">
        <x:v>Maximum eligible IMDb cast-credit total (12), shared by 4 performer(s); not independently verified as a 2021-only episode total.</x:v>
      </x:c>
      <x:c r="BQ249" s="14" t="str">
        <x:v>Medium</x:v>
      </x:c>
      <x:c r="BR249" s="15" t="n">
        <x:v>1</x:v>
      </x:c>
      <x:c r="BS249" s="16" t="n">
        <x:v>0.08333333333333333</x:v>
      </x:c>
      <x:c r="BT249" s="14" t="str">
        <x:v>One episode</x:v>
      </x:c>
      <x:c r="BU249" s="14" t="str">
        <x:v>Medium</x:v>
      </x:c>
      <x:c r="BV249" s="14" t="str">
        <x:v>Derived from supplied IMDb episode count and the documented production-total proxy.</x:v>
      </x:c>
      <x:c r="BW249" s="14" t="str">
        <x:v>Unable to determine</x:v>
      </x:c>
      <x:c r="BX249" s="14" t="str">
        <x:v>Supplied cast data establishes the credit and episode presence but does not establish narrative prominence.</x:v>
      </x:c>
      <x:c r="BY249" s="14" t="str">
        <x:v>Supplied IMDb cast-list workbook</x:v>
      </x:c>
      <x:c r="BZ24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tt13643704|nm2340289|alex carrigan</x:v>
      </x:c>
      <x:c r="B250" s="14" t="str">
        <x:v>01</x:v>
      </x:c>
      <x:c r="C250" s="14" t="str">
        <x:v>2021_IMDb_Cast_Lists_Batch_01(1).xlsx</x:v>
      </x:c>
      <x:c r="D250" s="14" t="str">
        <x:v>Annika</x:v>
      </x:c>
      <x:c r="E250" s="14" t="n">
        <x:v>36</x:v>
      </x:c>
      <x:c r="F250" s="14" t="str">
        <x:v>Annika</x:v>
      </x:c>
      <x:c r="G250" s="14" t="str">
        <x:v>tt13643704</x:v>
      </x:c>
      <x:c r="H250" s="14" t="n">
        <x:v>2021</x:v>
      </x:c>
      <x:c r="I250" s="14" t="n">
        <x:v>2023</x:v>
      </x:c>
      <x:c r="J250" s="14" t="str">
        <x:v>Earlier-Production Carry-In Cohort</x:v>
      </x:c>
      <x:c r="K250" s="14" t="n">
        <x:v>2021</x:v>
      </x:c>
      <x:c r="L250" s="14" t="str">
        <x:v>Used in 2023 annual analysis</x:v>
      </x:c>
      <x:c r="M250" s="15" t="n">
        <x:v>29</x:v>
      </x:c>
      <x:c r="N250" s="14" t="str">
        <x:v>Rebecca Root</x:v>
      </x:c>
      <x:c r="O250" s="14" t="str">
        <x:v>nm2340289</x:v>
      </x:c>
      <x:c r="P250" s="14" t="str">
        <x:v>Alex Carrigan</x:v>
      </x:c>
      <x:c r="Q250" s="15" t="n">
        <x:v>1</x:v>
      </x:c>
      <x:c r="R250" s="14" t="str">
        <x:v>2023</x:v>
      </x:c>
      <x:c r="S250" s="14" t="n">
        <x:v>2023</x:v>
      </x:c>
      <x:c r="T250" s="14" t="n">
        <x:v>2023</x:v>
      </x:c>
      <x:c r="U250" s="14" t="str">
        <x:v>Post-2021 casting excluded</x:v>
      </x:c>
      <x:c r="V250" s="14" t="str">
        <x:v>Earliest supplied year is 2023, later than the 2021 study year.</x:v>
      </x:c>
      <x:c r="W250" s="14"/>
      <x:c r="X250" s="14" t="str">
        <x:v>Included</x:v>
      </x:c>
      <x:c r="Y250" s="14"/>
      <x:c r="Z250" s="14" t="str">
        <x:v>Annika.docx</x:v>
      </x:c>
      <x:c r="AA25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 Studios / UKTV (U&amp;Alibi)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HYPERLINK("https://en.wikipedia.org/wiki/Annika","Open source")</x:f>
        <x:v>HYPERLINK is not implemented. linkLocation=https://en.wikipedia.org/wiki/Annika, friendlyName=Open source</x:v>
      </x:c>
      <x:c r="AN250" s="14" t="str">
        <x:v>BBC Studios production for another broadcaster</x:v>
      </x:c>
      <x:c r="AO250" s="14" t="str">
        <x:v>Yes</x:v>
      </x:c>
      <x:c r="AP250" s="14" t="str">
        <x:v>Wider BBC commercial-group context only</x:v>
      </x:c>
      <x:c r="AQ250" s="14" t="str">
        <x:v>Yes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12</x:v>
      </x:c>
      <x:c r="BP250" s="14" t="str">
        <x:v>Maximum eligible IMDb cast-credit total (12), shared by 4 performer(s); not independently verified as a 2021-only episode total.</x:v>
      </x:c>
      <x:c r="BQ250" s="14" t="str">
        <x:v>Medium</x:v>
      </x:c>
      <x:c r="BR250" s="15" t="n">
        <x:v>1</x:v>
      </x:c>
      <x:c r="BS250" s="16" t="n">
        <x:v>0.08333333333333333</x:v>
      </x:c>
      <x:c r="BT250" s="14" t="str">
        <x:v>One episode</x:v>
      </x:c>
      <x:c r="BU250" s="14" t="str">
        <x:v>Medium</x:v>
      </x:c>
      <x:c r="BV250" s="14" t="str">
        <x:v>Derived from supplied IMDb episode count and the documented production-total proxy.</x:v>
      </x:c>
      <x:c r="BW250" s="14" t="str">
        <x:v>Unable to determine</x:v>
      </x:c>
      <x:c r="BX250" s="14" t="str">
        <x:v>Supplied cast data establishes the credit and episode presence but does not establish narrative prominence.</x:v>
      </x:c>
      <x:c r="BY250" s="14" t="str">
        <x:v>Supplied IMDb cast-list workbook</x:v>
      </x:c>
      <x:c r="BZ25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tt13643704|nm2567807|greg connolly</x:v>
      </x:c>
      <x:c r="B251" s="14" t="str">
        <x:v>01</x:v>
      </x:c>
      <x:c r="C251" s="14" t="str">
        <x:v>2021_IMDb_Cast_Lists_Batch_01(1).xlsx</x:v>
      </x:c>
      <x:c r="D251" s="14" t="str">
        <x:v>Annika</x:v>
      </x:c>
      <x:c r="E251" s="14" t="n">
        <x:v>37</x:v>
      </x:c>
      <x:c r="F251" s="14" t="str">
        <x:v>Annika</x:v>
      </x:c>
      <x:c r="G251" s="14" t="str">
        <x:v>tt13643704</x:v>
      </x:c>
      <x:c r="H251" s="14" t="n">
        <x:v>2021</x:v>
      </x:c>
      <x:c r="I251" s="14" t="n">
        <x:v>2023</x:v>
      </x:c>
      <x:c r="J251" s="14" t="str">
        <x:v>Earlier-Production Carry-In Cohort</x:v>
      </x:c>
      <x:c r="K251" s="14" t="n">
        <x:v>2021</x:v>
      </x:c>
      <x:c r="L251" s="14" t="str">
        <x:v>Used in 2023 annual analysis</x:v>
      </x:c>
      <x:c r="M251" s="15" t="n">
        <x:v>30</x:v>
      </x:c>
      <x:c r="N251" s="14" t="str">
        <x:v>Russ Bain</x:v>
      </x:c>
      <x:c r="O251" s="14" t="str">
        <x:v>nm2567807</x:v>
      </x:c>
      <x:c r="P251" s="14" t="str">
        <x:v>Greg Connolly</x:v>
      </x:c>
      <x:c r="Q251" s="15" t="n">
        <x:v>1</x:v>
      </x:c>
      <x:c r="R251" s="14" t="str">
        <x:v>2023</x:v>
      </x:c>
      <x:c r="S251" s="14" t="n">
        <x:v>2023</x:v>
      </x:c>
      <x:c r="T251" s="14" t="n">
        <x:v>2023</x:v>
      </x:c>
      <x:c r="U251" s="14" t="str">
        <x:v>Post-2021 casting excluded</x:v>
      </x:c>
      <x:c r="V251" s="14" t="str">
        <x:v>Earliest supplied year is 2023, later than the 2021 study year.</x:v>
      </x:c>
      <x:c r="W251" s="14"/>
      <x:c r="X251" s="14" t="str">
        <x:v>Included</x:v>
      </x:c>
      <x:c r="Y251" s="14"/>
      <x:c r="Z251" s="14" t="str">
        <x:v>Annika.docx</x:v>
      </x:c>
      <x:c r="AA25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 Studios / UKTV (U&amp;Alibi)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HYPERLINK("https://en.wikipedia.org/wiki/Annika","Open source")</x:f>
        <x:v>HYPERLINK is not implemented. linkLocation=https://en.wikipedia.org/wiki/Annika, friendlyName=Open source</x:v>
      </x:c>
      <x:c r="AN251" s="14" t="str">
        <x:v>BBC Studios production for another broadcaster</x:v>
      </x:c>
      <x:c r="AO251" s="14" t="str">
        <x:v>Yes</x:v>
      </x:c>
      <x:c r="AP251" s="14" t="str">
        <x:v>Wider BBC commercial-group context only</x:v>
      </x:c>
      <x:c r="AQ251" s="14" t="str">
        <x:v>Yes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12</x:v>
      </x:c>
      <x:c r="BP251" s="14" t="str">
        <x:v>Maximum eligible IMDb cast-credit total (12), shared by 4 performer(s); not independently verified as a 2021-only episode total.</x:v>
      </x:c>
      <x:c r="BQ251" s="14" t="str">
        <x:v>Medium</x:v>
      </x:c>
      <x:c r="BR251" s="15" t="n">
        <x:v>1</x:v>
      </x:c>
      <x:c r="BS251" s="16" t="n">
        <x:v>0.08333333333333333</x:v>
      </x:c>
      <x:c r="BT251" s="14" t="str">
        <x:v>One episode</x:v>
      </x:c>
      <x:c r="BU251" s="14" t="str">
        <x:v>Medium</x:v>
      </x:c>
      <x:c r="BV251" s="14" t="str">
        <x:v>Derived from supplied IMDb episode count and the documented production-total proxy.</x:v>
      </x:c>
      <x:c r="BW251" s="14" t="str">
        <x:v>Unable to determine</x:v>
      </x:c>
      <x:c r="BX251" s="14" t="str">
        <x:v>Supplied cast data establishes the credit and episode presence but does not establish narrative prominence.</x:v>
      </x:c>
      <x:c r="BY251" s="14" t="str">
        <x:v>Supplied IMDb cast-list workbook</x:v>
      </x:c>
      <x:c r="BZ25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tt13643704|nm0362003|louise keanny</x:v>
      </x:c>
      <x:c r="B252" s="14" t="str">
        <x:v>01</x:v>
      </x:c>
      <x:c r="C252" s="14" t="str">
        <x:v>2021_IMDb_Cast_Lists_Batch_01(1).xlsx</x:v>
      </x:c>
      <x:c r="D252" s="14" t="str">
        <x:v>Annika</x:v>
      </x:c>
      <x:c r="E252" s="14" t="n">
        <x:v>38</x:v>
      </x:c>
      <x:c r="F252" s="14" t="str">
        <x:v>Annika</x:v>
      </x:c>
      <x:c r="G252" s="14" t="str">
        <x:v>tt13643704</x:v>
      </x:c>
      <x:c r="H252" s="14" t="n">
        <x:v>2021</x:v>
      </x:c>
      <x:c r="I252" s="14" t="n">
        <x:v>2023</x:v>
      </x:c>
      <x:c r="J252" s="14" t="str">
        <x:v>Earlier-Production Carry-In Cohort</x:v>
      </x:c>
      <x:c r="K252" s="14" t="n">
        <x:v>2021</x:v>
      </x:c>
      <x:c r="L252" s="14" t="str">
        <x:v>Used in 2023 annual analysis</x:v>
      </x:c>
      <x:c r="M252" s="15" t="n">
        <x:v>31</x:v>
      </x:c>
      <x:c r="N252" s="14" t="str">
        <x:v>Lesley Harcourt</x:v>
      </x:c>
      <x:c r="O252" s="14" t="str">
        <x:v>nm0362003</x:v>
      </x:c>
      <x:c r="P252" s="14" t="str">
        <x:v>Louise Keanny</x:v>
      </x:c>
      <x:c r="Q252" s="15" t="n">
        <x:v>1</x:v>
      </x:c>
      <x:c r="R252" s="14" t="str">
        <x:v>2023</x:v>
      </x:c>
      <x:c r="S252" s="14" t="n">
        <x:v>2023</x:v>
      </x:c>
      <x:c r="T252" s="14" t="n">
        <x:v>2023</x:v>
      </x:c>
      <x:c r="U252" s="14" t="str">
        <x:v>Post-2021 casting excluded</x:v>
      </x:c>
      <x:c r="V252" s="14" t="str">
        <x:v>Earliest supplied year is 2023, later than the 2021 study year.</x:v>
      </x:c>
      <x:c r="W252" s="14"/>
      <x:c r="X252" s="14" t="str">
        <x:v>Included</x:v>
      </x:c>
      <x:c r="Y252" s="14"/>
      <x:c r="Z252" s="14" t="str">
        <x:v>Annika.docx</x:v>
      </x:c>
      <x:c r="AA25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 Studios / UKTV (U&amp;Alibi)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HYPERLINK("https://en.wikipedia.org/wiki/Annika","Open source")</x:f>
        <x:v>HYPERLINK is not implemented. linkLocation=https://en.wikipedia.org/wiki/Annika, friendlyName=Open source</x:v>
      </x:c>
      <x:c r="AN252" s="14" t="str">
        <x:v>BBC Studios production for another broadcaster</x:v>
      </x:c>
      <x:c r="AO252" s="14" t="str">
        <x:v>Yes</x:v>
      </x:c>
      <x:c r="AP252" s="14" t="str">
        <x:v>Wider BBC commercial-group context only</x:v>
      </x:c>
      <x:c r="AQ252" s="14" t="str">
        <x:v>Yes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12</x:v>
      </x:c>
      <x:c r="BP252" s="14" t="str">
        <x:v>Maximum eligible IMDb cast-credit total (12), shared by 4 performer(s); not independently verified as a 2021-only episode total.</x:v>
      </x:c>
      <x:c r="BQ252" s="14" t="str">
        <x:v>Medium</x:v>
      </x:c>
      <x:c r="BR252" s="15" t="n">
        <x:v>1</x:v>
      </x:c>
      <x:c r="BS252" s="16" t="n">
        <x:v>0.08333333333333333</x:v>
      </x:c>
      <x:c r="BT252" s="14" t="str">
        <x:v>One episode</x:v>
      </x:c>
      <x:c r="BU252" s="14" t="str">
        <x:v>Medium</x:v>
      </x:c>
      <x:c r="BV252" s="14" t="str">
        <x:v>Derived from supplied IMDb episode count and the documented production-total proxy.</x:v>
      </x:c>
      <x:c r="BW252" s="14" t="str">
        <x:v>Unable to determine</x:v>
      </x:c>
      <x:c r="BX252" s="14" t="str">
        <x:v>Supplied cast data establishes the credit and episode presence but does not establish narrative prominence.</x:v>
      </x:c>
      <x:c r="BY252" s="14" t="str">
        <x:v>Supplied IMDb cast-list workbook</x:v>
      </x:c>
      <x:c r="BZ25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tt13643704|nm0182588|salty stewart</x:v>
      </x:c>
      <x:c r="B253" s="14" t="str">
        <x:v>01</x:v>
      </x:c>
      <x:c r="C253" s="14" t="str">
        <x:v>2021_IMDb_Cast_Lists_Batch_01(1).xlsx</x:v>
      </x:c>
      <x:c r="D253" s="14" t="str">
        <x:v>Annika</x:v>
      </x:c>
      <x:c r="E253" s="14" t="n">
        <x:v>39</x:v>
      </x:c>
      <x:c r="F253" s="14" t="str">
        <x:v>Annika</x:v>
      </x:c>
      <x:c r="G253" s="14" t="str">
        <x:v>tt13643704</x:v>
      </x:c>
      <x:c r="H253" s="14" t="n">
        <x:v>2021</x:v>
      </x:c>
      <x:c r="I253" s="14" t="n">
        <x:v>2023</x:v>
      </x:c>
      <x:c r="J253" s="14" t="str">
        <x:v>Earlier-Production Carry-In Cohort</x:v>
      </x:c>
      <x:c r="K253" s="14" t="n">
        <x:v>2021</x:v>
      </x:c>
      <x:c r="L253" s="14" t="str">
        <x:v>Used in 2023 annual analysis</x:v>
      </x:c>
      <x:c r="M253" s="15" t="n">
        <x:v>32</x:v>
      </x:c>
      <x:c r="N253" s="14" t="str">
        <x:v>Matt Costello</x:v>
      </x:c>
      <x:c r="O253" s="14" t="str">
        <x:v>nm0182588</x:v>
      </x:c>
      <x:c r="P253" s="14" t="str">
        <x:v>Salty Stewart</x:v>
      </x:c>
      <x:c r="Q253" s="15" t="n">
        <x:v>1</x:v>
      </x:c>
      <x:c r="R253" s="14" t="str">
        <x:v>2023</x:v>
      </x:c>
      <x:c r="S253" s="14" t="n">
        <x:v>2023</x:v>
      </x:c>
      <x:c r="T253" s="14" t="n">
        <x:v>2023</x:v>
      </x:c>
      <x:c r="U253" s="14" t="str">
        <x:v>Post-2021 casting excluded</x:v>
      </x:c>
      <x:c r="V253" s="14" t="str">
        <x:v>Earliest supplied year is 2023, later than the 2021 study year.</x:v>
      </x:c>
      <x:c r="W253" s="14"/>
      <x:c r="X253" s="14" t="str">
        <x:v>Included</x:v>
      </x:c>
      <x:c r="Y253" s="14"/>
      <x:c r="Z253" s="14" t="str">
        <x:v>Annika.docx</x:v>
      </x:c>
      <x:c r="AA25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 Studios / UKTV (U&amp;Alibi)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HYPERLINK("https://en.wikipedia.org/wiki/Annika","Open source")</x:f>
        <x:v>HYPERLINK is not implemented. linkLocation=https://en.wikipedia.org/wiki/Annika, friendlyName=Open source</x:v>
      </x:c>
      <x:c r="AN253" s="14" t="str">
        <x:v>BBC Studios production for another broadcaster</x:v>
      </x:c>
      <x:c r="AO253" s="14" t="str">
        <x:v>Yes</x:v>
      </x:c>
      <x:c r="AP253" s="14" t="str">
        <x:v>Wider BBC commercial-group context only</x:v>
      </x:c>
      <x:c r="AQ253" s="14" t="str">
        <x:v>Yes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12</x:v>
      </x:c>
      <x:c r="BP253" s="14" t="str">
        <x:v>Maximum eligible IMDb cast-credit total (12), shared by 4 performer(s); not independently verified as a 2021-only episode total.</x:v>
      </x:c>
      <x:c r="BQ253" s="14" t="str">
        <x:v>Medium</x:v>
      </x:c>
      <x:c r="BR253" s="15" t="n">
        <x:v>1</x:v>
      </x:c>
      <x:c r="BS253" s="16" t="n">
        <x:v>0.08333333333333333</x:v>
      </x:c>
      <x:c r="BT253" s="14" t="str">
        <x:v>One episode</x:v>
      </x:c>
      <x:c r="BU253" s="14" t="str">
        <x:v>Medium</x:v>
      </x:c>
      <x:c r="BV253" s="14" t="str">
        <x:v>Derived from supplied IMDb episode count and the documented production-total proxy.</x:v>
      </x:c>
      <x:c r="BW253" s="14" t="str">
        <x:v>Unable to determine</x:v>
      </x:c>
      <x:c r="BX253" s="14" t="str">
        <x:v>Supplied cast data establishes the credit and episode presence but does not establish narrative prominence.</x:v>
      </x:c>
      <x:c r="BY253" s="14" t="str">
        <x:v>Supplied IMDb cast-list workbook</x:v>
      </x:c>
      <x:c r="BZ25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tt13643704|nm13065523|aisha dunn</x:v>
      </x:c>
      <x:c r="B254" s="14" t="str">
        <x:v>01</x:v>
      </x:c>
      <x:c r="C254" s="14" t="str">
        <x:v>2021_IMDb_Cast_Lists_Batch_01(1).xlsx</x:v>
      </x:c>
      <x:c r="D254" s="14" t="str">
        <x:v>Annika</x:v>
      </x:c>
      <x:c r="E254" s="14" t="n">
        <x:v>40</x:v>
      </x:c>
      <x:c r="F254" s="14" t="str">
        <x:v>Annika</x:v>
      </x:c>
      <x:c r="G254" s="14" t="str">
        <x:v>tt13643704</x:v>
      </x:c>
      <x:c r="H254" s="14" t="n">
        <x:v>2021</x:v>
      </x:c>
      <x:c r="I254" s="14" t="n">
        <x:v>2023</x:v>
      </x:c>
      <x:c r="J254" s="14" t="str">
        <x:v>Earlier-Production Carry-In Cohort</x:v>
      </x:c>
      <x:c r="K254" s="14" t="n">
        <x:v>2021</x:v>
      </x:c>
      <x:c r="L254" s="14" t="str">
        <x:v>Used in 2023 annual analysis</x:v>
      </x:c>
      <x:c r="M254" s="15" t="n">
        <x:v>33</x:v>
      </x:c>
      <x:c r="N254" s="14" t="str">
        <x:v>Chelsea Quaison</x:v>
      </x:c>
      <x:c r="O254" s="14" t="str">
        <x:v>nm13065523</x:v>
      </x:c>
      <x:c r="P254" s="14" t="str">
        <x:v>Aisha Dunn</x:v>
      </x:c>
      <x:c r="Q254" s="15" t="n">
        <x:v>1</x:v>
      </x:c>
      <x:c r="R254" s="14" t="str">
        <x:v>2023</x:v>
      </x:c>
      <x:c r="S254" s="14" t="n">
        <x:v>2023</x:v>
      </x:c>
      <x:c r="T254" s="14" t="n">
        <x:v>2023</x:v>
      </x:c>
      <x:c r="U254" s="14" t="str">
        <x:v>Post-2021 casting excluded</x:v>
      </x:c>
      <x:c r="V254" s="14" t="str">
        <x:v>Earliest supplied year is 2023, later than the 2021 study year.</x:v>
      </x:c>
      <x:c r="W254" s="14"/>
      <x:c r="X254" s="14" t="str">
        <x:v>Included</x:v>
      </x:c>
      <x:c r="Y254" s="14"/>
      <x:c r="Z254" s="14" t="str">
        <x:v>Annika.docx</x:v>
      </x:c>
      <x:c r="AA25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 Studios / UKTV (U&amp;Alibi)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HYPERLINK("https://en.wikipedia.org/wiki/Annika","Open source")</x:f>
        <x:v>HYPERLINK is not implemented. linkLocation=https://en.wikipedia.org/wiki/Annika, friendlyName=Open source</x:v>
      </x:c>
      <x:c r="AN254" s="14" t="str">
        <x:v>BBC Studios production for another broadcaster</x:v>
      </x:c>
      <x:c r="AO254" s="14" t="str">
        <x:v>Yes</x:v>
      </x:c>
      <x:c r="AP254" s="14" t="str">
        <x:v>Wider BBC commercial-group context only</x:v>
      </x:c>
      <x:c r="AQ254" s="14" t="str">
        <x:v>Yes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12</x:v>
      </x:c>
      <x:c r="BP254" s="14" t="str">
        <x:v>Maximum eligible IMDb cast-credit total (12), shared by 4 performer(s); not independently verified as a 2021-only episode total.</x:v>
      </x:c>
      <x:c r="BQ254" s="14" t="str">
        <x:v>Medium</x:v>
      </x:c>
      <x:c r="BR254" s="15" t="n">
        <x:v>1</x:v>
      </x:c>
      <x:c r="BS254" s="16" t="n">
        <x:v>0.08333333333333333</x:v>
      </x:c>
      <x:c r="BT254" s="14" t="str">
        <x:v>One episode</x:v>
      </x:c>
      <x:c r="BU254" s="14" t="str">
        <x:v>Medium</x:v>
      </x:c>
      <x:c r="BV254" s="14" t="str">
        <x:v>Derived from supplied IMDb episode count and the documented production-total proxy.</x:v>
      </x:c>
      <x:c r="BW254" s="14" t="str">
        <x:v>Unable to determine</x:v>
      </x:c>
      <x:c r="BX254" s="14" t="str">
        <x:v>Supplied cast data establishes the credit and episode presence but does not establish narrative prominence.</x:v>
      </x:c>
      <x:c r="BY254" s="14" t="str">
        <x:v>Supplied IMDb cast-list workbook</x:v>
      </x:c>
      <x:c r="BZ25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tt13643704|nm7320758|katherine hyde</x:v>
      </x:c>
      <x:c r="B255" s="14" t="str">
        <x:v>01</x:v>
      </x:c>
      <x:c r="C255" s="14" t="str">
        <x:v>2021_IMDb_Cast_Lists_Batch_01(1).xlsx</x:v>
      </x:c>
      <x:c r="D255" s="14" t="str">
        <x:v>Annika</x:v>
      </x:c>
      <x:c r="E255" s="14" t="n">
        <x:v>47</x:v>
      </x:c>
      <x:c r="F255" s="14" t="str">
        <x:v>Annika</x:v>
      </x:c>
      <x:c r="G255" s="14" t="str">
        <x:v>tt13643704</x:v>
      </x:c>
      <x:c r="H255" s="14" t="n">
        <x:v>2021</x:v>
      </x:c>
      <x:c r="I255" s="14" t="n">
        <x:v>2023</x:v>
      </x:c>
      <x:c r="J255" s="14" t="str">
        <x:v>Earlier-Production Carry-In Cohort</x:v>
      </x:c>
      <x:c r="K255" s="14" t="n">
        <x:v>2021</x:v>
      </x:c>
      <x:c r="L255" s="14" t="str">
        <x:v>Used in 2023 annual analysis</x:v>
      </x:c>
      <x:c r="M255" s="15" t="n">
        <x:v>40</x:v>
      </x:c>
      <x:c r="N255" s="14" t="str">
        <x:v>Jessica Hardwick</x:v>
      </x:c>
      <x:c r="O255" s="14" t="str">
        <x:v>nm7320758</x:v>
      </x:c>
      <x:c r="P255" s="14" t="str">
        <x:v>Katherine Hyde</x:v>
      </x:c>
      <x:c r="Q255" s="15" t="n">
        <x:v>1</x:v>
      </x:c>
      <x:c r="R255" s="14" t="str">
        <x:v>2023</x:v>
      </x:c>
      <x:c r="S255" s="14" t="n">
        <x:v>2023</x:v>
      </x:c>
      <x:c r="T255" s="14" t="n">
        <x:v>2023</x:v>
      </x:c>
      <x:c r="U255" s="14" t="str">
        <x:v>Post-2021 casting excluded</x:v>
      </x:c>
      <x:c r="V255" s="14" t="str">
        <x:v>Earliest supplied year is 2023, later than the 2021 study year.</x:v>
      </x:c>
      <x:c r="W255" s="14"/>
      <x:c r="X255" s="14" t="str">
        <x:v>Included</x:v>
      </x:c>
      <x:c r="Y255" s="14"/>
      <x:c r="Z255" s="14" t="str">
        <x:v>Annika.docx</x:v>
      </x:c>
      <x:c r="AA25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 Studios / UKTV (U&amp;Alibi)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HYPERLINK("https://en.wikipedia.org/wiki/Annika","Open source")</x:f>
        <x:v>HYPERLINK is not implemented. linkLocation=https://en.wikipedia.org/wiki/Annika, friendlyName=Open source</x:v>
      </x:c>
      <x:c r="AN255" s="14" t="str">
        <x:v>BBC Studios production for another broadcaster</x:v>
      </x:c>
      <x:c r="AO255" s="14" t="str">
        <x:v>Yes</x:v>
      </x:c>
      <x:c r="AP255" s="14" t="str">
        <x:v>Wider BBC commercial-group context only</x:v>
      </x:c>
      <x:c r="AQ255" s="14" t="str">
        <x:v>Yes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12</x:v>
      </x:c>
      <x:c r="BP255" s="14" t="str">
        <x:v>Maximum eligible IMDb cast-credit total (12), shared by 4 performer(s); not independently verified as a 2021-only episode total.</x:v>
      </x:c>
      <x:c r="BQ255" s="14" t="str">
        <x:v>Medium</x:v>
      </x:c>
      <x:c r="BR255" s="15" t="n">
        <x:v>1</x:v>
      </x:c>
      <x:c r="BS255" s="16" t="n">
        <x:v>0.08333333333333333</x:v>
      </x:c>
      <x:c r="BT255" s="14" t="str">
        <x:v>One episode</x:v>
      </x:c>
      <x:c r="BU255" s="14" t="str">
        <x:v>Medium</x:v>
      </x:c>
      <x:c r="BV255" s="14" t="str">
        <x:v>Derived from supplied IMDb episode count and the documented production-total proxy.</x:v>
      </x:c>
      <x:c r="BW255" s="14" t="str">
        <x:v>Unable to determine</x:v>
      </x:c>
      <x:c r="BX255" s="14" t="str">
        <x:v>Supplied cast data establishes the credit and episode presence but does not establish narrative prominence.</x:v>
      </x:c>
      <x:c r="BY255" s="14" t="str">
        <x:v>Supplied IMDb cast-list workbook</x:v>
      </x:c>
      <x:c r="BZ25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tt13643704|nm9029949|valeria callo</x:v>
      </x:c>
      <x:c r="B256" s="14" t="str">
        <x:v>01</x:v>
      </x:c>
      <x:c r="C256" s="14" t="str">
        <x:v>2021_IMDb_Cast_Lists_Batch_01(1).xlsx</x:v>
      </x:c>
      <x:c r="D256" s="14" t="str">
        <x:v>Annika</x:v>
      </x:c>
      <x:c r="E256" s="14" t="n">
        <x:v>48</x:v>
      </x:c>
      <x:c r="F256" s="14" t="str">
        <x:v>Annika</x:v>
      </x:c>
      <x:c r="G256" s="14" t="str">
        <x:v>tt13643704</x:v>
      </x:c>
      <x:c r="H256" s="14" t="n">
        <x:v>2021</x:v>
      </x:c>
      <x:c r="I256" s="14" t="n">
        <x:v>2023</x:v>
      </x:c>
      <x:c r="J256" s="14" t="str">
        <x:v>Earlier-Production Carry-In Cohort</x:v>
      </x:c>
      <x:c r="K256" s="14" t="n">
        <x:v>2021</x:v>
      </x:c>
      <x:c r="L256" s="14" t="str">
        <x:v>Used in 2023 annual analysis</x:v>
      </x:c>
      <x:c r="M256" s="15" t="n">
        <x:v>41</x:v>
      </x:c>
      <x:c r="N256" s="14" t="str">
        <x:v>Hannah Collins</x:v>
      </x:c>
      <x:c r="O256" s="14" t="str">
        <x:v>nm9029949</x:v>
      </x:c>
      <x:c r="P256" s="14" t="str">
        <x:v>Valeria Callo</x:v>
      </x:c>
      <x:c r="Q256" s="15" t="n">
        <x:v>1</x:v>
      </x:c>
      <x:c r="R256" s="14" t="str">
        <x:v>2023</x:v>
      </x:c>
      <x:c r="S256" s="14" t="n">
        <x:v>2023</x:v>
      </x:c>
      <x:c r="T256" s="14" t="n">
        <x:v>2023</x:v>
      </x:c>
      <x:c r="U256" s="14" t="str">
        <x:v>Post-2021 casting excluded</x:v>
      </x:c>
      <x:c r="V256" s="14" t="str">
        <x:v>Earliest supplied year is 2023, later than the 2021 study year.</x:v>
      </x:c>
      <x:c r="W256" s="14"/>
      <x:c r="X256" s="14" t="str">
        <x:v>Included</x:v>
      </x:c>
      <x:c r="Y256" s="14"/>
      <x:c r="Z256" s="14" t="str">
        <x:v>Annika.docx</x:v>
      </x:c>
      <x:c r="AA25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BBC Studios / UKTV (U&amp;Alibi)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HYPERLINK("https://en.wikipedia.org/wiki/Annika","Open source")</x:f>
        <x:v>HYPERLINK is not implemented. linkLocation=https://en.wikipedia.org/wiki/Annika, friendlyName=Open source</x:v>
      </x:c>
      <x:c r="AN256" s="14" t="str">
        <x:v>BBC Studios production for another broadcaster</x:v>
      </x:c>
      <x:c r="AO256" s="14" t="str">
        <x:v>Yes</x:v>
      </x:c>
      <x:c r="AP256" s="14" t="str">
        <x:v>Wider BBC commercial-group context only</x:v>
      </x:c>
      <x:c r="AQ256" s="14" t="str">
        <x:v>Yes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12</x:v>
      </x:c>
      <x:c r="BP256" s="14" t="str">
        <x:v>Maximum eligible IMDb cast-credit total (12), shared by 4 performer(s); not independently verified as a 2021-only episode total.</x:v>
      </x:c>
      <x:c r="BQ256" s="14" t="str">
        <x:v>Medium</x:v>
      </x:c>
      <x:c r="BR256" s="15" t="n">
        <x:v>1</x:v>
      </x:c>
      <x:c r="BS256" s="16" t="n">
        <x:v>0.08333333333333333</x:v>
      </x:c>
      <x:c r="BT256" s="14" t="str">
        <x:v>One episode</x:v>
      </x:c>
      <x:c r="BU256" s="14" t="str">
        <x:v>Medium</x:v>
      </x:c>
      <x:c r="BV256" s="14" t="str">
        <x:v>Derived from supplied IMDb episode count and the documented production-total proxy.</x:v>
      </x:c>
      <x:c r="BW256" s="14" t="str">
        <x:v>Unable to determine</x:v>
      </x:c>
      <x:c r="BX256" s="14" t="str">
        <x:v>Supplied cast data establishes the credit and episode presence but does not establish narrative prominence.</x:v>
      </x:c>
      <x:c r="BY256" s="14" t="str">
        <x:v>Supplied IMDb cast-list workbook</x:v>
      </x:c>
      <x:c r="BZ25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tt13643704|nm2959043|casper mccray</x:v>
      </x:c>
      <x:c r="B257" s="14" t="str">
        <x:v>01</x:v>
      </x:c>
      <x:c r="C257" s="14" t="str">
        <x:v>2021_IMDb_Cast_Lists_Batch_01(1).xlsx</x:v>
      </x:c>
      <x:c r="D257" s="14" t="str">
        <x:v>Annika</x:v>
      </x:c>
      <x:c r="E257" s="14" t="n">
        <x:v>49</x:v>
      </x:c>
      <x:c r="F257" s="14" t="str">
        <x:v>Annika</x:v>
      </x:c>
      <x:c r="G257" s="14" t="str">
        <x:v>tt13643704</x:v>
      </x:c>
      <x:c r="H257" s="14" t="n">
        <x:v>2021</x:v>
      </x:c>
      <x:c r="I257" s="14" t="n">
        <x:v>2023</x:v>
      </x:c>
      <x:c r="J257" s="14" t="str">
        <x:v>Earlier-Production Carry-In Cohort</x:v>
      </x:c>
      <x:c r="K257" s="14" t="n">
        <x:v>2021</x:v>
      </x:c>
      <x:c r="L257" s="14" t="str">
        <x:v>Used in 2023 annual analysis</x:v>
      </x:c>
      <x:c r="M257" s="15" t="n">
        <x:v>42</x:v>
      </x:c>
      <x:c r="N257" s="14" t="str">
        <x:v>Dom Watters</x:v>
      </x:c>
      <x:c r="O257" s="14" t="str">
        <x:v>nm2959043</x:v>
      </x:c>
      <x:c r="P257" s="14" t="str">
        <x:v>Casper McCray</x:v>
      </x:c>
      <x:c r="Q257" s="15" t="n">
        <x:v>1</x:v>
      </x:c>
      <x:c r="R257" s="14" t="str">
        <x:v>2023</x:v>
      </x:c>
      <x:c r="S257" s="14" t="n">
        <x:v>2023</x:v>
      </x:c>
      <x:c r="T257" s="14" t="n">
        <x:v>2023</x:v>
      </x:c>
      <x:c r="U257" s="14" t="str">
        <x:v>Post-2021 casting excluded</x:v>
      </x:c>
      <x:c r="V257" s="14" t="str">
        <x:v>Earliest supplied year is 2023, later than the 2021 study year.</x:v>
      </x:c>
      <x:c r="W257" s="14"/>
      <x:c r="X257" s="14" t="str">
        <x:v>Included</x:v>
      </x:c>
      <x:c r="Y257" s="14" t="str">
        <x:v>(as Dominic Watters)</x:v>
      </x:c>
      <x:c r="Z257" s="14" t="str">
        <x:v>Annika.docx</x:v>
      </x:c>
      <x:c r="AA25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BBC Studios / UKTV (U&amp;Alibi)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HYPERLINK("https://en.wikipedia.org/wiki/Annika","Open source")</x:f>
        <x:v>HYPERLINK is not implemented. linkLocation=https://en.wikipedia.org/wiki/Annika, friendlyName=Open source</x:v>
      </x:c>
      <x:c r="AN257" s="14" t="str">
        <x:v>BBC Studios production for another broadcaster</x:v>
      </x:c>
      <x:c r="AO257" s="14" t="str">
        <x:v>Yes</x:v>
      </x:c>
      <x:c r="AP257" s="14" t="str">
        <x:v>Wider BBC commercial-group context only</x:v>
      </x:c>
      <x:c r="AQ257" s="14" t="str">
        <x:v>Yes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12</x:v>
      </x:c>
      <x:c r="BP257" s="14" t="str">
        <x:v>Maximum eligible IMDb cast-credit total (12), shared by 4 performer(s); not independently verified as a 2021-only episode total.</x:v>
      </x:c>
      <x:c r="BQ257" s="14" t="str">
        <x:v>Medium</x:v>
      </x:c>
      <x:c r="BR257" s="15" t="n">
        <x:v>1</x:v>
      </x:c>
      <x:c r="BS257" s="16" t="n">
        <x:v>0.08333333333333333</x:v>
      </x:c>
      <x:c r="BT257" s="14" t="str">
        <x:v>One episode</x:v>
      </x:c>
      <x:c r="BU257" s="14" t="str">
        <x:v>Medium</x:v>
      </x:c>
      <x:c r="BV257" s="14" t="str">
        <x:v>Derived from supplied IMDb episode count and the documented production-total proxy.</x:v>
      </x:c>
      <x:c r="BW257" s="14" t="str">
        <x:v>Unable to determine</x:v>
      </x:c>
      <x:c r="BX257" s="14" t="str">
        <x:v>Supplied cast data establishes the credit and episode presence but does not establish narrative prominence.</x:v>
      </x:c>
      <x:c r="BY257" s="14" t="str">
        <x:v>Supplied IMDb cast-list workbook</x:v>
      </x:c>
      <x:c r="BZ25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tt13643704|nm5633434|chris gray</x:v>
      </x:c>
      <x:c r="B258" s="14" t="str">
        <x:v>01</x:v>
      </x:c>
      <x:c r="C258" s="14" t="str">
        <x:v>2021_IMDb_Cast_Lists_Batch_01(1).xlsx</x:v>
      </x:c>
      <x:c r="D258" s="14" t="str">
        <x:v>Annika</x:v>
      </x:c>
      <x:c r="E258" s="14" t="n">
        <x:v>50</x:v>
      </x:c>
      <x:c r="F258" s="14" t="str">
        <x:v>Annika</x:v>
      </x:c>
      <x:c r="G258" s="14" t="str">
        <x:v>tt13643704</x:v>
      </x:c>
      <x:c r="H258" s="14" t="n">
        <x:v>2021</x:v>
      </x:c>
      <x:c r="I258" s="14" t="n">
        <x:v>2023</x:v>
      </x:c>
      <x:c r="J258" s="14" t="str">
        <x:v>Earlier-Production Carry-In Cohort</x:v>
      </x:c>
      <x:c r="K258" s="14" t="n">
        <x:v>2021</x:v>
      </x:c>
      <x:c r="L258" s="14" t="str">
        <x:v>Used in 2023 annual analysis</x:v>
      </x:c>
      <x:c r="M258" s="15" t="n">
        <x:v>43</x:v>
      </x:c>
      <x:c r="N258" s="14" t="str">
        <x:v>Angela Costello</x:v>
      </x:c>
      <x:c r="O258" s="14" t="str">
        <x:v>nm5633434</x:v>
      </x:c>
      <x:c r="P258" s="14" t="str">
        <x:v>Chris Gray</x:v>
      </x:c>
      <x:c r="Q258" s="15" t="n">
        <x:v>1</x:v>
      </x:c>
      <x:c r="R258" s="14" t="str">
        <x:v>2023</x:v>
      </x:c>
      <x:c r="S258" s="14" t="n">
        <x:v>2023</x:v>
      </x:c>
      <x:c r="T258" s="14" t="n">
        <x:v>2023</x:v>
      </x:c>
      <x:c r="U258" s="14" t="str">
        <x:v>Post-2021 casting excluded</x:v>
      </x:c>
      <x:c r="V258" s="14" t="str">
        <x:v>Earliest supplied year is 2023, later than the 2021 study year.</x:v>
      </x:c>
      <x:c r="W258" s="14"/>
      <x:c r="X258" s="14" t="str">
        <x:v>Included</x:v>
      </x:c>
      <x:c r="Y258" s="14"/>
      <x:c r="Z258" s="14" t="str">
        <x:v>Annika.docx</x:v>
      </x:c>
      <x:c r="AA25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BBC Studios / UKTV (U&amp;Alibi)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HYPERLINK("https://en.wikipedia.org/wiki/Annika","Open source")</x:f>
        <x:v>HYPERLINK is not implemented. linkLocation=https://en.wikipedia.org/wiki/Annika, friendlyName=Open source</x:v>
      </x:c>
      <x:c r="AN258" s="14" t="str">
        <x:v>BBC Studios production for another broadcaster</x:v>
      </x:c>
      <x:c r="AO258" s="14" t="str">
        <x:v>Yes</x:v>
      </x:c>
      <x:c r="AP258" s="14" t="str">
        <x:v>Wider BBC commercial-group context only</x:v>
      </x:c>
      <x:c r="AQ258" s="14" t="str">
        <x:v>Yes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12</x:v>
      </x:c>
      <x:c r="BP258" s="14" t="str">
        <x:v>Maximum eligible IMDb cast-credit total (12), shared by 4 performer(s); not independently verified as a 2021-only episode total.</x:v>
      </x:c>
      <x:c r="BQ258" s="14" t="str">
        <x:v>Medium</x:v>
      </x:c>
      <x:c r="BR258" s="15" t="n">
        <x:v>1</x:v>
      </x:c>
      <x:c r="BS258" s="16" t="n">
        <x:v>0.08333333333333333</x:v>
      </x:c>
      <x:c r="BT258" s="14" t="str">
        <x:v>One episode</x:v>
      </x:c>
      <x:c r="BU258" s="14" t="str">
        <x:v>Medium</x:v>
      </x:c>
      <x:c r="BV258" s="14" t="str">
        <x:v>Derived from supplied IMDb episode count and the documented production-total proxy.</x:v>
      </x:c>
      <x:c r="BW258" s="14" t="str">
        <x:v>Unable to determine</x:v>
      </x:c>
      <x:c r="BX258" s="14" t="str">
        <x:v>Supplied cast data establishes the credit and episode presence but does not establish narrative prominence.</x:v>
      </x:c>
      <x:c r="BY258" s="14" t="str">
        <x:v>Supplied IMDb cast-list workbook</x:v>
      </x:c>
      <x:c r="BZ25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tt13643704|nm7635170|andros bakas</x:v>
      </x:c>
      <x:c r="B259" s="14" t="str">
        <x:v>01</x:v>
      </x:c>
      <x:c r="C259" s="14" t="str">
        <x:v>2021_IMDb_Cast_Lists_Batch_01(1).xlsx</x:v>
      </x:c>
      <x:c r="D259" s="14" t="str">
        <x:v>Annika</x:v>
      </x:c>
      <x:c r="E259" s="14" t="n">
        <x:v>57</x:v>
      </x:c>
      <x:c r="F259" s="14" t="str">
        <x:v>Annika</x:v>
      </x:c>
      <x:c r="G259" s="14" t="str">
        <x:v>tt13643704</x:v>
      </x:c>
      <x:c r="H259" s="14" t="n">
        <x:v>2021</x:v>
      </x:c>
      <x:c r="I259" s="14" t="n">
        <x:v>2023</x:v>
      </x:c>
      <x:c r="J259" s="14" t="str">
        <x:v>Earlier-Production Carry-In Cohort</x:v>
      </x:c>
      <x:c r="K259" s="14" t="n">
        <x:v>2021</x:v>
      </x:c>
      <x:c r="L259" s="14" t="str">
        <x:v>Used in 2023 annual analysis</x:v>
      </x:c>
      <x:c r="M259" s="15" t="n">
        <x:v>50</x:v>
      </x:c>
      <x:c r="N259" s="14" t="str">
        <x:v>Ryan Bown</x:v>
      </x:c>
      <x:c r="O259" s="14" t="str">
        <x:v>nm7635170</x:v>
      </x:c>
      <x:c r="P259" s="14" t="str">
        <x:v>Andros Bakas</x:v>
      </x:c>
      <x:c r="Q259" s="15" t="n">
        <x:v>1</x:v>
      </x:c>
      <x:c r="R259" s="14" t="str">
        <x:v>2023</x:v>
      </x:c>
      <x:c r="S259" s="14" t="n">
        <x:v>2023</x:v>
      </x:c>
      <x:c r="T259" s="14" t="n">
        <x:v>2023</x:v>
      </x:c>
      <x:c r="U259" s="14" t="str">
        <x:v>Post-2021 casting excluded</x:v>
      </x:c>
      <x:c r="V259" s="14" t="str">
        <x:v>Earliest supplied year is 2023, later than the 2021 study year.</x:v>
      </x:c>
      <x:c r="W259" s="14"/>
      <x:c r="X259" s="14" t="str">
        <x:v>Included</x:v>
      </x:c>
      <x:c r="Y259" s="14"/>
      <x:c r="Z259" s="14" t="str">
        <x:v>Annika.docx</x:v>
      </x:c>
      <x:c r="AA25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BBC Studios / UKTV (U&amp;Alibi)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HYPERLINK("https://en.wikipedia.org/wiki/Annika","Open source")</x:f>
        <x:v>HYPERLINK is not implemented. linkLocation=https://en.wikipedia.org/wiki/Annika, friendlyName=Open source</x:v>
      </x:c>
      <x:c r="AN259" s="14" t="str">
        <x:v>BBC Studios production for another broadcaster</x:v>
      </x:c>
      <x:c r="AO259" s="14" t="str">
        <x:v>Yes</x:v>
      </x:c>
      <x:c r="AP259" s="14" t="str">
        <x:v>Wider BBC commercial-group context only</x:v>
      </x:c>
      <x:c r="AQ259" s="14" t="str">
        <x:v>Yes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12</x:v>
      </x:c>
      <x:c r="BP259" s="14" t="str">
        <x:v>Maximum eligible IMDb cast-credit total (12), shared by 4 performer(s); not independently verified as a 2021-only episode total.</x:v>
      </x:c>
      <x:c r="BQ259" s="14" t="str">
        <x:v>Medium</x:v>
      </x:c>
      <x:c r="BR259" s="15" t="n">
        <x:v>1</x:v>
      </x:c>
      <x:c r="BS259" s="16" t="n">
        <x:v>0.08333333333333333</x:v>
      </x:c>
      <x:c r="BT259" s="14" t="str">
        <x:v>One episode</x:v>
      </x:c>
      <x:c r="BU259" s="14" t="str">
        <x:v>Medium</x:v>
      </x:c>
      <x:c r="BV259" s="14" t="str">
        <x:v>Derived from supplied IMDb episode count and the documented production-total proxy.</x:v>
      </x:c>
      <x:c r="BW259" s="14" t="str">
        <x:v>Unable to determine</x:v>
      </x:c>
      <x:c r="BX259" s="14" t="str">
        <x:v>Supplied cast data establishes the credit and episode presence but does not establish narrative prominence.</x:v>
      </x:c>
      <x:c r="BY259" s="14" t="str">
        <x:v>Supplied IMDb cast-list workbook</x:v>
      </x:c>
      <x:c r="BZ25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tt13643704|nm7964053|imogen drummond</x:v>
      </x:c>
      <x:c r="B260" s="14" t="str">
        <x:v>01</x:v>
      </x:c>
      <x:c r="C260" s="14" t="str">
        <x:v>2021_IMDb_Cast_Lists_Batch_01(1).xlsx</x:v>
      </x:c>
      <x:c r="D260" s="14" t="str">
        <x:v>Annika</x:v>
      </x:c>
      <x:c r="E260" s="14" t="n">
        <x:v>58</x:v>
      </x:c>
      <x:c r="F260" s="14" t="str">
        <x:v>Annika</x:v>
      </x:c>
      <x:c r="G260" s="14" t="str">
        <x:v>tt13643704</x:v>
      </x:c>
      <x:c r="H260" s="14" t="n">
        <x:v>2021</x:v>
      </x:c>
      <x:c r="I260" s="14" t="n">
        <x:v>2023</x:v>
      </x:c>
      <x:c r="J260" s="14" t="str">
        <x:v>Earlier-Production Carry-In Cohort</x:v>
      </x:c>
      <x:c r="K260" s="14" t="n">
        <x:v>2021</x:v>
      </x:c>
      <x:c r="L260" s="14" t="str">
        <x:v>Used in 2023 annual analysis</x:v>
      </x:c>
      <x:c r="M260" s="15" t="n">
        <x:v>51</x:v>
      </x:c>
      <x:c r="N260" s="14" t="str">
        <x:v>Caitlin Drabble</x:v>
      </x:c>
      <x:c r="O260" s="14" t="str">
        <x:v>nm7964053</x:v>
      </x:c>
      <x:c r="P260" s="14" t="str">
        <x:v>Imogen Drummond</x:v>
      </x:c>
      <x:c r="Q260" s="15" t="n">
        <x:v>1</x:v>
      </x:c>
      <x:c r="R260" s="14" t="str">
        <x:v>2023</x:v>
      </x:c>
      <x:c r="S260" s="14" t="n">
        <x:v>2023</x:v>
      </x:c>
      <x:c r="T260" s="14" t="n">
        <x:v>2023</x:v>
      </x:c>
      <x:c r="U260" s="14" t="str">
        <x:v>Post-2021 casting excluded</x:v>
      </x:c>
      <x:c r="V260" s="14" t="str">
        <x:v>Earliest supplied year is 2023, later than the 2021 study year.</x:v>
      </x:c>
      <x:c r="W260" s="14"/>
      <x:c r="X260" s="14" t="str">
        <x:v>Included</x:v>
      </x:c>
      <x:c r="Y260" s="14"/>
      <x:c r="Z260" s="14" t="str">
        <x:v>Annika.docx</x:v>
      </x:c>
      <x:c r="AA26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BBC Studios / UKTV (U&amp;Alibi)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HYPERLINK("https://en.wikipedia.org/wiki/Annika","Open source")</x:f>
        <x:v>HYPERLINK is not implemented. linkLocation=https://en.wikipedia.org/wiki/Annika, friendlyName=Open source</x:v>
      </x:c>
      <x:c r="AN260" s="14" t="str">
        <x:v>BBC Studios production for another broadcaster</x:v>
      </x:c>
      <x:c r="AO260" s="14" t="str">
        <x:v>Yes</x:v>
      </x:c>
      <x:c r="AP260" s="14" t="str">
        <x:v>Wider BBC commercial-group context only</x:v>
      </x:c>
      <x:c r="AQ260" s="14" t="str">
        <x:v>Yes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12</x:v>
      </x:c>
      <x:c r="BP260" s="14" t="str">
        <x:v>Maximum eligible IMDb cast-credit total (12), shared by 4 performer(s); not independently verified as a 2021-only episode total.</x:v>
      </x:c>
      <x:c r="BQ260" s="14" t="str">
        <x:v>Medium</x:v>
      </x:c>
      <x:c r="BR260" s="15" t="n">
        <x:v>1</x:v>
      </x:c>
      <x:c r="BS260" s="16" t="n">
        <x:v>0.08333333333333333</x:v>
      </x:c>
      <x:c r="BT260" s="14" t="str">
        <x:v>One episode</x:v>
      </x:c>
      <x:c r="BU260" s="14" t="str">
        <x:v>Medium</x:v>
      </x:c>
      <x:c r="BV260" s="14" t="str">
        <x:v>Derived from supplied IMDb episode count and the documented production-total proxy.</x:v>
      </x:c>
      <x:c r="BW260" s="14" t="str">
        <x:v>Unable to determine</x:v>
      </x:c>
      <x:c r="BX260" s="14" t="str">
        <x:v>Supplied cast data establishes the credit and episode presence but does not establish narrative prominence.</x:v>
      </x:c>
      <x:c r="BY260" s="14" t="str">
        <x:v>Supplied IMDb cast-list workbook</x:v>
      </x:c>
      <x:c r="BZ26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tt13643704|nm14269303|grace hyde</x:v>
      </x:c>
      <x:c r="B261" s="14" t="str">
        <x:v>01</x:v>
      </x:c>
      <x:c r="C261" s="14" t="str">
        <x:v>2021_IMDb_Cast_Lists_Batch_01(1).xlsx</x:v>
      </x:c>
      <x:c r="D261" s="14" t="str">
        <x:v>Annika</x:v>
      </x:c>
      <x:c r="E261" s="14" t="n">
        <x:v>59</x:v>
      </x:c>
      <x:c r="F261" s="14" t="str">
        <x:v>Annika</x:v>
      </x:c>
      <x:c r="G261" s="14" t="str">
        <x:v>tt13643704</x:v>
      </x:c>
      <x:c r="H261" s="14" t="n">
        <x:v>2021</x:v>
      </x:c>
      <x:c r="I261" s="14" t="n">
        <x:v>2023</x:v>
      </x:c>
      <x:c r="J261" s="14" t="str">
        <x:v>Earlier-Production Carry-In Cohort</x:v>
      </x:c>
      <x:c r="K261" s="14" t="n">
        <x:v>2021</x:v>
      </x:c>
      <x:c r="L261" s="14" t="str">
        <x:v>Used in 2023 annual analysis</x:v>
      </x:c>
      <x:c r="M261" s="15" t="n">
        <x:v>52</x:v>
      </x:c>
      <x:c r="N261" s="14" t="str">
        <x:v>Layla Cooke</x:v>
      </x:c>
      <x:c r="O261" s="14" t="str">
        <x:v>nm14269303</x:v>
      </x:c>
      <x:c r="P261" s="14" t="str">
        <x:v>Grace Hyde</x:v>
      </x:c>
      <x:c r="Q261" s="15" t="n">
        <x:v>1</x:v>
      </x:c>
      <x:c r="R261" s="14" t="str">
        <x:v>2023</x:v>
      </x:c>
      <x:c r="S261" s="14" t="n">
        <x:v>2023</x:v>
      </x:c>
      <x:c r="T261" s="14" t="n">
        <x:v>2023</x:v>
      </x:c>
      <x:c r="U261" s="14" t="str">
        <x:v>Post-2021 casting excluded</x:v>
      </x:c>
      <x:c r="V261" s="14" t="str">
        <x:v>Earliest supplied year is 2023, later than the 2021 study year.</x:v>
      </x:c>
      <x:c r="W261" s="14"/>
      <x:c r="X261" s="14" t="str">
        <x:v>Included</x:v>
      </x:c>
      <x:c r="Y261" s="14"/>
      <x:c r="Z261" s="14" t="str">
        <x:v>Annika.docx</x:v>
      </x:c>
      <x:c r="AA26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BBC Studios / UKTV (U&amp;Alibi)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HYPERLINK("https://en.wikipedia.org/wiki/Annika","Open source")</x:f>
        <x:v>HYPERLINK is not implemented. linkLocation=https://en.wikipedia.org/wiki/Annika, friendlyName=Open source</x:v>
      </x:c>
      <x:c r="AN261" s="14" t="str">
        <x:v>BBC Studios production for another broadcaster</x:v>
      </x:c>
      <x:c r="AO261" s="14" t="str">
        <x:v>Yes</x:v>
      </x:c>
      <x:c r="AP261" s="14" t="str">
        <x:v>Wider BBC commercial-group context only</x:v>
      </x:c>
      <x:c r="AQ261" s="14" t="str">
        <x:v>Yes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12</x:v>
      </x:c>
      <x:c r="BP261" s="14" t="str">
        <x:v>Maximum eligible IMDb cast-credit total (12), shared by 4 performer(s); not independently verified as a 2021-only episode total.</x:v>
      </x:c>
      <x:c r="BQ261" s="14" t="str">
        <x:v>Medium</x:v>
      </x:c>
      <x:c r="BR261" s="15" t="n">
        <x:v>1</x:v>
      </x:c>
      <x:c r="BS261" s="16" t="n">
        <x:v>0.08333333333333333</x:v>
      </x:c>
      <x:c r="BT261" s="14" t="str">
        <x:v>One episode</x:v>
      </x:c>
      <x:c r="BU261" s="14" t="str">
        <x:v>Medium</x:v>
      </x:c>
      <x:c r="BV261" s="14" t="str">
        <x:v>Derived from supplied IMDb episode count and the documented production-total proxy.</x:v>
      </x:c>
      <x:c r="BW261" s="14" t="str">
        <x:v>Unable to determine</x:v>
      </x:c>
      <x:c r="BX261" s="14" t="str">
        <x:v>Supplied cast data establishes the credit and episode presence but does not establish narrative prominence.</x:v>
      </x:c>
      <x:c r="BY261" s="14" t="str">
        <x:v>Supplied IMDb cast-list workbook</x:v>
      </x:c>
      <x:c r="BZ26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tt13643704|nm11802964|qaiyum das</x:v>
      </x:c>
      <x:c r="B262" s="14" t="str">
        <x:v>01</x:v>
      </x:c>
      <x:c r="C262" s="14" t="str">
        <x:v>2021_IMDb_Cast_Lists_Batch_01(1).xlsx</x:v>
      </x:c>
      <x:c r="D262" s="14" t="str">
        <x:v>Annika</x:v>
      </x:c>
      <x:c r="E262" s="14" t="n">
        <x:v>60</x:v>
      </x:c>
      <x:c r="F262" s="14" t="str">
        <x:v>Annika</x:v>
      </x:c>
      <x:c r="G262" s="14" t="str">
        <x:v>tt13643704</x:v>
      </x:c>
      <x:c r="H262" s="14" t="n">
        <x:v>2021</x:v>
      </x:c>
      <x:c r="I262" s="14" t="n">
        <x:v>2023</x:v>
      </x:c>
      <x:c r="J262" s="14" t="str">
        <x:v>Earlier-Production Carry-In Cohort</x:v>
      </x:c>
      <x:c r="K262" s="14" t="n">
        <x:v>2021</x:v>
      </x:c>
      <x:c r="L262" s="14" t="str">
        <x:v>Used in 2023 annual analysis</x:v>
      </x:c>
      <x:c r="M262" s="15" t="n">
        <x:v>53</x:v>
      </x:c>
      <x:c r="N262" s="14" t="str">
        <x:v>Ryaan Ali</x:v>
      </x:c>
      <x:c r="O262" s="14" t="str">
        <x:v>nm11802964</x:v>
      </x:c>
      <x:c r="P262" s="14" t="str">
        <x:v>Qaiyum Das</x:v>
      </x:c>
      <x:c r="Q262" s="15" t="n">
        <x:v>1</x:v>
      </x:c>
      <x:c r="R262" s="14" t="str">
        <x:v>2023</x:v>
      </x:c>
      <x:c r="S262" s="14" t="n">
        <x:v>2023</x:v>
      </x:c>
      <x:c r="T262" s="14" t="n">
        <x:v>2023</x:v>
      </x:c>
      <x:c r="U262" s="14" t="str">
        <x:v>Post-2021 casting excluded</x:v>
      </x:c>
      <x:c r="V262" s="14" t="str">
        <x:v>Earliest supplied year is 2023, later than the 2021 study year.</x:v>
      </x:c>
      <x:c r="W262" s="14"/>
      <x:c r="X262" s="14" t="str">
        <x:v>Included</x:v>
      </x:c>
      <x:c r="Y262" s="14"/>
      <x:c r="Z262" s="14" t="str">
        <x:v>Annika.docx</x:v>
      </x:c>
      <x:c r="AA26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BBC Studios / UKTV (U&amp;Alibi)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HYPERLINK("https://en.wikipedia.org/wiki/Annika","Open source")</x:f>
        <x:v>HYPERLINK is not implemented. linkLocation=https://en.wikipedia.org/wiki/Annika, friendlyName=Open source</x:v>
      </x:c>
      <x:c r="AN262" s="14" t="str">
        <x:v>BBC Studios production for another broadcaster</x:v>
      </x:c>
      <x:c r="AO262" s="14" t="str">
        <x:v>Yes</x:v>
      </x:c>
      <x:c r="AP262" s="14" t="str">
        <x:v>Wider BBC commercial-group context only</x:v>
      </x:c>
      <x:c r="AQ262" s="14" t="str">
        <x:v>Yes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12</x:v>
      </x:c>
      <x:c r="BP262" s="14" t="str">
        <x:v>Maximum eligible IMDb cast-credit total (12), shared by 4 performer(s); not independently verified as a 2021-only episode total.</x:v>
      </x:c>
      <x:c r="BQ262" s="14" t="str">
        <x:v>Medium</x:v>
      </x:c>
      <x:c r="BR262" s="15" t="n">
        <x:v>1</x:v>
      </x:c>
      <x:c r="BS262" s="16" t="n">
        <x:v>0.08333333333333333</x:v>
      </x:c>
      <x:c r="BT262" s="14" t="str">
        <x:v>One episode</x:v>
      </x:c>
      <x:c r="BU262" s="14" t="str">
        <x:v>Medium</x:v>
      </x:c>
      <x:c r="BV262" s="14" t="str">
        <x:v>Derived from supplied IMDb episode count and the documented production-total proxy.</x:v>
      </x:c>
      <x:c r="BW262" s="14" t="str">
        <x:v>Unable to determine</x:v>
      </x:c>
      <x:c r="BX262" s="14" t="str">
        <x:v>Supplied cast data establishes the credit and episode presence but does not establish narrative prominence.</x:v>
      </x:c>
      <x:c r="BY262" s="14" t="str">
        <x:v>Supplied IMDb cast-list workbook</x:v>
      </x:c>
      <x:c r="BZ26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tt13643704|nm0924144|celeste muirhead</x:v>
      </x:c>
      <x:c r="B263" s="14" t="str">
        <x:v>01</x:v>
      </x:c>
      <x:c r="C263" s="14" t="str">
        <x:v>2021_IMDb_Cast_Lists_Batch_01(1).xlsx</x:v>
      </x:c>
      <x:c r="D263" s="14" t="str">
        <x:v>Annika</x:v>
      </x:c>
      <x:c r="E263" s="14" t="n">
        <x:v>67</x:v>
      </x:c>
      <x:c r="F263" s="14" t="str">
        <x:v>Annika</x:v>
      </x:c>
      <x:c r="G263" s="14" t="str">
        <x:v>tt13643704</x:v>
      </x:c>
      <x:c r="H263" s="14" t="n">
        <x:v>2021</x:v>
      </x:c>
      <x:c r="I263" s="14" t="n">
        <x:v>2023</x:v>
      </x:c>
      <x:c r="J263" s="14" t="str">
        <x:v>Earlier-Production Carry-In Cohort</x:v>
      </x:c>
      <x:c r="K263" s="14" t="n">
        <x:v>2021</x:v>
      </x:c>
      <x:c r="L263" s="14" t="str">
        <x:v>Used in 2023 annual analysis</x:v>
      </x:c>
      <x:c r="M263" s="15" t="n">
        <x:v>60</x:v>
      </x:c>
      <x:c r="N263" s="14" t="str">
        <x:v>Jenny Whiffen</x:v>
      </x:c>
      <x:c r="O263" s="14" t="str">
        <x:v>nm0924144</x:v>
      </x:c>
      <x:c r="P263" s="14" t="str">
        <x:v>Celeste Muirhead</x:v>
      </x:c>
      <x:c r="Q263" s="15" t="n">
        <x:v>1</x:v>
      </x:c>
      <x:c r="R263" s="14" t="str">
        <x:v>2023</x:v>
      </x:c>
      <x:c r="S263" s="14" t="n">
        <x:v>2023</x:v>
      </x:c>
      <x:c r="T263" s="14" t="n">
        <x:v>2023</x:v>
      </x:c>
      <x:c r="U263" s="14" t="str">
        <x:v>Post-2021 casting excluded</x:v>
      </x:c>
      <x:c r="V263" s="14" t="str">
        <x:v>Earliest supplied year is 2023, later than the 2021 study year.</x:v>
      </x:c>
      <x:c r="W263" s="14"/>
      <x:c r="X263" s="14" t="str">
        <x:v>Included</x:v>
      </x:c>
      <x:c r="Y263" s="14"/>
      <x:c r="Z263" s="14" t="str">
        <x:v>Annika.docx</x:v>
      </x:c>
      <x:c r="AA26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BBC Studios / UKTV (U&amp;Alibi)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HYPERLINK("https://en.wikipedia.org/wiki/Annika","Open source")</x:f>
        <x:v>HYPERLINK is not implemented. linkLocation=https://en.wikipedia.org/wiki/Annika, friendlyName=Open source</x:v>
      </x:c>
      <x:c r="AN263" s="14" t="str">
        <x:v>BBC Studios production for another broadcaster</x:v>
      </x:c>
      <x:c r="AO263" s="14" t="str">
        <x:v>Yes</x:v>
      </x:c>
      <x:c r="AP263" s="14" t="str">
        <x:v>Wider BBC commercial-group context only</x:v>
      </x:c>
      <x:c r="AQ263" s="14" t="str">
        <x:v>Yes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12</x:v>
      </x:c>
      <x:c r="BP263" s="14" t="str">
        <x:v>Maximum eligible IMDb cast-credit total (12), shared by 4 performer(s); not independently verified as a 2021-only episode total.</x:v>
      </x:c>
      <x:c r="BQ263" s="14" t="str">
        <x:v>Medium</x:v>
      </x:c>
      <x:c r="BR263" s="15" t="n">
        <x:v>1</x:v>
      </x:c>
      <x:c r="BS263" s="16" t="n">
        <x:v>0.08333333333333333</x:v>
      </x:c>
      <x:c r="BT263" s="14" t="str">
        <x:v>One episode</x:v>
      </x:c>
      <x:c r="BU263" s="14" t="str">
        <x:v>Medium</x:v>
      </x:c>
      <x:c r="BV263" s="14" t="str">
        <x:v>Derived from supplied IMDb episode count and the documented production-total proxy.</x:v>
      </x:c>
      <x:c r="BW263" s="14" t="str">
        <x:v>Unable to determine</x:v>
      </x:c>
      <x:c r="BX263" s="14" t="str">
        <x:v>Supplied cast data establishes the credit and episode presence but does not establish narrative prominence.</x:v>
      </x:c>
      <x:c r="BY263" s="14" t="str">
        <x:v>Supplied IMDb cast-list workbook</x:v>
      </x:c>
      <x:c r="BZ26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tt13643704|nm0240537|billy gleeson</x:v>
      </x:c>
      <x:c r="B264" s="14" t="str">
        <x:v>01</x:v>
      </x:c>
      <x:c r="C264" s="14" t="str">
        <x:v>2021_IMDb_Cast_Lists_Batch_01(1).xlsx</x:v>
      </x:c>
      <x:c r="D264" s="14" t="str">
        <x:v>Annika</x:v>
      </x:c>
      <x:c r="E264" s="14" t="n">
        <x:v>68</x:v>
      </x:c>
      <x:c r="F264" s="14" t="str">
        <x:v>Annika</x:v>
      </x:c>
      <x:c r="G264" s="14" t="str">
        <x:v>tt13643704</x:v>
      </x:c>
      <x:c r="H264" s="14" t="n">
        <x:v>2021</x:v>
      </x:c>
      <x:c r="I264" s="14" t="n">
        <x:v>2023</x:v>
      </x:c>
      <x:c r="J264" s="14" t="str">
        <x:v>Earlier-Production Carry-In Cohort</x:v>
      </x:c>
      <x:c r="K264" s="14" t="n">
        <x:v>2021</x:v>
      </x:c>
      <x:c r="L264" s="14" t="str">
        <x:v>Used in 2023 annual analysis</x:v>
      </x:c>
      <x:c r="M264" s="15" t="n">
        <x:v>61</x:v>
      </x:c>
      <x:c r="N264" s="14" t="str">
        <x:v>Steven Duffy</x:v>
      </x:c>
      <x:c r="O264" s="14" t="str">
        <x:v>nm0240537</x:v>
      </x:c>
      <x:c r="P264" s="14" t="str">
        <x:v>Billy Gleeson</x:v>
      </x:c>
      <x:c r="Q264" s="15" t="n">
        <x:v>1</x:v>
      </x:c>
      <x:c r="R264" s="14" t="str">
        <x:v>2023</x:v>
      </x:c>
      <x:c r="S264" s="14" t="n">
        <x:v>2023</x:v>
      </x:c>
      <x:c r="T264" s="14" t="n">
        <x:v>2023</x:v>
      </x:c>
      <x:c r="U264" s="14" t="str">
        <x:v>Post-2021 casting excluded</x:v>
      </x:c>
      <x:c r="V264" s="14" t="str">
        <x:v>Earliest supplied year is 2023, later than the 2021 study year.</x:v>
      </x:c>
      <x:c r="W264" s="14"/>
      <x:c r="X264" s="14" t="str">
        <x:v>Included</x:v>
      </x:c>
      <x:c r="Y264" s="14" t="str">
        <x:v>(as J S Duffy)</x:v>
      </x:c>
      <x:c r="Z264" s="14" t="str">
        <x:v>Annika.docx</x:v>
      </x:c>
      <x:c r="AA26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BBC Studios / UKTV (U&amp;Alibi)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HYPERLINK("https://en.wikipedia.org/wiki/Annika","Open source")</x:f>
        <x:v>HYPERLINK is not implemented. linkLocation=https://en.wikipedia.org/wiki/Annika, friendlyName=Open source</x:v>
      </x:c>
      <x:c r="AN264" s="14" t="str">
        <x:v>BBC Studios production for another broadcaster</x:v>
      </x:c>
      <x:c r="AO264" s="14" t="str">
        <x:v>Yes</x:v>
      </x:c>
      <x:c r="AP264" s="14" t="str">
        <x:v>Wider BBC commercial-group context only</x:v>
      </x:c>
      <x:c r="AQ264" s="14" t="str">
        <x:v>Yes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12</x:v>
      </x:c>
      <x:c r="BP264" s="14" t="str">
        <x:v>Maximum eligible IMDb cast-credit total (12), shared by 4 performer(s); not independently verified as a 2021-only episode total.</x:v>
      </x:c>
      <x:c r="BQ264" s="14" t="str">
        <x:v>Medium</x:v>
      </x:c>
      <x:c r="BR264" s="15" t="n">
        <x:v>1</x:v>
      </x:c>
      <x:c r="BS264" s="16" t="n">
        <x:v>0.08333333333333333</x:v>
      </x:c>
      <x:c r="BT264" s="14" t="str">
        <x:v>One episode</x:v>
      </x:c>
      <x:c r="BU264" s="14" t="str">
        <x:v>Medium</x:v>
      </x:c>
      <x:c r="BV264" s="14" t="str">
        <x:v>Derived from supplied IMDb episode count and the documented production-total proxy.</x:v>
      </x:c>
      <x:c r="BW264" s="14" t="str">
        <x:v>Unable to determine</x:v>
      </x:c>
      <x:c r="BX264" s="14" t="str">
        <x:v>Supplied cast data establishes the credit and episode presence but does not establish narrative prominence.</x:v>
      </x:c>
      <x:c r="BY264" s="14" t="str">
        <x:v>Supplied IMDb cast-list workbook</x:v>
      </x:c>
      <x:c r="BZ26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tt13643704|nm1603446|geoff mcinver</x:v>
      </x:c>
      <x:c r="B265" s="14" t="str">
        <x:v>01</x:v>
      </x:c>
      <x:c r="C265" s="14" t="str">
        <x:v>2021_IMDb_Cast_Lists_Batch_01(1).xlsx</x:v>
      </x:c>
      <x:c r="D265" s="14" t="str">
        <x:v>Annika</x:v>
      </x:c>
      <x:c r="E265" s="14" t="n">
        <x:v>69</x:v>
      </x:c>
      <x:c r="F265" s="14" t="str">
        <x:v>Annika</x:v>
      </x:c>
      <x:c r="G265" s="14" t="str">
        <x:v>tt13643704</x:v>
      </x:c>
      <x:c r="H265" s="14" t="n">
        <x:v>2021</x:v>
      </x:c>
      <x:c r="I265" s="14" t="n">
        <x:v>2023</x:v>
      </x:c>
      <x:c r="J265" s="14" t="str">
        <x:v>Earlier-Production Carry-In Cohort</x:v>
      </x:c>
      <x:c r="K265" s="14" t="n">
        <x:v>2021</x:v>
      </x:c>
      <x:c r="L265" s="14" t="str">
        <x:v>Used in 2023 annual analysis</x:v>
      </x:c>
      <x:c r="M265" s="15" t="n">
        <x:v>62</x:v>
      </x:c>
      <x:c r="N265" s="14" t="str">
        <x:v>Andrew Watson</x:v>
      </x:c>
      <x:c r="O265" s="14" t="str">
        <x:v>nm1603446</x:v>
      </x:c>
      <x:c r="P265" s="14" t="str">
        <x:v>Geoff McInver</x:v>
      </x:c>
      <x:c r="Q265" s="15" t="n">
        <x:v>1</x:v>
      </x:c>
      <x:c r="R265" s="14" t="str">
        <x:v>2023</x:v>
      </x:c>
      <x:c r="S265" s="14" t="n">
        <x:v>2023</x:v>
      </x:c>
      <x:c r="T265" s="14" t="n">
        <x:v>2023</x:v>
      </x:c>
      <x:c r="U265" s="14" t="str">
        <x:v>Post-2021 casting excluded</x:v>
      </x:c>
      <x:c r="V265" s="14" t="str">
        <x:v>Earliest supplied year is 2023, later than the 2021 study year.</x:v>
      </x:c>
      <x:c r="W265" s="14"/>
      <x:c r="X265" s="14" t="str">
        <x:v>Included</x:v>
      </x:c>
      <x:c r="Y265" s="14"/>
      <x:c r="Z265" s="14" t="str">
        <x:v>Annika.docx</x:v>
      </x:c>
      <x:c r="AA26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BBC Studios / UKTV (U&amp;Alibi)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HYPERLINK("https://en.wikipedia.org/wiki/Annika","Open source")</x:f>
        <x:v>HYPERLINK is not implemented. linkLocation=https://en.wikipedia.org/wiki/Annika, friendlyName=Open source</x:v>
      </x:c>
      <x:c r="AN265" s="14" t="str">
        <x:v>BBC Studios production for another broadcaster</x:v>
      </x:c>
      <x:c r="AO265" s="14" t="str">
        <x:v>Yes</x:v>
      </x:c>
      <x:c r="AP265" s="14" t="str">
        <x:v>Wider BBC commercial-group context only</x:v>
      </x:c>
      <x:c r="AQ265" s="14" t="str">
        <x:v>Yes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12</x:v>
      </x:c>
      <x:c r="BP265" s="14" t="str">
        <x:v>Maximum eligible IMDb cast-credit total (12), shared by 4 performer(s); not independently verified as a 2021-only episode total.</x:v>
      </x:c>
      <x:c r="BQ265" s="14" t="str">
        <x:v>Medium</x:v>
      </x:c>
      <x:c r="BR265" s="15" t="n">
        <x:v>1</x:v>
      </x:c>
      <x:c r="BS265" s="16" t="n">
        <x:v>0.08333333333333333</x:v>
      </x:c>
      <x:c r="BT265" s="14" t="str">
        <x:v>One episode</x:v>
      </x:c>
      <x:c r="BU265" s="14" t="str">
        <x:v>Medium</x:v>
      </x:c>
      <x:c r="BV265" s="14" t="str">
        <x:v>Derived from supplied IMDb episode count and the documented production-total proxy.</x:v>
      </x:c>
      <x:c r="BW265" s="14" t="str">
        <x:v>Unable to determine</x:v>
      </x:c>
      <x:c r="BX265" s="14" t="str">
        <x:v>Supplied cast data establishes the credit and episode presence but does not establish narrative prominence.</x:v>
      </x:c>
      <x:c r="BY265" s="14" t="str">
        <x:v>Supplied IMDb cast-list workbook</x:v>
      </x:c>
      <x:c r="BZ26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tt13643704|nm8699252|leon archer</x:v>
      </x:c>
      <x:c r="B266" s="14" t="str">
        <x:v>01</x:v>
      </x:c>
      <x:c r="C266" s="14" t="str">
        <x:v>2021_IMDb_Cast_Lists_Batch_01(1).xlsx</x:v>
      </x:c>
      <x:c r="D266" s="14" t="str">
        <x:v>Annika</x:v>
      </x:c>
      <x:c r="E266" s="14" t="n">
        <x:v>70</x:v>
      </x:c>
      <x:c r="F266" s="14" t="str">
        <x:v>Annika</x:v>
      </x:c>
      <x:c r="G266" s="14" t="str">
        <x:v>tt13643704</x:v>
      </x:c>
      <x:c r="H266" s="14" t="n">
        <x:v>2021</x:v>
      </x:c>
      <x:c r="I266" s="14" t="n">
        <x:v>2023</x:v>
      </x:c>
      <x:c r="J266" s="14" t="str">
        <x:v>Earlier-Production Carry-In Cohort</x:v>
      </x:c>
      <x:c r="K266" s="14" t="n">
        <x:v>2021</x:v>
      </x:c>
      <x:c r="L266" s="14" t="str">
        <x:v>Used in 2023 annual analysis</x:v>
      </x:c>
      <x:c r="M266" s="15" t="n">
        <x:v>63</x:v>
      </x:c>
      <x:c r="N266" s="14" t="str">
        <x:v>Thierry Mabonga</x:v>
      </x:c>
      <x:c r="O266" s="14" t="str">
        <x:v>nm8699252</x:v>
      </x:c>
      <x:c r="P266" s="14" t="str">
        <x:v>Leon Archer</x:v>
      </x:c>
      <x:c r="Q266" s="15" t="n">
        <x:v>1</x:v>
      </x:c>
      <x:c r="R266" s="14" t="str">
        <x:v>2023</x:v>
      </x:c>
      <x:c r="S266" s="14" t="n">
        <x:v>2023</x:v>
      </x:c>
      <x:c r="T266" s="14" t="n">
        <x:v>2023</x:v>
      </x:c>
      <x:c r="U266" s="14" t="str">
        <x:v>Post-2021 casting excluded</x:v>
      </x:c>
      <x:c r="V266" s="14" t="str">
        <x:v>Earliest supplied year is 2023, later than the 2021 study year.</x:v>
      </x:c>
      <x:c r="W266" s="14"/>
      <x:c r="X266" s="14" t="str">
        <x:v>Included</x:v>
      </x:c>
      <x:c r="Y266" s="14"/>
      <x:c r="Z266" s="14" t="str">
        <x:v>Annika.docx</x:v>
      </x:c>
      <x:c r="AA26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BBC Studios / UKTV (U&amp;Alibi)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HYPERLINK("https://en.wikipedia.org/wiki/Annika","Open source")</x:f>
        <x:v>HYPERLINK is not implemented. linkLocation=https://en.wikipedia.org/wiki/Annika, friendlyName=Open source</x:v>
      </x:c>
      <x:c r="AN266" s="14" t="str">
        <x:v>BBC Studios production for another broadcaster</x:v>
      </x:c>
      <x:c r="AO266" s="14" t="str">
        <x:v>Yes</x:v>
      </x:c>
      <x:c r="AP266" s="14" t="str">
        <x:v>Wider BBC commercial-group context only</x:v>
      </x:c>
      <x:c r="AQ266" s="14" t="str">
        <x:v>Yes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12</x:v>
      </x:c>
      <x:c r="BP266" s="14" t="str">
        <x:v>Maximum eligible IMDb cast-credit total (12), shared by 4 performer(s); not independently verified as a 2021-only episode total.</x:v>
      </x:c>
      <x:c r="BQ266" s="14" t="str">
        <x:v>Medium</x:v>
      </x:c>
      <x:c r="BR266" s="15" t="n">
        <x:v>1</x:v>
      </x:c>
      <x:c r="BS266" s="16" t="n">
        <x:v>0.08333333333333333</x:v>
      </x:c>
      <x:c r="BT266" s="14" t="str">
        <x:v>One episode</x:v>
      </x:c>
      <x:c r="BU266" s="14" t="str">
        <x:v>Medium</x:v>
      </x:c>
      <x:c r="BV266" s="14" t="str">
        <x:v>Derived from supplied IMDb episode count and the documented production-total proxy.</x:v>
      </x:c>
      <x:c r="BW266" s="14" t="str">
        <x:v>Unable to determine</x:v>
      </x:c>
      <x:c r="BX266" s="14" t="str">
        <x:v>Supplied cast data establishes the credit and episode presence but does not establish narrative prominence.</x:v>
      </x:c>
      <x:c r="BY266" s="14" t="str">
        <x:v>Supplied IMDb cast-list workbook</x:v>
      </x:c>
      <x:c r="BZ26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tt13643704|nm15185074|dylan mcquade</x:v>
      </x:c>
      <x:c r="B267" s="14" t="str">
        <x:v>01</x:v>
      </x:c>
      <x:c r="C267" s="14" t="str">
        <x:v>2021_IMDb_Cast_Lists_Batch_01(1).xlsx</x:v>
      </x:c>
      <x:c r="D267" s="14" t="str">
        <x:v>Annika</x:v>
      </x:c>
      <x:c r="E267" s="14" t="n">
        <x:v>71</x:v>
      </x:c>
      <x:c r="F267" s="14" t="str">
        <x:v>Annika</x:v>
      </x:c>
      <x:c r="G267" s="14" t="str">
        <x:v>tt13643704</x:v>
      </x:c>
      <x:c r="H267" s="14" t="n">
        <x:v>2021</x:v>
      </x:c>
      <x:c r="I267" s="14" t="n">
        <x:v>2023</x:v>
      </x:c>
      <x:c r="J267" s="14" t="str">
        <x:v>Earlier-Production Carry-In Cohort</x:v>
      </x:c>
      <x:c r="K267" s="14" t="n">
        <x:v>2021</x:v>
      </x:c>
      <x:c r="L267" s="14" t="str">
        <x:v>Used in 2023 annual analysis</x:v>
      </x:c>
      <x:c r="M267" s="15" t="n">
        <x:v>64</x:v>
      </x:c>
      <x:c r="N267" s="14" t="str">
        <x:v>Tiger Mitchell</x:v>
      </x:c>
      <x:c r="O267" s="14" t="str">
        <x:v>nm15185074</x:v>
      </x:c>
      <x:c r="P267" s="14" t="str">
        <x:v>Dylan McQuade</x:v>
      </x:c>
      <x:c r="Q267" s="15" t="n">
        <x:v>1</x:v>
      </x:c>
      <x:c r="R267" s="14" t="str">
        <x:v>2023</x:v>
      </x:c>
      <x:c r="S267" s="14" t="n">
        <x:v>2023</x:v>
      </x:c>
      <x:c r="T267" s="14" t="n">
        <x:v>2023</x:v>
      </x:c>
      <x:c r="U267" s="14" t="str">
        <x:v>Post-2021 casting excluded</x:v>
      </x:c>
      <x:c r="V267" s="14" t="str">
        <x:v>Earliest supplied year is 2023, later than the 2021 study year.</x:v>
      </x:c>
      <x:c r="W267" s="14"/>
      <x:c r="X267" s="14" t="str">
        <x:v>Included</x:v>
      </x:c>
      <x:c r="Y267" s="14"/>
      <x:c r="Z267" s="14" t="str">
        <x:v>Annika.docx</x:v>
      </x:c>
      <x:c r="AA26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BBC Studios / UKTV (U&amp;Alibi)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HYPERLINK("https://en.wikipedia.org/wiki/Annika","Open source")</x:f>
        <x:v>HYPERLINK is not implemented. linkLocation=https://en.wikipedia.org/wiki/Annika, friendlyName=Open source</x:v>
      </x:c>
      <x:c r="AN267" s="14" t="str">
        <x:v>BBC Studios production for another broadcaster</x:v>
      </x:c>
      <x:c r="AO267" s="14" t="str">
        <x:v>Yes</x:v>
      </x:c>
      <x:c r="AP267" s="14" t="str">
        <x:v>Wider BBC commercial-group context only</x:v>
      </x:c>
      <x:c r="AQ267" s="14" t="str">
        <x:v>Yes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12</x:v>
      </x:c>
      <x:c r="BP267" s="14" t="str">
        <x:v>Maximum eligible IMDb cast-credit total (12), shared by 4 performer(s); not independently verified as a 2021-only episode total.</x:v>
      </x:c>
      <x:c r="BQ267" s="14" t="str">
        <x:v>Medium</x:v>
      </x:c>
      <x:c r="BR267" s="15" t="n">
        <x:v>1</x:v>
      </x:c>
      <x:c r="BS267" s="16" t="n">
        <x:v>0.08333333333333333</x:v>
      </x:c>
      <x:c r="BT267" s="14" t="str">
        <x:v>One episode</x:v>
      </x:c>
      <x:c r="BU267" s="14" t="str">
        <x:v>Medium</x:v>
      </x:c>
      <x:c r="BV267" s="14" t="str">
        <x:v>Derived from supplied IMDb episode count and the documented production-total proxy.</x:v>
      </x:c>
      <x:c r="BW267" s="14" t="str">
        <x:v>Unable to determine</x:v>
      </x:c>
      <x:c r="BX267" s="14" t="str">
        <x:v>Supplied cast data establishes the credit and episode presence but does not establish narrative prominence.</x:v>
      </x:c>
      <x:c r="BY267" s="14" t="str">
        <x:v>Supplied IMDb cast-list workbook</x:v>
      </x:c>
      <x:c r="BZ26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tt13643704|nm15137120|clara mcandrews</x:v>
      </x:c>
      <x:c r="B268" s="14" t="str">
        <x:v>01</x:v>
      </x:c>
      <x:c r="C268" s="14" t="str">
        <x:v>2021_IMDb_Cast_Lists_Batch_01(1).xlsx</x:v>
      </x:c>
      <x:c r="D268" s="14" t="str">
        <x:v>Annika</x:v>
      </x:c>
      <x:c r="E268" s="14" t="n">
        <x:v>72</x:v>
      </x:c>
      <x:c r="F268" s="14" t="str">
        <x:v>Annika</x:v>
      </x:c>
      <x:c r="G268" s="14" t="str">
        <x:v>tt13643704</x:v>
      </x:c>
      <x:c r="H268" s="14" t="n">
        <x:v>2021</x:v>
      </x:c>
      <x:c r="I268" s="14" t="n">
        <x:v>2023</x:v>
      </x:c>
      <x:c r="J268" s="14" t="str">
        <x:v>Earlier-Production Carry-In Cohort</x:v>
      </x:c>
      <x:c r="K268" s="14" t="n">
        <x:v>2021</x:v>
      </x:c>
      <x:c r="L268" s="14" t="str">
        <x:v>Used in 2023 annual analysis</x:v>
      </x:c>
      <x:c r="M268" s="15" t="n">
        <x:v>65</x:v>
      </x:c>
      <x:c r="N268" s="14" t="str">
        <x:v>Jessie Lou Harvie</x:v>
      </x:c>
      <x:c r="O268" s="14" t="str">
        <x:v>nm15137120</x:v>
      </x:c>
      <x:c r="P268" s="14" t="str">
        <x:v>Clara McAndrews</x:v>
      </x:c>
      <x:c r="Q268" s="15" t="n">
        <x:v>1</x:v>
      </x:c>
      <x:c r="R268" s="14" t="str">
        <x:v>2023</x:v>
      </x:c>
      <x:c r="S268" s="14" t="n">
        <x:v>2023</x:v>
      </x:c>
      <x:c r="T268" s="14" t="n">
        <x:v>2023</x:v>
      </x:c>
      <x:c r="U268" s="14" t="str">
        <x:v>Post-2021 casting excluded</x:v>
      </x:c>
      <x:c r="V268" s="14" t="str">
        <x:v>Earliest supplied year is 2023, later than the 2021 study year.</x:v>
      </x:c>
      <x:c r="W268" s="14"/>
      <x:c r="X268" s="14" t="str">
        <x:v>Included</x:v>
      </x:c>
      <x:c r="Y268" s="14"/>
      <x:c r="Z268" s="14" t="str">
        <x:v>Annika.docx</x:v>
      </x:c>
      <x:c r="AA26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BBC Studios / UKTV (U&amp;Alibi)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HYPERLINK("https://en.wikipedia.org/wiki/Annika","Open source")</x:f>
        <x:v>HYPERLINK is not implemented. linkLocation=https://en.wikipedia.org/wiki/Annika, friendlyName=Open source</x:v>
      </x:c>
      <x:c r="AN268" s="14" t="str">
        <x:v>BBC Studios production for another broadcaster</x:v>
      </x:c>
      <x:c r="AO268" s="14" t="str">
        <x:v>Yes</x:v>
      </x:c>
      <x:c r="AP268" s="14" t="str">
        <x:v>Wider BBC commercial-group context only</x:v>
      </x:c>
      <x:c r="AQ268" s="14" t="str">
        <x:v>Yes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12</x:v>
      </x:c>
      <x:c r="BP268" s="14" t="str">
        <x:v>Maximum eligible IMDb cast-credit total (12), shared by 4 performer(s); not independently verified as a 2021-only episode total.</x:v>
      </x:c>
      <x:c r="BQ268" s="14" t="str">
        <x:v>Medium</x:v>
      </x:c>
      <x:c r="BR268" s="15" t="n">
        <x:v>1</x:v>
      </x:c>
      <x:c r="BS268" s="16" t="n">
        <x:v>0.08333333333333333</x:v>
      </x:c>
      <x:c r="BT268" s="14" t="str">
        <x:v>One episode</x:v>
      </x:c>
      <x:c r="BU268" s="14" t="str">
        <x:v>Medium</x:v>
      </x:c>
      <x:c r="BV268" s="14" t="str">
        <x:v>Derived from supplied IMDb episode count and the documented production-total proxy.</x:v>
      </x:c>
      <x:c r="BW268" s="14" t="str">
        <x:v>Unable to determine</x:v>
      </x:c>
      <x:c r="BX268" s="14" t="str">
        <x:v>Supplied cast data establishes the credit and episode presence but does not establish narrative prominence.</x:v>
      </x:c>
      <x:c r="BY268" s="14" t="str">
        <x:v>Supplied IMDb cast-list workbook</x:v>
      </x:c>
      <x:c r="BZ26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tt13643704|nm0914732|gary nair</x:v>
      </x:c>
      <x:c r="B269" s="14" t="str">
        <x:v>01</x:v>
      </x:c>
      <x:c r="C269" s="14" t="str">
        <x:v>2021_IMDb_Cast_Lists_Batch_01(1).xlsx</x:v>
      </x:c>
      <x:c r="D269" s="14" t="str">
        <x:v>Annika</x:v>
      </x:c>
      <x:c r="E269" s="14" t="n">
        <x:v>79</x:v>
      </x:c>
      <x:c r="F269" s="14" t="str">
        <x:v>Annika</x:v>
      </x:c>
      <x:c r="G269" s="14" t="str">
        <x:v>tt13643704</x:v>
      </x:c>
      <x:c r="H269" s="14" t="n">
        <x:v>2021</x:v>
      </x:c>
      <x:c r="I269" s="14" t="n">
        <x:v>2023</x:v>
      </x:c>
      <x:c r="J269" s="14" t="str">
        <x:v>Earlier-Production Carry-In Cohort</x:v>
      </x:c>
      <x:c r="K269" s="14" t="n">
        <x:v>2021</x:v>
      </x:c>
      <x:c r="L269" s="14" t="str">
        <x:v>Used in 2023 annual analysis</x:v>
      </x:c>
      <x:c r="M269" s="15" t="n">
        <x:v>72</x:v>
      </x:c>
      <x:c r="N269" s="14" t="str">
        <x:v>Jonathan Watson</x:v>
      </x:c>
      <x:c r="O269" s="14" t="str">
        <x:v>nm0914732</x:v>
      </x:c>
      <x:c r="P269" s="14" t="str">
        <x:v>Gary Nair</x:v>
      </x:c>
      <x:c r="Q269" s="15" t="n">
        <x:v>1</x:v>
      </x:c>
      <x:c r="R269" s="14" t="str">
        <x:v>2023</x:v>
      </x:c>
      <x:c r="S269" s="14" t="n">
        <x:v>2023</x:v>
      </x:c>
      <x:c r="T269" s="14" t="n">
        <x:v>2023</x:v>
      </x:c>
      <x:c r="U269" s="14" t="str">
        <x:v>Post-2021 casting excluded</x:v>
      </x:c>
      <x:c r="V269" s="14" t="str">
        <x:v>Earliest supplied year is 2023, later than the 2021 study year.</x:v>
      </x:c>
      <x:c r="W269" s="14"/>
      <x:c r="X269" s="14" t="str">
        <x:v>Included</x:v>
      </x:c>
      <x:c r="Y269" s="14"/>
      <x:c r="Z269" s="14" t="str">
        <x:v>Annika.docx</x:v>
      </x:c>
      <x:c r="AA26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BBC Studios / UKTV (U&amp;Alibi)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HYPERLINK("https://en.wikipedia.org/wiki/Annika","Open source")</x:f>
        <x:v>HYPERLINK is not implemented. linkLocation=https://en.wikipedia.org/wiki/Annika, friendlyName=Open source</x:v>
      </x:c>
      <x:c r="AN269" s="14" t="str">
        <x:v>BBC Studios production for another broadcaster</x:v>
      </x:c>
      <x:c r="AO269" s="14" t="str">
        <x:v>Yes</x:v>
      </x:c>
      <x:c r="AP269" s="14" t="str">
        <x:v>Wider BBC commercial-group context only</x:v>
      </x:c>
      <x:c r="AQ269" s="14" t="str">
        <x:v>Yes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12</x:v>
      </x:c>
      <x:c r="BP269" s="14" t="str">
        <x:v>Maximum eligible IMDb cast-credit total (12), shared by 4 performer(s); not independently verified as a 2021-only episode total.</x:v>
      </x:c>
      <x:c r="BQ269" s="14" t="str">
        <x:v>Medium</x:v>
      </x:c>
      <x:c r="BR269" s="15" t="n">
        <x:v>1</x:v>
      </x:c>
      <x:c r="BS269" s="16" t="n">
        <x:v>0.08333333333333333</x:v>
      </x:c>
      <x:c r="BT269" s="14" t="str">
        <x:v>One episode</x:v>
      </x:c>
      <x:c r="BU269" s="14" t="str">
        <x:v>Medium</x:v>
      </x:c>
      <x:c r="BV269" s="14" t="str">
        <x:v>Derived from supplied IMDb episode count and the documented production-total proxy.</x:v>
      </x:c>
      <x:c r="BW269" s="14" t="str">
        <x:v>Unable to determine</x:v>
      </x:c>
      <x:c r="BX269" s="14" t="str">
        <x:v>Supplied cast data establishes the credit and episode presence but does not establish narrative prominence.</x:v>
      </x:c>
      <x:c r="BY269" s="14" t="str">
        <x:v>Supplied IMDb cast-list workbook</x:v>
      </x:c>
      <x:c r="BZ26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tt13643704|nm5612110|abeni ogunwe</x:v>
      </x:c>
      <x:c r="B270" s="14" t="str">
        <x:v>01</x:v>
      </x:c>
      <x:c r="C270" s="14" t="str">
        <x:v>2021_IMDb_Cast_Lists_Batch_01(1).xlsx</x:v>
      </x:c>
      <x:c r="D270" s="14" t="str">
        <x:v>Annika</x:v>
      </x:c>
      <x:c r="E270" s="14" t="n">
        <x:v>80</x:v>
      </x:c>
      <x:c r="F270" s="14" t="str">
        <x:v>Annika</x:v>
      </x:c>
      <x:c r="G270" s="14" t="str">
        <x:v>tt13643704</x:v>
      </x:c>
      <x:c r="H270" s="14" t="n">
        <x:v>2021</x:v>
      </x:c>
      <x:c r="I270" s="14" t="n">
        <x:v>2023</x:v>
      </x:c>
      <x:c r="J270" s="14" t="str">
        <x:v>Earlier-Production Carry-In Cohort</x:v>
      </x:c>
      <x:c r="K270" s="14" t="n">
        <x:v>2021</x:v>
      </x:c>
      <x:c r="L270" s="14" t="str">
        <x:v>Used in 2023 annual analysis</x:v>
      </x:c>
      <x:c r="M270" s="15" t="n">
        <x:v>73</x:v>
      </x:c>
      <x:c r="N270" s="14" t="str">
        <x:v>Adura Onashile</x:v>
      </x:c>
      <x:c r="O270" s="14" t="str">
        <x:v>nm5612110</x:v>
      </x:c>
      <x:c r="P270" s="14" t="str">
        <x:v>Abeni Ogunwe</x:v>
      </x:c>
      <x:c r="Q270" s="15" t="n">
        <x:v>1</x:v>
      </x:c>
      <x:c r="R270" s="14" t="str">
        <x:v>2023</x:v>
      </x:c>
      <x:c r="S270" s="14" t="n">
        <x:v>2023</x:v>
      </x:c>
      <x:c r="T270" s="14" t="n">
        <x:v>2023</x:v>
      </x:c>
      <x:c r="U270" s="14" t="str">
        <x:v>Post-2021 casting excluded</x:v>
      </x:c>
      <x:c r="V270" s="14" t="str">
        <x:v>Earliest supplied year is 2023, later than the 2021 study year.</x:v>
      </x:c>
      <x:c r="W270" s="14"/>
      <x:c r="X270" s="14" t="str">
        <x:v>Included</x:v>
      </x:c>
      <x:c r="Y270" s="14"/>
      <x:c r="Z270" s="14" t="str">
        <x:v>Annika.docx</x:v>
      </x:c>
      <x:c r="AA27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BBC Studios / UKTV (U&amp;Alibi)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HYPERLINK("https://en.wikipedia.org/wiki/Annika","Open source")</x:f>
        <x:v>HYPERLINK is not implemented. linkLocation=https://en.wikipedia.org/wiki/Annika, friendlyName=Open source</x:v>
      </x:c>
      <x:c r="AN270" s="14" t="str">
        <x:v>BBC Studios production for another broadcaster</x:v>
      </x:c>
      <x:c r="AO270" s="14" t="str">
        <x:v>Yes</x:v>
      </x:c>
      <x:c r="AP270" s="14" t="str">
        <x:v>Wider BBC commercial-group context only</x:v>
      </x:c>
      <x:c r="AQ270" s="14" t="str">
        <x:v>Yes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12</x:v>
      </x:c>
      <x:c r="BP270" s="14" t="str">
        <x:v>Maximum eligible IMDb cast-credit total (12), shared by 4 performer(s); not independently verified as a 2021-only episode total.</x:v>
      </x:c>
      <x:c r="BQ270" s="14" t="str">
        <x:v>Medium</x:v>
      </x:c>
      <x:c r="BR270" s="15" t="n">
        <x:v>1</x:v>
      </x:c>
      <x:c r="BS270" s="16" t="n">
        <x:v>0.08333333333333333</x:v>
      </x:c>
      <x:c r="BT270" s="14" t="str">
        <x:v>One episode</x:v>
      </x:c>
      <x:c r="BU270" s="14" t="str">
        <x:v>Medium</x:v>
      </x:c>
      <x:c r="BV270" s="14" t="str">
        <x:v>Derived from supplied IMDb episode count and the documented production-total proxy.</x:v>
      </x:c>
      <x:c r="BW270" s="14" t="str">
        <x:v>Unable to determine</x:v>
      </x:c>
      <x:c r="BX270" s="14" t="str">
        <x:v>Supplied cast data establishes the credit and episode presence but does not establish narrative prominence.</x:v>
      </x:c>
      <x:c r="BY270" s="14" t="str">
        <x:v>Supplied IMDb cast-list workbook</x:v>
      </x:c>
      <x:c r="BZ27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tt13643704|nm1821314|oliver forbes</x:v>
      </x:c>
      <x:c r="B271" s="14" t="str">
        <x:v>01</x:v>
      </x:c>
      <x:c r="C271" s="14" t="str">
        <x:v>2021_IMDb_Cast_Lists_Batch_01(1).xlsx</x:v>
      </x:c>
      <x:c r="D271" s="14" t="str">
        <x:v>Annika</x:v>
      </x:c>
      <x:c r="E271" s="14" t="n">
        <x:v>87</x:v>
      </x:c>
      <x:c r="F271" s="14" t="str">
        <x:v>Annika</x:v>
      </x:c>
      <x:c r="G271" s="14" t="str">
        <x:v>tt13643704</x:v>
      </x:c>
      <x:c r="H271" s="14" t="n">
        <x:v>2021</x:v>
      </x:c>
      <x:c r="I271" s="14" t="n">
        <x:v>2023</x:v>
      </x:c>
      <x:c r="J271" s="14" t="str">
        <x:v>Earlier-Production Carry-In Cohort</x:v>
      </x:c>
      <x:c r="K271" s="14" t="n">
        <x:v>2021</x:v>
      </x:c>
      <x:c r="L271" s="14" t="str">
        <x:v>Used in 2023 annual analysis</x:v>
      </x:c>
      <x:c r="M271" s="15" t="n">
        <x:v>80</x:v>
      </x:c>
      <x:c r="N271" s="14" t="str">
        <x:v>Grant O'Rourke</x:v>
      </x:c>
      <x:c r="O271" s="14" t="str">
        <x:v>nm1821314</x:v>
      </x:c>
      <x:c r="P271" s="14" t="str">
        <x:v>Oliver Forbes</x:v>
      </x:c>
      <x:c r="Q271" s="15" t="n">
        <x:v>1</x:v>
      </x:c>
      <x:c r="R271" s="14" t="str">
        <x:v>2023</x:v>
      </x:c>
      <x:c r="S271" s="14" t="n">
        <x:v>2023</x:v>
      </x:c>
      <x:c r="T271" s="14" t="n">
        <x:v>2023</x:v>
      </x:c>
      <x:c r="U271" s="14" t="str">
        <x:v>Post-2021 casting excluded</x:v>
      </x:c>
      <x:c r="V271" s="14" t="str">
        <x:v>Earliest supplied year is 2023, later than the 2021 study year.</x:v>
      </x:c>
      <x:c r="W271" s="14"/>
      <x:c r="X271" s="14" t="str">
        <x:v>Included</x:v>
      </x:c>
      <x:c r="Y271" s="14"/>
      <x:c r="Z271" s="14" t="str">
        <x:v>Annika.docx</x:v>
      </x:c>
      <x:c r="AA27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BBC Studios / UKTV (U&amp;Alibi)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HYPERLINK("https://en.wikipedia.org/wiki/Annika","Open source")</x:f>
        <x:v>HYPERLINK is not implemented. linkLocation=https://en.wikipedia.org/wiki/Annika, friendlyName=Open source</x:v>
      </x:c>
      <x:c r="AN271" s="14" t="str">
        <x:v>BBC Studios production for another broadcaster</x:v>
      </x:c>
      <x:c r="AO271" s="14" t="str">
        <x:v>Yes</x:v>
      </x:c>
      <x:c r="AP271" s="14" t="str">
        <x:v>Wider BBC commercial-group context only</x:v>
      </x:c>
      <x:c r="AQ271" s="14" t="str">
        <x:v>Yes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12</x:v>
      </x:c>
      <x:c r="BP271" s="14" t="str">
        <x:v>Maximum eligible IMDb cast-credit total (12), shared by 4 performer(s); not independently verified as a 2021-only episode total.</x:v>
      </x:c>
      <x:c r="BQ271" s="14" t="str">
        <x:v>Medium</x:v>
      </x:c>
      <x:c r="BR271" s="15" t="n">
        <x:v>1</x:v>
      </x:c>
      <x:c r="BS271" s="16" t="n">
        <x:v>0.08333333333333333</x:v>
      </x:c>
      <x:c r="BT271" s="14" t="str">
        <x:v>One episode</x:v>
      </x:c>
      <x:c r="BU271" s="14" t="str">
        <x:v>Medium</x:v>
      </x:c>
      <x:c r="BV271" s="14" t="str">
        <x:v>Derived from supplied IMDb episode count and the documented production-total proxy.</x:v>
      </x:c>
      <x:c r="BW271" s="14" t="str">
        <x:v>Unable to determine</x:v>
      </x:c>
      <x:c r="BX271" s="14" t="str">
        <x:v>Supplied cast data establishes the credit and episode presence but does not establish narrative prominence.</x:v>
      </x:c>
      <x:c r="BY271" s="14" t="str">
        <x:v>Supplied IMDb cast-list workbook</x:v>
      </x:c>
      <x:c r="BZ27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tt13643704|nm3712863|ross kincaid</x:v>
      </x:c>
      <x:c r="B272" s="14" t="str">
        <x:v>01</x:v>
      </x:c>
      <x:c r="C272" s="14" t="str">
        <x:v>2021_IMDb_Cast_Lists_Batch_01(1).xlsx</x:v>
      </x:c>
      <x:c r="D272" s="14" t="str">
        <x:v>Annika</x:v>
      </x:c>
      <x:c r="E272" s="14" t="n">
        <x:v>88</x:v>
      </x:c>
      <x:c r="F272" s="14" t="str">
        <x:v>Annika</x:v>
      </x:c>
      <x:c r="G272" s="14" t="str">
        <x:v>tt13643704</x:v>
      </x:c>
      <x:c r="H272" s="14" t="n">
        <x:v>2021</x:v>
      </x:c>
      <x:c r="I272" s="14" t="n">
        <x:v>2023</x:v>
      </x:c>
      <x:c r="J272" s="14" t="str">
        <x:v>Earlier-Production Carry-In Cohort</x:v>
      </x:c>
      <x:c r="K272" s="14" t="n">
        <x:v>2021</x:v>
      </x:c>
      <x:c r="L272" s="14" t="str">
        <x:v>Used in 2023 annual analysis</x:v>
      </x:c>
      <x:c r="M272" s="15" t="n">
        <x:v>81</x:v>
      </x:c>
      <x:c r="N272" s="14" t="str">
        <x:v>Andrew Still</x:v>
      </x:c>
      <x:c r="O272" s="14" t="str">
        <x:v>nm3712863</x:v>
      </x:c>
      <x:c r="P272" s="14" t="str">
        <x:v>Ross Kincaid</x:v>
      </x:c>
      <x:c r="Q272" s="15" t="n">
        <x:v>1</x:v>
      </x:c>
      <x:c r="R272" s="14" t="str">
        <x:v>2023</x:v>
      </x:c>
      <x:c r="S272" s="14" t="n">
        <x:v>2023</x:v>
      </x:c>
      <x:c r="T272" s="14" t="n">
        <x:v>2023</x:v>
      </x:c>
      <x:c r="U272" s="14" t="str">
        <x:v>Post-2021 casting excluded</x:v>
      </x:c>
      <x:c r="V272" s="14" t="str">
        <x:v>Earliest supplied year is 2023, later than the 2021 study year.</x:v>
      </x:c>
      <x:c r="W272" s="14"/>
      <x:c r="X272" s="14" t="str">
        <x:v>Included</x:v>
      </x:c>
      <x:c r="Y272" s="14"/>
      <x:c r="Z272" s="14" t="str">
        <x:v>Annika.docx</x:v>
      </x:c>
      <x:c r="AA27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BBC Studios / UKTV (U&amp;Alibi)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HYPERLINK("https://en.wikipedia.org/wiki/Annika","Open source")</x:f>
        <x:v>HYPERLINK is not implemented. linkLocation=https://en.wikipedia.org/wiki/Annika, friendlyName=Open source</x:v>
      </x:c>
      <x:c r="AN272" s="14" t="str">
        <x:v>BBC Studios production for another broadcaster</x:v>
      </x:c>
      <x:c r="AO272" s="14" t="str">
        <x:v>Yes</x:v>
      </x:c>
      <x:c r="AP272" s="14" t="str">
        <x:v>Wider BBC commercial-group context only</x:v>
      </x:c>
      <x:c r="AQ272" s="14" t="str">
        <x:v>Yes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12</x:v>
      </x:c>
      <x:c r="BP272" s="14" t="str">
        <x:v>Maximum eligible IMDb cast-credit total (12), shared by 4 performer(s); not independently verified as a 2021-only episode total.</x:v>
      </x:c>
      <x:c r="BQ272" s="14" t="str">
        <x:v>Medium</x:v>
      </x:c>
      <x:c r="BR272" s="15" t="n">
        <x:v>1</x:v>
      </x:c>
      <x:c r="BS272" s="16" t="n">
        <x:v>0.08333333333333333</x:v>
      </x:c>
      <x:c r="BT272" s="14" t="str">
        <x:v>One episode</x:v>
      </x:c>
      <x:c r="BU272" s="14" t="str">
        <x:v>Medium</x:v>
      </x:c>
      <x:c r="BV272" s="14" t="str">
        <x:v>Derived from supplied IMDb episode count and the documented production-total proxy.</x:v>
      </x:c>
      <x:c r="BW272" s="14" t="str">
        <x:v>Unable to determine</x:v>
      </x:c>
      <x:c r="BX272" s="14" t="str">
        <x:v>Supplied cast data establishes the credit and episode presence but does not establish narrative prominence.</x:v>
      </x:c>
      <x:c r="BY272" s="14" t="str">
        <x:v>Supplied IMDb cast-list workbook</x:v>
      </x:c>
      <x:c r="BZ27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tt13643704|nm9844932|remi lennox</x:v>
      </x:c>
      <x:c r="B273" s="14" t="str">
        <x:v>01</x:v>
      </x:c>
      <x:c r="C273" s="14" t="str">
        <x:v>2021_IMDb_Cast_Lists_Batch_01(1).xlsx</x:v>
      </x:c>
      <x:c r="D273" s="14" t="str">
        <x:v>Annika</x:v>
      </x:c>
      <x:c r="E273" s="14" t="n">
        <x:v>89</x:v>
      </x:c>
      <x:c r="F273" s="14" t="str">
        <x:v>Annika</x:v>
      </x:c>
      <x:c r="G273" s="14" t="str">
        <x:v>tt13643704</x:v>
      </x:c>
      <x:c r="H273" s="14" t="n">
        <x:v>2021</x:v>
      </x:c>
      <x:c r="I273" s="14" t="n">
        <x:v>2023</x:v>
      </x:c>
      <x:c r="J273" s="14" t="str">
        <x:v>Earlier-Production Carry-In Cohort</x:v>
      </x:c>
      <x:c r="K273" s="14" t="n">
        <x:v>2021</x:v>
      </x:c>
      <x:c r="L273" s="14" t="str">
        <x:v>Used in 2023 annual analysis</x:v>
      </x:c>
      <x:c r="M273" s="15" t="n">
        <x:v>82</x:v>
      </x:c>
      <x:c r="N273" s="14" t="str">
        <x:v>Helen Katamba</x:v>
      </x:c>
      <x:c r="O273" s="14" t="str">
        <x:v>nm9844932</x:v>
      </x:c>
      <x:c r="P273" s="14" t="str">
        <x:v>Remi Lennox</x:v>
      </x:c>
      <x:c r="Q273" s="15" t="n">
        <x:v>1</x:v>
      </x:c>
      <x:c r="R273" s="14" t="str">
        <x:v>2023</x:v>
      </x:c>
      <x:c r="S273" s="14" t="n">
        <x:v>2023</x:v>
      </x:c>
      <x:c r="T273" s="14" t="n">
        <x:v>2023</x:v>
      </x:c>
      <x:c r="U273" s="14" t="str">
        <x:v>Post-2021 casting excluded</x:v>
      </x:c>
      <x:c r="V273" s="14" t="str">
        <x:v>Earliest supplied year is 2023, later than the 2021 study year.</x:v>
      </x:c>
      <x:c r="W273" s="14"/>
      <x:c r="X273" s="14" t="str">
        <x:v>Included</x:v>
      </x:c>
      <x:c r="Y273" s="14"/>
      <x:c r="Z273" s="14" t="str">
        <x:v>Annika.docx</x:v>
      </x:c>
      <x:c r="AA27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BBC Studios / UKTV (U&amp;Alibi)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HYPERLINK("https://en.wikipedia.org/wiki/Annika","Open source")</x:f>
        <x:v>HYPERLINK is not implemented. linkLocation=https://en.wikipedia.org/wiki/Annika, friendlyName=Open source</x:v>
      </x:c>
      <x:c r="AN273" s="14" t="str">
        <x:v>BBC Studios production for another broadcaster</x:v>
      </x:c>
      <x:c r="AO273" s="14" t="str">
        <x:v>Yes</x:v>
      </x:c>
      <x:c r="AP273" s="14" t="str">
        <x:v>Wider BBC commercial-group context only</x:v>
      </x:c>
      <x:c r="AQ273" s="14" t="str">
        <x:v>Yes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12</x:v>
      </x:c>
      <x:c r="BP273" s="14" t="str">
        <x:v>Maximum eligible IMDb cast-credit total (12), shared by 4 performer(s); not independently verified as a 2021-only episode total.</x:v>
      </x:c>
      <x:c r="BQ273" s="14" t="str">
        <x:v>Medium</x:v>
      </x:c>
      <x:c r="BR273" s="15" t="n">
        <x:v>1</x:v>
      </x:c>
      <x:c r="BS273" s="16" t="n">
        <x:v>0.08333333333333333</x:v>
      </x:c>
      <x:c r="BT273" s="14" t="str">
        <x:v>One episode</x:v>
      </x:c>
      <x:c r="BU273" s="14" t="str">
        <x:v>Medium</x:v>
      </x:c>
      <x:c r="BV273" s="14" t="str">
        <x:v>Derived from supplied IMDb episode count and the documented production-total proxy.</x:v>
      </x:c>
      <x:c r="BW273" s="14" t="str">
        <x:v>Unable to determine</x:v>
      </x:c>
      <x:c r="BX273" s="14" t="str">
        <x:v>Supplied cast data establishes the credit and episode presence but does not establish narrative prominence.</x:v>
      </x:c>
      <x:c r="BY273" s="14" t="str">
        <x:v>Supplied IMDb cast-list workbook</x:v>
      </x:c>
      <x:c r="BZ27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tt13643704|nm11584934|justine dunn</x:v>
      </x:c>
      <x:c r="B274" s="14" t="str">
        <x:v>01</x:v>
      </x:c>
      <x:c r="C274" s="14" t="str">
        <x:v>2021_IMDb_Cast_Lists_Batch_01(1).xlsx</x:v>
      </x:c>
      <x:c r="D274" s="14" t="str">
        <x:v>Annika</x:v>
      </x:c>
      <x:c r="E274" s="14" t="n">
        <x:v>90</x:v>
      </x:c>
      <x:c r="F274" s="14" t="str">
        <x:v>Annika</x:v>
      </x:c>
      <x:c r="G274" s="14" t="str">
        <x:v>tt13643704</x:v>
      </x:c>
      <x:c r="H274" s="14" t="n">
        <x:v>2021</x:v>
      </x:c>
      <x:c r="I274" s="14" t="n">
        <x:v>2023</x:v>
      </x:c>
      <x:c r="J274" s="14" t="str">
        <x:v>Earlier-Production Carry-In Cohort</x:v>
      </x:c>
      <x:c r="K274" s="14" t="n">
        <x:v>2021</x:v>
      </x:c>
      <x:c r="L274" s="14" t="str">
        <x:v>Used in 2023 annual analysis</x:v>
      </x:c>
      <x:c r="M274" s="15" t="n">
        <x:v>83</x:v>
      </x:c>
      <x:c r="N274" s="14" t="str">
        <x:v>Patricia Panther</x:v>
      </x:c>
      <x:c r="O274" s="14" t="str">
        <x:v>nm11584934</x:v>
      </x:c>
      <x:c r="P274" s="14" t="str">
        <x:v>Justine Dunn</x:v>
      </x:c>
      <x:c r="Q274" s="15" t="n">
        <x:v>1</x:v>
      </x:c>
      <x:c r="R274" s="14" t="str">
        <x:v>2023</x:v>
      </x:c>
      <x:c r="S274" s="14" t="n">
        <x:v>2023</x:v>
      </x:c>
      <x:c r="T274" s="14" t="n">
        <x:v>2023</x:v>
      </x:c>
      <x:c r="U274" s="14" t="str">
        <x:v>Post-2021 casting excluded</x:v>
      </x:c>
      <x:c r="V274" s="14" t="str">
        <x:v>Earliest supplied year is 2023, later than the 2021 study year.</x:v>
      </x:c>
      <x:c r="W274" s="14"/>
      <x:c r="X274" s="14" t="str">
        <x:v>Included</x:v>
      </x:c>
      <x:c r="Y274" s="14"/>
      <x:c r="Z274" s="14" t="str">
        <x:v>Annika.docx</x:v>
      </x:c>
      <x:c r="AA27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BBC Studios / UKTV (U&amp;Alibi)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HYPERLINK("https://en.wikipedia.org/wiki/Annika","Open source")</x:f>
        <x:v>HYPERLINK is not implemented. linkLocation=https://en.wikipedia.org/wiki/Annika, friendlyName=Open source</x:v>
      </x:c>
      <x:c r="AN274" s="14" t="str">
        <x:v>BBC Studios production for another broadcaster</x:v>
      </x:c>
      <x:c r="AO274" s="14" t="str">
        <x:v>Yes</x:v>
      </x:c>
      <x:c r="AP274" s="14" t="str">
        <x:v>Wider BBC commercial-group context only</x:v>
      </x:c>
      <x:c r="AQ274" s="14" t="str">
        <x:v>Yes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12</x:v>
      </x:c>
      <x:c r="BP274" s="14" t="str">
        <x:v>Maximum eligible IMDb cast-credit total (12), shared by 4 performer(s); not independently verified as a 2021-only episode total.</x:v>
      </x:c>
      <x:c r="BQ274" s="14" t="str">
        <x:v>Medium</x:v>
      </x:c>
      <x:c r="BR274" s="15" t="n">
        <x:v>1</x:v>
      </x:c>
      <x:c r="BS274" s="16" t="n">
        <x:v>0.08333333333333333</x:v>
      </x:c>
      <x:c r="BT274" s="14" t="str">
        <x:v>One episode</x:v>
      </x:c>
      <x:c r="BU274" s="14" t="str">
        <x:v>Medium</x:v>
      </x:c>
      <x:c r="BV274" s="14" t="str">
        <x:v>Derived from supplied IMDb episode count and the documented production-total proxy.</x:v>
      </x:c>
      <x:c r="BW274" s="14" t="str">
        <x:v>Unable to determine</x:v>
      </x:c>
      <x:c r="BX274" s="14" t="str">
        <x:v>Supplied cast data establishes the credit and episode presence but does not establish narrative prominence.</x:v>
      </x:c>
      <x:c r="BY274" s="14" t="str">
        <x:v>Supplied IMDb cast-list workbook</x:v>
      </x:c>
      <x:c r="BZ27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tt13643704|nm6359236|senga mccauley</x:v>
      </x:c>
      <x:c r="B275" s="14" t="str">
        <x:v>01</x:v>
      </x:c>
      <x:c r="C275" s="14" t="str">
        <x:v>2021_IMDb_Cast_Lists_Batch_01(1).xlsx</x:v>
      </x:c>
      <x:c r="D275" s="14" t="str">
        <x:v>Annika</x:v>
      </x:c>
      <x:c r="E275" s="14" t="n">
        <x:v>96</x:v>
      </x:c>
      <x:c r="F275" s="14" t="str">
        <x:v>Annika</x:v>
      </x:c>
      <x:c r="G275" s="14" t="str">
        <x:v>tt13643704</x:v>
      </x:c>
      <x:c r="H275" s="14" t="n">
        <x:v>2021</x:v>
      </x:c>
      <x:c r="I275" s="14" t="n">
        <x:v>2023</x:v>
      </x:c>
      <x:c r="J275" s="14" t="str">
        <x:v>Earlier-Production Carry-In Cohort</x:v>
      </x:c>
      <x:c r="K275" s="14" t="n">
        <x:v>2021</x:v>
      </x:c>
      <x:c r="L275" s="14" t="str">
        <x:v>Used in 2023 annual analysis</x:v>
      </x:c>
      <x:c r="M275" s="15" t="n">
        <x:v>89</x:v>
      </x:c>
      <x:c r="N275" s="14" t="str">
        <x:v>Seylan Baxter</x:v>
      </x:c>
      <x:c r="O275" s="14" t="str">
        <x:v>nm6359236</x:v>
      </x:c>
      <x:c r="P275" s="14" t="str">
        <x:v>Senga McCauley</x:v>
      </x:c>
      <x:c r="Q275" s="15" t="n">
        <x:v>1</x:v>
      </x:c>
      <x:c r="R275" s="14" t="str">
        <x:v>2023</x:v>
      </x:c>
      <x:c r="S275" s="14" t="n">
        <x:v>2023</x:v>
      </x:c>
      <x:c r="T275" s="14" t="n">
        <x:v>2023</x:v>
      </x:c>
      <x:c r="U275" s="14" t="str">
        <x:v>Post-2021 casting excluded</x:v>
      </x:c>
      <x:c r="V275" s="14" t="str">
        <x:v>Earliest supplied year is 2023, later than the 2021 study year.</x:v>
      </x:c>
      <x:c r="W275" s="14"/>
      <x:c r="X275" s="14" t="str">
        <x:v>Included</x:v>
      </x:c>
      <x:c r="Y275" s="14"/>
      <x:c r="Z275" s="14" t="str">
        <x:v>Annika.docx</x:v>
      </x:c>
      <x:c r="AA27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BBC Studios / UKTV (U&amp;Alibi)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HYPERLINK("https://en.wikipedia.org/wiki/Annika","Open source")</x:f>
        <x:v>HYPERLINK is not implemented. linkLocation=https://en.wikipedia.org/wiki/Annika, friendlyName=Open source</x:v>
      </x:c>
      <x:c r="AN275" s="14" t="str">
        <x:v>BBC Studios production for another broadcaster</x:v>
      </x:c>
      <x:c r="AO275" s="14" t="str">
        <x:v>Yes</x:v>
      </x:c>
      <x:c r="AP275" s="14" t="str">
        <x:v>Wider BBC commercial-group context only</x:v>
      </x:c>
      <x:c r="AQ275" s="14" t="str">
        <x:v>Yes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12</x:v>
      </x:c>
      <x:c r="BP275" s="14" t="str">
        <x:v>Maximum eligible IMDb cast-credit total (12), shared by 4 performer(s); not independently verified as a 2021-only episode total.</x:v>
      </x:c>
      <x:c r="BQ275" s="14" t="str">
        <x:v>Medium</x:v>
      </x:c>
      <x:c r="BR275" s="15" t="n">
        <x:v>1</x:v>
      </x:c>
      <x:c r="BS275" s="16" t="n">
        <x:v>0.08333333333333333</x:v>
      </x:c>
      <x:c r="BT275" s="14" t="str">
        <x:v>One episode</x:v>
      </x:c>
      <x:c r="BU275" s="14" t="str">
        <x:v>Medium</x:v>
      </x:c>
      <x:c r="BV275" s="14" t="str">
        <x:v>Derived from supplied IMDb episode count and the documented production-total proxy.</x:v>
      </x:c>
      <x:c r="BW275" s="14" t="str">
        <x:v>Unable to determine</x:v>
      </x:c>
      <x:c r="BX275" s="14" t="str">
        <x:v>Supplied cast data establishes the credit and episode presence but does not establish narrative prominence.</x:v>
      </x:c>
      <x:c r="BY275" s="14" t="str">
        <x:v>Supplied IMDb cast-list workbook</x:v>
      </x:c>
      <x:c r="BZ27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tt13643704|nm1174658|lance wallace</x:v>
      </x:c>
      <x:c r="B276" s="14" t="str">
        <x:v>01</x:v>
      </x:c>
      <x:c r="C276" s="14" t="str">
        <x:v>2021_IMDb_Cast_Lists_Batch_01(1).xlsx</x:v>
      </x:c>
      <x:c r="D276" s="14" t="str">
        <x:v>Annika</x:v>
      </x:c>
      <x:c r="E276" s="14" t="n">
        <x:v>97</x:v>
      </x:c>
      <x:c r="F276" s="14" t="str">
        <x:v>Annika</x:v>
      </x:c>
      <x:c r="G276" s="14" t="str">
        <x:v>tt13643704</x:v>
      </x:c>
      <x:c r="H276" s="14" t="n">
        <x:v>2021</x:v>
      </x:c>
      <x:c r="I276" s="14" t="n">
        <x:v>2023</x:v>
      </x:c>
      <x:c r="J276" s="14" t="str">
        <x:v>Earlier-Production Carry-In Cohort</x:v>
      </x:c>
      <x:c r="K276" s="14" t="n">
        <x:v>2021</x:v>
      </x:c>
      <x:c r="L276" s="14" t="str">
        <x:v>Used in 2023 annual analysis</x:v>
      </x:c>
      <x:c r="M276" s="15" t="n">
        <x:v>90</x:v>
      </x:c>
      <x:c r="N276" s="14" t="str">
        <x:v>James Anthony Pearson</x:v>
      </x:c>
      <x:c r="O276" s="14" t="str">
        <x:v>nm1174658</x:v>
      </x:c>
      <x:c r="P276" s="14" t="str">
        <x:v>Lance Wallace</x:v>
      </x:c>
      <x:c r="Q276" s="15" t="n">
        <x:v>1</x:v>
      </x:c>
      <x:c r="R276" s="14" t="str">
        <x:v>2023</x:v>
      </x:c>
      <x:c r="S276" s="14" t="n">
        <x:v>2023</x:v>
      </x:c>
      <x:c r="T276" s="14" t="n">
        <x:v>2023</x:v>
      </x:c>
      <x:c r="U276" s="14" t="str">
        <x:v>Post-2021 casting excluded</x:v>
      </x:c>
      <x:c r="V276" s="14" t="str">
        <x:v>Earliest supplied year is 2023, later than the 2021 study year.</x:v>
      </x:c>
      <x:c r="W276" s="14"/>
      <x:c r="X276" s="14" t="str">
        <x:v>Included</x:v>
      </x:c>
      <x:c r="Y276" s="14"/>
      <x:c r="Z276" s="14" t="str">
        <x:v>Annika.docx</x:v>
      </x:c>
      <x:c r="AA27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BBC Studios / UKTV (U&amp;Alibi)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HYPERLINK("https://en.wikipedia.org/wiki/Annika","Open source")</x:f>
        <x:v>HYPERLINK is not implemented. linkLocation=https://en.wikipedia.org/wiki/Annika, friendlyName=Open source</x:v>
      </x:c>
      <x:c r="AN276" s="14" t="str">
        <x:v>BBC Studios production for another broadcaster</x:v>
      </x:c>
      <x:c r="AO276" s="14" t="str">
        <x:v>Yes</x:v>
      </x:c>
      <x:c r="AP276" s="14" t="str">
        <x:v>Wider BBC commercial-group context only</x:v>
      </x:c>
      <x:c r="AQ276" s="14" t="str">
        <x:v>Yes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12</x:v>
      </x:c>
      <x:c r="BP276" s="14" t="str">
        <x:v>Maximum eligible IMDb cast-credit total (12), shared by 4 performer(s); not independently verified as a 2021-only episode total.</x:v>
      </x:c>
      <x:c r="BQ276" s="14" t="str">
        <x:v>Medium</x:v>
      </x:c>
      <x:c r="BR276" s="15" t="n">
        <x:v>1</x:v>
      </x:c>
      <x:c r="BS276" s="16" t="n">
        <x:v>0.08333333333333333</x:v>
      </x:c>
      <x:c r="BT276" s="14" t="str">
        <x:v>One episode</x:v>
      </x:c>
      <x:c r="BU276" s="14" t="str">
        <x:v>Medium</x:v>
      </x:c>
      <x:c r="BV276" s="14" t="str">
        <x:v>Derived from supplied IMDb episode count and the documented production-total proxy.</x:v>
      </x:c>
      <x:c r="BW276" s="14" t="str">
        <x:v>Unable to determine</x:v>
      </x:c>
      <x:c r="BX276" s="14" t="str">
        <x:v>Supplied cast data establishes the credit and episode presence but does not establish narrative prominence.</x:v>
      </x:c>
      <x:c r="BY276" s="14" t="str">
        <x:v>Supplied IMDb cast-list workbook</x:v>
      </x:c>
      <x:c r="BZ27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tt13643704|nm2091484|amanda marsh</x:v>
      </x:c>
      <x:c r="B277" s="14" t="str">
        <x:v>01</x:v>
      </x:c>
      <x:c r="C277" s="14" t="str">
        <x:v>2021_IMDb_Cast_Lists_Batch_01(1).xlsx</x:v>
      </x:c>
      <x:c r="D277" s="14" t="str">
        <x:v>Annika</x:v>
      </x:c>
      <x:c r="E277" s="14" t="n">
        <x:v>98</x:v>
      </x:c>
      <x:c r="F277" s="14" t="str">
        <x:v>Annika</x:v>
      </x:c>
      <x:c r="G277" s="14" t="str">
        <x:v>tt13643704</x:v>
      </x:c>
      <x:c r="H277" s="14" t="n">
        <x:v>2021</x:v>
      </x:c>
      <x:c r="I277" s="14" t="n">
        <x:v>2023</x:v>
      </x:c>
      <x:c r="J277" s="14" t="str">
        <x:v>Earlier-Production Carry-In Cohort</x:v>
      </x:c>
      <x:c r="K277" s="14" t="n">
        <x:v>2021</x:v>
      </x:c>
      <x:c r="L277" s="14" t="str">
        <x:v>Used in 2023 annual analysis</x:v>
      </x:c>
      <x:c r="M277" s="15" t="n">
        <x:v>91</x:v>
      </x:c>
      <x:c r="N277" s="14" t="str">
        <x:v>Lisa Livingstone</x:v>
      </x:c>
      <x:c r="O277" s="14" t="str">
        <x:v>nm2091484</x:v>
      </x:c>
      <x:c r="P277" s="14" t="str">
        <x:v>Amanda Marsh</x:v>
      </x:c>
      <x:c r="Q277" s="15" t="n">
        <x:v>1</x:v>
      </x:c>
      <x:c r="R277" s="14" t="str">
        <x:v>2023</x:v>
      </x:c>
      <x:c r="S277" s="14" t="n">
        <x:v>2023</x:v>
      </x:c>
      <x:c r="T277" s="14" t="n">
        <x:v>2023</x:v>
      </x:c>
      <x:c r="U277" s="14" t="str">
        <x:v>Post-2021 casting excluded</x:v>
      </x:c>
      <x:c r="V277" s="14" t="str">
        <x:v>Earliest supplied year is 2023, later than the 2021 study year.</x:v>
      </x:c>
      <x:c r="W277" s="14"/>
      <x:c r="X277" s="14" t="str">
        <x:v>Included</x:v>
      </x:c>
      <x:c r="Y277" s="14"/>
      <x:c r="Z277" s="14" t="str">
        <x:v>Annika.docx</x:v>
      </x:c>
      <x:c r="AA27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BBC Studios / UKTV (U&amp;Alibi)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HYPERLINK("https://en.wikipedia.org/wiki/Annika","Open source")</x:f>
        <x:v>HYPERLINK is not implemented. linkLocation=https://en.wikipedia.org/wiki/Annika, friendlyName=Open source</x:v>
      </x:c>
      <x:c r="AN277" s="14" t="str">
        <x:v>BBC Studios production for another broadcaster</x:v>
      </x:c>
      <x:c r="AO277" s="14" t="str">
        <x:v>Yes</x:v>
      </x:c>
      <x:c r="AP277" s="14" t="str">
        <x:v>Wider BBC commercial-group context only</x:v>
      </x:c>
      <x:c r="AQ277" s="14" t="str">
        <x:v>Yes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12</x:v>
      </x:c>
      <x:c r="BP277" s="14" t="str">
        <x:v>Maximum eligible IMDb cast-credit total (12), shared by 4 performer(s); not independently verified as a 2021-only episode total.</x:v>
      </x:c>
      <x:c r="BQ277" s="14" t="str">
        <x:v>Medium</x:v>
      </x:c>
      <x:c r="BR277" s="15" t="n">
        <x:v>1</x:v>
      </x:c>
      <x:c r="BS277" s="16" t="n">
        <x:v>0.08333333333333333</x:v>
      </x:c>
      <x:c r="BT277" s="14" t="str">
        <x:v>One episode</x:v>
      </x:c>
      <x:c r="BU277" s="14" t="str">
        <x:v>Medium</x:v>
      </x:c>
      <x:c r="BV277" s="14" t="str">
        <x:v>Derived from supplied IMDb episode count and the documented production-total proxy.</x:v>
      </x:c>
      <x:c r="BW277" s="14" t="str">
        <x:v>Unable to determine</x:v>
      </x:c>
      <x:c r="BX277" s="14" t="str">
        <x:v>Supplied cast data establishes the credit and episode presence but does not establish narrative prominence.</x:v>
      </x:c>
      <x:c r="BY277" s="14" t="str">
        <x:v>Supplied IMDb cast-list workbook</x:v>
      </x:c>
      <x:c r="BZ27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tt13643704|nm4110053|fergus gordon</x:v>
      </x:c>
      <x:c r="B278" s="14" t="str">
        <x:v>01</x:v>
      </x:c>
      <x:c r="C278" s="14" t="str">
        <x:v>2021_IMDb_Cast_Lists_Batch_01(1).xlsx</x:v>
      </x:c>
      <x:c r="D278" s="14" t="str">
        <x:v>Annika</x:v>
      </x:c>
      <x:c r="E278" s="14" t="n">
        <x:v>99</x:v>
      </x:c>
      <x:c r="F278" s="14" t="str">
        <x:v>Annika</x:v>
      </x:c>
      <x:c r="G278" s="14" t="str">
        <x:v>tt13643704</x:v>
      </x:c>
      <x:c r="H278" s="14" t="n">
        <x:v>2021</x:v>
      </x:c>
      <x:c r="I278" s="14" t="n">
        <x:v>2023</x:v>
      </x:c>
      <x:c r="J278" s="14" t="str">
        <x:v>Earlier-Production Carry-In Cohort</x:v>
      </x:c>
      <x:c r="K278" s="14" t="n">
        <x:v>2021</x:v>
      </x:c>
      <x:c r="L278" s="14" t="str">
        <x:v>Used in 2023 annual analysis</x:v>
      </x:c>
      <x:c r="M278" s="15" t="n">
        <x:v>92</x:v>
      </x:c>
      <x:c r="N278" s="14" t="str">
        <x:v>Edward Corrie</x:v>
      </x:c>
      <x:c r="O278" s="14" t="str">
        <x:v>nm4110053</x:v>
      </x:c>
      <x:c r="P278" s="14" t="str">
        <x:v>Fergus Gordon</x:v>
      </x:c>
      <x:c r="Q278" s="15" t="n">
        <x:v>1</x:v>
      </x:c>
      <x:c r="R278" s="14" t="str">
        <x:v>2023</x:v>
      </x:c>
      <x:c r="S278" s="14" t="n">
        <x:v>2023</x:v>
      </x:c>
      <x:c r="T278" s="14" t="n">
        <x:v>2023</x:v>
      </x:c>
      <x:c r="U278" s="14" t="str">
        <x:v>Post-2021 casting excluded</x:v>
      </x:c>
      <x:c r="V278" s="14" t="str">
        <x:v>Earliest supplied year is 2023, later than the 2021 study year.</x:v>
      </x:c>
      <x:c r="W278" s="14"/>
      <x:c r="X278" s="14" t="str">
        <x:v>Included</x:v>
      </x:c>
      <x:c r="Y278" s="14" t="str">
        <x:v>(as Edward M. Corrie)</x:v>
      </x:c>
      <x:c r="Z278" s="14" t="str">
        <x:v>Annika.docx</x:v>
      </x:c>
      <x:c r="AA27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BBC Studios / UKTV (U&amp;Alibi)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HYPERLINK("https://en.wikipedia.org/wiki/Annika","Open source")</x:f>
        <x:v>HYPERLINK is not implemented. linkLocation=https://en.wikipedia.org/wiki/Annika, friendlyName=Open source</x:v>
      </x:c>
      <x:c r="AN278" s="14" t="str">
        <x:v>BBC Studios production for another broadcaster</x:v>
      </x:c>
      <x:c r="AO278" s="14" t="str">
        <x:v>Yes</x:v>
      </x:c>
      <x:c r="AP278" s="14" t="str">
        <x:v>Wider BBC commercial-group context only</x:v>
      </x:c>
      <x:c r="AQ278" s="14" t="str">
        <x:v>Yes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12</x:v>
      </x:c>
      <x:c r="BP278" s="14" t="str">
        <x:v>Maximum eligible IMDb cast-credit total (12), shared by 4 performer(s); not independently verified as a 2021-only episode total.</x:v>
      </x:c>
      <x:c r="BQ278" s="14" t="str">
        <x:v>Medium</x:v>
      </x:c>
      <x:c r="BR278" s="15" t="n">
        <x:v>1</x:v>
      </x:c>
      <x:c r="BS278" s="16" t="n">
        <x:v>0.08333333333333333</x:v>
      </x:c>
      <x:c r="BT278" s="14" t="str">
        <x:v>One episode</x:v>
      </x:c>
      <x:c r="BU278" s="14" t="str">
        <x:v>Medium</x:v>
      </x:c>
      <x:c r="BV278" s="14" t="str">
        <x:v>Derived from supplied IMDb episode count and the documented production-total proxy.</x:v>
      </x:c>
      <x:c r="BW278" s="14" t="str">
        <x:v>Unable to determine</x:v>
      </x:c>
      <x:c r="BX278" s="14" t="str">
        <x:v>Supplied cast data establishes the credit and episode presence but does not establish narrative prominence.</x:v>
      </x:c>
      <x:c r="BY278" s="14" t="str">
        <x:v>Supplied IMDb cast-list workbook</x:v>
      </x:c>
      <x:c r="BZ27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tt13643704|nm15165017|amara keita</x:v>
      </x:c>
      <x:c r="B279" s="14" t="str">
        <x:v>01</x:v>
      </x:c>
      <x:c r="C279" s="14" t="str">
        <x:v>2021_IMDb_Cast_Lists_Batch_01(1).xlsx</x:v>
      </x:c>
      <x:c r="D279" s="14" t="str">
        <x:v>Annika</x:v>
      </x:c>
      <x:c r="E279" s="14" t="n">
        <x:v>100</x:v>
      </x:c>
      <x:c r="F279" s="14" t="str">
        <x:v>Annika</x:v>
      </x:c>
      <x:c r="G279" s="14" t="str">
        <x:v>tt13643704</x:v>
      </x:c>
      <x:c r="H279" s="14" t="n">
        <x:v>2021</x:v>
      </x:c>
      <x:c r="I279" s="14" t="n">
        <x:v>2023</x:v>
      </x:c>
      <x:c r="J279" s="14" t="str">
        <x:v>Earlier-Production Carry-In Cohort</x:v>
      </x:c>
      <x:c r="K279" s="14" t="n">
        <x:v>2021</x:v>
      </x:c>
      <x:c r="L279" s="14" t="str">
        <x:v>Used in 2023 annual analysis</x:v>
      </x:c>
      <x:c r="M279" s="15" t="n">
        <x:v>93</x:v>
      </x:c>
      <x:c r="N279" s="14" t="str">
        <x:v>Kimberley Mandindo</x:v>
      </x:c>
      <x:c r="O279" s="14" t="str">
        <x:v>nm15165017</x:v>
      </x:c>
      <x:c r="P279" s="14" t="str">
        <x:v>Amara Keita</x:v>
      </x:c>
      <x:c r="Q279" s="15" t="n">
        <x:v>1</x:v>
      </x:c>
      <x:c r="R279" s="14" t="str">
        <x:v>2023</x:v>
      </x:c>
      <x:c r="S279" s="14" t="n">
        <x:v>2023</x:v>
      </x:c>
      <x:c r="T279" s="14" t="n">
        <x:v>2023</x:v>
      </x:c>
      <x:c r="U279" s="14" t="str">
        <x:v>Post-2021 casting excluded</x:v>
      </x:c>
      <x:c r="V279" s="14" t="str">
        <x:v>Earliest supplied year is 2023, later than the 2021 study year.</x:v>
      </x:c>
      <x:c r="W279" s="14"/>
      <x:c r="X279" s="14" t="str">
        <x:v>Included</x:v>
      </x:c>
      <x:c r="Y279" s="14"/>
      <x:c r="Z279" s="14" t="str">
        <x:v>Annika.docx</x:v>
      </x:c>
      <x:c r="AA27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BBC Studios / UKTV (U&amp;Alibi)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HYPERLINK("https://en.wikipedia.org/wiki/Annika","Open source")</x:f>
        <x:v>HYPERLINK is not implemented. linkLocation=https://en.wikipedia.org/wiki/Annika, friendlyName=Open source</x:v>
      </x:c>
      <x:c r="AN279" s="14" t="str">
        <x:v>BBC Studios production for another broadcaster</x:v>
      </x:c>
      <x:c r="AO279" s="14" t="str">
        <x:v>Yes</x:v>
      </x:c>
      <x:c r="AP279" s="14" t="str">
        <x:v>Wider BBC commercial-group context only</x:v>
      </x:c>
      <x:c r="AQ279" s="14" t="str">
        <x:v>Yes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eligible IMDb cast-credit total (12), shared by 4 performer(s); not independently verified as a 2021-only episode total.</x:v>
      </x:c>
      <x:c r="BQ279" s="14" t="str">
        <x:v>Medium</x:v>
      </x:c>
      <x:c r="BR279" s="15" t="n">
        <x:v>1</x:v>
      </x:c>
      <x:c r="BS279" s="16" t="n">
        <x:v>0.08333333333333333</x:v>
      </x:c>
      <x:c r="BT279" s="14" t="str">
        <x:v>One episode</x:v>
      </x:c>
      <x:c r="BU279" s="14" t="str">
        <x:v>Medium</x:v>
      </x:c>
      <x:c r="BV279" s="14" t="str">
        <x:v>Derived from supplied IMDb episode count and the documented production-total proxy.</x:v>
      </x:c>
      <x:c r="BW279" s="14" t="str">
        <x:v>Unable to determine</x:v>
      </x:c>
      <x:c r="BX279" s="14" t="str">
        <x:v>Supplied cast data establishes the credit and episode presence but does not establish narrative prominence.</x:v>
      </x:c>
      <x:c r="BY279" s="14" t="str">
        <x:v>Supplied IMDb cast-list workbook</x:v>
      </x:c>
      <x:c r="BZ279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tt13643704|nm0703497|nell dwight</x:v>
      </x:c>
      <x:c r="B280" s="14" t="str">
        <x:v>01</x:v>
      </x:c>
      <x:c r="C280" s="14" t="str">
        <x:v>2021_IMDb_Cast_Lists_Batch_01(1).xlsx</x:v>
      </x:c>
      <x:c r="D280" s="14" t="str">
        <x:v>Annika</x:v>
      </x:c>
      <x:c r="E280" s="14" t="n">
        <x:v>103</x:v>
      </x:c>
      <x:c r="F280" s="14" t="str">
        <x:v>Annika</x:v>
      </x:c>
      <x:c r="G280" s="14" t="str">
        <x:v>tt13643704</x:v>
      </x:c>
      <x:c r="H280" s="14" t="n">
        <x:v>2021</x:v>
      </x:c>
      <x:c r="I280" s="14" t="n">
        <x:v>2023</x:v>
      </x:c>
      <x:c r="J280" s="14" t="str">
        <x:v>Earlier-Production Carry-In Cohort</x:v>
      </x:c>
      <x:c r="K280" s="14" t="n">
        <x:v>2021</x:v>
      </x:c>
      <x:c r="L280" s="14" t="str">
        <x:v>Used in 2023 annual analysis</x:v>
      </x:c>
      <x:c r="M280" s="15" t="n">
        <x:v>96</x:v>
      </x:c>
      <x:c r="N280" s="14" t="str">
        <x:v>Gabriel Quigley</x:v>
      </x:c>
      <x:c r="O280" s="14" t="str">
        <x:v>nm0703497</x:v>
      </x:c>
      <x:c r="P280" s="14" t="str">
        <x:v>Nell Dwight</x:v>
      </x:c>
      <x:c r="Q280" s="15" t="n">
        <x:v>1</x:v>
      </x:c>
      <x:c r="R280" s="14" t="str">
        <x:v>2023</x:v>
      </x:c>
      <x:c r="S280" s="14" t="n">
        <x:v>2023</x:v>
      </x:c>
      <x:c r="T280" s="14" t="n">
        <x:v>2023</x:v>
      </x:c>
      <x:c r="U280" s="14" t="str">
        <x:v>Post-2021 casting excluded</x:v>
      </x:c>
      <x:c r="V280" s="14" t="str">
        <x:v>Earliest supplied year is 2023, later than the 2021 study year.</x:v>
      </x:c>
      <x:c r="W280" s="14"/>
      <x:c r="X280" s="14" t="str">
        <x:v>Included</x:v>
      </x:c>
      <x:c r="Y280" s="14"/>
      <x:c r="Z280" s="14" t="str">
        <x:v>Annika.docx</x:v>
      </x:c>
      <x:c r="AA28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BBC Studios / UKTV (U&amp;Alibi)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HYPERLINK("https://en.wikipedia.org/wiki/Annika","Open source")</x:f>
        <x:v>HYPERLINK is not implemented. linkLocation=https://en.wikipedia.org/wiki/Annika, friendlyName=Open source</x:v>
      </x:c>
      <x:c r="AN280" s="14" t="str">
        <x:v>BBC Studios production for another broadcaster</x:v>
      </x:c>
      <x:c r="AO280" s="14" t="str">
        <x:v>Yes</x:v>
      </x:c>
      <x:c r="AP280" s="14" t="str">
        <x:v>Wider BBC commercial-group context only</x:v>
      </x:c>
      <x:c r="AQ280" s="14" t="str">
        <x:v>Yes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eligible IMDb cast-credit total (12), shared by 4 performer(s); not independently verified as a 2021-only episode total.</x:v>
      </x:c>
      <x:c r="BQ280" s="14" t="str">
        <x:v>Medium</x:v>
      </x:c>
      <x:c r="BR280" s="15" t="n">
        <x:v>1</x:v>
      </x:c>
      <x:c r="BS280" s="16" t="n">
        <x:v>0.08333333333333333</x:v>
      </x:c>
      <x:c r="BT280" s="14" t="str">
        <x:v>One episode</x:v>
      </x:c>
      <x:c r="BU280" s="14" t="str">
        <x:v>Medium</x:v>
      </x:c>
      <x:c r="BV280" s="14" t="str">
        <x:v>Derived from supplied IMDb episode count and the documented production-total proxy.</x:v>
      </x:c>
      <x:c r="BW280" s="14" t="str">
        <x:v>Unable to determine</x:v>
      </x:c>
      <x:c r="BX280" s="14" t="str">
        <x:v>Supplied cast data establishes the credit and episode presence but does not establish narrative prominence.</x:v>
      </x:c>
      <x:c r="BY280" s="14" t="str">
        <x:v>Supplied IMDb cast-list workbook</x:v>
      </x:c>
      <x:c r="BZ280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tt13643704|nm9369004|kimi blake</x:v>
      </x:c>
      <x:c r="B281" s="14" t="str">
        <x:v>01</x:v>
      </x:c>
      <x:c r="C281" s="14" t="str">
        <x:v>2021_IMDb_Cast_Lists_Batch_01(1).xlsx</x:v>
      </x:c>
      <x:c r="D281" s="14" t="str">
        <x:v>Annika</x:v>
      </x:c>
      <x:c r="E281" s="14" t="n">
        <x:v>104</x:v>
      </x:c>
      <x:c r="F281" s="14" t="str">
        <x:v>Annika</x:v>
      </x:c>
      <x:c r="G281" s="14" t="str">
        <x:v>tt13643704</x:v>
      </x:c>
      <x:c r="H281" s="14" t="n">
        <x:v>2021</x:v>
      </x:c>
      <x:c r="I281" s="14" t="n">
        <x:v>2023</x:v>
      </x:c>
      <x:c r="J281" s="14" t="str">
        <x:v>Earlier-Production Carry-In Cohort</x:v>
      </x:c>
      <x:c r="K281" s="14" t="n">
        <x:v>2021</x:v>
      </x:c>
      <x:c r="L281" s="14" t="str">
        <x:v>Used in 2023 annual analysis</x:v>
      </x:c>
      <x:c r="M281" s="15" t="n">
        <x:v>97</x:v>
      </x:c>
      <x:c r="N281" s="14" t="str">
        <x:v>Elysia Welch</x:v>
      </x:c>
      <x:c r="O281" s="14" t="str">
        <x:v>nm9369004</x:v>
      </x:c>
      <x:c r="P281" s="14" t="str">
        <x:v>Kimi Blake</x:v>
      </x:c>
      <x:c r="Q281" s="15" t="n">
        <x:v>1</x:v>
      </x:c>
      <x:c r="R281" s="14" t="str">
        <x:v>2023</x:v>
      </x:c>
      <x:c r="S281" s="14" t="n">
        <x:v>2023</x:v>
      </x:c>
      <x:c r="T281" s="14" t="n">
        <x:v>2023</x:v>
      </x:c>
      <x:c r="U281" s="14" t="str">
        <x:v>Post-2021 casting excluded</x:v>
      </x:c>
      <x:c r="V281" s="14" t="str">
        <x:v>Earliest supplied year is 2023, later than the 2021 study year.</x:v>
      </x:c>
      <x:c r="W281" s="14"/>
      <x:c r="X281" s="14" t="str">
        <x:v>Included</x:v>
      </x:c>
      <x:c r="Y281" s="14"/>
      <x:c r="Z281" s="14" t="str">
        <x:v>Annika.docx</x:v>
      </x:c>
      <x:c r="AA28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BBC Studios / UKTV (U&amp;Alibi)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HYPERLINK("https://en.wikipedia.org/wiki/Annika","Open source")</x:f>
        <x:v>HYPERLINK is not implemented. linkLocation=https://en.wikipedia.org/wiki/Annika, friendlyName=Open source</x:v>
      </x:c>
      <x:c r="AN281" s="14" t="str">
        <x:v>BBC Studios production for another broadcaster</x:v>
      </x:c>
      <x:c r="AO281" s="14" t="str">
        <x:v>Yes</x:v>
      </x:c>
      <x:c r="AP281" s="14" t="str">
        <x:v>Wider BBC commercial-group context only</x:v>
      </x:c>
      <x:c r="AQ281" s="14" t="str">
        <x:v>Yes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eligible IMDb cast-credit total (12), shared by 4 performer(s); not independently verified as a 2021-only episode total.</x:v>
      </x:c>
      <x:c r="BQ281" s="14" t="str">
        <x:v>Medium</x:v>
      </x:c>
      <x:c r="BR281" s="15" t="n">
        <x:v>1</x:v>
      </x:c>
      <x:c r="BS281" s="16" t="n">
        <x:v>0.08333333333333333</x:v>
      </x:c>
      <x:c r="BT281" s="14" t="str">
        <x:v>One episode</x:v>
      </x:c>
      <x:c r="BU281" s="14" t="str">
        <x:v>Medium</x:v>
      </x:c>
      <x:c r="BV281" s="14" t="str">
        <x:v>Derived from supplied IMDb episode count and the documented production-total proxy.</x:v>
      </x:c>
      <x:c r="BW281" s="14" t="str">
        <x:v>Unable to determine</x:v>
      </x:c>
      <x:c r="BX281" s="14" t="str">
        <x:v>Supplied cast data establishes the credit and episode presence but does not establish narrative prominence.</x:v>
      </x:c>
      <x:c r="BY281" s="14" t="str">
        <x:v>Supplied IMDb cast-list workbook</x:v>
      </x:c>
      <x:c r="BZ281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tt13643704|nm8960656|briony craig</x:v>
      </x:c>
      <x:c r="B282" s="14" t="str">
        <x:v>01</x:v>
      </x:c>
      <x:c r="C282" s="14" t="str">
        <x:v>2021_IMDb_Cast_Lists_Batch_01(1).xlsx</x:v>
      </x:c>
      <x:c r="D282" s="14" t="str">
        <x:v>Annika</x:v>
      </x:c>
      <x:c r="E282" s="14" t="n">
        <x:v>105</x:v>
      </x:c>
      <x:c r="F282" s="14" t="str">
        <x:v>Annika</x:v>
      </x:c>
      <x:c r="G282" s="14" t="str">
        <x:v>tt13643704</x:v>
      </x:c>
      <x:c r="H282" s="14" t="n">
        <x:v>2021</x:v>
      </x:c>
      <x:c r="I282" s="14" t="n">
        <x:v>2023</x:v>
      </x:c>
      <x:c r="J282" s="14" t="str">
        <x:v>Earlier-Production Carry-In Cohort</x:v>
      </x:c>
      <x:c r="K282" s="14" t="n">
        <x:v>2021</x:v>
      </x:c>
      <x:c r="L282" s="14" t="str">
        <x:v>Used in 2023 annual analysis</x:v>
      </x:c>
      <x:c r="M282" s="15" t="n">
        <x:v>98</x:v>
      </x:c>
      <x:c r="N282" s="14" t="str">
        <x:v>Laura Ferries</x:v>
      </x:c>
      <x:c r="O282" s="14" t="str">
        <x:v>nm8960656</x:v>
      </x:c>
      <x:c r="P282" s="14" t="str">
        <x:v>Briony Craig</x:v>
      </x:c>
      <x:c r="Q282" s="15" t="n">
        <x:v>1</x:v>
      </x:c>
      <x:c r="R282" s="14" t="str">
        <x:v>2023</x:v>
      </x:c>
      <x:c r="S282" s="14" t="n">
        <x:v>2023</x:v>
      </x:c>
      <x:c r="T282" s="14" t="n">
        <x:v>2023</x:v>
      </x:c>
      <x:c r="U282" s="14" t="str">
        <x:v>Post-2021 casting excluded</x:v>
      </x:c>
      <x:c r="V282" s="14" t="str">
        <x:v>Earliest supplied year is 2023, later than the 2021 study year.</x:v>
      </x:c>
      <x:c r="W282" s="14"/>
      <x:c r="X282" s="14" t="str">
        <x:v>Included</x:v>
      </x:c>
      <x:c r="Y282" s="14"/>
      <x:c r="Z282" s="14" t="str">
        <x:v>Annika.docx</x:v>
      </x:c>
      <x:c r="AA28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BBC Studios / UKTV (U&amp;Alibi)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HYPERLINK("https://en.wikipedia.org/wiki/Annika","Open source")</x:f>
        <x:v>HYPERLINK is not implemented. linkLocation=https://en.wikipedia.org/wiki/Annika, friendlyName=Open source</x:v>
      </x:c>
      <x:c r="AN282" s="14" t="str">
        <x:v>BBC Studios production for another broadcaster</x:v>
      </x:c>
      <x:c r="AO282" s="14" t="str">
        <x:v>Yes</x:v>
      </x:c>
      <x:c r="AP282" s="14" t="str">
        <x:v>Wider BBC commercial-group context only</x:v>
      </x:c>
      <x:c r="AQ282" s="14" t="str">
        <x:v>Yes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eligible IMDb cast-credit total (12), shared by 4 performer(s); not independently verified as a 2021-only episode total.</x:v>
      </x:c>
      <x:c r="BQ282" s="14" t="str">
        <x:v>Medium</x:v>
      </x:c>
      <x:c r="BR282" s="15" t="n">
        <x:v>1</x:v>
      </x:c>
      <x:c r="BS282" s="16" t="n">
        <x:v>0.08333333333333333</x:v>
      </x:c>
      <x:c r="BT282" s="14" t="str">
        <x:v>One episode</x:v>
      </x:c>
      <x:c r="BU282" s="14" t="str">
        <x:v>Medium</x:v>
      </x:c>
      <x:c r="BV282" s="14" t="str">
        <x:v>Derived from supplied IMDb episode count and the documented production-total proxy.</x:v>
      </x:c>
      <x:c r="BW282" s="14" t="str">
        <x:v>Unable to determine</x:v>
      </x:c>
      <x:c r="BX282" s="14" t="str">
        <x:v>Supplied cast data establishes the credit and episode presence but does not establish narrative prominence.</x:v>
      </x:c>
      <x:c r="BY282" s="14" t="str">
        <x:v>Supplied IMDb cast-list workbook</x:v>
      </x:c>
      <x:c r="BZ282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tt13643704|nm12146526|comedy mc</x:v>
      </x:c>
      <x:c r="B283" s="14" t="str">
        <x:v>01</x:v>
      </x:c>
      <x:c r="C283" s="14" t="str">
        <x:v>2021_IMDb_Cast_Lists_Batch_01(1).xlsx</x:v>
      </x:c>
      <x:c r="D283" s="14" t="str">
        <x:v>Annika</x:v>
      </x:c>
      <x:c r="E283" s="14" t="n">
        <x:v>107</x:v>
      </x:c>
      <x:c r="F283" s="14" t="str">
        <x:v>Annika</x:v>
      </x:c>
      <x:c r="G283" s="14" t="str">
        <x:v>tt13643704</x:v>
      </x:c>
      <x:c r="H283" s="14" t="n">
        <x:v>2021</x:v>
      </x:c>
      <x:c r="I283" s="14" t="n">
        <x:v>2023</x:v>
      </x:c>
      <x:c r="J283" s="14" t="str">
        <x:v>Earlier-Production Carry-In Cohort</x:v>
      </x:c>
      <x:c r="K283" s="14" t="n">
        <x:v>2021</x:v>
      </x:c>
      <x:c r="L283" s="14" t="str">
        <x:v>Used in 2023 annual analysis</x:v>
      </x:c>
      <x:c r="M283" s="15" t="n">
        <x:v>100</x:v>
      </x:c>
      <x:c r="N283" s="14" t="str">
        <x:v>Nick Walker</x:v>
      </x:c>
      <x:c r="O283" s="14" t="str">
        <x:v>nm12146526</x:v>
      </x:c>
      <x:c r="P283" s="14" t="str">
        <x:v>Comedy MC</x:v>
      </x:c>
      <x:c r="Q283" s="15" t="n">
        <x:v>1</x:v>
      </x:c>
      <x:c r="R283" s="14" t="str">
        <x:v>2023</x:v>
      </x:c>
      <x:c r="S283" s="14" t="n">
        <x:v>2023</x:v>
      </x:c>
      <x:c r="T283" s="14" t="n">
        <x:v>2023</x:v>
      </x:c>
      <x:c r="U283" s="14" t="str">
        <x:v>Post-2021 casting excluded</x:v>
      </x:c>
      <x:c r="V283" s="14" t="str">
        <x:v>Earliest supplied year is 2023, later than the 2021 study year.</x:v>
      </x:c>
      <x:c r="W283" s="14"/>
      <x:c r="X283" s="14" t="str">
        <x:v>Included</x:v>
      </x:c>
      <x:c r="Y283" s="14"/>
      <x:c r="Z283" s="14" t="str">
        <x:v>Annika.docx</x:v>
      </x:c>
      <x:c r="AA28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BBC Studios / UKTV (U&amp;Alibi)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HYPERLINK("https://en.wikipedia.org/wiki/Annika","Open source")</x:f>
        <x:v>HYPERLINK is not implemented. linkLocation=https://en.wikipedia.org/wiki/Annika, friendlyName=Open source</x:v>
      </x:c>
      <x:c r="AN283" s="14" t="str">
        <x:v>BBC Studios production for another broadcaster</x:v>
      </x:c>
      <x:c r="AO283" s="14" t="str">
        <x:v>Yes</x:v>
      </x:c>
      <x:c r="AP283" s="14" t="str">
        <x:v>Wider BBC commercial-group context only</x:v>
      </x:c>
      <x:c r="AQ283" s="14" t="str">
        <x:v>Yes</x:v>
      </x:c>
      <x:c r="AR283" s="14" t="str">
        <x:v>Resolved from master register</x:v>
      </x:c>
      <x:c r="AS283" s="14" t="str">
        <x:v>No established-register match</x:v>
      </x:c>
      <x:c r="AT283" s="14"/>
      <x:c r="AU283" s="14"/>
      <x:c r="AV283" s="14" t="str">
        <x:v>No established apparent-disability match</x:v>
      </x:c>
      <x:c r="AW283" s="14"/>
      <x:c r="AX283" s="14" t="str">
        <x:v>No</x:v>
      </x:c>
      <x:c r="AY283" s="14" t="str">
        <x:v>Unmatched</x:v>
      </x:c>
      <x:c r="AZ283" s="14" t="str">
        <x:v>Final supplied register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eligible IMDb cast-credit total (12), shared by 4 performer(s); not independently verified as a 2021-only episode total.</x:v>
      </x:c>
      <x:c r="BQ283" s="14" t="str">
        <x:v>Medium</x:v>
      </x:c>
      <x:c r="BR283" s="15" t="n">
        <x:v>1</x:v>
      </x:c>
      <x:c r="BS283" s="16" t="n">
        <x:v>0.08333333333333333</x:v>
      </x:c>
      <x:c r="BT283" s="14" t="str">
        <x:v>One episode</x:v>
      </x:c>
      <x:c r="BU283" s="14" t="str">
        <x:v>Medium</x:v>
      </x:c>
      <x:c r="BV283" s="14" t="str">
        <x:v>Derived from supplied IMDb episode count and the documented production-total proxy.</x:v>
      </x:c>
      <x:c r="BW283" s="14" t="str">
        <x:v>Unable to determine</x:v>
      </x:c>
      <x:c r="BX283" s="14" t="str">
        <x:v>Supplied cast data establishes the credit and episode presence but does not establish narrative prominence.</x:v>
      </x:c>
      <x:c r="BY283" s="14" t="str">
        <x:v>Supplied IMDb cast-list workbook</x:v>
      </x:c>
      <x:c r="BZ283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tt13643704|nm0036889|rihan harijan</x:v>
      </x:c>
      <x:c r="B284" s="14" t="str">
        <x:v>01</x:v>
      </x:c>
      <x:c r="C284" s="14" t="str">
        <x:v>2021_IMDb_Cast_Lists_Batch_01(1).xlsx</x:v>
      </x:c>
      <x:c r="D284" s="14" t="str">
        <x:v>Annika</x:v>
      </x:c>
      <x:c r="E284" s="14" t="n">
        <x:v>108</x:v>
      </x:c>
      <x:c r="F284" s="14" t="str">
        <x:v>Annika</x:v>
      </x:c>
      <x:c r="G284" s="14" t="str">
        <x:v>tt13643704</x:v>
      </x:c>
      <x:c r="H284" s="14" t="n">
        <x:v>2021</x:v>
      </x:c>
      <x:c r="I284" s="14" t="n">
        <x:v>2023</x:v>
      </x:c>
      <x:c r="J284" s="14" t="str">
        <x:v>Earlier-Production Carry-In Cohort</x:v>
      </x:c>
      <x:c r="K284" s="14" t="n">
        <x:v>2021</x:v>
      </x:c>
      <x:c r="L284" s="14" t="str">
        <x:v>Used in 2023 annual analysis</x:v>
      </x:c>
      <x:c r="M284" s="15" t="n">
        <x:v>101</x:v>
      </x:c>
      <x:c r="N284" s="14" t="str">
        <x:v>Pal Aron</x:v>
      </x:c>
      <x:c r="O284" s="14" t="str">
        <x:v>nm0036889</x:v>
      </x:c>
      <x:c r="P284" s="14" t="str">
        <x:v>Rihan Harijan</x:v>
      </x:c>
      <x:c r="Q284" s="15" t="n">
        <x:v>1</x:v>
      </x:c>
      <x:c r="R284" s="14" t="str">
        <x:v>2023</x:v>
      </x:c>
      <x:c r="S284" s="14" t="n">
        <x:v>2023</x:v>
      </x:c>
      <x:c r="T284" s="14" t="n">
        <x:v>2023</x:v>
      </x:c>
      <x:c r="U284" s="14" t="str">
        <x:v>Post-2021 casting excluded</x:v>
      </x:c>
      <x:c r="V284" s="14" t="str">
        <x:v>Earliest supplied year is 2023, later than the 2021 study year.</x:v>
      </x:c>
      <x:c r="W284" s="14"/>
      <x:c r="X284" s="14" t="str">
        <x:v>Included</x:v>
      </x:c>
      <x:c r="Y284" s="14"/>
      <x:c r="Z284" s="14" t="str">
        <x:v>Annika.docx</x:v>
      </x:c>
      <x:c r="AA28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BBC Studios / UKTV (U&amp;Alibi)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HYPERLINK("https://en.wikipedia.org/wiki/Annika","Open source")</x:f>
        <x:v>HYPERLINK is not implemented. linkLocation=https://en.wikipedia.org/wiki/Annika, friendlyName=Open source</x:v>
      </x:c>
      <x:c r="AN284" s="14" t="str">
        <x:v>BBC Studios production for another broadcaster</x:v>
      </x:c>
      <x:c r="AO284" s="14" t="str">
        <x:v>Yes</x:v>
      </x:c>
      <x:c r="AP284" s="14" t="str">
        <x:v>Wider BBC commercial-group context only</x:v>
      </x:c>
      <x:c r="AQ284" s="14" t="str">
        <x:v>Yes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eligible IMDb cast-credit total (12), shared by 4 performer(s); not independently verified as a 2021-only episode total.</x:v>
      </x:c>
      <x:c r="BQ284" s="14" t="str">
        <x:v>Medium</x:v>
      </x:c>
      <x:c r="BR284" s="15" t="n">
        <x:v>1</x:v>
      </x:c>
      <x:c r="BS284" s="16" t="n">
        <x:v>0.08333333333333333</x:v>
      </x:c>
      <x:c r="BT284" s="14" t="str">
        <x:v>One episode</x:v>
      </x:c>
      <x:c r="BU284" s="14" t="str">
        <x:v>Medium</x:v>
      </x:c>
      <x:c r="BV284" s="14" t="str">
        <x:v>Derived from supplied IMDb episode count and the documented production-total proxy.</x:v>
      </x:c>
      <x:c r="BW284" s="14" t="str">
        <x:v>Unable to determine</x:v>
      </x:c>
      <x:c r="BX284" s="14" t="str">
        <x:v>Supplied cast data establishes the credit and episode presence but does not establish narrative prominence.</x:v>
      </x:c>
      <x:c r="BY284" s="14" t="str">
        <x:v>Supplied IMDb cast-list workbook</x:v>
      </x:c>
      <x:c r="BZ284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tt13643704|nm7073254|dana ashraf</x:v>
      </x:c>
      <x:c r="B285" s="14" t="str">
        <x:v>01</x:v>
      </x:c>
      <x:c r="C285" s="14" t="str">
        <x:v>2021_IMDb_Cast_Lists_Batch_01(1).xlsx</x:v>
      </x:c>
      <x:c r="D285" s="14" t="str">
        <x:v>Annika</x:v>
      </x:c>
      <x:c r="E285" s="14" t="n">
        <x:v>109</x:v>
      </x:c>
      <x:c r="F285" s="14" t="str">
        <x:v>Annika</x:v>
      </x:c>
      <x:c r="G285" s="14" t="str">
        <x:v>tt13643704</x:v>
      </x:c>
      <x:c r="H285" s="14" t="n">
        <x:v>2021</x:v>
      </x:c>
      <x:c r="I285" s="14" t="n">
        <x:v>2023</x:v>
      </x:c>
      <x:c r="J285" s="14" t="str">
        <x:v>Earlier-Production Carry-In Cohort</x:v>
      </x:c>
      <x:c r="K285" s="14" t="n">
        <x:v>2021</x:v>
      </x:c>
      <x:c r="L285" s="14" t="str">
        <x:v>Used in 2023 annual analysis</x:v>
      </x:c>
      <x:c r="M285" s="15" t="n">
        <x:v>102</x:v>
      </x:c>
      <x:c r="N285" s="14" t="str">
        <x:v>Maryam Hamidi</x:v>
      </x:c>
      <x:c r="O285" s="14" t="str">
        <x:v>nm7073254</x:v>
      </x:c>
      <x:c r="P285" s="14" t="str">
        <x:v>Dana Ashraf</x:v>
      </x:c>
      <x:c r="Q285" s="15" t="n">
        <x:v>1</x:v>
      </x:c>
      <x:c r="R285" s="14" t="str">
        <x:v>2023</x:v>
      </x:c>
      <x:c r="S285" s="14" t="n">
        <x:v>2023</x:v>
      </x:c>
      <x:c r="T285" s="14" t="n">
        <x:v>2023</x:v>
      </x:c>
      <x:c r="U285" s="14" t="str">
        <x:v>Post-2021 casting excluded</x:v>
      </x:c>
      <x:c r="V285" s="14" t="str">
        <x:v>Earliest supplied year is 2023, later than the 2021 study year.</x:v>
      </x:c>
      <x:c r="W285" s="14"/>
      <x:c r="X285" s="14" t="str">
        <x:v>Included</x:v>
      </x:c>
      <x:c r="Y285" s="14"/>
      <x:c r="Z285" s="14" t="str">
        <x:v>Annika.docx</x:v>
      </x:c>
      <x:c r="AA28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BBC Studios / UKTV (U&amp;Alibi)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HYPERLINK("https://en.wikipedia.org/wiki/Annika","Open source")</x:f>
        <x:v>HYPERLINK is not implemented. linkLocation=https://en.wikipedia.org/wiki/Annika, friendlyName=Open source</x:v>
      </x:c>
      <x:c r="AN285" s="14" t="str">
        <x:v>BBC Studios production for another broadcaster</x:v>
      </x:c>
      <x:c r="AO285" s="14" t="str">
        <x:v>Yes</x:v>
      </x:c>
      <x:c r="AP285" s="14" t="str">
        <x:v>Wider BBC commercial-group context only</x:v>
      </x:c>
      <x:c r="AQ285" s="14" t="str">
        <x:v>Yes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eligible IMDb cast-credit total (12), shared by 4 performer(s); not independently verified as a 2021-only episode total.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supplied IMDb episode count and the documented production-total proxy.</x:v>
      </x:c>
      <x:c r="BW285" s="14" t="str">
        <x:v>Unable to determine</x:v>
      </x:c>
      <x:c r="BX285" s="14" t="str">
        <x:v>Supplied cast data establishes the credit and episode presence but does not establish narrative prominence.</x:v>
      </x:c>
      <x:c r="BY285" s="14" t="str">
        <x:v>Supplied IMDb cast-list workbook</x:v>
      </x:c>
      <x:c r="BZ285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tt13643704|nm8035034|richie mcavoy</x:v>
      </x:c>
      <x:c r="B286" s="14" t="str">
        <x:v>01</x:v>
      </x:c>
      <x:c r="C286" s="14" t="str">
        <x:v>2021_IMDb_Cast_Lists_Batch_01(1).xlsx</x:v>
      </x:c>
      <x:c r="D286" s="14" t="str">
        <x:v>Annika</x:v>
      </x:c>
      <x:c r="E286" s="14" t="n">
        <x:v>112</x:v>
      </x:c>
      <x:c r="F286" s="14" t="str">
        <x:v>Annika</x:v>
      </x:c>
      <x:c r="G286" s="14" t="str">
        <x:v>tt13643704</x:v>
      </x:c>
      <x:c r="H286" s="14" t="n">
        <x:v>2021</x:v>
      </x:c>
      <x:c r="I286" s="14" t="n">
        <x:v>2023</x:v>
      </x:c>
      <x:c r="J286" s="14" t="str">
        <x:v>Earlier-Production Carry-In Cohort</x:v>
      </x:c>
      <x:c r="K286" s="14" t="n">
        <x:v>2021</x:v>
      </x:c>
      <x:c r="L286" s="14" t="str">
        <x:v>Used in 2023 annual analysis</x:v>
      </x:c>
      <x:c r="M286" s="15" t="n">
        <x:v>105</x:v>
      </x:c>
      <x:c r="N286" s="14" t="str">
        <x:v>Joe Rising</x:v>
      </x:c>
      <x:c r="O286" s="14" t="str">
        <x:v>nm8035034</x:v>
      </x:c>
      <x:c r="P286" s="14" t="str">
        <x:v>Richie McAvoy</x:v>
      </x:c>
      <x:c r="Q286" s="15" t="n">
        <x:v>1</x:v>
      </x:c>
      <x:c r="R286" s="14" t="str">
        <x:v>2023</x:v>
      </x:c>
      <x:c r="S286" s="14" t="n">
        <x:v>2023</x:v>
      </x:c>
      <x:c r="T286" s="14" t="n">
        <x:v>2023</x:v>
      </x:c>
      <x:c r="U286" s="14" t="str">
        <x:v>Post-2021 casting excluded</x:v>
      </x:c>
      <x:c r="V286" s="14" t="str">
        <x:v>Earliest supplied year is 2023, later than the 2021 study year.</x:v>
      </x:c>
      <x:c r="W286" s="14"/>
      <x:c r="X286" s="14" t="str">
        <x:v>Included</x:v>
      </x:c>
      <x:c r="Y286" s="14"/>
      <x:c r="Z286" s="14" t="str">
        <x:v>Annika.docx</x:v>
      </x:c>
      <x:c r="AA28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BBC Studios / UKTV (U&amp;Alibi)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HYPERLINK("https://en.wikipedia.org/wiki/Annika","Open source")</x:f>
        <x:v>HYPERLINK is not implemented. linkLocation=https://en.wikipedia.org/wiki/Annika, friendlyName=Open source</x:v>
      </x:c>
      <x:c r="AN286" s="14" t="str">
        <x:v>BBC Studios production for another broadcaster</x:v>
      </x:c>
      <x:c r="AO286" s="14" t="str">
        <x:v>Yes</x:v>
      </x:c>
      <x:c r="AP286" s="14" t="str">
        <x:v>Wider BBC commercial-group context only</x:v>
      </x:c>
      <x:c r="AQ286" s="14" t="str">
        <x:v>Yes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eligible IMDb cast-credit total (12), shared by 4 performer(s); not independently verified as a 2021-only episode total.</x:v>
      </x:c>
      <x:c r="BQ286" s="14" t="str">
        <x:v>Medium</x:v>
      </x:c>
      <x:c r="BR286" s="15" t="n">
        <x:v>1</x:v>
      </x:c>
      <x:c r="BS286" s="16" t="n">
        <x:v>0.08333333333333333</x:v>
      </x:c>
      <x:c r="BT286" s="14" t="str">
        <x:v>One episode</x:v>
      </x:c>
      <x:c r="BU286" s="14" t="str">
        <x:v>Medium</x:v>
      </x:c>
      <x:c r="BV286" s="14" t="str">
        <x:v>Derived from supplied IMDb episode count and the documented production-total proxy.</x:v>
      </x:c>
      <x:c r="BW286" s="14" t="str">
        <x:v>Unable to determine</x:v>
      </x:c>
      <x:c r="BX286" s="14" t="str">
        <x:v>Supplied cast data establishes the credit and episode presence but does not establish narrative prominence.</x:v>
      </x:c>
      <x:c r="BY286" s="14" t="str">
        <x:v>Supplied IMDb cast-list workbook</x:v>
      </x:c>
      <x:c r="BZ286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tt13643704|nm3414097|nila harijan</x:v>
      </x:c>
      <x:c r="B287" s="14" t="str">
        <x:v>01</x:v>
      </x:c>
      <x:c r="C287" s="14" t="str">
        <x:v>2021_IMDb_Cast_Lists_Batch_01(1).xlsx</x:v>
      </x:c>
      <x:c r="D287" s="14" t="str">
        <x:v>Annika</x:v>
      </x:c>
      <x:c r="E287" s="14" t="n">
        <x:v>114</x:v>
      </x:c>
      <x:c r="F287" s="14" t="str">
        <x:v>Annika</x:v>
      </x:c>
      <x:c r="G287" s="14" t="str">
        <x:v>tt13643704</x:v>
      </x:c>
      <x:c r="H287" s="14" t="n">
        <x:v>2021</x:v>
      </x:c>
      <x:c r="I287" s="14" t="n">
        <x:v>2023</x:v>
      </x:c>
      <x:c r="J287" s="14" t="str">
        <x:v>Earlier-Production Carry-In Cohort</x:v>
      </x:c>
      <x:c r="K287" s="14" t="n">
        <x:v>2021</x:v>
      </x:c>
      <x:c r="L287" s="14" t="str">
        <x:v>Used in 2023 annual analysis</x:v>
      </x:c>
      <x:c r="M287" s="15" t="n">
        <x:v>107</x:v>
      </x:c>
      <x:c r="N287" s="14" t="str">
        <x:v>Liz Jadav</x:v>
      </x:c>
      <x:c r="O287" s="14" t="str">
        <x:v>nm3414097</x:v>
      </x:c>
      <x:c r="P287" s="14" t="str">
        <x:v>Nila Harijan</x:v>
      </x:c>
      <x:c r="Q287" s="15" t="n">
        <x:v>1</x:v>
      </x:c>
      <x:c r="R287" s="14" t="str">
        <x:v>2023</x:v>
      </x:c>
      <x:c r="S287" s="14" t="n">
        <x:v>2023</x:v>
      </x:c>
      <x:c r="T287" s="14" t="n">
        <x:v>2023</x:v>
      </x:c>
      <x:c r="U287" s="14" t="str">
        <x:v>Post-2021 casting excluded</x:v>
      </x:c>
      <x:c r="V287" s="14" t="str">
        <x:v>Earliest supplied year is 2023, later than the 2021 study year.</x:v>
      </x:c>
      <x:c r="W287" s="14"/>
      <x:c r="X287" s="14" t="str">
        <x:v>Included</x:v>
      </x:c>
      <x:c r="Y287" s="14"/>
      <x:c r="Z287" s="14" t="str">
        <x:v>Annika.docx</x:v>
      </x:c>
      <x:c r="AA28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BBC Studios / UKTV (U&amp;Alibi)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HYPERLINK("https://en.wikipedia.org/wiki/Annika","Open source")</x:f>
        <x:v>HYPERLINK is not implemented. linkLocation=https://en.wikipedia.org/wiki/Annika, friendlyName=Open source</x:v>
      </x:c>
      <x:c r="AN287" s="14" t="str">
        <x:v>BBC Studios production for another broadcaster</x:v>
      </x:c>
      <x:c r="AO287" s="14" t="str">
        <x:v>Yes</x:v>
      </x:c>
      <x:c r="AP287" s="14" t="str">
        <x:v>Wider BBC commercial-group context only</x:v>
      </x:c>
      <x:c r="AQ287" s="14" t="str">
        <x:v>Yes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eligible IMDb cast-credit total (12), shared by 4 performer(s); not independently verified as a 2021-only episode total.</x:v>
      </x:c>
      <x:c r="BQ287" s="14" t="str">
        <x:v>Medium</x:v>
      </x:c>
      <x:c r="BR287" s="15" t="n">
        <x:v>1</x:v>
      </x:c>
      <x:c r="BS287" s="16" t="n">
        <x:v>0.08333333333333333</x:v>
      </x:c>
      <x:c r="BT287" s="14" t="str">
        <x:v>One episode</x:v>
      </x:c>
      <x:c r="BU287" s="14" t="str">
        <x:v>Medium</x:v>
      </x:c>
      <x:c r="BV287" s="14" t="str">
        <x:v>Derived from supplied IMDb episode count and the documented production-total proxy.</x:v>
      </x:c>
      <x:c r="BW287" s="14" t="str">
        <x:v>Unable to determine</x:v>
      </x:c>
      <x:c r="BX287" s="14" t="str">
        <x:v>Supplied cast data establishes the credit and episode presence but does not establish narrative prominence.</x:v>
      </x:c>
      <x:c r="BY287" s="14" t="str">
        <x:v>Supplied IMDb cast-list workbook</x:v>
      </x:c>
      <x:c r="BZ287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tt13643704|nm1166914|jaden stanton</x:v>
      </x:c>
      <x:c r="B288" s="14" t="str">
        <x:v>01</x:v>
      </x:c>
      <x:c r="C288" s="14" t="str">
        <x:v>2021_IMDb_Cast_Lists_Batch_01(1).xlsx</x:v>
      </x:c>
      <x:c r="D288" s="14" t="str">
        <x:v>Annika</x:v>
      </x:c>
      <x:c r="E288" s="14" t="n">
        <x:v>115</x:v>
      </x:c>
      <x:c r="F288" s="14" t="str">
        <x:v>Annika</x:v>
      </x:c>
      <x:c r="G288" s="14" t="str">
        <x:v>tt13643704</x:v>
      </x:c>
      <x:c r="H288" s="14" t="n">
        <x:v>2021</x:v>
      </x:c>
      <x:c r="I288" s="14" t="n">
        <x:v>2023</x:v>
      </x:c>
      <x:c r="J288" s="14" t="str">
        <x:v>Earlier-Production Carry-In Cohort</x:v>
      </x:c>
      <x:c r="K288" s="14" t="n">
        <x:v>2021</x:v>
      </x:c>
      <x:c r="L288" s="14" t="str">
        <x:v>Used in 2023 annual analysis</x:v>
      </x:c>
      <x:c r="M288" s="15" t="n">
        <x:v>108</x:v>
      </x:c>
      <x:c r="N288" s="14" t="str">
        <x:v>Martin Pemberton</x:v>
      </x:c>
      <x:c r="O288" s="14" t="str">
        <x:v>nm1166914</x:v>
      </x:c>
      <x:c r="P288" s="14" t="str">
        <x:v>Jaden Stanton</x:v>
      </x:c>
      <x:c r="Q288" s="15" t="n">
        <x:v>1</x:v>
      </x:c>
      <x:c r="R288" s="14" t="str">
        <x:v>2023</x:v>
      </x:c>
      <x:c r="S288" s="14" t="n">
        <x:v>2023</x:v>
      </x:c>
      <x:c r="T288" s="14" t="n">
        <x:v>2023</x:v>
      </x:c>
      <x:c r="U288" s="14" t="str">
        <x:v>Post-2021 casting excluded</x:v>
      </x:c>
      <x:c r="V288" s="14" t="str">
        <x:v>Earliest supplied year is 2023, later than the 2021 study year.</x:v>
      </x:c>
      <x:c r="W288" s="14"/>
      <x:c r="X288" s="14" t="str">
        <x:v>Included</x:v>
      </x:c>
      <x:c r="Y288" s="14"/>
      <x:c r="Z288" s="14" t="str">
        <x:v>Annika.docx</x:v>
      </x:c>
      <x:c r="AA28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BBC Studios / UKTV (U&amp;Alibi)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HYPERLINK("https://en.wikipedia.org/wiki/Annika","Open source")</x:f>
        <x:v>HYPERLINK is not implemented. linkLocation=https://en.wikipedia.org/wiki/Annika, friendlyName=Open source</x:v>
      </x:c>
      <x:c r="AN288" s="14" t="str">
        <x:v>BBC Studios production for another broadcaster</x:v>
      </x:c>
      <x:c r="AO288" s="14" t="str">
        <x:v>Yes</x:v>
      </x:c>
      <x:c r="AP288" s="14" t="str">
        <x:v>Wider BBC commercial-group context only</x:v>
      </x:c>
      <x:c r="AQ288" s="14" t="str">
        <x:v>Yes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eligible IMDb cast-credit total (12), shared by 4 performer(s); not independently verified as a 2021-only episode total.</x:v>
      </x:c>
      <x:c r="BQ288" s="14" t="str">
        <x:v>Medium</x:v>
      </x:c>
      <x:c r="BR288" s="15" t="n">
        <x:v>1</x:v>
      </x:c>
      <x:c r="BS288" s="16" t="n">
        <x:v>0.08333333333333333</x:v>
      </x:c>
      <x:c r="BT288" s="14" t="str">
        <x:v>One episode</x:v>
      </x:c>
      <x:c r="BU288" s="14" t="str">
        <x:v>Medium</x:v>
      </x:c>
      <x:c r="BV288" s="14" t="str">
        <x:v>Derived from supplied IMDb episode count and the documented production-total proxy.</x:v>
      </x:c>
      <x:c r="BW288" s="14" t="str">
        <x:v>Unable to determine</x:v>
      </x:c>
      <x:c r="BX288" s="14" t="str">
        <x:v>Supplied cast data establishes the credit and episode presence but does not establish narrative prominence.</x:v>
      </x:c>
      <x:c r="BY288" s="14" t="str">
        <x:v>Supplied IMDb cast-list workbook</x:v>
      </x:c>
      <x:c r="BZ288" s="17" t="e">
        <x:f>HYPERLINK("https://www.imdb.com/title/tt13643704/fullcredits/","Open source")</x:f>
        <x:v>HYPERLINK is not implemented. linkLocation=https://www.imdb.com/title/tt13643704/fullcredits/,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tt13125694|nm2382776|tom fordham</x:v>
      </x:c>
      <x:c r="B289" s="14" t="str">
        <x:v>01</x:v>
      </x:c>
      <x:c r="C289" s="14" t="str">
        <x:v>2021_IMDb_Cast_Lists_Batch_01(1).xlsx</x:v>
      </x:c>
      <x:c r="D289" s="14" t="str">
        <x:v>Before We Die</x:v>
      </x:c>
      <x:c r="E289" s="14" t="n">
        <x:v>22</x:v>
      </x:c>
      <x:c r="F289" s="14" t="str">
        <x:v>Before We Die</x:v>
      </x:c>
      <x:c r="G289" s="14" t="str">
        <x:v>tt13125694</x:v>
      </x:c>
      <x:c r="H289" s="14" t="n">
        <x:v>2021</x:v>
      </x:c>
      <x:c r="I289" s="14" t="n">
        <x:v>2023</x:v>
      </x:c>
      <x:c r="J289" s="14" t="str">
        <x:v>Earlier-Production Carry-In Cohort</x:v>
      </x:c>
      <x:c r="K289" s="14" t="n">
        <x:v>2021</x:v>
      </x:c>
      <x:c r="L289" s="14" t="str">
        <x:v>Used in 2023 annual analysis</x:v>
      </x:c>
      <x:c r="M289" s="15" t="n">
        <x:v>15</x:v>
      </x:c>
      <x:c r="N289" s="14" t="str">
        <x:v>Yuri D. Brown</x:v>
      </x:c>
      <x:c r="O289" s="14" t="str">
        <x:v>nm2382776</x:v>
      </x:c>
      <x:c r="P289" s="14" t="str">
        <x:v>Tom Fordham</x:v>
      </x:c>
      <x:c r="Q289" s="15" t="n">
        <x:v>5</x:v>
      </x:c>
      <x:c r="R289" s="14" t="str">
        <x:v>2023</x:v>
      </x:c>
      <x:c r="S289" s="14" t="n">
        <x:v>2023</x:v>
      </x:c>
      <x:c r="T289" s="14" t="n">
        <x:v>2023</x:v>
      </x:c>
      <x:c r="U289" s="14" t="str">
        <x:v>Post-2021 casting excluded</x:v>
      </x:c>
      <x:c r="V289" s="14" t="str">
        <x:v>Earliest supplied year is 2023, later than the 2021 study year.</x:v>
      </x:c>
      <x:c r="W289" s="14"/>
      <x:c r="X289" s="14" t="str">
        <x:v>Included</x:v>
      </x:c>
      <x:c r="Y289" s="14"/>
      <x:c r="Z289" s="14" t="str">
        <x:v>Before We Die.docx</x:v>
      </x:c>
      <x:c r="AA28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4 / E4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HYPERLINK("https://en.wikipedia.org/wiki/Before_We_Die","Open source")</x:f>
        <x:v>HYPERLINK is not implemented. linkLocation=https://en.wikipedia.org/wiki/Before_We_Die,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11</x:v>
      </x:c>
      <x:c r="BP289" s="14" t="str">
        <x:v>Maximum eligible IMDb cast-credit total (11), shared by 5 performer(s); not independently verified as a 2021-only episode total.</x:v>
      </x:c>
      <x:c r="BQ289" s="14" t="str">
        <x:v>Medium</x:v>
      </x:c>
      <x:c r="BR289" s="15" t="n">
        <x:v>5</x:v>
      </x:c>
      <x:c r="BS289" s="16" t="n">
        <x:v>0.4545454545454545</x:v>
      </x:c>
      <x:c r="BT289" s="14" t="str">
        <x:v>Minority of episodes</x:v>
      </x:c>
      <x:c r="BU289" s="14" t="str">
        <x:v>Medium</x:v>
      </x:c>
      <x:c r="BV289" s="14" t="str">
        <x:v>Derived from supplied IMDb episode count and the documented production-total proxy.</x:v>
      </x:c>
      <x:c r="BW289" s="14" t="str">
        <x:v>Unable to determine</x:v>
      </x:c>
      <x:c r="BX289" s="14" t="str">
        <x:v>Supplied cast data establishes the credit and episode presence but does not establish narrative prominence.</x:v>
      </x:c>
      <x:c r="BY289" s="14" t="str">
        <x:v>Supplied IMDb cast-list workbook</x:v>
      </x:c>
      <x:c r="BZ28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tt13125694|nm0252936|dci nicky harris</x:v>
      </x:c>
      <x:c r="B290" s="14" t="str">
        <x:v>01</x:v>
      </x:c>
      <x:c r="C290" s="14" t="str">
        <x:v>2021_IMDb_Cast_Lists_Batch_01(1).xlsx</x:v>
      </x:c>
      <x:c r="D290" s="14" t="str">
        <x:v>Before We Die</x:v>
      </x:c>
      <x:c r="E290" s="14" t="n">
        <x:v>23</x:v>
      </x:c>
      <x:c r="F290" s="14" t="str">
        <x:v>Before We Die</x:v>
      </x:c>
      <x:c r="G290" s="14" t="str">
        <x:v>tt13125694</x:v>
      </x:c>
      <x:c r="H290" s="14" t="n">
        <x:v>2021</x:v>
      </x:c>
      <x:c r="I290" s="14" t="n">
        <x:v>2023</x:v>
      </x:c>
      <x:c r="J290" s="14" t="str">
        <x:v>Earlier-Production Carry-In Cohort</x:v>
      </x:c>
      <x:c r="K290" s="14" t="n">
        <x:v>2021</x:v>
      </x:c>
      <x:c r="L290" s="14" t="str">
        <x:v>Used in 2023 annual analysis</x:v>
      </x:c>
      <x:c r="M290" s="15" t="n">
        <x:v>16</x:v>
      </x:c>
      <x:c r="N290" s="14" t="str">
        <x:v>Priyanga Burford</x:v>
      </x:c>
      <x:c r="O290" s="14" t="str">
        <x:v>nm0252936</x:v>
      </x:c>
      <x:c r="P290" s="14" t="str">
        <x:v>DCI Nicky Harris</x:v>
      </x:c>
      <x:c r="Q290" s="15" t="n">
        <x:v>5</x:v>
      </x:c>
      <x:c r="R290" s="14" t="str">
        <x:v>2023</x:v>
      </x:c>
      <x:c r="S290" s="14" t="n">
        <x:v>2023</x:v>
      </x:c>
      <x:c r="T290" s="14" t="n">
        <x:v>2023</x:v>
      </x:c>
      <x:c r="U290" s="14" t="str">
        <x:v>Post-2021 casting excluded</x:v>
      </x:c>
      <x:c r="V290" s="14" t="str">
        <x:v>Earliest supplied year is 2023, later than the 2021 study year.</x:v>
      </x:c>
      <x:c r="W290" s="14"/>
      <x:c r="X290" s="14" t="str">
        <x:v>Included</x:v>
      </x:c>
      <x:c r="Y290" s="14"/>
      <x:c r="Z290" s="14" t="str">
        <x:v>Before We Die.docx</x:v>
      </x:c>
      <x:c r="AA29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4 / E4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7" t="e">
        <x:f>HYPERLINK("https://en.wikipedia.org/wiki/Before_We_Die","Open source")</x:f>
        <x:v>HYPERLINK is not implemented. linkLocation=https://en.wikipedia.org/wiki/Before_We_Die,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11</x:v>
      </x:c>
      <x:c r="BP290" s="14" t="str">
        <x:v>Maximum eligible IMDb cast-credit total (11), shared by 5 performer(s); not independently verified as a 2021-only episode total.</x:v>
      </x:c>
      <x:c r="BQ290" s="14" t="str">
        <x:v>Medium</x:v>
      </x:c>
      <x:c r="BR290" s="15" t="n">
        <x:v>5</x:v>
      </x:c>
      <x:c r="BS290" s="16" t="n">
        <x:v>0.4545454545454545</x:v>
      </x:c>
      <x:c r="BT290" s="14" t="str">
        <x:v>Minority of episodes</x:v>
      </x:c>
      <x:c r="BU290" s="14" t="str">
        <x:v>Medium</x:v>
      </x:c>
      <x:c r="BV290" s="14" t="str">
        <x:v>Derived from supplied IMDb episode count and the documented production-total proxy.</x:v>
      </x:c>
      <x:c r="BW290" s="14" t="str">
        <x:v>Unable to determine</x:v>
      </x:c>
      <x:c r="BX290" s="14" t="str">
        <x:v>Supplied cast data establishes the credit and episode presence but does not establish narrative prominence.</x:v>
      </x:c>
      <x:c r="BY290" s="14" t="str">
        <x:v>Supplied IMDb cast-list workbook</x:v>
      </x:c>
      <x:c r="BZ29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tt13125694|nm5956436|goran</x:v>
      </x:c>
      <x:c r="B291" s="14" t="str">
        <x:v>01</x:v>
      </x:c>
      <x:c r="C291" s="14" t="str">
        <x:v>2021_IMDb_Cast_Lists_Batch_01(1).xlsx</x:v>
      </x:c>
      <x:c r="D291" s="14" t="str">
        <x:v>Before We Die</x:v>
      </x:c>
      <x:c r="E291" s="14" t="n">
        <x:v>24</x:v>
      </x:c>
      <x:c r="F291" s="14" t="str">
        <x:v>Before We Die</x:v>
      </x:c>
      <x:c r="G291" s="14" t="str">
        <x:v>tt13125694</x:v>
      </x:c>
      <x:c r="H291" s="14" t="n">
        <x:v>2021</x:v>
      </x:c>
      <x:c r="I291" s="14" t="n">
        <x:v>2023</x:v>
      </x:c>
      <x:c r="J291" s="14" t="str">
        <x:v>Earlier-Production Carry-In Cohort</x:v>
      </x:c>
      <x:c r="K291" s="14" t="n">
        <x:v>2021</x:v>
      </x:c>
      <x:c r="L291" s="14" t="str">
        <x:v>Used in 2023 annual analysis</x:v>
      </x:c>
      <x:c r="M291" s="15" t="n">
        <x:v>17</x:v>
      </x:c>
      <x:c r="N291" s="14" t="str">
        <x:v>Mark Strepan</x:v>
      </x:c>
      <x:c r="O291" s="14" t="str">
        <x:v>nm5956436</x:v>
      </x:c>
      <x:c r="P291" s="14" t="str">
        <x:v>Goran</x:v>
      </x:c>
      <x:c r="Q291" s="15" t="n">
        <x:v>5</x:v>
      </x:c>
      <x:c r="R291" s="14" t="str">
        <x:v>2023</x:v>
      </x:c>
      <x:c r="S291" s="14" t="n">
        <x:v>2023</x:v>
      </x:c>
      <x:c r="T291" s="14" t="n">
        <x:v>2023</x:v>
      </x:c>
      <x:c r="U291" s="14" t="str">
        <x:v>Post-2021 casting excluded</x:v>
      </x:c>
      <x:c r="V291" s="14" t="str">
        <x:v>Earliest supplied year is 2023, later than the 2021 study year.</x:v>
      </x:c>
      <x:c r="W291" s="14"/>
      <x:c r="X291" s="14" t="str">
        <x:v>Included</x:v>
      </x:c>
      <x:c r="Y291" s="14"/>
      <x:c r="Z291" s="14" t="str">
        <x:v>Before We Die.docx</x:v>
      </x:c>
      <x:c r="AA29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4 / E4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7" t="e">
        <x:f>HYPERLINK("https://en.wikipedia.org/wiki/Before_We_Die","Open source")</x:f>
        <x:v>HYPERLINK is not implemented. linkLocation=https://en.wikipedia.org/wiki/Before_We_Die,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11</x:v>
      </x:c>
      <x:c r="BP291" s="14" t="str">
        <x:v>Maximum eligible IMDb cast-credit total (11), shared by 5 performer(s); not independently verified as a 2021-only episode total.</x:v>
      </x:c>
      <x:c r="BQ291" s="14" t="str">
        <x:v>Medium</x:v>
      </x:c>
      <x:c r="BR291" s="15" t="n">
        <x:v>5</x:v>
      </x:c>
      <x:c r="BS291" s="16" t="n">
        <x:v>0.4545454545454545</x:v>
      </x:c>
      <x:c r="BT291" s="14" t="str">
        <x:v>Minority of episodes</x:v>
      </x:c>
      <x:c r="BU291" s="14" t="str">
        <x:v>Medium</x:v>
      </x:c>
      <x:c r="BV291" s="14" t="str">
        <x:v>Derived from supplied IMDb episode count and the documented production-total proxy.</x:v>
      </x:c>
      <x:c r="BW291" s="14" t="str">
        <x:v>Unable to determine</x:v>
      </x:c>
      <x:c r="BX291" s="14" t="str">
        <x:v>Supplied cast data establishes the credit and episode presence but does not establish narrative prominence.</x:v>
      </x:c>
      <x:c r="BY291" s="14" t="str">
        <x:v>Supplied IMDb cast-list workbook</x:v>
      </x:c>
      <x:c r="BZ29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tt13125694|nm7079522|luka</x:v>
      </x:c>
      <x:c r="B292" s="14" t="str">
        <x:v>01</x:v>
      </x:c>
      <x:c r="C292" s="14" t="str">
        <x:v>2021_IMDb_Cast_Lists_Batch_01(1).xlsx</x:v>
      </x:c>
      <x:c r="D292" s="14" t="str">
        <x:v>Before We Die</x:v>
      </x:c>
      <x:c r="E292" s="14" t="n">
        <x:v>25</x:v>
      </x:c>
      <x:c r="F292" s="14" t="str">
        <x:v>Before We Die</x:v>
      </x:c>
      <x:c r="G292" s="14" t="str">
        <x:v>tt13125694</x:v>
      </x:c>
      <x:c r="H292" s="14" t="n">
        <x:v>2021</x:v>
      </x:c>
      <x:c r="I292" s="14" t="n">
        <x:v>2023</x:v>
      </x:c>
      <x:c r="J292" s="14" t="str">
        <x:v>Earlier-Production Carry-In Cohort</x:v>
      </x:c>
      <x:c r="K292" s="14" t="n">
        <x:v>2021</x:v>
      </x:c>
      <x:c r="L292" s="14" t="str">
        <x:v>Used in 2023 annual analysis</x:v>
      </x:c>
      <x:c r="M292" s="15" t="n">
        <x:v>18</x:v>
      </x:c>
      <x:c r="N292" s="14" t="str">
        <x:v>Mike Imbierowicz</x:v>
      </x:c>
      <x:c r="O292" s="14" t="str">
        <x:v>nm7079522</x:v>
      </x:c>
      <x:c r="P292" s="14" t="str">
        <x:v>Luka</x:v>
      </x:c>
      <x:c r="Q292" s="15" t="n">
        <x:v>5</x:v>
      </x:c>
      <x:c r="R292" s="14" t="str">
        <x:v>2023</x:v>
      </x:c>
      <x:c r="S292" s="14" t="n">
        <x:v>2023</x:v>
      </x:c>
      <x:c r="T292" s="14" t="n">
        <x:v>2023</x:v>
      </x:c>
      <x:c r="U292" s="14" t="str">
        <x:v>Post-2021 casting excluded</x:v>
      </x:c>
      <x:c r="V292" s="14" t="str">
        <x:v>Earliest supplied year is 2023, later than the 2021 study year.</x:v>
      </x:c>
      <x:c r="W292" s="14"/>
      <x:c r="X292" s="14" t="str">
        <x:v>Included</x:v>
      </x:c>
      <x:c r="Y292" s="14"/>
      <x:c r="Z292" s="14" t="str">
        <x:v>Before We Die.docx</x:v>
      </x:c>
      <x:c r="AA29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4 / E4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7" t="e">
        <x:f>HYPERLINK("https://en.wikipedia.org/wiki/Before_We_Die","Open source")</x:f>
        <x:v>HYPERLINK is not implemented. linkLocation=https://en.wikipedia.org/wiki/Before_We_Die,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11</x:v>
      </x:c>
      <x:c r="BP292" s="14" t="str">
        <x:v>Maximum eligible IMDb cast-credit total (11), shared by 5 performer(s); not independently verified as a 2021-only episode total.</x:v>
      </x:c>
      <x:c r="BQ292" s="14" t="str">
        <x:v>Medium</x:v>
      </x:c>
      <x:c r="BR292" s="15" t="n">
        <x:v>5</x:v>
      </x:c>
      <x:c r="BS292" s="16" t="n">
        <x:v>0.4545454545454545</x:v>
      </x:c>
      <x:c r="BT292" s="14" t="str">
        <x:v>Minority of episodes</x:v>
      </x:c>
      <x:c r="BU292" s="14" t="str">
        <x:v>Medium</x:v>
      </x:c>
      <x:c r="BV292" s="14" t="str">
        <x:v>Derived from supplied IMDb episode count and the documented production-total proxy.</x:v>
      </x:c>
      <x:c r="BW292" s="14" t="str">
        <x:v>Unable to determine</x:v>
      </x:c>
      <x:c r="BX292" s="14" t="str">
        <x:v>Supplied cast data establishes the credit and episode presence but does not establish narrative prominence.</x:v>
      </x:c>
      <x:c r="BY292" s="14" t="str">
        <x:v>Supplied IMDb cast-list workbook</x:v>
      </x:c>
      <x:c r="BZ29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tt13125694|nm3745847|tanya</x:v>
      </x:c>
      <x:c r="B293" s="14" t="str">
        <x:v>01</x:v>
      </x:c>
      <x:c r="C293" s="14" t="str">
        <x:v>2021_IMDb_Cast_Lists_Batch_01(1).xlsx</x:v>
      </x:c>
      <x:c r="D293" s="14" t="str">
        <x:v>Before We Die</x:v>
      </x:c>
      <x:c r="E293" s="14" t="n">
        <x:v>39</x:v>
      </x:c>
      <x:c r="F293" s="14" t="str">
        <x:v>Before We Die</x:v>
      </x:c>
      <x:c r="G293" s="14" t="str">
        <x:v>tt13125694</x:v>
      </x:c>
      <x:c r="H293" s="14" t="n">
        <x:v>2021</x:v>
      </x:c>
      <x:c r="I293" s="14" t="n">
        <x:v>2023</x:v>
      </x:c>
      <x:c r="J293" s="14" t="str">
        <x:v>Earlier-Production Carry-In Cohort</x:v>
      </x:c>
      <x:c r="K293" s="14" t="n">
        <x:v>2021</x:v>
      </x:c>
      <x:c r="L293" s="14" t="str">
        <x:v>Used in 2023 annual analysis</x:v>
      </x:c>
      <x:c r="M293" s="15" t="n">
        <x:v>32</x:v>
      </x:c>
      <x:c r="N293" s="14" t="str">
        <x:v>Christine Verheyden</x:v>
      </x:c>
      <x:c r="O293" s="14" t="str">
        <x:v>nm3745847</x:v>
      </x:c>
      <x:c r="P293" s="14" t="str">
        <x:v>Tanya</x:v>
      </x:c>
      <x:c r="Q293" s="15" t="n">
        <x:v>2</x:v>
      </x:c>
      <x:c r="R293" s="14" t="str">
        <x:v>2023</x:v>
      </x:c>
      <x:c r="S293" s="14" t="n">
        <x:v>2023</x:v>
      </x:c>
      <x:c r="T293" s="14" t="n">
        <x:v>2023</x:v>
      </x:c>
      <x:c r="U293" s="14" t="str">
        <x:v>Post-2021 casting excluded</x:v>
      </x:c>
      <x:c r="V293" s="14" t="str">
        <x:v>Earliest supplied year is 2023, later than the 2021 study year.</x:v>
      </x:c>
      <x:c r="W293" s="14"/>
      <x:c r="X293" s="14" t="str">
        <x:v>Included</x:v>
      </x:c>
      <x:c r="Y293" s="14"/>
      <x:c r="Z293" s="14" t="str">
        <x:v>Before We Die.docx</x:v>
      </x:c>
      <x:c r="AA29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4 / E4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7" t="e">
        <x:f>HYPERLINK("https://en.wikipedia.org/wiki/Before_We_Die","Open source")</x:f>
        <x:v>HYPERLINK is not implemented. linkLocation=https://en.wikipedia.org/wiki/Before_We_Die,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11</x:v>
      </x:c>
      <x:c r="BP293" s="14" t="str">
        <x:v>Maximum eligible IMDb cast-credit total (11), shared by 5 performer(s); not independently verified as a 2021-only episode total.</x:v>
      </x:c>
      <x:c r="BQ293" s="14" t="str">
        <x:v>Medium</x:v>
      </x:c>
      <x:c r="BR293" s="15" t="n">
        <x:v>2</x:v>
      </x:c>
      <x:c r="BS293" s="16" t="n">
        <x:v>0.1818181818181818</x:v>
      </x:c>
      <x:c r="BT293" s="14" t="str">
        <x:v>Minority of episodes</x:v>
      </x:c>
      <x:c r="BU293" s="14" t="str">
        <x:v>Medium</x:v>
      </x:c>
      <x:c r="BV293" s="14" t="str">
        <x:v>Derived from supplied IMDb episode count and the documented production-total proxy.</x:v>
      </x:c>
      <x:c r="BW293" s="14" t="str">
        <x:v>Unable to determine</x:v>
      </x:c>
      <x:c r="BX293" s="14" t="str">
        <x:v>Supplied cast data establishes the credit and episode presence but does not establish narrative prominence.</x:v>
      </x:c>
      <x:c r="BY293" s="14" t="str">
        <x:v>Supplied IMDb cast-list workbook</x:v>
      </x:c>
      <x:c r="BZ29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tt13125694|nm2375622|domingo (stuntman)</x:v>
      </x:c>
      <x:c r="B294" s="14" t="str">
        <x:v>01</x:v>
      </x:c>
      <x:c r="C294" s="14" t="str">
        <x:v>2021_IMDb_Cast_Lists_Batch_01(1).xlsx</x:v>
      </x:c>
      <x:c r="D294" s="14" t="str">
        <x:v>Before We Die</x:v>
      </x:c>
      <x:c r="E294" s="14" t="n">
        <x:v>40</x:v>
      </x:c>
      <x:c r="F294" s="14" t="str">
        <x:v>Before We Die</x:v>
      </x:c>
      <x:c r="G294" s="14" t="str">
        <x:v>tt13125694</x:v>
      </x:c>
      <x:c r="H294" s="14" t="n">
        <x:v>2021</x:v>
      </x:c>
      <x:c r="I294" s="14" t="n">
        <x:v>2023</x:v>
      </x:c>
      <x:c r="J294" s="14" t="str">
        <x:v>Earlier-Production Carry-In Cohort</x:v>
      </x:c>
      <x:c r="K294" s="14" t="n">
        <x:v>2021</x:v>
      </x:c>
      <x:c r="L294" s="14" t="str">
        <x:v>Used in 2023 annual analysis</x:v>
      </x:c>
      <x:c r="M294" s="15" t="n">
        <x:v>33</x:v>
      </x:c>
      <x:c r="N294" s="14" t="str">
        <x:v>Sergio Macías</x:v>
      </x:c>
      <x:c r="O294" s="14" t="str">
        <x:v>nm2375622</x:v>
      </x:c>
      <x:c r="P294" s="14" t="str">
        <x:v>Domingo (Stuntman)</x:v>
      </x:c>
      <x:c r="Q294" s="15" t="n">
        <x:v>2</x:v>
      </x:c>
      <x:c r="R294" s="14" t="str">
        <x:v>2023</x:v>
      </x:c>
      <x:c r="S294" s="14" t="n">
        <x:v>2023</x:v>
      </x:c>
      <x:c r="T294" s="14" t="n">
        <x:v>2023</x:v>
      </x:c>
      <x:c r="U294" s="14" t="str">
        <x:v>Post-2021 casting excluded</x:v>
      </x:c>
      <x:c r="V294" s="14" t="str">
        <x:v>Earliest supplied year is 2023, later than the 2021 study year.</x:v>
      </x:c>
      <x:c r="W294" s="14"/>
      <x:c r="X294" s="14" t="str">
        <x:v>Included</x:v>
      </x:c>
      <x:c r="Y294" s="14"/>
      <x:c r="Z294" s="14" t="str">
        <x:v>Before We Die.docx</x:v>
      </x:c>
      <x:c r="AA29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4 / E4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7" t="e">
        <x:f>HYPERLINK("https://en.wikipedia.org/wiki/Before_We_Die","Open source")</x:f>
        <x:v>HYPERLINK is not implemented. linkLocation=https://en.wikipedia.org/wiki/Before_We_Die,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11</x:v>
      </x:c>
      <x:c r="BP294" s="14" t="str">
        <x:v>Maximum eligible IMDb cast-credit total (11), shared by 5 performer(s); not independently verified as a 2021-only episode total.</x:v>
      </x:c>
      <x:c r="BQ294" s="14" t="str">
        <x:v>Medium</x:v>
      </x:c>
      <x:c r="BR294" s="15" t="n">
        <x:v>2</x:v>
      </x:c>
      <x:c r="BS294" s="16" t="n">
        <x:v>0.1818181818181818</x:v>
      </x:c>
      <x:c r="BT294" s="14" t="str">
        <x:v>Minority of episodes</x:v>
      </x:c>
      <x:c r="BU294" s="14" t="str">
        <x:v>Medium</x:v>
      </x:c>
      <x:c r="BV294" s="14" t="str">
        <x:v>Derived from supplied IMDb episode count and the documented production-total proxy.</x:v>
      </x:c>
      <x:c r="BW294" s="14" t="str">
        <x:v>Unable to determine</x:v>
      </x:c>
      <x:c r="BX294" s="14" t="str">
        <x:v>Supplied cast data establishes the credit and episode presence but does not establish narrative prominence.</x:v>
      </x:c>
      <x:c r="BY294" s="14" t="str">
        <x:v>Supplied IMDb cast-list workbook</x:v>
      </x:c>
      <x:c r="BZ29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tt13125694|nm14202447|luis</x:v>
      </x:c>
      <x:c r="B295" s="14" t="str">
        <x:v>01</x:v>
      </x:c>
      <x:c r="C295" s="14" t="str">
        <x:v>2021_IMDb_Cast_Lists_Batch_01(1).xlsx</x:v>
      </x:c>
      <x:c r="D295" s="14" t="str">
        <x:v>Before We Die</x:v>
      </x:c>
      <x:c r="E295" s="14" t="n">
        <x:v>41</x:v>
      </x:c>
      <x:c r="F295" s="14" t="str">
        <x:v>Before We Die</x:v>
      </x:c>
      <x:c r="G295" s="14" t="str">
        <x:v>tt13125694</x:v>
      </x:c>
      <x:c r="H295" s="14" t="n">
        <x:v>2021</x:v>
      </x:c>
      <x:c r="I295" s="14" t="n">
        <x:v>2023</x:v>
      </x:c>
      <x:c r="J295" s="14" t="str">
        <x:v>Earlier-Production Carry-In Cohort</x:v>
      </x:c>
      <x:c r="K295" s="14" t="n">
        <x:v>2021</x:v>
      </x:c>
      <x:c r="L295" s="14" t="str">
        <x:v>Used in 2023 annual analysis</x:v>
      </x:c>
      <x:c r="M295" s="15" t="n">
        <x:v>34</x:v>
      </x:c>
      <x:c r="N295" s="14" t="str">
        <x:v>Rodrigo Batlles</x:v>
      </x:c>
      <x:c r="O295" s="14" t="str">
        <x:v>nm14202447</x:v>
      </x:c>
      <x:c r="P295" s="14" t="str">
        <x:v>Luis</x:v>
      </x:c>
      <x:c r="Q295" s="15" t="n">
        <x:v>2</x:v>
      </x:c>
      <x:c r="R295" s="14" t="str">
        <x:v>2023</x:v>
      </x:c>
      <x:c r="S295" s="14" t="n">
        <x:v>2023</x:v>
      </x:c>
      <x:c r="T295" s="14" t="n">
        <x:v>2023</x:v>
      </x:c>
      <x:c r="U295" s="14" t="str">
        <x:v>Post-2021 casting excluded</x:v>
      </x:c>
      <x:c r="V295" s="14" t="str">
        <x:v>Earliest supplied year is 2023, later than the 2021 study year.</x:v>
      </x:c>
      <x:c r="W295" s="14"/>
      <x:c r="X295" s="14" t="str">
        <x:v>Included</x:v>
      </x:c>
      <x:c r="Y295" s="14"/>
      <x:c r="Z295" s="14" t="str">
        <x:v>Before We Die.docx</x:v>
      </x:c>
      <x:c r="AA29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4 / E4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7" t="e">
        <x:f>HYPERLINK("https://en.wikipedia.org/wiki/Before_We_Die","Open source")</x:f>
        <x:v>HYPERLINK is not implemented. linkLocation=https://en.wikipedia.org/wiki/Before_We_Die,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11</x:v>
      </x:c>
      <x:c r="BP295" s="14" t="str">
        <x:v>Maximum eligible IMDb cast-credit total (11), shared by 5 performer(s); not independently verified as a 2021-only episode total.</x:v>
      </x:c>
      <x:c r="BQ295" s="14" t="str">
        <x:v>Medium</x:v>
      </x:c>
      <x:c r="BR295" s="15" t="n">
        <x:v>2</x:v>
      </x:c>
      <x:c r="BS295" s="16" t="n">
        <x:v>0.1818181818181818</x:v>
      </x:c>
      <x:c r="BT295" s="14" t="str">
        <x:v>Minority of episodes</x:v>
      </x:c>
      <x:c r="BU295" s="14" t="str">
        <x:v>Medium</x:v>
      </x:c>
      <x:c r="BV295" s="14" t="str">
        <x:v>Derived from supplied IMDb episode count and the documented production-total proxy.</x:v>
      </x:c>
      <x:c r="BW295" s="14" t="str">
        <x:v>Unable to determine</x:v>
      </x:c>
      <x:c r="BX295" s="14" t="str">
        <x:v>Supplied cast data establishes the credit and episode presence but does not establish narrative prominence.</x:v>
      </x:c>
      <x:c r="BY295" s="14" t="str">
        <x:v>Supplied IMDb cast-list workbook</x:v>
      </x:c>
      <x:c r="BZ29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tt13125694|nm14202449|head waiter in vino mondana</x:v>
      </x:c>
      <x:c r="B296" s="14" t="str">
        <x:v>01</x:v>
      </x:c>
      <x:c r="C296" s="14" t="str">
        <x:v>2021_IMDb_Cast_Lists_Batch_01(1).xlsx</x:v>
      </x:c>
      <x:c r="D296" s="14" t="str">
        <x:v>Before We Die</x:v>
      </x:c>
      <x:c r="E296" s="14" t="n">
        <x:v>42</x:v>
      </x:c>
      <x:c r="F296" s="14" t="str">
        <x:v>Before We Die</x:v>
      </x:c>
      <x:c r="G296" s="14" t="str">
        <x:v>tt13125694</x:v>
      </x:c>
      <x:c r="H296" s="14" t="n">
        <x:v>2021</x:v>
      </x:c>
      <x:c r="I296" s="14" t="n">
        <x:v>2023</x:v>
      </x:c>
      <x:c r="J296" s="14" t="str">
        <x:v>Earlier-Production Carry-In Cohort</x:v>
      </x:c>
      <x:c r="K296" s="14" t="n">
        <x:v>2021</x:v>
      </x:c>
      <x:c r="L296" s="14" t="str">
        <x:v>Used in 2023 annual analysis</x:v>
      </x:c>
      <x:c r="M296" s="15" t="n">
        <x:v>35</x:v>
      </x:c>
      <x:c r="N296" s="14" t="str">
        <x:v>David Hoffman</x:v>
      </x:c>
      <x:c r="O296" s="14" t="str">
        <x:v>nm14202449</x:v>
      </x:c>
      <x:c r="P296" s="14" t="str">
        <x:v>Head Waiter in Vino Mondana</x:v>
      </x:c>
      <x:c r="Q296" s="15" t="n">
        <x:v>2</x:v>
      </x:c>
      <x:c r="R296" s="14" t="str">
        <x:v>2023</x:v>
      </x:c>
      <x:c r="S296" s="14" t="n">
        <x:v>2023</x:v>
      </x:c>
      <x:c r="T296" s="14" t="n">
        <x:v>2023</x:v>
      </x:c>
      <x:c r="U296" s="14" t="str">
        <x:v>Post-2021 casting excluded</x:v>
      </x:c>
      <x:c r="V296" s="14" t="str">
        <x:v>Earliest supplied year is 2023, later than the 2021 study year.</x:v>
      </x:c>
      <x:c r="W296" s="14"/>
      <x:c r="X296" s="14" t="str">
        <x:v>Included</x:v>
      </x:c>
      <x:c r="Y296" s="14"/>
      <x:c r="Z296" s="14" t="str">
        <x:v>Before We Die.docx</x:v>
      </x:c>
      <x:c r="AA29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4 / E4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7" t="e">
        <x:f>HYPERLINK("https://en.wikipedia.org/wiki/Before_We_Die","Open source")</x:f>
        <x:v>HYPERLINK is not implemented. linkLocation=https://en.wikipedia.org/wiki/Before_We_Die,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11</x:v>
      </x:c>
      <x:c r="BP296" s="14" t="str">
        <x:v>Maximum eligible IMDb cast-credit total (11), shared by 5 performer(s); not independently verified as a 2021-only episode total.</x:v>
      </x:c>
      <x:c r="BQ296" s="14" t="str">
        <x:v>Medium</x:v>
      </x:c>
      <x:c r="BR296" s="15" t="n">
        <x:v>2</x:v>
      </x:c>
      <x:c r="BS296" s="16" t="n">
        <x:v>0.1818181818181818</x:v>
      </x:c>
      <x:c r="BT296" s="14" t="str">
        <x:v>Minority of episodes</x:v>
      </x:c>
      <x:c r="BU296" s="14" t="str">
        <x:v>Medium</x:v>
      </x:c>
      <x:c r="BV296" s="14" t="str">
        <x:v>Derived from supplied IMDb episode count and the documented production-total proxy.</x:v>
      </x:c>
      <x:c r="BW296" s="14" t="str">
        <x:v>Unable to determine</x:v>
      </x:c>
      <x:c r="BX296" s="14" t="str">
        <x:v>Supplied cast data establishes the credit and episode presence but does not establish narrative prominence.</x:v>
      </x:c>
      <x:c r="BY296" s="14" t="str">
        <x:v>Supplied IMDb cast-list workbook</x:v>
      </x:c>
      <x:c r="BZ29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tt13125694|nm7972013|kieran crosby</x:v>
      </x:c>
      <x:c r="B297" s="14" t="str">
        <x:v>01</x:v>
      </x:c>
      <x:c r="C297" s="14" t="str">
        <x:v>2021_IMDb_Cast_Lists_Batch_01(1).xlsx</x:v>
      </x:c>
      <x:c r="D297" s="14" t="str">
        <x:v>Before We Die</x:v>
      </x:c>
      <x:c r="E297" s="14" t="n">
        <x:v>53</x:v>
      </x:c>
      <x:c r="F297" s="14" t="str">
        <x:v>Before We Die</x:v>
      </x:c>
      <x:c r="G297" s="14" t="str">
        <x:v>tt13125694</x:v>
      </x:c>
      <x:c r="H297" s="14" t="n">
        <x:v>2021</x:v>
      </x:c>
      <x:c r="I297" s="14" t="n">
        <x:v>2023</x:v>
      </x:c>
      <x:c r="J297" s="14" t="str">
        <x:v>Earlier-Production Carry-In Cohort</x:v>
      </x:c>
      <x:c r="K297" s="14" t="n">
        <x:v>2021</x:v>
      </x:c>
      <x:c r="L297" s="14" t="str">
        <x:v>Used in 2023 annual analysis</x:v>
      </x:c>
      <x:c r="M297" s="15" t="n">
        <x:v>46</x:v>
      </x:c>
      <x:c r="N297" s="14" t="str">
        <x:v>Christian Solimeno</x:v>
      </x:c>
      <x:c r="O297" s="14" t="str">
        <x:v>nm7972013</x:v>
      </x:c>
      <x:c r="P297" s="14" t="str">
        <x:v>Kieran Crosby</x:v>
      </x:c>
      <x:c r="Q297" s="15" t="n">
        <x:v>1</x:v>
      </x:c>
      <x:c r="R297" s="14" t="str">
        <x:v>2023</x:v>
      </x:c>
      <x:c r="S297" s="14" t="n">
        <x:v>2023</x:v>
      </x:c>
      <x:c r="T297" s="14" t="n">
        <x:v>2023</x:v>
      </x:c>
      <x:c r="U297" s="14" t="str">
        <x:v>Post-2021 casting excluded</x:v>
      </x:c>
      <x:c r="V297" s="14" t="str">
        <x:v>Earliest supplied year is 2023, later than the 2021 study year.</x:v>
      </x:c>
      <x:c r="W297" s="14"/>
      <x:c r="X297" s="14" t="str">
        <x:v>Included</x:v>
      </x:c>
      <x:c r="Y297" s="14"/>
      <x:c r="Z297" s="14" t="str">
        <x:v>Before We Die.docx</x:v>
      </x:c>
      <x:c r="AA297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4 / E4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7" t="e">
        <x:f>HYPERLINK("https://en.wikipedia.org/wiki/Before_We_Die","Open source")</x:f>
        <x:v>HYPERLINK is not implemented. linkLocation=https://en.wikipedia.org/wiki/Before_We_Die,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11</x:v>
      </x:c>
      <x:c r="BP297" s="14" t="str">
        <x:v>Maximum eligible IMDb cast-credit total (11), shared by 5 performer(s); not independently verified as a 2021-only episode total.</x:v>
      </x:c>
      <x:c r="BQ297" s="14" t="str">
        <x:v>Medium</x:v>
      </x:c>
      <x:c r="BR297" s="15" t="n">
        <x:v>1</x:v>
      </x:c>
      <x:c r="BS297" s="16" t="n">
        <x:v>0.09090909090909091</x:v>
      </x:c>
      <x:c r="BT297" s="14" t="str">
        <x:v>One episode</x:v>
      </x:c>
      <x:c r="BU297" s="14" t="str">
        <x:v>Medium</x:v>
      </x:c>
      <x:c r="BV297" s="14" t="str">
        <x:v>Derived from supplied IMDb episode count and the documented production-total proxy.</x:v>
      </x:c>
      <x:c r="BW297" s="14" t="str">
        <x:v>Unable to determine</x:v>
      </x:c>
      <x:c r="BX297" s="14" t="str">
        <x:v>Supplied cast data establishes the credit and episode presence but does not establish narrative prominence.</x:v>
      </x:c>
      <x:c r="BY297" s="14" t="str">
        <x:v>Supplied IMDb cast-list workbook</x:v>
      </x:c>
      <x:c r="BZ297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tt13125694|nm0431521|tompkins</x:v>
      </x:c>
      <x:c r="B298" s="14" t="str">
        <x:v>01</x:v>
      </x:c>
      <x:c r="C298" s="14" t="str">
        <x:v>2021_IMDb_Cast_Lists_Batch_01(1).xlsx</x:v>
      </x:c>
      <x:c r="D298" s="14" t="str">
        <x:v>Before We Die</x:v>
      </x:c>
      <x:c r="E298" s="14" t="n">
        <x:v>65</x:v>
      </x:c>
      <x:c r="F298" s="14" t="str">
        <x:v>Before We Die</x:v>
      </x:c>
      <x:c r="G298" s="14" t="str">
        <x:v>tt13125694</x:v>
      </x:c>
      <x:c r="H298" s="14" t="n">
        <x:v>2021</x:v>
      </x:c>
      <x:c r="I298" s="14" t="n">
        <x:v>2023</x:v>
      </x:c>
      <x:c r="J298" s="14" t="str">
        <x:v>Earlier-Production Carry-In Cohort</x:v>
      </x:c>
      <x:c r="K298" s="14" t="n">
        <x:v>2021</x:v>
      </x:c>
      <x:c r="L298" s="14" t="str">
        <x:v>Used in 2023 annual analysis</x:v>
      </x:c>
      <x:c r="M298" s="15" t="n">
        <x:v>58</x:v>
      </x:c>
      <x:c r="N298" s="14" t="str">
        <x:v>Emily Joyce</x:v>
      </x:c>
      <x:c r="O298" s="14" t="str">
        <x:v>nm0431521</x:v>
      </x:c>
      <x:c r="P298" s="14" t="str">
        <x:v>Tompkins</x:v>
      </x:c>
      <x:c r="Q298" s="15" t="n">
        <x:v>1</x:v>
      </x:c>
      <x:c r="R298" s="14" t="str">
        <x:v>2023</x:v>
      </x:c>
      <x:c r="S298" s="14" t="n">
        <x:v>2023</x:v>
      </x:c>
      <x:c r="T298" s="14" t="n">
        <x:v>2023</x:v>
      </x:c>
      <x:c r="U298" s="14" t="str">
        <x:v>Post-2021 casting excluded</x:v>
      </x:c>
      <x:c r="V298" s="14" t="str">
        <x:v>Earliest supplied year is 2023, later than the 2021 study year.</x:v>
      </x:c>
      <x:c r="W298" s="14"/>
      <x:c r="X298" s="14" t="str">
        <x:v>Included</x:v>
      </x:c>
      <x:c r="Y298" s="14"/>
      <x:c r="Z298" s="14" t="str">
        <x:v>Before We Die.docx</x:v>
      </x:c>
      <x:c r="AA298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4 / E4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7" t="e">
        <x:f>HYPERLINK("https://en.wikipedia.org/wiki/Before_We_Die","Open source")</x:f>
        <x:v>HYPERLINK is not implemented. linkLocation=https://en.wikipedia.org/wiki/Before_We_Die,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11</x:v>
      </x:c>
      <x:c r="BP298" s="14" t="str">
        <x:v>Maximum eligible IMDb cast-credit total (11), shared by 5 performer(s); not independently verified as a 2021-only episode total.</x:v>
      </x:c>
      <x:c r="BQ298" s="14" t="str">
        <x:v>Medium</x:v>
      </x:c>
      <x:c r="BR298" s="15" t="n">
        <x:v>1</x:v>
      </x:c>
      <x:c r="BS298" s="16" t="n">
        <x:v>0.09090909090909091</x:v>
      </x:c>
      <x:c r="BT298" s="14" t="str">
        <x:v>One episode</x:v>
      </x:c>
      <x:c r="BU298" s="14" t="str">
        <x:v>Medium</x:v>
      </x:c>
      <x:c r="BV298" s="14" t="str">
        <x:v>Derived from supplied IMDb episode count and the documented production-total proxy.</x:v>
      </x:c>
      <x:c r="BW298" s="14" t="str">
        <x:v>Unable to determine</x:v>
      </x:c>
      <x:c r="BX298" s="14" t="str">
        <x:v>Supplied cast data establishes the credit and episode presence but does not establish narrative prominence.</x:v>
      </x:c>
      <x:c r="BY298" s="14" t="str">
        <x:v>Supplied IMDb cast-list workbook</x:v>
      </x:c>
      <x:c r="BZ298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tt13125694|nm0725830|dr. sehwag</x:v>
      </x:c>
      <x:c r="B299" s="14" t="str">
        <x:v>01</x:v>
      </x:c>
      <x:c r="C299" s="14" t="str">
        <x:v>2021_IMDb_Cast_Lists_Batch_01(1).xlsx</x:v>
      </x:c>
      <x:c r="D299" s="14" t="str">
        <x:v>Before We Die</x:v>
      </x:c>
      <x:c r="E299" s="14" t="n">
        <x:v>66</x:v>
      </x:c>
      <x:c r="F299" s="14" t="str">
        <x:v>Before We Die</x:v>
      </x:c>
      <x:c r="G299" s="14" t="str">
        <x:v>tt13125694</x:v>
      </x:c>
      <x:c r="H299" s="14" t="n">
        <x:v>2021</x:v>
      </x:c>
      <x:c r="I299" s="14" t="n">
        <x:v>2023</x:v>
      </x:c>
      <x:c r="J299" s="14" t="str">
        <x:v>Earlier-Production Carry-In Cohort</x:v>
      </x:c>
      <x:c r="K299" s="14" t="n">
        <x:v>2021</x:v>
      </x:c>
      <x:c r="L299" s="14" t="str">
        <x:v>Used in 2023 annual analysis</x:v>
      </x:c>
      <x:c r="M299" s="15" t="n">
        <x:v>59</x:v>
      </x:c>
      <x:c r="N299" s="14" t="str">
        <x:v>Elizabeth Rider</x:v>
      </x:c>
      <x:c r="O299" s="14" t="str">
        <x:v>nm0725830</x:v>
      </x:c>
      <x:c r="P299" s="14" t="str">
        <x:v>Dr. Sehwag</x:v>
      </x:c>
      <x:c r="Q299" s="15" t="n">
        <x:v>1</x:v>
      </x:c>
      <x:c r="R299" s="14" t="str">
        <x:v>2023</x:v>
      </x:c>
      <x:c r="S299" s="14" t="n">
        <x:v>2023</x:v>
      </x:c>
      <x:c r="T299" s="14" t="n">
        <x:v>2023</x:v>
      </x:c>
      <x:c r="U299" s="14" t="str">
        <x:v>Post-2021 casting excluded</x:v>
      </x:c>
      <x:c r="V299" s="14" t="str">
        <x:v>Earliest supplied year is 2023, later than the 2021 study year.</x:v>
      </x:c>
      <x:c r="W299" s="14"/>
      <x:c r="X299" s="14" t="str">
        <x:v>Included</x:v>
      </x:c>
      <x:c r="Y299" s="14"/>
      <x:c r="Z299" s="14" t="str">
        <x:v>Before We Die.docx</x:v>
      </x:c>
      <x:c r="AA29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4 / E4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7" t="e">
        <x:f>HYPERLINK("https://en.wikipedia.org/wiki/Before_We_Die","Open source")</x:f>
        <x:v>HYPERLINK is not implemented. linkLocation=https://en.wikipedia.org/wiki/Before_We_Die,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11</x:v>
      </x:c>
      <x:c r="BP299" s="14" t="str">
        <x:v>Maximum eligible IMDb cast-credit total (11), shared by 5 performer(s); not independently verified as a 2021-only episode total.</x:v>
      </x:c>
      <x:c r="BQ299" s="14" t="str">
        <x:v>Medium</x:v>
      </x:c>
      <x:c r="BR299" s="15" t="n">
        <x:v>1</x:v>
      </x:c>
      <x:c r="BS299" s="16" t="n">
        <x:v>0.09090909090909091</x:v>
      </x:c>
      <x:c r="BT299" s="14" t="str">
        <x:v>One episode</x:v>
      </x:c>
      <x:c r="BU299" s="14" t="str">
        <x:v>Medium</x:v>
      </x:c>
      <x:c r="BV299" s="14" t="str">
        <x:v>Derived from supplied IMDb episode count and the documented production-total proxy.</x:v>
      </x:c>
      <x:c r="BW299" s="14" t="str">
        <x:v>Unable to determine</x:v>
      </x:c>
      <x:c r="BX299" s="14" t="str">
        <x:v>Supplied cast data establishes the credit and episode presence but does not establish narrative prominence.</x:v>
      </x:c>
      <x:c r="BY299" s="14" t="str">
        <x:v>Supplied IMDb cast-list workbook</x:v>
      </x:c>
      <x:c r="BZ29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tt13125694|nm1937932|sonographer</x:v>
      </x:c>
      <x:c r="B300" s="14" t="str">
        <x:v>01</x:v>
      </x:c>
      <x:c r="C300" s="14" t="str">
        <x:v>2021_IMDb_Cast_Lists_Batch_01(1).xlsx</x:v>
      </x:c>
      <x:c r="D300" s="14" t="str">
        <x:v>Before We Die</x:v>
      </x:c>
      <x:c r="E300" s="14" t="n">
        <x:v>67</x:v>
      </x:c>
      <x:c r="F300" s="14" t="str">
        <x:v>Before We Die</x:v>
      </x:c>
      <x:c r="G300" s="14" t="str">
        <x:v>tt13125694</x:v>
      </x:c>
      <x:c r="H300" s="14" t="n">
        <x:v>2021</x:v>
      </x:c>
      <x:c r="I300" s="14" t="n">
        <x:v>2023</x:v>
      </x:c>
      <x:c r="J300" s="14" t="str">
        <x:v>Earlier-Production Carry-In Cohort</x:v>
      </x:c>
      <x:c r="K300" s="14" t="n">
        <x:v>2021</x:v>
      </x:c>
      <x:c r="L300" s="14" t="str">
        <x:v>Used in 2023 annual analysis</x:v>
      </x:c>
      <x:c r="M300" s="15" t="n">
        <x:v>60</x:v>
      </x:c>
      <x:c r="N300" s="14" t="str">
        <x:v>Dorothea Myer-Bennett</x:v>
      </x:c>
      <x:c r="O300" s="14" t="str">
        <x:v>nm1937932</x:v>
      </x:c>
      <x:c r="P300" s="14" t="str">
        <x:v>Sonographer</x:v>
      </x:c>
      <x:c r="Q300" s="15" t="n">
        <x:v>1</x:v>
      </x:c>
      <x:c r="R300" s="14" t="str">
        <x:v>2023</x:v>
      </x:c>
      <x:c r="S300" s="14" t="n">
        <x:v>2023</x:v>
      </x:c>
      <x:c r="T300" s="14" t="n">
        <x:v>2023</x:v>
      </x:c>
      <x:c r="U300" s="14" t="str">
        <x:v>Post-2021 casting excluded</x:v>
      </x:c>
      <x:c r="V300" s="14" t="str">
        <x:v>Earliest supplied year is 2023, later than the 2021 study year.</x:v>
      </x:c>
      <x:c r="W300" s="14"/>
      <x:c r="X300" s="14" t="str">
        <x:v>Included</x:v>
      </x:c>
      <x:c r="Y300" s="14"/>
      <x:c r="Z300" s="14" t="str">
        <x:v>Before We Die.docx</x:v>
      </x:c>
      <x:c r="AA30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4 / E4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7" t="e">
        <x:f>HYPERLINK("https://en.wikipedia.org/wiki/Before_We_Die","Open source")</x:f>
        <x:v>HYPERLINK is not implemented. linkLocation=https://en.wikipedia.org/wiki/Before_We_Die,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11</x:v>
      </x:c>
      <x:c r="BP300" s="14" t="str">
        <x:v>Maximum eligible IMDb cast-credit total (11), shared by 5 performer(s); not independently verified as a 2021-only episode total.</x:v>
      </x:c>
      <x:c r="BQ300" s="14" t="str">
        <x:v>Medium</x:v>
      </x:c>
      <x:c r="BR300" s="15" t="n">
        <x:v>1</x:v>
      </x:c>
      <x:c r="BS300" s="16" t="n">
        <x:v>0.09090909090909091</x:v>
      </x:c>
      <x:c r="BT300" s="14" t="str">
        <x:v>One episode</x:v>
      </x:c>
      <x:c r="BU300" s="14" t="str">
        <x:v>Medium</x:v>
      </x:c>
      <x:c r="BV300" s="14" t="str">
        <x:v>Derived from supplied IMDb episode count and the documented production-total proxy.</x:v>
      </x:c>
      <x:c r="BW300" s="14" t="str">
        <x:v>Unable to determine</x:v>
      </x:c>
      <x:c r="BX300" s="14" t="str">
        <x:v>Supplied cast data establishes the credit and episode presence but does not establish narrative prominence.</x:v>
      </x:c>
      <x:c r="BY300" s="14" t="str">
        <x:v>Supplied IMDb cast-list workbook</x:v>
      </x:c>
      <x:c r="BZ30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tt13125694|nm0508085|heavyset man</x:v>
      </x:c>
      <x:c r="B301" s="14" t="str">
        <x:v>01</x:v>
      </x:c>
      <x:c r="C301" s="14" t="str">
        <x:v>2021_IMDb_Cast_Lists_Batch_01(1).xlsx</x:v>
      </x:c>
      <x:c r="D301" s="14" t="str">
        <x:v>Before We Die</x:v>
      </x:c>
      <x:c r="E301" s="14" t="n">
        <x:v>68</x:v>
      </x:c>
      <x:c r="F301" s="14" t="str">
        <x:v>Before We Die</x:v>
      </x:c>
      <x:c r="G301" s="14" t="str">
        <x:v>tt13125694</x:v>
      </x:c>
      <x:c r="H301" s="14" t="n">
        <x:v>2021</x:v>
      </x:c>
      <x:c r="I301" s="14" t="n">
        <x:v>2023</x:v>
      </x:c>
      <x:c r="J301" s="14" t="str">
        <x:v>Earlier-Production Carry-In Cohort</x:v>
      </x:c>
      <x:c r="K301" s="14" t="n">
        <x:v>2021</x:v>
      </x:c>
      <x:c r="L301" s="14" t="str">
        <x:v>Used in 2023 annual analysis</x:v>
      </x:c>
      <x:c r="M301" s="15" t="n">
        <x:v>61</x:v>
      </x:c>
      <x:c r="N301" s="14" t="str">
        <x:v>Johan Leysen</x:v>
      </x:c>
      <x:c r="O301" s="14" t="str">
        <x:v>nm0508085</x:v>
      </x:c>
      <x:c r="P301" s="14" t="str">
        <x:v>Heavyset Man</x:v>
      </x:c>
      <x:c r="Q301" s="15" t="n">
        <x:v>1</x:v>
      </x:c>
      <x:c r="R301" s="14" t="str">
        <x:v>2023</x:v>
      </x:c>
      <x:c r="S301" s="14" t="n">
        <x:v>2023</x:v>
      </x:c>
      <x:c r="T301" s="14" t="n">
        <x:v>2023</x:v>
      </x:c>
      <x:c r="U301" s="14" t="str">
        <x:v>Post-2021 casting excluded</x:v>
      </x:c>
      <x:c r="V301" s="14" t="str">
        <x:v>Earliest supplied year is 2023, later than the 2021 study year.</x:v>
      </x:c>
      <x:c r="W301" s="14"/>
      <x:c r="X301" s="14" t="str">
        <x:v>Included</x:v>
      </x:c>
      <x:c r="Y301" s="14"/>
      <x:c r="Z301" s="14" t="str">
        <x:v>Before We Die.docx</x:v>
      </x:c>
      <x:c r="AA30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4 / E4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7" t="e">
        <x:f>HYPERLINK("https://en.wikipedia.org/wiki/Before_We_Die","Open source")</x:f>
        <x:v>HYPERLINK is not implemented. linkLocation=https://en.wikipedia.org/wiki/Before_We_Die,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11</x:v>
      </x:c>
      <x:c r="BP301" s="14" t="str">
        <x:v>Maximum eligible IMDb cast-credit total (11), shared by 5 performer(s); not independently verified as a 2021-only episode total.</x:v>
      </x:c>
      <x:c r="BQ301" s="14" t="str">
        <x:v>Medium</x:v>
      </x:c>
      <x:c r="BR301" s="15" t="n">
        <x:v>1</x:v>
      </x:c>
      <x:c r="BS301" s="16" t="n">
        <x:v>0.09090909090909091</x:v>
      </x:c>
      <x:c r="BT301" s="14" t="str">
        <x:v>One episode</x:v>
      </x:c>
      <x:c r="BU301" s="14" t="str">
        <x:v>Medium</x:v>
      </x:c>
      <x:c r="BV301" s="14" t="str">
        <x:v>Derived from supplied IMDb episode count and the documented production-total proxy.</x:v>
      </x:c>
      <x:c r="BW301" s="14" t="str">
        <x:v>Unable to determine</x:v>
      </x:c>
      <x:c r="BX301" s="14" t="str">
        <x:v>Supplied cast data establishes the credit and episode presence but does not establish narrative prominence.</x:v>
      </x:c>
      <x:c r="BY301" s="14" t="str">
        <x:v>Supplied IMDb cast-list workbook</x:v>
      </x:c>
      <x:c r="BZ30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tt13125694|nm0302489|nurse maternity unit</x:v>
      </x:c>
      <x:c r="B302" s="14" t="str">
        <x:v>01</x:v>
      </x:c>
      <x:c r="C302" s="14" t="str">
        <x:v>2021_IMDb_Cast_Lists_Batch_01(1).xlsx</x:v>
      </x:c>
      <x:c r="D302" s="14" t="str">
        <x:v>Before We Die</x:v>
      </x:c>
      <x:c r="E302" s="14" t="n">
        <x:v>69</x:v>
      </x:c>
      <x:c r="F302" s="14" t="str">
        <x:v>Before We Die</x:v>
      </x:c>
      <x:c r="G302" s="14" t="str">
        <x:v>tt13125694</x:v>
      </x:c>
      <x:c r="H302" s="14" t="n">
        <x:v>2021</x:v>
      </x:c>
      <x:c r="I302" s="14" t="n">
        <x:v>2023</x:v>
      </x:c>
      <x:c r="J302" s="14" t="str">
        <x:v>Earlier-Production Carry-In Cohort</x:v>
      </x:c>
      <x:c r="K302" s="14" t="n">
        <x:v>2021</x:v>
      </x:c>
      <x:c r="L302" s="14" t="str">
        <x:v>Used in 2023 annual analysis</x:v>
      </x:c>
      <x:c r="M302" s="15" t="n">
        <x:v>62</x:v>
      </x:c>
      <x:c r="N302" s="14" t="str">
        <x:v>Sarah Gallagher</x:v>
      </x:c>
      <x:c r="O302" s="14" t="str">
        <x:v>nm0302489</x:v>
      </x:c>
      <x:c r="P302" s="14" t="str">
        <x:v>Nurse Maternity Unit</x:v>
      </x:c>
      <x:c r="Q302" s="15" t="n">
        <x:v>1</x:v>
      </x:c>
      <x:c r="R302" s="14" t="str">
        <x:v>2023</x:v>
      </x:c>
      <x:c r="S302" s="14" t="n">
        <x:v>2023</x:v>
      </x:c>
      <x:c r="T302" s="14" t="n">
        <x:v>2023</x:v>
      </x:c>
      <x:c r="U302" s="14" t="str">
        <x:v>Post-2021 casting excluded</x:v>
      </x:c>
      <x:c r="V302" s="14" t="str">
        <x:v>Earliest supplied year is 2023, later than the 2021 study year.</x:v>
      </x:c>
      <x:c r="W302" s="14"/>
      <x:c r="X302" s="14" t="str">
        <x:v>Included</x:v>
      </x:c>
      <x:c r="Y302" s="14"/>
      <x:c r="Z302" s="14" t="str">
        <x:v>Before We Die.docx</x:v>
      </x:c>
      <x:c r="AA30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4 / E4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7" t="e">
        <x:f>HYPERLINK("https://en.wikipedia.org/wiki/Before_We_Die","Open source")</x:f>
        <x:v>HYPERLINK is not implemented. linkLocation=https://en.wikipedia.org/wiki/Before_We_Die,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11</x:v>
      </x:c>
      <x:c r="BP302" s="14" t="str">
        <x:v>Maximum eligible IMDb cast-credit total (11), shared by 5 performer(s); not independently verified as a 2021-only episode total.</x:v>
      </x:c>
      <x:c r="BQ302" s="14" t="str">
        <x:v>Medium</x:v>
      </x:c>
      <x:c r="BR302" s="15" t="n">
        <x:v>1</x:v>
      </x:c>
      <x:c r="BS302" s="16" t="n">
        <x:v>0.09090909090909091</x:v>
      </x:c>
      <x:c r="BT302" s="14" t="str">
        <x:v>One episode</x:v>
      </x:c>
      <x:c r="BU302" s="14" t="str">
        <x:v>Medium</x:v>
      </x:c>
      <x:c r="BV302" s="14" t="str">
        <x:v>Derived from supplied IMDb episode count and the documented production-total proxy.</x:v>
      </x:c>
      <x:c r="BW302" s="14" t="str">
        <x:v>Unable to determine</x:v>
      </x:c>
      <x:c r="BX302" s="14" t="str">
        <x:v>Supplied cast data establishes the credit and episode presence but does not establish narrative prominence.</x:v>
      </x:c>
      <x:c r="BY302" s="14" t="str">
        <x:v>Supplied IMDb cast-list workbook</x:v>
      </x:c>
      <x:c r="BZ30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tt13125694|nm7077109|undertaker</x:v>
      </x:c>
      <x:c r="B303" s="14" t="str">
        <x:v>01</x:v>
      </x:c>
      <x:c r="C303" s="14" t="str">
        <x:v>2021_IMDb_Cast_Lists_Batch_01(1).xlsx</x:v>
      </x:c>
      <x:c r="D303" s="14" t="str">
        <x:v>Before We Die</x:v>
      </x:c>
      <x:c r="E303" s="14" t="n">
        <x:v>70</x:v>
      </x:c>
      <x:c r="F303" s="14" t="str">
        <x:v>Before We Die</x:v>
      </x:c>
      <x:c r="G303" s="14" t="str">
        <x:v>tt13125694</x:v>
      </x:c>
      <x:c r="H303" s="14" t="n">
        <x:v>2021</x:v>
      </x:c>
      <x:c r="I303" s="14" t="n">
        <x:v>2023</x:v>
      </x:c>
      <x:c r="J303" s="14" t="str">
        <x:v>Earlier-Production Carry-In Cohort</x:v>
      </x:c>
      <x:c r="K303" s="14" t="n">
        <x:v>2021</x:v>
      </x:c>
      <x:c r="L303" s="14" t="str">
        <x:v>Used in 2023 annual analysis</x:v>
      </x:c>
      <x:c r="M303" s="15" t="n">
        <x:v>63</x:v>
      </x:c>
      <x:c r="N303" s="14" t="str">
        <x:v>Roderick Hill</x:v>
      </x:c>
      <x:c r="O303" s="14" t="str">
        <x:v>nm7077109</x:v>
      </x:c>
      <x:c r="P303" s="14" t="str">
        <x:v>Undertaker</x:v>
      </x:c>
      <x:c r="Q303" s="15" t="n">
        <x:v>1</x:v>
      </x:c>
      <x:c r="R303" s="14" t="str">
        <x:v>2023</x:v>
      </x:c>
      <x:c r="S303" s="14" t="n">
        <x:v>2023</x:v>
      </x:c>
      <x:c r="T303" s="14" t="n">
        <x:v>2023</x:v>
      </x:c>
      <x:c r="U303" s="14" t="str">
        <x:v>Post-2021 casting excluded</x:v>
      </x:c>
      <x:c r="V303" s="14" t="str">
        <x:v>Earliest supplied year is 2023, later than the 2021 study year.</x:v>
      </x:c>
      <x:c r="W303" s="14"/>
      <x:c r="X303" s="14" t="str">
        <x:v>Included</x:v>
      </x:c>
      <x:c r="Y303" s="14"/>
      <x:c r="Z303" s="14" t="str">
        <x:v>Before We Die.docx</x:v>
      </x:c>
      <x:c r="AA30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Channel 4 / E4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7" t="e">
        <x:f>HYPERLINK("https://en.wikipedia.org/wiki/Before_We_Die","Open source")</x:f>
        <x:v>HYPERLINK is not implemented. linkLocation=https://en.wikipedia.org/wiki/Before_We_Die,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No established-register match</x:v>
      </x:c>
      <x:c r="AT303" s="14"/>
      <x:c r="AU303" s="14"/>
      <x:c r="AV303" s="14" t="str">
        <x:v>No established apparent-disability match</x:v>
      </x:c>
      <x:c r="AW303" s="14"/>
      <x:c r="AX303" s="14" t="str">
        <x:v>No</x:v>
      </x:c>
      <x:c r="AY303" s="14" t="str">
        <x:v>Unmatched</x:v>
      </x:c>
      <x:c r="AZ303" s="14" t="str">
        <x:v>Final supplied register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11</x:v>
      </x:c>
      <x:c r="BP303" s="14" t="str">
        <x:v>Maximum eligible IMDb cast-credit total (11), shared by 5 performer(s); not independently verified as a 2021-only episode total.</x:v>
      </x:c>
      <x:c r="BQ303" s="14" t="str">
        <x:v>Medium</x:v>
      </x:c>
      <x:c r="BR303" s="15" t="n">
        <x:v>1</x:v>
      </x:c>
      <x:c r="BS303" s="16" t="n">
        <x:v>0.09090909090909091</x:v>
      </x:c>
      <x:c r="BT303" s="14" t="str">
        <x:v>One episode</x:v>
      </x:c>
      <x:c r="BU303" s="14" t="str">
        <x:v>Medium</x:v>
      </x:c>
      <x:c r="BV303" s="14" t="str">
        <x:v>Derived from supplied IMDb episode count and the documented production-total proxy.</x:v>
      </x:c>
      <x:c r="BW303" s="14" t="str">
        <x:v>Unable to determine</x:v>
      </x:c>
      <x:c r="BX303" s="14" t="str">
        <x:v>Supplied cast data establishes the credit and episode presence but does not establish narrative prominence.</x:v>
      </x:c>
      <x:c r="BY303" s="14" t="str">
        <x:v>Supplied IMDb cast-list workbook</x:v>
      </x:c>
      <x:c r="BZ30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tt13125694|nm0178563|funeral celebrant</x:v>
      </x:c>
      <x:c r="B304" s="14" t="str">
        <x:v>01</x:v>
      </x:c>
      <x:c r="C304" s="14" t="str">
        <x:v>2021_IMDb_Cast_Lists_Batch_01(1).xlsx</x:v>
      </x:c>
      <x:c r="D304" s="14" t="str">
        <x:v>Before We Die</x:v>
      </x:c>
      <x:c r="E304" s="14" t="n">
        <x:v>71</x:v>
      </x:c>
      <x:c r="F304" s="14" t="str">
        <x:v>Before We Die</x:v>
      </x:c>
      <x:c r="G304" s="14" t="str">
        <x:v>tt13125694</x:v>
      </x:c>
      <x:c r="H304" s="14" t="n">
        <x:v>2021</x:v>
      </x:c>
      <x:c r="I304" s="14" t="n">
        <x:v>2023</x:v>
      </x:c>
      <x:c r="J304" s="14" t="str">
        <x:v>Earlier-Production Carry-In Cohort</x:v>
      </x:c>
      <x:c r="K304" s="14" t="n">
        <x:v>2021</x:v>
      </x:c>
      <x:c r="L304" s="14" t="str">
        <x:v>Used in 2023 annual analysis</x:v>
      </x:c>
      <x:c r="M304" s="15" t="n">
        <x:v>64</x:v>
      </x:c>
      <x:c r="N304" s="14" t="str">
        <x:v>Martha Cope</x:v>
      </x:c>
      <x:c r="O304" s="14" t="str">
        <x:v>nm0178563</x:v>
      </x:c>
      <x:c r="P304" s="14" t="str">
        <x:v>Funeral Celebrant</x:v>
      </x:c>
      <x:c r="Q304" s="15" t="n">
        <x:v>1</x:v>
      </x:c>
      <x:c r="R304" s="14" t="str">
        <x:v>2023</x:v>
      </x:c>
      <x:c r="S304" s="14" t="n">
        <x:v>2023</x:v>
      </x:c>
      <x:c r="T304" s="14" t="n">
        <x:v>2023</x:v>
      </x:c>
      <x:c r="U304" s="14" t="str">
        <x:v>Post-2021 casting excluded</x:v>
      </x:c>
      <x:c r="V304" s="14" t="str">
        <x:v>Earliest supplied year is 2023, later than the 2021 study year.</x:v>
      </x:c>
      <x:c r="W304" s="14"/>
      <x:c r="X304" s="14" t="str">
        <x:v>Included</x:v>
      </x:c>
      <x:c r="Y304" s="14"/>
      <x:c r="Z304" s="14" t="str">
        <x:v>Before We Die.docx</x:v>
      </x:c>
      <x:c r="AA30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4 / E4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7" t="e">
        <x:f>HYPERLINK("https://en.wikipedia.org/wiki/Before_We_Die","Open source")</x:f>
        <x:v>HYPERLINK is not implemented. linkLocation=https://en.wikipedia.org/wiki/Before_We_Die,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11</x:v>
      </x:c>
      <x:c r="BP304" s="14" t="str">
        <x:v>Maximum eligible IMDb cast-credit total (11), shared by 5 performer(s); not independently verified as a 2021-only episode total.</x:v>
      </x:c>
      <x:c r="BQ304" s="14" t="str">
        <x:v>Medium</x:v>
      </x:c>
      <x:c r="BR304" s="15" t="n">
        <x:v>1</x:v>
      </x:c>
      <x:c r="BS304" s="16" t="n">
        <x:v>0.09090909090909091</x:v>
      </x:c>
      <x:c r="BT304" s="14" t="str">
        <x:v>One episode</x:v>
      </x:c>
      <x:c r="BU304" s="14" t="str">
        <x:v>Medium</x:v>
      </x:c>
      <x:c r="BV304" s="14" t="str">
        <x:v>Derived from supplied IMDb episode count and the documented production-total proxy.</x:v>
      </x:c>
      <x:c r="BW304" s="14" t="str">
        <x:v>Unable to determine</x:v>
      </x:c>
      <x:c r="BX304" s="14" t="str">
        <x:v>Supplied cast data establishes the credit and episode presence but does not establish narrative prominence.</x:v>
      </x:c>
      <x:c r="BY304" s="14" t="str">
        <x:v>Supplied IMDb cast-list workbook</x:v>
      </x:c>
      <x:c r="BZ30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tt13125694|nm0932219|pathologist</x:v>
      </x:c>
      <x:c r="B305" s="14" t="str">
        <x:v>01</x:v>
      </x:c>
      <x:c r="C305" s="14" t="str">
        <x:v>2021_IMDb_Cast_Lists_Batch_01(1).xlsx</x:v>
      </x:c>
      <x:c r="D305" s="14" t="str">
        <x:v>Before We Die</x:v>
      </x:c>
      <x:c r="E305" s="14" t="n">
        <x:v>72</x:v>
      </x:c>
      <x:c r="F305" s="14" t="str">
        <x:v>Before We Die</x:v>
      </x:c>
      <x:c r="G305" s="14" t="str">
        <x:v>tt13125694</x:v>
      </x:c>
      <x:c r="H305" s="14" t="n">
        <x:v>2021</x:v>
      </x:c>
      <x:c r="I305" s="14" t="n">
        <x:v>2023</x:v>
      </x:c>
      <x:c r="J305" s="14" t="str">
        <x:v>Earlier-Production Carry-In Cohort</x:v>
      </x:c>
      <x:c r="K305" s="14" t="n">
        <x:v>2021</x:v>
      </x:c>
      <x:c r="L305" s="14" t="str">
        <x:v>Used in 2023 annual analysis</x:v>
      </x:c>
      <x:c r="M305" s="15" t="n">
        <x:v>65</x:v>
      </x:c>
      <x:c r="N305" s="14" t="str">
        <x:v>Victoria Willing</x:v>
      </x:c>
      <x:c r="O305" s="14" t="str">
        <x:v>nm0932219</x:v>
      </x:c>
      <x:c r="P305" s="14" t="str">
        <x:v>Pathologist</x:v>
      </x:c>
      <x:c r="Q305" s="15" t="n">
        <x:v>1</x:v>
      </x:c>
      <x:c r="R305" s="14" t="str">
        <x:v>2023</x:v>
      </x:c>
      <x:c r="S305" s="14" t="n">
        <x:v>2023</x:v>
      </x:c>
      <x:c r="T305" s="14" t="n">
        <x:v>2023</x:v>
      </x:c>
      <x:c r="U305" s="14" t="str">
        <x:v>Post-2021 casting excluded</x:v>
      </x:c>
      <x:c r="V305" s="14" t="str">
        <x:v>Earliest supplied year is 2023, later than the 2021 study year.</x:v>
      </x:c>
      <x:c r="W305" s="14"/>
      <x:c r="X305" s="14" t="str">
        <x:v>Included</x:v>
      </x:c>
      <x:c r="Y305" s="14"/>
      <x:c r="Z305" s="14" t="str">
        <x:v>Before We Die.docx</x:v>
      </x:c>
      <x:c r="AA30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4 / E4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7" t="e">
        <x:f>HYPERLINK("https://en.wikipedia.org/wiki/Before_We_Die","Open source")</x:f>
        <x:v>HYPERLINK is not implemented. linkLocation=https://en.wikipedia.org/wiki/Before_We_Die,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11</x:v>
      </x:c>
      <x:c r="BP305" s="14" t="str">
        <x:v>Maximum eligible IMDb cast-credit total (11), shared by 5 performer(s); not independently verified as a 2021-only episode total.</x:v>
      </x:c>
      <x:c r="BQ305" s="14" t="str">
        <x:v>Medium</x:v>
      </x:c>
      <x:c r="BR305" s="15" t="n">
        <x:v>1</x:v>
      </x:c>
      <x:c r="BS305" s="16" t="n">
        <x:v>0.09090909090909091</x:v>
      </x:c>
      <x:c r="BT305" s="14" t="str">
        <x:v>One episode</x:v>
      </x:c>
      <x:c r="BU305" s="14" t="str">
        <x:v>Medium</x:v>
      </x:c>
      <x:c r="BV305" s="14" t="str">
        <x:v>Derived from supplied IMDb episode count and the documented production-total proxy.</x:v>
      </x:c>
      <x:c r="BW305" s="14" t="str">
        <x:v>Unable to determine</x:v>
      </x:c>
      <x:c r="BX305" s="14" t="str">
        <x:v>Supplied cast data establishes the credit and episode presence but does not establish narrative prominence.</x:v>
      </x:c>
      <x:c r="BY305" s="14" t="str">
        <x:v>Supplied IMDb cast-list workbook</x:v>
      </x:c>
      <x:c r="BZ30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tt13125694|nm4170801|curtis</x:v>
      </x:c>
      <x:c r="B306" s="14" t="str">
        <x:v>01</x:v>
      </x:c>
      <x:c r="C306" s="14" t="str">
        <x:v>2021_IMDb_Cast_Lists_Batch_01(1).xlsx</x:v>
      </x:c>
      <x:c r="D306" s="14" t="str">
        <x:v>Before We Die</x:v>
      </x:c>
      <x:c r="E306" s="14" t="n">
        <x:v>73</x:v>
      </x:c>
      <x:c r="F306" s="14" t="str">
        <x:v>Before We Die</x:v>
      </x:c>
      <x:c r="G306" s="14" t="str">
        <x:v>tt13125694</x:v>
      </x:c>
      <x:c r="H306" s="14" t="n">
        <x:v>2021</x:v>
      </x:c>
      <x:c r="I306" s="14" t="n">
        <x:v>2023</x:v>
      </x:c>
      <x:c r="J306" s="14" t="str">
        <x:v>Earlier-Production Carry-In Cohort</x:v>
      </x:c>
      <x:c r="K306" s="14" t="n">
        <x:v>2021</x:v>
      </x:c>
      <x:c r="L306" s="14" t="str">
        <x:v>Used in 2023 annual analysis</x:v>
      </x:c>
      <x:c r="M306" s="15" t="n">
        <x:v>66</x:v>
      </x:c>
      <x:c r="N306" s="14" t="str">
        <x:v>Andy Rush</x:v>
      </x:c>
      <x:c r="O306" s="14" t="str">
        <x:v>nm4170801</x:v>
      </x:c>
      <x:c r="P306" s="14" t="str">
        <x:v>Curtis</x:v>
      </x:c>
      <x:c r="Q306" s="15" t="n">
        <x:v>1</x:v>
      </x:c>
      <x:c r="R306" s="14" t="str">
        <x:v>2023</x:v>
      </x:c>
      <x:c r="S306" s="14" t="n">
        <x:v>2023</x:v>
      </x:c>
      <x:c r="T306" s="14" t="n">
        <x:v>2023</x:v>
      </x:c>
      <x:c r="U306" s="14" t="str">
        <x:v>Post-2021 casting excluded</x:v>
      </x:c>
      <x:c r="V306" s="14" t="str">
        <x:v>Earliest supplied year is 2023, later than the 2021 study year.</x:v>
      </x:c>
      <x:c r="W306" s="14"/>
      <x:c r="X306" s="14" t="str">
        <x:v>Included</x:v>
      </x:c>
      <x:c r="Y306" s="14"/>
      <x:c r="Z306" s="14" t="str">
        <x:v>Before We Die.docx</x:v>
      </x:c>
      <x:c r="AA30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4 / E4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7" t="e">
        <x:f>HYPERLINK("https://en.wikipedia.org/wiki/Before_We_Die","Open source")</x:f>
        <x:v>HYPERLINK is not implemented. linkLocation=https://en.wikipedia.org/wiki/Before_We_Die,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11</x:v>
      </x:c>
      <x:c r="BP306" s="14" t="str">
        <x:v>Maximum eligible IMDb cast-credit total (11), shared by 5 performer(s); not independently verified as a 2021-only episode total.</x:v>
      </x:c>
      <x:c r="BQ306" s="14" t="str">
        <x:v>Medium</x:v>
      </x:c>
      <x:c r="BR306" s="15" t="n">
        <x:v>1</x:v>
      </x:c>
      <x:c r="BS306" s="16" t="n">
        <x:v>0.09090909090909091</x:v>
      </x:c>
      <x:c r="BT306" s="14" t="str">
        <x:v>One episode</x:v>
      </x:c>
      <x:c r="BU306" s="14" t="str">
        <x:v>Medium</x:v>
      </x:c>
      <x:c r="BV306" s="14" t="str">
        <x:v>Derived from supplied IMDb episode count and the documented production-total proxy.</x:v>
      </x:c>
      <x:c r="BW306" s="14" t="str">
        <x:v>Unable to determine</x:v>
      </x:c>
      <x:c r="BX306" s="14" t="str">
        <x:v>Supplied cast data establishes the credit and episode presence but does not establish narrative prominence.</x:v>
      </x:c>
      <x:c r="BY306" s="14" t="str">
        <x:v>Supplied IMDb cast-list workbook</x:v>
      </x:c>
      <x:c r="BZ30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tt13125694|nm6313378|detective</x:v>
      </x:c>
      <x:c r="B307" s="14" t="str">
        <x:v>01</x:v>
      </x:c>
      <x:c r="C307" s="14" t="str">
        <x:v>2021_IMDb_Cast_Lists_Batch_01(1).xlsx</x:v>
      </x:c>
      <x:c r="D307" s="14" t="str">
        <x:v>Before We Die</x:v>
      </x:c>
      <x:c r="E307" s="14" t="n">
        <x:v>74</x:v>
      </x:c>
      <x:c r="F307" s="14" t="str">
        <x:v>Before We Die</x:v>
      </x:c>
      <x:c r="G307" s="14" t="str">
        <x:v>tt13125694</x:v>
      </x:c>
      <x:c r="H307" s="14" t="n">
        <x:v>2021</x:v>
      </x:c>
      <x:c r="I307" s="14" t="n">
        <x:v>2023</x:v>
      </x:c>
      <x:c r="J307" s="14" t="str">
        <x:v>Earlier-Production Carry-In Cohort</x:v>
      </x:c>
      <x:c r="K307" s="14" t="n">
        <x:v>2021</x:v>
      </x:c>
      <x:c r="L307" s="14" t="str">
        <x:v>Used in 2023 annual analysis</x:v>
      </x:c>
      <x:c r="M307" s="15" t="n">
        <x:v>67</x:v>
      </x:c>
      <x:c r="N307" s="14" t="str">
        <x:v>Dominique Dauwe</x:v>
      </x:c>
      <x:c r="O307" s="14" t="str">
        <x:v>nm6313378</x:v>
      </x:c>
      <x:c r="P307" s="14" t="str">
        <x:v>Detective</x:v>
      </x:c>
      <x:c r="Q307" s="15" t="n">
        <x:v>1</x:v>
      </x:c>
      <x:c r="R307" s="14" t="str">
        <x:v>2023</x:v>
      </x:c>
      <x:c r="S307" s="14" t="n">
        <x:v>2023</x:v>
      </x:c>
      <x:c r="T307" s="14" t="n">
        <x:v>2023</x:v>
      </x:c>
      <x:c r="U307" s="14" t="str">
        <x:v>Post-2021 casting excluded</x:v>
      </x:c>
      <x:c r="V307" s="14" t="str">
        <x:v>Earliest supplied year is 2023, later than the 2021 study year.</x:v>
      </x:c>
      <x:c r="W307" s="14"/>
      <x:c r="X307" s="14" t="str">
        <x:v>Included</x:v>
      </x:c>
      <x:c r="Y307" s="14"/>
      <x:c r="Z307" s="14" t="str">
        <x:v>Before We Die.docx</x:v>
      </x:c>
      <x:c r="AA307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4 / E4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7" t="e">
        <x:f>HYPERLINK("https://en.wikipedia.org/wiki/Before_We_Die","Open source")</x:f>
        <x:v>HYPERLINK is not implemented. linkLocation=https://en.wikipedia.org/wiki/Before_We_Die,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11</x:v>
      </x:c>
      <x:c r="BP307" s="14" t="str">
        <x:v>Maximum eligible IMDb cast-credit total (11), shared by 5 performer(s); not independently verified as a 2021-only episode total.</x:v>
      </x:c>
      <x:c r="BQ307" s="14" t="str">
        <x:v>Medium</x:v>
      </x:c>
      <x:c r="BR307" s="15" t="n">
        <x:v>1</x:v>
      </x:c>
      <x:c r="BS307" s="16" t="n">
        <x:v>0.09090909090909091</x:v>
      </x:c>
      <x:c r="BT307" s="14" t="str">
        <x:v>One episode</x:v>
      </x:c>
      <x:c r="BU307" s="14" t="str">
        <x:v>Medium</x:v>
      </x:c>
      <x:c r="BV307" s="14" t="str">
        <x:v>Derived from supplied IMDb episode count and the documented production-total proxy.</x:v>
      </x:c>
      <x:c r="BW307" s="14" t="str">
        <x:v>Unable to determine</x:v>
      </x:c>
      <x:c r="BX307" s="14" t="str">
        <x:v>Supplied cast data establishes the credit and episode presence but does not establish narrative prominence.</x:v>
      </x:c>
      <x:c r="BY307" s="14" t="str">
        <x:v>Supplied IMDb cast-list workbook</x:v>
      </x:c>
      <x:c r="BZ307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tt13125694|nm10526984|armed police 1 (uk airport)</x:v>
      </x:c>
      <x:c r="B308" s="14" t="str">
        <x:v>01</x:v>
      </x:c>
      <x:c r="C308" s="14" t="str">
        <x:v>2021_IMDb_Cast_Lists_Batch_01(1).xlsx</x:v>
      </x:c>
      <x:c r="D308" s="14" t="str">
        <x:v>Before We Die</x:v>
      </x:c>
      <x:c r="E308" s="14" t="n">
        <x:v>75</x:v>
      </x:c>
      <x:c r="F308" s="14" t="str">
        <x:v>Before We Die</x:v>
      </x:c>
      <x:c r="G308" s="14" t="str">
        <x:v>tt13125694</x:v>
      </x:c>
      <x:c r="H308" s="14" t="n">
        <x:v>2021</x:v>
      </x:c>
      <x:c r="I308" s="14" t="n">
        <x:v>2023</x:v>
      </x:c>
      <x:c r="J308" s="14" t="str">
        <x:v>Earlier-Production Carry-In Cohort</x:v>
      </x:c>
      <x:c r="K308" s="14" t="n">
        <x:v>2021</x:v>
      </x:c>
      <x:c r="L308" s="14" t="str">
        <x:v>Used in 2023 annual analysis</x:v>
      </x:c>
      <x:c r="M308" s="15" t="n">
        <x:v>68</x:v>
      </x:c>
      <x:c r="N308" s="14" t="str">
        <x:v>Ruben Francq</x:v>
      </x:c>
      <x:c r="O308" s="14" t="str">
        <x:v>nm10526984</x:v>
      </x:c>
      <x:c r="P308" s="14" t="str">
        <x:v>Armed Police 1 (UK Airport)</x:v>
      </x:c>
      <x:c r="Q308" s="15" t="n">
        <x:v>1</x:v>
      </x:c>
      <x:c r="R308" s="14" t="str">
        <x:v>2023</x:v>
      </x:c>
      <x:c r="S308" s="14" t="n">
        <x:v>2023</x:v>
      </x:c>
      <x:c r="T308" s="14" t="n">
        <x:v>2023</x:v>
      </x:c>
      <x:c r="U308" s="14" t="str">
        <x:v>Post-2021 casting excluded</x:v>
      </x:c>
      <x:c r="V308" s="14" t="str">
        <x:v>Earliest supplied year is 2023, later than the 2021 study year.</x:v>
      </x:c>
      <x:c r="W308" s="14"/>
      <x:c r="X308" s="14" t="str">
        <x:v>Included</x:v>
      </x:c>
      <x:c r="Y308" s="14"/>
      <x:c r="Z308" s="14" t="str">
        <x:v>Before We Die.docx</x:v>
      </x:c>
      <x:c r="AA308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4 / E4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7" t="e">
        <x:f>HYPERLINK("https://en.wikipedia.org/wiki/Before_We_Die","Open source")</x:f>
        <x:v>HYPERLINK is not implemented. linkLocation=https://en.wikipedia.org/wiki/Before_We_Die,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11</x:v>
      </x:c>
      <x:c r="BP308" s="14" t="str">
        <x:v>Maximum eligible IMDb cast-credit total (11), shared by 5 performer(s); not independently verified as a 2021-only episode total.</x:v>
      </x:c>
      <x:c r="BQ308" s="14" t="str">
        <x:v>Medium</x:v>
      </x:c>
      <x:c r="BR308" s="15" t="n">
        <x:v>1</x:v>
      </x:c>
      <x:c r="BS308" s="16" t="n">
        <x:v>0.09090909090909091</x:v>
      </x:c>
      <x:c r="BT308" s="14" t="str">
        <x:v>One episode</x:v>
      </x:c>
      <x:c r="BU308" s="14" t="str">
        <x:v>Medium</x:v>
      </x:c>
      <x:c r="BV308" s="14" t="str">
        <x:v>Derived from supplied IMDb episode count and the documented production-total proxy.</x:v>
      </x:c>
      <x:c r="BW308" s="14" t="str">
        <x:v>Unable to determine</x:v>
      </x:c>
      <x:c r="BX308" s="14" t="str">
        <x:v>Supplied cast data establishes the credit and episode presence but does not establish narrative prominence.</x:v>
      </x:c>
      <x:c r="BY308" s="14" t="str">
        <x:v>Supplied IMDb cast-list workbook</x:v>
      </x:c>
      <x:c r="BZ308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tt13125694|nm0736209|uk airport police officer</x:v>
      </x:c>
      <x:c r="B309" s="14" t="str">
        <x:v>01</x:v>
      </x:c>
      <x:c r="C309" s="14" t="str">
        <x:v>2021_IMDb_Cast_Lists_Batch_01(1).xlsx</x:v>
      </x:c>
      <x:c r="D309" s="14" t="str">
        <x:v>Before We Die</x:v>
      </x:c>
      <x:c r="E309" s="14" t="n">
        <x:v>76</x:v>
      </x:c>
      <x:c r="F309" s="14" t="str">
        <x:v>Before We Die</x:v>
      </x:c>
      <x:c r="G309" s="14" t="str">
        <x:v>tt13125694</x:v>
      </x:c>
      <x:c r="H309" s="14" t="n">
        <x:v>2021</x:v>
      </x:c>
      <x:c r="I309" s="14" t="n">
        <x:v>2023</x:v>
      </x:c>
      <x:c r="J309" s="14" t="str">
        <x:v>Earlier-Production Carry-In Cohort</x:v>
      </x:c>
      <x:c r="K309" s="14" t="n">
        <x:v>2021</x:v>
      </x:c>
      <x:c r="L309" s="14" t="str">
        <x:v>Used in 2023 annual analysis</x:v>
      </x:c>
      <x:c r="M309" s="15" t="n">
        <x:v>69</x:v>
      </x:c>
      <x:c r="N309" s="14" t="str">
        <x:v>Christian Roe</x:v>
      </x:c>
      <x:c r="O309" s="14" t="str">
        <x:v>nm0736209</x:v>
      </x:c>
      <x:c r="P309" s="14" t="str">
        <x:v>UK Airport Police Officer</x:v>
      </x:c>
      <x:c r="Q309" s="15" t="n">
        <x:v>1</x:v>
      </x:c>
      <x:c r="R309" s="14" t="str">
        <x:v>2023</x:v>
      </x:c>
      <x:c r="S309" s="14" t="n">
        <x:v>2023</x:v>
      </x:c>
      <x:c r="T309" s="14" t="n">
        <x:v>2023</x:v>
      </x:c>
      <x:c r="U309" s="14" t="str">
        <x:v>Post-2021 casting excluded</x:v>
      </x:c>
      <x:c r="V309" s="14" t="str">
        <x:v>Earliest supplied year is 2023, later than the 2021 study year.</x:v>
      </x:c>
      <x:c r="W309" s="14"/>
      <x:c r="X309" s="14" t="str">
        <x:v>Included</x:v>
      </x:c>
      <x:c r="Y309" s="14"/>
      <x:c r="Z309" s="14" t="str">
        <x:v>Before We Die.docx</x:v>
      </x:c>
      <x:c r="AA30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4 / E4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7" t="e">
        <x:f>HYPERLINK("https://en.wikipedia.org/wiki/Before_We_Die","Open source")</x:f>
        <x:v>HYPERLINK is not implemented. linkLocation=https://en.wikipedia.org/wiki/Before_We_Die,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11</x:v>
      </x:c>
      <x:c r="BP309" s="14" t="str">
        <x:v>Maximum eligible IMDb cast-credit total (11), shared by 5 performer(s); not independently verified as a 2021-only episode total.</x:v>
      </x:c>
      <x:c r="BQ309" s="14" t="str">
        <x:v>Medium</x:v>
      </x:c>
      <x:c r="BR309" s="15" t="n">
        <x:v>1</x:v>
      </x:c>
      <x:c r="BS309" s="16" t="n">
        <x:v>0.09090909090909091</x:v>
      </x:c>
      <x:c r="BT309" s="14" t="str">
        <x:v>One episode</x:v>
      </x:c>
      <x:c r="BU309" s="14" t="str">
        <x:v>Medium</x:v>
      </x:c>
      <x:c r="BV309" s="14" t="str">
        <x:v>Derived from supplied IMDb episode count and the documented production-total proxy.</x:v>
      </x:c>
      <x:c r="BW309" s="14" t="str">
        <x:v>Unable to determine</x:v>
      </x:c>
      <x:c r="BX309" s="14" t="str">
        <x:v>Supplied cast data establishes the credit and episode presence but does not establish narrative prominence.</x:v>
      </x:c>
      <x:c r="BY309" s="14" t="str">
        <x:v>Supplied IMDb cast-list workbook</x:v>
      </x:c>
      <x:c r="BZ30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tt13125694|nm0791191|priest</x:v>
      </x:c>
      <x:c r="B310" s="14" t="str">
        <x:v>01</x:v>
      </x:c>
      <x:c r="C310" s="14" t="str">
        <x:v>2021_IMDb_Cast_Lists_Batch_01(1).xlsx</x:v>
      </x:c>
      <x:c r="D310" s="14" t="str">
        <x:v>Before We Die</x:v>
      </x:c>
      <x:c r="E310" s="14" t="n">
        <x:v>77</x:v>
      </x:c>
      <x:c r="F310" s="14" t="str">
        <x:v>Before We Die</x:v>
      </x:c>
      <x:c r="G310" s="14" t="str">
        <x:v>tt13125694</x:v>
      </x:c>
      <x:c r="H310" s="14" t="n">
        <x:v>2021</x:v>
      </x:c>
      <x:c r="I310" s="14" t="n">
        <x:v>2023</x:v>
      </x:c>
      <x:c r="J310" s="14" t="str">
        <x:v>Earlier-Production Carry-In Cohort</x:v>
      </x:c>
      <x:c r="K310" s="14" t="n">
        <x:v>2021</x:v>
      </x:c>
      <x:c r="L310" s="14" t="str">
        <x:v>Used in 2023 annual analysis</x:v>
      </x:c>
      <x:c r="M310" s="15" t="n">
        <x:v>70</x:v>
      </x:c>
      <x:c r="N310" s="14" t="str">
        <x:v>David Shelley</x:v>
      </x:c>
      <x:c r="O310" s="14" t="str">
        <x:v>nm0791191</x:v>
      </x:c>
      <x:c r="P310" s="14" t="str">
        <x:v>Priest</x:v>
      </x:c>
      <x:c r="Q310" s="15" t="n">
        <x:v>1</x:v>
      </x:c>
      <x:c r="R310" s="14" t="str">
        <x:v>2023</x:v>
      </x:c>
      <x:c r="S310" s="14" t="n">
        <x:v>2023</x:v>
      </x:c>
      <x:c r="T310" s="14" t="n">
        <x:v>2023</x:v>
      </x:c>
      <x:c r="U310" s="14" t="str">
        <x:v>Post-2021 casting excluded</x:v>
      </x:c>
      <x:c r="V310" s="14" t="str">
        <x:v>Earliest supplied year is 2023, later than the 2021 study year.</x:v>
      </x:c>
      <x:c r="W310" s="14"/>
      <x:c r="X310" s="14" t="str">
        <x:v>Included</x:v>
      </x:c>
      <x:c r="Y310" s="14"/>
      <x:c r="Z310" s="14" t="str">
        <x:v>Before We Die.docx</x:v>
      </x:c>
      <x:c r="AA31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4 / E4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7" t="e">
        <x:f>HYPERLINK("https://en.wikipedia.org/wiki/Before_We_Die","Open source")</x:f>
        <x:v>HYPERLINK is not implemented. linkLocation=https://en.wikipedia.org/wiki/Before_We_Die,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11</x:v>
      </x:c>
      <x:c r="BP310" s="14" t="str">
        <x:v>Maximum eligible IMDb cast-credit total (11), shared by 5 performer(s); not independently verified as a 2021-only episode total.</x:v>
      </x:c>
      <x:c r="BQ310" s="14" t="str">
        <x:v>Medium</x:v>
      </x:c>
      <x:c r="BR310" s="15" t="n">
        <x:v>1</x:v>
      </x:c>
      <x:c r="BS310" s="16" t="n">
        <x:v>0.09090909090909091</x:v>
      </x:c>
      <x:c r="BT310" s="14" t="str">
        <x:v>One episode</x:v>
      </x:c>
      <x:c r="BU310" s="14" t="str">
        <x:v>Medium</x:v>
      </x:c>
      <x:c r="BV310" s="14" t="str">
        <x:v>Derived from supplied IMDb episode count and the documented production-total proxy.</x:v>
      </x:c>
      <x:c r="BW310" s="14" t="str">
        <x:v>Unable to determine</x:v>
      </x:c>
      <x:c r="BX310" s="14" t="str">
        <x:v>Supplied cast data establishes the credit and episode presence but does not establish narrative prominence.</x:v>
      </x:c>
      <x:c r="BY310" s="14" t="str">
        <x:v>Supplied IMDb cast-list workbook</x:v>
      </x:c>
      <x:c r="BZ31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tt13125694|nm2953565|police officer mortuary</x:v>
      </x:c>
      <x:c r="B311" s="14" t="str">
        <x:v>01</x:v>
      </x:c>
      <x:c r="C311" s="14" t="str">
        <x:v>2021_IMDb_Cast_Lists_Batch_01(1).xlsx</x:v>
      </x:c>
      <x:c r="D311" s="14" t="str">
        <x:v>Before We Die</x:v>
      </x:c>
      <x:c r="E311" s="14" t="n">
        <x:v>78</x:v>
      </x:c>
      <x:c r="F311" s="14" t="str">
        <x:v>Before We Die</x:v>
      </x:c>
      <x:c r="G311" s="14" t="str">
        <x:v>tt13125694</x:v>
      </x:c>
      <x:c r="H311" s="14" t="n">
        <x:v>2021</x:v>
      </x:c>
      <x:c r="I311" s="14" t="n">
        <x:v>2023</x:v>
      </x:c>
      <x:c r="J311" s="14" t="str">
        <x:v>Earlier-Production Carry-In Cohort</x:v>
      </x:c>
      <x:c r="K311" s="14" t="n">
        <x:v>2021</x:v>
      </x:c>
      <x:c r="L311" s="14" t="str">
        <x:v>Used in 2023 annual analysis</x:v>
      </x:c>
      <x:c r="M311" s="15" t="n">
        <x:v>71</x:v>
      </x:c>
      <x:c r="N311" s="14" t="str">
        <x:v>Lawrence Sheldon</x:v>
      </x:c>
      <x:c r="O311" s="14" t="str">
        <x:v>nm2953565</x:v>
      </x:c>
      <x:c r="P311" s="14" t="str">
        <x:v>Police Officer Mortuary</x:v>
      </x:c>
      <x:c r="Q311" s="15" t="n">
        <x:v>1</x:v>
      </x:c>
      <x:c r="R311" s="14" t="str">
        <x:v>2023</x:v>
      </x:c>
      <x:c r="S311" s="14" t="n">
        <x:v>2023</x:v>
      </x:c>
      <x:c r="T311" s="14" t="n">
        <x:v>2023</x:v>
      </x:c>
      <x:c r="U311" s="14" t="str">
        <x:v>Post-2021 casting excluded</x:v>
      </x:c>
      <x:c r="V311" s="14" t="str">
        <x:v>Earliest supplied year is 2023, later than the 2021 study year.</x:v>
      </x:c>
      <x:c r="W311" s="14"/>
      <x:c r="X311" s="14" t="str">
        <x:v>Included</x:v>
      </x:c>
      <x:c r="Y311" s="14"/>
      <x:c r="Z311" s="14" t="str">
        <x:v>Before We Die.docx</x:v>
      </x:c>
      <x:c r="AA31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4 / E4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7" t="e">
        <x:f>HYPERLINK("https://en.wikipedia.org/wiki/Before_We_Die","Open source")</x:f>
        <x:v>HYPERLINK is not implemented. linkLocation=https://en.wikipedia.org/wiki/Before_We_Die,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11</x:v>
      </x:c>
      <x:c r="BP311" s="14" t="str">
        <x:v>Maximum eligible IMDb cast-credit total (11), shared by 5 performer(s); not independently verified as a 2021-only episode total.</x:v>
      </x:c>
      <x:c r="BQ311" s="14" t="str">
        <x:v>Medium</x:v>
      </x:c>
      <x:c r="BR311" s="15" t="n">
        <x:v>1</x:v>
      </x:c>
      <x:c r="BS311" s="16" t="n">
        <x:v>0.09090909090909091</x:v>
      </x:c>
      <x:c r="BT311" s="14" t="str">
        <x:v>One episode</x:v>
      </x:c>
      <x:c r="BU311" s="14" t="str">
        <x:v>Medium</x:v>
      </x:c>
      <x:c r="BV311" s="14" t="str">
        <x:v>Derived from supplied IMDb episode count and the documented production-total proxy.</x:v>
      </x:c>
      <x:c r="BW311" s="14" t="str">
        <x:v>Unable to determine</x:v>
      </x:c>
      <x:c r="BX311" s="14" t="str">
        <x:v>Supplied cast data establishes the credit and episode presence but does not establish narrative prominence.</x:v>
      </x:c>
      <x:c r="BY311" s="14" t="str">
        <x:v>Supplied IMDb cast-list workbook</x:v>
      </x:c>
      <x:c r="BZ31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tt13125694|nm6634043|armed guard</x:v>
      </x:c>
      <x:c r="B312" s="14" t="str">
        <x:v>01</x:v>
      </x:c>
      <x:c r="C312" s="14" t="str">
        <x:v>2021_IMDb_Cast_Lists_Batch_01(1).xlsx</x:v>
      </x:c>
      <x:c r="D312" s="14" t="str">
        <x:v>Before We Die</x:v>
      </x:c>
      <x:c r="E312" s="14" t="n">
        <x:v>79</x:v>
      </x:c>
      <x:c r="F312" s="14" t="str">
        <x:v>Before We Die</x:v>
      </x:c>
      <x:c r="G312" s="14" t="str">
        <x:v>tt13125694</x:v>
      </x:c>
      <x:c r="H312" s="14" t="n">
        <x:v>2021</x:v>
      </x:c>
      <x:c r="I312" s="14" t="n">
        <x:v>2023</x:v>
      </x:c>
      <x:c r="J312" s="14" t="str">
        <x:v>Earlier-Production Carry-In Cohort</x:v>
      </x:c>
      <x:c r="K312" s="14" t="n">
        <x:v>2021</x:v>
      </x:c>
      <x:c r="L312" s="14" t="str">
        <x:v>Used in 2023 annual analysis</x:v>
      </x:c>
      <x:c r="M312" s="15" t="n">
        <x:v>72</x:v>
      </x:c>
      <x:c r="N312" s="14" t="str">
        <x:v>Shane Redondo</x:v>
      </x:c>
      <x:c r="O312" s="14" t="str">
        <x:v>nm6634043</x:v>
      </x:c>
      <x:c r="P312" s="14" t="str">
        <x:v>Armed guard</x:v>
      </x:c>
      <x:c r="Q312" s="15" t="n">
        <x:v>1</x:v>
      </x:c>
      <x:c r="R312" s="14" t="str">
        <x:v>2023</x:v>
      </x:c>
      <x:c r="S312" s="14" t="n">
        <x:v>2023</x:v>
      </x:c>
      <x:c r="T312" s="14" t="n">
        <x:v>2023</x:v>
      </x:c>
      <x:c r="U312" s="14" t="str">
        <x:v>Post-2021 casting excluded</x:v>
      </x:c>
      <x:c r="V312" s="14" t="str">
        <x:v>Earliest supplied year is 2023, later than the 2021 study year.</x:v>
      </x:c>
      <x:c r="W312" s="14"/>
      <x:c r="X312" s="14" t="str">
        <x:v>Included</x:v>
      </x:c>
      <x:c r="Y312" s="14"/>
      <x:c r="Z312" s="14" t="str">
        <x:v>Before We Die.docx</x:v>
      </x:c>
      <x:c r="AA31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4 / E4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7" t="e">
        <x:f>HYPERLINK("https://en.wikipedia.org/wiki/Before_We_Die","Open source")</x:f>
        <x:v>HYPERLINK is not implemented. linkLocation=https://en.wikipedia.org/wiki/Before_We_Die,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11</x:v>
      </x:c>
      <x:c r="BP312" s="14" t="str">
        <x:v>Maximum eligible IMDb cast-credit total (11), shared by 5 performer(s); not independently verified as a 2021-only episode total.</x:v>
      </x:c>
      <x:c r="BQ312" s="14" t="str">
        <x:v>Medium</x:v>
      </x:c>
      <x:c r="BR312" s="15" t="n">
        <x:v>1</x:v>
      </x:c>
      <x:c r="BS312" s="16" t="n">
        <x:v>0.09090909090909091</x:v>
      </x:c>
      <x:c r="BT312" s="14" t="str">
        <x:v>One episode</x:v>
      </x:c>
      <x:c r="BU312" s="14" t="str">
        <x:v>Medium</x:v>
      </x:c>
      <x:c r="BV312" s="14" t="str">
        <x:v>Derived from supplied IMDb episode count and the documented production-total proxy.</x:v>
      </x:c>
      <x:c r="BW312" s="14" t="str">
        <x:v>Unable to determine</x:v>
      </x:c>
      <x:c r="BX312" s="14" t="str">
        <x:v>Supplied cast data establishes the credit and episode presence but does not establish narrative prominence.</x:v>
      </x:c>
      <x:c r="BY312" s="14" t="str">
        <x:v>Supplied IMDb cast-list workbook</x:v>
      </x:c>
      <x:c r="BZ31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tt13125694|nm7633577|pool man 2</x:v>
      </x:c>
      <x:c r="B313" s="14" t="str">
        <x:v>01</x:v>
      </x:c>
      <x:c r="C313" s="14" t="str">
        <x:v>2021_IMDb_Cast_Lists_Batch_01(1).xlsx</x:v>
      </x:c>
      <x:c r="D313" s="14" t="str">
        <x:v>Before We Die</x:v>
      </x:c>
      <x:c r="E313" s="14" t="n">
        <x:v>80</x:v>
      </x:c>
      <x:c r="F313" s="14" t="str">
        <x:v>Before We Die</x:v>
      </x:c>
      <x:c r="G313" s="14" t="str">
        <x:v>tt13125694</x:v>
      </x:c>
      <x:c r="H313" s="14" t="n">
        <x:v>2021</x:v>
      </x:c>
      <x:c r="I313" s="14" t="n">
        <x:v>2023</x:v>
      </x:c>
      <x:c r="J313" s="14" t="str">
        <x:v>Earlier-Production Carry-In Cohort</x:v>
      </x:c>
      <x:c r="K313" s="14" t="n">
        <x:v>2021</x:v>
      </x:c>
      <x:c r="L313" s="14" t="str">
        <x:v>Used in 2023 annual analysis</x:v>
      </x:c>
      <x:c r="M313" s="15" t="n">
        <x:v>73</x:v>
      </x:c>
      <x:c r="N313" s="14" t="str">
        <x:v>Xavier Baeyens</x:v>
      </x:c>
      <x:c r="O313" s="14" t="str">
        <x:v>nm7633577</x:v>
      </x:c>
      <x:c r="P313" s="14" t="str">
        <x:v>Pool Man 2</x:v>
      </x:c>
      <x:c r="Q313" s="15" t="n">
        <x:v>1</x:v>
      </x:c>
      <x:c r="R313" s="14" t="str">
        <x:v>2023</x:v>
      </x:c>
      <x:c r="S313" s="14" t="n">
        <x:v>2023</x:v>
      </x:c>
      <x:c r="T313" s="14" t="n">
        <x:v>2023</x:v>
      </x:c>
      <x:c r="U313" s="14" t="str">
        <x:v>Post-2021 casting excluded</x:v>
      </x:c>
      <x:c r="V313" s="14" t="str">
        <x:v>Earliest supplied year is 2023, later than the 2021 study year.</x:v>
      </x:c>
      <x:c r="W313" s="14"/>
      <x:c r="X313" s="14" t="str">
        <x:v>Included</x:v>
      </x:c>
      <x:c r="Y313" s="14"/>
      <x:c r="Z313" s="14" t="str">
        <x:v>Before We Die.docx</x:v>
      </x:c>
      <x:c r="AA31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4 / E4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7" t="e">
        <x:f>HYPERLINK("https://en.wikipedia.org/wiki/Before_We_Die","Open source")</x:f>
        <x:v>HYPERLINK is not implemented. linkLocation=https://en.wikipedia.org/wiki/Before_We_Die,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11</x:v>
      </x:c>
      <x:c r="BP313" s="14" t="str">
        <x:v>Maximum eligible IMDb cast-credit total (11), shared by 5 performer(s); not independently verified as a 2021-only episode total.</x:v>
      </x:c>
      <x:c r="BQ313" s="14" t="str">
        <x:v>Medium</x:v>
      </x:c>
      <x:c r="BR313" s="15" t="n">
        <x:v>1</x:v>
      </x:c>
      <x:c r="BS313" s="16" t="n">
        <x:v>0.09090909090909091</x:v>
      </x:c>
      <x:c r="BT313" s="14" t="str">
        <x:v>One episode</x:v>
      </x:c>
      <x:c r="BU313" s="14" t="str">
        <x:v>Medium</x:v>
      </x:c>
      <x:c r="BV313" s="14" t="str">
        <x:v>Derived from supplied IMDb episode count and the documented production-total proxy.</x:v>
      </x:c>
      <x:c r="BW313" s="14" t="str">
        <x:v>Unable to determine</x:v>
      </x:c>
      <x:c r="BX313" s="14" t="str">
        <x:v>Supplied cast data establishes the credit and episode presence but does not establish narrative prominence.</x:v>
      </x:c>
      <x:c r="BY313" s="14" t="str">
        <x:v>Supplied IMDb cast-list workbook</x:v>
      </x:c>
      <x:c r="BZ31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tt13125694|nm12458141|pathologist assistant</x:v>
      </x:c>
      <x:c r="B314" s="14" t="str">
        <x:v>01</x:v>
      </x:c>
      <x:c r="C314" s="14" t="str">
        <x:v>2021_IMDb_Cast_Lists_Batch_01(1).xlsx</x:v>
      </x:c>
      <x:c r="D314" s="14" t="str">
        <x:v>Before We Die</x:v>
      </x:c>
      <x:c r="E314" s="14" t="n">
        <x:v>81</x:v>
      </x:c>
      <x:c r="F314" s="14" t="str">
        <x:v>Before We Die</x:v>
      </x:c>
      <x:c r="G314" s="14" t="str">
        <x:v>tt13125694</x:v>
      </x:c>
      <x:c r="H314" s="14" t="n">
        <x:v>2021</x:v>
      </x:c>
      <x:c r="I314" s="14" t="n">
        <x:v>2023</x:v>
      </x:c>
      <x:c r="J314" s="14" t="str">
        <x:v>Earlier-Production Carry-In Cohort</x:v>
      </x:c>
      <x:c r="K314" s="14" t="n">
        <x:v>2021</x:v>
      </x:c>
      <x:c r="L314" s="14" t="str">
        <x:v>Used in 2023 annual analysis</x:v>
      </x:c>
      <x:c r="M314" s="15" t="n">
        <x:v>74</x:v>
      </x:c>
      <x:c r="N314" s="14" t="str">
        <x:v>Elise van Lil</x:v>
      </x:c>
      <x:c r="O314" s="14" t="str">
        <x:v>nm12458141</x:v>
      </x:c>
      <x:c r="P314" s="14" t="str">
        <x:v>Pathologist Assistant</x:v>
      </x:c>
      <x:c r="Q314" s="15" t="n">
        <x:v>1</x:v>
      </x:c>
      <x:c r="R314" s="14" t="str">
        <x:v>2023</x:v>
      </x:c>
      <x:c r="S314" s="14" t="n">
        <x:v>2023</x:v>
      </x:c>
      <x:c r="T314" s="14" t="n">
        <x:v>2023</x:v>
      </x:c>
      <x:c r="U314" s="14" t="str">
        <x:v>Post-2021 casting excluded</x:v>
      </x:c>
      <x:c r="V314" s="14" t="str">
        <x:v>Earliest supplied year is 2023, later than the 2021 study year.</x:v>
      </x:c>
      <x:c r="W314" s="14"/>
      <x:c r="X314" s="14" t="str">
        <x:v>Included</x:v>
      </x:c>
      <x:c r="Y314" s="14"/>
      <x:c r="Z314" s="14" t="str">
        <x:v>Before We Die.docx</x:v>
      </x:c>
      <x:c r="AA31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4 / E4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7" t="e">
        <x:f>HYPERLINK("https://en.wikipedia.org/wiki/Before_We_Die","Open source")</x:f>
        <x:v>HYPERLINK is not implemented. linkLocation=https://en.wikipedia.org/wiki/Before_We_Die,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11</x:v>
      </x:c>
      <x:c r="BP314" s="14" t="str">
        <x:v>Maximum eligible IMDb cast-credit total (11), shared by 5 performer(s); not independently verified as a 2021-only episode total.</x:v>
      </x:c>
      <x:c r="BQ314" s="14" t="str">
        <x:v>Medium</x:v>
      </x:c>
      <x:c r="BR314" s="15" t="n">
        <x:v>1</x:v>
      </x:c>
      <x:c r="BS314" s="16" t="n">
        <x:v>0.09090909090909091</x:v>
      </x:c>
      <x:c r="BT314" s="14" t="str">
        <x:v>One episode</x:v>
      </x:c>
      <x:c r="BU314" s="14" t="str">
        <x:v>Medium</x:v>
      </x:c>
      <x:c r="BV314" s="14" t="str">
        <x:v>Derived from supplied IMDb episode count and the documented production-total proxy.</x:v>
      </x:c>
      <x:c r="BW314" s="14" t="str">
        <x:v>Unable to determine</x:v>
      </x:c>
      <x:c r="BX314" s="14" t="str">
        <x:v>Supplied cast data establishes the credit and episode presence but does not establish narrative prominence.</x:v>
      </x:c>
      <x:c r="BY314" s="14" t="str">
        <x:v>Supplied IMDb cast-list workbook</x:v>
      </x:c>
      <x:c r="BZ31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tt13125694|nm6071811|sourav</x:v>
      </x:c>
      <x:c r="B315" s="14" t="str">
        <x:v>01</x:v>
      </x:c>
      <x:c r="C315" s="14" t="str">
        <x:v>2021_IMDb_Cast_Lists_Batch_01(1).xlsx</x:v>
      </x:c>
      <x:c r="D315" s="14" t="str">
        <x:v>Before We Die</x:v>
      </x:c>
      <x:c r="E315" s="14" t="n">
        <x:v>82</x:v>
      </x:c>
      <x:c r="F315" s="14" t="str">
        <x:v>Before We Die</x:v>
      </x:c>
      <x:c r="G315" s="14" t="str">
        <x:v>tt13125694</x:v>
      </x:c>
      <x:c r="H315" s="14" t="n">
        <x:v>2021</x:v>
      </x:c>
      <x:c r="I315" s="14" t="n">
        <x:v>2023</x:v>
      </x:c>
      <x:c r="J315" s="14" t="str">
        <x:v>Earlier-Production Carry-In Cohort</x:v>
      </x:c>
      <x:c r="K315" s="14" t="n">
        <x:v>2021</x:v>
      </x:c>
      <x:c r="L315" s="14" t="str">
        <x:v>Used in 2023 annual analysis</x:v>
      </x:c>
      <x:c r="M315" s="15" t="n">
        <x:v>75</x:v>
      </x:c>
      <x:c r="N315" s="14" t="str">
        <x:v>Oliver Gatz</x:v>
      </x:c>
      <x:c r="O315" s="14" t="str">
        <x:v>nm6071811</x:v>
      </x:c>
      <x:c r="P315" s="14" t="str">
        <x:v>Sourav</x:v>
      </x:c>
      <x:c r="Q315" s="15" t="n">
        <x:v>1</x:v>
      </x:c>
      <x:c r="R315" s="14" t="str">
        <x:v>2023</x:v>
      </x:c>
      <x:c r="S315" s="14" t="n">
        <x:v>2023</x:v>
      </x:c>
      <x:c r="T315" s="14" t="n">
        <x:v>2023</x:v>
      </x:c>
      <x:c r="U315" s="14" t="str">
        <x:v>Post-2021 casting excluded</x:v>
      </x:c>
      <x:c r="V315" s="14" t="str">
        <x:v>Earliest supplied year is 2023, later than the 2021 study year.</x:v>
      </x:c>
      <x:c r="W315" s="14"/>
      <x:c r="X315" s="14" t="str">
        <x:v>Included</x:v>
      </x:c>
      <x:c r="Y315" s="14"/>
      <x:c r="Z315" s="14" t="str">
        <x:v>Before We Die.docx</x:v>
      </x:c>
      <x:c r="AA31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4 / E4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7" t="e">
        <x:f>HYPERLINK("https://en.wikipedia.org/wiki/Before_We_Die","Open source")</x:f>
        <x:v>HYPERLINK is not implemented. linkLocation=https://en.wikipedia.org/wiki/Before_We_Die,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11</x:v>
      </x:c>
      <x:c r="BP315" s="14" t="str">
        <x:v>Maximum eligible IMDb cast-credit total (11), shared by 5 performer(s); not independently verified as a 2021-only episode total.</x:v>
      </x:c>
      <x:c r="BQ315" s="14" t="str">
        <x:v>Medium</x:v>
      </x:c>
      <x:c r="BR315" s="15" t="n">
        <x:v>1</x:v>
      </x:c>
      <x:c r="BS315" s="16" t="n">
        <x:v>0.09090909090909091</x:v>
      </x:c>
      <x:c r="BT315" s="14" t="str">
        <x:v>One episode</x:v>
      </x:c>
      <x:c r="BU315" s="14" t="str">
        <x:v>Medium</x:v>
      </x:c>
      <x:c r="BV315" s="14" t="str">
        <x:v>Derived from supplied IMDb episode count and the documented production-total proxy.</x:v>
      </x:c>
      <x:c r="BW315" s="14" t="str">
        <x:v>Unable to determine</x:v>
      </x:c>
      <x:c r="BX315" s="14" t="str">
        <x:v>Supplied cast data establishes the credit and episode presence but does not establish narrative prominence.</x:v>
      </x:c>
      <x:c r="BY315" s="14" t="str">
        <x:v>Supplied IMDb cast-list workbook</x:v>
      </x:c>
      <x:c r="BZ31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tt13125694|nm4579647|parking employee airport uk</x:v>
      </x:c>
      <x:c r="B316" s="14" t="str">
        <x:v>01</x:v>
      </x:c>
      <x:c r="C316" s="14" t="str">
        <x:v>2021_IMDb_Cast_Lists_Batch_01(1).xlsx</x:v>
      </x:c>
      <x:c r="D316" s="14" t="str">
        <x:v>Before We Die</x:v>
      </x:c>
      <x:c r="E316" s="14" t="n">
        <x:v>83</x:v>
      </x:c>
      <x:c r="F316" s="14" t="str">
        <x:v>Before We Die</x:v>
      </x:c>
      <x:c r="G316" s="14" t="str">
        <x:v>tt13125694</x:v>
      </x:c>
      <x:c r="H316" s="14" t="n">
        <x:v>2021</x:v>
      </x:c>
      <x:c r="I316" s="14" t="n">
        <x:v>2023</x:v>
      </x:c>
      <x:c r="J316" s="14" t="str">
        <x:v>Earlier-Production Carry-In Cohort</x:v>
      </x:c>
      <x:c r="K316" s="14" t="n">
        <x:v>2021</x:v>
      </x:c>
      <x:c r="L316" s="14" t="str">
        <x:v>Used in 2023 annual analysis</x:v>
      </x:c>
      <x:c r="M316" s="15" t="n">
        <x:v>76</x:v>
      </x:c>
      <x:c r="N316" s="14" t="str">
        <x:v>Vincenzo De Jonghe</x:v>
      </x:c>
      <x:c r="O316" s="14" t="str">
        <x:v>nm4579647</x:v>
      </x:c>
      <x:c r="P316" s="14" t="str">
        <x:v>Parking Employee Airport UK</x:v>
      </x:c>
      <x:c r="Q316" s="15" t="n">
        <x:v>1</x:v>
      </x:c>
      <x:c r="R316" s="14" t="str">
        <x:v>2023</x:v>
      </x:c>
      <x:c r="S316" s="14" t="n">
        <x:v>2023</x:v>
      </x:c>
      <x:c r="T316" s="14" t="n">
        <x:v>2023</x:v>
      </x:c>
      <x:c r="U316" s="14" t="str">
        <x:v>Post-2021 casting excluded</x:v>
      </x:c>
      <x:c r="V316" s="14" t="str">
        <x:v>Earliest supplied year is 2023, later than the 2021 study year.</x:v>
      </x:c>
      <x:c r="W316" s="14"/>
      <x:c r="X316" s="14" t="str">
        <x:v>Included</x:v>
      </x:c>
      <x:c r="Y316" s="14"/>
      <x:c r="Z316" s="14" t="str">
        <x:v>Before We Die.docx</x:v>
      </x:c>
      <x:c r="AA31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Channel 4 / E4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7" t="e">
        <x:f>HYPERLINK("https://en.wikipedia.org/wiki/Before_We_Die","Open source")</x:f>
        <x:v>HYPERLINK is not implemented. linkLocation=https://en.wikipedia.org/wiki/Before_We_Die,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11</x:v>
      </x:c>
      <x:c r="BP316" s="14" t="str">
        <x:v>Maximum eligible IMDb cast-credit total (11), shared by 5 performer(s); not independently verified as a 2021-only episode total.</x:v>
      </x:c>
      <x:c r="BQ316" s="14" t="str">
        <x:v>Medium</x:v>
      </x:c>
      <x:c r="BR316" s="15" t="n">
        <x:v>1</x:v>
      </x:c>
      <x:c r="BS316" s="16" t="n">
        <x:v>0.09090909090909091</x:v>
      </x:c>
      <x:c r="BT316" s="14" t="str">
        <x:v>One episode</x:v>
      </x:c>
      <x:c r="BU316" s="14" t="str">
        <x:v>Medium</x:v>
      </x:c>
      <x:c r="BV316" s="14" t="str">
        <x:v>Derived from supplied IMDb episode count and the documented production-total proxy.</x:v>
      </x:c>
      <x:c r="BW316" s="14" t="str">
        <x:v>Unable to determine</x:v>
      </x:c>
      <x:c r="BX316" s="14" t="str">
        <x:v>Supplied cast data establishes the credit and episode presence but does not establish narrative prominence.</x:v>
      </x:c>
      <x:c r="BY316" s="14" t="str">
        <x:v>Supplied IMDb cast-list workbook</x:v>
      </x:c>
      <x:c r="BZ31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tt13125694|nm14298371|armed officer 1</x:v>
      </x:c>
      <x:c r="B317" s="14" t="str">
        <x:v>01</x:v>
      </x:c>
      <x:c r="C317" s="14" t="str">
        <x:v>2021_IMDb_Cast_Lists_Batch_01(1).xlsx</x:v>
      </x:c>
      <x:c r="D317" s="14" t="str">
        <x:v>Before We Die</x:v>
      </x:c>
      <x:c r="E317" s="14" t="n">
        <x:v>84</x:v>
      </x:c>
      <x:c r="F317" s="14" t="str">
        <x:v>Before We Die</x:v>
      </x:c>
      <x:c r="G317" s="14" t="str">
        <x:v>tt13125694</x:v>
      </x:c>
      <x:c r="H317" s="14" t="n">
        <x:v>2021</x:v>
      </x:c>
      <x:c r="I317" s="14" t="n">
        <x:v>2023</x:v>
      </x:c>
      <x:c r="J317" s="14" t="str">
        <x:v>Earlier-Production Carry-In Cohort</x:v>
      </x:c>
      <x:c r="K317" s="14" t="n">
        <x:v>2021</x:v>
      </x:c>
      <x:c r="L317" s="14" t="str">
        <x:v>Used in 2023 annual analysis</x:v>
      </x:c>
      <x:c r="M317" s="15" t="n">
        <x:v>77</x:v>
      </x:c>
      <x:c r="N317" s="14" t="str">
        <x:v>Yannick Verbinnen</x:v>
      </x:c>
      <x:c r="O317" s="14" t="str">
        <x:v>nm14298371</x:v>
      </x:c>
      <x:c r="P317" s="14" t="str">
        <x:v>Armed officer 1</x:v>
      </x:c>
      <x:c r="Q317" s="15" t="n">
        <x:v>1</x:v>
      </x:c>
      <x:c r="R317" s="14" t="str">
        <x:v>2023</x:v>
      </x:c>
      <x:c r="S317" s="14" t="n">
        <x:v>2023</x:v>
      </x:c>
      <x:c r="T317" s="14" t="n">
        <x:v>2023</x:v>
      </x:c>
      <x:c r="U317" s="14" t="str">
        <x:v>Post-2021 casting excluded</x:v>
      </x:c>
      <x:c r="V317" s="14" t="str">
        <x:v>Earliest supplied year is 2023, later than the 2021 study year.</x:v>
      </x:c>
      <x:c r="W317" s="14"/>
      <x:c r="X317" s="14" t="str">
        <x:v>Included</x:v>
      </x:c>
      <x:c r="Y317" s="14"/>
      <x:c r="Z317" s="14" t="str">
        <x:v>Before We Die.docx</x:v>
      </x:c>
      <x:c r="AA317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Channel 4 / E4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7" t="e">
        <x:f>HYPERLINK("https://en.wikipedia.org/wiki/Before_We_Die","Open source")</x:f>
        <x:v>HYPERLINK is not implemented. linkLocation=https://en.wikipedia.org/wiki/Before_We_Die,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11</x:v>
      </x:c>
      <x:c r="BP317" s="14" t="str">
        <x:v>Maximum eligible IMDb cast-credit total (11), shared by 5 performer(s); not independently verified as a 2021-only episode total.</x:v>
      </x:c>
      <x:c r="BQ317" s="14" t="str">
        <x:v>Medium</x:v>
      </x:c>
      <x:c r="BR317" s="15" t="n">
        <x:v>1</x:v>
      </x:c>
      <x:c r="BS317" s="16" t="n">
        <x:v>0.09090909090909091</x:v>
      </x:c>
      <x:c r="BT317" s="14" t="str">
        <x:v>One episode</x:v>
      </x:c>
      <x:c r="BU317" s="14" t="str">
        <x:v>Medium</x:v>
      </x:c>
      <x:c r="BV317" s="14" t="str">
        <x:v>Derived from supplied IMDb episode count and the documented production-total proxy.</x:v>
      </x:c>
      <x:c r="BW317" s="14" t="str">
        <x:v>Unable to determine</x:v>
      </x:c>
      <x:c r="BX317" s="14" t="str">
        <x:v>Supplied cast data establishes the credit and episode presence but does not establish narrative prominence.</x:v>
      </x:c>
      <x:c r="BY317" s="14" t="str">
        <x:v>Supplied IMDb cast-list workbook</x:v>
      </x:c>
      <x:c r="BZ317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tt13125694|nm14832556|police inspector</x:v>
      </x:c>
      <x:c r="B318" s="14" t="str">
        <x:v>01</x:v>
      </x:c>
      <x:c r="C318" s="14" t="str">
        <x:v>2021_IMDb_Cast_Lists_Batch_01(1).xlsx</x:v>
      </x:c>
      <x:c r="D318" s="14" t="str">
        <x:v>Before We Die</x:v>
      </x:c>
      <x:c r="E318" s="14" t="n">
        <x:v>85</x:v>
      </x:c>
      <x:c r="F318" s="14" t="str">
        <x:v>Before We Die</x:v>
      </x:c>
      <x:c r="G318" s="14" t="str">
        <x:v>tt13125694</x:v>
      </x:c>
      <x:c r="H318" s="14" t="n">
        <x:v>2021</x:v>
      </x:c>
      <x:c r="I318" s="14" t="n">
        <x:v>2023</x:v>
      </x:c>
      <x:c r="J318" s="14" t="str">
        <x:v>Earlier-Production Carry-In Cohort</x:v>
      </x:c>
      <x:c r="K318" s="14" t="n">
        <x:v>2021</x:v>
      </x:c>
      <x:c r="L318" s="14" t="str">
        <x:v>Used in 2023 annual analysis</x:v>
      </x:c>
      <x:c r="M318" s="15" t="n">
        <x:v>78</x:v>
      </x:c>
      <x:c r="N318" s="14" t="str">
        <x:v>Josse Colsoul</x:v>
      </x:c>
      <x:c r="O318" s="14" t="str">
        <x:v>nm14832556</x:v>
      </x:c>
      <x:c r="P318" s="14" t="str">
        <x:v>Police Inspector</x:v>
      </x:c>
      <x:c r="Q318" s="15" t="n">
        <x:v>1</x:v>
      </x:c>
      <x:c r="R318" s="14" t="str">
        <x:v>2023</x:v>
      </x:c>
      <x:c r="S318" s="14" t="n">
        <x:v>2023</x:v>
      </x:c>
      <x:c r="T318" s="14" t="n">
        <x:v>2023</x:v>
      </x:c>
      <x:c r="U318" s="14" t="str">
        <x:v>Post-2021 casting excluded</x:v>
      </x:c>
      <x:c r="V318" s="14" t="str">
        <x:v>Earliest supplied year is 2023, later than the 2021 study year.</x:v>
      </x:c>
      <x:c r="W318" s="14"/>
      <x:c r="X318" s="14" t="str">
        <x:v>Included</x:v>
      </x:c>
      <x:c r="Y318" s="14"/>
      <x:c r="Z318" s="14" t="str">
        <x:v>Before We Die.docx</x:v>
      </x:c>
      <x:c r="AA318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Channel 4 / E4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7" t="e">
        <x:f>HYPERLINK("https://en.wikipedia.org/wiki/Before_We_Die","Open source")</x:f>
        <x:v>HYPERLINK is not implemented. linkLocation=https://en.wikipedia.org/wiki/Before_We_Die,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11</x:v>
      </x:c>
      <x:c r="BP318" s="14" t="str">
        <x:v>Maximum eligible IMDb cast-credit total (11), shared by 5 performer(s); not independently verified as a 2021-only episode total.</x:v>
      </x:c>
      <x:c r="BQ318" s="14" t="str">
        <x:v>Medium</x:v>
      </x:c>
      <x:c r="BR318" s="15" t="n">
        <x:v>1</x:v>
      </x:c>
      <x:c r="BS318" s="16" t="n">
        <x:v>0.09090909090909091</x:v>
      </x:c>
      <x:c r="BT318" s="14" t="str">
        <x:v>One episode</x:v>
      </x:c>
      <x:c r="BU318" s="14" t="str">
        <x:v>Medium</x:v>
      </x:c>
      <x:c r="BV318" s="14" t="str">
        <x:v>Derived from supplied IMDb episode count and the documented production-total proxy.</x:v>
      </x:c>
      <x:c r="BW318" s="14" t="str">
        <x:v>Unable to determine</x:v>
      </x:c>
      <x:c r="BX318" s="14" t="str">
        <x:v>Supplied cast data establishes the credit and episode presence but does not establish narrative prominence.</x:v>
      </x:c>
      <x:c r="BY318" s="14" t="str">
        <x:v>Supplied IMDb cast-list workbook</x:v>
      </x:c>
      <x:c r="BZ318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tt13125694|nm2920897|armed police 2 (uk airport)</x:v>
      </x:c>
      <x:c r="B319" s="14" t="str">
        <x:v>01</x:v>
      </x:c>
      <x:c r="C319" s="14" t="str">
        <x:v>2021_IMDb_Cast_Lists_Batch_01(1).xlsx</x:v>
      </x:c>
      <x:c r="D319" s="14" t="str">
        <x:v>Before We Die</x:v>
      </x:c>
      <x:c r="E319" s="14" t="n">
        <x:v>86</x:v>
      </x:c>
      <x:c r="F319" s="14" t="str">
        <x:v>Before We Die</x:v>
      </x:c>
      <x:c r="G319" s="14" t="str">
        <x:v>tt13125694</x:v>
      </x:c>
      <x:c r="H319" s="14" t="n">
        <x:v>2021</x:v>
      </x:c>
      <x:c r="I319" s="14" t="n">
        <x:v>2023</x:v>
      </x:c>
      <x:c r="J319" s="14" t="str">
        <x:v>Earlier-Production Carry-In Cohort</x:v>
      </x:c>
      <x:c r="K319" s="14" t="n">
        <x:v>2021</x:v>
      </x:c>
      <x:c r="L319" s="14" t="str">
        <x:v>Used in 2023 annual analysis</x:v>
      </x:c>
      <x:c r="M319" s="15" t="n">
        <x:v>79</x:v>
      </x:c>
      <x:c r="N319" s="14" t="str">
        <x:v>Guy Bleyaert</x:v>
      </x:c>
      <x:c r="O319" s="14" t="str">
        <x:v>nm2920897</x:v>
      </x:c>
      <x:c r="P319" s="14" t="str">
        <x:v>Armed Police 2 (UK Airport)</x:v>
      </x:c>
      <x:c r="Q319" s="15" t="n">
        <x:v>1</x:v>
      </x:c>
      <x:c r="R319" s="14" t="str">
        <x:v>2023</x:v>
      </x:c>
      <x:c r="S319" s="14" t="n">
        <x:v>2023</x:v>
      </x:c>
      <x:c r="T319" s="14" t="n">
        <x:v>2023</x:v>
      </x:c>
      <x:c r="U319" s="14" t="str">
        <x:v>Post-2021 casting excluded</x:v>
      </x:c>
      <x:c r="V319" s="14" t="str">
        <x:v>Earliest supplied year is 2023, later than the 2021 study year.</x:v>
      </x:c>
      <x:c r="W319" s="14"/>
      <x:c r="X319" s="14" t="str">
        <x:v>Included</x:v>
      </x:c>
      <x:c r="Y319" s="14"/>
      <x:c r="Z319" s="14" t="str">
        <x:v>Before We Die.docx</x:v>
      </x:c>
      <x:c r="AA31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Channel 4 / E4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HYPERLINK("https://en.wikipedia.org/wiki/Before_We_Die","Open source")</x:f>
        <x:v>HYPERLINK is not implemented. linkLocation=https://en.wikipedia.org/wiki/Before_We_Die, friendlyName=Open source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11</x:v>
      </x:c>
      <x:c r="BP319" s="14" t="str">
        <x:v>Maximum eligible IMDb cast-credit total (11), shared by 5 performer(s); not independently verified as a 2021-only episode total.</x:v>
      </x:c>
      <x:c r="BQ319" s="14" t="str">
        <x:v>Medium</x:v>
      </x:c>
      <x:c r="BR319" s="15" t="n">
        <x:v>1</x:v>
      </x:c>
      <x:c r="BS319" s="16" t="n">
        <x:v>0.09090909090909091</x:v>
      </x:c>
      <x:c r="BT319" s="14" t="str">
        <x:v>One episode</x:v>
      </x:c>
      <x:c r="BU319" s="14" t="str">
        <x:v>Medium</x:v>
      </x:c>
      <x:c r="BV319" s="14" t="str">
        <x:v>Derived from supplied IMDb episode count and the documented production-total proxy.</x:v>
      </x:c>
      <x:c r="BW319" s="14" t="str">
        <x:v>Unable to determine</x:v>
      </x:c>
      <x:c r="BX319" s="14" t="str">
        <x:v>Supplied cast data establishes the credit and episode presence but does not establish narrative prominence.</x:v>
      </x:c>
      <x:c r="BY319" s="14" t="str">
        <x:v>Supplied IMDb cast-list workbook</x:v>
      </x:c>
      <x:c r="BZ319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tt13125694|nm4850601|paul fisherman quarry</x:v>
      </x:c>
      <x:c r="B320" s="14" t="str">
        <x:v>01</x:v>
      </x:c>
      <x:c r="C320" s="14" t="str">
        <x:v>2021_IMDb_Cast_Lists_Batch_01(1).xlsx</x:v>
      </x:c>
      <x:c r="D320" s="14" t="str">
        <x:v>Before We Die</x:v>
      </x:c>
      <x:c r="E320" s="14" t="n">
        <x:v>87</x:v>
      </x:c>
      <x:c r="F320" s="14" t="str">
        <x:v>Before We Die</x:v>
      </x:c>
      <x:c r="G320" s="14" t="str">
        <x:v>tt13125694</x:v>
      </x:c>
      <x:c r="H320" s="14" t="n">
        <x:v>2021</x:v>
      </x:c>
      <x:c r="I320" s="14" t="n">
        <x:v>2023</x:v>
      </x:c>
      <x:c r="J320" s="14" t="str">
        <x:v>Earlier-Production Carry-In Cohort</x:v>
      </x:c>
      <x:c r="K320" s="14" t="n">
        <x:v>2021</x:v>
      </x:c>
      <x:c r="L320" s="14" t="str">
        <x:v>Used in 2023 annual analysis</x:v>
      </x:c>
      <x:c r="M320" s="15" t="n">
        <x:v>80</x:v>
      </x:c>
      <x:c r="N320" s="14" t="str">
        <x:v>Christopher Brooker</x:v>
      </x:c>
      <x:c r="O320" s="14" t="str">
        <x:v>nm4850601</x:v>
      </x:c>
      <x:c r="P320" s="14" t="str">
        <x:v>Paul Fisherman Quarry</x:v>
      </x:c>
      <x:c r="Q320" s="15" t="n">
        <x:v>1</x:v>
      </x:c>
      <x:c r="R320" s="14" t="str">
        <x:v>2023</x:v>
      </x:c>
      <x:c r="S320" s="14" t="n">
        <x:v>2023</x:v>
      </x:c>
      <x:c r="T320" s="14" t="n">
        <x:v>2023</x:v>
      </x:c>
      <x:c r="U320" s="14" t="str">
        <x:v>Post-2021 casting excluded</x:v>
      </x:c>
      <x:c r="V320" s="14" t="str">
        <x:v>Earliest supplied year is 2023, later than the 2021 study year.</x:v>
      </x:c>
      <x:c r="W320" s="14"/>
      <x:c r="X320" s="14" t="str">
        <x:v>Included</x:v>
      </x:c>
      <x:c r="Y320" s="14"/>
      <x:c r="Z320" s="14" t="str">
        <x:v>Before We Die.docx</x:v>
      </x:c>
      <x:c r="AA32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Channel 4 / E4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HYPERLINK("https://en.wikipedia.org/wiki/Before_We_Die","Open source")</x:f>
        <x:v>HYPERLINK is not implemented. linkLocation=https://en.wikipedia.org/wiki/Before_We_Die, friendlyName=Open source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11</x:v>
      </x:c>
      <x:c r="BP320" s="14" t="str">
        <x:v>Maximum eligible IMDb cast-credit total (11), shared by 5 performer(s); not independently verified as a 2021-only episode total.</x:v>
      </x:c>
      <x:c r="BQ320" s="14" t="str">
        <x:v>Medium</x:v>
      </x:c>
      <x:c r="BR320" s="15" t="n">
        <x:v>1</x:v>
      </x:c>
      <x:c r="BS320" s="16" t="n">
        <x:v>0.09090909090909091</x:v>
      </x:c>
      <x:c r="BT320" s="14" t="str">
        <x:v>One episode</x:v>
      </x:c>
      <x:c r="BU320" s="14" t="str">
        <x:v>Medium</x:v>
      </x:c>
      <x:c r="BV320" s="14" t="str">
        <x:v>Derived from supplied IMDb episode count and the documented production-total proxy.</x:v>
      </x:c>
      <x:c r="BW320" s="14" t="str">
        <x:v>Unable to determine</x:v>
      </x:c>
      <x:c r="BX320" s="14" t="str">
        <x:v>Supplied cast data establishes the credit and episode presence but does not establish narrative prominence.</x:v>
      </x:c>
      <x:c r="BY320" s="14" t="str">
        <x:v>Supplied IMDb cast-list workbook</x:v>
      </x:c>
      <x:c r="BZ320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tt13125694|nm14202450|pool man 1</x:v>
      </x:c>
      <x:c r="B321" s="14" t="str">
        <x:v>01</x:v>
      </x:c>
      <x:c r="C321" s="14" t="str">
        <x:v>2021_IMDb_Cast_Lists_Batch_01(1).xlsx</x:v>
      </x:c>
      <x:c r="D321" s="14" t="str">
        <x:v>Before We Die</x:v>
      </x:c>
      <x:c r="E321" s="14" t="n">
        <x:v>88</x:v>
      </x:c>
      <x:c r="F321" s="14" t="str">
        <x:v>Before We Die</x:v>
      </x:c>
      <x:c r="G321" s="14" t="str">
        <x:v>tt13125694</x:v>
      </x:c>
      <x:c r="H321" s="14" t="n">
        <x:v>2021</x:v>
      </x:c>
      <x:c r="I321" s="14" t="n">
        <x:v>2023</x:v>
      </x:c>
      <x:c r="J321" s="14" t="str">
        <x:v>Earlier-Production Carry-In Cohort</x:v>
      </x:c>
      <x:c r="K321" s="14" t="n">
        <x:v>2021</x:v>
      </x:c>
      <x:c r="L321" s="14" t="str">
        <x:v>Used in 2023 annual analysis</x:v>
      </x:c>
      <x:c r="M321" s="15" t="n">
        <x:v>81</x:v>
      </x:c>
      <x:c r="N321" s="14" t="str">
        <x:v>Christopher Francis</x:v>
      </x:c>
      <x:c r="O321" s="14" t="str">
        <x:v>nm14202450</x:v>
      </x:c>
      <x:c r="P321" s="14" t="str">
        <x:v>Pool Man 1</x:v>
      </x:c>
      <x:c r="Q321" s="15" t="n">
        <x:v>1</x:v>
      </x:c>
      <x:c r="R321" s="14" t="str">
        <x:v>2023</x:v>
      </x:c>
      <x:c r="S321" s="14" t="n">
        <x:v>2023</x:v>
      </x:c>
      <x:c r="T321" s="14" t="n">
        <x:v>2023</x:v>
      </x:c>
      <x:c r="U321" s="14" t="str">
        <x:v>Post-2021 casting excluded</x:v>
      </x:c>
      <x:c r="V321" s="14" t="str">
        <x:v>Earliest supplied year is 2023, later than the 2021 study year.</x:v>
      </x:c>
      <x:c r="W321" s="14"/>
      <x:c r="X321" s="14" t="str">
        <x:v>Included</x:v>
      </x:c>
      <x:c r="Y321" s="14"/>
      <x:c r="Z321" s="14" t="str">
        <x:v>Before We Die.docx</x:v>
      </x:c>
      <x:c r="AA32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Channel 4 / E4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HYPERLINK("https://en.wikipedia.org/wiki/Before_We_Die","Open source")</x:f>
        <x:v>HYPERLINK is not implemented. linkLocation=https://en.wikipedia.org/wiki/Before_We_Die, friendlyName=Open source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11</x:v>
      </x:c>
      <x:c r="BP321" s="14" t="str">
        <x:v>Maximum eligible IMDb cast-credit total (11), shared by 5 performer(s); not independently verified as a 2021-only episode total.</x:v>
      </x:c>
      <x:c r="BQ321" s="14" t="str">
        <x:v>Medium</x:v>
      </x:c>
      <x:c r="BR321" s="15" t="n">
        <x:v>1</x:v>
      </x:c>
      <x:c r="BS321" s="16" t="n">
        <x:v>0.09090909090909091</x:v>
      </x:c>
      <x:c r="BT321" s="14" t="str">
        <x:v>One episode</x:v>
      </x:c>
      <x:c r="BU321" s="14" t="str">
        <x:v>Medium</x:v>
      </x:c>
      <x:c r="BV321" s="14" t="str">
        <x:v>Derived from supplied IMDb episode count and the documented production-total proxy.</x:v>
      </x:c>
      <x:c r="BW321" s="14" t="str">
        <x:v>Unable to determine</x:v>
      </x:c>
      <x:c r="BX321" s="14" t="str">
        <x:v>Supplied cast data establishes the credit and episode presence but does not establish narrative prominence.</x:v>
      </x:c>
      <x:c r="BY321" s="14" t="str">
        <x:v>Supplied IMDb cast-list workbook</x:v>
      </x:c>
      <x:c r="BZ321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tt13125694|nm11129112|cr cafe owner costa rica</x:v>
      </x:c>
      <x:c r="B322" s="14" t="str">
        <x:v>01</x:v>
      </x:c>
      <x:c r="C322" s="14" t="str">
        <x:v>2021_IMDb_Cast_Lists_Batch_01(1).xlsx</x:v>
      </x:c>
      <x:c r="D322" s="14" t="str">
        <x:v>Before We Die</x:v>
      </x:c>
      <x:c r="E322" s="14" t="n">
        <x:v>89</x:v>
      </x:c>
      <x:c r="F322" s="14" t="str">
        <x:v>Before We Die</x:v>
      </x:c>
      <x:c r="G322" s="14" t="str">
        <x:v>tt13125694</x:v>
      </x:c>
      <x:c r="H322" s="14" t="n">
        <x:v>2021</x:v>
      </x:c>
      <x:c r="I322" s="14" t="n">
        <x:v>2023</x:v>
      </x:c>
      <x:c r="J322" s="14" t="str">
        <x:v>Earlier-Production Carry-In Cohort</x:v>
      </x:c>
      <x:c r="K322" s="14" t="n">
        <x:v>2021</x:v>
      </x:c>
      <x:c r="L322" s="14" t="str">
        <x:v>Used in 2023 annual analysis</x:v>
      </x:c>
      <x:c r="M322" s="15" t="n">
        <x:v>82</x:v>
      </x:c>
      <x:c r="N322" s="14" t="str">
        <x:v>Pablo Milonakos</x:v>
      </x:c>
      <x:c r="O322" s="14" t="str">
        <x:v>nm11129112</x:v>
      </x:c>
      <x:c r="P322" s="14" t="str">
        <x:v>CR Cafe Owner Costa Rica</x:v>
      </x:c>
      <x:c r="Q322" s="15" t="n">
        <x:v>1</x:v>
      </x:c>
      <x:c r="R322" s="14" t="str">
        <x:v>2023</x:v>
      </x:c>
      <x:c r="S322" s="14" t="n">
        <x:v>2023</x:v>
      </x:c>
      <x:c r="T322" s="14" t="n">
        <x:v>2023</x:v>
      </x:c>
      <x:c r="U322" s="14" t="str">
        <x:v>Post-2021 casting excluded</x:v>
      </x:c>
      <x:c r="V322" s="14" t="str">
        <x:v>Earliest supplied year is 2023, later than the 2021 study year.</x:v>
      </x:c>
      <x:c r="W322" s="14"/>
      <x:c r="X322" s="14" t="str">
        <x:v>Included</x:v>
      </x:c>
      <x:c r="Y322" s="14"/>
      <x:c r="Z322" s="14" t="str">
        <x:v>Before We Die.docx</x:v>
      </x:c>
      <x:c r="AA32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Channel 4 / E4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HYPERLINK("https://en.wikipedia.org/wiki/Before_We_Die","Open source")</x:f>
        <x:v>HYPERLINK is not implemented. linkLocation=https://en.wikipedia.org/wiki/Before_We_Die, friendlyName=Open source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11</x:v>
      </x:c>
      <x:c r="BP322" s="14" t="str">
        <x:v>Maximum eligible IMDb cast-credit total (11), shared by 5 performer(s); not independently verified as a 2021-only episode total.</x:v>
      </x:c>
      <x:c r="BQ322" s="14" t="str">
        <x:v>Medium</x:v>
      </x:c>
      <x:c r="BR322" s="15" t="n">
        <x:v>1</x:v>
      </x:c>
      <x:c r="BS322" s="16" t="n">
        <x:v>0.09090909090909091</x:v>
      </x:c>
      <x:c r="BT322" s="14" t="str">
        <x:v>One episode</x:v>
      </x:c>
      <x:c r="BU322" s="14" t="str">
        <x:v>Medium</x:v>
      </x:c>
      <x:c r="BV322" s="14" t="str">
        <x:v>Derived from supplied IMDb episode count and the documented production-total proxy.</x:v>
      </x:c>
      <x:c r="BW322" s="14" t="str">
        <x:v>Unable to determine</x:v>
      </x:c>
      <x:c r="BX322" s="14" t="str">
        <x:v>Supplied cast data establishes the credit and episode presence but does not establish narrative prominence.</x:v>
      </x:c>
      <x:c r="BY322" s="14" t="str">
        <x:v>Supplied IMDb cast-list workbook</x:v>
      </x:c>
      <x:c r="BZ322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tt13125694|nm14298370|5-year-old christian</x:v>
      </x:c>
      <x:c r="B323" s="14" t="str">
        <x:v>01</x:v>
      </x:c>
      <x:c r="C323" s="14" t="str">
        <x:v>2021_IMDb_Cast_Lists_Batch_01(1).xlsx</x:v>
      </x:c>
      <x:c r="D323" s="14" t="str">
        <x:v>Before We Die</x:v>
      </x:c>
      <x:c r="E323" s="14" t="n">
        <x:v>90</x:v>
      </x:c>
      <x:c r="F323" s="14" t="str">
        <x:v>Before We Die</x:v>
      </x:c>
      <x:c r="G323" s="14" t="str">
        <x:v>tt13125694</x:v>
      </x:c>
      <x:c r="H323" s="14" t="n">
        <x:v>2021</x:v>
      </x:c>
      <x:c r="I323" s="14" t="n">
        <x:v>2023</x:v>
      </x:c>
      <x:c r="J323" s="14" t="str">
        <x:v>Earlier-Production Carry-In Cohort</x:v>
      </x:c>
      <x:c r="K323" s="14" t="n">
        <x:v>2021</x:v>
      </x:c>
      <x:c r="L323" s="14" t="str">
        <x:v>Used in 2023 annual analysis</x:v>
      </x:c>
      <x:c r="M323" s="15" t="n">
        <x:v>83</x:v>
      </x:c>
      <x:c r="N323" s="14" t="str">
        <x:v>Emile Stelandre</x:v>
      </x:c>
      <x:c r="O323" s="14" t="str">
        <x:v>nm14298370</x:v>
      </x:c>
      <x:c r="P323" s="14" t="str">
        <x:v>5-Year-Old Christian</x:v>
      </x:c>
      <x:c r="Q323" s="15" t="n">
        <x:v>1</x:v>
      </x:c>
      <x:c r="R323" s="14" t="str">
        <x:v>2023</x:v>
      </x:c>
      <x:c r="S323" s="14" t="n">
        <x:v>2023</x:v>
      </x:c>
      <x:c r="T323" s="14" t="n">
        <x:v>2023</x:v>
      </x:c>
      <x:c r="U323" s="14" t="str">
        <x:v>Post-2021 casting excluded</x:v>
      </x:c>
      <x:c r="V323" s="14" t="str">
        <x:v>Earliest supplied year is 2023, later than the 2021 study year.</x:v>
      </x:c>
      <x:c r="W323" s="14"/>
      <x:c r="X323" s="14" t="str">
        <x:v>Included</x:v>
      </x:c>
      <x:c r="Y323" s="14"/>
      <x:c r="Z323" s="14" t="str">
        <x:v>Before We Die.docx</x:v>
      </x:c>
      <x:c r="AA32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Channel 4 / E4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HYPERLINK("https://en.wikipedia.org/wiki/Before_We_Die","Open source")</x:f>
        <x:v>HYPERLINK is not implemented. linkLocation=https://en.wikipedia.org/wiki/Before_We_Die, friendlyName=Open source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11</x:v>
      </x:c>
      <x:c r="BP323" s="14" t="str">
        <x:v>Maximum eligible IMDb cast-credit total (11), shared by 5 performer(s); not independently verified as a 2021-only episode total.</x:v>
      </x:c>
      <x:c r="BQ323" s="14" t="str">
        <x:v>Medium</x:v>
      </x:c>
      <x:c r="BR323" s="15" t="n">
        <x:v>1</x:v>
      </x:c>
      <x:c r="BS323" s="16" t="n">
        <x:v>0.09090909090909091</x:v>
      </x:c>
      <x:c r="BT323" s="14" t="str">
        <x:v>One episode</x:v>
      </x:c>
      <x:c r="BU323" s="14" t="str">
        <x:v>Medium</x:v>
      </x:c>
      <x:c r="BV323" s="14" t="str">
        <x:v>Derived from supplied IMDb episode count and the documented production-total proxy.</x:v>
      </x:c>
      <x:c r="BW323" s="14" t="str">
        <x:v>Unable to determine</x:v>
      </x:c>
      <x:c r="BX323" s="14" t="str">
        <x:v>Supplied cast data establishes the credit and episode presence but does not establish narrative prominence.</x:v>
      </x:c>
      <x:c r="BY323" s="14" t="str">
        <x:v>Supplied IMDb cast-list workbook</x:v>
      </x:c>
      <x:c r="BZ323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tt13125694|nm14202451|bob fisherman quarry</x:v>
      </x:c>
      <x:c r="B324" s="14" t="str">
        <x:v>01</x:v>
      </x:c>
      <x:c r="C324" s="14" t="str">
        <x:v>2021_IMDb_Cast_Lists_Batch_01(1).xlsx</x:v>
      </x:c>
      <x:c r="D324" s="14" t="str">
        <x:v>Before We Die</x:v>
      </x:c>
      <x:c r="E324" s="14" t="n">
        <x:v>91</x:v>
      </x:c>
      <x:c r="F324" s="14" t="str">
        <x:v>Before We Die</x:v>
      </x:c>
      <x:c r="G324" s="14" t="str">
        <x:v>tt13125694</x:v>
      </x:c>
      <x:c r="H324" s="14" t="n">
        <x:v>2021</x:v>
      </x:c>
      <x:c r="I324" s="14" t="n">
        <x:v>2023</x:v>
      </x:c>
      <x:c r="J324" s="14" t="str">
        <x:v>Earlier-Production Carry-In Cohort</x:v>
      </x:c>
      <x:c r="K324" s="14" t="n">
        <x:v>2021</x:v>
      </x:c>
      <x:c r="L324" s="14" t="str">
        <x:v>Used in 2023 annual analysis</x:v>
      </x:c>
      <x:c r="M324" s="15" t="n">
        <x:v>84</x:v>
      </x:c>
      <x:c r="N324" s="14" t="str">
        <x:v>Simon Turner</x:v>
      </x:c>
      <x:c r="O324" s="14" t="str">
        <x:v>nm14202451</x:v>
      </x:c>
      <x:c r="P324" s="14" t="str">
        <x:v>Bob Fisherman Quarry</x:v>
      </x:c>
      <x:c r="Q324" s="15" t="n">
        <x:v>1</x:v>
      </x:c>
      <x:c r="R324" s="14" t="str">
        <x:v>2023</x:v>
      </x:c>
      <x:c r="S324" s="14" t="n">
        <x:v>2023</x:v>
      </x:c>
      <x:c r="T324" s="14" t="n">
        <x:v>2023</x:v>
      </x:c>
      <x:c r="U324" s="14" t="str">
        <x:v>Post-2021 casting excluded</x:v>
      </x:c>
      <x:c r="V324" s="14" t="str">
        <x:v>Earliest supplied year is 2023, later than the 2021 study year.</x:v>
      </x:c>
      <x:c r="W324" s="14"/>
      <x:c r="X324" s="14" t="str">
        <x:v>Included</x:v>
      </x:c>
      <x:c r="Y324" s="14"/>
      <x:c r="Z324" s="14" t="str">
        <x:v>Before We Die.docx</x:v>
      </x:c>
      <x:c r="AA32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Channel 4 / E4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HYPERLINK("https://en.wikipedia.org/wiki/Before_We_Die","Open source")</x:f>
        <x:v>HYPERLINK is not implemented. linkLocation=https://en.wikipedia.org/wiki/Before_We_Die, friendlyName=Open source</x:v>
      </x:c>
      <x:c r="AN324" s="14" t="str">
        <x:v>No qualifying BBC relationship</x:v>
      </x:c>
      <x:c r="AO324" s="14" t="str">
        <x:v>No</x:v>
      </x:c>
      <x:c r="AP324" s="14" t="str">
        <x:v>Out of scope</x:v>
      </x:c>
      <x:c r="AQ324" s="14" t="str">
        <x:v>No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11</x:v>
      </x:c>
      <x:c r="BP324" s="14" t="str">
        <x:v>Maximum eligible IMDb cast-credit total (11), shared by 5 performer(s); not independently verified as a 2021-only episode total.</x:v>
      </x:c>
      <x:c r="BQ324" s="14" t="str">
        <x:v>Medium</x:v>
      </x:c>
      <x:c r="BR324" s="15" t="n">
        <x:v>1</x:v>
      </x:c>
      <x:c r="BS324" s="16" t="n">
        <x:v>0.09090909090909091</x:v>
      </x:c>
      <x:c r="BT324" s="14" t="str">
        <x:v>One episode</x:v>
      </x:c>
      <x:c r="BU324" s="14" t="str">
        <x:v>Medium</x:v>
      </x:c>
      <x:c r="BV324" s="14" t="str">
        <x:v>Derived from supplied IMDb episode count and the documented production-total proxy.</x:v>
      </x:c>
      <x:c r="BW324" s="14" t="str">
        <x:v>Unable to determine</x:v>
      </x:c>
      <x:c r="BX324" s="14" t="str">
        <x:v>Supplied cast data establishes the credit and episode presence but does not establish narrative prominence.</x:v>
      </x:c>
      <x:c r="BY324" s="14" t="str">
        <x:v>Supplied IMDb cast-list workbook</x:v>
      </x:c>
      <x:c r="BZ324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tt13125694|nm13799905|uk border officer</x:v>
      </x:c>
      <x:c r="B325" s="14" t="str">
        <x:v>01</x:v>
      </x:c>
      <x:c r="C325" s="14" t="str">
        <x:v>2021_IMDb_Cast_Lists_Batch_01(1).xlsx</x:v>
      </x:c>
      <x:c r="D325" s="14" t="str">
        <x:v>Before We Die</x:v>
      </x:c>
      <x:c r="E325" s="14" t="n">
        <x:v>92</x:v>
      </x:c>
      <x:c r="F325" s="14" t="str">
        <x:v>Before We Die</x:v>
      </x:c>
      <x:c r="G325" s="14" t="str">
        <x:v>tt13125694</x:v>
      </x:c>
      <x:c r="H325" s="14" t="n">
        <x:v>2021</x:v>
      </x:c>
      <x:c r="I325" s="14" t="n">
        <x:v>2023</x:v>
      </x:c>
      <x:c r="J325" s="14" t="str">
        <x:v>Earlier-Production Carry-In Cohort</x:v>
      </x:c>
      <x:c r="K325" s="14" t="n">
        <x:v>2021</x:v>
      </x:c>
      <x:c r="L325" s="14" t="str">
        <x:v>Used in 2023 annual analysis</x:v>
      </x:c>
      <x:c r="M325" s="15" t="n">
        <x:v>85</x:v>
      </x:c>
      <x:c r="N325" s="14" t="str">
        <x:v>Emma Verdonck</x:v>
      </x:c>
      <x:c r="O325" s="14" t="str">
        <x:v>nm13799905</x:v>
      </x:c>
      <x:c r="P325" s="14" t="str">
        <x:v>UK Border Officer</x:v>
      </x:c>
      <x:c r="Q325" s="15" t="n">
        <x:v>1</x:v>
      </x:c>
      <x:c r="R325" s="14" t="str">
        <x:v>2023</x:v>
      </x:c>
      <x:c r="S325" s="14" t="n">
        <x:v>2023</x:v>
      </x:c>
      <x:c r="T325" s="14" t="n">
        <x:v>2023</x:v>
      </x:c>
      <x:c r="U325" s="14" t="str">
        <x:v>Post-2021 casting excluded</x:v>
      </x:c>
      <x:c r="V325" s="14" t="str">
        <x:v>Earliest supplied year is 2023, later than the 2021 study year.</x:v>
      </x:c>
      <x:c r="W325" s="14"/>
      <x:c r="X325" s="14" t="str">
        <x:v>Included</x:v>
      </x:c>
      <x:c r="Y325" s="14"/>
      <x:c r="Z325" s="14" t="str">
        <x:v>Before We Die.docx</x:v>
      </x:c>
      <x:c r="AA32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Channel 4 / E4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HYPERLINK("https://en.wikipedia.org/wiki/Before_We_Die","Open source")</x:f>
        <x:v>HYPERLINK is not implemented. linkLocation=https://en.wikipedia.org/wiki/Before_We_Die, friendlyName=Open source</x:v>
      </x:c>
      <x:c r="AN325" s="14" t="str">
        <x:v>No qualifying BBC relationship</x:v>
      </x:c>
      <x:c r="AO325" s="14" t="str">
        <x:v>No</x:v>
      </x:c>
      <x:c r="AP325" s="14" t="str">
        <x:v>Out of scope</x:v>
      </x:c>
      <x:c r="AQ325" s="14" t="str">
        <x:v>No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11</x:v>
      </x:c>
      <x:c r="BP325" s="14" t="str">
        <x:v>Maximum eligible IMDb cast-credit total (11), shared by 5 performer(s); not independently verified as a 2021-only episode total.</x:v>
      </x:c>
      <x:c r="BQ325" s="14" t="str">
        <x:v>Medium</x:v>
      </x:c>
      <x:c r="BR325" s="15" t="n">
        <x:v>1</x:v>
      </x:c>
      <x:c r="BS325" s="16" t="n">
        <x:v>0.09090909090909091</x:v>
      </x:c>
      <x:c r="BT325" s="14" t="str">
        <x:v>One episode</x:v>
      </x:c>
      <x:c r="BU325" s="14" t="str">
        <x:v>Medium</x:v>
      </x:c>
      <x:c r="BV325" s="14" t="str">
        <x:v>Derived from supplied IMDb episode count and the documented production-total proxy.</x:v>
      </x:c>
      <x:c r="BW325" s="14" t="str">
        <x:v>Unable to determine</x:v>
      </x:c>
      <x:c r="BX325" s="14" t="str">
        <x:v>Supplied cast data establishes the credit and episode presence but does not establish narrative prominence.</x:v>
      </x:c>
      <x:c r="BY325" s="14" t="str">
        <x:v>Supplied IMDb cast-list workbook</x:v>
      </x:c>
      <x:c r="BZ325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tt13125694|nm14202448|funeral director</x:v>
      </x:c>
      <x:c r="B326" s="14" t="str">
        <x:v>01</x:v>
      </x:c>
      <x:c r="C326" s="14" t="str">
        <x:v>2021_IMDb_Cast_Lists_Batch_01(1).xlsx</x:v>
      </x:c>
      <x:c r="D326" s="14" t="str">
        <x:v>Before We Die</x:v>
      </x:c>
      <x:c r="E326" s="14" t="n">
        <x:v>93</x:v>
      </x:c>
      <x:c r="F326" s="14" t="str">
        <x:v>Before We Die</x:v>
      </x:c>
      <x:c r="G326" s="14" t="str">
        <x:v>tt13125694</x:v>
      </x:c>
      <x:c r="H326" s="14" t="n">
        <x:v>2021</x:v>
      </x:c>
      <x:c r="I326" s="14" t="n">
        <x:v>2023</x:v>
      </x:c>
      <x:c r="J326" s="14" t="str">
        <x:v>Earlier-Production Carry-In Cohort</x:v>
      </x:c>
      <x:c r="K326" s="14" t="n">
        <x:v>2021</x:v>
      </x:c>
      <x:c r="L326" s="14" t="str">
        <x:v>Used in 2023 annual analysis</x:v>
      </x:c>
      <x:c r="M326" s="15" t="n">
        <x:v>86</x:v>
      </x:c>
      <x:c r="N326" s="14" t="str">
        <x:v>Richard Turner</x:v>
      </x:c>
      <x:c r="O326" s="14" t="str">
        <x:v>nm14202448</x:v>
      </x:c>
      <x:c r="P326" s="14" t="str">
        <x:v>Funeral Director</x:v>
      </x:c>
      <x:c r="Q326" s="15" t="n">
        <x:v>1</x:v>
      </x:c>
      <x:c r="R326" s="14" t="str">
        <x:v>2023</x:v>
      </x:c>
      <x:c r="S326" s="14" t="n">
        <x:v>2023</x:v>
      </x:c>
      <x:c r="T326" s="14" t="n">
        <x:v>2023</x:v>
      </x:c>
      <x:c r="U326" s="14" t="str">
        <x:v>Post-2021 casting excluded</x:v>
      </x:c>
      <x:c r="V326" s="14" t="str">
        <x:v>Earliest supplied year is 2023, later than the 2021 study year.</x:v>
      </x:c>
      <x:c r="W326" s="14"/>
      <x:c r="X326" s="14" t="str">
        <x:v>Included</x:v>
      </x:c>
      <x:c r="Y326" s="14"/>
      <x:c r="Z326" s="14" t="str">
        <x:v>Before We Die.docx</x:v>
      </x:c>
      <x:c r="AA32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Channel 4 / E4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HYPERLINK("https://en.wikipedia.org/wiki/Before_We_Die","Open source")</x:f>
        <x:v>HYPERLINK is not implemented. linkLocation=https://en.wikipedia.org/wiki/Before_We_Die, friendlyName=Open source</x:v>
      </x:c>
      <x:c r="AN326" s="14" t="str">
        <x:v>No qualifying BBC relationship</x:v>
      </x:c>
      <x:c r="AO326" s="14" t="str">
        <x:v>No</x:v>
      </x:c>
      <x:c r="AP326" s="14" t="str">
        <x:v>Out of scope</x:v>
      </x:c>
      <x:c r="AQ326" s="14" t="str">
        <x:v>No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11</x:v>
      </x:c>
      <x:c r="BP326" s="14" t="str">
        <x:v>Maximum eligible IMDb cast-credit total (11), shared by 5 performer(s); not independently verified as a 2021-only episode total.</x:v>
      </x:c>
      <x:c r="BQ326" s="14" t="str">
        <x:v>Medium</x:v>
      </x:c>
      <x:c r="BR326" s="15" t="n">
        <x:v>1</x:v>
      </x:c>
      <x:c r="BS326" s="16" t="n">
        <x:v>0.09090909090909091</x:v>
      </x:c>
      <x:c r="BT326" s="14" t="str">
        <x:v>One episode</x:v>
      </x:c>
      <x:c r="BU326" s="14" t="str">
        <x:v>Medium</x:v>
      </x:c>
      <x:c r="BV326" s="14" t="str">
        <x:v>Derived from supplied IMDb episode count and the documented production-total proxy.</x:v>
      </x:c>
      <x:c r="BW326" s="14" t="str">
        <x:v>Unable to determine</x:v>
      </x:c>
      <x:c r="BX326" s="14" t="str">
        <x:v>Supplied cast data establishes the credit and episode presence but does not establish narrative prominence.</x:v>
      </x:c>
      <x:c r="BY326" s="14" t="str">
        <x:v>Supplied IMDb cast-list workbook</x:v>
      </x:c>
      <x:c r="BZ326" s="17" t="e">
        <x:f>HYPERLINK("https://www.imdb.com/title/tt13125694/fullcredits/","Open source")</x:f>
        <x:v>HYPERLINK is not implemented. linkLocation=https://www.imdb.com/title/tt13125694/fullcredits/,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tt13430420|nm4337810|ds daniel tarrant</x:v>
      </x:c>
      <x:c r="B327" s="14" t="str">
        <x:v>01</x:v>
      </x:c>
      <x:c r="C327" s="14" t="str">
        <x:v>2021_IMDb_Cast_Lists_Batch_01(1).xlsx</x:v>
      </x:c>
      <x:c r="D327" s="14" t="str">
        <x:v>Dalgliesh</x:v>
      </x:c>
      <x:c r="E327" s="14" t="n">
        <x:v>10</x:v>
      </x:c>
      <x:c r="F327" s="14" t="str">
        <x:v>Dalgliesh</x:v>
      </x:c>
      <x:c r="G327" s="14" t="str">
        <x:v>tt13430420</x:v>
      </x:c>
      <x:c r="H327" s="14" t="n">
        <x:v>2021</x:v>
      </x:c>
      <x:c r="I327" s="14" t="n">
        <x:v>2023</x:v>
      </x:c>
      <x:c r="J327" s="14" t="str">
        <x:v>Earlier-Production Carry-In Cohort</x:v>
      </x:c>
      <x:c r="K327" s="14" t="n">
        <x:v>2021</x:v>
      </x:c>
      <x:c r="L327" s="14" t="str">
        <x:v>Used in 2023 annual analysis</x:v>
      </x:c>
      <x:c r="M327" s="15" t="n">
        <x:v>3</x:v>
      </x:c>
      <x:c r="N327" s="14" t="str">
        <x:v>Alistair Brammer</x:v>
      </x:c>
      <x:c r="O327" s="14" t="str">
        <x:v>nm4337810</x:v>
      </x:c>
      <x:c r="P327" s="14" t="str">
        <x:v>DS Daniel Tarrant</x:v>
      </x:c>
      <x:c r="Q327" s="15" t="n">
        <x:v>6</x:v>
      </x:c>
      <x:c r="R327" s="14" t="str">
        <x:v>2023–2024</x:v>
      </x:c>
      <x:c r="S327" s="14" t="n">
        <x:v>2023</x:v>
      </x:c>
      <x:c r="T327" s="14" t="n">
        <x:v>2023</x:v>
      </x:c>
      <x:c r="U327" s="14" t="str">
        <x:v>Post-2021 casting excluded</x:v>
      </x:c>
      <x:c r="V327" s="14" t="str">
        <x:v>Earliest supplied year is 2023, later than the 2021 study year.</x:v>
      </x:c>
      <x:c r="W327" s="14"/>
      <x:c r="X327" s="14" t="str">
        <x:v>Included</x:v>
      </x:c>
      <x:c r="Y327" s="14"/>
      <x:c r="Z327" s="14" t="str">
        <x:v>Dalgliesh.docx</x:v>
      </x:c>
      <x:c r="AA32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Channel 5 / 5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HYPERLINK("https://en.wikipedia.org/wiki/Dalglish","Open source")</x:f>
        <x:v>HYPERLINK is not implemented. linkLocation=https://en.wikipedia.org/wiki/Dalglish, friendlyName=Open source</x:v>
      </x:c>
      <x:c r="AN327" s="14" t="str">
        <x:v>No qualifying BBC relationship</x:v>
      </x:c>
      <x:c r="AO327" s="14" t="str">
        <x:v>No</x:v>
      </x:c>
      <x:c r="AP327" s="14" t="str">
        <x:v>Out of scope</x:v>
      </x:c>
      <x:c r="AQ327" s="14" t="str">
        <x:v>No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18</x:v>
      </x:c>
      <x:c r="BP327" s="14" t="str">
        <x:v>Maximum eligible IMDb cast-credit total (18), shared by 1 performer(s); not independently verified as a 2021-only episode total.</x:v>
      </x:c>
      <x:c r="BQ327" s="14" t="str">
        <x:v>Low</x:v>
      </x:c>
      <x:c r="BR327" s="15" t="n">
        <x:v>6</x:v>
      </x:c>
      <x:c r="BS327" s="16" t="n">
        <x:v>0.3333333333333333</x:v>
      </x:c>
      <x:c r="BT327" s="14" t="str">
        <x:v>Minority of episodes</x:v>
      </x:c>
      <x:c r="BU327" s="14" t="str">
        <x:v>Low</x:v>
      </x:c>
      <x:c r="BV327" s="14" t="str">
        <x:v>Derived from supplied IMDb episode count and the documented production-total proxy.</x:v>
      </x:c>
      <x:c r="BW327" s="14" t="str">
        <x:v>Unable to determine</x:v>
      </x:c>
      <x:c r="BX327" s="14" t="str">
        <x:v>Supplied cast data establishes the credit and episode presence but does not establish narrative prominence.</x:v>
      </x:c>
      <x:c r="BY327" s="14" t="str">
        <x:v>Supplied IMDb cast-list workbook</x:v>
      </x:c>
      <x:c r="BZ32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tt13430420|nm7971189|garry ashe</x:v>
      </x:c>
      <x:c r="B328" s="14" t="str">
        <x:v>01</x:v>
      </x:c>
      <x:c r="C328" s="14" t="str">
        <x:v>2021_IMDb_Cast_Lists_Batch_01(1).xlsx</x:v>
      </x:c>
      <x:c r="D328" s="14" t="str">
        <x:v>Dalgliesh</x:v>
      </x:c>
      <x:c r="E328" s="14" t="n">
        <x:v>14</x:v>
      </x:c>
      <x:c r="F328" s="14" t="str">
        <x:v>Dalgliesh</x:v>
      </x:c>
      <x:c r="G328" s="14" t="str">
        <x:v>tt13430420</x:v>
      </x:c>
      <x:c r="H328" s="14" t="n">
        <x:v>2021</x:v>
      </x:c>
      <x:c r="I328" s="14" t="n">
        <x:v>2023</x:v>
      </x:c>
      <x:c r="J328" s="14" t="str">
        <x:v>Earlier-Production Carry-In Cohort</x:v>
      </x:c>
      <x:c r="K328" s="14" t="n">
        <x:v>2021</x:v>
      </x:c>
      <x:c r="L328" s="14" t="str">
        <x:v>Used in 2023 annual analysis</x:v>
      </x:c>
      <x:c r="M328" s="15" t="n">
        <x:v>7</x:v>
      </x:c>
      <x:c r="N328" s="14" t="str">
        <x:v>Yaseen Aroussi</x:v>
      </x:c>
      <x:c r="O328" s="14" t="str">
        <x:v>nm7971189</x:v>
      </x:c>
      <x:c r="P328" s="14" t="str">
        <x:v>Garry Ashe</x:v>
      </x:c>
      <x:c r="Q328" s="15" t="n">
        <x:v>2</x:v>
      </x:c>
      <x:c r="R328" s="14" t="str">
        <x:v>2023</x:v>
      </x:c>
      <x:c r="S328" s="14" t="n">
        <x:v>2023</x:v>
      </x:c>
      <x:c r="T328" s="14" t="n">
        <x:v>2023</x:v>
      </x:c>
      <x:c r="U328" s="14" t="str">
        <x:v>Post-2021 casting excluded</x:v>
      </x:c>
      <x:c r="V328" s="14" t="str">
        <x:v>Earliest supplied year is 2023, later than the 2021 study year.</x:v>
      </x:c>
      <x:c r="W328" s="14"/>
      <x:c r="X328" s="14" t="str">
        <x:v>Included</x:v>
      </x:c>
      <x:c r="Y328" s="14"/>
      <x:c r="Z328" s="14" t="str">
        <x:v>Dalgliesh.docx</x:v>
      </x:c>
      <x:c r="AA32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Channel 5 / 5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HYPERLINK("https://en.wikipedia.org/wiki/Dalglish","Open source")</x:f>
        <x:v>HYPERLINK is not implemented. linkLocation=https://en.wikipedia.org/wiki/Dalglish, friendlyName=Open source</x:v>
      </x:c>
      <x:c r="AN328" s="14" t="str">
        <x:v>No qualifying BBC relationship</x:v>
      </x:c>
      <x:c r="AO328" s="14" t="str">
        <x:v>No</x:v>
      </x:c>
      <x:c r="AP328" s="14" t="str">
        <x:v>Out of scope</x:v>
      </x:c>
      <x:c r="AQ328" s="14" t="str">
        <x:v>No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18</x:v>
      </x:c>
      <x:c r="BP328" s="14" t="str">
        <x:v>Maximum eligible IMDb cast-credit total (18), shared by 1 performer(s); not independently verified as a 2021-only episode total.</x:v>
      </x:c>
      <x:c r="BQ328" s="14" t="str">
        <x:v>Low</x:v>
      </x:c>
      <x:c r="BR328" s="15" t="n">
        <x:v>2</x:v>
      </x:c>
      <x:c r="BS328" s="16" t="n">
        <x:v>0.1111111111111111</x:v>
      </x:c>
      <x:c r="BT328" s="14" t="str">
        <x:v>Minority of episodes</x:v>
      </x:c>
      <x:c r="BU328" s="14" t="str">
        <x:v>Low</x:v>
      </x:c>
      <x:c r="BV328" s="14" t="str">
        <x:v>Derived from supplied IMDb episode count and the documented production-total proxy.</x:v>
      </x:c>
      <x:c r="BW328" s="14" t="str">
        <x:v>Unable to determine</x:v>
      </x:c>
      <x:c r="BX328" s="14" t="str">
        <x:v>Supplied cast data establishes the credit and episode presence but does not establish narrative prominence.</x:v>
      </x:c>
      <x:c r="BY328" s="14" t="str">
        <x:v>Supplied IMDb cast-list workbook</x:v>
      </x:c>
      <x:c r="BZ32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tt13430420|nm0384826|marie strickland</x:v>
      </x:c>
      <x:c r="B329" s="14" t="str">
        <x:v>01</x:v>
      </x:c>
      <x:c r="C329" s="14" t="str">
        <x:v>2021_IMDb_Cast_Lists_Batch_01(1).xlsx</x:v>
      </x:c>
      <x:c r="D329" s="14" t="str">
        <x:v>Dalgliesh</x:v>
      </x:c>
      <x:c r="E329" s="14" t="n">
        <x:v>18</x:v>
      </x:c>
      <x:c r="F329" s="14" t="str">
        <x:v>Dalgliesh</x:v>
      </x:c>
      <x:c r="G329" s="14" t="str">
        <x:v>tt13430420</x:v>
      </x:c>
      <x:c r="H329" s="14" t="n">
        <x:v>2021</x:v>
      </x:c>
      <x:c r="I329" s="14" t="n">
        <x:v>2023</x:v>
      </x:c>
      <x:c r="J329" s="14" t="str">
        <x:v>Earlier-Production Carry-In Cohort</x:v>
      </x:c>
      <x:c r="K329" s="14" t="n">
        <x:v>2021</x:v>
      </x:c>
      <x:c r="L329" s="14" t="str">
        <x:v>Used in 2023 annual analysis</x:v>
      </x:c>
      <x:c r="M329" s="15" t="n">
        <x:v>11</x:v>
      </x:c>
      <x:c r="N329" s="14" t="str">
        <x:v>Anastasia Hille</x:v>
      </x:c>
      <x:c r="O329" s="14" t="str">
        <x:v>nm0384826</x:v>
      </x:c>
      <x:c r="P329" s="14" t="str">
        <x:v>Marie Strickland</x:v>
      </x:c>
      <x:c r="Q329" s="15" t="n">
        <x:v>2</x:v>
      </x:c>
      <x:c r="R329" s="14" t="str">
        <x:v>2023</x:v>
      </x:c>
      <x:c r="S329" s="14" t="n">
        <x:v>2023</x:v>
      </x:c>
      <x:c r="T329" s="14" t="n">
        <x:v>2023</x:v>
      </x:c>
      <x:c r="U329" s="14" t="str">
        <x:v>Post-2021 casting excluded</x:v>
      </x:c>
      <x:c r="V329" s="14" t="str">
        <x:v>Earliest supplied year is 2023, later than the 2021 study year.</x:v>
      </x:c>
      <x:c r="W329" s="14"/>
      <x:c r="X329" s="14" t="str">
        <x:v>Included</x:v>
      </x:c>
      <x:c r="Y329" s="14"/>
      <x:c r="Z329" s="14" t="str">
        <x:v>Dalgliesh.docx</x:v>
      </x:c>
      <x:c r="AA32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Channel 5 / 5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HYPERLINK("https://en.wikipedia.org/wiki/Dalglish","Open source")</x:f>
        <x:v>HYPERLINK is not implemented. linkLocation=https://en.wikipedia.org/wiki/Dalglish, friendlyName=Open source</x:v>
      </x:c>
      <x:c r="AN329" s="14" t="str">
        <x:v>No qualifying BBC relationship</x:v>
      </x:c>
      <x:c r="AO329" s="14" t="str">
        <x:v>No</x:v>
      </x:c>
      <x:c r="AP329" s="14" t="str">
        <x:v>Out of scope</x:v>
      </x:c>
      <x:c r="AQ329" s="14" t="str">
        <x:v>No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18</x:v>
      </x:c>
      <x:c r="BP329" s="14" t="str">
        <x:v>Maximum eligible IMDb cast-credit total (18), shared by 1 performer(s); not independently verified as a 2021-only episode total.</x:v>
      </x:c>
      <x:c r="BQ329" s="14" t="str">
        <x:v>Low</x:v>
      </x:c>
      <x:c r="BR329" s="15" t="n">
        <x:v>2</x:v>
      </x:c>
      <x:c r="BS329" s="16" t="n">
        <x:v>0.1111111111111111</x:v>
      </x:c>
      <x:c r="BT329" s="14" t="str">
        <x:v>Minority of episodes</x:v>
      </x:c>
      <x:c r="BU329" s="14" t="str">
        <x:v>Low</x:v>
      </x:c>
      <x:c r="BV329" s="14" t="str">
        <x:v>Derived from supplied IMDb episode count and the documented production-total proxy.</x:v>
      </x:c>
      <x:c r="BW329" s="14" t="str">
        <x:v>Unable to determine</x:v>
      </x:c>
      <x:c r="BX329" s="14" t="str">
        <x:v>Supplied cast data establishes the credit and episode presence but does not establish narrative prominence.</x:v>
      </x:c>
      <x:c r="BY329" s="14" t="str">
        <x:v>Supplied IMDb cast-list workbook</x:v>
      </x:c>
      <x:c r="BZ32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tt13430420|nm5039536|stella mawson</x:v>
      </x:c>
      <x:c r="B330" s="14" t="str">
        <x:v>01</x:v>
      </x:c>
      <x:c r="C330" s="14" t="str">
        <x:v>2021_IMDb_Cast_Lists_Batch_01(1).xlsx</x:v>
      </x:c>
      <x:c r="D330" s="14" t="str">
        <x:v>Dalgliesh</x:v>
      </x:c>
      <x:c r="E330" s="14" t="n">
        <x:v>19</x:v>
      </x:c>
      <x:c r="F330" s="14" t="str">
        <x:v>Dalgliesh</x:v>
      </x:c>
      <x:c r="G330" s="14" t="str">
        <x:v>tt13430420</x:v>
      </x:c>
      <x:c r="H330" s="14" t="n">
        <x:v>2021</x:v>
      </x:c>
      <x:c r="I330" s="14" t="n">
        <x:v>2023</x:v>
      </x:c>
      <x:c r="J330" s="14" t="str">
        <x:v>Earlier-Production Carry-In Cohort</x:v>
      </x:c>
      <x:c r="K330" s="14" t="n">
        <x:v>2021</x:v>
      </x:c>
      <x:c r="L330" s="14" t="str">
        <x:v>Used in 2023 annual analysis</x:v>
      </x:c>
      <x:c r="M330" s="15" t="n">
        <x:v>12</x:v>
      </x:c>
      <x:c r="N330" s="14" t="str">
        <x:v>Shanaya Rafaat</x:v>
      </x:c>
      <x:c r="O330" s="14" t="str">
        <x:v>nm5039536</x:v>
      </x:c>
      <x:c r="P330" s="14" t="str">
        <x:v>Stella Mawson</x:v>
      </x:c>
      <x:c r="Q330" s="15" t="n">
        <x:v>2</x:v>
      </x:c>
      <x:c r="R330" s="14" t="str">
        <x:v>2023</x:v>
      </x:c>
      <x:c r="S330" s="14" t="n">
        <x:v>2023</x:v>
      </x:c>
      <x:c r="T330" s="14" t="n">
        <x:v>2023</x:v>
      </x:c>
      <x:c r="U330" s="14" t="str">
        <x:v>Post-2021 casting excluded</x:v>
      </x:c>
      <x:c r="V330" s="14" t="str">
        <x:v>Earliest supplied year is 2023, later than the 2021 study year.</x:v>
      </x:c>
      <x:c r="W330" s="14"/>
      <x:c r="X330" s="14" t="str">
        <x:v>Included</x:v>
      </x:c>
      <x:c r="Y330" s="14"/>
      <x:c r="Z330" s="14" t="str">
        <x:v>Dalgliesh.docx</x:v>
      </x:c>
      <x:c r="AA33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Channel 5 / 5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HYPERLINK("https://en.wikipedia.org/wiki/Dalglish","Open source")</x:f>
        <x:v>HYPERLINK is not implemented. linkLocation=https://en.wikipedia.org/wiki/Dalglish, friendlyName=Open source</x:v>
      </x:c>
      <x:c r="AN330" s="14" t="str">
        <x:v>No qualifying BBC relationship</x:v>
      </x:c>
      <x:c r="AO330" s="14" t="str">
        <x:v>No</x:v>
      </x:c>
      <x:c r="AP330" s="14" t="str">
        <x:v>Out of scope</x:v>
      </x:c>
      <x:c r="AQ330" s="14" t="str">
        <x:v>No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18</x:v>
      </x:c>
      <x:c r="BP330" s="14" t="str">
        <x:v>Maximum eligible IMDb cast-credit total (18), shared by 1 performer(s); not independently verified as a 2021-only episode total.</x:v>
      </x:c>
      <x:c r="BQ330" s="14" t="str">
        <x:v>Low</x:v>
      </x:c>
      <x:c r="BR330" s="15" t="n">
        <x:v>2</x:v>
      </x:c>
      <x:c r="BS330" s="16" t="n">
        <x:v>0.1111111111111111</x:v>
      </x:c>
      <x:c r="BT330" s="14" t="str">
        <x:v>Minority of episodes</x:v>
      </x:c>
      <x:c r="BU330" s="14" t="str">
        <x:v>Low</x:v>
      </x:c>
      <x:c r="BV330" s="14" t="str">
        <x:v>Derived from supplied IMDb episode count and the documented production-total proxy.</x:v>
      </x:c>
      <x:c r="BW330" s="14" t="str">
        <x:v>Unable to determine</x:v>
      </x:c>
      <x:c r="BX330" s="14" t="str">
        <x:v>Supplied cast data establishes the credit and episode presence but does not establish narrative prominence.</x:v>
      </x:c>
      <x:c r="BY330" s="14" t="str">
        <x:v>Supplied IMDb cast-list workbook</x:v>
      </x:c>
      <x:c r="BZ33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tt13430420|nm9150596|ryan archer</x:v>
      </x:c>
      <x:c r="B331" s="14" t="str">
        <x:v>01</x:v>
      </x:c>
      <x:c r="C331" s="14" t="str">
        <x:v>2021_IMDb_Cast_Lists_Batch_01(1).xlsx</x:v>
      </x:c>
      <x:c r="D331" s="14" t="str">
        <x:v>Dalgliesh</x:v>
      </x:c>
      <x:c r="E331" s="14" t="n">
        <x:v>22</x:v>
      </x:c>
      <x:c r="F331" s="14" t="str">
        <x:v>Dalgliesh</x:v>
      </x:c>
      <x:c r="G331" s="14" t="str">
        <x:v>tt13430420</x:v>
      </x:c>
      <x:c r="H331" s="14" t="n">
        <x:v>2021</x:v>
      </x:c>
      <x:c r="I331" s="14" t="n">
        <x:v>2023</x:v>
      </x:c>
      <x:c r="J331" s="14" t="str">
        <x:v>Earlier-Production Carry-In Cohort</x:v>
      </x:c>
      <x:c r="K331" s="14" t="n">
        <x:v>2021</x:v>
      </x:c>
      <x:c r="L331" s="14" t="str">
        <x:v>Used in 2023 annual analysis</x:v>
      </x:c>
      <x:c r="M331" s="15" t="n">
        <x:v>15</x:v>
      </x:c>
      <x:c r="N331" s="14" t="str">
        <x:v>Nathaniel Christian</x:v>
      </x:c>
      <x:c r="O331" s="14" t="str">
        <x:v>nm9150596</x:v>
      </x:c>
      <x:c r="P331" s="14" t="str">
        <x:v>Ryan Archer</x:v>
      </x:c>
      <x:c r="Q331" s="15" t="n">
        <x:v>2</x:v>
      </x:c>
      <x:c r="R331" s="14" t="str">
        <x:v>2023</x:v>
      </x:c>
      <x:c r="S331" s="14" t="n">
        <x:v>2023</x:v>
      </x:c>
      <x:c r="T331" s="14" t="n">
        <x:v>2023</x:v>
      </x:c>
      <x:c r="U331" s="14" t="str">
        <x:v>Post-2021 casting excluded</x:v>
      </x:c>
      <x:c r="V331" s="14" t="str">
        <x:v>Earliest supplied year is 2023, later than the 2021 study year.</x:v>
      </x:c>
      <x:c r="W331" s="14"/>
      <x:c r="X331" s="14" t="str">
        <x:v>Included</x:v>
      </x:c>
      <x:c r="Y331" s="14"/>
      <x:c r="Z331" s="14" t="str">
        <x:v>Dalgliesh.docx</x:v>
      </x:c>
      <x:c r="AA33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Channel 5 / 5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HYPERLINK("https://en.wikipedia.org/wiki/Dalglish","Open source")</x:f>
        <x:v>HYPERLINK is not implemented. linkLocation=https://en.wikipedia.org/wiki/Dalglish, friendlyName=Open source</x:v>
      </x:c>
      <x:c r="AN331" s="14" t="str">
        <x:v>No qualifying BBC relationship</x:v>
      </x:c>
      <x:c r="AO331" s="14" t="str">
        <x:v>No</x:v>
      </x:c>
      <x:c r="AP331" s="14" t="str">
        <x:v>Out of scope</x:v>
      </x:c>
      <x:c r="AQ331" s="14" t="str">
        <x:v>No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18</x:v>
      </x:c>
      <x:c r="BP331" s="14" t="str">
        <x:v>Maximum eligible IMDb cast-credit total (18), shared by 1 performer(s); not independently verified as a 2021-only episode total.</x:v>
      </x:c>
      <x:c r="BQ331" s="14" t="str">
        <x:v>Low</x:v>
      </x:c>
      <x:c r="BR331" s="15" t="n">
        <x:v>2</x:v>
      </x:c>
      <x:c r="BS331" s="16" t="n">
        <x:v>0.1111111111111111</x:v>
      </x:c>
      <x:c r="BT331" s="14" t="str">
        <x:v>Minority of episodes</x:v>
      </x:c>
      <x:c r="BU331" s="14" t="str">
        <x:v>Low</x:v>
      </x:c>
      <x:c r="BV331" s="14" t="str">
        <x:v>Derived from supplied IMDb episode count and the documented production-total proxy.</x:v>
      </x:c>
      <x:c r="BW331" s="14" t="str">
        <x:v>Unable to determine</x:v>
      </x:c>
      <x:c r="BX331" s="14" t="str">
        <x:v>Supplied cast data establishes the credit and episode presence but does not establish narrative prominence.</x:v>
      </x:c>
      <x:c r="BY331" s="14" t="str">
        <x:v>Supplied IMDb cast-list workbook</x:v>
      </x:c>
      <x:c r="BZ33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tt13430420|nm6258273|octavia aldridge</x:v>
      </x:c>
      <x:c r="B332" s="14" t="str">
        <x:v>01</x:v>
      </x:c>
      <x:c r="C332" s="14" t="str">
        <x:v>2021_IMDb_Cast_Lists_Batch_01(1).xlsx</x:v>
      </x:c>
      <x:c r="D332" s="14" t="str">
        <x:v>Dalgliesh</x:v>
      </x:c>
      <x:c r="E332" s="14" t="n">
        <x:v>28</x:v>
      </x:c>
      <x:c r="F332" s="14" t="str">
        <x:v>Dalgliesh</x:v>
      </x:c>
      <x:c r="G332" s="14" t="str">
        <x:v>tt13430420</x:v>
      </x:c>
      <x:c r="H332" s="14" t="n">
        <x:v>2021</x:v>
      </x:c>
      <x:c r="I332" s="14" t="n">
        <x:v>2023</x:v>
      </x:c>
      <x:c r="J332" s="14" t="str">
        <x:v>Earlier-Production Carry-In Cohort</x:v>
      </x:c>
      <x:c r="K332" s="14" t="n">
        <x:v>2021</x:v>
      </x:c>
      <x:c r="L332" s="14" t="str">
        <x:v>Used in 2023 annual analysis</x:v>
      </x:c>
      <x:c r="M332" s="15" t="n">
        <x:v>21</x:v>
      </x:c>
      <x:c r="N332" s="14" t="str">
        <x:v>Daisy Waterstone</x:v>
      </x:c>
      <x:c r="O332" s="14" t="str">
        <x:v>nm6258273</x:v>
      </x:c>
      <x:c r="P332" s="14" t="str">
        <x:v>Octavia Aldridge</x:v>
      </x:c>
      <x:c r="Q332" s="15" t="n">
        <x:v>2</x:v>
      </x:c>
      <x:c r="R332" s="14" t="str">
        <x:v>2023</x:v>
      </x:c>
      <x:c r="S332" s="14" t="n">
        <x:v>2023</x:v>
      </x:c>
      <x:c r="T332" s="14" t="n">
        <x:v>2023</x:v>
      </x:c>
      <x:c r="U332" s="14" t="str">
        <x:v>Post-2021 casting excluded</x:v>
      </x:c>
      <x:c r="V332" s="14" t="str">
        <x:v>Earliest supplied year is 2023, later than the 2021 study year.</x:v>
      </x:c>
      <x:c r="W332" s="14"/>
      <x:c r="X332" s="14" t="str">
        <x:v>Included</x:v>
      </x:c>
      <x:c r="Y332" s="14"/>
      <x:c r="Z332" s="14" t="str">
        <x:v>Dalgliesh.docx</x:v>
      </x:c>
      <x:c r="AA33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Channel 5 / 5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HYPERLINK("https://en.wikipedia.org/wiki/Dalglish","Open source")</x:f>
        <x:v>HYPERLINK is not implemented. linkLocation=https://en.wikipedia.org/wiki/Dalglish, friendlyName=Open source</x:v>
      </x:c>
      <x:c r="AN332" s="14" t="str">
        <x:v>No qualifying BBC relationship</x:v>
      </x:c>
      <x:c r="AO332" s="14" t="str">
        <x:v>No</x:v>
      </x:c>
      <x:c r="AP332" s="14" t="str">
        <x:v>Out of scope</x:v>
      </x:c>
      <x:c r="AQ332" s="14" t="str">
        <x:v>No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18</x:v>
      </x:c>
      <x:c r="BP332" s="14" t="str">
        <x:v>Maximum eligible IMDb cast-credit total (18), shared by 1 performer(s); not independently verified as a 2021-only episode total.</x:v>
      </x:c>
      <x:c r="BQ332" s="14" t="str">
        <x:v>Low</x:v>
      </x:c>
      <x:c r="BR332" s="15" t="n">
        <x:v>2</x:v>
      </x:c>
      <x:c r="BS332" s="16" t="n">
        <x:v>0.1111111111111111</x:v>
      </x:c>
      <x:c r="BT332" s="14" t="str">
        <x:v>Minority of episodes</x:v>
      </x:c>
      <x:c r="BU332" s="14" t="str">
        <x:v>Low</x:v>
      </x:c>
      <x:c r="BV332" s="14" t="str">
        <x:v>Derived from supplied IMDb episode count and the documented production-total proxy.</x:v>
      </x:c>
      <x:c r="BW332" s="14" t="str">
        <x:v>Unable to determine</x:v>
      </x:c>
      <x:c r="BX332" s="14" t="str">
        <x:v>Supplied cast data establishes the credit and episode presence but does not establish narrative prominence.</x:v>
      </x:c>
      <x:c r="BY332" s="14" t="str">
        <x:v>Supplied IMDb cast-list workbook</x:v>
      </x:c>
      <x:c r="BZ33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tt13430420|nm0364348|dr. david rollinson</x:v>
      </x:c>
      <x:c r="B333" s="14" t="str">
        <x:v>01</x:v>
      </x:c>
      <x:c r="C333" s="14" t="str">
        <x:v>2021_IMDb_Cast_Lists_Batch_01(1).xlsx</x:v>
      </x:c>
      <x:c r="D333" s="14" t="str">
        <x:v>Dalgliesh</x:v>
      </x:c>
      <x:c r="E333" s="14" t="n">
        <x:v>30</x:v>
      </x:c>
      <x:c r="F333" s="14" t="str">
        <x:v>Dalgliesh</x:v>
      </x:c>
      <x:c r="G333" s="14" t="str">
        <x:v>tt13430420</x:v>
      </x:c>
      <x:c r="H333" s="14" t="n">
        <x:v>2021</x:v>
      </x:c>
      <x:c r="I333" s="14" t="n">
        <x:v>2023</x:v>
      </x:c>
      <x:c r="J333" s="14" t="str">
        <x:v>Earlier-Production Carry-In Cohort</x:v>
      </x:c>
      <x:c r="K333" s="14" t="n">
        <x:v>2021</x:v>
      </x:c>
      <x:c r="L333" s="14" t="str">
        <x:v>Used in 2023 annual analysis</x:v>
      </x:c>
      <x:c r="M333" s="15" t="n">
        <x:v>23</x:v>
      </x:c>
      <x:c r="N333" s="14" t="str">
        <x:v>Richard Harrington</x:v>
      </x:c>
      <x:c r="O333" s="14" t="str">
        <x:v>nm0364348</x:v>
      </x:c>
      <x:c r="P333" s="14" t="str">
        <x:v>Dr. David Rollinson</x:v>
      </x:c>
      <x:c r="Q333" s="15" t="n">
        <x:v>2</x:v>
      </x:c>
      <x:c r="R333" s="14" t="str">
        <x:v>2023</x:v>
      </x:c>
      <x:c r="S333" s="14" t="n">
        <x:v>2023</x:v>
      </x:c>
      <x:c r="T333" s="14" t="n">
        <x:v>2023</x:v>
      </x:c>
      <x:c r="U333" s="14" t="str">
        <x:v>Post-2021 casting excluded</x:v>
      </x:c>
      <x:c r="V333" s="14" t="str">
        <x:v>Earliest supplied year is 2023, later than the 2021 study year.</x:v>
      </x:c>
      <x:c r="W333" s="14"/>
      <x:c r="X333" s="14" t="str">
        <x:v>Included</x:v>
      </x:c>
      <x:c r="Y333" s="14"/>
      <x:c r="Z333" s="14" t="str">
        <x:v>Dalgliesh.docx</x:v>
      </x:c>
      <x:c r="AA33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Channel 5 / 5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HYPERLINK("https://en.wikipedia.org/wiki/Dalglish","Open source")</x:f>
        <x:v>HYPERLINK is not implemented. linkLocation=https://en.wikipedia.org/wiki/Dalglish, friendlyName=Open source</x:v>
      </x:c>
      <x:c r="AN333" s="14" t="str">
        <x:v>No qualifying BBC relationship</x:v>
      </x:c>
      <x:c r="AO333" s="14" t="str">
        <x:v>No</x:v>
      </x:c>
      <x:c r="AP333" s="14" t="str">
        <x:v>Out of scope</x:v>
      </x:c>
      <x:c r="AQ333" s="14" t="str">
        <x:v>No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18</x:v>
      </x:c>
      <x:c r="BP333" s="14" t="str">
        <x:v>Maximum eligible IMDb cast-credit total (18), shared by 1 performer(s); not independently verified as a 2021-only episode total.</x:v>
      </x:c>
      <x:c r="BQ333" s="14" t="str">
        <x:v>Low</x:v>
      </x:c>
      <x:c r="BR333" s="15" t="n">
        <x:v>2</x:v>
      </x:c>
      <x:c r="BS333" s="16" t="n">
        <x:v>0.1111111111111111</x:v>
      </x:c>
      <x:c r="BT333" s="14" t="str">
        <x:v>Minority of episodes</x:v>
      </x:c>
      <x:c r="BU333" s="14" t="str">
        <x:v>Low</x:v>
      </x:c>
      <x:c r="BV333" s="14" t="str">
        <x:v>Derived from supplied IMDb episode count and the documented production-total proxy.</x:v>
      </x:c>
      <x:c r="BW333" s="14" t="str">
        <x:v>Unable to determine</x:v>
      </x:c>
      <x:c r="BX333" s="14" t="str">
        <x:v>Supplied cast data establishes the credit and episode presence but does not establish narrative prominence.</x:v>
      </x:c>
      <x:c r="BY333" s="14" t="str">
        <x:v>Supplied IMDb cast-list workbook</x:v>
      </x:c>
      <x:c r="BZ33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tt13430420|nm0193663|tally clutton</x:v>
      </x:c>
      <x:c r="B334" s="14" t="str">
        <x:v>01</x:v>
      </x:c>
      <x:c r="C334" s="14" t="str">
        <x:v>2021_IMDb_Cast_Lists_Batch_01(1).xlsx</x:v>
      </x:c>
      <x:c r="D334" s="14" t="str">
        <x:v>Dalgliesh</x:v>
      </x:c>
      <x:c r="E334" s="14" t="n">
        <x:v>37</x:v>
      </x:c>
      <x:c r="F334" s="14" t="str">
        <x:v>Dalgliesh</x:v>
      </x:c>
      <x:c r="G334" s="14" t="str">
        <x:v>tt13430420</x:v>
      </x:c>
      <x:c r="H334" s="14" t="n">
        <x:v>2021</x:v>
      </x:c>
      <x:c r="I334" s="14" t="n">
        <x:v>2023</x:v>
      </x:c>
      <x:c r="J334" s="14" t="str">
        <x:v>Earlier-Production Carry-In Cohort</x:v>
      </x:c>
      <x:c r="K334" s="14" t="n">
        <x:v>2021</x:v>
      </x:c>
      <x:c r="L334" s="14" t="str">
        <x:v>Used in 2023 annual analysis</x:v>
      </x:c>
      <x:c r="M334" s="15" t="n">
        <x:v>30</x:v>
      </x:c>
      <x:c r="N334" s="14" t="str">
        <x:v>Sorcha Cusack</x:v>
      </x:c>
      <x:c r="O334" s="14" t="str">
        <x:v>nm0193663</x:v>
      </x:c>
      <x:c r="P334" s="14" t="str">
        <x:v>Tally Clutton</x:v>
      </x:c>
      <x:c r="Q334" s="15" t="n">
        <x:v>2</x:v>
      </x:c>
      <x:c r="R334" s="14" t="str">
        <x:v>2023</x:v>
      </x:c>
      <x:c r="S334" s="14" t="n">
        <x:v>2023</x:v>
      </x:c>
      <x:c r="T334" s="14" t="n">
        <x:v>2023</x:v>
      </x:c>
      <x:c r="U334" s="14" t="str">
        <x:v>Post-2021 casting excluded</x:v>
      </x:c>
      <x:c r="V334" s="14" t="str">
        <x:v>Earliest supplied year is 2023, later than the 2021 study year.</x:v>
      </x:c>
      <x:c r="W334" s="14"/>
      <x:c r="X334" s="14" t="str">
        <x:v>Included</x:v>
      </x:c>
      <x:c r="Y334" s="14"/>
      <x:c r="Z334" s="14" t="str">
        <x:v>Dalgliesh.docx</x:v>
      </x:c>
      <x:c r="AA33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Channel 5 / 5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HYPERLINK("https://en.wikipedia.org/wiki/Dalglish","Open source")</x:f>
        <x:v>HYPERLINK is not implemented. linkLocation=https://en.wikipedia.org/wiki/Dalglish, friendlyName=Open source</x:v>
      </x:c>
      <x:c r="AN334" s="14" t="str">
        <x:v>No qualifying BBC relationship</x:v>
      </x:c>
      <x:c r="AO334" s="14" t="str">
        <x:v>No</x:v>
      </x:c>
      <x:c r="AP334" s="14" t="str">
        <x:v>Out of scope</x:v>
      </x:c>
      <x:c r="AQ334" s="14" t="str">
        <x:v>No</x:v>
      </x:c>
      <x:c r="AR334" s="14" t="str">
        <x:v>Resolved from master register</x:v>
      </x:c>
      <x:c r="AS334" s="14" t="str">
        <x:v>No established-register match</x:v>
      </x:c>
      <x:c r="AT334" s="14"/>
      <x:c r="AU334" s="14"/>
      <x:c r="AV334" s="14" t="str">
        <x:v>No established apparent-disability match</x:v>
      </x:c>
      <x:c r="AW334" s="14"/>
      <x:c r="AX334" s="14" t="str">
        <x:v>No</x:v>
      </x:c>
      <x:c r="AY334" s="14" t="str">
        <x:v>Unmatched</x:v>
      </x:c>
      <x:c r="AZ334" s="14" t="str">
        <x:v>Final supplied register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18</x:v>
      </x:c>
      <x:c r="BP334" s="14" t="str">
        <x:v>Maximum eligible IMDb cast-credit total (18), shared by 1 performer(s); not independently verified as a 2021-only episode total.</x:v>
      </x:c>
      <x:c r="BQ334" s="14" t="str">
        <x:v>Low</x:v>
      </x:c>
      <x:c r="BR334" s="15" t="n">
        <x:v>2</x:v>
      </x:c>
      <x:c r="BS334" s="16" t="n">
        <x:v>0.1111111111111111</x:v>
      </x:c>
      <x:c r="BT334" s="14" t="str">
        <x:v>Minority of episodes</x:v>
      </x:c>
      <x:c r="BU334" s="14" t="str">
        <x:v>Low</x:v>
      </x:c>
      <x:c r="BV334" s="14" t="str">
        <x:v>Derived from supplied IMDb episode count and the documented production-total proxy.</x:v>
      </x:c>
      <x:c r="BW334" s="14" t="str">
        <x:v>Unable to determine</x:v>
      </x:c>
      <x:c r="BX334" s="14" t="str">
        <x:v>Supplied cast data establishes the credit and episode presence but does not establish narrative prominence.</x:v>
      </x:c>
      <x:c r="BY334" s="14" t="str">
        <x:v>Supplied IMDb cast-list workbook</x:v>
      </x:c>
      <x:c r="BZ33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tt13430420|nm0551649|janet carpenter</x:v>
      </x:c>
      <x:c r="B335" s="14" t="str">
        <x:v>01</x:v>
      </x:c>
      <x:c r="C335" s="14" t="str">
        <x:v>2021_IMDb_Cast_Lists_Batch_01(1).xlsx</x:v>
      </x:c>
      <x:c r="D335" s="14" t="str">
        <x:v>Dalgliesh</x:v>
      </x:c>
      <x:c r="E335" s="14" t="n">
        <x:v>40</x:v>
      </x:c>
      <x:c r="F335" s="14" t="str">
        <x:v>Dalgliesh</x:v>
      </x:c>
      <x:c r="G335" s="14" t="str">
        <x:v>tt13430420</x:v>
      </x:c>
      <x:c r="H335" s="14" t="n">
        <x:v>2021</x:v>
      </x:c>
      <x:c r="I335" s="14" t="n">
        <x:v>2023</x:v>
      </x:c>
      <x:c r="J335" s="14" t="str">
        <x:v>Earlier-Production Carry-In Cohort</x:v>
      </x:c>
      <x:c r="K335" s="14" t="n">
        <x:v>2021</x:v>
      </x:c>
      <x:c r="L335" s="14" t="str">
        <x:v>Used in 2023 annual analysis</x:v>
      </x:c>
      <x:c r="M335" s="15" t="n">
        <x:v>33</x:v>
      </x:c>
      <x:c r="N335" s="14" t="str">
        <x:v>Barbara Marten</x:v>
      </x:c>
      <x:c r="O335" s="14" t="str">
        <x:v>nm0551649</x:v>
      </x:c>
      <x:c r="P335" s="14" t="str">
        <x:v>Janet Carpenter</x:v>
      </x:c>
      <x:c r="Q335" s="15" t="n">
        <x:v>2</x:v>
      </x:c>
      <x:c r="R335" s="14" t="str">
        <x:v>2023</x:v>
      </x:c>
      <x:c r="S335" s="14" t="n">
        <x:v>2023</x:v>
      </x:c>
      <x:c r="T335" s="14" t="n">
        <x:v>2023</x:v>
      </x:c>
      <x:c r="U335" s="14" t="str">
        <x:v>Post-2021 casting excluded</x:v>
      </x:c>
      <x:c r="V335" s="14" t="str">
        <x:v>Earliest supplied year is 2023, later than the 2021 study year.</x:v>
      </x:c>
      <x:c r="W335" s="14"/>
      <x:c r="X335" s="14" t="str">
        <x:v>Included</x:v>
      </x:c>
      <x:c r="Y335" s="14"/>
      <x:c r="Z335" s="14" t="str">
        <x:v>Dalgliesh.docx</x:v>
      </x:c>
      <x:c r="AA33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Channel 5 / 5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HYPERLINK("https://en.wikipedia.org/wiki/Dalglish","Open source")</x:f>
        <x:v>HYPERLINK is not implemented. linkLocation=https://en.wikipedia.org/wiki/Dalglish, friendlyName=Open source</x:v>
      </x:c>
      <x:c r="AN335" s="14" t="str">
        <x:v>No qualifying BBC relationship</x:v>
      </x:c>
      <x:c r="AO335" s="14" t="str">
        <x:v>No</x:v>
      </x:c>
      <x:c r="AP335" s="14" t="str">
        <x:v>Out of scope</x:v>
      </x:c>
      <x:c r="AQ335" s="14" t="str">
        <x:v>No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18</x:v>
      </x:c>
      <x:c r="BP335" s="14" t="str">
        <x:v>Maximum eligible IMDb cast-credit total (18), shared by 1 performer(s); not independently verified as a 2021-only episode total.</x:v>
      </x:c>
      <x:c r="BQ335" s="14" t="str">
        <x:v>Low</x:v>
      </x:c>
      <x:c r="BR335" s="15" t="n">
        <x:v>2</x:v>
      </x:c>
      <x:c r="BS335" s="16" t="n">
        <x:v>0.1111111111111111</x:v>
      </x:c>
      <x:c r="BT335" s="14" t="str">
        <x:v>Minority of episodes</x:v>
      </x:c>
      <x:c r="BU335" s="14" t="str">
        <x:v>Low</x:v>
      </x:c>
      <x:c r="BV335" s="14" t="str">
        <x:v>Derived from supplied IMDb episode count and the documented production-total proxy.</x:v>
      </x:c>
      <x:c r="BW335" s="14" t="str">
        <x:v>Unable to determine</x:v>
      </x:c>
      <x:c r="BX335" s="14" t="str">
        <x:v>Supplied cast data establishes the credit and episode presence but does not establish narrative prominence.</x:v>
      </x:c>
      <x:c r="BY335" s="14" t="str">
        <x:v>Supplied IMDb cast-list workbook</x:v>
      </x:c>
      <x:c r="BZ33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tt13430420|nm4874451|marcus dupayne</x:v>
      </x:c>
      <x:c r="B336" s="14" t="str">
        <x:v>01</x:v>
      </x:c>
      <x:c r="C336" s="14" t="str">
        <x:v>2021_IMDb_Cast_Lists_Batch_01(1).xlsx</x:v>
      </x:c>
      <x:c r="D336" s="14" t="str">
        <x:v>Dalgliesh</x:v>
      </x:c>
      <x:c r="E336" s="14" t="n">
        <x:v>43</x:v>
      </x:c>
      <x:c r="F336" s="14" t="str">
        <x:v>Dalgliesh</x:v>
      </x:c>
      <x:c r="G336" s="14" t="str">
        <x:v>tt13430420</x:v>
      </x:c>
      <x:c r="H336" s="14" t="n">
        <x:v>2021</x:v>
      </x:c>
      <x:c r="I336" s="14" t="n">
        <x:v>2023</x:v>
      </x:c>
      <x:c r="J336" s="14" t="str">
        <x:v>Earlier-Production Carry-In Cohort</x:v>
      </x:c>
      <x:c r="K336" s="14" t="n">
        <x:v>2021</x:v>
      </x:c>
      <x:c r="L336" s="14" t="str">
        <x:v>Used in 2023 annual analysis</x:v>
      </x:c>
      <x:c r="M336" s="15" t="n">
        <x:v>36</x:v>
      </x:c>
      <x:c r="N336" s="14" t="str">
        <x:v>Nicholas Banks</x:v>
      </x:c>
      <x:c r="O336" s="14" t="str">
        <x:v>nm4874451</x:v>
      </x:c>
      <x:c r="P336" s="14" t="str">
        <x:v>Marcus Dupayne</x:v>
      </x:c>
      <x:c r="Q336" s="15" t="n">
        <x:v>2</x:v>
      </x:c>
      <x:c r="R336" s="14" t="str">
        <x:v>2023</x:v>
      </x:c>
      <x:c r="S336" s="14" t="n">
        <x:v>2023</x:v>
      </x:c>
      <x:c r="T336" s="14" t="n">
        <x:v>2023</x:v>
      </x:c>
      <x:c r="U336" s="14" t="str">
        <x:v>Post-2021 casting excluded</x:v>
      </x:c>
      <x:c r="V336" s="14" t="str">
        <x:v>Earliest supplied year is 2023, later than the 2021 study year.</x:v>
      </x:c>
      <x:c r="W336" s="14"/>
      <x:c r="X336" s="14" t="str">
        <x:v>Included</x:v>
      </x:c>
      <x:c r="Y336" s="14"/>
      <x:c r="Z336" s="14" t="str">
        <x:v>Dalgliesh.docx</x:v>
      </x:c>
      <x:c r="AA33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Channel 5 / 5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HYPERLINK("https://en.wikipedia.org/wiki/Dalglish","Open source")</x:f>
        <x:v>HYPERLINK is not implemented. linkLocation=https://en.wikipedia.org/wiki/Dalglish, friendlyName=Open source</x:v>
      </x:c>
      <x:c r="AN336" s="14" t="str">
        <x:v>No qualifying BBC relationship</x:v>
      </x:c>
      <x:c r="AO336" s="14" t="str">
        <x:v>No</x:v>
      </x:c>
      <x:c r="AP336" s="14" t="str">
        <x:v>Out of scope</x:v>
      </x:c>
      <x:c r="AQ336" s="14" t="str">
        <x:v>No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18</x:v>
      </x:c>
      <x:c r="BP336" s="14" t="str">
        <x:v>Maximum eligible IMDb cast-credit total (18), shared by 1 performer(s); not independently verified as a 2021-only episode total.</x:v>
      </x:c>
      <x:c r="BQ336" s="14" t="str">
        <x:v>Low</x:v>
      </x:c>
      <x:c r="BR336" s="15" t="n">
        <x:v>2</x:v>
      </x:c>
      <x:c r="BS336" s="16" t="n">
        <x:v>0.1111111111111111</x:v>
      </x:c>
      <x:c r="BT336" s="14" t="str">
        <x:v>Minority of episodes</x:v>
      </x:c>
      <x:c r="BU336" s="14" t="str">
        <x:v>Low</x:v>
      </x:c>
      <x:c r="BV336" s="14" t="str">
        <x:v>Derived from supplied IMDb episode count and the documented production-total proxy.</x:v>
      </x:c>
      <x:c r="BW336" s="14" t="str">
        <x:v>Unable to determine</x:v>
      </x:c>
      <x:c r="BX336" s="14" t="str">
        <x:v>Supplied cast data establishes the credit and episode presence but does not establish narrative prominence.</x:v>
      </x:c>
      <x:c r="BY336" s="14" t="str">
        <x:v>Supplied IMDb cast-list workbook</x:v>
      </x:c>
      <x:c r="BZ33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tt13430420|nm2397390|maximillian howarth</x:v>
      </x:c>
      <x:c r="B337" s="14" t="str">
        <x:v>01</x:v>
      </x:c>
      <x:c r="C337" s="14" t="str">
        <x:v>2021_IMDb_Cast_Lists_Batch_01(1).xlsx</x:v>
      </x:c>
      <x:c r="D337" s="14" t="str">
        <x:v>Dalgliesh</x:v>
      </x:c>
      <x:c r="E337" s="14" t="n">
        <x:v>44</x:v>
      </x:c>
      <x:c r="F337" s="14" t="str">
        <x:v>Dalgliesh</x:v>
      </x:c>
      <x:c r="G337" s="14" t="str">
        <x:v>tt13430420</x:v>
      </x:c>
      <x:c r="H337" s="14" t="n">
        <x:v>2021</x:v>
      </x:c>
      <x:c r="I337" s="14" t="n">
        <x:v>2023</x:v>
      </x:c>
      <x:c r="J337" s="14" t="str">
        <x:v>Earlier-Production Carry-In Cohort</x:v>
      </x:c>
      <x:c r="K337" s="14" t="n">
        <x:v>2021</x:v>
      </x:c>
      <x:c r="L337" s="14" t="str">
        <x:v>Used in 2023 annual analysis</x:v>
      </x:c>
      <x:c r="M337" s="15" t="n">
        <x:v>37</x:v>
      </x:c>
      <x:c r="N337" s="14" t="str">
        <x:v>Sam Hoare</x:v>
      </x:c>
      <x:c r="O337" s="14" t="str">
        <x:v>nm2397390</x:v>
      </x:c>
      <x:c r="P337" s="14" t="str">
        <x:v>Maximillian Howarth</x:v>
      </x:c>
      <x:c r="Q337" s="15" t="n">
        <x:v>2</x:v>
      </x:c>
      <x:c r="R337" s="14" t="str">
        <x:v>2023</x:v>
      </x:c>
      <x:c r="S337" s="14" t="n">
        <x:v>2023</x:v>
      </x:c>
      <x:c r="T337" s="14" t="n">
        <x:v>2023</x:v>
      </x:c>
      <x:c r="U337" s="14" t="str">
        <x:v>Post-2021 casting excluded</x:v>
      </x:c>
      <x:c r="V337" s="14" t="str">
        <x:v>Earliest supplied year is 2023, later than the 2021 study year.</x:v>
      </x:c>
      <x:c r="W337" s="14"/>
      <x:c r="X337" s="14" t="str">
        <x:v>Included</x:v>
      </x:c>
      <x:c r="Y337" s="14"/>
      <x:c r="Z337" s="14" t="str">
        <x:v>Dalgliesh.docx</x:v>
      </x:c>
      <x:c r="AA33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Channel 5 / 5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HYPERLINK("https://en.wikipedia.org/wiki/Dalglish","Open source")</x:f>
        <x:v>HYPERLINK is not implemented. linkLocation=https://en.wikipedia.org/wiki/Dalglish, friendlyName=Open source</x:v>
      </x:c>
      <x:c r="AN337" s="14" t="str">
        <x:v>No qualifying BBC relationship</x:v>
      </x:c>
      <x:c r="AO337" s="14" t="str">
        <x:v>No</x:v>
      </x:c>
      <x:c r="AP337" s="14" t="str">
        <x:v>Out of scope</x:v>
      </x:c>
      <x:c r="AQ337" s="14" t="str">
        <x:v>No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18</x:v>
      </x:c>
      <x:c r="BP337" s="14" t="str">
        <x:v>Maximum eligible IMDb cast-credit total (18), shared by 1 performer(s); not independently verified as a 2021-only episode total.</x:v>
      </x:c>
      <x:c r="BQ337" s="14" t="str">
        <x:v>Low</x:v>
      </x:c>
      <x:c r="BR337" s="15" t="n">
        <x:v>2</x:v>
      </x:c>
      <x:c r="BS337" s="16" t="n">
        <x:v>0.1111111111111111</x:v>
      </x:c>
      <x:c r="BT337" s="14" t="str">
        <x:v>Minority of episodes</x:v>
      </x:c>
      <x:c r="BU337" s="14" t="str">
        <x:v>Low</x:v>
      </x:c>
      <x:c r="BV337" s="14" t="str">
        <x:v>Derived from supplied IMDb episode count and the documented production-total proxy.</x:v>
      </x:c>
      <x:c r="BW337" s="14" t="str">
        <x:v>Unable to determine</x:v>
      </x:c>
      <x:c r="BX337" s="14" t="str">
        <x:v>Supplied cast data establishes the credit and episode presence but does not establish narrative prominence.</x:v>
      </x:c>
      <x:c r="BY337" s="14" t="str">
        <x:v>Supplied IMDb cast-list workbook</x:v>
      </x:c>
      <x:c r="BZ33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tt13430420|nm3518982|domenica howarth</x:v>
      </x:c>
      <x:c r="B338" s="14" t="str">
        <x:v>01</x:v>
      </x:c>
      <x:c r="C338" s="14" t="str">
        <x:v>2021_IMDb_Cast_Lists_Batch_01(1).xlsx</x:v>
      </x:c>
      <x:c r="D338" s="14" t="str">
        <x:v>Dalgliesh</x:v>
      </x:c>
      <x:c r="E338" s="14" t="n">
        <x:v>50</x:v>
      </x:c>
      <x:c r="F338" s="14" t="str">
        <x:v>Dalgliesh</x:v>
      </x:c>
      <x:c r="G338" s="14" t="str">
        <x:v>tt13430420</x:v>
      </x:c>
      <x:c r="H338" s="14" t="n">
        <x:v>2021</x:v>
      </x:c>
      <x:c r="I338" s="14" t="n">
        <x:v>2023</x:v>
      </x:c>
      <x:c r="J338" s="14" t="str">
        <x:v>Earlier-Production Carry-In Cohort</x:v>
      </x:c>
      <x:c r="K338" s="14" t="n">
        <x:v>2021</x:v>
      </x:c>
      <x:c r="L338" s="14" t="str">
        <x:v>Used in 2023 annual analysis</x:v>
      </x:c>
      <x:c r="M338" s="15" t="n">
        <x:v>43</x:v>
      </x:c>
      <x:c r="N338" s="14" t="str">
        <x:v>Margaret Clunie</x:v>
      </x:c>
      <x:c r="O338" s="14" t="str">
        <x:v>nm3518982</x:v>
      </x:c>
      <x:c r="P338" s="14" t="str">
        <x:v>Domenica Howarth</x:v>
      </x:c>
      <x:c r="Q338" s="15" t="n">
        <x:v>2</x:v>
      </x:c>
      <x:c r="R338" s="14" t="str">
        <x:v>2023</x:v>
      </x:c>
      <x:c r="S338" s="14" t="n">
        <x:v>2023</x:v>
      </x:c>
      <x:c r="T338" s="14" t="n">
        <x:v>2023</x:v>
      </x:c>
      <x:c r="U338" s="14" t="str">
        <x:v>Post-2021 casting excluded</x:v>
      </x:c>
      <x:c r="V338" s="14" t="str">
        <x:v>Earliest supplied year is 2023, later than the 2021 study year.</x:v>
      </x:c>
      <x:c r="W338" s="14"/>
      <x:c r="X338" s="14" t="str">
        <x:v>Included</x:v>
      </x:c>
      <x:c r="Y338" s="14"/>
      <x:c r="Z338" s="14" t="str">
        <x:v>Dalgliesh.docx</x:v>
      </x:c>
      <x:c r="AA33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Channel 5 / 5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HYPERLINK("https://en.wikipedia.org/wiki/Dalglish","Open source")</x:f>
        <x:v>HYPERLINK is not implemented. linkLocation=https://en.wikipedia.org/wiki/Dalglish, friendlyName=Open source</x:v>
      </x:c>
      <x:c r="AN338" s="14" t="str">
        <x:v>No qualifying BBC relationship</x:v>
      </x:c>
      <x:c r="AO338" s="14" t="str">
        <x:v>No</x:v>
      </x:c>
      <x:c r="AP338" s="14" t="str">
        <x:v>Out of scope</x:v>
      </x:c>
      <x:c r="AQ338" s="14" t="str">
        <x:v>No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18</x:v>
      </x:c>
      <x:c r="BP338" s="14" t="str">
        <x:v>Maximum eligible IMDb cast-credit total (18), shared by 1 performer(s); not independently verified as a 2021-only episode total.</x:v>
      </x:c>
      <x:c r="BQ338" s="14" t="str">
        <x:v>Low</x:v>
      </x:c>
      <x:c r="BR338" s="15" t="n">
        <x:v>2</x:v>
      </x:c>
      <x:c r="BS338" s="16" t="n">
        <x:v>0.1111111111111111</x:v>
      </x:c>
      <x:c r="BT338" s="14" t="str">
        <x:v>Minority of episodes</x:v>
      </x:c>
      <x:c r="BU338" s="14" t="str">
        <x:v>Low</x:v>
      </x:c>
      <x:c r="BV338" s="14" t="str">
        <x:v>Derived from supplied IMDb episode count and the documented production-total proxy.</x:v>
      </x:c>
      <x:c r="BW338" s="14" t="str">
        <x:v>Unable to determine</x:v>
      </x:c>
      <x:c r="BX338" s="14" t="str">
        <x:v>Supplied cast data establishes the credit and episode presence but does not establish narrative prominence.</x:v>
      </x:c>
      <x:c r="BY338" s="14" t="str">
        <x:v>Supplied IMDb cast-list workbook</x:v>
      </x:c>
      <x:c r="BZ33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tt13430420|nm0242050|caroline dupayne</x:v>
      </x:c>
      <x:c r="B339" s="14" t="str">
        <x:v>01</x:v>
      </x:c>
      <x:c r="C339" s="14" t="str">
        <x:v>2021_IMDb_Cast_Lists_Batch_01(1).xlsx</x:v>
      </x:c>
      <x:c r="D339" s="14" t="str">
        <x:v>Dalgliesh</x:v>
      </x:c>
      <x:c r="E339" s="14" t="n">
        <x:v>52</x:v>
      </x:c>
      <x:c r="F339" s="14" t="str">
        <x:v>Dalgliesh</x:v>
      </x:c>
      <x:c r="G339" s="14" t="str">
        <x:v>tt13430420</x:v>
      </x:c>
      <x:c r="H339" s="14" t="n">
        <x:v>2021</x:v>
      </x:c>
      <x:c r="I339" s="14" t="n">
        <x:v>2023</x:v>
      </x:c>
      <x:c r="J339" s="14" t="str">
        <x:v>Earlier-Production Carry-In Cohort</x:v>
      </x:c>
      <x:c r="K339" s="14" t="n">
        <x:v>2021</x:v>
      </x:c>
      <x:c r="L339" s="14" t="str">
        <x:v>Used in 2023 annual analysis</x:v>
      </x:c>
      <x:c r="M339" s="15" t="n">
        <x:v>45</x:v>
      </x:c>
      <x:c r="N339" s="14" t="str">
        <x:v>Michelle Duncan</x:v>
      </x:c>
      <x:c r="O339" s="14" t="str">
        <x:v>nm0242050</x:v>
      </x:c>
      <x:c r="P339" s="14" t="str">
        <x:v>Caroline Dupayne</x:v>
      </x:c>
      <x:c r="Q339" s="15" t="n">
        <x:v>2</x:v>
      </x:c>
      <x:c r="R339" s="14" t="str">
        <x:v>2023</x:v>
      </x:c>
      <x:c r="S339" s="14" t="n">
        <x:v>2023</x:v>
      </x:c>
      <x:c r="T339" s="14" t="n">
        <x:v>2023</x:v>
      </x:c>
      <x:c r="U339" s="14" t="str">
        <x:v>Post-2021 casting excluded</x:v>
      </x:c>
      <x:c r="V339" s="14" t="str">
        <x:v>Earliest supplied year is 2023, later than the 2021 study year.</x:v>
      </x:c>
      <x:c r="W339" s="14"/>
      <x:c r="X339" s="14" t="str">
        <x:v>Included</x:v>
      </x:c>
      <x:c r="Y339" s="14"/>
      <x:c r="Z339" s="14" t="str">
        <x:v>Dalgliesh.docx</x:v>
      </x:c>
      <x:c r="AA33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Channel 5 / 5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HYPERLINK("https://en.wikipedia.org/wiki/Dalglish","Open source")</x:f>
        <x:v>HYPERLINK is not implemented. linkLocation=https://en.wikipedia.org/wiki/Dalglish, friendlyName=Open source</x:v>
      </x:c>
      <x:c r="AN339" s="14" t="str">
        <x:v>No qualifying BBC relationship</x:v>
      </x:c>
      <x:c r="AO339" s="14" t="str">
        <x:v>No</x:v>
      </x:c>
      <x:c r="AP339" s="14" t="str">
        <x:v>Out of scope</x:v>
      </x:c>
      <x:c r="AQ339" s="14" t="str">
        <x:v>No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18</x:v>
      </x:c>
      <x:c r="BP339" s="14" t="str">
        <x:v>Maximum eligible IMDb cast-credit total (18), shared by 1 performer(s); not independently verified as a 2021-only episode total.</x:v>
      </x:c>
      <x:c r="BQ339" s="14" t="str">
        <x:v>Low</x:v>
      </x:c>
      <x:c r="BR339" s="15" t="n">
        <x:v>2</x:v>
      </x:c>
      <x:c r="BS339" s="16" t="n">
        <x:v>0.1111111111111111</x:v>
      </x:c>
      <x:c r="BT339" s="14" t="str">
        <x:v>Minority of episodes</x:v>
      </x:c>
      <x:c r="BU339" s="14" t="str">
        <x:v>Low</x:v>
      </x:c>
      <x:c r="BV339" s="14" t="str">
        <x:v>Derived from supplied IMDb episode count and the documented production-total proxy.</x:v>
      </x:c>
      <x:c r="BW339" s="14" t="str">
        <x:v>Unable to determine</x:v>
      </x:c>
      <x:c r="BX339" s="14" t="str">
        <x:v>Supplied cast data establishes the credit and episode presence but does not establish narrative prominence.</x:v>
      </x:c>
      <x:c r="BY339" s="14" t="str">
        <x:v>Supplied IMDb cast-list workbook</x:v>
      </x:c>
      <x:c r="BZ33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tt13430420|nm0494649|muriel godby</x:v>
      </x:c>
      <x:c r="B340" s="14" t="str">
        <x:v>01</x:v>
      </x:c>
      <x:c r="C340" s="14" t="str">
        <x:v>2021_IMDb_Cast_Lists_Batch_01(1).xlsx</x:v>
      </x:c>
      <x:c r="D340" s="14" t="str">
        <x:v>Dalgliesh</x:v>
      </x:c>
      <x:c r="E340" s="14" t="n">
        <x:v>56</x:v>
      </x:c>
      <x:c r="F340" s="14" t="str">
        <x:v>Dalgliesh</x:v>
      </x:c>
      <x:c r="G340" s="14" t="str">
        <x:v>tt13430420</x:v>
      </x:c>
      <x:c r="H340" s="14" t="n">
        <x:v>2021</x:v>
      </x:c>
      <x:c r="I340" s="14" t="n">
        <x:v>2023</x:v>
      </x:c>
      <x:c r="J340" s="14" t="str">
        <x:v>Earlier-Production Carry-In Cohort</x:v>
      </x:c>
      <x:c r="K340" s="14" t="n">
        <x:v>2021</x:v>
      </x:c>
      <x:c r="L340" s="14" t="str">
        <x:v>Used in 2023 annual analysis</x:v>
      </x:c>
      <x:c r="M340" s="15" t="n">
        <x:v>49</x:v>
      </x:c>
      <x:c r="N340" s="14" t="str">
        <x:v>Sylvestra Le Touzel</x:v>
      </x:c>
      <x:c r="O340" s="14" t="str">
        <x:v>nm0494649</x:v>
      </x:c>
      <x:c r="P340" s="14" t="str">
        <x:v>Muriel Godby</x:v>
      </x:c>
      <x:c r="Q340" s="15" t="n">
        <x:v>2</x:v>
      </x:c>
      <x:c r="R340" s="14" t="str">
        <x:v>2023</x:v>
      </x:c>
      <x:c r="S340" s="14" t="n">
        <x:v>2023</x:v>
      </x:c>
      <x:c r="T340" s="14" t="n">
        <x:v>2023</x:v>
      </x:c>
      <x:c r="U340" s="14" t="str">
        <x:v>Post-2021 casting excluded</x:v>
      </x:c>
      <x:c r="V340" s="14" t="str">
        <x:v>Earliest supplied year is 2023, later than the 2021 study year.</x:v>
      </x:c>
      <x:c r="W340" s="14"/>
      <x:c r="X340" s="14" t="str">
        <x:v>Included</x:v>
      </x:c>
      <x:c r="Y340" s="14"/>
      <x:c r="Z340" s="14" t="str">
        <x:v>Dalgliesh.docx</x:v>
      </x:c>
      <x:c r="AA34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Channel 5 / 5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HYPERLINK("https://en.wikipedia.org/wiki/Dalglish","Open source")</x:f>
        <x:v>HYPERLINK is not implemented. linkLocation=https://en.wikipedia.org/wiki/Dalglish, friendlyName=Open source</x:v>
      </x:c>
      <x:c r="AN340" s="14" t="str">
        <x:v>No qualifying BBC relationship</x:v>
      </x:c>
      <x:c r="AO340" s="14" t="str">
        <x:v>No</x:v>
      </x:c>
      <x:c r="AP340" s="14" t="str">
        <x:v>Out of scope</x:v>
      </x:c>
      <x:c r="AQ340" s="14" t="str">
        <x:v>No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18</x:v>
      </x:c>
      <x:c r="BP340" s="14" t="str">
        <x:v>Maximum eligible IMDb cast-credit total (18), shared by 1 performer(s); not independently verified as a 2021-only episode total.</x:v>
      </x:c>
      <x:c r="BQ340" s="14" t="str">
        <x:v>Low</x:v>
      </x:c>
      <x:c r="BR340" s="15" t="n">
        <x:v>2</x:v>
      </x:c>
      <x:c r="BS340" s="16" t="n">
        <x:v>0.1111111111111111</x:v>
      </x:c>
      <x:c r="BT340" s="14" t="str">
        <x:v>Minority of episodes</x:v>
      </x:c>
      <x:c r="BU340" s="14" t="str">
        <x:v>Low</x:v>
      </x:c>
      <x:c r="BV340" s="14" t="str">
        <x:v>Derived from supplied IMDb episode count and the documented production-total proxy.</x:v>
      </x:c>
      <x:c r="BW340" s="14" t="str">
        <x:v>Unable to determine</x:v>
      </x:c>
      <x:c r="BX340" s="14" t="str">
        <x:v>Supplied cast data establishes the credit and episode presence but does not establish narrative prominence.</x:v>
      </x:c>
      <x:c r="BY340" s="14" t="str">
        <x:v>Supplied IMDb cast-list workbook</x:v>
      </x:c>
      <x:c r="BZ34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tt13430420|nm11635548|victoria mellock</x:v>
      </x:c>
      <x:c r="B341" s="14" t="str">
        <x:v>01</x:v>
      </x:c>
      <x:c r="C341" s="14" t="str">
        <x:v>2021_IMDb_Cast_Lists_Batch_01(1).xlsx</x:v>
      </x:c>
      <x:c r="D341" s="14" t="str">
        <x:v>Dalgliesh</x:v>
      </x:c>
      <x:c r="E341" s="14" t="n">
        <x:v>58</x:v>
      </x:c>
      <x:c r="F341" s="14" t="str">
        <x:v>Dalgliesh</x:v>
      </x:c>
      <x:c r="G341" s="14" t="str">
        <x:v>tt13430420</x:v>
      </x:c>
      <x:c r="H341" s="14" t="n">
        <x:v>2021</x:v>
      </x:c>
      <x:c r="I341" s="14" t="n">
        <x:v>2023</x:v>
      </x:c>
      <x:c r="J341" s="14" t="str">
        <x:v>Earlier-Production Carry-In Cohort</x:v>
      </x:c>
      <x:c r="K341" s="14" t="n">
        <x:v>2021</x:v>
      </x:c>
      <x:c r="L341" s="14" t="str">
        <x:v>Used in 2023 annual analysis</x:v>
      </x:c>
      <x:c r="M341" s="15" t="n">
        <x:v>51</x:v>
      </x:c>
      <x:c r="N341" s="14" t="str">
        <x:v>Rose Galbraith</x:v>
      </x:c>
      <x:c r="O341" s="14" t="str">
        <x:v>nm11635548</x:v>
      </x:c>
      <x:c r="P341" s="14" t="str">
        <x:v>Victoria Mellock</x:v>
      </x:c>
      <x:c r="Q341" s="15" t="n">
        <x:v>2</x:v>
      </x:c>
      <x:c r="R341" s="14" t="str">
        <x:v>2023</x:v>
      </x:c>
      <x:c r="S341" s="14" t="n">
        <x:v>2023</x:v>
      </x:c>
      <x:c r="T341" s="14" t="n">
        <x:v>2023</x:v>
      </x:c>
      <x:c r="U341" s="14" t="str">
        <x:v>Post-2021 casting excluded</x:v>
      </x:c>
      <x:c r="V341" s="14" t="str">
        <x:v>Earliest supplied year is 2023, later than the 2021 study year.</x:v>
      </x:c>
      <x:c r="W341" s="14"/>
      <x:c r="X341" s="14" t="str">
        <x:v>Included</x:v>
      </x:c>
      <x:c r="Y341" s="14"/>
      <x:c r="Z341" s="14" t="str">
        <x:v>Dalgliesh.docx</x:v>
      </x:c>
      <x:c r="AA34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Channel 5 / 5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HYPERLINK("https://en.wikipedia.org/wiki/Dalglish","Open source")</x:f>
        <x:v>HYPERLINK is not implemented. linkLocation=https://en.wikipedia.org/wiki/Dalglish, friendlyName=Open source</x:v>
      </x:c>
      <x:c r="AN341" s="14" t="str">
        <x:v>No qualifying BBC relationship</x:v>
      </x:c>
      <x:c r="AO341" s="14" t="str">
        <x:v>No</x:v>
      </x:c>
      <x:c r="AP341" s="14" t="str">
        <x:v>Out of scope</x:v>
      </x:c>
      <x:c r="AQ341" s="14" t="str">
        <x:v>No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18</x:v>
      </x:c>
      <x:c r="BP341" s="14" t="str">
        <x:v>Maximum eligible IMDb cast-credit total (18), shared by 1 performer(s); not independently verified as a 2021-only episode total.</x:v>
      </x:c>
      <x:c r="BQ341" s="14" t="str">
        <x:v>Low</x:v>
      </x:c>
      <x:c r="BR341" s="15" t="n">
        <x:v>2</x:v>
      </x:c>
      <x:c r="BS341" s="16" t="n">
        <x:v>0.1111111111111111</x:v>
      </x:c>
      <x:c r="BT341" s="14" t="str">
        <x:v>Minority of episodes</x:v>
      </x:c>
      <x:c r="BU341" s="14" t="str">
        <x:v>Low</x:v>
      </x:c>
      <x:c r="BV341" s="14" t="str">
        <x:v>Derived from supplied IMDb episode count and the documented production-total proxy.</x:v>
      </x:c>
      <x:c r="BW341" s="14" t="str">
        <x:v>Unable to determine</x:v>
      </x:c>
      <x:c r="BX341" s="14" t="str">
        <x:v>Supplied cast data establishes the credit and episode presence but does not establish narrative prominence.</x:v>
      </x:c>
      <x:c r="BY341" s="14" t="str">
        <x:v>Supplied IMDb cast-list workbook</x:v>
      </x:c>
      <x:c r="BZ34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tt13430420|nm6852193|nell rollinson</x:v>
      </x:c>
      <x:c r="B342" s="14" t="str">
        <x:v>01</x:v>
      </x:c>
      <x:c r="C342" s="14" t="str">
        <x:v>2021_IMDb_Cast_Lists_Batch_01(1).xlsx</x:v>
      </x:c>
      <x:c r="D342" s="14" t="str">
        <x:v>Dalgliesh</x:v>
      </x:c>
      <x:c r="E342" s="14" t="n">
        <x:v>66</x:v>
      </x:c>
      <x:c r="F342" s="14" t="str">
        <x:v>Dalgliesh</x:v>
      </x:c>
      <x:c r="G342" s="14" t="str">
        <x:v>tt13430420</x:v>
      </x:c>
      <x:c r="H342" s="14" t="n">
        <x:v>2021</x:v>
      </x:c>
      <x:c r="I342" s="14" t="n">
        <x:v>2023</x:v>
      </x:c>
      <x:c r="J342" s="14" t="str">
        <x:v>Earlier-Production Carry-In Cohort</x:v>
      </x:c>
      <x:c r="K342" s="14" t="n">
        <x:v>2021</x:v>
      </x:c>
      <x:c r="L342" s="14" t="str">
        <x:v>Used in 2023 annual analysis</x:v>
      </x:c>
      <x:c r="M342" s="15" t="n">
        <x:v>59</x:v>
      </x:c>
      <x:c r="N342" s="14" t="str">
        <x:v>Lara Cohen</x:v>
      </x:c>
      <x:c r="O342" s="14" t="str">
        <x:v>nm6852193</x:v>
      </x:c>
      <x:c r="P342" s="14" t="str">
        <x:v>Nell Rollinson</x:v>
      </x:c>
      <x:c r="Q342" s="15" t="n">
        <x:v>2</x:v>
      </x:c>
      <x:c r="R342" s="14" t="str">
        <x:v>2023</x:v>
      </x:c>
      <x:c r="S342" s="14" t="n">
        <x:v>2023</x:v>
      </x:c>
      <x:c r="T342" s="14" t="n">
        <x:v>2023</x:v>
      </x:c>
      <x:c r="U342" s="14" t="str">
        <x:v>Post-2021 casting excluded</x:v>
      </x:c>
      <x:c r="V342" s="14" t="str">
        <x:v>Earliest supplied year is 2023, later than the 2021 study year.</x:v>
      </x:c>
      <x:c r="W342" s="14"/>
      <x:c r="X342" s="14" t="str">
        <x:v>Included</x:v>
      </x:c>
      <x:c r="Y342" s="14"/>
      <x:c r="Z342" s="14" t="str">
        <x:v>Dalgliesh.docx</x:v>
      </x:c>
      <x:c r="AA34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Channel 5 / 5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HYPERLINK("https://en.wikipedia.org/wiki/Dalglish","Open source")</x:f>
        <x:v>HYPERLINK is not implemented. linkLocation=https://en.wikipedia.org/wiki/Dalglish, friendlyName=Open source</x:v>
      </x:c>
      <x:c r="AN342" s="14" t="str">
        <x:v>No qualifying BBC relationship</x:v>
      </x:c>
      <x:c r="AO342" s="14" t="str">
        <x:v>No</x:v>
      </x:c>
      <x:c r="AP342" s="14" t="str">
        <x:v>Out of scope</x:v>
      </x:c>
      <x:c r="AQ342" s="14" t="str">
        <x:v>No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18</x:v>
      </x:c>
      <x:c r="BP342" s="14" t="str">
        <x:v>Maximum eligible IMDb cast-credit total (18), shared by 1 performer(s); not independently verified as a 2021-only episode total.</x:v>
      </x:c>
      <x:c r="BQ342" s="14" t="str">
        <x:v>Low</x:v>
      </x:c>
      <x:c r="BR342" s="15" t="n">
        <x:v>2</x:v>
      </x:c>
      <x:c r="BS342" s="16" t="n">
        <x:v>0.1111111111111111</x:v>
      </x:c>
      <x:c r="BT342" s="14" t="str">
        <x:v>Minority of episodes</x:v>
      </x:c>
      <x:c r="BU342" s="14" t="str">
        <x:v>Low</x:v>
      </x:c>
      <x:c r="BV342" s="14" t="str">
        <x:v>Derived from supplied IMDb episode count and the documented production-total proxy.</x:v>
      </x:c>
      <x:c r="BW342" s="14" t="str">
        <x:v>Unable to determine</x:v>
      </x:c>
      <x:c r="BX342" s="14" t="str">
        <x:v>Supplied cast data establishes the credit and episode presence but does not establish narrative prominence.</x:v>
      </x:c>
      <x:c r="BY342" s="14" t="str">
        <x:v>Supplied IMDb cast-list workbook</x:v>
      </x:c>
      <x:c r="BZ34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tt13430420|nm6715927|dc mercer</x:v>
      </x:c>
      <x:c r="B343" s="14" t="str">
        <x:v>01</x:v>
      </x:c>
      <x:c r="C343" s="14" t="str">
        <x:v>2021_IMDb_Cast_Lists_Batch_01(1).xlsx</x:v>
      </x:c>
      <x:c r="D343" s="14" t="str">
        <x:v>Dalgliesh</x:v>
      </x:c>
      <x:c r="E343" s="14" t="n">
        <x:v>67</x:v>
      </x:c>
      <x:c r="F343" s="14" t="str">
        <x:v>Dalgliesh</x:v>
      </x:c>
      <x:c r="G343" s="14" t="str">
        <x:v>tt13430420</x:v>
      </x:c>
      <x:c r="H343" s="14" t="n">
        <x:v>2021</x:v>
      </x:c>
      <x:c r="I343" s="14" t="n">
        <x:v>2023</x:v>
      </x:c>
      <x:c r="J343" s="14" t="str">
        <x:v>Earlier-Production Carry-In Cohort</x:v>
      </x:c>
      <x:c r="K343" s="14" t="n">
        <x:v>2021</x:v>
      </x:c>
      <x:c r="L343" s="14" t="str">
        <x:v>Used in 2023 annual analysis</x:v>
      </x:c>
      <x:c r="M343" s="15" t="n">
        <x:v>60</x:v>
      </x:c>
      <x:c r="N343" s="14" t="str">
        <x:v>Francis Mezza</x:v>
      </x:c>
      <x:c r="O343" s="14" t="str">
        <x:v>nm6715927</x:v>
      </x:c>
      <x:c r="P343" s="14" t="str">
        <x:v>DC Mercer</x:v>
      </x:c>
      <x:c r="Q343" s="15" t="n">
        <x:v>2</x:v>
      </x:c>
      <x:c r="R343" s="14" t="str">
        <x:v>2023</x:v>
      </x:c>
      <x:c r="S343" s="14" t="n">
        <x:v>2023</x:v>
      </x:c>
      <x:c r="T343" s="14" t="n">
        <x:v>2023</x:v>
      </x:c>
      <x:c r="U343" s="14" t="str">
        <x:v>Post-2021 casting excluded</x:v>
      </x:c>
      <x:c r="V343" s="14" t="str">
        <x:v>Earliest supplied year is 2023, later than the 2021 study year.</x:v>
      </x:c>
      <x:c r="W343" s="14"/>
      <x:c r="X343" s="14" t="str">
        <x:v>Included</x:v>
      </x:c>
      <x:c r="Y343" s="14"/>
      <x:c r="Z343" s="14" t="str">
        <x:v>Dalgliesh.docx</x:v>
      </x:c>
      <x:c r="AA34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Channel 5 / 5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HYPERLINK("https://en.wikipedia.org/wiki/Dalglish","Open source")</x:f>
        <x:v>HYPERLINK is not implemented. linkLocation=https://en.wikipedia.org/wiki/Dalglish, friendlyName=Open source</x:v>
      </x:c>
      <x:c r="AN343" s="14" t="str">
        <x:v>No qualifying BBC relationship</x:v>
      </x:c>
      <x:c r="AO343" s="14" t="str">
        <x:v>No</x:v>
      </x:c>
      <x:c r="AP343" s="14" t="str">
        <x:v>Out of scope</x:v>
      </x:c>
      <x:c r="AQ343" s="14" t="str">
        <x:v>No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18</x:v>
      </x:c>
      <x:c r="BP343" s="14" t="str">
        <x:v>Maximum eligible IMDb cast-credit total (18), shared by 1 performer(s); not independently verified as a 2021-only episode total.</x:v>
      </x:c>
      <x:c r="BQ343" s="14" t="str">
        <x:v>Low</x:v>
      </x:c>
      <x:c r="BR343" s="15" t="n">
        <x:v>2</x:v>
      </x:c>
      <x:c r="BS343" s="16" t="n">
        <x:v>0.1111111111111111</x:v>
      </x:c>
      <x:c r="BT343" s="14" t="str">
        <x:v>Minority of episodes</x:v>
      </x:c>
      <x:c r="BU343" s="14" t="str">
        <x:v>Low</x:v>
      </x:c>
      <x:c r="BV343" s="14" t="str">
        <x:v>Derived from supplied IMDb episode count and the documented production-total proxy.</x:v>
      </x:c>
      <x:c r="BW343" s="14" t="str">
        <x:v>Unable to determine</x:v>
      </x:c>
      <x:c r="BX343" s="14" t="str">
        <x:v>Supplied cast data establishes the credit and episode presence but does not establish narrative prominence.</x:v>
      </x:c>
      <x:c r="BY343" s="14" t="str">
        <x:v>Supplied IMDb cast-list workbook</x:v>
      </x:c>
      <x:c r="BZ34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tt13430420|nm0334324|di doyle</x:v>
      </x:c>
      <x:c r="B344" s="14" t="str">
        <x:v>01</x:v>
      </x:c>
      <x:c r="C344" s="14" t="str">
        <x:v>2021_IMDb_Cast_Lists_Batch_01(1).xlsx</x:v>
      </x:c>
      <x:c r="D344" s="14" t="str">
        <x:v>Dalgliesh</x:v>
      </x:c>
      <x:c r="E344" s="14" t="n">
        <x:v>68</x:v>
      </x:c>
      <x:c r="F344" s="14" t="str">
        <x:v>Dalgliesh</x:v>
      </x:c>
      <x:c r="G344" s="14" t="str">
        <x:v>tt13430420</x:v>
      </x:c>
      <x:c r="H344" s="14" t="n">
        <x:v>2021</x:v>
      </x:c>
      <x:c r="I344" s="14" t="n">
        <x:v>2023</x:v>
      </x:c>
      <x:c r="J344" s="14" t="str">
        <x:v>Earlier-Production Carry-In Cohort</x:v>
      </x:c>
      <x:c r="K344" s="14" t="n">
        <x:v>2021</x:v>
      </x:c>
      <x:c r="L344" s="14" t="str">
        <x:v>Used in 2023 annual analysis</x:v>
      </x:c>
      <x:c r="M344" s="15" t="n">
        <x:v>61</x:v>
      </x:c>
      <x:c r="N344" s="14" t="str">
        <x:v>Stuart Graham</x:v>
      </x:c>
      <x:c r="O344" s="14" t="str">
        <x:v>nm0334324</x:v>
      </x:c>
      <x:c r="P344" s="14" t="str">
        <x:v>DI Doyle</x:v>
      </x:c>
      <x:c r="Q344" s="15" t="n">
        <x:v>2</x:v>
      </x:c>
      <x:c r="R344" s="14" t="str">
        <x:v>2023</x:v>
      </x:c>
      <x:c r="S344" s="14" t="n">
        <x:v>2023</x:v>
      </x:c>
      <x:c r="T344" s="14" t="n">
        <x:v>2023</x:v>
      </x:c>
      <x:c r="U344" s="14" t="str">
        <x:v>Post-2021 casting excluded</x:v>
      </x:c>
      <x:c r="V344" s="14" t="str">
        <x:v>Earliest supplied year is 2023, later than the 2021 study year.</x:v>
      </x:c>
      <x:c r="W344" s="14"/>
      <x:c r="X344" s="14" t="str">
        <x:v>Included</x:v>
      </x:c>
      <x:c r="Y344" s="14"/>
      <x:c r="Z344" s="14" t="str">
        <x:v>Dalgliesh.docx</x:v>
      </x:c>
      <x:c r="AA34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Channel 5 / 5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HYPERLINK("https://en.wikipedia.org/wiki/Dalglish","Open source")</x:f>
        <x:v>HYPERLINK is not implemented. linkLocation=https://en.wikipedia.org/wiki/Dalglish, friendlyName=Open source</x:v>
      </x:c>
      <x:c r="AN344" s="14" t="str">
        <x:v>No qualifying BBC relationship</x:v>
      </x:c>
      <x:c r="AO344" s="14" t="str">
        <x:v>No</x:v>
      </x:c>
      <x:c r="AP344" s="14" t="str">
        <x:v>Out of scope</x:v>
      </x:c>
      <x:c r="AQ344" s="14" t="str">
        <x:v>No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18</x:v>
      </x:c>
      <x:c r="BP344" s="14" t="str">
        <x:v>Maximum eligible IMDb cast-credit total (18), shared by 1 performer(s); not independently verified as a 2021-only episode total.</x:v>
      </x:c>
      <x:c r="BQ344" s="14" t="str">
        <x:v>Low</x:v>
      </x:c>
      <x:c r="BR344" s="15" t="n">
        <x:v>2</x:v>
      </x:c>
      <x:c r="BS344" s="16" t="n">
        <x:v>0.1111111111111111</x:v>
      </x:c>
      <x:c r="BT344" s="14" t="str">
        <x:v>Minority of episodes</x:v>
      </x:c>
      <x:c r="BU344" s="14" t="str">
        <x:v>Low</x:v>
      </x:c>
      <x:c r="BV344" s="14" t="str">
        <x:v>Derived from supplied IMDb episode count and the documented production-total proxy.</x:v>
      </x:c>
      <x:c r="BW344" s="14" t="str">
        <x:v>Unable to determine</x:v>
      </x:c>
      <x:c r="BX344" s="14" t="str">
        <x:v>Supplied cast data establishes the credit and episode presence but does not establish narrative prominence.</x:v>
      </x:c>
      <x:c r="BY344" s="14" t="str">
        <x:v>Supplied IMDb cast-list workbook</x:v>
      </x:c>
      <x:c r="BZ34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tt13430420|nm0051394|edgar froggart</x:v>
      </x:c>
      <x:c r="B345" s="14" t="str">
        <x:v>01</x:v>
      </x:c>
      <x:c r="C345" s="14" t="str">
        <x:v>2021_IMDb_Cast_Lists_Batch_01(1).xlsx</x:v>
      </x:c>
      <x:c r="D345" s="14" t="str">
        <x:v>Dalgliesh</x:v>
      </x:c>
      <x:c r="E345" s="14" t="n">
        <x:v>69</x:v>
      </x:c>
      <x:c r="F345" s="14" t="str">
        <x:v>Dalgliesh</x:v>
      </x:c>
      <x:c r="G345" s="14" t="str">
        <x:v>tt13430420</x:v>
      </x:c>
      <x:c r="H345" s="14" t="n">
        <x:v>2021</x:v>
      </x:c>
      <x:c r="I345" s="14" t="n">
        <x:v>2023</x:v>
      </x:c>
      <x:c r="J345" s="14" t="str">
        <x:v>Earlier-Production Carry-In Cohort</x:v>
      </x:c>
      <x:c r="K345" s="14" t="n">
        <x:v>2021</x:v>
      </x:c>
      <x:c r="L345" s="14" t="str">
        <x:v>Used in 2023 annual analysis</x:v>
      </x:c>
      <x:c r="M345" s="15" t="n">
        <x:v>62</x:v>
      </x:c>
      <x:c r="N345" s="14" t="str">
        <x:v>David Bamber</x:v>
      </x:c>
      <x:c r="O345" s="14" t="str">
        <x:v>nm0051394</x:v>
      </x:c>
      <x:c r="P345" s="14" t="str">
        <x:v>Edgar Froggart</x:v>
      </x:c>
      <x:c r="Q345" s="15" t="n">
        <x:v>2</x:v>
      </x:c>
      <x:c r="R345" s="14" t="str">
        <x:v>2023</x:v>
      </x:c>
      <x:c r="S345" s="14" t="n">
        <x:v>2023</x:v>
      </x:c>
      <x:c r="T345" s="14" t="n">
        <x:v>2023</x:v>
      </x:c>
      <x:c r="U345" s="14" t="str">
        <x:v>Post-2021 casting excluded</x:v>
      </x:c>
      <x:c r="V345" s="14" t="str">
        <x:v>Earliest supplied year is 2023, later than the 2021 study year.</x:v>
      </x:c>
      <x:c r="W345" s="14"/>
      <x:c r="X345" s="14" t="str">
        <x:v>Included</x:v>
      </x:c>
      <x:c r="Y345" s="14"/>
      <x:c r="Z345" s="14" t="str">
        <x:v>Dalgliesh.docx</x:v>
      </x:c>
      <x:c r="AA34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Channel 5 / 5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HYPERLINK("https://en.wikipedia.org/wiki/Dalglish","Open source")</x:f>
        <x:v>HYPERLINK is not implemented. linkLocation=https://en.wikipedia.org/wiki/Dalglish, friendlyName=Open source</x:v>
      </x:c>
      <x:c r="AN345" s="14" t="str">
        <x:v>No qualifying BBC relationship</x:v>
      </x:c>
      <x:c r="AO345" s="14" t="str">
        <x:v>No</x:v>
      </x:c>
      <x:c r="AP345" s="14" t="str">
        <x:v>Out of scope</x:v>
      </x:c>
      <x:c r="AQ345" s="14" t="str">
        <x:v>No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18</x:v>
      </x:c>
      <x:c r="BP345" s="14" t="str">
        <x:v>Maximum eligible IMDb cast-credit total (18), shared by 1 performer(s); not independently verified as a 2021-only episode total.</x:v>
      </x:c>
      <x:c r="BQ345" s="14" t="str">
        <x:v>Low</x:v>
      </x:c>
      <x:c r="BR345" s="15" t="n">
        <x:v>2</x:v>
      </x:c>
      <x:c r="BS345" s="16" t="n">
        <x:v>0.1111111111111111</x:v>
      </x:c>
      <x:c r="BT345" s="14" t="str">
        <x:v>Minority of episodes</x:v>
      </x:c>
      <x:c r="BU345" s="14" t="str">
        <x:v>Low</x:v>
      </x:c>
      <x:c r="BV345" s="14" t="str">
        <x:v>Derived from supplied IMDb episode count and the documented production-total proxy.</x:v>
      </x:c>
      <x:c r="BW345" s="14" t="str">
        <x:v>Unable to determine</x:v>
      </x:c>
      <x:c r="BX345" s="14" t="str">
        <x:v>Supplied cast data establishes the credit and episode presence but does not establish narrative prominence.</x:v>
      </x:c>
      <x:c r="BY345" s="14" t="str">
        <x:v>Supplied IMDb cast-list workbook</x:v>
      </x:c>
      <x:c r="BZ34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tt13430420|nm14053572|william rollinson</x:v>
      </x:c>
      <x:c r="B346" s="14" t="str">
        <x:v>01</x:v>
      </x:c>
      <x:c r="C346" s="14" t="str">
        <x:v>2021_IMDb_Cast_Lists_Batch_01(1).xlsx</x:v>
      </x:c>
      <x:c r="D346" s="14" t="str">
        <x:v>Dalgliesh</x:v>
      </x:c>
      <x:c r="E346" s="14" t="n">
        <x:v>70</x:v>
      </x:c>
      <x:c r="F346" s="14" t="str">
        <x:v>Dalgliesh</x:v>
      </x:c>
      <x:c r="G346" s="14" t="str">
        <x:v>tt13430420</x:v>
      </x:c>
      <x:c r="H346" s="14" t="n">
        <x:v>2021</x:v>
      </x:c>
      <x:c r="I346" s="14" t="n">
        <x:v>2023</x:v>
      </x:c>
      <x:c r="J346" s="14" t="str">
        <x:v>Earlier-Production Carry-In Cohort</x:v>
      </x:c>
      <x:c r="K346" s="14" t="n">
        <x:v>2021</x:v>
      </x:c>
      <x:c r="L346" s="14" t="str">
        <x:v>Used in 2023 annual analysis</x:v>
      </x:c>
      <x:c r="M346" s="15" t="n">
        <x:v>63</x:v>
      </x:c>
      <x:c r="N346" s="14" t="str">
        <x:v>Ezra Carlisle</x:v>
      </x:c>
      <x:c r="O346" s="14" t="str">
        <x:v>nm14053572</x:v>
      </x:c>
      <x:c r="P346" s="14" t="str">
        <x:v>William Rollinson</x:v>
      </x:c>
      <x:c r="Q346" s="15" t="n">
        <x:v>2</x:v>
      </x:c>
      <x:c r="R346" s="14" t="str">
        <x:v>2023</x:v>
      </x:c>
      <x:c r="S346" s="14" t="n">
        <x:v>2023</x:v>
      </x:c>
      <x:c r="T346" s="14" t="n">
        <x:v>2023</x:v>
      </x:c>
      <x:c r="U346" s="14" t="str">
        <x:v>Post-2021 casting excluded</x:v>
      </x:c>
      <x:c r="V346" s="14" t="str">
        <x:v>Earliest supplied year is 2023, later than the 2021 study year.</x:v>
      </x:c>
      <x:c r="W346" s="14"/>
      <x:c r="X346" s="14" t="str">
        <x:v>Included</x:v>
      </x:c>
      <x:c r="Y346" s="14"/>
      <x:c r="Z346" s="14" t="str">
        <x:v>Dalgliesh.docx</x:v>
      </x:c>
      <x:c r="AA34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Channel 5 / 5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HYPERLINK("https://en.wikipedia.org/wiki/Dalglish","Open source")</x:f>
        <x:v>HYPERLINK is not implemented. linkLocation=https://en.wikipedia.org/wiki/Dalglish, friendlyName=Open source</x:v>
      </x:c>
      <x:c r="AN346" s="14" t="str">
        <x:v>No qualifying BBC relationship</x:v>
      </x:c>
      <x:c r="AO346" s="14" t="str">
        <x:v>No</x:v>
      </x:c>
      <x:c r="AP346" s="14" t="str">
        <x:v>Out of scope</x:v>
      </x:c>
      <x:c r="AQ346" s="14" t="str">
        <x:v>No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18</x:v>
      </x:c>
      <x:c r="BP346" s="14" t="str">
        <x:v>Maximum eligible IMDb cast-credit total (18), shared by 1 performer(s); not independently verified as a 2021-only episode total.</x:v>
      </x:c>
      <x:c r="BQ346" s="14" t="str">
        <x:v>Low</x:v>
      </x:c>
      <x:c r="BR346" s="15" t="n">
        <x:v>2</x:v>
      </x:c>
      <x:c r="BS346" s="16" t="n">
        <x:v>0.1111111111111111</x:v>
      </x:c>
      <x:c r="BT346" s="14" t="str">
        <x:v>Minority of episodes</x:v>
      </x:c>
      <x:c r="BU346" s="14" t="str">
        <x:v>Low</x:v>
      </x:c>
      <x:c r="BV346" s="14" t="str">
        <x:v>Derived from supplied IMDb episode count and the documented production-total proxy.</x:v>
      </x:c>
      <x:c r="BW346" s="14" t="str">
        <x:v>Unable to determine</x:v>
      </x:c>
      <x:c r="BX346" s="14" t="str">
        <x:v>Supplied cast data establishes the credit and episode presence but does not establish narrative prominence.</x:v>
      </x:c>
      <x:c r="BY346" s="14" t="str">
        <x:v>Supplied IMDb cast-list workbook</x:v>
      </x:c>
      <x:c r="BZ34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tt13430420|nm8205904|matthew ulrick</x:v>
      </x:c>
      <x:c r="B347" s="14" t="str">
        <x:v>01</x:v>
      </x:c>
      <x:c r="C347" s="14" t="str">
        <x:v>2021_IMDb_Cast_Lists_Batch_01(1).xlsx</x:v>
      </x:c>
      <x:c r="D347" s="14" t="str">
        <x:v>Dalgliesh</x:v>
      </x:c>
      <x:c r="E347" s="14" t="n">
        <x:v>76</x:v>
      </x:c>
      <x:c r="F347" s="14" t="str">
        <x:v>Dalgliesh</x:v>
      </x:c>
      <x:c r="G347" s="14" t="str">
        <x:v>tt13430420</x:v>
      </x:c>
      <x:c r="H347" s="14" t="n">
        <x:v>2021</x:v>
      </x:c>
      <x:c r="I347" s="14" t="n">
        <x:v>2023</x:v>
      </x:c>
      <x:c r="J347" s="14" t="str">
        <x:v>Earlier-Production Carry-In Cohort</x:v>
      </x:c>
      <x:c r="K347" s="14" t="n">
        <x:v>2021</x:v>
      </x:c>
      <x:c r="L347" s="14" t="str">
        <x:v>Used in 2023 annual analysis</x:v>
      </x:c>
      <x:c r="M347" s="15" t="n">
        <x:v>69</x:v>
      </x:c>
      <x:c r="N347" s="14" t="str">
        <x:v>Alex Hope</x:v>
      </x:c>
      <x:c r="O347" s="14" t="str">
        <x:v>nm8205904</x:v>
      </x:c>
      <x:c r="P347" s="14" t="str">
        <x:v>Matthew Ulrick</x:v>
      </x:c>
      <x:c r="Q347" s="15" t="n">
        <x:v>2</x:v>
      </x:c>
      <x:c r="R347" s="14" t="str">
        <x:v>2023</x:v>
      </x:c>
      <x:c r="S347" s="14" t="n">
        <x:v>2023</x:v>
      </x:c>
      <x:c r="T347" s="14" t="n">
        <x:v>2023</x:v>
      </x:c>
      <x:c r="U347" s="14" t="str">
        <x:v>Post-2021 casting excluded</x:v>
      </x:c>
      <x:c r="V347" s="14" t="str">
        <x:v>Earliest supplied year is 2023, later than the 2021 study year.</x:v>
      </x:c>
      <x:c r="W347" s="14"/>
      <x:c r="X347" s="14" t="str">
        <x:v>Included</x:v>
      </x:c>
      <x:c r="Y347" s="14"/>
      <x:c r="Z347" s="14" t="str">
        <x:v>Dalgliesh.docx</x:v>
      </x:c>
      <x:c r="AA34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Channel 5 / 5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HYPERLINK("https://en.wikipedia.org/wiki/Dalglish","Open source")</x:f>
        <x:v>HYPERLINK is not implemented. linkLocation=https://en.wikipedia.org/wiki/Dalglish, friendlyName=Open source</x:v>
      </x:c>
      <x:c r="AN347" s="14" t="str">
        <x:v>No qualifying BBC relationship</x:v>
      </x:c>
      <x:c r="AO347" s="14" t="str">
        <x:v>No</x:v>
      </x:c>
      <x:c r="AP347" s="14" t="str">
        <x:v>Out of scope</x:v>
      </x:c>
      <x:c r="AQ347" s="14" t="str">
        <x:v>No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18</x:v>
      </x:c>
      <x:c r="BP347" s="14" t="str">
        <x:v>Maximum eligible IMDb cast-credit total (18), shared by 1 performer(s); not independently verified as a 2021-only episode total.</x:v>
      </x:c>
      <x:c r="BQ347" s="14" t="str">
        <x:v>Low</x:v>
      </x:c>
      <x:c r="BR347" s="15" t="n">
        <x:v>2</x:v>
      </x:c>
      <x:c r="BS347" s="16" t="n">
        <x:v>0.1111111111111111</x:v>
      </x:c>
      <x:c r="BT347" s="14" t="str">
        <x:v>Minority of episodes</x:v>
      </x:c>
      <x:c r="BU347" s="14" t="str">
        <x:v>Low</x:v>
      </x:c>
      <x:c r="BV347" s="14" t="str">
        <x:v>Derived from supplied IMDb episode count and the documented production-total proxy.</x:v>
      </x:c>
      <x:c r="BW347" s="14" t="str">
        <x:v>Unable to determine</x:v>
      </x:c>
      <x:c r="BX347" s="14" t="str">
        <x:v>Supplied cast data establishes the credit and episode presence but does not establish narrative prominence.</x:v>
      </x:c>
      <x:c r="BY347" s="14" t="str">
        <x:v>Supplied IMDb cast-list workbook</x:v>
      </x:c>
      <x:c r="BZ34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tt13430420|nm0141324|drysdale laud</x:v>
      </x:c>
      <x:c r="B348" s="14" t="str">
        <x:v>01</x:v>
      </x:c>
      <x:c r="C348" s="14" t="str">
        <x:v>2021_IMDb_Cast_Lists_Batch_01(1).xlsx</x:v>
      </x:c>
      <x:c r="D348" s="14" t="str">
        <x:v>Dalgliesh</x:v>
      </x:c>
      <x:c r="E348" s="14" t="n">
        <x:v>82</x:v>
      </x:c>
      <x:c r="F348" s="14" t="str">
        <x:v>Dalgliesh</x:v>
      </x:c>
      <x:c r="G348" s="14" t="str">
        <x:v>tt13430420</x:v>
      </x:c>
      <x:c r="H348" s="14" t="n">
        <x:v>2021</x:v>
      </x:c>
      <x:c r="I348" s="14" t="n">
        <x:v>2023</x:v>
      </x:c>
      <x:c r="J348" s="14" t="str">
        <x:v>Earlier-Production Carry-In Cohort</x:v>
      </x:c>
      <x:c r="K348" s="14" t="n">
        <x:v>2021</x:v>
      </x:c>
      <x:c r="L348" s="14" t="str">
        <x:v>Used in 2023 annual analysis</x:v>
      </x:c>
      <x:c r="M348" s="15" t="n">
        <x:v>75</x:v>
      </x:c>
      <x:c r="N348" s="14" t="str">
        <x:v>Silas Carson</x:v>
      </x:c>
      <x:c r="O348" s="14" t="str">
        <x:v>nm0141324</x:v>
      </x:c>
      <x:c r="P348" s="14" t="str">
        <x:v>Drysdale Laud</x:v>
      </x:c>
      <x:c r="Q348" s="15" t="n">
        <x:v>2</x:v>
      </x:c>
      <x:c r="R348" s="14" t="str">
        <x:v>2023</x:v>
      </x:c>
      <x:c r="S348" s="14" t="n">
        <x:v>2023</x:v>
      </x:c>
      <x:c r="T348" s="14" t="n">
        <x:v>2023</x:v>
      </x:c>
      <x:c r="U348" s="14" t="str">
        <x:v>Post-2021 casting excluded</x:v>
      </x:c>
      <x:c r="V348" s="14" t="str">
        <x:v>Earliest supplied year is 2023, later than the 2021 study year.</x:v>
      </x:c>
      <x:c r="W348" s="14"/>
      <x:c r="X348" s="14" t="str">
        <x:v>Included</x:v>
      </x:c>
      <x:c r="Y348" s="14"/>
      <x:c r="Z348" s="14" t="str">
        <x:v>Dalgliesh.docx</x:v>
      </x:c>
      <x:c r="AA34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Channel 5 / 5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HYPERLINK("https://en.wikipedia.org/wiki/Dalglish","Open source")</x:f>
        <x:v>HYPERLINK is not implemented. linkLocation=https://en.wikipedia.org/wiki/Dalglish, friendlyName=Open source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18</x:v>
      </x:c>
      <x:c r="BP348" s="14" t="str">
        <x:v>Maximum eligible IMDb cast-credit total (18), shared by 1 performer(s); not independently verified as a 2021-only episode total.</x:v>
      </x:c>
      <x:c r="BQ348" s="14" t="str">
        <x:v>Low</x:v>
      </x:c>
      <x:c r="BR348" s="15" t="n">
        <x:v>2</x:v>
      </x:c>
      <x:c r="BS348" s="16" t="n">
        <x:v>0.1111111111111111</x:v>
      </x:c>
      <x:c r="BT348" s="14" t="str">
        <x:v>Minority of episodes</x:v>
      </x:c>
      <x:c r="BU348" s="14" t="str">
        <x:v>Low</x:v>
      </x:c>
      <x:c r="BV348" s="14" t="str">
        <x:v>Derived from supplied IMDb episode count and the documented production-total proxy.</x:v>
      </x:c>
      <x:c r="BW348" s="14" t="str">
        <x:v>Unable to determine</x:v>
      </x:c>
      <x:c r="BX348" s="14" t="str">
        <x:v>Supplied cast data establishes the credit and episode presence but does not establish narrative prominence.</x:v>
      </x:c>
      <x:c r="BY348" s="14" t="str">
        <x:v>Supplied IMDb cast-list workbook</x:v>
      </x:c>
      <x:c r="BZ34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tt13430420|nm0191410|hubert langton</x:v>
      </x:c>
      <x:c r="B349" s="14" t="str">
        <x:v>01</x:v>
      </x:c>
      <x:c r="C349" s="14" t="str">
        <x:v>2021_IMDb_Cast_Lists_Batch_01(1).xlsx</x:v>
      </x:c>
      <x:c r="D349" s="14" t="str">
        <x:v>Dalgliesh</x:v>
      </x:c>
      <x:c r="E349" s="14" t="n">
        <x:v>85</x:v>
      </x:c>
      <x:c r="F349" s="14" t="str">
        <x:v>Dalgliesh</x:v>
      </x:c>
      <x:c r="G349" s="14" t="str">
        <x:v>tt13430420</x:v>
      </x:c>
      <x:c r="H349" s="14" t="n">
        <x:v>2021</x:v>
      </x:c>
      <x:c r="I349" s="14" t="n">
        <x:v>2023</x:v>
      </x:c>
      <x:c r="J349" s="14" t="str">
        <x:v>Earlier-Production Carry-In Cohort</x:v>
      </x:c>
      <x:c r="K349" s="14" t="n">
        <x:v>2021</x:v>
      </x:c>
      <x:c r="L349" s="14" t="str">
        <x:v>Used in 2023 annual analysis</x:v>
      </x:c>
      <x:c r="M349" s="15" t="n">
        <x:v>78</x:v>
      </x:c>
      <x:c r="N349" s="14" t="str">
        <x:v>Michael Culkin</x:v>
      </x:c>
      <x:c r="O349" s="14" t="str">
        <x:v>nm0191410</x:v>
      </x:c>
      <x:c r="P349" s="14" t="str">
        <x:v>Hubert Langton</x:v>
      </x:c>
      <x:c r="Q349" s="15" t="n">
        <x:v>2</x:v>
      </x:c>
      <x:c r="R349" s="14" t="str">
        <x:v>2023</x:v>
      </x:c>
      <x:c r="S349" s="14" t="n">
        <x:v>2023</x:v>
      </x:c>
      <x:c r="T349" s="14" t="n">
        <x:v>2023</x:v>
      </x:c>
      <x:c r="U349" s="14" t="str">
        <x:v>Post-2021 casting excluded</x:v>
      </x:c>
      <x:c r="V349" s="14" t="str">
        <x:v>Earliest supplied year is 2023, later than the 2021 study year.</x:v>
      </x:c>
      <x:c r="W349" s="14"/>
      <x:c r="X349" s="14" t="str">
        <x:v>Included</x:v>
      </x:c>
      <x:c r="Y349" s="14"/>
      <x:c r="Z349" s="14" t="str">
        <x:v>Dalgliesh.docx</x:v>
      </x:c>
      <x:c r="AA34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Channel 5 / 5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HYPERLINK("https://en.wikipedia.org/wiki/Dalglish","Open source")</x:f>
        <x:v>HYPERLINK is not implemented. linkLocation=https://en.wikipedia.org/wiki/Dalglish, friendlyName=Open source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18</x:v>
      </x:c>
      <x:c r="BP349" s="14" t="str">
        <x:v>Maximum eligible IMDb cast-credit total (18), shared by 1 performer(s); not independently verified as a 2021-only episode total.</x:v>
      </x:c>
      <x:c r="BQ349" s="14" t="str">
        <x:v>Low</x:v>
      </x:c>
      <x:c r="BR349" s="15" t="n">
        <x:v>2</x:v>
      </x:c>
      <x:c r="BS349" s="16" t="n">
        <x:v>0.1111111111111111</x:v>
      </x:c>
      <x:c r="BT349" s="14" t="str">
        <x:v>Minority of episodes</x:v>
      </x:c>
      <x:c r="BU349" s="14" t="str">
        <x:v>Low</x:v>
      </x:c>
      <x:c r="BV349" s="14" t="str">
        <x:v>Derived from supplied IMDb episode count and the documented production-total proxy.</x:v>
      </x:c>
      <x:c r="BW349" s="14" t="str">
        <x:v>Unable to determine</x:v>
      </x:c>
      <x:c r="BX349" s="14" t="str">
        <x:v>Supplied cast data establishes the credit and episode presence but does not establish narrative prominence.</x:v>
      </x:c>
      <x:c r="BY349" s="14" t="str">
        <x:v>Supplied IMDb cast-list workbook</x:v>
      </x:c>
      <x:c r="BZ34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tt13430420|nm13004602|brenda pridmore</x:v>
      </x:c>
      <x:c r="B350" s="14" t="str">
        <x:v>01</x:v>
      </x:c>
      <x:c r="C350" s="14" t="str">
        <x:v>2021_IMDb_Cast_Lists_Batch_01(1).xlsx</x:v>
      </x:c>
      <x:c r="D350" s="14" t="str">
        <x:v>Dalgliesh</x:v>
      </x:c>
      <x:c r="E350" s="14" t="n">
        <x:v>86</x:v>
      </x:c>
      <x:c r="F350" s="14" t="str">
        <x:v>Dalgliesh</x:v>
      </x:c>
      <x:c r="G350" s="14" t="str">
        <x:v>tt13430420</x:v>
      </x:c>
      <x:c r="H350" s="14" t="n">
        <x:v>2021</x:v>
      </x:c>
      <x:c r="I350" s="14" t="n">
        <x:v>2023</x:v>
      </x:c>
      <x:c r="J350" s="14" t="str">
        <x:v>Earlier-Production Carry-In Cohort</x:v>
      </x:c>
      <x:c r="K350" s="14" t="n">
        <x:v>2021</x:v>
      </x:c>
      <x:c r="L350" s="14" t="str">
        <x:v>Used in 2023 annual analysis</x:v>
      </x:c>
      <x:c r="M350" s="15" t="n">
        <x:v>79</x:v>
      </x:c>
      <x:c r="N350" s="14" t="str">
        <x:v>Alyth Ross</x:v>
      </x:c>
      <x:c r="O350" s="14" t="str">
        <x:v>nm13004602</x:v>
      </x:c>
      <x:c r="P350" s="14" t="str">
        <x:v>Brenda Pridmore</x:v>
      </x:c>
      <x:c r="Q350" s="15" t="n">
        <x:v>2</x:v>
      </x:c>
      <x:c r="R350" s="14" t="str">
        <x:v>2023</x:v>
      </x:c>
      <x:c r="S350" s="14" t="n">
        <x:v>2023</x:v>
      </x:c>
      <x:c r="T350" s="14" t="n">
        <x:v>2023</x:v>
      </x:c>
      <x:c r="U350" s="14" t="str">
        <x:v>Post-2021 casting excluded</x:v>
      </x:c>
      <x:c r="V350" s="14" t="str">
        <x:v>Earliest supplied year is 2023, later than the 2021 study year.</x:v>
      </x:c>
      <x:c r="W350" s="14"/>
      <x:c r="X350" s="14" t="str">
        <x:v>Included</x:v>
      </x:c>
      <x:c r="Y350" s="14"/>
      <x:c r="Z350" s="14" t="str">
        <x:v>Dalgliesh.docx</x:v>
      </x:c>
      <x:c r="AA35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Channel 5 / 5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HYPERLINK("https://en.wikipedia.org/wiki/Dalglish","Open source")</x:f>
        <x:v>HYPERLINK is not implemented. linkLocation=https://en.wikipedia.org/wiki/Dalglish, friendlyName=Open source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18</x:v>
      </x:c>
      <x:c r="BP350" s="14" t="str">
        <x:v>Maximum eligible IMDb cast-credit total (18), shared by 1 performer(s); not independently verified as a 2021-only episode total.</x:v>
      </x:c>
      <x:c r="BQ350" s="14" t="str">
        <x:v>Low</x:v>
      </x:c>
      <x:c r="BR350" s="15" t="n">
        <x:v>2</x:v>
      </x:c>
      <x:c r="BS350" s="16" t="n">
        <x:v>0.1111111111111111</x:v>
      </x:c>
      <x:c r="BT350" s="14" t="str">
        <x:v>Minority of episodes</x:v>
      </x:c>
      <x:c r="BU350" s="14" t="str">
        <x:v>Low</x:v>
      </x:c>
      <x:c r="BV350" s="14" t="str">
        <x:v>Derived from supplied IMDb episode count and the documented production-total proxy.</x:v>
      </x:c>
      <x:c r="BW350" s="14" t="str">
        <x:v>Unable to determine</x:v>
      </x:c>
      <x:c r="BX350" s="14" t="str">
        <x:v>Supplied cast data establishes the credit and episode presence but does not establish narrative prominence.</x:v>
      </x:c>
      <x:c r="BY350" s="14" t="str">
        <x:v>Supplied IMDb cast-list workbook</x:v>
      </x:c>
      <x:c r="BZ35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tt13430420|nm0540585|desmond ulrick</x:v>
      </x:c>
      <x:c r="B351" s="14" t="str">
        <x:v>01</x:v>
      </x:c>
      <x:c r="C351" s="14" t="str">
        <x:v>2021_IMDb_Cast_Lists_Batch_01(1).xlsx</x:v>
      </x:c>
      <x:c r="D351" s="14" t="str">
        <x:v>Dalgliesh</x:v>
      </x:c>
      <x:c r="E351" s="14" t="n">
        <x:v>87</x:v>
      </x:c>
      <x:c r="F351" s="14" t="str">
        <x:v>Dalgliesh</x:v>
      </x:c>
      <x:c r="G351" s="14" t="str">
        <x:v>tt13430420</x:v>
      </x:c>
      <x:c r="H351" s="14" t="n">
        <x:v>2021</x:v>
      </x:c>
      <x:c r="I351" s="14" t="n">
        <x:v>2023</x:v>
      </x:c>
      <x:c r="J351" s="14" t="str">
        <x:v>Earlier-Production Carry-In Cohort</x:v>
      </x:c>
      <x:c r="K351" s="14" t="n">
        <x:v>2021</x:v>
      </x:c>
      <x:c r="L351" s="14" t="str">
        <x:v>Used in 2023 annual analysis</x:v>
      </x:c>
      <x:c r="M351" s="15" t="n">
        <x:v>80</x:v>
      </x:c>
      <x:c r="N351" s="14" t="str">
        <x:v>Michael Maloney</x:v>
      </x:c>
      <x:c r="O351" s="14" t="str">
        <x:v>nm0540585</x:v>
      </x:c>
      <x:c r="P351" s="14" t="str">
        <x:v>Desmond Ulrick</x:v>
      </x:c>
      <x:c r="Q351" s="15" t="n">
        <x:v>2</x:v>
      </x:c>
      <x:c r="R351" s="14" t="str">
        <x:v>2023</x:v>
      </x:c>
      <x:c r="S351" s="14" t="n">
        <x:v>2023</x:v>
      </x:c>
      <x:c r="T351" s="14" t="n">
        <x:v>2023</x:v>
      </x:c>
      <x:c r="U351" s="14" t="str">
        <x:v>Post-2021 casting excluded</x:v>
      </x:c>
      <x:c r="V351" s="14" t="str">
        <x:v>Earliest supplied year is 2023, later than the 2021 study year.</x:v>
      </x:c>
      <x:c r="W351" s="14"/>
      <x:c r="X351" s="14" t="str">
        <x:v>Included</x:v>
      </x:c>
      <x:c r="Y351" s="14"/>
      <x:c r="Z351" s="14" t="str">
        <x:v>Dalgliesh.docx</x:v>
      </x:c>
      <x:c r="AA35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Channel 5 / 5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HYPERLINK("https://en.wikipedia.org/wiki/Dalglish","Open source")</x:f>
        <x:v>HYPERLINK is not implemented. linkLocation=https://en.wikipedia.org/wiki/Dalglish, friendlyName=Open source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18</x:v>
      </x:c>
      <x:c r="BP351" s="14" t="str">
        <x:v>Maximum eligible IMDb cast-credit total (18), shared by 1 performer(s); not independently verified as a 2021-only episode total.</x:v>
      </x:c>
      <x:c r="BQ351" s="14" t="str">
        <x:v>Low</x:v>
      </x:c>
      <x:c r="BR351" s="15" t="n">
        <x:v>2</x:v>
      </x:c>
      <x:c r="BS351" s="16" t="n">
        <x:v>0.1111111111111111</x:v>
      </x:c>
      <x:c r="BT351" s="14" t="str">
        <x:v>Minority of episodes</x:v>
      </x:c>
      <x:c r="BU351" s="14" t="str">
        <x:v>Low</x:v>
      </x:c>
      <x:c r="BV351" s="14" t="str">
        <x:v>Derived from supplied IMDb episode count and the documented production-total proxy.</x:v>
      </x:c>
      <x:c r="BW351" s="14" t="str">
        <x:v>Unable to determine</x:v>
      </x:c>
      <x:c r="BX351" s="14" t="str">
        <x:v>Supplied cast data establishes the credit and episode presence but does not establish narrative prominence.</x:v>
      </x:c>
      <x:c r="BY351" s="14" t="str">
        <x:v>Supplied IMDb cast-list workbook</x:v>
      </x:c>
      <x:c r="BZ35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tt13430420|nm10700988|valerie caldwell</x:v>
      </x:c>
      <x:c r="B352" s="14" t="str">
        <x:v>01</x:v>
      </x:c>
      <x:c r="C352" s="14" t="str">
        <x:v>2021_IMDb_Cast_Lists_Batch_01(1).xlsx</x:v>
      </x:c>
      <x:c r="D352" s="14" t="str">
        <x:v>Dalgliesh</x:v>
      </x:c>
      <x:c r="E352" s="14" t="n">
        <x:v>88</x:v>
      </x:c>
      <x:c r="F352" s="14" t="str">
        <x:v>Dalgliesh</x:v>
      </x:c>
      <x:c r="G352" s="14" t="str">
        <x:v>tt13430420</x:v>
      </x:c>
      <x:c r="H352" s="14" t="n">
        <x:v>2021</x:v>
      </x:c>
      <x:c r="I352" s="14" t="n">
        <x:v>2023</x:v>
      </x:c>
      <x:c r="J352" s="14" t="str">
        <x:v>Earlier-Production Carry-In Cohort</x:v>
      </x:c>
      <x:c r="K352" s="14" t="n">
        <x:v>2021</x:v>
      </x:c>
      <x:c r="L352" s="14" t="str">
        <x:v>Used in 2023 annual analysis</x:v>
      </x:c>
      <x:c r="M352" s="15" t="n">
        <x:v>81</x:v>
      </x:c>
      <x:c r="N352" s="14" t="str">
        <x:v>Charlotte McCurry</x:v>
      </x:c>
      <x:c r="O352" s="14" t="str">
        <x:v>nm10700988</x:v>
      </x:c>
      <x:c r="P352" s="14" t="str">
        <x:v>Valerie Caldwell</x:v>
      </x:c>
      <x:c r="Q352" s="15" t="n">
        <x:v>2</x:v>
      </x:c>
      <x:c r="R352" s="14" t="str">
        <x:v>2023</x:v>
      </x:c>
      <x:c r="S352" s="14" t="n">
        <x:v>2023</x:v>
      </x:c>
      <x:c r="T352" s="14" t="n">
        <x:v>2023</x:v>
      </x:c>
      <x:c r="U352" s="14" t="str">
        <x:v>Post-2021 casting excluded</x:v>
      </x:c>
      <x:c r="V352" s="14" t="str">
        <x:v>Earliest supplied year is 2023, later than the 2021 study year.</x:v>
      </x:c>
      <x:c r="W352" s="14"/>
      <x:c r="X352" s="14" t="str">
        <x:v>Included</x:v>
      </x:c>
      <x:c r="Y352" s="14"/>
      <x:c r="Z352" s="14" t="str">
        <x:v>Dalgliesh.docx</x:v>
      </x:c>
      <x:c r="AA35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Channel 5 / 5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HYPERLINK("https://en.wikipedia.org/wiki/Dalglish","Open source")</x:f>
        <x:v>HYPERLINK is not implemented. linkLocation=https://en.wikipedia.org/wiki/Dalglish, friendlyName=Open source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18</x:v>
      </x:c>
      <x:c r="BP352" s="14" t="str">
        <x:v>Maximum eligible IMDb cast-credit total (18), shared by 1 performer(s); not independently verified as a 2021-only episode total.</x:v>
      </x:c>
      <x:c r="BQ352" s="14" t="str">
        <x:v>Low</x:v>
      </x:c>
      <x:c r="BR352" s="15" t="n">
        <x:v>2</x:v>
      </x:c>
      <x:c r="BS352" s="16" t="n">
        <x:v>0.1111111111111111</x:v>
      </x:c>
      <x:c r="BT352" s="14" t="str">
        <x:v>Minority of episodes</x:v>
      </x:c>
      <x:c r="BU352" s="14" t="str">
        <x:v>Low</x:v>
      </x:c>
      <x:c r="BV352" s="14" t="str">
        <x:v>Derived from supplied IMDb episode count and the documented production-total proxy.</x:v>
      </x:c>
      <x:c r="BW352" s="14" t="str">
        <x:v>Unable to determine</x:v>
      </x:c>
      <x:c r="BX352" s="14" t="str">
        <x:v>Supplied cast data establishes the credit and episode presence but does not establish narrative prominence.</x:v>
      </x:c>
      <x:c r="BY352" s="14" t="str">
        <x:v>Supplied IMDb cast-list workbook</x:v>
      </x:c>
      <x:c r="BZ35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tt13430420|nm4491046|angela foley</x:v>
      </x:c>
      <x:c r="B353" s="14" t="str">
        <x:v>01</x:v>
      </x:c>
      <x:c r="C353" s="14" t="str">
        <x:v>2021_IMDb_Cast_Lists_Batch_01(1).xlsx</x:v>
      </x:c>
      <x:c r="D353" s="14" t="str">
        <x:v>Dalgliesh</x:v>
      </x:c>
      <x:c r="E353" s="14" t="n">
        <x:v>96</x:v>
      </x:c>
      <x:c r="F353" s="14" t="str">
        <x:v>Dalgliesh</x:v>
      </x:c>
      <x:c r="G353" s="14" t="str">
        <x:v>tt13430420</x:v>
      </x:c>
      <x:c r="H353" s="14" t="n">
        <x:v>2021</x:v>
      </x:c>
      <x:c r="I353" s="14" t="n">
        <x:v>2023</x:v>
      </x:c>
      <x:c r="J353" s="14" t="str">
        <x:v>Earlier-Production Carry-In Cohort</x:v>
      </x:c>
      <x:c r="K353" s="14" t="n">
        <x:v>2021</x:v>
      </x:c>
      <x:c r="L353" s="14" t="str">
        <x:v>Used in 2023 annual analysis</x:v>
      </x:c>
      <x:c r="M353" s="15" t="n">
        <x:v>89</x:v>
      </x:c>
      <x:c r="N353" s="14" t="str">
        <x:v>Carolina Main</x:v>
      </x:c>
      <x:c r="O353" s="14" t="str">
        <x:v>nm4491046</x:v>
      </x:c>
      <x:c r="P353" s="14" t="str">
        <x:v>Angela Foley</x:v>
      </x:c>
      <x:c r="Q353" s="15" t="n">
        <x:v>2</x:v>
      </x:c>
      <x:c r="R353" s="14" t="str">
        <x:v>2023</x:v>
      </x:c>
      <x:c r="S353" s="14" t="n">
        <x:v>2023</x:v>
      </x:c>
      <x:c r="T353" s="14" t="n">
        <x:v>2023</x:v>
      </x:c>
      <x:c r="U353" s="14" t="str">
        <x:v>Post-2021 casting excluded</x:v>
      </x:c>
      <x:c r="V353" s="14" t="str">
        <x:v>Earliest supplied year is 2023, later than the 2021 study year.</x:v>
      </x:c>
      <x:c r="W353" s="14"/>
      <x:c r="X353" s="14" t="str">
        <x:v>Included</x:v>
      </x:c>
      <x:c r="Y353" s="14"/>
      <x:c r="Z353" s="14" t="str">
        <x:v>Dalgliesh.docx</x:v>
      </x:c>
      <x:c r="AA35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Channel 5 / 5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HYPERLINK("https://en.wikipedia.org/wiki/Dalglish","Open source")</x:f>
        <x:v>HYPERLINK is not implemented. linkLocation=https://en.wikipedia.org/wiki/Dalglish, friendlyName=Open source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18</x:v>
      </x:c>
      <x:c r="BP353" s="14" t="str">
        <x:v>Maximum eligible IMDb cast-credit total (18), shared by 1 performer(s); not independently verified as a 2021-only episode total.</x:v>
      </x:c>
      <x:c r="BQ353" s="14" t="str">
        <x:v>Low</x:v>
      </x:c>
      <x:c r="BR353" s="15" t="n">
        <x:v>2</x:v>
      </x:c>
      <x:c r="BS353" s="16" t="n">
        <x:v>0.1111111111111111</x:v>
      </x:c>
      <x:c r="BT353" s="14" t="str">
        <x:v>Minority of episodes</x:v>
      </x:c>
      <x:c r="BU353" s="14" t="str">
        <x:v>Low</x:v>
      </x:c>
      <x:c r="BV353" s="14" t="str">
        <x:v>Derived from supplied IMDb episode count and the documented production-total proxy.</x:v>
      </x:c>
      <x:c r="BW353" s="14" t="str">
        <x:v>Unable to determine</x:v>
      </x:c>
      <x:c r="BX353" s="14" t="str">
        <x:v>Supplied cast data establishes the credit and episode presence but does not establish narrative prominence.</x:v>
      </x:c>
      <x:c r="BY353" s="14" t="str">
        <x:v>Supplied IMDb cast-list workbook</x:v>
      </x:c>
      <x:c r="BZ35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tt13430420|nm0811629|major rupert arkwright</x:v>
      </x:c>
      <x:c r="B354" s="14" t="str">
        <x:v>01</x:v>
      </x:c>
      <x:c r="C354" s="14" t="str">
        <x:v>2021_IMDb_Cast_Lists_Batch_01(1).xlsx</x:v>
      </x:c>
      <x:c r="D354" s="14" t="str">
        <x:v>Dalgliesh</x:v>
      </x:c>
      <x:c r="E354" s="14" t="n">
        <x:v>97</x:v>
      </x:c>
      <x:c r="F354" s="14" t="str">
        <x:v>Dalgliesh</x:v>
      </x:c>
      <x:c r="G354" s="14" t="str">
        <x:v>tt13430420</x:v>
      </x:c>
      <x:c r="H354" s="14" t="n">
        <x:v>2021</x:v>
      </x:c>
      <x:c r="I354" s="14" t="n">
        <x:v>2023</x:v>
      </x:c>
      <x:c r="J354" s="14" t="str">
        <x:v>Earlier-Production Carry-In Cohort</x:v>
      </x:c>
      <x:c r="K354" s="14" t="n">
        <x:v>2021</x:v>
      </x:c>
      <x:c r="L354" s="14" t="str">
        <x:v>Used in 2023 annual analysis</x:v>
      </x:c>
      <x:c r="M354" s="15" t="n">
        <x:v>90</x:v>
      </x:c>
      <x:c r="N354" s="14" t="str">
        <x:v>Robin Soans</x:v>
      </x:c>
      <x:c r="O354" s="14" t="str">
        <x:v>nm0811629</x:v>
      </x:c>
      <x:c r="P354" s="14" t="str">
        <x:v>Major Rupert Arkwright</x:v>
      </x:c>
      <x:c r="Q354" s="15" t="n">
        <x:v>2</x:v>
      </x:c>
      <x:c r="R354" s="14" t="str">
        <x:v>2023</x:v>
      </x:c>
      <x:c r="S354" s="14" t="n">
        <x:v>2023</x:v>
      </x:c>
      <x:c r="T354" s="14" t="n">
        <x:v>2023</x:v>
      </x:c>
      <x:c r="U354" s="14" t="str">
        <x:v>Post-2021 casting excluded</x:v>
      </x:c>
      <x:c r="V354" s="14" t="str">
        <x:v>Earliest supplied year is 2023, later than the 2021 study year.</x:v>
      </x:c>
      <x:c r="W354" s="14"/>
      <x:c r="X354" s="14" t="str">
        <x:v>Included</x:v>
      </x:c>
      <x:c r="Y354" s="14"/>
      <x:c r="Z354" s="14" t="str">
        <x:v>Dalgliesh.docx</x:v>
      </x:c>
      <x:c r="AA35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Channel 5 / 5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HYPERLINK("https://en.wikipedia.org/wiki/Dalglish","Open source")</x:f>
        <x:v>HYPERLINK is not implemented. linkLocation=https://en.wikipedia.org/wiki/Dalglish, friendlyName=Open source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18</x:v>
      </x:c>
      <x:c r="BP354" s="14" t="str">
        <x:v>Maximum eligible IMDb cast-credit total (18), shared by 1 performer(s); not independently verified as a 2021-only episode total.</x:v>
      </x:c>
      <x:c r="BQ354" s="14" t="str">
        <x:v>Low</x:v>
      </x:c>
      <x:c r="BR354" s="15" t="n">
        <x:v>2</x:v>
      </x:c>
      <x:c r="BS354" s="16" t="n">
        <x:v>0.1111111111111111</x:v>
      </x:c>
      <x:c r="BT354" s="14" t="str">
        <x:v>Minority of episodes</x:v>
      </x:c>
      <x:c r="BU354" s="14" t="str">
        <x:v>Low</x:v>
      </x:c>
      <x:c r="BV354" s="14" t="str">
        <x:v>Derived from supplied IMDb episode count and the documented production-total proxy.</x:v>
      </x:c>
      <x:c r="BW354" s="14" t="str">
        <x:v>Unable to determine</x:v>
      </x:c>
      <x:c r="BX354" s="14" t="str">
        <x:v>Supplied cast data establishes the credit and episode presence but does not establish narrative prominence.</x:v>
      </x:c>
      <x:c r="BY354" s="14" t="str">
        <x:v>Supplied IMDb cast-list workbook</x:v>
      </x:c>
      <x:c r="BZ35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tt13430420|nm1599985|clifford bradley</x:v>
      </x:c>
      <x:c r="B355" s="14" t="str">
        <x:v>01</x:v>
      </x:c>
      <x:c r="C355" s="14" t="str">
        <x:v>2021_IMDb_Cast_Lists_Batch_01(1).xlsx</x:v>
      </x:c>
      <x:c r="D355" s="14" t="str">
        <x:v>Dalgliesh</x:v>
      </x:c>
      <x:c r="E355" s="14" t="n">
        <x:v>100</x:v>
      </x:c>
      <x:c r="F355" s="14" t="str">
        <x:v>Dalgliesh</x:v>
      </x:c>
      <x:c r="G355" s="14" t="str">
        <x:v>tt13430420</x:v>
      </x:c>
      <x:c r="H355" s="14" t="n">
        <x:v>2021</x:v>
      </x:c>
      <x:c r="I355" s="14" t="n">
        <x:v>2023</x:v>
      </x:c>
      <x:c r="J355" s="14" t="str">
        <x:v>Earlier-Production Carry-In Cohort</x:v>
      </x:c>
      <x:c r="K355" s="14" t="n">
        <x:v>2021</x:v>
      </x:c>
      <x:c r="L355" s="14" t="str">
        <x:v>Used in 2023 annual analysis</x:v>
      </x:c>
      <x:c r="M355" s="15" t="n">
        <x:v>93</x:v>
      </x:c>
      <x:c r="N355" s="14" t="str">
        <x:v>Perry Millward</x:v>
      </x:c>
      <x:c r="O355" s="14" t="str">
        <x:v>nm1599985</x:v>
      </x:c>
      <x:c r="P355" s="14" t="str">
        <x:v>Clifford Bradley</x:v>
      </x:c>
      <x:c r="Q355" s="15" t="n">
        <x:v>2</x:v>
      </x:c>
      <x:c r="R355" s="14" t="str">
        <x:v>2023</x:v>
      </x:c>
      <x:c r="S355" s="14" t="n">
        <x:v>2023</x:v>
      </x:c>
      <x:c r="T355" s="14" t="n">
        <x:v>2023</x:v>
      </x:c>
      <x:c r="U355" s="14" t="str">
        <x:v>Post-2021 casting excluded</x:v>
      </x:c>
      <x:c r="V355" s="14" t="str">
        <x:v>Earliest supplied year is 2023, later than the 2021 study year.</x:v>
      </x:c>
      <x:c r="W355" s="14"/>
      <x:c r="X355" s="14" t="str">
        <x:v>Included</x:v>
      </x:c>
      <x:c r="Y355" s="14"/>
      <x:c r="Z355" s="14" t="str">
        <x:v>Dalgliesh.docx</x:v>
      </x:c>
      <x:c r="AA35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Channel 5 / 5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HYPERLINK("https://en.wikipedia.org/wiki/Dalglish","Open source")</x:f>
        <x:v>HYPERLINK is not implemented. linkLocation=https://en.wikipedia.org/wiki/Dalglish, friendlyName=Open source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18</x:v>
      </x:c>
      <x:c r="BP355" s="14" t="str">
        <x:v>Maximum eligible IMDb cast-credit total (18), shared by 1 performer(s); not independently verified as a 2021-only episode total.</x:v>
      </x:c>
      <x:c r="BQ355" s="14" t="str">
        <x:v>Low</x:v>
      </x:c>
      <x:c r="BR355" s="15" t="n">
        <x:v>2</x:v>
      </x:c>
      <x:c r="BS355" s="16" t="n">
        <x:v>0.1111111111111111</x:v>
      </x:c>
      <x:c r="BT355" s="14" t="str">
        <x:v>Minority of episodes</x:v>
      </x:c>
      <x:c r="BU355" s="14" t="str">
        <x:v>Low</x:v>
      </x:c>
      <x:c r="BV355" s="14" t="str">
        <x:v>Derived from supplied IMDb episode count and the documented production-total proxy.</x:v>
      </x:c>
      <x:c r="BW355" s="14" t="str">
        <x:v>Unable to determine</x:v>
      </x:c>
      <x:c r="BX355" s="14" t="str">
        <x:v>Supplied cast data establishes the credit and episode presence but does not establish narrative prominence.</x:v>
      </x:c>
      <x:c r="BY355" s="14" t="str">
        <x:v>Supplied IMDb cast-list workbook</x:v>
      </x:c>
      <x:c r="BZ35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tt13430420|nm0242954|roger denholm</x:v>
      </x:c>
      <x:c r="B356" s="14" t="str">
        <x:v>01</x:v>
      </x:c>
      <x:c r="C356" s="14" t="str">
        <x:v>2021_IMDb_Cast_Lists_Batch_01(1).xlsx</x:v>
      </x:c>
      <x:c r="D356" s="14" t="str">
        <x:v>Dalgliesh</x:v>
      </x:c>
      <x:c r="E356" s="14" t="n">
        <x:v>105</x:v>
      </x:c>
      <x:c r="F356" s="14" t="str">
        <x:v>Dalgliesh</x:v>
      </x:c>
      <x:c r="G356" s="14" t="str">
        <x:v>tt13430420</x:v>
      </x:c>
      <x:c r="H356" s="14" t="n">
        <x:v>2021</x:v>
      </x:c>
      <x:c r="I356" s="14" t="n">
        <x:v>2023</x:v>
      </x:c>
      <x:c r="J356" s="14" t="str">
        <x:v>Earlier-Production Carry-In Cohort</x:v>
      </x:c>
      <x:c r="K356" s="14" t="n">
        <x:v>2021</x:v>
      </x:c>
      <x:c r="L356" s="14" t="str">
        <x:v>Used in 2023 annual analysis</x:v>
      </x:c>
      <x:c r="M356" s="15" t="n">
        <x:v>98</x:v>
      </x:c>
      <x:c r="N356" s="14" t="str">
        <x:v>Nick Dunning</x:v>
      </x:c>
      <x:c r="O356" s="14" t="str">
        <x:v>nm0242954</x:v>
      </x:c>
      <x:c r="P356" s="14" t="str">
        <x:v>Roger Denholm</x:v>
      </x:c>
      <x:c r="Q356" s="15" t="n">
        <x:v>2</x:v>
      </x:c>
      <x:c r="R356" s="14" t="str">
        <x:v>2023</x:v>
      </x:c>
      <x:c r="S356" s="14" t="n">
        <x:v>2023</x:v>
      </x:c>
      <x:c r="T356" s="14" t="n">
        <x:v>2023</x:v>
      </x:c>
      <x:c r="U356" s="14" t="str">
        <x:v>Post-2021 casting excluded</x:v>
      </x:c>
      <x:c r="V356" s="14" t="str">
        <x:v>Earliest supplied year is 2023, later than the 2021 study year.</x:v>
      </x:c>
      <x:c r="W356" s="14"/>
      <x:c r="X356" s="14" t="str">
        <x:v>Included</x:v>
      </x:c>
      <x:c r="Y356" s="14"/>
      <x:c r="Z356" s="14" t="str">
        <x:v>Dalgliesh.docx</x:v>
      </x:c>
      <x:c r="AA35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Channel 5 / 5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HYPERLINK("https://en.wikipedia.org/wiki/Dalglish","Open source")</x:f>
        <x:v>HYPERLINK is not implemented. linkLocation=https://en.wikipedia.org/wiki/Dalglish, friendlyName=Open source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18</x:v>
      </x:c>
      <x:c r="BP356" s="14" t="str">
        <x:v>Maximum eligible IMDb cast-credit total (18), shared by 1 performer(s); not independently verified as a 2021-only episode total.</x:v>
      </x:c>
      <x:c r="BQ356" s="14" t="str">
        <x:v>Low</x:v>
      </x:c>
      <x:c r="BR356" s="15" t="n">
        <x:v>2</x:v>
      </x:c>
      <x:c r="BS356" s="16" t="n">
        <x:v>0.1111111111111111</x:v>
      </x:c>
      <x:c r="BT356" s="14" t="str">
        <x:v>Minority of episodes</x:v>
      </x:c>
      <x:c r="BU356" s="14" t="str">
        <x:v>Low</x:v>
      </x:c>
      <x:c r="BV356" s="14" t="str">
        <x:v>Derived from supplied IMDb episode count and the documented production-total proxy.</x:v>
      </x:c>
      <x:c r="BW356" s="14" t="str">
        <x:v>Unable to determine</x:v>
      </x:c>
      <x:c r="BX356" s="14" t="str">
        <x:v>Supplied cast data establishes the credit and episode presence but does not establish narrative prominence.</x:v>
      </x:c>
      <x:c r="BY356" s="14" t="str">
        <x:v>Supplied IMDb cast-list workbook</x:v>
      </x:c>
      <x:c r="BZ35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tt13430420|nm9207557|dc carling</x:v>
      </x:c>
      <x:c r="B357" s="14" t="str">
        <x:v>01</x:v>
      </x:c>
      <x:c r="C357" s="14" t="str">
        <x:v>2021_IMDb_Cast_Lists_Batch_01(1).xlsx</x:v>
      </x:c>
      <x:c r="D357" s="14" t="str">
        <x:v>Dalgliesh</x:v>
      </x:c>
      <x:c r="E357" s="14" t="n">
        <x:v>106</x:v>
      </x:c>
      <x:c r="F357" s="14" t="str">
        <x:v>Dalgliesh</x:v>
      </x:c>
      <x:c r="G357" s="14" t="str">
        <x:v>tt13430420</x:v>
      </x:c>
      <x:c r="H357" s="14" t="n">
        <x:v>2021</x:v>
      </x:c>
      <x:c r="I357" s="14" t="n">
        <x:v>2023</x:v>
      </x:c>
      <x:c r="J357" s="14" t="str">
        <x:v>Earlier-Production Carry-In Cohort</x:v>
      </x:c>
      <x:c r="K357" s="14" t="n">
        <x:v>2021</x:v>
      </x:c>
      <x:c r="L357" s="14" t="str">
        <x:v>Used in 2023 annual analysis</x:v>
      </x:c>
      <x:c r="M357" s="15" t="n">
        <x:v>99</x:v>
      </x:c>
      <x:c r="N357" s="14" t="str">
        <x:v>Conor Hinds</x:v>
      </x:c>
      <x:c r="O357" s="14" t="str">
        <x:v>nm9207557</x:v>
      </x:c>
      <x:c r="P357" s="14" t="str">
        <x:v>DC Carling</x:v>
      </x:c>
      <x:c r="Q357" s="15" t="n">
        <x:v>2</x:v>
      </x:c>
      <x:c r="R357" s="14" t="str">
        <x:v>2023</x:v>
      </x:c>
      <x:c r="S357" s="14" t="n">
        <x:v>2023</x:v>
      </x:c>
      <x:c r="T357" s="14" t="n">
        <x:v>2023</x:v>
      </x:c>
      <x:c r="U357" s="14" t="str">
        <x:v>Post-2021 casting excluded</x:v>
      </x:c>
      <x:c r="V357" s="14" t="str">
        <x:v>Earliest supplied year is 2023, later than the 2021 study year.</x:v>
      </x:c>
      <x:c r="W357" s="14"/>
      <x:c r="X357" s="14" t="str">
        <x:v>Included</x:v>
      </x:c>
      <x:c r="Y357" s="14"/>
      <x:c r="Z357" s="14" t="str">
        <x:v>Dalgliesh.docx</x:v>
      </x:c>
      <x:c r="AA35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Channel 5 / 5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HYPERLINK("https://en.wikipedia.org/wiki/Dalglish","Open source")</x:f>
        <x:v>HYPERLINK is not implemented. linkLocation=https://en.wikipedia.org/wiki/Dalglish, friendlyName=Open source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18</x:v>
      </x:c>
      <x:c r="BP357" s="14" t="str">
        <x:v>Maximum eligible IMDb cast-credit total (18), shared by 1 performer(s); not independently verified as a 2021-only episode total.</x:v>
      </x:c>
      <x:c r="BQ357" s="14" t="str">
        <x:v>Low</x:v>
      </x:c>
      <x:c r="BR357" s="15" t="n">
        <x:v>2</x:v>
      </x:c>
      <x:c r="BS357" s="16" t="n">
        <x:v>0.1111111111111111</x:v>
      </x:c>
      <x:c r="BT357" s="14" t="str">
        <x:v>Minority of episodes</x:v>
      </x:c>
      <x:c r="BU357" s="14" t="str">
        <x:v>Low</x:v>
      </x:c>
      <x:c r="BV357" s="14" t="str">
        <x:v>Derived from supplied IMDb episode count and the documented production-total proxy.</x:v>
      </x:c>
      <x:c r="BW357" s="14" t="str">
        <x:v>Unable to determine</x:v>
      </x:c>
      <x:c r="BX357" s="14" t="str">
        <x:v>Supplied cast data establishes the credit and episode presence but does not establish narrative prominence.</x:v>
      </x:c>
      <x:c r="BY357" s="14" t="str">
        <x:v>Supplied IMDb cast-list workbook</x:v>
      </x:c>
      <x:c r="BZ35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tt13430420|nm0154708|blanche fielding</x:v>
      </x:c>
      <x:c r="B358" s="14" t="str">
        <x:v>01</x:v>
      </x:c>
      <x:c r="C358" s="14" t="str">
        <x:v>2021_IMDb_Cast_Lists_Batch_01(1).xlsx</x:v>
      </x:c>
      <x:c r="D358" s="14" t="str">
        <x:v>Dalgliesh</x:v>
      </x:c>
      <x:c r="E358" s="14" t="n">
        <x:v>110</x:v>
      </x:c>
      <x:c r="F358" s="14" t="str">
        <x:v>Dalgliesh</x:v>
      </x:c>
      <x:c r="G358" s="14" t="str">
        <x:v>tt13430420</x:v>
      </x:c>
      <x:c r="H358" s="14" t="n">
        <x:v>2021</x:v>
      </x:c>
      <x:c r="I358" s="14" t="n">
        <x:v>2023</x:v>
      </x:c>
      <x:c r="J358" s="14" t="str">
        <x:v>Earlier-Production Carry-In Cohort</x:v>
      </x:c>
      <x:c r="K358" s="14" t="n">
        <x:v>2021</x:v>
      </x:c>
      <x:c r="L358" s="14" t="str">
        <x:v>Used in 2023 annual analysis</x:v>
      </x:c>
      <x:c r="M358" s="15" t="n">
        <x:v>103</x:v>
      </x:c>
      <x:c r="N358" s="14" t="str">
        <x:v>Debbie Chazen</x:v>
      </x:c>
      <x:c r="O358" s="14" t="str">
        <x:v>nm0154708</x:v>
      </x:c>
      <x:c r="P358" s="14" t="str">
        <x:v>Blanche Fielding</x:v>
      </x:c>
      <x:c r="Q358" s="15" t="n">
        <x:v>2</x:v>
      </x:c>
      <x:c r="R358" s="14" t="str">
        <x:v>2023</x:v>
      </x:c>
      <x:c r="S358" s="14" t="n">
        <x:v>2023</x:v>
      </x:c>
      <x:c r="T358" s="14" t="n">
        <x:v>2023</x:v>
      </x:c>
      <x:c r="U358" s="14" t="str">
        <x:v>Post-2021 casting excluded</x:v>
      </x:c>
      <x:c r="V358" s="14" t="str">
        <x:v>Earliest supplied year is 2023, later than the 2021 study year.</x:v>
      </x:c>
      <x:c r="W358" s="14"/>
      <x:c r="X358" s="14" t="str">
        <x:v>Included</x:v>
      </x:c>
      <x:c r="Y358" s="14"/>
      <x:c r="Z358" s="14" t="str">
        <x:v>Dalgliesh.docx</x:v>
      </x:c>
      <x:c r="AA35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Channel 5 / 5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HYPERLINK("https://en.wikipedia.org/wiki/Dalglish","Open source")</x:f>
        <x:v>HYPERLINK is not implemented. linkLocation=https://en.wikipedia.org/wiki/Dalglish, friendlyName=Open source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18</x:v>
      </x:c>
      <x:c r="BP358" s="14" t="str">
        <x:v>Maximum eligible IMDb cast-credit total (18), shared by 1 performer(s); not independently verified as a 2021-only episode total.</x:v>
      </x:c>
      <x:c r="BQ358" s="14" t="str">
        <x:v>Low</x:v>
      </x:c>
      <x:c r="BR358" s="15" t="n">
        <x:v>2</x:v>
      </x:c>
      <x:c r="BS358" s="16" t="n">
        <x:v>0.1111111111111111</x:v>
      </x:c>
      <x:c r="BT358" s="14" t="str">
        <x:v>Minority of episodes</x:v>
      </x:c>
      <x:c r="BU358" s="14" t="str">
        <x:v>Low</x:v>
      </x:c>
      <x:c r="BV358" s="14" t="str">
        <x:v>Derived from supplied IMDb episode count and the documented production-total proxy.</x:v>
      </x:c>
      <x:c r="BW358" s="14" t="str">
        <x:v>Unable to determine</x:v>
      </x:c>
      <x:c r="BX358" s="14" t="str">
        <x:v>Supplied cast data establishes the credit and episode presence but does not establish narrative prominence.</x:v>
      </x:c>
      <x:c r="BY358" s="14" t="str">
        <x:v>Supplied IMDb cast-list workbook</x:v>
      </x:c>
      <x:c r="BZ35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tt13430420|nm4535677|father presteign</x:v>
      </x:c>
      <x:c r="B359" s="14" t="str">
        <x:v>01</x:v>
      </x:c>
      <x:c r="C359" s="14" t="str">
        <x:v>2021_IMDb_Cast_Lists_Batch_01(1).xlsx</x:v>
      </x:c>
      <x:c r="D359" s="14" t="str">
        <x:v>Dalgliesh</x:v>
      </x:c>
      <x:c r="E359" s="14" t="n">
        <x:v>111</x:v>
      </x:c>
      <x:c r="F359" s="14" t="str">
        <x:v>Dalgliesh</x:v>
      </x:c>
      <x:c r="G359" s="14" t="str">
        <x:v>tt13430420</x:v>
      </x:c>
      <x:c r="H359" s="14" t="n">
        <x:v>2021</x:v>
      </x:c>
      <x:c r="I359" s="14" t="n">
        <x:v>2023</x:v>
      </x:c>
      <x:c r="J359" s="14" t="str">
        <x:v>Earlier-Production Carry-In Cohort</x:v>
      </x:c>
      <x:c r="K359" s="14" t="n">
        <x:v>2021</x:v>
      </x:c>
      <x:c r="L359" s="14" t="str">
        <x:v>Used in 2023 annual analysis</x:v>
      </x:c>
      <x:c r="M359" s="15" t="n">
        <x:v>104</x:v>
      </x:c>
      <x:c r="N359" s="14" t="str">
        <x:v>Michael Amariah</x:v>
      </x:c>
      <x:c r="O359" s="14" t="str">
        <x:v>nm4535677</x:v>
      </x:c>
      <x:c r="P359" s="14" t="str">
        <x:v>Father Presteign</x:v>
      </x:c>
      <x:c r="Q359" s="15" t="n">
        <x:v>2</x:v>
      </x:c>
      <x:c r="R359" s="14" t="str">
        <x:v>2023</x:v>
      </x:c>
      <x:c r="S359" s="14" t="n">
        <x:v>2023</x:v>
      </x:c>
      <x:c r="T359" s="14" t="n">
        <x:v>2023</x:v>
      </x:c>
      <x:c r="U359" s="14" t="str">
        <x:v>Post-2021 casting excluded</x:v>
      </x:c>
      <x:c r="V359" s="14" t="str">
        <x:v>Earliest supplied year is 2023, later than the 2021 study year.</x:v>
      </x:c>
      <x:c r="W359" s="14"/>
      <x:c r="X359" s="14" t="str">
        <x:v>Included</x:v>
      </x:c>
      <x:c r="Y359" s="14"/>
      <x:c r="Z359" s="14" t="str">
        <x:v>Dalgliesh.docx</x:v>
      </x:c>
      <x:c r="AA35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Channel 5 / 5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HYPERLINK("https://en.wikipedia.org/wiki/Dalglish","Open source")</x:f>
        <x:v>HYPERLINK is not implemented. linkLocation=https://en.wikipedia.org/wiki/Dalglish, friendlyName=Open source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18</x:v>
      </x:c>
      <x:c r="BP359" s="14" t="str">
        <x:v>Maximum eligible IMDb cast-credit total (18), shared by 1 performer(s); not independently verified as a 2021-only episode total.</x:v>
      </x:c>
      <x:c r="BQ359" s="14" t="str">
        <x:v>Low</x:v>
      </x:c>
      <x:c r="BR359" s="15" t="n">
        <x:v>2</x:v>
      </x:c>
      <x:c r="BS359" s="16" t="n">
        <x:v>0.1111111111111111</x:v>
      </x:c>
      <x:c r="BT359" s="14" t="str">
        <x:v>Minority of episodes</x:v>
      </x:c>
      <x:c r="BU359" s="14" t="str">
        <x:v>Low</x:v>
      </x:c>
      <x:c r="BV359" s="14" t="str">
        <x:v>Derived from supplied IMDb episode count and the documented production-total proxy.</x:v>
      </x:c>
      <x:c r="BW359" s="14" t="str">
        <x:v>Unable to determine</x:v>
      </x:c>
      <x:c r="BX359" s="14" t="str">
        <x:v>Supplied cast data establishes the credit and episode presence but does not establish narrative prominence.</x:v>
      </x:c>
      <x:c r="BY359" s="14" t="str">
        <x:v>Supplied IMDb cast-list workbook</x:v>
      </x:c>
      <x:c r="BZ35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tt13430420|nm0277525|miss willard</x:v>
      </x:c>
      <x:c r="B360" s="14" t="str">
        <x:v>01</x:v>
      </x:c>
      <x:c r="C360" s="14" t="str">
        <x:v>2021_IMDb_Cast_Lists_Batch_01(1).xlsx</x:v>
      </x:c>
      <x:c r="D360" s="14" t="str">
        <x:v>Dalgliesh</x:v>
      </x:c>
      <x:c r="E360" s="14" t="n">
        <x:v>114</x:v>
      </x:c>
      <x:c r="F360" s="14" t="str">
        <x:v>Dalgliesh</x:v>
      </x:c>
      <x:c r="G360" s="14" t="str">
        <x:v>tt13430420</x:v>
      </x:c>
      <x:c r="H360" s="14" t="n">
        <x:v>2021</x:v>
      </x:c>
      <x:c r="I360" s="14" t="n">
        <x:v>2023</x:v>
      </x:c>
      <x:c r="J360" s="14" t="str">
        <x:v>Earlier-Production Carry-In Cohort</x:v>
      </x:c>
      <x:c r="K360" s="14" t="n">
        <x:v>2021</x:v>
      </x:c>
      <x:c r="L360" s="14" t="str">
        <x:v>Used in 2023 annual analysis</x:v>
      </x:c>
      <x:c r="M360" s="15" t="n">
        <x:v>107</x:v>
      </x:c>
      <x:c r="N360" s="14" t="str">
        <x:v>Deborah Findlay</x:v>
      </x:c>
      <x:c r="O360" s="14" t="str">
        <x:v>nm0277525</x:v>
      </x:c>
      <x:c r="P360" s="14" t="str">
        <x:v>Miss Willard</x:v>
      </x:c>
      <x:c r="Q360" s="15" t="n">
        <x:v>2</x:v>
      </x:c>
      <x:c r="R360" s="14" t="str">
        <x:v>2023</x:v>
      </x:c>
      <x:c r="S360" s="14" t="n">
        <x:v>2023</x:v>
      </x:c>
      <x:c r="T360" s="14" t="n">
        <x:v>2023</x:v>
      </x:c>
      <x:c r="U360" s="14" t="str">
        <x:v>Post-2021 casting excluded</x:v>
      </x:c>
      <x:c r="V360" s="14" t="str">
        <x:v>Earliest supplied year is 2023, later than the 2021 study year.</x:v>
      </x:c>
      <x:c r="W360" s="14"/>
      <x:c r="X360" s="14" t="str">
        <x:v>Included</x:v>
      </x:c>
      <x:c r="Y360" s="14"/>
      <x:c r="Z360" s="14" t="str">
        <x:v>Dalgliesh.docx</x:v>
      </x:c>
      <x:c r="AA36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Channel 5 / 5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HYPERLINK("https://en.wikipedia.org/wiki/Dalglish","Open source")</x:f>
        <x:v>HYPERLINK is not implemented. linkLocation=https://en.wikipedia.org/wiki/Dalglish, friendlyName=Open source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18</x:v>
      </x:c>
      <x:c r="BP360" s="14" t="str">
        <x:v>Maximum eligible IMDb cast-credit total (18), shared by 1 performer(s); not independently verified as a 2021-only episode total.</x:v>
      </x:c>
      <x:c r="BQ360" s="14" t="str">
        <x:v>Low</x:v>
      </x:c>
      <x:c r="BR360" s="15" t="n">
        <x:v>2</x:v>
      </x:c>
      <x:c r="BS360" s="16" t="n">
        <x:v>0.1111111111111111</x:v>
      </x:c>
      <x:c r="BT360" s="14" t="str">
        <x:v>Minority of episodes</x:v>
      </x:c>
      <x:c r="BU360" s="14" t="str">
        <x:v>Low</x:v>
      </x:c>
      <x:c r="BV360" s="14" t="str">
        <x:v>Derived from supplied IMDb episode count and the documented production-total proxy.</x:v>
      </x:c>
      <x:c r="BW360" s="14" t="str">
        <x:v>Unable to determine</x:v>
      </x:c>
      <x:c r="BX360" s="14" t="str">
        <x:v>Supplied cast data establishes the credit and episode presence but does not establish narrative prominence.</x:v>
      </x:c>
      <x:c r="BY360" s="14" t="str">
        <x:v>Supplied IMDb cast-list workbook</x:v>
      </x:c>
      <x:c r="BZ36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tt13430420|nm3235424|lord martlesham</x:v>
      </x:c>
      <x:c r="B361" s="14" t="str">
        <x:v>01</x:v>
      </x:c>
      <x:c r="C361" s="14" t="str">
        <x:v>2021_IMDb_Cast_Lists_Batch_01(1).xlsx</x:v>
      </x:c>
      <x:c r="D361" s="14" t="str">
        <x:v>Dalgliesh</x:v>
      </x:c>
      <x:c r="E361" s="14" t="n">
        <x:v>116</x:v>
      </x:c>
      <x:c r="F361" s="14" t="str">
        <x:v>Dalgliesh</x:v>
      </x:c>
      <x:c r="G361" s="14" t="str">
        <x:v>tt13430420</x:v>
      </x:c>
      <x:c r="H361" s="14" t="n">
        <x:v>2021</x:v>
      </x:c>
      <x:c r="I361" s="14" t="n">
        <x:v>2023</x:v>
      </x:c>
      <x:c r="J361" s="14" t="str">
        <x:v>Earlier-Production Carry-In Cohort</x:v>
      </x:c>
      <x:c r="K361" s="14" t="n">
        <x:v>2021</x:v>
      </x:c>
      <x:c r="L361" s="14" t="str">
        <x:v>Used in 2023 annual analysis</x:v>
      </x:c>
      <x:c r="M361" s="15" t="n">
        <x:v>109</x:v>
      </x:c>
      <x:c r="N361" s="14" t="str">
        <x:v>Richard Goulding</x:v>
      </x:c>
      <x:c r="O361" s="14" t="str">
        <x:v>nm3235424</x:v>
      </x:c>
      <x:c r="P361" s="14" t="str">
        <x:v>Lord Martlesham</x:v>
      </x:c>
      <x:c r="Q361" s="15" t="n">
        <x:v>2</x:v>
      </x:c>
      <x:c r="R361" s="14" t="str">
        <x:v>2023</x:v>
      </x:c>
      <x:c r="S361" s="14" t="n">
        <x:v>2023</x:v>
      </x:c>
      <x:c r="T361" s="14" t="n">
        <x:v>2023</x:v>
      </x:c>
      <x:c r="U361" s="14" t="str">
        <x:v>Post-2021 casting excluded</x:v>
      </x:c>
      <x:c r="V361" s="14" t="str">
        <x:v>Earliest supplied year is 2023, later than the 2021 study year.</x:v>
      </x:c>
      <x:c r="W361" s="14"/>
      <x:c r="X361" s="14" t="str">
        <x:v>Included</x:v>
      </x:c>
      <x:c r="Y361" s="14"/>
      <x:c r="Z361" s="14" t="str">
        <x:v>Dalgliesh.docx</x:v>
      </x:c>
      <x:c r="AA36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Channel 5 / 5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HYPERLINK("https://en.wikipedia.org/wiki/Dalglish","Open source")</x:f>
        <x:v>HYPERLINK is not implemented. linkLocation=https://en.wikipedia.org/wiki/Dalglish, friendlyName=Open source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18</x:v>
      </x:c>
      <x:c r="BP361" s="14" t="str">
        <x:v>Maximum eligible IMDb cast-credit total (18), shared by 1 performer(s); not independently verified as a 2021-only episode total.</x:v>
      </x:c>
      <x:c r="BQ361" s="14" t="str">
        <x:v>Low</x:v>
      </x:c>
      <x:c r="BR361" s="15" t="n">
        <x:v>2</x:v>
      </x:c>
      <x:c r="BS361" s="16" t="n">
        <x:v>0.1111111111111111</x:v>
      </x:c>
      <x:c r="BT361" s="14" t="str">
        <x:v>Minority of episodes</x:v>
      </x:c>
      <x:c r="BU361" s="14" t="str">
        <x:v>Low</x:v>
      </x:c>
      <x:c r="BV361" s="14" t="str">
        <x:v>Derived from supplied IMDb episode count and the documented production-total proxy.</x:v>
      </x:c>
      <x:c r="BW361" s="14" t="str">
        <x:v>Unable to determine</x:v>
      </x:c>
      <x:c r="BX361" s="14" t="str">
        <x:v>Supplied cast data establishes the credit and episode presence but does not establish narrative prominence.</x:v>
      </x:c>
      <x:c r="BY361" s="14" t="str">
        <x:v>Supplied IMDb cast-list workbook</x:v>
      </x:c>
      <x:c r="BZ36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tt13430420|nm0587686|dorothy scully</x:v>
      </x:c>
      <x:c r="B362" s="14" t="str">
        <x:v>01</x:v>
      </x:c>
      <x:c r="C362" s="14" t="str">
        <x:v>2021_IMDb_Cast_Lists_Batch_01(1).xlsx</x:v>
      </x:c>
      <x:c r="D362" s="14" t="str">
        <x:v>Dalgliesh</x:v>
      </x:c>
      <x:c r="E362" s="14" t="n">
        <x:v>118</x:v>
      </x:c>
      <x:c r="F362" s="14" t="str">
        <x:v>Dalgliesh</x:v>
      </x:c>
      <x:c r="G362" s="14" t="str">
        <x:v>tt13430420</x:v>
      </x:c>
      <x:c r="H362" s="14" t="n">
        <x:v>2021</x:v>
      </x:c>
      <x:c r="I362" s="14" t="n">
        <x:v>2023</x:v>
      </x:c>
      <x:c r="J362" s="14" t="str">
        <x:v>Earlier-Production Carry-In Cohort</x:v>
      </x:c>
      <x:c r="K362" s="14" t="n">
        <x:v>2021</x:v>
      </x:c>
      <x:c r="L362" s="14" t="str">
        <x:v>Used in 2023 annual analysis</x:v>
      </x:c>
      <x:c r="M362" s="15" t="n">
        <x:v>111</x:v>
      </x:c>
      <x:c r="N362" s="14" t="str">
        <x:v>Marsha Millar</x:v>
      </x:c>
      <x:c r="O362" s="14" t="str">
        <x:v>nm0587686</x:v>
      </x:c>
      <x:c r="P362" s="14" t="str">
        <x:v>Dorothy Scully</x:v>
      </x:c>
      <x:c r="Q362" s="15" t="n">
        <x:v>1</x:v>
      </x:c>
      <x:c r="R362" s="14" t="str">
        <x:v>2023</x:v>
      </x:c>
      <x:c r="S362" s="14" t="n">
        <x:v>2023</x:v>
      </x:c>
      <x:c r="T362" s="14" t="n">
        <x:v>2023</x:v>
      </x:c>
      <x:c r="U362" s="14" t="str">
        <x:v>Post-2021 casting excluded</x:v>
      </x:c>
      <x:c r="V362" s="14" t="str">
        <x:v>Earliest supplied year is 2023, later than the 2021 study year.</x:v>
      </x:c>
      <x:c r="W362" s="14"/>
      <x:c r="X362" s="14" t="str">
        <x:v>Included</x:v>
      </x:c>
      <x:c r="Y362" s="14"/>
      <x:c r="Z362" s="14" t="str">
        <x:v>Dalgliesh.docx</x:v>
      </x:c>
      <x:c r="AA36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Channel 5 / 5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HYPERLINK("https://en.wikipedia.org/wiki/Dalglish","Open source")</x:f>
        <x:v>HYPERLINK is not implemented. linkLocation=https://en.wikipedia.org/wiki/Dalglish, friendlyName=Open source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18</x:v>
      </x:c>
      <x:c r="BP362" s="14" t="str">
        <x:v>Maximum eligible IMDb cast-credit total (18), shared by 1 performer(s); not independently verified as a 2021-only episode total.</x:v>
      </x:c>
      <x:c r="BQ362" s="14" t="str">
        <x:v>Low</x:v>
      </x:c>
      <x:c r="BR362" s="15" t="n">
        <x:v>1</x:v>
      </x:c>
      <x:c r="BS362" s="16" t="n">
        <x:v>0.05555555555555555</x:v>
      </x:c>
      <x:c r="BT362" s="14" t="str">
        <x:v>One episode</x:v>
      </x:c>
      <x:c r="BU362" s="14" t="str">
        <x:v>Low</x:v>
      </x:c>
      <x:c r="BV362" s="14" t="str">
        <x:v>Derived from supplied IMDb episode count and the documented production-total proxy.</x:v>
      </x:c>
      <x:c r="BW362" s="14" t="str">
        <x:v>Unable to determine</x:v>
      </x:c>
      <x:c r="BX362" s="14" t="str">
        <x:v>Supplied cast data establishes the credit and episode presence but does not establish narrative prominence.</x:v>
      </x:c>
      <x:c r="BY362" s="14" t="str">
        <x:v>Supplied IMDb cast-list workbook</x:v>
      </x:c>
      <x:c r="BZ36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tt13430420|nm0746393|dr. edmund lorrimer</x:v>
      </x:c>
      <x:c r="B363" s="14" t="str">
        <x:v>01</x:v>
      </x:c>
      <x:c r="C363" s="14" t="str">
        <x:v>2021_IMDb_Cast_Lists_Batch_01(1).xlsx</x:v>
      </x:c>
      <x:c r="D363" s="14" t="str">
        <x:v>Dalgliesh</x:v>
      </x:c>
      <x:c r="E363" s="14" t="n">
        <x:v>120</x:v>
      </x:c>
      <x:c r="F363" s="14" t="str">
        <x:v>Dalgliesh</x:v>
      </x:c>
      <x:c r="G363" s="14" t="str">
        <x:v>tt13430420</x:v>
      </x:c>
      <x:c r="H363" s="14" t="n">
        <x:v>2021</x:v>
      </x:c>
      <x:c r="I363" s="14" t="n">
        <x:v>2023</x:v>
      </x:c>
      <x:c r="J363" s="14" t="str">
        <x:v>Earlier-Production Carry-In Cohort</x:v>
      </x:c>
      <x:c r="K363" s="14" t="n">
        <x:v>2021</x:v>
      </x:c>
      <x:c r="L363" s="14" t="str">
        <x:v>Used in 2023 annual analysis</x:v>
      </x:c>
      <x:c r="M363" s="15" t="n">
        <x:v>113</x:v>
      </x:c>
      <x:c r="N363" s="14" t="str">
        <x:v>Dominic Rowan</x:v>
      </x:c>
      <x:c r="O363" s="14" t="str">
        <x:v>nm0746393</x:v>
      </x:c>
      <x:c r="P363" s="14" t="str">
        <x:v>Dr. Edmund Lorrimer</x:v>
      </x:c>
      <x:c r="Q363" s="15" t="n">
        <x:v>1</x:v>
      </x:c>
      <x:c r="R363" s="14" t="str">
        <x:v>2023</x:v>
      </x:c>
      <x:c r="S363" s="14" t="n">
        <x:v>2023</x:v>
      </x:c>
      <x:c r="T363" s="14" t="n">
        <x:v>2023</x:v>
      </x:c>
      <x:c r="U363" s="14" t="str">
        <x:v>Post-2021 casting excluded</x:v>
      </x:c>
      <x:c r="V363" s="14" t="str">
        <x:v>Earliest supplied year is 2023, later than the 2021 study year.</x:v>
      </x:c>
      <x:c r="W363" s="14"/>
      <x:c r="X363" s="14" t="str">
        <x:v>Included</x:v>
      </x:c>
      <x:c r="Y363" s="14"/>
      <x:c r="Z363" s="14" t="str">
        <x:v>Dalgliesh.docx</x:v>
      </x:c>
      <x:c r="AA36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Channel 5 / 5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HYPERLINK("https://en.wikipedia.org/wiki/Dalglish","Open source")</x:f>
        <x:v>HYPERLINK is not implemented. linkLocation=https://en.wikipedia.org/wiki/Dalglish, friendlyName=Open source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18</x:v>
      </x:c>
      <x:c r="BP363" s="14" t="str">
        <x:v>Maximum eligible IMDb cast-credit total (18), shared by 1 performer(s); not independently verified as a 2021-only episode total.</x:v>
      </x:c>
      <x:c r="BQ363" s="14" t="str">
        <x:v>Low</x:v>
      </x:c>
      <x:c r="BR363" s="15" t="n">
        <x:v>1</x:v>
      </x:c>
      <x:c r="BS363" s="16" t="n">
        <x:v>0.05555555555555555</x:v>
      </x:c>
      <x:c r="BT363" s="14" t="str">
        <x:v>One episode</x:v>
      </x:c>
      <x:c r="BU363" s="14" t="str">
        <x:v>Low</x:v>
      </x:c>
      <x:c r="BV363" s="14" t="str">
        <x:v>Derived from supplied IMDb episode count and the documented production-total proxy.</x:v>
      </x:c>
      <x:c r="BW363" s="14" t="str">
        <x:v>Unable to determine</x:v>
      </x:c>
      <x:c r="BX363" s="14" t="str">
        <x:v>Supplied cast data establishes the credit and episode presence but does not establish narrative prominence.</x:v>
      </x:c>
      <x:c r="BY363" s="14" t="str">
        <x:v>Supplied IMDb cast-list workbook</x:v>
      </x:c>
      <x:c r="BZ36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tt13430420|nm0362961|old mr. lorrimer</x:v>
      </x:c>
      <x:c r="B364" s="14" t="str">
        <x:v>01</x:v>
      </x:c>
      <x:c r="C364" s="14" t="str">
        <x:v>2021_IMDb_Cast_Lists_Batch_01(1).xlsx</x:v>
      </x:c>
      <x:c r="D364" s="14" t="str">
        <x:v>Dalgliesh</x:v>
      </x:c>
      <x:c r="E364" s="14" t="n">
        <x:v>121</x:v>
      </x:c>
      <x:c r="F364" s="14" t="str">
        <x:v>Dalgliesh</x:v>
      </x:c>
      <x:c r="G364" s="14" t="str">
        <x:v>tt13430420</x:v>
      </x:c>
      <x:c r="H364" s="14" t="n">
        <x:v>2021</x:v>
      </x:c>
      <x:c r="I364" s="14" t="n">
        <x:v>2023</x:v>
      </x:c>
      <x:c r="J364" s="14" t="str">
        <x:v>Earlier-Production Carry-In Cohort</x:v>
      </x:c>
      <x:c r="K364" s="14" t="n">
        <x:v>2021</x:v>
      </x:c>
      <x:c r="L364" s="14" t="str">
        <x:v>Used in 2023 annual analysis</x:v>
      </x:c>
      <x:c r="M364" s="15" t="n">
        <x:v>114</x:v>
      </x:c>
      <x:c r="N364" s="14" t="str">
        <x:v>David Hargreaves</x:v>
      </x:c>
      <x:c r="O364" s="14" t="str">
        <x:v>nm0362961</x:v>
      </x:c>
      <x:c r="P364" s="14" t="str">
        <x:v>Old Mr. Lorrimer</x:v>
      </x:c>
      <x:c r="Q364" s="15" t="n">
        <x:v>1</x:v>
      </x:c>
      <x:c r="R364" s="14" t="str">
        <x:v>2023</x:v>
      </x:c>
      <x:c r="S364" s="14" t="n">
        <x:v>2023</x:v>
      </x:c>
      <x:c r="T364" s="14" t="n">
        <x:v>2023</x:v>
      </x:c>
      <x:c r="U364" s="14" t="str">
        <x:v>Post-2021 casting excluded</x:v>
      </x:c>
      <x:c r="V364" s="14" t="str">
        <x:v>Earliest supplied year is 2023, later than the 2021 study year.</x:v>
      </x:c>
      <x:c r="W364" s="14"/>
      <x:c r="X364" s="14" t="str">
        <x:v>Included</x:v>
      </x:c>
      <x:c r="Y364" s="14"/>
      <x:c r="Z364" s="14" t="str">
        <x:v>Dalgliesh.docx</x:v>
      </x:c>
      <x:c r="AA36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Channel 5 / 5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HYPERLINK("https://en.wikipedia.org/wiki/Dalglish","Open source")</x:f>
        <x:v>HYPERLINK is not implemented. linkLocation=https://en.wikipedia.org/wiki/Dalglish, friendlyName=Open source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18</x:v>
      </x:c>
      <x:c r="BP364" s="14" t="str">
        <x:v>Maximum eligible IMDb cast-credit total (18), shared by 1 performer(s); not independently verified as a 2021-only episode total.</x:v>
      </x:c>
      <x:c r="BQ364" s="14" t="str">
        <x:v>Low</x:v>
      </x:c>
      <x:c r="BR364" s="15" t="n">
        <x:v>1</x:v>
      </x:c>
      <x:c r="BS364" s="16" t="n">
        <x:v>0.05555555555555555</x:v>
      </x:c>
      <x:c r="BT364" s="14" t="str">
        <x:v>One episode</x:v>
      </x:c>
      <x:c r="BU364" s="14" t="str">
        <x:v>Low</x:v>
      </x:c>
      <x:c r="BV364" s="14" t="str">
        <x:v>Derived from supplied IMDb episode count and the documented production-total proxy.</x:v>
      </x:c>
      <x:c r="BW364" s="14" t="str">
        <x:v>Unable to determine</x:v>
      </x:c>
      <x:c r="BX364" s="14" t="str">
        <x:v>Supplied cast data establishes the credit and episode presence but does not establish narrative prominence.</x:v>
      </x:c>
      <x:c r="BY364" s="14" t="str">
        <x:v>Supplied IMDb cast-list workbook</x:v>
      </x:c>
      <x:c r="BZ36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tt13430420|nm7744405|pc turner</x:v>
      </x:c>
      <x:c r="B365" s="14" t="str">
        <x:v>01</x:v>
      </x:c>
      <x:c r="C365" s="14" t="str">
        <x:v>2021_IMDb_Cast_Lists_Batch_01(1).xlsx</x:v>
      </x:c>
      <x:c r="D365" s="14" t="str">
        <x:v>Dalgliesh</x:v>
      </x:c>
      <x:c r="E365" s="14" t="n">
        <x:v>122</x:v>
      </x:c>
      <x:c r="F365" s="14" t="str">
        <x:v>Dalgliesh</x:v>
      </x:c>
      <x:c r="G365" s="14" t="str">
        <x:v>tt13430420</x:v>
      </x:c>
      <x:c r="H365" s="14" t="n">
        <x:v>2021</x:v>
      </x:c>
      <x:c r="I365" s="14" t="n">
        <x:v>2023</x:v>
      </x:c>
      <x:c r="J365" s="14" t="str">
        <x:v>Earlier-Production Carry-In Cohort</x:v>
      </x:c>
      <x:c r="K365" s="14" t="n">
        <x:v>2021</x:v>
      </x:c>
      <x:c r="L365" s="14" t="str">
        <x:v>Used in 2023 annual analysis</x:v>
      </x:c>
      <x:c r="M365" s="15" t="n">
        <x:v>115</x:v>
      </x:c>
      <x:c r="N365" s="14" t="str">
        <x:v>Conor Doran</x:v>
      </x:c>
      <x:c r="O365" s="14" t="str">
        <x:v>nm7744405</x:v>
      </x:c>
      <x:c r="P365" s="14" t="str">
        <x:v>PC Turner</x:v>
      </x:c>
      <x:c r="Q365" s="15" t="n">
        <x:v>1</x:v>
      </x:c>
      <x:c r="R365" s="14" t="str">
        <x:v>2023</x:v>
      </x:c>
      <x:c r="S365" s="14" t="n">
        <x:v>2023</x:v>
      </x:c>
      <x:c r="T365" s="14" t="n">
        <x:v>2023</x:v>
      </x:c>
      <x:c r="U365" s="14" t="str">
        <x:v>Post-2021 casting excluded</x:v>
      </x:c>
      <x:c r="V365" s="14" t="str">
        <x:v>Earliest supplied year is 2023, later than the 2021 study year.</x:v>
      </x:c>
      <x:c r="W365" s="14"/>
      <x:c r="X365" s="14" t="str">
        <x:v>Included</x:v>
      </x:c>
      <x:c r="Y365" s="14"/>
      <x:c r="Z365" s="14" t="str">
        <x:v>Dalgliesh.docx</x:v>
      </x:c>
      <x:c r="AA36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Channel 5 / 5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HYPERLINK("https://en.wikipedia.org/wiki/Dalglish","Open source")</x:f>
        <x:v>HYPERLINK is not implemented. linkLocation=https://en.wikipedia.org/wiki/Dalglish, friendlyName=Open source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18</x:v>
      </x:c>
      <x:c r="BP365" s="14" t="str">
        <x:v>Maximum eligible IMDb cast-credit total (18), shared by 1 performer(s); not independently verified as a 2021-only episode total.</x:v>
      </x:c>
      <x:c r="BQ365" s="14" t="str">
        <x:v>Low</x:v>
      </x:c>
      <x:c r="BR365" s="15" t="n">
        <x:v>1</x:v>
      </x:c>
      <x:c r="BS365" s="16" t="n">
        <x:v>0.05555555555555555</x:v>
      </x:c>
      <x:c r="BT365" s="14" t="str">
        <x:v>One episode</x:v>
      </x:c>
      <x:c r="BU365" s="14" t="str">
        <x:v>Low</x:v>
      </x:c>
      <x:c r="BV365" s="14" t="str">
        <x:v>Derived from supplied IMDb episode count and the documented production-total proxy.</x:v>
      </x:c>
      <x:c r="BW365" s="14" t="str">
        <x:v>Unable to determine</x:v>
      </x:c>
      <x:c r="BX365" s="14" t="str">
        <x:v>Supplied cast data establishes the credit and episode presence but does not establish narrative prominence.</x:v>
      </x:c>
      <x:c r="BY365" s="14" t="str">
        <x:v>Supplied IMDb cast-list workbook</x:v>
      </x:c>
      <x:c r="BZ36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tt13430420|nm0829815|venetia aldridge</x:v>
      </x:c>
      <x:c r="B366" s="14" t="str">
        <x:v>01</x:v>
      </x:c>
      <x:c r="C366" s="14" t="str">
        <x:v>2021_IMDb_Cast_Lists_Batch_01(1).xlsx</x:v>
      </x:c>
      <x:c r="D366" s="14" t="str">
        <x:v>Dalgliesh</x:v>
      </x:c>
      <x:c r="E366" s="14" t="n">
        <x:v>124</x:v>
      </x:c>
      <x:c r="F366" s="14" t="str">
        <x:v>Dalgliesh</x:v>
      </x:c>
      <x:c r="G366" s="14" t="str">
        <x:v>tt13430420</x:v>
      </x:c>
      <x:c r="H366" s="14" t="n">
        <x:v>2021</x:v>
      </x:c>
      <x:c r="I366" s="14" t="n">
        <x:v>2023</x:v>
      </x:c>
      <x:c r="J366" s="14" t="str">
        <x:v>Earlier-Production Carry-In Cohort</x:v>
      </x:c>
      <x:c r="K366" s="14" t="n">
        <x:v>2021</x:v>
      </x:c>
      <x:c r="L366" s="14" t="str">
        <x:v>Used in 2023 annual analysis</x:v>
      </x:c>
      <x:c r="M366" s="15" t="n">
        <x:v>117</x:v>
      </x:c>
      <x:c r="N366" s="14" t="str">
        <x:v>Sara Stewart</x:v>
      </x:c>
      <x:c r="O366" s="14" t="str">
        <x:v>nm0829815</x:v>
      </x:c>
      <x:c r="P366" s="14" t="str">
        <x:v>Venetia Aldridge</x:v>
      </x:c>
      <x:c r="Q366" s="15" t="n">
        <x:v>1</x:v>
      </x:c>
      <x:c r="R366" s="14" t="str">
        <x:v>2023</x:v>
      </x:c>
      <x:c r="S366" s="14" t="n">
        <x:v>2023</x:v>
      </x:c>
      <x:c r="T366" s="14" t="n">
        <x:v>2023</x:v>
      </x:c>
      <x:c r="U366" s="14" t="str">
        <x:v>Post-2021 casting excluded</x:v>
      </x:c>
      <x:c r="V366" s="14" t="str">
        <x:v>Earliest supplied year is 2023, later than the 2021 study year.</x:v>
      </x:c>
      <x:c r="W366" s="14"/>
      <x:c r="X366" s="14" t="str">
        <x:v>Included</x:v>
      </x:c>
      <x:c r="Y366" s="14"/>
      <x:c r="Z366" s="14" t="str">
        <x:v>Dalgliesh.docx</x:v>
      </x:c>
      <x:c r="AA36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Channel 5 / 5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HYPERLINK("https://en.wikipedia.org/wiki/Dalglish","Open source")</x:f>
        <x:v>HYPERLINK is not implemented. linkLocation=https://en.wikipedia.org/wiki/Dalglish, friendlyName=Open source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18</x:v>
      </x:c>
      <x:c r="BP366" s="14" t="str">
        <x:v>Maximum eligible IMDb cast-credit total (18), shared by 1 performer(s); not independently verified as a 2021-only episode total.</x:v>
      </x:c>
      <x:c r="BQ366" s="14" t="str">
        <x:v>Low</x:v>
      </x:c>
      <x:c r="BR366" s="15" t="n">
        <x:v>1</x:v>
      </x:c>
      <x:c r="BS366" s="16" t="n">
        <x:v>0.05555555555555555</x:v>
      </x:c>
      <x:c r="BT366" s="14" t="str">
        <x:v>One episode</x:v>
      </x:c>
      <x:c r="BU366" s="14" t="str">
        <x:v>Low</x:v>
      </x:c>
      <x:c r="BV366" s="14" t="str">
        <x:v>Derived from supplied IMDb episode count and the documented production-total proxy.</x:v>
      </x:c>
      <x:c r="BW366" s="14" t="str">
        <x:v>Unable to determine</x:v>
      </x:c>
      <x:c r="BX366" s="14" t="str">
        <x:v>Supplied cast data establishes the credit and episode presence but does not establish narrative prominence.</x:v>
      </x:c>
      <x:c r="BY366" s="14" t="str">
        <x:v>Supplied IMDb cast-list workbook</x:v>
      </x:c>
      <x:c r="BZ36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tt13430420|nm6628181|dr. neville dupayne</x:v>
      </x:c>
      <x:c r="B367" s="14" t="str">
        <x:v>01</x:v>
      </x:c>
      <x:c r="C367" s="14" t="str">
        <x:v>2021_IMDb_Cast_Lists_Batch_01(1).xlsx</x:v>
      </x:c>
      <x:c r="D367" s="14" t="str">
        <x:v>Dalgliesh</x:v>
      </x:c>
      <x:c r="E367" s="14" t="n">
        <x:v>126</x:v>
      </x:c>
      <x:c r="F367" s="14" t="str">
        <x:v>Dalgliesh</x:v>
      </x:c>
      <x:c r="G367" s="14" t="str">
        <x:v>tt13430420</x:v>
      </x:c>
      <x:c r="H367" s="14" t="n">
        <x:v>2021</x:v>
      </x:c>
      <x:c r="I367" s="14" t="n">
        <x:v>2023</x:v>
      </x:c>
      <x:c r="J367" s="14" t="str">
        <x:v>Earlier-Production Carry-In Cohort</x:v>
      </x:c>
      <x:c r="K367" s="14" t="n">
        <x:v>2021</x:v>
      </x:c>
      <x:c r="L367" s="14" t="str">
        <x:v>Used in 2023 annual analysis</x:v>
      </x:c>
      <x:c r="M367" s="15" t="n">
        <x:v>119</x:v>
      </x:c>
      <x:c r="N367" s="14" t="str">
        <x:v>James Esler</x:v>
      </x:c>
      <x:c r="O367" s="14" t="str">
        <x:v>nm6628181</x:v>
      </x:c>
      <x:c r="P367" s="14" t="str">
        <x:v>Dr. Neville Dupayne</x:v>
      </x:c>
      <x:c r="Q367" s="15" t="n">
        <x:v>1</x:v>
      </x:c>
      <x:c r="R367" s="14" t="str">
        <x:v>2023</x:v>
      </x:c>
      <x:c r="S367" s="14" t="n">
        <x:v>2023</x:v>
      </x:c>
      <x:c r="T367" s="14" t="n">
        <x:v>2023</x:v>
      </x:c>
      <x:c r="U367" s="14" t="str">
        <x:v>Post-2021 casting excluded</x:v>
      </x:c>
      <x:c r="V367" s="14" t="str">
        <x:v>Earliest supplied year is 2023, later than the 2021 study year.</x:v>
      </x:c>
      <x:c r="W367" s="14"/>
      <x:c r="X367" s="14" t="str">
        <x:v>Included</x:v>
      </x:c>
      <x:c r="Y367" s="14"/>
      <x:c r="Z367" s="14" t="str">
        <x:v>Dalgliesh.docx</x:v>
      </x:c>
      <x:c r="AA36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Channel 5 / 5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HYPERLINK("https://en.wikipedia.org/wiki/Dalglish","Open source")</x:f>
        <x:v>HYPERLINK is not implemented. linkLocation=https://en.wikipedia.org/wiki/Dalglish, friendlyName=Open source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18</x:v>
      </x:c>
      <x:c r="BP367" s="14" t="str">
        <x:v>Maximum eligible IMDb cast-credit total (18), shared by 1 performer(s); not independently verified as a 2021-only episode total.</x:v>
      </x:c>
      <x:c r="BQ367" s="14" t="str">
        <x:v>Low</x:v>
      </x:c>
      <x:c r="BR367" s="15" t="n">
        <x:v>1</x:v>
      </x:c>
      <x:c r="BS367" s="16" t="n">
        <x:v>0.05555555555555555</x:v>
      </x:c>
      <x:c r="BT367" s="14" t="str">
        <x:v>One episode</x:v>
      </x:c>
      <x:c r="BU367" s="14" t="str">
        <x:v>Low</x:v>
      </x:c>
      <x:c r="BV367" s="14" t="str">
        <x:v>Derived from supplied IMDb episode count and the documented production-total proxy.</x:v>
      </x:c>
      <x:c r="BW367" s="14" t="str">
        <x:v>Unable to determine</x:v>
      </x:c>
      <x:c r="BX367" s="14" t="str">
        <x:v>Supplied cast data establishes the credit and episode presence but does not establish narrative prominence.</x:v>
      </x:c>
      <x:c r="BY367" s="14" t="str">
        <x:v>Supplied IMDb cast-list workbook</x:v>
      </x:c>
      <x:c r="BZ36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tt13430420|nm10504409|angela fox</x:v>
      </x:c>
      <x:c r="B368" s="14" t="str">
        <x:v>01</x:v>
      </x:c>
      <x:c r="C368" s="14" t="str">
        <x:v>2021_IMDb_Cast_Lists_Batch_01(1).xlsx</x:v>
      </x:c>
      <x:c r="D368" s="14" t="str">
        <x:v>Dalgliesh</x:v>
      </x:c>
      <x:c r="E368" s="14" t="n">
        <x:v>129</x:v>
      </x:c>
      <x:c r="F368" s="14" t="str">
        <x:v>Dalgliesh</x:v>
      </x:c>
      <x:c r="G368" s="14" t="str">
        <x:v>tt13430420</x:v>
      </x:c>
      <x:c r="H368" s="14" t="n">
        <x:v>2021</x:v>
      </x:c>
      <x:c r="I368" s="14" t="n">
        <x:v>2023</x:v>
      </x:c>
      <x:c r="J368" s="14" t="str">
        <x:v>Earlier-Production Carry-In Cohort</x:v>
      </x:c>
      <x:c r="K368" s="14" t="n">
        <x:v>2021</x:v>
      </x:c>
      <x:c r="L368" s="14" t="str">
        <x:v>Used in 2023 annual analysis</x:v>
      </x:c>
      <x:c r="M368" s="15" t="n">
        <x:v>122</x:v>
      </x:c>
      <x:c r="N368" s="14" t="str">
        <x:v>Robinah Kironde</x:v>
      </x:c>
      <x:c r="O368" s="14" t="str">
        <x:v>nm10504409</x:v>
      </x:c>
      <x:c r="P368" s="14" t="str">
        <x:v>Angela Fox</x:v>
      </x:c>
      <x:c r="Q368" s="15" t="n">
        <x:v>1</x:v>
      </x:c>
      <x:c r="R368" s="14" t="str">
        <x:v>2023</x:v>
      </x:c>
      <x:c r="S368" s="14" t="n">
        <x:v>2023</x:v>
      </x:c>
      <x:c r="T368" s="14" t="n">
        <x:v>2023</x:v>
      </x:c>
      <x:c r="U368" s="14" t="str">
        <x:v>Post-2021 casting excluded</x:v>
      </x:c>
      <x:c r="V368" s="14" t="str">
        <x:v>Earliest supplied year is 2023, later than the 2021 study year.</x:v>
      </x:c>
      <x:c r="W368" s="14"/>
      <x:c r="X368" s="14" t="str">
        <x:v>Included</x:v>
      </x:c>
      <x:c r="Y368" s="14" t="str">
        <x:v>(asRobinahKirondé)</x:v>
      </x:c>
      <x:c r="Z368" s="14" t="str">
        <x:v>Dalgliesh.docx</x:v>
      </x:c>
      <x:c r="AA36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Channel 5 / 5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HYPERLINK("https://en.wikipedia.org/wiki/Dalglish","Open source")</x:f>
        <x:v>HYPERLINK is not implemented. linkLocation=https://en.wikipedia.org/wiki/Dalglish, friendlyName=Open source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18</x:v>
      </x:c>
      <x:c r="BP368" s="14" t="str">
        <x:v>Maximum eligible IMDb cast-credit total (18), shared by 1 performer(s); not independently verified as a 2021-only episode total.</x:v>
      </x:c>
      <x:c r="BQ368" s="14" t="str">
        <x:v>Low</x:v>
      </x:c>
      <x:c r="BR368" s="15" t="n">
        <x:v>1</x:v>
      </x:c>
      <x:c r="BS368" s="16" t="n">
        <x:v>0.05555555555555555</x:v>
      </x:c>
      <x:c r="BT368" s="14" t="str">
        <x:v>One episode</x:v>
      </x:c>
      <x:c r="BU368" s="14" t="str">
        <x:v>Low</x:v>
      </x:c>
      <x:c r="BV368" s="14" t="str">
        <x:v>Derived from supplied IMDb episode count and the documented production-total proxy.</x:v>
      </x:c>
      <x:c r="BW368" s="14" t="str">
        <x:v>Unable to determine</x:v>
      </x:c>
      <x:c r="BX368" s="14" t="str">
        <x:v>Supplied cast data establishes the credit and episode presence but does not establish narrative prominence.</x:v>
      </x:c>
      <x:c r="BY368" s="14" t="str">
        <x:v>Supplied IMDb cast-list workbook</x:v>
      </x:c>
      <x:c r="BZ36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tt13430420|nm1092718|mrs. pridmore</x:v>
      </x:c>
      <x:c r="B369" s="14" t="str">
        <x:v>01</x:v>
      </x:c>
      <x:c r="C369" s="14" t="str">
        <x:v>2021_IMDb_Cast_Lists_Batch_01(1).xlsx</x:v>
      </x:c>
      <x:c r="D369" s="14" t="str">
        <x:v>Dalgliesh</x:v>
      </x:c>
      <x:c r="E369" s="14" t="n">
        <x:v>130</x:v>
      </x:c>
      <x:c r="F369" s="14" t="str">
        <x:v>Dalgliesh</x:v>
      </x:c>
      <x:c r="G369" s="14" t="str">
        <x:v>tt13430420</x:v>
      </x:c>
      <x:c r="H369" s="14" t="n">
        <x:v>2021</x:v>
      </x:c>
      <x:c r="I369" s="14" t="n">
        <x:v>2023</x:v>
      </x:c>
      <x:c r="J369" s="14" t="str">
        <x:v>Earlier-Production Carry-In Cohort</x:v>
      </x:c>
      <x:c r="K369" s="14" t="n">
        <x:v>2021</x:v>
      </x:c>
      <x:c r="L369" s="14" t="str">
        <x:v>Used in 2023 annual analysis</x:v>
      </x:c>
      <x:c r="M369" s="15" t="n">
        <x:v>123</x:v>
      </x:c>
      <x:c r="N369" s="14" t="str">
        <x:v>Lucy Cray-Miller</x:v>
      </x:c>
      <x:c r="O369" s="14" t="str">
        <x:v>nm1092718</x:v>
      </x:c>
      <x:c r="P369" s="14" t="str">
        <x:v>Mrs. Pridmore</x:v>
      </x:c>
      <x:c r="Q369" s="15" t="n">
        <x:v>1</x:v>
      </x:c>
      <x:c r="R369" s="14" t="str">
        <x:v>2023</x:v>
      </x:c>
      <x:c r="S369" s="14" t="n">
        <x:v>2023</x:v>
      </x:c>
      <x:c r="T369" s="14" t="n">
        <x:v>2023</x:v>
      </x:c>
      <x:c r="U369" s="14" t="str">
        <x:v>Post-2021 casting excluded</x:v>
      </x:c>
      <x:c r="V369" s="14" t="str">
        <x:v>Earliest supplied year is 2023, later than the 2021 study year.</x:v>
      </x:c>
      <x:c r="W369" s="14"/>
      <x:c r="X369" s="14" t="str">
        <x:v>Included</x:v>
      </x:c>
      <x:c r="Y369" s="14"/>
      <x:c r="Z369" s="14" t="str">
        <x:v>Dalgliesh.docx</x:v>
      </x:c>
      <x:c r="AA36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Channel 5 / 5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HYPERLINK("https://en.wikipedia.org/wiki/Dalglish","Open source")</x:f>
        <x:v>HYPERLINK is not implemented. linkLocation=https://en.wikipedia.org/wiki/Dalglish, friendlyName=Open source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18</x:v>
      </x:c>
      <x:c r="BP369" s="14" t="str">
        <x:v>Maximum eligible IMDb cast-credit total (18), shared by 1 performer(s); not independently verified as a 2021-only episode total.</x:v>
      </x:c>
      <x:c r="BQ369" s="14" t="str">
        <x:v>Low</x:v>
      </x:c>
      <x:c r="BR369" s="15" t="n">
        <x:v>1</x:v>
      </x:c>
      <x:c r="BS369" s="16" t="n">
        <x:v>0.05555555555555555</x:v>
      </x:c>
      <x:c r="BT369" s="14" t="str">
        <x:v>One episode</x:v>
      </x:c>
      <x:c r="BU369" s="14" t="str">
        <x:v>Low</x:v>
      </x:c>
      <x:c r="BV369" s="14" t="str">
        <x:v>Derived from supplied IMDb episode count and the documented production-total proxy.</x:v>
      </x:c>
      <x:c r="BW369" s="14" t="str">
        <x:v>Unable to determine</x:v>
      </x:c>
      <x:c r="BX369" s="14" t="str">
        <x:v>Supplied cast data establishes the credit and episode presence but does not establish narrative prominence.</x:v>
      </x:c>
      <x:c r="BY369" s="14" t="str">
        <x:v>Supplied IMDb cast-list workbook</x:v>
      </x:c>
      <x:c r="BZ36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tt13430420|nm3941625|host</x:v>
      </x:c>
      <x:c r="B370" s="14" t="str">
        <x:v>01</x:v>
      </x:c>
      <x:c r="C370" s="14" t="str">
        <x:v>2021_IMDb_Cast_Lists_Batch_01(1).xlsx</x:v>
      </x:c>
      <x:c r="D370" s="14" t="str">
        <x:v>Dalgliesh</x:v>
      </x:c>
      <x:c r="E370" s="14" t="n">
        <x:v>132</x:v>
      </x:c>
      <x:c r="F370" s="14" t="str">
        <x:v>Dalgliesh</x:v>
      </x:c>
      <x:c r="G370" s="14" t="str">
        <x:v>tt13430420</x:v>
      </x:c>
      <x:c r="H370" s="14" t="n">
        <x:v>2021</x:v>
      </x:c>
      <x:c r="I370" s="14" t="n">
        <x:v>2023</x:v>
      </x:c>
      <x:c r="J370" s="14" t="str">
        <x:v>Earlier-Production Carry-In Cohort</x:v>
      </x:c>
      <x:c r="K370" s="14" t="n">
        <x:v>2021</x:v>
      </x:c>
      <x:c r="L370" s="14" t="str">
        <x:v>Used in 2023 annual analysis</x:v>
      </x:c>
      <x:c r="M370" s="15" t="n">
        <x:v>125</x:v>
      </x:c>
      <x:c r="N370" s="14" t="str">
        <x:v>Chris Robinson</x:v>
      </x:c>
      <x:c r="O370" s="14" t="str">
        <x:v>nm3941625</x:v>
      </x:c>
      <x:c r="P370" s="14" t="str">
        <x:v>Host</x:v>
      </x:c>
      <x:c r="Q370" s="15" t="n">
        <x:v>1</x:v>
      </x:c>
      <x:c r="R370" s="14" t="str">
        <x:v>2023</x:v>
      </x:c>
      <x:c r="S370" s="14" t="n">
        <x:v>2023</x:v>
      </x:c>
      <x:c r="T370" s="14" t="n">
        <x:v>2023</x:v>
      </x:c>
      <x:c r="U370" s="14" t="str">
        <x:v>Post-2021 casting excluded</x:v>
      </x:c>
      <x:c r="V370" s="14" t="str">
        <x:v>Earliest supplied year is 2023, later than the 2021 study year.</x:v>
      </x:c>
      <x:c r="W370" s="14"/>
      <x:c r="X370" s="14" t="str">
        <x:v>Included</x:v>
      </x:c>
      <x:c r="Y370" s="14"/>
      <x:c r="Z370" s="14" t="str">
        <x:v>Dalgliesh.docx</x:v>
      </x:c>
      <x:c r="AA37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Channel 5 / 5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HYPERLINK("https://en.wikipedia.org/wiki/Dalglish","Open source")</x:f>
        <x:v>HYPERLINK is not implemented. linkLocation=https://en.wikipedia.org/wiki/Dalglish, friendlyName=Open source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18</x:v>
      </x:c>
      <x:c r="BP370" s="14" t="str">
        <x:v>Maximum eligible IMDb cast-credit total (18), shared by 1 performer(s); not independently verified as a 2021-only episode total.</x:v>
      </x:c>
      <x:c r="BQ370" s="14" t="str">
        <x:v>Low</x:v>
      </x:c>
      <x:c r="BR370" s="15" t="n">
        <x:v>1</x:v>
      </x:c>
      <x:c r="BS370" s="16" t="n">
        <x:v>0.05555555555555555</x:v>
      </x:c>
      <x:c r="BT370" s="14" t="str">
        <x:v>One episode</x:v>
      </x:c>
      <x:c r="BU370" s="14" t="str">
        <x:v>Low</x:v>
      </x:c>
      <x:c r="BV370" s="14" t="str">
        <x:v>Derived from supplied IMDb episode count and the documented production-total proxy.</x:v>
      </x:c>
      <x:c r="BW370" s="14" t="str">
        <x:v>Unable to determine</x:v>
      </x:c>
      <x:c r="BX370" s="14" t="str">
        <x:v>Supplied cast data establishes the credit and episode presence but does not establish narrative prominence.</x:v>
      </x:c>
      <x:c r="BY370" s="14" t="str">
        <x:v>Supplied IMDb cast-list workbook</x:v>
      </x:c>
      <x:c r="BZ37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tt13430420|nm5126398|douglas anderson</x:v>
      </x:c>
      <x:c r="B371" s="14" t="str">
        <x:v>01</x:v>
      </x:c>
      <x:c r="C371" s="14" t="str">
        <x:v>2021_IMDb_Cast_Lists_Batch_01(1).xlsx</x:v>
      </x:c>
      <x:c r="D371" s="14" t="str">
        <x:v>Dalgliesh</x:v>
      </x:c>
      <x:c r="E371" s="14" t="n">
        <x:v>135</x:v>
      </x:c>
      <x:c r="F371" s="14" t="str">
        <x:v>Dalgliesh</x:v>
      </x:c>
      <x:c r="G371" s="14" t="str">
        <x:v>tt13430420</x:v>
      </x:c>
      <x:c r="H371" s="14" t="n">
        <x:v>2021</x:v>
      </x:c>
      <x:c r="I371" s="14" t="n">
        <x:v>2023</x:v>
      </x:c>
      <x:c r="J371" s="14" t="str">
        <x:v>Earlier-Production Carry-In Cohort</x:v>
      </x:c>
      <x:c r="K371" s="14" t="n">
        <x:v>2021</x:v>
      </x:c>
      <x:c r="L371" s="14" t="str">
        <x:v>Used in 2023 annual analysis</x:v>
      </x:c>
      <x:c r="M371" s="15" t="n">
        <x:v>128</x:v>
      </x:c>
      <x:c r="N371" s="14" t="str">
        <x:v>Bailey Patrick</x:v>
      </x:c>
      <x:c r="O371" s="14" t="str">
        <x:v>nm5126398</x:v>
      </x:c>
      <x:c r="P371" s="14" t="str">
        <x:v>Douglas Anderson</x:v>
      </x:c>
      <x:c r="Q371" s="15" t="n">
        <x:v>1</x:v>
      </x:c>
      <x:c r="R371" s="14" t="str">
        <x:v>2023</x:v>
      </x:c>
      <x:c r="S371" s="14" t="n">
        <x:v>2023</x:v>
      </x:c>
      <x:c r="T371" s="14" t="n">
        <x:v>2023</x:v>
      </x:c>
      <x:c r="U371" s="14" t="str">
        <x:v>Post-2021 casting excluded</x:v>
      </x:c>
      <x:c r="V371" s="14" t="str">
        <x:v>Earliest supplied year is 2023, later than the 2021 study year.</x:v>
      </x:c>
      <x:c r="W371" s="14"/>
      <x:c r="X371" s="14" t="str">
        <x:v>Included</x:v>
      </x:c>
      <x:c r="Y371" s="14"/>
      <x:c r="Z371" s="14" t="str">
        <x:v>Dalgliesh.docx</x:v>
      </x:c>
      <x:c r="AA37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Channel 5 / 5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HYPERLINK("https://en.wikipedia.org/wiki/Dalglish","Open source")</x:f>
        <x:v>HYPERLINK is not implemented. linkLocation=https://en.wikipedia.org/wiki/Dalglish, friendlyName=Open source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18</x:v>
      </x:c>
      <x:c r="BP371" s="14" t="str">
        <x:v>Maximum eligible IMDb cast-credit total (18), shared by 1 performer(s); not independently verified as a 2021-only episode total.</x:v>
      </x:c>
      <x:c r="BQ371" s="14" t="str">
        <x:v>Low</x:v>
      </x:c>
      <x:c r="BR371" s="15" t="n">
        <x:v>1</x:v>
      </x:c>
      <x:c r="BS371" s="16" t="n">
        <x:v>0.05555555555555555</x:v>
      </x:c>
      <x:c r="BT371" s="14" t="str">
        <x:v>One episode</x:v>
      </x:c>
      <x:c r="BU371" s="14" t="str">
        <x:v>Low</x:v>
      </x:c>
      <x:c r="BV371" s="14" t="str">
        <x:v>Derived from supplied IMDb episode count and the documented production-total proxy.</x:v>
      </x:c>
      <x:c r="BW371" s="14" t="str">
        <x:v>Unable to determine</x:v>
      </x:c>
      <x:c r="BX371" s="14" t="str">
        <x:v>Supplied cast data establishes the credit and episode presence but does not establish narrative prominence.</x:v>
      </x:c>
      <x:c r="BY371" s="14" t="str">
        <x:v>Supplied IMDb cast-list workbook</x:v>
      </x:c>
      <x:c r="BZ37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tt13430420|nm10530810|pc</x:v>
      </x:c>
      <x:c r="B372" s="14" t="str">
        <x:v>01</x:v>
      </x:c>
      <x:c r="C372" s="14" t="str">
        <x:v>2021_IMDb_Cast_Lists_Batch_01(1).xlsx</x:v>
      </x:c>
      <x:c r="D372" s="14" t="str">
        <x:v>Dalgliesh</x:v>
      </x:c>
      <x:c r="E372" s="14" t="n">
        <x:v>143</x:v>
      </x:c>
      <x:c r="F372" s="14" t="str">
        <x:v>Dalgliesh</x:v>
      </x:c>
      <x:c r="G372" s="14" t="str">
        <x:v>tt13430420</x:v>
      </x:c>
      <x:c r="H372" s="14" t="n">
        <x:v>2021</x:v>
      </x:c>
      <x:c r="I372" s="14" t="n">
        <x:v>2023</x:v>
      </x:c>
      <x:c r="J372" s="14" t="str">
        <x:v>Earlier-Production Carry-In Cohort</x:v>
      </x:c>
      <x:c r="K372" s="14" t="n">
        <x:v>2021</x:v>
      </x:c>
      <x:c r="L372" s="14" t="str">
        <x:v>Used in 2023 annual analysis</x:v>
      </x:c>
      <x:c r="M372" s="15" t="n">
        <x:v>136</x:v>
      </x:c>
      <x:c r="N372" s="14" t="str">
        <x:v>Colette Lennon Dougal</x:v>
      </x:c>
      <x:c r="O372" s="14" t="str">
        <x:v>nm10530810</x:v>
      </x:c>
      <x:c r="P372" s="14" t="str">
        <x:v>PC</x:v>
      </x:c>
      <x:c r="Q372" s="15" t="n">
        <x:v>1</x:v>
      </x:c>
      <x:c r="R372" s="14" t="str">
        <x:v>2023</x:v>
      </x:c>
      <x:c r="S372" s="14" t="n">
        <x:v>2023</x:v>
      </x:c>
      <x:c r="T372" s="14" t="n">
        <x:v>2023</x:v>
      </x:c>
      <x:c r="U372" s="14" t="str">
        <x:v>Post-2021 casting excluded</x:v>
      </x:c>
      <x:c r="V372" s="14" t="str">
        <x:v>Earliest supplied year is 2023, later than the 2021 study year.</x:v>
      </x:c>
      <x:c r="W372" s="14"/>
      <x:c r="X372" s="14" t="str">
        <x:v>Included</x:v>
      </x:c>
      <x:c r="Y372" s="14"/>
      <x:c r="Z372" s="14" t="str">
        <x:v>Dalgliesh.docx</x:v>
      </x:c>
      <x:c r="AA37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Channel 5 / 5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HYPERLINK("https://en.wikipedia.org/wiki/Dalglish","Open source")</x:f>
        <x:v>HYPERLINK is not implemented. linkLocation=https://en.wikipedia.org/wiki/Dalglish, friendlyName=Open source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18</x:v>
      </x:c>
      <x:c r="BP372" s="14" t="str">
        <x:v>Maximum eligible IMDb cast-credit total (18), shared by 1 performer(s); not independently verified as a 2021-only episode total.</x:v>
      </x:c>
      <x:c r="BQ372" s="14" t="str">
        <x:v>Low</x:v>
      </x:c>
      <x:c r="BR372" s="15" t="n">
        <x:v>1</x:v>
      </x:c>
      <x:c r="BS372" s="16" t="n">
        <x:v>0.05555555555555555</x:v>
      </x:c>
      <x:c r="BT372" s="14" t="str">
        <x:v>One episode</x:v>
      </x:c>
      <x:c r="BU372" s="14" t="str">
        <x:v>Low</x:v>
      </x:c>
      <x:c r="BV372" s="14" t="str">
        <x:v>Derived from supplied IMDb episode count and the documented production-total proxy.</x:v>
      </x:c>
      <x:c r="BW372" s="14" t="str">
        <x:v>Unable to determine</x:v>
      </x:c>
      <x:c r="BX372" s="14" t="str">
        <x:v>Supplied cast data establishes the credit and episode presence but does not establish narrative prominence.</x:v>
      </x:c>
      <x:c r="BY372" s="14" t="str">
        <x:v>Supplied IMDb cast-list workbook</x:v>
      </x:c>
      <x:c r="BZ37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tt13430420|nm0189850|margaret jackson</x:v>
      </x:c>
      <x:c r="B373" s="14" t="str">
        <x:v>01</x:v>
      </x:c>
      <x:c r="C373" s="14" t="str">
        <x:v>2021_IMDb_Cast_Lists_Batch_01(1).xlsx</x:v>
      </x:c>
      <x:c r="D373" s="14" t="str">
        <x:v>Dalgliesh</x:v>
      </x:c>
      <x:c r="E373" s="14" t="n">
        <x:v>144</x:v>
      </x:c>
      <x:c r="F373" s="14" t="str">
        <x:v>Dalgliesh</x:v>
      </x:c>
      <x:c r="G373" s="14" t="str">
        <x:v>tt13430420</x:v>
      </x:c>
      <x:c r="H373" s="14" t="n">
        <x:v>2021</x:v>
      </x:c>
      <x:c r="I373" s="14" t="n">
        <x:v>2023</x:v>
      </x:c>
      <x:c r="J373" s="14" t="str">
        <x:v>Earlier-Production Carry-In Cohort</x:v>
      </x:c>
      <x:c r="K373" s="14" t="n">
        <x:v>2021</x:v>
      </x:c>
      <x:c r="L373" s="14" t="str">
        <x:v>Used in 2023 annual analysis</x:v>
      </x:c>
      <x:c r="M373" s="15" t="n">
        <x:v>137</x:v>
      </x:c>
      <x:c r="N373" s="14" t="str">
        <x:v>Liz Crowther</x:v>
      </x:c>
      <x:c r="O373" s="14" t="str">
        <x:v>nm0189850</x:v>
      </x:c>
      <x:c r="P373" s="14" t="str">
        <x:v>Margaret Jackson</x:v>
      </x:c>
      <x:c r="Q373" s="15" t="n">
        <x:v>1</x:v>
      </x:c>
      <x:c r="R373" s="14" t="str">
        <x:v>2023</x:v>
      </x:c>
      <x:c r="S373" s="14" t="n">
        <x:v>2023</x:v>
      </x:c>
      <x:c r="T373" s="14" t="n">
        <x:v>2023</x:v>
      </x:c>
      <x:c r="U373" s="14" t="str">
        <x:v>Post-2021 casting excluded</x:v>
      </x:c>
      <x:c r="V373" s="14" t="str">
        <x:v>Earliest supplied year is 2023, later than the 2021 study year.</x:v>
      </x:c>
      <x:c r="W373" s="14"/>
      <x:c r="X373" s="14" t="str">
        <x:v>Included</x:v>
      </x:c>
      <x:c r="Y373" s="14"/>
      <x:c r="Z373" s="14" t="str">
        <x:v>Dalgliesh.docx</x:v>
      </x:c>
      <x:c r="AA37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Channel 5 / 5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HYPERLINK("https://en.wikipedia.org/wiki/Dalglish","Open source")</x:f>
        <x:v>HYPERLINK is not implemented. linkLocation=https://en.wikipedia.org/wiki/Dalglish, friendlyName=Open source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18</x:v>
      </x:c>
      <x:c r="BP373" s="14" t="str">
        <x:v>Maximum eligible IMDb cast-credit total (18), shared by 1 performer(s); not independently verified as a 2021-only episode total.</x:v>
      </x:c>
      <x:c r="BQ373" s="14" t="str">
        <x:v>Low</x:v>
      </x:c>
      <x:c r="BR373" s="15" t="n">
        <x:v>1</x:v>
      </x:c>
      <x:c r="BS373" s="16" t="n">
        <x:v>0.05555555555555555</x:v>
      </x:c>
      <x:c r="BT373" s="14" t="str">
        <x:v>One episode</x:v>
      </x:c>
      <x:c r="BU373" s="14" t="str">
        <x:v>Low</x:v>
      </x:c>
      <x:c r="BV373" s="14" t="str">
        <x:v>Derived from supplied IMDb episode count and the documented production-total proxy.</x:v>
      </x:c>
      <x:c r="BW373" s="14" t="str">
        <x:v>Unable to determine</x:v>
      </x:c>
      <x:c r="BX373" s="14" t="str">
        <x:v>Supplied cast data establishes the credit and episode presence but does not establish narrative prominence.</x:v>
      </x:c>
      <x:c r="BY373" s="14" t="str">
        <x:v>Supplied IMDb cast-list workbook</x:v>
      </x:c>
      <x:c r="BZ37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tt11639300|nm2397390|acc cassian pewe</x:v>
      </x:c>
      <x:c r="B374" s="14" t="str">
        <x:v>02</x:v>
      </x:c>
      <x:c r="C374" s="14" t="str">
        <x:v>2021_IMDb_Cast_Lists_Batch_02(1).xlsx</x:v>
      </x:c>
      <x:c r="D374" s="14" t="str">
        <x:v>Grace</x:v>
      </x:c>
      <x:c r="E374" s="14" t="n">
        <x:v>17</x:v>
      </x:c>
      <x:c r="F374" s="14" t="str">
        <x:v>Grace</x:v>
      </x:c>
      <x:c r="G374" s="14" t="str">
        <x:v>tt11639300</x:v>
      </x:c>
      <x:c r="H374" s="14" t="n">
        <x:v>2021</x:v>
      </x:c>
      <x:c r="I374" s="14" t="n">
        <x:v>2023</x:v>
      </x:c>
      <x:c r="J374" s="14" t="str">
        <x:v>Earlier-Production Carry-In Cohort</x:v>
      </x:c>
      <x:c r="K374" s="14" t="n">
        <x:v>2021</x:v>
      </x:c>
      <x:c r="L374" s="14" t="str">
        <x:v>Used in 2023 annual analysis</x:v>
      </x:c>
      <x:c r="M374" s="15" t="n">
        <x:v>10</x:v>
      </x:c>
      <x:c r="N374" s="14" t="str">
        <x:v>Sam Hoare</x:v>
      </x:c>
      <x:c r="O374" s="14" t="str">
        <x:v>nm2397390</x:v>
      </x:c>
      <x:c r="P374" s="14" t="str">
        <x:v>ACC Cassian Pewe</x:v>
      </x:c>
      <x:c r="Q374" s="15" t="n">
        <x:v>10</x:v>
      </x:c>
      <x:c r="R374" s="14" t="str">
        <x:v>2023–2025</x:v>
      </x:c>
      <x:c r="S374" s="14" t="n">
        <x:v>2023</x:v>
      </x:c>
      <x:c r="T374" s="14" t="n">
        <x:v>2023</x:v>
      </x:c>
      <x:c r="U374" s="14" t="str">
        <x:v>Post-2021 casting excluded</x:v>
      </x:c>
      <x:c r="V374" s="14" t="str">
        <x:v>Earliest supplied year is 2023, later than the 2021 study year.</x:v>
      </x:c>
      <x:c r="W374" s="14"/>
      <x:c r="X374" s="14" t="str">
        <x:v>Included</x:v>
      </x:c>
      <x:c r="Y374" s="14"/>
      <x:c r="Z374" s="14" t="str">
        <x:v>Grace.docx</x:v>
      </x:c>
      <x:c r="AA3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ITV / ITVX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HYPERLINK("https://en.wikipedia.org/wiki/Grace","Open source")</x:f>
        <x:v>HYPERLINK is not implemented. linkLocation=https://en.wikipedia.org/wiki/Grace, friendlyName=Open source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20</x:v>
      </x:c>
      <x:c r="BP374" s="14" t="str">
        <x:v>Maximum eligible IMDb cast-credit total (20), shared by 4 performer(s); not independently verified as a 2021-only episode total.</x:v>
      </x:c>
      <x:c r="BQ374" s="14" t="str">
        <x:v>Medium</x:v>
      </x:c>
      <x:c r="BR374" s="15" t="n">
        <x:v>10</x:v>
      </x:c>
      <x:c r="BS374" s="16" t="n">
        <x:v>0.5</x:v>
      </x:c>
      <x:c r="BT374" s="14" t="str">
        <x:v>Minority of episodes</x:v>
      </x:c>
      <x:c r="BU374" s="14" t="str">
        <x:v>Medium</x:v>
      </x:c>
      <x:c r="BV374" s="14" t="str">
        <x:v>Derived from supplied IMDb episode count and the documented production-total proxy.</x:v>
      </x:c>
      <x:c r="BW374" s="14" t="str">
        <x:v>Unable to determine</x:v>
      </x:c>
      <x:c r="BX374" s="14" t="str">
        <x:v>Supplied cast data establishes the credit and episode presence but does not establish narrative prominence.</x:v>
      </x:c>
      <x:c r="BY374" s="14" t="str">
        <x:v>Supplied IMDb cast-list workbook</x:v>
      </x:c>
      <x:c r="BZ3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tt11639300|nm0298495|alvin smallbone</x:v>
      </x:c>
      <x:c r="B375" s="14" t="str">
        <x:v>02</x:v>
      </x:c>
      <x:c r="C375" s="14" t="str">
        <x:v>2021_IMDb_Cast_Lists_Batch_02(1).xlsx</x:v>
      </x:c>
      <x:c r="D375" s="14" t="str">
        <x:v>Grace</x:v>
      </x:c>
      <x:c r="E375" s="14" t="n">
        <x:v>23</x:v>
      </x:c>
      <x:c r="F375" s="14" t="str">
        <x:v>Grace</x:v>
      </x:c>
      <x:c r="G375" s="14" t="str">
        <x:v>tt11639300</x:v>
      </x:c>
      <x:c r="H375" s="14" t="n">
        <x:v>2021</x:v>
      </x:c>
      <x:c r="I375" s="14" t="n">
        <x:v>2023</x:v>
      </x:c>
      <x:c r="J375" s="14" t="str">
        <x:v>Earlier-Production Carry-In Cohort</x:v>
      </x:c>
      <x:c r="K375" s="14" t="n">
        <x:v>2021</x:v>
      </x:c>
      <x:c r="L375" s="14" t="str">
        <x:v>Used in 2023 annual analysis</x:v>
      </x:c>
      <x:c r="M375" s="15" t="n">
        <x:v>16</x:v>
      </x:c>
      <x:c r="N375" s="14" t="str">
        <x:v>Niall Greig Fulton</x:v>
      </x:c>
      <x:c r="O375" s="14" t="str">
        <x:v>nm0298495</x:v>
      </x:c>
      <x:c r="P375" s="14" t="str">
        <x:v>Alvin Smallbone</x:v>
      </x:c>
      <x:c r="Q375" s="15" t="n">
        <x:v>3</x:v>
      </x:c>
      <x:c r="R375" s="14" t="str">
        <x:v>2023–2024</x:v>
      </x:c>
      <x:c r="S375" s="14" t="n">
        <x:v>2023</x:v>
      </x:c>
      <x:c r="T375" s="14" t="n">
        <x:v>2023</x:v>
      </x:c>
      <x:c r="U375" s="14" t="str">
        <x:v>Post-2021 casting excluded</x:v>
      </x:c>
      <x:c r="V375" s="14" t="str">
        <x:v>Earliest supplied year is 2023, later than the 2021 study year.</x:v>
      </x:c>
      <x:c r="W375" s="14"/>
      <x:c r="X375" s="14" t="str">
        <x:v>Included</x:v>
      </x:c>
      <x:c r="Y375" s="14"/>
      <x:c r="Z375" s="14" t="str">
        <x:v>Grace.docx</x:v>
      </x:c>
      <x:c r="AA3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ITV / ITVX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HYPERLINK("https://en.wikipedia.org/wiki/Grace","Open source")</x:f>
        <x:v>HYPERLINK is not implemented. linkLocation=https://en.wikipedia.org/wiki/Grace, friendlyName=Open source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20</x:v>
      </x:c>
      <x:c r="BP375" s="14" t="str">
        <x:v>Maximum eligible IMDb cast-credit total (20), shared by 4 performer(s); not independently verified as a 2021-only episode total.</x:v>
      </x:c>
      <x:c r="BQ375" s="14" t="str">
        <x:v>Medium</x:v>
      </x:c>
      <x:c r="BR375" s="15" t="n">
        <x:v>3</x:v>
      </x:c>
      <x:c r="BS375" s="16" t="n">
        <x:v>0.15</x:v>
      </x:c>
      <x:c r="BT375" s="14" t="str">
        <x:v>Minority of episodes</x:v>
      </x:c>
      <x:c r="BU375" s="14" t="str">
        <x:v>Medium</x:v>
      </x:c>
      <x:c r="BV375" s="14" t="str">
        <x:v>Derived from supplied IMDb episode count and the documented production-total proxy.</x:v>
      </x:c>
      <x:c r="BW375" s="14" t="str">
        <x:v>Unable to determine</x:v>
      </x:c>
      <x:c r="BX375" s="14" t="str">
        <x:v>Supplied cast data establishes the credit and episode presence but does not establish narrative prominence.</x:v>
      </x:c>
      <x:c r="BY375" s="14" t="str">
        <x:v>Supplied IMDb cast-list workbook</x:v>
      </x:c>
      <x:c r="BZ3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tt11639300|nm5535176|detective marcel kullen</x:v>
      </x:c>
      <x:c r="B376" s="14" t="str">
        <x:v>02</x:v>
      </x:c>
      <x:c r="C376" s="14" t="str">
        <x:v>2021_IMDb_Cast_Lists_Batch_02(1).xlsx</x:v>
      </x:c>
      <x:c r="D376" s="14" t="str">
        <x:v>Grace</x:v>
      </x:c>
      <x:c r="E376" s="14" t="n">
        <x:v>27</x:v>
      </x:c>
      <x:c r="F376" s="14" t="str">
        <x:v>Grace</x:v>
      </x:c>
      <x:c r="G376" s="14" t="str">
        <x:v>tt11639300</x:v>
      </x:c>
      <x:c r="H376" s="14" t="n">
        <x:v>2021</x:v>
      </x:c>
      <x:c r="I376" s="14" t="n">
        <x:v>2023</x:v>
      </x:c>
      <x:c r="J376" s="14" t="str">
        <x:v>Earlier-Production Carry-In Cohort</x:v>
      </x:c>
      <x:c r="K376" s="14" t="n">
        <x:v>2021</x:v>
      </x:c>
      <x:c r="L376" s="14" t="str">
        <x:v>Used in 2023 annual analysis</x:v>
      </x:c>
      <x:c r="M376" s="15" t="n">
        <x:v>20</x:v>
      </x:c>
      <x:c r="N376" s="14" t="str">
        <x:v>Ernest Gromov</x:v>
      </x:c>
      <x:c r="O376" s="14" t="str">
        <x:v>nm5535176</x:v>
      </x:c>
      <x:c r="P376" s="14" t="str">
        <x:v>Detective Marcel Kullen</x:v>
      </x:c>
      <x:c r="Q376" s="15" t="n">
        <x:v>3</x:v>
      </x:c>
      <x:c r="R376" s="14" t="str">
        <x:v>2023–2024</x:v>
      </x:c>
      <x:c r="S376" s="14" t="n">
        <x:v>2023</x:v>
      </x:c>
      <x:c r="T376" s="14" t="n">
        <x:v>2023</x:v>
      </x:c>
      <x:c r="U376" s="14" t="str">
        <x:v>Post-2021 casting excluded</x:v>
      </x:c>
      <x:c r="V376" s="14" t="str">
        <x:v>Earliest supplied year is 2023, later than the 2021 study year.</x:v>
      </x:c>
      <x:c r="W376" s="14"/>
      <x:c r="X376" s="14" t="str">
        <x:v>Included</x:v>
      </x:c>
      <x:c r="Y376" s="14"/>
      <x:c r="Z376" s="14" t="str">
        <x:v>Grace.docx</x:v>
      </x:c>
      <x:c r="AA3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ITV / ITVX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HYPERLINK("https://en.wikipedia.org/wiki/Grace","Open source")</x:f>
        <x:v>HYPERLINK is not implemented. linkLocation=https://en.wikipedia.org/wiki/Grace, friendlyName=Open source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20</x:v>
      </x:c>
      <x:c r="BP376" s="14" t="str">
        <x:v>Maximum eligible IMDb cast-credit total (20), shared by 4 performer(s); not independently verified as a 2021-only episode total.</x:v>
      </x:c>
      <x:c r="BQ376" s="14" t="str">
        <x:v>Medium</x:v>
      </x:c>
      <x:c r="BR376" s="15" t="n">
        <x:v>3</x:v>
      </x:c>
      <x:c r="BS376" s="16" t="n">
        <x:v>0.15</x:v>
      </x:c>
      <x:c r="BT376" s="14" t="str">
        <x:v>Minority of episodes</x:v>
      </x:c>
      <x:c r="BU376" s="14" t="str">
        <x:v>Medium</x:v>
      </x:c>
      <x:c r="BV376" s="14" t="str">
        <x:v>Derived from supplied IMDb episode count and the documented production-total proxy.</x:v>
      </x:c>
      <x:c r="BW376" s="14" t="str">
        <x:v>Unable to determine</x:v>
      </x:c>
      <x:c r="BX376" s="14" t="str">
        <x:v>Supplied cast data establishes the credit and episode presence but does not establish narrative prominence.</x:v>
      </x:c>
      <x:c r="BY376" s="14" t="str">
        <x:v>Supplied IMDb cast-list workbook</x:v>
      </x:c>
      <x:c r="BZ3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tt11639300|nm5857064|john nash / tooth</x:v>
      </x:c>
      <x:c r="B377" s="14" t="str">
        <x:v>02</x:v>
      </x:c>
      <x:c r="C377" s="14" t="str">
        <x:v>2021_IMDb_Cast_Lists_Batch_02(1).xlsx</x:v>
      </x:c>
      <x:c r="D377" s="14" t="str">
        <x:v>Grace</x:v>
      </x:c>
      <x:c r="E377" s="14" t="n">
        <x:v>30</x:v>
      </x:c>
      <x:c r="F377" s="14" t="str">
        <x:v>Grace</x:v>
      </x:c>
      <x:c r="G377" s="14" t="str">
        <x:v>tt11639300</x:v>
      </x:c>
      <x:c r="H377" s="14" t="n">
        <x:v>2021</x:v>
      </x:c>
      <x:c r="I377" s="14" t="n">
        <x:v>2023</x:v>
      </x:c>
      <x:c r="J377" s="14" t="str">
        <x:v>Earlier-Production Carry-In Cohort</x:v>
      </x:c>
      <x:c r="K377" s="14" t="n">
        <x:v>2021</x:v>
      </x:c>
      <x:c r="L377" s="14" t="str">
        <x:v>Used in 2023 annual analysis</x:v>
      </x:c>
      <x:c r="M377" s="15" t="n">
        <x:v>23</x:v>
      </x:c>
      <x:c r="N377" s="14" t="str">
        <x:v>James Corrigan</x:v>
      </x:c>
      <x:c r="O377" s="14" t="str">
        <x:v>nm5857064</x:v>
      </x:c>
      <x:c r="P377" s="14" t="str">
        <x:v>John Nash / Tooth</x:v>
      </x:c>
      <x:c r="Q377" s="15" t="n">
        <x:v>2</x:v>
      </x:c>
      <x:c r="R377" s="14" t="str">
        <x:v>2023–2024</x:v>
      </x:c>
      <x:c r="S377" s="14" t="n">
        <x:v>2023</x:v>
      </x:c>
      <x:c r="T377" s="14" t="n">
        <x:v>2023</x:v>
      </x:c>
      <x:c r="U377" s="14" t="str">
        <x:v>Post-2021 casting excluded</x:v>
      </x:c>
      <x:c r="V377" s="14" t="str">
        <x:v>Earliest supplied year is 2023, later than the 2021 study year.</x:v>
      </x:c>
      <x:c r="W377" s="14"/>
      <x:c r="X377" s="14" t="str">
        <x:v>Included</x:v>
      </x:c>
      <x:c r="Y377" s="14"/>
      <x:c r="Z377" s="14" t="str">
        <x:v>Grace.docx</x:v>
      </x:c>
      <x:c r="AA3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ITV / ITVX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HYPERLINK("https://en.wikipedia.org/wiki/Grace","Open source")</x:f>
        <x:v>HYPERLINK is not implemented. linkLocation=https://en.wikipedia.org/wiki/Grace, friendlyName=Open source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20</x:v>
      </x:c>
      <x:c r="BP377" s="14" t="str">
        <x:v>Maximum eligible IMDb cast-credit total (20), shared by 4 performer(s); not independently verified as a 2021-only episode total.</x:v>
      </x:c>
      <x:c r="BQ377" s="14" t="str">
        <x:v>Medium</x:v>
      </x:c>
      <x:c r="BR377" s="15" t="n">
        <x:v>2</x:v>
      </x:c>
      <x:c r="BS377" s="16" t="n">
        <x:v>0.1</x:v>
      </x:c>
      <x:c r="BT377" s="14" t="str">
        <x:v>Minority of episodes</x:v>
      </x:c>
      <x:c r="BU377" s="14" t="str">
        <x:v>Medium</x:v>
      </x:c>
      <x:c r="BV377" s="14" t="str">
        <x:v>Derived from supplied IMDb episode count and the documented production-total proxy.</x:v>
      </x:c>
      <x:c r="BW377" s="14" t="str">
        <x:v>Unable to determine</x:v>
      </x:c>
      <x:c r="BX377" s="14" t="str">
        <x:v>Supplied cast data establishes the credit and episode presence but does not establish narrative prominence.</x:v>
      </x:c>
      <x:c r="BY377" s="14" t="str">
        <x:v>Supplied IMDb cast-list workbook</x:v>
      </x:c>
      <x:c r="BZ3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tt11639300|nm0287839|rachel ryan</x:v>
      </x:c>
      <x:c r="B378" s="14" t="str">
        <x:v>02</x:v>
      </x:c>
      <x:c r="C378" s="14" t="str">
        <x:v>2021_IMDb_Cast_Lists_Batch_02(1).xlsx</x:v>
      </x:c>
      <x:c r="D378" s="14" t="str">
        <x:v>Grace</x:v>
      </x:c>
      <x:c r="E378" s="14" t="n">
        <x:v>50</x:v>
      </x:c>
      <x:c r="F378" s="14" t="str">
        <x:v>Grace</x:v>
      </x:c>
      <x:c r="G378" s="14" t="str">
        <x:v>tt11639300</x:v>
      </x:c>
      <x:c r="H378" s="14" t="n">
        <x:v>2021</x:v>
      </x:c>
      <x:c r="I378" s="14" t="n">
        <x:v>2023</x:v>
      </x:c>
      <x:c r="J378" s="14" t="str">
        <x:v>Earlier-Production Carry-In Cohort</x:v>
      </x:c>
      <x:c r="K378" s="14" t="n">
        <x:v>2021</x:v>
      </x:c>
      <x:c r="L378" s="14" t="str">
        <x:v>Used in 2023 annual analysis</x:v>
      </x:c>
      <x:c r="M378" s="15" t="n">
        <x:v>43</x:v>
      </x:c>
      <x:c r="N378" s="14" t="str">
        <x:v>Heather Ann Foster</x:v>
      </x:c>
      <x:c r="O378" s="14" t="str">
        <x:v>nm0287839</x:v>
      </x:c>
      <x:c r="P378" s="14" t="str">
        <x:v>Rachel Ryan</x:v>
      </x:c>
      <x:c r="Q378" s="15" t="n">
        <x:v>1</x:v>
      </x:c>
      <x:c r="R378" s="14" t="str">
        <x:v>2023</x:v>
      </x:c>
      <x:c r="S378" s="14" t="n">
        <x:v>2023</x:v>
      </x:c>
      <x:c r="T378" s="14" t="n">
        <x:v>2023</x:v>
      </x:c>
      <x:c r="U378" s="14" t="str">
        <x:v>Post-2021 casting excluded</x:v>
      </x:c>
      <x:c r="V378" s="14" t="str">
        <x:v>Earliest supplied year is 2023, later than the 2021 study year.</x:v>
      </x:c>
      <x:c r="W378" s="14"/>
      <x:c r="X378" s="14" t="str">
        <x:v>Included</x:v>
      </x:c>
      <x:c r="Y378" s="14" t="str">
        <x:v>(as Heather Foster)</x:v>
      </x:c>
      <x:c r="Z378" s="14" t="str">
        <x:v>Grace.docx</x:v>
      </x:c>
      <x:c r="AA3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ITV / ITVX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HYPERLINK("https://en.wikipedia.org/wiki/Grace","Open source")</x:f>
        <x:v>HYPERLINK is not implemented. linkLocation=https://en.wikipedia.org/wiki/Grace,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20</x:v>
      </x:c>
      <x:c r="BP378" s="14" t="str">
        <x:v>Maximum eligible IMDb cast-credit total (20), shared by 4 performer(s); not independently verified as a 2021-only episode total.</x:v>
      </x:c>
      <x:c r="BQ378" s="14" t="str">
        <x:v>Medium</x:v>
      </x:c>
      <x:c r="BR378" s="15" t="n">
        <x:v>1</x:v>
      </x:c>
      <x:c r="BS378" s="16" t="n">
        <x:v>0.05</x:v>
      </x:c>
      <x:c r="BT378" s="14" t="str">
        <x:v>One episode</x:v>
      </x:c>
      <x:c r="BU378" s="14" t="str">
        <x:v>Medium</x:v>
      </x:c>
      <x:c r="BV378" s="14" t="str">
        <x:v>Derived from supplied IMDb episode count and the documented production-total proxy.</x:v>
      </x:c>
      <x:c r="BW378" s="14" t="str">
        <x:v>Unable to determine</x:v>
      </x:c>
      <x:c r="BX378" s="14" t="str">
        <x:v>Supplied cast data establishes the credit and episode presence but does not establish narrative prominence.</x:v>
      </x:c>
      <x:c r="BY378" s="14" t="str">
        <x:v>Supplied IMDb cast-list workbook</x:v>
      </x:c>
      <x:c r="BZ3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tt11639300|nm3238734|johnny kerridge</x:v>
      </x:c>
      <x:c r="B379" s="14" t="str">
        <x:v>02</x:v>
      </x:c>
      <x:c r="C379" s="14" t="str">
        <x:v>2021_IMDb_Cast_Lists_Batch_02(1).xlsx</x:v>
      </x:c>
      <x:c r="D379" s="14" t="str">
        <x:v>Grace</x:v>
      </x:c>
      <x:c r="E379" s="14" t="n">
        <x:v>64</x:v>
      </x:c>
      <x:c r="F379" s="14" t="str">
        <x:v>Grace</x:v>
      </x:c>
      <x:c r="G379" s="14" t="str">
        <x:v>tt11639300</x:v>
      </x:c>
      <x:c r="H379" s="14" t="n">
        <x:v>2021</x:v>
      </x:c>
      <x:c r="I379" s="14" t="n">
        <x:v>2023</x:v>
      </x:c>
      <x:c r="J379" s="14" t="str">
        <x:v>Earlier-Production Carry-In Cohort</x:v>
      </x:c>
      <x:c r="K379" s="14" t="n">
        <x:v>2021</x:v>
      </x:c>
      <x:c r="L379" s="14" t="str">
        <x:v>Used in 2023 annual analysis</x:v>
      </x:c>
      <x:c r="M379" s="15" t="n">
        <x:v>57</x:v>
      </x:c>
      <x:c r="N379" s="14" t="str">
        <x:v>Thomas Coombes</x:v>
      </x:c>
      <x:c r="O379" s="14" t="str">
        <x:v>nm3238734</x:v>
      </x:c>
      <x:c r="P379" s="14" t="str">
        <x:v>Johnny Kerridge</x:v>
      </x:c>
      <x:c r="Q379" s="15" t="n">
        <x:v>1</x:v>
      </x:c>
      <x:c r="R379" s="14" t="str">
        <x:v>2023</x:v>
      </x:c>
      <x:c r="S379" s="14" t="n">
        <x:v>2023</x:v>
      </x:c>
      <x:c r="T379" s="14" t="n">
        <x:v>2023</x:v>
      </x:c>
      <x:c r="U379" s="14" t="str">
        <x:v>Post-2021 casting excluded</x:v>
      </x:c>
      <x:c r="V379" s="14" t="str">
        <x:v>Earliest supplied year is 2023, later than the 2021 study year.</x:v>
      </x:c>
      <x:c r="W379" s="14"/>
      <x:c r="X379" s="14" t="str">
        <x:v>Included</x:v>
      </x:c>
      <x:c r="Y379" s="14"/>
      <x:c r="Z379" s="14" t="str">
        <x:v>Grace.docx</x:v>
      </x:c>
      <x:c r="AA3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ITV / ITVX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HYPERLINK("https://en.wikipedia.org/wiki/Grace","Open source")</x:f>
        <x:v>HYPERLINK is not implemented. linkLocation=https://en.wikipedia.org/wiki/Grace,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20</x:v>
      </x:c>
      <x:c r="BP379" s="14" t="str">
        <x:v>Maximum eligible IMDb cast-credit total (20), shared by 4 performer(s); not independently verified as a 2021-only episode total.</x:v>
      </x:c>
      <x:c r="BQ379" s="14" t="str">
        <x:v>Medium</x:v>
      </x:c>
      <x:c r="BR379" s="15" t="n">
        <x:v>1</x:v>
      </x:c>
      <x:c r="BS379" s="16" t="n">
        <x:v>0.05</x:v>
      </x:c>
      <x:c r="BT379" s="14" t="str">
        <x:v>One episode</x:v>
      </x:c>
      <x:c r="BU379" s="14" t="str">
        <x:v>Medium</x:v>
      </x:c>
      <x:c r="BV379" s="14" t="str">
        <x:v>Derived from supplied IMDb episode count and the documented production-total proxy.</x:v>
      </x:c>
      <x:c r="BW379" s="14" t="str">
        <x:v>Unable to determine</x:v>
      </x:c>
      <x:c r="BX379" s="14" t="str">
        <x:v>Supplied cast data establishes the credit and episode presence but does not establish narrative prominence.</x:v>
      </x:c>
      <x:c r="BY379" s="14" t="str">
        <x:v>Supplied IMDb cast-list workbook</x:v>
      </x:c>
      <x:c r="BZ3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tt11639300|nm8862942|tony robinson</x:v>
      </x:c>
      <x:c r="B380" s="14" t="str">
        <x:v>02</x:v>
      </x:c>
      <x:c r="C380" s="14" t="str">
        <x:v>2021_IMDb_Cast_Lists_Batch_02(1).xlsx</x:v>
      </x:c>
      <x:c r="D380" s="14" t="str">
        <x:v>Grace</x:v>
      </x:c>
      <x:c r="E380" s="14" t="n">
        <x:v>73</x:v>
      </x:c>
      <x:c r="F380" s="14" t="str">
        <x:v>Grace</x:v>
      </x:c>
      <x:c r="G380" s="14" t="str">
        <x:v>tt11639300</x:v>
      </x:c>
      <x:c r="H380" s="14" t="n">
        <x:v>2021</x:v>
      </x:c>
      <x:c r="I380" s="14" t="n">
        <x:v>2023</x:v>
      </x:c>
      <x:c r="J380" s="14" t="str">
        <x:v>Earlier-Production Carry-In Cohort</x:v>
      </x:c>
      <x:c r="K380" s="14" t="n">
        <x:v>2021</x:v>
      </x:c>
      <x:c r="L380" s="14" t="str">
        <x:v>Used in 2023 annual analysis</x:v>
      </x:c>
      <x:c r="M380" s="15" t="n">
        <x:v>66</x:v>
      </x:c>
      <x:c r="N380" s="14" t="str">
        <x:v>Darryl Dale</x:v>
      </x:c>
      <x:c r="O380" s="14" t="str">
        <x:v>nm8862942</x:v>
      </x:c>
      <x:c r="P380" s="14" t="str">
        <x:v>Tony Robinson</x:v>
      </x:c>
      <x:c r="Q380" s="15" t="n">
        <x:v>1</x:v>
      </x:c>
      <x:c r="R380" s="14" t="str">
        <x:v>2023</x:v>
      </x:c>
      <x:c r="S380" s="14" t="n">
        <x:v>2023</x:v>
      </x:c>
      <x:c r="T380" s="14" t="n">
        <x:v>2023</x:v>
      </x:c>
      <x:c r="U380" s="14" t="str">
        <x:v>Post-2021 casting excluded</x:v>
      </x:c>
      <x:c r="V380" s="14" t="str">
        <x:v>Earliest supplied year is 2023, later than the 2021 study year.</x:v>
      </x:c>
      <x:c r="W380" s="14"/>
      <x:c r="X380" s="14" t="str">
        <x:v>Included</x:v>
      </x:c>
      <x:c r="Y380" s="14"/>
      <x:c r="Z380" s="14" t="str">
        <x:v>Grace.docx</x:v>
      </x:c>
      <x:c r="AA3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ITV / ITVX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HYPERLINK("https://en.wikipedia.org/wiki/Grace","Open source")</x:f>
        <x:v>HYPERLINK is not implemented. linkLocation=https://en.wikipedia.org/wiki/Grace,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20</x:v>
      </x:c>
      <x:c r="BP380" s="14" t="str">
        <x:v>Maximum eligible IMDb cast-credit total (20), shared by 4 performer(s); not independently verified as a 2021-only episode total.</x:v>
      </x:c>
      <x:c r="BQ380" s="14" t="str">
        <x:v>Medium</x:v>
      </x:c>
      <x:c r="BR380" s="15" t="n">
        <x:v>1</x:v>
      </x:c>
      <x:c r="BS380" s="16" t="n">
        <x:v>0.05</x:v>
      </x:c>
      <x:c r="BT380" s="14" t="str">
        <x:v>One episode</x:v>
      </x:c>
      <x:c r="BU380" s="14" t="str">
        <x:v>Medium</x:v>
      </x:c>
      <x:c r="BV380" s="14" t="str">
        <x:v>Derived from supplied IMDb episode count and the documented production-total proxy.</x:v>
      </x:c>
      <x:c r="BW380" s="14" t="str">
        <x:v>Unable to determine</x:v>
      </x:c>
      <x:c r="BX380" s="14" t="str">
        <x:v>Supplied cast data establishes the credit and episode presence but does not establish narrative prominence.</x:v>
      </x:c>
      <x:c r="BY380" s="14" t="str">
        <x:v>Supplied IMDb cast-list workbook</x:v>
      </x:c>
      <x:c r="BZ3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tt11639300|nm7780485|mimi taylor</x:v>
      </x:c>
      <x:c r="B381" s="14" t="str">
        <x:v>02</x:v>
      </x:c>
      <x:c r="C381" s="14" t="str">
        <x:v>2021_IMDb_Cast_Lists_Batch_02(1).xlsx</x:v>
      </x:c>
      <x:c r="D381" s="14" t="str">
        <x:v>Grace</x:v>
      </x:c>
      <x:c r="E381" s="14" t="n">
        <x:v>74</x:v>
      </x:c>
      <x:c r="F381" s="14" t="str">
        <x:v>Grace</x:v>
      </x:c>
      <x:c r="G381" s="14" t="str">
        <x:v>tt11639300</x:v>
      </x:c>
      <x:c r="H381" s="14" t="n">
        <x:v>2021</x:v>
      </x:c>
      <x:c r="I381" s="14" t="n">
        <x:v>2023</x:v>
      </x:c>
      <x:c r="J381" s="14" t="str">
        <x:v>Earlier-Production Carry-In Cohort</x:v>
      </x:c>
      <x:c r="K381" s="14" t="n">
        <x:v>2021</x:v>
      </x:c>
      <x:c r="L381" s="14" t="str">
        <x:v>Used in 2023 annual analysis</x:v>
      </x:c>
      <x:c r="M381" s="15" t="n">
        <x:v>67</x:v>
      </x:c>
      <x:c r="N381" s="14" t="str">
        <x:v>Boni Adeliyi</x:v>
      </x:c>
      <x:c r="O381" s="14" t="str">
        <x:v>nm7780485</x:v>
      </x:c>
      <x:c r="P381" s="14" t="str">
        <x:v>Mimi Taylor</x:v>
      </x:c>
      <x:c r="Q381" s="15" t="n">
        <x:v>1</x:v>
      </x:c>
      <x:c r="R381" s="14" t="str">
        <x:v>2023</x:v>
      </x:c>
      <x:c r="S381" s="14" t="n">
        <x:v>2023</x:v>
      </x:c>
      <x:c r="T381" s="14" t="n">
        <x:v>2023</x:v>
      </x:c>
      <x:c r="U381" s="14" t="str">
        <x:v>Post-2021 casting excluded</x:v>
      </x:c>
      <x:c r="V381" s="14" t="str">
        <x:v>Earliest supplied year is 2023, later than the 2021 study year.</x:v>
      </x:c>
      <x:c r="W381" s="14"/>
      <x:c r="X381" s="14" t="str">
        <x:v>Included</x:v>
      </x:c>
      <x:c r="Y381" s="14"/>
      <x:c r="Z381" s="14" t="str">
        <x:v>Grace.docx</x:v>
      </x:c>
      <x:c r="AA3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ITV / ITVX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HYPERLINK("https://en.wikipedia.org/wiki/Grace","Open source")</x:f>
        <x:v>HYPERLINK is not implemented. linkLocation=https://en.wikipedia.org/wiki/Grace,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20</x:v>
      </x:c>
      <x:c r="BP381" s="14" t="str">
        <x:v>Maximum eligible IMDb cast-credit total (20), shared by 4 performer(s); not independently verified as a 2021-only episode total.</x:v>
      </x:c>
      <x:c r="BQ381" s="14" t="str">
        <x:v>Medium</x:v>
      </x:c>
      <x:c r="BR381" s="15" t="n">
        <x:v>1</x:v>
      </x:c>
      <x:c r="BS381" s="16" t="n">
        <x:v>0.05</x:v>
      </x:c>
      <x:c r="BT381" s="14" t="str">
        <x:v>One episode</x:v>
      </x:c>
      <x:c r="BU381" s="14" t="str">
        <x:v>Medium</x:v>
      </x:c>
      <x:c r="BV381" s="14" t="str">
        <x:v>Derived from supplied IMDb episode count and the documented production-total proxy.</x:v>
      </x:c>
      <x:c r="BW381" s="14" t="str">
        <x:v>Unable to determine</x:v>
      </x:c>
      <x:c r="BX381" s="14" t="str">
        <x:v>Supplied cast data establishes the credit and episode presence but does not establish narrative prominence.</x:v>
      </x:c>
      <x:c r="BY381" s="14" t="str">
        <x:v>Supplied IMDb cast-list workbook</x:v>
      </x:c>
      <x:c r="BZ3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tt11639300|nm6599447|laura caplan</x:v>
      </x:c>
      <x:c r="B382" s="14" t="str">
        <x:v>02</x:v>
      </x:c>
      <x:c r="C382" s="14" t="str">
        <x:v>2021_IMDb_Cast_Lists_Batch_02(1).xlsx</x:v>
      </x:c>
      <x:c r="D382" s="14" t="str">
        <x:v>Grace</x:v>
      </x:c>
      <x:c r="E382" s="14" t="n">
        <x:v>82</x:v>
      </x:c>
      <x:c r="F382" s="14" t="str">
        <x:v>Grace</x:v>
      </x:c>
      <x:c r="G382" s="14" t="str">
        <x:v>tt11639300</x:v>
      </x:c>
      <x:c r="H382" s="14" t="n">
        <x:v>2021</x:v>
      </x:c>
      <x:c r="I382" s="14" t="n">
        <x:v>2023</x:v>
      </x:c>
      <x:c r="J382" s="14" t="str">
        <x:v>Earlier-Production Carry-In Cohort</x:v>
      </x:c>
      <x:c r="K382" s="14" t="n">
        <x:v>2021</x:v>
      </x:c>
      <x:c r="L382" s="14" t="str">
        <x:v>Used in 2023 annual analysis</x:v>
      </x:c>
      <x:c r="M382" s="15" t="n">
        <x:v>75</x:v>
      </x:c>
      <x:c r="N382" s="14" t="str">
        <x:v>Stephanie Hyam</x:v>
      </x:c>
      <x:c r="O382" s="14" t="str">
        <x:v>nm6599447</x:v>
      </x:c>
      <x:c r="P382" s="14" t="str">
        <x:v>Laura Caplan</x:v>
      </x:c>
      <x:c r="Q382" s="15" t="n">
        <x:v>1</x:v>
      </x:c>
      <x:c r="R382" s="14" t="str">
        <x:v>2023</x:v>
      </x:c>
      <x:c r="S382" s="14" t="n">
        <x:v>2023</x:v>
      </x:c>
      <x:c r="T382" s="14" t="n">
        <x:v>2023</x:v>
      </x:c>
      <x:c r="U382" s="14" t="str">
        <x:v>Post-2021 casting excluded</x:v>
      </x:c>
      <x:c r="V382" s="14" t="str">
        <x:v>Earliest supplied year is 2023, later than the 2021 study year.</x:v>
      </x:c>
      <x:c r="W382" s="14"/>
      <x:c r="X382" s="14" t="str">
        <x:v>Included</x:v>
      </x:c>
      <x:c r="Y382" s="14"/>
      <x:c r="Z382" s="14" t="str">
        <x:v>Grace.docx</x:v>
      </x:c>
      <x:c r="AA3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ITV / ITVX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HYPERLINK("https://en.wikipedia.org/wiki/Grace","Open source")</x:f>
        <x:v>HYPERLINK is not implemented. linkLocation=https://en.wikipedia.org/wiki/Grace,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20</x:v>
      </x:c>
      <x:c r="BP382" s="14" t="str">
        <x:v>Maximum eligible IMDb cast-credit total (20), shared by 4 performer(s); not independently verified as a 2021-only episode total.</x:v>
      </x:c>
      <x:c r="BQ382" s="14" t="str">
        <x:v>Medium</x:v>
      </x:c>
      <x:c r="BR382" s="15" t="n">
        <x:v>1</x:v>
      </x:c>
      <x:c r="BS382" s="16" t="n">
        <x:v>0.05</x:v>
      </x:c>
      <x:c r="BT382" s="14" t="str">
        <x:v>One episode</x:v>
      </x:c>
      <x:c r="BU382" s="14" t="str">
        <x:v>Medium</x:v>
      </x:c>
      <x:c r="BV382" s="14" t="str">
        <x:v>Derived from supplied IMDb episode count and the documented production-total proxy.</x:v>
      </x:c>
      <x:c r="BW382" s="14" t="str">
        <x:v>Unable to determine</x:v>
      </x:c>
      <x:c r="BX382" s="14" t="str">
        <x:v>Supplied cast data establishes the credit and episode presence but does not establish narrative prominence.</x:v>
      </x:c>
      <x:c r="BY382" s="14" t="str">
        <x:v>Supplied IMDb cast-list workbook</x:v>
      </x:c>
      <x:c r="BZ3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tt11639300|nm0031137|carly chase</x:v>
      </x:c>
      <x:c r="B383" s="14" t="str">
        <x:v>02</x:v>
      </x:c>
      <x:c r="C383" s="14" t="str">
        <x:v>2021_IMDb_Cast_Lists_Batch_02(1).xlsx</x:v>
      </x:c>
      <x:c r="D383" s="14" t="str">
        <x:v>Grace</x:v>
      </x:c>
      <x:c r="E383" s="14" t="n">
        <x:v>91</x:v>
      </x:c>
      <x:c r="F383" s="14" t="str">
        <x:v>Grace</x:v>
      </x:c>
      <x:c r="G383" s="14" t="str">
        <x:v>tt11639300</x:v>
      </x:c>
      <x:c r="H383" s="14" t="n">
        <x:v>2021</x:v>
      </x:c>
      <x:c r="I383" s="14" t="n">
        <x:v>2023</x:v>
      </x:c>
      <x:c r="J383" s="14" t="str">
        <x:v>Earlier-Production Carry-In Cohort</x:v>
      </x:c>
      <x:c r="K383" s="14" t="n">
        <x:v>2021</x:v>
      </x:c>
      <x:c r="L383" s="14" t="str">
        <x:v>Used in 2023 annual analysis</x:v>
      </x:c>
      <x:c r="M383" s="15" t="n">
        <x:v>84</x:v>
      </x:c>
      <x:c r="N383" s="14" t="str">
        <x:v>Ayesha Antoine</x:v>
      </x:c>
      <x:c r="O383" s="14" t="str">
        <x:v>nm0031137</x:v>
      </x:c>
      <x:c r="P383" s="14" t="str">
        <x:v>Carly Chase</x:v>
      </x:c>
      <x:c r="Q383" s="15" t="n">
        <x:v>1</x:v>
      </x:c>
      <x:c r="R383" s="14" t="str">
        <x:v>2023</x:v>
      </x:c>
      <x:c r="S383" s="14" t="n">
        <x:v>2023</x:v>
      </x:c>
      <x:c r="T383" s="14" t="n">
        <x:v>2023</x:v>
      </x:c>
      <x:c r="U383" s="14" t="str">
        <x:v>Post-2021 casting excluded</x:v>
      </x:c>
      <x:c r="V383" s="14" t="str">
        <x:v>Earliest supplied year is 2023, later than the 2021 study year.</x:v>
      </x:c>
      <x:c r="W383" s="14"/>
      <x:c r="X383" s="14" t="str">
        <x:v>Included</x:v>
      </x:c>
      <x:c r="Y383" s="14"/>
      <x:c r="Z383" s="14" t="str">
        <x:v>Grace.docx</x:v>
      </x:c>
      <x:c r="AA3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ITV / ITVX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HYPERLINK("https://en.wikipedia.org/wiki/Grace","Open source")</x:f>
        <x:v>HYPERLINK is not implemented. linkLocation=https://en.wikipedia.org/wiki/Grace,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20</x:v>
      </x:c>
      <x:c r="BP383" s="14" t="str">
        <x:v>Maximum eligible IMDb cast-credit total (20), shared by 4 performer(s); not independently verified as a 2021-only episode total.</x:v>
      </x:c>
      <x:c r="BQ383" s="14" t="str">
        <x:v>Medium</x:v>
      </x:c>
      <x:c r="BR383" s="15" t="n">
        <x:v>1</x:v>
      </x:c>
      <x:c r="BS383" s="16" t="n">
        <x:v>0.05</x:v>
      </x:c>
      <x:c r="BT383" s="14" t="str">
        <x:v>One episode</x:v>
      </x:c>
      <x:c r="BU383" s="14" t="str">
        <x:v>Medium</x:v>
      </x:c>
      <x:c r="BV383" s="14" t="str">
        <x:v>Derived from supplied IMDb episode count and the documented production-total proxy.</x:v>
      </x:c>
      <x:c r="BW383" s="14" t="str">
        <x:v>Unable to determine</x:v>
      </x:c>
      <x:c r="BX383" s="14" t="str">
        <x:v>Supplied cast data establishes the credit and episode presence but does not establish narrative prominence.</x:v>
      </x:c>
      <x:c r="BY383" s="14" t="str">
        <x:v>Supplied IMDb cast-list workbook</x:v>
      </x:c>
      <x:c r="BZ3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tt11639300|nm5431834|pc dan paxton</x:v>
      </x:c>
      <x:c r="B384" s="14" t="str">
        <x:v>02</x:v>
      </x:c>
      <x:c r="C384" s="14" t="str">
        <x:v>2021_IMDb_Cast_Lists_Batch_02(1).xlsx</x:v>
      </x:c>
      <x:c r="D384" s="14" t="str">
        <x:v>Grace</x:v>
      </x:c>
      <x:c r="E384" s="14" t="n">
        <x:v>100</x:v>
      </x:c>
      <x:c r="F384" s="14" t="str">
        <x:v>Grace</x:v>
      </x:c>
      <x:c r="G384" s="14" t="str">
        <x:v>tt11639300</x:v>
      </x:c>
      <x:c r="H384" s="14" t="n">
        <x:v>2021</x:v>
      </x:c>
      <x:c r="I384" s="14" t="n">
        <x:v>2023</x:v>
      </x:c>
      <x:c r="J384" s="14" t="str">
        <x:v>Earlier-Production Carry-In Cohort</x:v>
      </x:c>
      <x:c r="K384" s="14" t="n">
        <x:v>2021</x:v>
      </x:c>
      <x:c r="L384" s="14" t="str">
        <x:v>Used in 2023 annual analysis</x:v>
      </x:c>
      <x:c r="M384" s="15" t="n">
        <x:v>93</x:v>
      </x:c>
      <x:c r="N384" s="14" t="str">
        <x:v>Nathan Clarke</x:v>
      </x:c>
      <x:c r="O384" s="14" t="str">
        <x:v>nm5431834</x:v>
      </x:c>
      <x:c r="P384" s="14" t="str">
        <x:v>PC Dan Paxton</x:v>
      </x:c>
      <x:c r="Q384" s="15" t="n">
        <x:v>1</x:v>
      </x:c>
      <x:c r="R384" s="14" t="str">
        <x:v>2023</x:v>
      </x:c>
      <x:c r="S384" s="14" t="n">
        <x:v>2023</x:v>
      </x:c>
      <x:c r="T384" s="14" t="n">
        <x:v>2023</x:v>
      </x:c>
      <x:c r="U384" s="14" t="str">
        <x:v>Post-2021 casting excluded</x:v>
      </x:c>
      <x:c r="V384" s="14" t="str">
        <x:v>Earliest supplied year is 2023, later than the 2021 study year.</x:v>
      </x:c>
      <x:c r="W384" s="14"/>
      <x:c r="X384" s="14" t="str">
        <x:v>Included</x:v>
      </x:c>
      <x:c r="Y384" s="14"/>
      <x:c r="Z384" s="14" t="str">
        <x:v>Grace.docx</x:v>
      </x:c>
      <x:c r="AA3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ITV / ITVX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HYPERLINK("https://en.wikipedia.org/wiki/Grace","Open source")</x:f>
        <x:v>HYPERLINK is not implemented. linkLocation=https://en.wikipedia.org/wiki/Grace,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20</x:v>
      </x:c>
      <x:c r="BP384" s="14" t="str">
        <x:v>Maximum eligible IMDb cast-credit total (20), shared by 4 performer(s); not independently verified as a 2021-only episode total.</x:v>
      </x:c>
      <x:c r="BQ384" s="14" t="str">
        <x:v>Medium</x:v>
      </x:c>
      <x:c r="BR384" s="15" t="n">
        <x:v>1</x:v>
      </x:c>
      <x:c r="BS384" s="16" t="n">
        <x:v>0.05</x:v>
      </x:c>
      <x:c r="BT384" s="14" t="str">
        <x:v>One episode</x:v>
      </x:c>
      <x:c r="BU384" s="14" t="str">
        <x:v>Medium</x:v>
      </x:c>
      <x:c r="BV384" s="14" t="str">
        <x:v>Derived from supplied IMDb episode count and the documented production-total proxy.</x:v>
      </x:c>
      <x:c r="BW384" s="14" t="str">
        <x:v>Unable to determine</x:v>
      </x:c>
      <x:c r="BX384" s="14" t="str">
        <x:v>Supplied cast data establishes the credit and episode presence but does not establish narrative prominence.</x:v>
      </x:c>
      <x:c r="BY384" s="14" t="str">
        <x:v>Supplied IMDb cast-list workbook</x:v>
      </x:c>
      <x:c r="BZ3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tt11639300|nm3037896|rollo mercer</x:v>
      </x:c>
      <x:c r="B385" s="14" t="str">
        <x:v>02</x:v>
      </x:c>
      <x:c r="C385" s="14" t="str">
        <x:v>2021_IMDb_Cast_Lists_Batch_02(1).xlsx</x:v>
      </x:c>
      <x:c r="D385" s="14" t="str">
        <x:v>Grace</x:v>
      </x:c>
      <x:c r="E385" s="14" t="n">
        <x:v>112</x:v>
      </x:c>
      <x:c r="F385" s="14" t="str">
        <x:v>Grace</x:v>
      </x:c>
      <x:c r="G385" s="14" t="str">
        <x:v>tt11639300</x:v>
      </x:c>
      <x:c r="H385" s="14" t="n">
        <x:v>2021</x:v>
      </x:c>
      <x:c r="I385" s="14" t="n">
        <x:v>2023</x:v>
      </x:c>
      <x:c r="J385" s="14" t="str">
        <x:v>Earlier-Production Carry-In Cohort</x:v>
      </x:c>
      <x:c r="K385" s="14" t="n">
        <x:v>2021</x:v>
      </x:c>
      <x:c r="L385" s="14" t="str">
        <x:v>Used in 2023 annual analysis</x:v>
      </x:c>
      <x:c r="M385" s="15" t="n">
        <x:v>105</x:v>
      </x:c>
      <x:c r="N385" s="14" t="str">
        <x:v>Luke Norris</x:v>
      </x:c>
      <x:c r="O385" s="14" t="str">
        <x:v>nm3037896</x:v>
      </x:c>
      <x:c r="P385" s="14" t="str">
        <x:v>Rollo Mercer</x:v>
      </x:c>
      <x:c r="Q385" s="15" t="n">
        <x:v>1</x:v>
      </x:c>
      <x:c r="R385" s="14" t="str">
        <x:v>2023</x:v>
      </x:c>
      <x:c r="S385" s="14" t="n">
        <x:v>2023</x:v>
      </x:c>
      <x:c r="T385" s="14" t="n">
        <x:v>2023</x:v>
      </x:c>
      <x:c r="U385" s="14" t="str">
        <x:v>Post-2021 casting excluded</x:v>
      </x:c>
      <x:c r="V385" s="14" t="str">
        <x:v>Earliest supplied year is 2023, later than the 2021 study year.</x:v>
      </x:c>
      <x:c r="W385" s="14"/>
      <x:c r="X385" s="14" t="str">
        <x:v>Included</x:v>
      </x:c>
      <x:c r="Y385" s="14"/>
      <x:c r="Z385" s="14" t="str">
        <x:v>Grace.docx</x:v>
      </x:c>
      <x:c r="AA3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ITV / ITVX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HYPERLINK("https://en.wikipedia.org/wiki/Grace","Open source")</x:f>
        <x:v>HYPERLINK is not implemented. linkLocation=https://en.wikipedia.org/wiki/Grace,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20</x:v>
      </x:c>
      <x:c r="BP385" s="14" t="str">
        <x:v>Maximum eligible IMDb cast-credit total (20), shared by 4 performer(s); not independently verified as a 2021-only episode total.</x:v>
      </x:c>
      <x:c r="BQ385" s="14" t="str">
        <x:v>Medium</x:v>
      </x:c>
      <x:c r="BR385" s="15" t="n">
        <x:v>1</x:v>
      </x:c>
      <x:c r="BS385" s="16" t="n">
        <x:v>0.05</x:v>
      </x:c>
      <x:c r="BT385" s="14" t="str">
        <x:v>One episode</x:v>
      </x:c>
      <x:c r="BU385" s="14" t="str">
        <x:v>Medium</x:v>
      </x:c>
      <x:c r="BV385" s="14" t="str">
        <x:v>Derived from supplied IMDb episode count and the documented production-total proxy.</x:v>
      </x:c>
      <x:c r="BW385" s="14" t="str">
        <x:v>Unable to determine</x:v>
      </x:c>
      <x:c r="BX385" s="14" t="str">
        <x:v>Supplied cast data establishes the credit and episode presence but does not establish narrative prominence.</x:v>
      </x:c>
      <x:c r="BY385" s="14" t="str">
        <x:v>Supplied IMDb cast-list workbook</x:v>
      </x:c>
      <x:c r="BZ3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tt11639300|nm7902009|james acott</x:v>
      </x:c>
      <x:c r="B386" s="14" t="str">
        <x:v>02</x:v>
      </x:c>
      <x:c r="C386" s="14" t="str">
        <x:v>2021_IMDb_Cast_Lists_Batch_02(1).xlsx</x:v>
      </x:c>
      <x:c r="D386" s="14" t="str">
        <x:v>Grace</x:v>
      </x:c>
      <x:c r="E386" s="14" t="n">
        <x:v>124</x:v>
      </x:c>
      <x:c r="F386" s="14" t="str">
        <x:v>Grace</x:v>
      </x:c>
      <x:c r="G386" s="14" t="str">
        <x:v>tt11639300</x:v>
      </x:c>
      <x:c r="H386" s="14" t="n">
        <x:v>2021</x:v>
      </x:c>
      <x:c r="I386" s="14" t="n">
        <x:v>2023</x:v>
      </x:c>
      <x:c r="J386" s="14" t="str">
        <x:v>Earlier-Production Carry-In Cohort</x:v>
      </x:c>
      <x:c r="K386" s="14" t="n">
        <x:v>2021</x:v>
      </x:c>
      <x:c r="L386" s="14" t="str">
        <x:v>Used in 2023 annual analysis</x:v>
      </x:c>
      <x:c r="M386" s="15" t="n">
        <x:v>117</x:v>
      </x:c>
      <x:c r="N386" s="14" t="str">
        <x:v>Nick Harris</x:v>
      </x:c>
      <x:c r="O386" s="14" t="str">
        <x:v>nm7902009</x:v>
      </x:c>
      <x:c r="P386" s="14" t="str">
        <x:v>James Acott</x:v>
      </x:c>
      <x:c r="Q386" s="15" t="n">
        <x:v>1</x:v>
      </x:c>
      <x:c r="R386" s="14" t="str">
        <x:v>2023</x:v>
      </x:c>
      <x:c r="S386" s="14" t="n">
        <x:v>2023</x:v>
      </x:c>
      <x:c r="T386" s="14" t="n">
        <x:v>2023</x:v>
      </x:c>
      <x:c r="U386" s="14" t="str">
        <x:v>Post-2021 casting excluded</x:v>
      </x:c>
      <x:c r="V386" s="14" t="str">
        <x:v>Earliest supplied year is 2023, later than the 2021 study year.</x:v>
      </x:c>
      <x:c r="W386" s="14"/>
      <x:c r="X386" s="14" t="str">
        <x:v>Included</x:v>
      </x:c>
      <x:c r="Y386" s="14"/>
      <x:c r="Z386" s="14" t="str">
        <x:v>Grace.docx</x:v>
      </x:c>
      <x:c r="AA3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ITV / ITVX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HYPERLINK("https://en.wikipedia.org/wiki/Grace","Open source")</x:f>
        <x:v>HYPERLINK is not implemented. linkLocation=https://en.wikipedia.org/wiki/Grace,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20</x:v>
      </x:c>
      <x:c r="BP386" s="14" t="str">
        <x:v>Maximum eligible IMDb cast-credit total (20), shared by 4 performer(s); not independently verified as a 2021-only episode total.</x:v>
      </x:c>
      <x:c r="BQ386" s="14" t="str">
        <x:v>Medium</x:v>
      </x:c>
      <x:c r="BR386" s="15" t="n">
        <x:v>1</x:v>
      </x:c>
      <x:c r="BS386" s="16" t="n">
        <x:v>0.05</x:v>
      </x:c>
      <x:c r="BT386" s="14" t="str">
        <x:v>One episode</x:v>
      </x:c>
      <x:c r="BU386" s="14" t="str">
        <x:v>Medium</x:v>
      </x:c>
      <x:c r="BV386" s="14" t="str">
        <x:v>Derived from supplied IMDb episode count and the documented production-total proxy.</x:v>
      </x:c>
      <x:c r="BW386" s="14" t="str">
        <x:v>Unable to determine</x:v>
      </x:c>
      <x:c r="BX386" s="14" t="str">
        <x:v>Supplied cast data establishes the credit and episode presence but does not establish narrative prominence.</x:v>
      </x:c>
      <x:c r="BY386" s="14" t="str">
        <x:v>Supplied IMDb cast-list workbook</x:v>
      </x:c>
      <x:c r="BZ3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tt11639300|nm3455818|miles hawthorn</x:v>
      </x:c>
      <x:c r="B387" s="14" t="str">
        <x:v>02</x:v>
      </x:c>
      <x:c r="C387" s="14" t="str">
        <x:v>2021_IMDb_Cast_Lists_Batch_02(1).xlsx</x:v>
      </x:c>
      <x:c r="D387" s="14" t="str">
        <x:v>Grace</x:v>
      </x:c>
      <x:c r="E387" s="14" t="n">
        <x:v>125</x:v>
      </x:c>
      <x:c r="F387" s="14" t="str">
        <x:v>Grace</x:v>
      </x:c>
      <x:c r="G387" s="14" t="str">
        <x:v>tt11639300</x:v>
      </x:c>
      <x:c r="H387" s="14" t="n">
        <x:v>2021</x:v>
      </x:c>
      <x:c r="I387" s="14" t="n">
        <x:v>2023</x:v>
      </x:c>
      <x:c r="J387" s="14" t="str">
        <x:v>Earlier-Production Carry-In Cohort</x:v>
      </x:c>
      <x:c r="K387" s="14" t="n">
        <x:v>2021</x:v>
      </x:c>
      <x:c r="L387" s="14" t="str">
        <x:v>Used in 2023 annual analysis</x:v>
      </x:c>
      <x:c r="M387" s="15" t="n">
        <x:v>118</x:v>
      </x:c>
      <x:c r="N387" s="14" t="str">
        <x:v>Max Krupski</x:v>
      </x:c>
      <x:c r="O387" s="14" t="str">
        <x:v>nm3455818</x:v>
      </x:c>
      <x:c r="P387" s="14" t="str">
        <x:v>Miles Hawthorn</x:v>
      </x:c>
      <x:c r="Q387" s="15" t="n">
        <x:v>1</x:v>
      </x:c>
      <x:c r="R387" s="14" t="str">
        <x:v>2023</x:v>
      </x:c>
      <x:c r="S387" s="14" t="n">
        <x:v>2023</x:v>
      </x:c>
      <x:c r="T387" s="14" t="n">
        <x:v>2023</x:v>
      </x:c>
      <x:c r="U387" s="14" t="str">
        <x:v>Post-2021 casting excluded</x:v>
      </x:c>
      <x:c r="V387" s="14" t="str">
        <x:v>Earliest supplied year is 2023, later than the 2021 study year.</x:v>
      </x:c>
      <x:c r="W387" s="14"/>
      <x:c r="X387" s="14" t="str">
        <x:v>Included</x:v>
      </x:c>
      <x:c r="Y387" s="14"/>
      <x:c r="Z387" s="14" t="str">
        <x:v>Grace.docx</x:v>
      </x:c>
      <x:c r="AA3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ITV / ITVX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HYPERLINK("https://en.wikipedia.org/wiki/Grace","Open source")</x:f>
        <x:v>HYPERLINK is not implemented. linkLocation=https://en.wikipedia.org/wiki/Grace,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20</x:v>
      </x:c>
      <x:c r="BP387" s="14" t="str">
        <x:v>Maximum eligible IMDb cast-credit total (20), shared by 4 performer(s); not independently verified as a 2021-only episode total.</x:v>
      </x:c>
      <x:c r="BQ387" s="14" t="str">
        <x:v>Medium</x:v>
      </x:c>
      <x:c r="BR387" s="15" t="n">
        <x:v>1</x:v>
      </x:c>
      <x:c r="BS387" s="16" t="n">
        <x:v>0.05</x:v>
      </x:c>
      <x:c r="BT387" s="14" t="str">
        <x:v>One episode</x:v>
      </x:c>
      <x:c r="BU387" s="14" t="str">
        <x:v>Medium</x:v>
      </x:c>
      <x:c r="BV387" s="14" t="str">
        <x:v>Derived from supplied IMDb episode count and the documented production-total proxy.</x:v>
      </x:c>
      <x:c r="BW387" s="14" t="str">
        <x:v>Unable to determine</x:v>
      </x:c>
      <x:c r="BX387" s="14" t="str">
        <x:v>Supplied cast data establishes the credit and episode presence but does not establish narrative prominence.</x:v>
      </x:c>
      <x:c r="BY387" s="14" t="str">
        <x:v>Supplied IMDb cast-list workbook</x:v>
      </x:c>
      <x:c r="BZ3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tt11639300|nm4990981|gaia lafayette</x:v>
      </x:c>
      <x:c r="B388" s="14" t="str">
        <x:v>02</x:v>
      </x:c>
      <x:c r="C388" s="14" t="str">
        <x:v>2021_IMDb_Cast_Lists_Batch_02(1).xlsx</x:v>
      </x:c>
      <x:c r="D388" s="14" t="str">
        <x:v>Grace</x:v>
      </x:c>
      <x:c r="E388" s="14" t="n">
        <x:v>136</x:v>
      </x:c>
      <x:c r="F388" s="14" t="str">
        <x:v>Grace</x:v>
      </x:c>
      <x:c r="G388" s="14" t="str">
        <x:v>tt11639300</x:v>
      </x:c>
      <x:c r="H388" s="14" t="n">
        <x:v>2021</x:v>
      </x:c>
      <x:c r="I388" s="14" t="n">
        <x:v>2023</x:v>
      </x:c>
      <x:c r="J388" s="14" t="str">
        <x:v>Earlier-Production Carry-In Cohort</x:v>
      </x:c>
      <x:c r="K388" s="14" t="n">
        <x:v>2021</x:v>
      </x:c>
      <x:c r="L388" s="14" t="str">
        <x:v>Used in 2023 annual analysis</x:v>
      </x:c>
      <x:c r="M388" s="15" t="n">
        <x:v>129</x:v>
      </x:c>
      <x:c r="N388" s="14" t="str">
        <x:v>Victoria Emslie</x:v>
      </x:c>
      <x:c r="O388" s="14" t="str">
        <x:v>nm4990981</x:v>
      </x:c>
      <x:c r="P388" s="14" t="str">
        <x:v>Gaia Lafayette</x:v>
      </x:c>
      <x:c r="Q388" s="15" t="n">
        <x:v>1</x:v>
      </x:c>
      <x:c r="R388" s="14" t="str">
        <x:v>2023</x:v>
      </x:c>
      <x:c r="S388" s="14" t="n">
        <x:v>2023</x:v>
      </x:c>
      <x:c r="T388" s="14" t="n">
        <x:v>2023</x:v>
      </x:c>
      <x:c r="U388" s="14" t="str">
        <x:v>Post-2021 casting excluded</x:v>
      </x:c>
      <x:c r="V388" s="14" t="str">
        <x:v>Earliest supplied year is 2023, later than the 2021 study year.</x:v>
      </x:c>
      <x:c r="W388" s="14"/>
      <x:c r="X388" s="14" t="str">
        <x:v>Included</x:v>
      </x:c>
      <x:c r="Y388" s="14"/>
      <x:c r="Z388" s="14" t="str">
        <x:v>Grace.docx</x:v>
      </x:c>
      <x:c r="AA3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ITV / ITVX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HYPERLINK("https://en.wikipedia.org/wiki/Grace","Open source")</x:f>
        <x:v>HYPERLINK is not implemented. linkLocation=https://en.wikipedia.org/wiki/Grace,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20</x:v>
      </x:c>
      <x:c r="BP388" s="14" t="str">
        <x:v>Maximum eligible IMDb cast-credit total (20), shared by 4 performer(s); not independently verified as a 2021-only episode total.</x:v>
      </x:c>
      <x:c r="BQ388" s="14" t="str">
        <x:v>Medium</x:v>
      </x:c>
      <x:c r="BR388" s="15" t="n">
        <x:v>1</x:v>
      </x:c>
      <x:c r="BS388" s="16" t="n">
        <x:v>0.05</x:v>
      </x:c>
      <x:c r="BT388" s="14" t="str">
        <x:v>One episode</x:v>
      </x:c>
      <x:c r="BU388" s="14" t="str">
        <x:v>Medium</x:v>
      </x:c>
      <x:c r="BV388" s="14" t="str">
        <x:v>Derived from supplied IMDb episode count and the documented production-total proxy.</x:v>
      </x:c>
      <x:c r="BW388" s="14" t="str">
        <x:v>Unable to determine</x:v>
      </x:c>
      <x:c r="BX388" s="14" t="str">
        <x:v>Supplied cast data establishes the credit and episode presence but does not establish narrative prominence.</x:v>
      </x:c>
      <x:c r="BY388" s="14" t="str">
        <x:v>Supplied IMDb cast-list workbook</x:v>
      </x:c>
      <x:c r="BZ3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tt11639300|nm4473283|freddie punt</x:v>
      </x:c>
      <x:c r="B389" s="14" t="str">
        <x:v>02</x:v>
      </x:c>
      <x:c r="C389" s="14" t="str">
        <x:v>2021_IMDb_Cast_Lists_Batch_02(1).xlsx</x:v>
      </x:c>
      <x:c r="D389" s="14" t="str">
        <x:v>Grace</x:v>
      </x:c>
      <x:c r="E389" s="14" t="n">
        <x:v>137</x:v>
      </x:c>
      <x:c r="F389" s="14" t="str">
        <x:v>Grace</x:v>
      </x:c>
      <x:c r="G389" s="14" t="str">
        <x:v>tt11639300</x:v>
      </x:c>
      <x:c r="H389" s="14" t="n">
        <x:v>2021</x:v>
      </x:c>
      <x:c r="I389" s="14" t="n">
        <x:v>2023</x:v>
      </x:c>
      <x:c r="J389" s="14" t="str">
        <x:v>Earlier-Production Carry-In Cohort</x:v>
      </x:c>
      <x:c r="K389" s="14" t="n">
        <x:v>2021</x:v>
      </x:c>
      <x:c r="L389" s="14" t="str">
        <x:v>Used in 2023 annual analysis</x:v>
      </x:c>
      <x:c r="M389" s="15" t="n">
        <x:v>130</x:v>
      </x:c>
      <x:c r="N389" s="14" t="str">
        <x:v>Jay Oliver Yip</x:v>
      </x:c>
      <x:c r="O389" s="14" t="str">
        <x:v>nm4473283</x:v>
      </x:c>
      <x:c r="P389" s="14" t="str">
        <x:v>Freddie Punt</x:v>
      </x:c>
      <x:c r="Q389" s="15" t="n">
        <x:v>1</x:v>
      </x:c>
      <x:c r="R389" s="14" t="str">
        <x:v>2023</x:v>
      </x:c>
      <x:c r="S389" s="14" t="n">
        <x:v>2023</x:v>
      </x:c>
      <x:c r="T389" s="14" t="n">
        <x:v>2023</x:v>
      </x:c>
      <x:c r="U389" s="14" t="str">
        <x:v>Post-2021 casting excluded</x:v>
      </x:c>
      <x:c r="V389" s="14" t="str">
        <x:v>Earliest supplied year is 2023, later than the 2021 study year.</x:v>
      </x:c>
      <x:c r="W389" s="14"/>
      <x:c r="X389" s="14" t="str">
        <x:v>Included</x:v>
      </x:c>
      <x:c r="Y389" s="14"/>
      <x:c r="Z389" s="14" t="str">
        <x:v>Grace.docx</x:v>
      </x:c>
      <x:c r="AA3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ITV / ITVX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HYPERLINK("https://en.wikipedia.org/wiki/Grace","Open source")</x:f>
        <x:v>HYPERLINK is not implemented. linkLocation=https://en.wikipedia.org/wiki/Grace,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20</x:v>
      </x:c>
      <x:c r="BP389" s="14" t="str">
        <x:v>Maximum eligible IMDb cast-credit total (20), shared by 4 performer(s); not independently verified as a 2021-only episode total.</x:v>
      </x:c>
      <x:c r="BQ389" s="14" t="str">
        <x:v>Medium</x:v>
      </x:c>
      <x:c r="BR389" s="15" t="n">
        <x:v>1</x:v>
      </x:c>
      <x:c r="BS389" s="16" t="n">
        <x:v>0.05</x:v>
      </x:c>
      <x:c r="BT389" s="14" t="str">
        <x:v>One episode</x:v>
      </x:c>
      <x:c r="BU389" s="14" t="str">
        <x:v>Medium</x:v>
      </x:c>
      <x:c r="BV389" s="14" t="str">
        <x:v>Derived from supplied IMDb episode count and the documented production-total proxy.</x:v>
      </x:c>
      <x:c r="BW389" s="14" t="str">
        <x:v>Unable to determine</x:v>
      </x:c>
      <x:c r="BX389" s="14" t="str">
        <x:v>Supplied cast data establishes the credit and episode presence but does not establish narrative prominence.</x:v>
      </x:c>
      <x:c r="BY389" s="14" t="str">
        <x:v>Supplied IMDb cast-list workbook</x:v>
      </x:c>
      <x:c r="BZ3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tt11639300|nm6729880|larry brooker</x:v>
      </x:c>
      <x:c r="B390" s="14" t="str">
        <x:v>02</x:v>
      </x:c>
      <x:c r="C390" s="14" t="str">
        <x:v>2021_IMDb_Cast_Lists_Batch_02(1).xlsx</x:v>
      </x:c>
      <x:c r="D390" s="14" t="str">
        <x:v>Grace</x:v>
      </x:c>
      <x:c r="E390" s="14" t="n">
        <x:v>144</x:v>
      </x:c>
      <x:c r="F390" s="14" t="str">
        <x:v>Grace</x:v>
      </x:c>
      <x:c r="G390" s="14" t="str">
        <x:v>tt11639300</x:v>
      </x:c>
      <x:c r="H390" s="14" t="n">
        <x:v>2021</x:v>
      </x:c>
      <x:c r="I390" s="14" t="n">
        <x:v>2023</x:v>
      </x:c>
      <x:c r="J390" s="14" t="str">
        <x:v>Earlier-Production Carry-In Cohort</x:v>
      </x:c>
      <x:c r="K390" s="14" t="n">
        <x:v>2021</x:v>
      </x:c>
      <x:c r="L390" s="14" t="str">
        <x:v>Used in 2023 annual analysis</x:v>
      </x:c>
      <x:c r="M390" s="15" t="n">
        <x:v>137</x:v>
      </x:c>
      <x:c r="N390" s="14" t="str">
        <x:v>Chuku Modu</x:v>
      </x:c>
      <x:c r="O390" s="14" t="str">
        <x:v>nm6729880</x:v>
      </x:c>
      <x:c r="P390" s="14" t="str">
        <x:v>Larry Brooker</x:v>
      </x:c>
      <x:c r="Q390" s="15" t="n">
        <x:v>1</x:v>
      </x:c>
      <x:c r="R390" s="14" t="str">
        <x:v>2023</x:v>
      </x:c>
      <x:c r="S390" s="14" t="n">
        <x:v>2023</x:v>
      </x:c>
      <x:c r="T390" s="14" t="n">
        <x:v>2023</x:v>
      </x:c>
      <x:c r="U390" s="14" t="str">
        <x:v>Post-2021 casting excluded</x:v>
      </x:c>
      <x:c r="V390" s="14" t="str">
        <x:v>Earliest supplied year is 2023, later than the 2021 study year.</x:v>
      </x:c>
      <x:c r="W390" s="14"/>
      <x:c r="X390" s="14" t="str">
        <x:v>Included</x:v>
      </x:c>
      <x:c r="Y390" s="14"/>
      <x:c r="Z390" s="14" t="str">
        <x:v>Grace.docx</x:v>
      </x:c>
      <x:c r="AA3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ITV / ITVX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HYPERLINK("https://en.wikipedia.org/wiki/Grace","Open source")</x:f>
        <x:v>HYPERLINK is not implemented. linkLocation=https://en.wikipedia.org/wiki/Grace,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20</x:v>
      </x:c>
      <x:c r="BP390" s="14" t="str">
        <x:v>Maximum eligible IMDb cast-credit total (20), shared by 4 performer(s); not independently verified as a 2021-only episode total.</x:v>
      </x:c>
      <x:c r="BQ390" s="14" t="str">
        <x:v>Medium</x:v>
      </x:c>
      <x:c r="BR390" s="15" t="n">
        <x:v>1</x:v>
      </x:c>
      <x:c r="BS390" s="16" t="n">
        <x:v>0.05</x:v>
      </x:c>
      <x:c r="BT390" s="14" t="str">
        <x:v>One episode</x:v>
      </x:c>
      <x:c r="BU390" s="14" t="str">
        <x:v>Medium</x:v>
      </x:c>
      <x:c r="BV390" s="14" t="str">
        <x:v>Derived from supplied IMDb episode count and the documented production-total proxy.</x:v>
      </x:c>
      <x:c r="BW390" s="14" t="str">
        <x:v>Unable to determine</x:v>
      </x:c>
      <x:c r="BX390" s="14" t="str">
        <x:v>Supplied cast data establishes the credit and episode presence but does not establish narrative prominence.</x:v>
      </x:c>
      <x:c r="BY390" s="14" t="str">
        <x:v>Supplied IMDb cast-list workbook</x:v>
      </x:c>
      <x:c r="BZ3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tt11639300|nm5121393|caspar barclay</x:v>
      </x:c>
      <x:c r="B391" s="14" t="str">
        <x:v>02</x:v>
      </x:c>
      <x:c r="C391" s="14" t="str">
        <x:v>2021_IMDb_Cast_Lists_Batch_02(1).xlsx</x:v>
      </x:c>
      <x:c r="D391" s="14" t="str">
        <x:v>Grace</x:v>
      </x:c>
      <x:c r="E391" s="14" t="n">
        <x:v>145</x:v>
      </x:c>
      <x:c r="F391" s="14" t="str">
        <x:v>Grace</x:v>
      </x:c>
      <x:c r="G391" s="14" t="str">
        <x:v>tt11639300</x:v>
      </x:c>
      <x:c r="H391" s="14" t="n">
        <x:v>2021</x:v>
      </x:c>
      <x:c r="I391" s="14" t="n">
        <x:v>2023</x:v>
      </x:c>
      <x:c r="J391" s="14" t="str">
        <x:v>Earlier-Production Carry-In Cohort</x:v>
      </x:c>
      <x:c r="K391" s="14" t="n">
        <x:v>2021</x:v>
      </x:c>
      <x:c r="L391" s="14" t="str">
        <x:v>Used in 2023 annual analysis</x:v>
      </x:c>
      <x:c r="M391" s="15" t="n">
        <x:v>138</x:v>
      </x:c>
      <x:c r="N391" s="14" t="str">
        <x:v>Andy Apollo</x:v>
      </x:c>
      <x:c r="O391" s="14" t="str">
        <x:v>nm5121393</x:v>
      </x:c>
      <x:c r="P391" s="14" t="str">
        <x:v>Caspar Barclay</x:v>
      </x:c>
      <x:c r="Q391" s="15" t="n">
        <x:v>1</x:v>
      </x:c>
      <x:c r="R391" s="14" t="str">
        <x:v>2023</x:v>
      </x:c>
      <x:c r="S391" s="14" t="n">
        <x:v>2023</x:v>
      </x:c>
      <x:c r="T391" s="14" t="n">
        <x:v>2023</x:v>
      </x:c>
      <x:c r="U391" s="14" t="str">
        <x:v>Post-2021 casting excluded</x:v>
      </x:c>
      <x:c r="V391" s="14" t="str">
        <x:v>Earliest supplied year is 2023, later than the 2021 study year.</x:v>
      </x:c>
      <x:c r="W391" s="14"/>
      <x:c r="X391" s="14" t="str">
        <x:v>Included</x:v>
      </x:c>
      <x:c r="Y391" s="14"/>
      <x:c r="Z391" s="14" t="str">
        <x:v>Grace.docx</x:v>
      </x:c>
      <x:c r="AA3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ITV / ITVX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HYPERLINK("https://en.wikipedia.org/wiki/Grace","Open source")</x:f>
        <x:v>HYPERLINK is not implemented. linkLocation=https://en.wikipedia.org/wiki/Grace,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20</x:v>
      </x:c>
      <x:c r="BP391" s="14" t="str">
        <x:v>Maximum eligible IMDb cast-credit total (20), shared by 4 performer(s); not independently verified as a 2021-only episode total.</x:v>
      </x:c>
      <x:c r="BQ391" s="14" t="str">
        <x:v>Medium</x:v>
      </x:c>
      <x:c r="BR391" s="15" t="n">
        <x:v>1</x:v>
      </x:c>
      <x:c r="BS391" s="16" t="n">
        <x:v>0.05</x:v>
      </x:c>
      <x:c r="BT391" s="14" t="str">
        <x:v>One episode</x:v>
      </x:c>
      <x:c r="BU391" s="14" t="str">
        <x:v>Medium</x:v>
      </x:c>
      <x:c r="BV391" s="14" t="str">
        <x:v>Derived from supplied IMDb episode count and the documented production-total proxy.</x:v>
      </x:c>
      <x:c r="BW391" s="14" t="str">
        <x:v>Unable to determine</x:v>
      </x:c>
      <x:c r="BX391" s="14" t="str">
        <x:v>Supplied cast data establishes the credit and episode presence but does not establish narrative prominence.</x:v>
      </x:c>
      <x:c r="BY391" s="14" t="str">
        <x:v>Supplied IMDb cast-list workbook</x:v>
      </x:c>
      <x:c r="BZ3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tt11639300|nm4881203|eric whiteley</x:v>
      </x:c>
      <x:c r="B392" s="14" t="str">
        <x:v>02</x:v>
      </x:c>
      <x:c r="C392" s="14" t="str">
        <x:v>2021_IMDb_Cast_Lists_Batch_02(1).xlsx</x:v>
      </x:c>
      <x:c r="D392" s="14" t="str">
        <x:v>Grace</x:v>
      </x:c>
      <x:c r="E392" s="14" t="n">
        <x:v>154</x:v>
      </x:c>
      <x:c r="F392" s="14" t="str">
        <x:v>Grace</x:v>
      </x:c>
      <x:c r="G392" s="14" t="str">
        <x:v>tt11639300</x:v>
      </x:c>
      <x:c r="H392" s="14" t="n">
        <x:v>2021</x:v>
      </x:c>
      <x:c r="I392" s="14" t="n">
        <x:v>2023</x:v>
      </x:c>
      <x:c r="J392" s="14" t="str">
        <x:v>Earlier-Production Carry-In Cohort</x:v>
      </x:c>
      <x:c r="K392" s="14" t="n">
        <x:v>2021</x:v>
      </x:c>
      <x:c r="L392" s="14" t="str">
        <x:v>Used in 2023 annual analysis</x:v>
      </x:c>
      <x:c r="M392" s="15" t="n">
        <x:v>147</x:v>
      </x:c>
      <x:c r="N392" s="14" t="str">
        <x:v>Jake Davies</x:v>
      </x:c>
      <x:c r="O392" s="14" t="str">
        <x:v>nm4881203</x:v>
      </x:c>
      <x:c r="P392" s="14" t="str">
        <x:v>Eric Whiteley</x:v>
      </x:c>
      <x:c r="Q392" s="15" t="n">
        <x:v>1</x:v>
      </x:c>
      <x:c r="R392" s="14" t="str">
        <x:v>2023</x:v>
      </x:c>
      <x:c r="S392" s="14" t="n">
        <x:v>2023</x:v>
      </x:c>
      <x:c r="T392" s="14" t="n">
        <x:v>2023</x:v>
      </x:c>
      <x:c r="U392" s="14" t="str">
        <x:v>Post-2021 casting excluded</x:v>
      </x:c>
      <x:c r="V392" s="14" t="str">
        <x:v>Earliest supplied year is 2023, later than the 2021 study year.</x:v>
      </x:c>
      <x:c r="W392" s="14"/>
      <x:c r="X392" s="14" t="str">
        <x:v>Included</x:v>
      </x:c>
      <x:c r="Y392" s="14"/>
      <x:c r="Z392" s="14" t="str">
        <x:v>Grace.docx</x:v>
      </x:c>
      <x:c r="AA3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ITV / ITVX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HYPERLINK("https://en.wikipedia.org/wiki/Grace","Open source")</x:f>
        <x:v>HYPERLINK is not implemented. linkLocation=https://en.wikipedia.org/wiki/Grace,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20</x:v>
      </x:c>
      <x:c r="BP392" s="14" t="str">
        <x:v>Maximum eligible IMDb cast-credit total (20), shared by 4 performer(s); not independently verified as a 2021-only episode total.</x:v>
      </x:c>
      <x:c r="BQ392" s="14" t="str">
        <x:v>Medium</x:v>
      </x:c>
      <x:c r="BR392" s="15" t="n">
        <x:v>1</x:v>
      </x:c>
      <x:c r="BS392" s="16" t="n">
        <x:v>0.05</x:v>
      </x:c>
      <x:c r="BT392" s="14" t="str">
        <x:v>One episode</x:v>
      </x:c>
      <x:c r="BU392" s="14" t="str">
        <x:v>Medium</x:v>
      </x:c>
      <x:c r="BV392" s="14" t="str">
        <x:v>Derived from supplied IMDb episode count and the documented production-total proxy.</x:v>
      </x:c>
      <x:c r="BW392" s="14" t="str">
        <x:v>Unable to determine</x:v>
      </x:c>
      <x:c r="BX392" s="14" t="str">
        <x:v>Supplied cast data establishes the credit and episode presence but does not establish narrative prominence.</x:v>
      </x:c>
      <x:c r="BY392" s="14" t="str">
        <x:v>Supplied IMDb cast-list workbook</x:v>
      </x:c>
      <x:c r="BZ3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tt11639300|nm5545152|anna galicia</x:v>
      </x:c>
      <x:c r="B393" s="14" t="str">
        <x:v>02</x:v>
      </x:c>
      <x:c r="C393" s="14" t="str">
        <x:v>2021_IMDb_Cast_Lists_Batch_02(1).xlsx</x:v>
      </x:c>
      <x:c r="D393" s="14" t="str">
        <x:v>Grace</x:v>
      </x:c>
      <x:c r="E393" s="14" t="n">
        <x:v>164</x:v>
      </x:c>
      <x:c r="F393" s="14" t="str">
        <x:v>Grace</x:v>
      </x:c>
      <x:c r="G393" s="14" t="str">
        <x:v>tt11639300</x:v>
      </x:c>
      <x:c r="H393" s="14" t="n">
        <x:v>2021</x:v>
      </x:c>
      <x:c r="I393" s="14" t="n">
        <x:v>2023</x:v>
      </x:c>
      <x:c r="J393" s="14" t="str">
        <x:v>Earlier-Production Carry-In Cohort</x:v>
      </x:c>
      <x:c r="K393" s="14" t="n">
        <x:v>2021</x:v>
      </x:c>
      <x:c r="L393" s="14" t="str">
        <x:v>Used in 2023 annual analysis</x:v>
      </x:c>
      <x:c r="M393" s="15" t="n">
        <x:v>157</x:v>
      </x:c>
      <x:c r="N393" s="14" t="str">
        <x:v>Hollie Burgess</x:v>
      </x:c>
      <x:c r="O393" s="14" t="str">
        <x:v>nm5545152</x:v>
      </x:c>
      <x:c r="P393" s="14" t="str">
        <x:v>Anna Galicia</x:v>
      </x:c>
      <x:c r="Q393" s="15" t="n">
        <x:v>1</x:v>
      </x:c>
      <x:c r="R393" s="14" t="str">
        <x:v>2023</x:v>
      </x:c>
      <x:c r="S393" s="14" t="n">
        <x:v>2023</x:v>
      </x:c>
      <x:c r="T393" s="14" t="n">
        <x:v>2023</x:v>
      </x:c>
      <x:c r="U393" s="14" t="str">
        <x:v>Post-2021 casting excluded</x:v>
      </x:c>
      <x:c r="V393" s="14" t="str">
        <x:v>Earliest supplied year is 2023, later than the 2021 study year.</x:v>
      </x:c>
      <x:c r="W393" s="14"/>
      <x:c r="X393" s="14" t="str">
        <x:v>Included</x:v>
      </x:c>
      <x:c r="Y393" s="14"/>
      <x:c r="Z393" s="14" t="str">
        <x:v>Grace.docx</x:v>
      </x:c>
      <x:c r="AA3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ITV / ITVX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HYPERLINK("https://en.wikipedia.org/wiki/Grace","Open source")</x:f>
        <x:v>HYPERLINK is not implemented. linkLocation=https://en.wikipedia.org/wiki/Grace,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20</x:v>
      </x:c>
      <x:c r="BP393" s="14" t="str">
        <x:v>Maximum eligible IMDb cast-credit total (20), shared by 4 performer(s); not independently verified as a 2021-only episode total.</x:v>
      </x:c>
      <x:c r="BQ393" s="14" t="str">
        <x:v>Medium</x:v>
      </x:c>
      <x:c r="BR393" s="15" t="n">
        <x:v>1</x:v>
      </x:c>
      <x:c r="BS393" s="16" t="n">
        <x:v>0.05</x:v>
      </x:c>
      <x:c r="BT393" s="14" t="str">
        <x:v>One episode</x:v>
      </x:c>
      <x:c r="BU393" s="14" t="str">
        <x:v>Medium</x:v>
      </x:c>
      <x:c r="BV393" s="14" t="str">
        <x:v>Derived from supplied IMDb episode count and the documented production-total proxy.</x:v>
      </x:c>
      <x:c r="BW393" s="14" t="str">
        <x:v>Unable to determine</x:v>
      </x:c>
      <x:c r="BX393" s="14" t="str">
        <x:v>Supplied cast data establishes the credit and episode presence but does not establish narrative prominence.</x:v>
      </x:c>
      <x:c r="BY393" s="14" t="str">
        <x:v>Supplied IMDb cast-list workbook</x:v>
      </x:c>
      <x:c r="BZ3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tt11639300|nm5443916|oliver starling</x:v>
      </x:c>
      <x:c r="B394" s="14" t="str">
        <x:v>02</x:v>
      </x:c>
      <x:c r="C394" s="14" t="str">
        <x:v>2021_IMDb_Cast_Lists_Batch_02(1).xlsx</x:v>
      </x:c>
      <x:c r="D394" s="14" t="str">
        <x:v>Grace</x:v>
      </x:c>
      <x:c r="E394" s="14" t="n">
        <x:v>185</x:v>
      </x:c>
      <x:c r="F394" s="14" t="str">
        <x:v>Grace</x:v>
      </x:c>
      <x:c r="G394" s="14" t="str">
        <x:v>tt11639300</x:v>
      </x:c>
      <x:c r="H394" s="14" t="n">
        <x:v>2021</x:v>
      </x:c>
      <x:c r="I394" s="14" t="n">
        <x:v>2023</x:v>
      </x:c>
      <x:c r="J394" s="14" t="str">
        <x:v>Earlier-Production Carry-In Cohort</x:v>
      </x:c>
      <x:c r="K394" s="14" t="n">
        <x:v>2021</x:v>
      </x:c>
      <x:c r="L394" s="14" t="str">
        <x:v>Used in 2023 annual analysis</x:v>
      </x:c>
      <x:c r="M394" s="15" t="n">
        <x:v>178</x:v>
      </x:c>
      <x:c r="N394" s="14" t="str">
        <x:v>Ben Wiggins</x:v>
      </x:c>
      <x:c r="O394" s="14" t="str">
        <x:v>nm5443916</x:v>
      </x:c>
      <x:c r="P394" s="14" t="str">
        <x:v>Oliver Starling</x:v>
      </x:c>
      <x:c r="Q394" s="15" t="n">
        <x:v>1</x:v>
      </x:c>
      <x:c r="R394" s="14" t="str">
        <x:v>2023</x:v>
      </x:c>
      <x:c r="S394" s="14" t="n">
        <x:v>2023</x:v>
      </x:c>
      <x:c r="T394" s="14" t="n">
        <x:v>2023</x:v>
      </x:c>
      <x:c r="U394" s="14" t="str">
        <x:v>Post-2021 casting excluded</x:v>
      </x:c>
      <x:c r="V394" s="14" t="str">
        <x:v>Earliest supplied year is 2023, later than the 2021 study year.</x:v>
      </x:c>
      <x:c r="W394" s="14"/>
      <x:c r="X394" s="14" t="str">
        <x:v>Included</x:v>
      </x:c>
      <x:c r="Y394" s="14"/>
      <x:c r="Z394" s="14" t="str">
        <x:v>Grace.docx</x:v>
      </x:c>
      <x:c r="AA3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ITV / ITVX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HYPERLINK("https://en.wikipedia.org/wiki/Grace","Open source")</x:f>
        <x:v>HYPERLINK is not implemented. linkLocation=https://en.wikipedia.org/wiki/Grace,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20</x:v>
      </x:c>
      <x:c r="BP394" s="14" t="str">
        <x:v>Maximum eligible IMDb cast-credit total (20), shared by 4 performer(s); not independently verified as a 2021-only episode total.</x:v>
      </x:c>
      <x:c r="BQ394" s="14" t="str">
        <x:v>Medium</x:v>
      </x:c>
      <x:c r="BR394" s="15" t="n">
        <x:v>1</x:v>
      </x:c>
      <x:c r="BS394" s="16" t="n">
        <x:v>0.05</x:v>
      </x:c>
      <x:c r="BT394" s="14" t="str">
        <x:v>One episode</x:v>
      </x:c>
      <x:c r="BU394" s="14" t="str">
        <x:v>Medium</x:v>
      </x:c>
      <x:c r="BV394" s="14" t="str">
        <x:v>Derived from supplied IMDb episode count and the documented production-total proxy.</x:v>
      </x:c>
      <x:c r="BW394" s="14" t="str">
        <x:v>Unable to determine</x:v>
      </x:c>
      <x:c r="BX394" s="14" t="str">
        <x:v>Supplied cast data establishes the credit and episode presence but does not establish narrative prominence.</x:v>
      </x:c>
      <x:c r="BY394" s="14" t="str">
        <x:v>Supplied IMDb cast-list workbook</x:v>
      </x:c>
      <x:c r="BZ3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tt11639300|nm0378586|malcolm charles</x:v>
      </x:c>
      <x:c r="B395" s="14" t="str">
        <x:v>02</x:v>
      </x:c>
      <x:c r="C395" s="14" t="str">
        <x:v>2021_IMDb_Cast_Lists_Batch_02(1).xlsx</x:v>
      </x:c>
      <x:c r="D395" s="14" t="str">
        <x:v>Grace</x:v>
      </x:c>
      <x:c r="E395" s="14" t="n">
        <x:v>186</x:v>
      </x:c>
      <x:c r="F395" s="14" t="str">
        <x:v>Grace</x:v>
      </x:c>
      <x:c r="G395" s="14" t="str">
        <x:v>tt11639300</x:v>
      </x:c>
      <x:c r="H395" s="14" t="n">
        <x:v>2021</x:v>
      </x:c>
      <x:c r="I395" s="14" t="n">
        <x:v>2023</x:v>
      </x:c>
      <x:c r="J395" s="14" t="str">
        <x:v>Earlier-Production Carry-In Cohort</x:v>
      </x:c>
      <x:c r="K395" s="14" t="n">
        <x:v>2021</x:v>
      </x:c>
      <x:c r="L395" s="14" t="str">
        <x:v>Used in 2023 annual analysis</x:v>
      </x:c>
      <x:c r="M395" s="15" t="n">
        <x:v>179</x:v>
      </x:c>
      <x:c r="N395" s="14" t="str">
        <x:v>Leon Herbert</x:v>
      </x:c>
      <x:c r="O395" s="14" t="str">
        <x:v>nm0378586</x:v>
      </x:c>
      <x:c r="P395" s="14" t="str">
        <x:v>Malcolm Charles</x:v>
      </x:c>
      <x:c r="Q395" s="15" t="n">
        <x:v>1</x:v>
      </x:c>
      <x:c r="R395" s="14" t="str">
        <x:v>2023</x:v>
      </x:c>
      <x:c r="S395" s="14" t="n">
        <x:v>2023</x:v>
      </x:c>
      <x:c r="T395" s="14" t="n">
        <x:v>2023</x:v>
      </x:c>
      <x:c r="U395" s="14" t="str">
        <x:v>Post-2021 casting excluded</x:v>
      </x:c>
      <x:c r="V395" s="14" t="str">
        <x:v>Earliest supplied year is 2023, later than the 2021 study year.</x:v>
      </x:c>
      <x:c r="W395" s="14"/>
      <x:c r="X395" s="14" t="str">
        <x:v>Included</x:v>
      </x:c>
      <x:c r="Y395" s="14"/>
      <x:c r="Z395" s="14" t="str">
        <x:v>Grace.docx</x:v>
      </x:c>
      <x:c r="AA3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ITV / ITVX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HYPERLINK("https://en.wikipedia.org/wiki/Grace","Open source")</x:f>
        <x:v>HYPERLINK is not implemented. linkLocation=https://en.wikipedia.org/wiki/Grace,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20</x:v>
      </x:c>
      <x:c r="BP395" s="14" t="str">
        <x:v>Maximum eligible IMDb cast-credit total (20), shared by 4 performer(s); not independently verified as a 2021-only episode total.</x:v>
      </x:c>
      <x:c r="BQ395" s="14" t="str">
        <x:v>Medium</x:v>
      </x:c>
      <x:c r="BR395" s="15" t="n">
        <x:v>1</x:v>
      </x:c>
      <x:c r="BS395" s="16" t="n">
        <x:v>0.05</x:v>
      </x:c>
      <x:c r="BT395" s="14" t="str">
        <x:v>One episode</x:v>
      </x:c>
      <x:c r="BU395" s="14" t="str">
        <x:v>Medium</x:v>
      </x:c>
      <x:c r="BV395" s="14" t="str">
        <x:v>Derived from supplied IMDb episode count and the documented production-total proxy.</x:v>
      </x:c>
      <x:c r="BW395" s="14" t="str">
        <x:v>Unable to determine</x:v>
      </x:c>
      <x:c r="BX395" s="14" t="str">
        <x:v>Supplied cast data establishes the credit and episode presence but does not establish narrative prominence.</x:v>
      </x:c>
      <x:c r="BY395" s="14" t="str">
        <x:v>Supplied IMDb cast-list workbook</x:v>
      </x:c>
      <x:c r="BZ3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tt11639300|nm7939699|tank</x:v>
      </x:c>
      <x:c r="B396" s="14" t="str">
        <x:v>02</x:v>
      </x:c>
      <x:c r="C396" s="14" t="str">
        <x:v>2021_IMDb_Cast_Lists_Batch_02(1).xlsx</x:v>
      </x:c>
      <x:c r="D396" s="14" t="str">
        <x:v>Grace</x:v>
      </x:c>
      <x:c r="E396" s="14" t="n">
        <x:v>187</x:v>
      </x:c>
      <x:c r="F396" s="14" t="str">
        <x:v>Grace</x:v>
      </x:c>
      <x:c r="G396" s="14" t="str">
        <x:v>tt11639300</x:v>
      </x:c>
      <x:c r="H396" s="14" t="n">
        <x:v>2021</x:v>
      </x:c>
      <x:c r="I396" s="14" t="n">
        <x:v>2023</x:v>
      </x:c>
      <x:c r="J396" s="14" t="str">
        <x:v>Earlier-Production Carry-In Cohort</x:v>
      </x:c>
      <x:c r="K396" s="14" t="n">
        <x:v>2021</x:v>
      </x:c>
      <x:c r="L396" s="14" t="str">
        <x:v>Used in 2023 annual analysis</x:v>
      </x:c>
      <x:c r="M396" s="15" t="n">
        <x:v>180</x:v>
      </x:c>
      <x:c r="N396" s="14" t="str">
        <x:v>Amber James</x:v>
      </x:c>
      <x:c r="O396" s="14" t="str">
        <x:v>nm7939699</x:v>
      </x:c>
      <x:c r="P396" s="14" t="str">
        <x:v>Tank</x:v>
      </x:c>
      <x:c r="Q396" s="15" t="n">
        <x:v>1</x:v>
      </x:c>
      <x:c r="R396" s="14" t="str">
        <x:v>2023</x:v>
      </x:c>
      <x:c r="S396" s="14" t="n">
        <x:v>2023</x:v>
      </x:c>
      <x:c r="T396" s="14" t="n">
        <x:v>2023</x:v>
      </x:c>
      <x:c r="U396" s="14" t="str">
        <x:v>Post-2021 casting excluded</x:v>
      </x:c>
      <x:c r="V396" s="14" t="str">
        <x:v>Earliest supplied year is 2023, later than the 2021 study year.</x:v>
      </x:c>
      <x:c r="W396" s="14"/>
      <x:c r="X396" s="14" t="str">
        <x:v>Included</x:v>
      </x:c>
      <x:c r="Y396" s="14"/>
      <x:c r="Z396" s="14" t="str">
        <x:v>Grace.docx</x:v>
      </x:c>
      <x:c r="AA3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ITV / ITVX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HYPERLINK("https://en.wikipedia.org/wiki/Grace","Open source")</x:f>
        <x:v>HYPERLINK is not implemented. linkLocation=https://en.wikipedia.org/wiki/Grace,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20</x:v>
      </x:c>
      <x:c r="BP396" s="14" t="str">
        <x:v>Maximum eligible IMDb cast-credit total (20), shared by 4 performer(s); not independently verified as a 2021-only episode total.</x:v>
      </x:c>
      <x:c r="BQ396" s="14" t="str">
        <x:v>Medium</x:v>
      </x:c>
      <x:c r="BR396" s="15" t="n">
        <x:v>1</x:v>
      </x:c>
      <x:c r="BS396" s="16" t="n">
        <x:v>0.05</x:v>
      </x:c>
      <x:c r="BT396" s="14" t="str">
        <x:v>One episode</x:v>
      </x:c>
      <x:c r="BU396" s="14" t="str">
        <x:v>Medium</x:v>
      </x:c>
      <x:c r="BV396" s="14" t="str">
        <x:v>Derived from supplied IMDb episode count and the documented production-total proxy.</x:v>
      </x:c>
      <x:c r="BW396" s="14" t="str">
        <x:v>Unable to determine</x:v>
      </x:c>
      <x:c r="BX396" s="14" t="str">
        <x:v>Supplied cast data establishes the credit and episode presence but does not establish narrative prominence.</x:v>
      </x:c>
      <x:c r="BY396" s="14" t="str">
        <x:v>Supplied IMDb cast-list workbook</x:v>
      </x:c>
      <x:c r="BZ3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tt11639300|nm14693201|ethan chase</x:v>
      </x:c>
      <x:c r="B397" s="14" t="str">
        <x:v>02</x:v>
      </x:c>
      <x:c r="C397" s="14" t="str">
        <x:v>2021_IMDb_Cast_Lists_Batch_02(1).xlsx</x:v>
      </x:c>
      <x:c r="D397" s="14" t="str">
        <x:v>Grace</x:v>
      </x:c>
      <x:c r="E397" s="14" t="n">
        <x:v>196</x:v>
      </x:c>
      <x:c r="F397" s="14" t="str">
        <x:v>Grace</x:v>
      </x:c>
      <x:c r="G397" s="14" t="str">
        <x:v>tt11639300</x:v>
      </x:c>
      <x:c r="H397" s="14" t="n">
        <x:v>2021</x:v>
      </x:c>
      <x:c r="I397" s="14" t="n">
        <x:v>2023</x:v>
      </x:c>
      <x:c r="J397" s="14" t="str">
        <x:v>Earlier-Production Carry-In Cohort</x:v>
      </x:c>
      <x:c r="K397" s="14" t="n">
        <x:v>2021</x:v>
      </x:c>
      <x:c r="L397" s="14" t="str">
        <x:v>Used in 2023 annual analysis</x:v>
      </x:c>
      <x:c r="M397" s="15" t="n">
        <x:v>189</x:v>
      </x:c>
      <x:c r="N397" s="14" t="str">
        <x:v>Ethan Smith</x:v>
      </x:c>
      <x:c r="O397" s="14" t="str">
        <x:v>nm14693201</x:v>
      </x:c>
      <x:c r="P397" s="14" t="str">
        <x:v>Ethan Chase</x:v>
      </x:c>
      <x:c r="Q397" s="15" t="n">
        <x:v>1</x:v>
      </x:c>
      <x:c r="R397" s="14" t="str">
        <x:v>2023</x:v>
      </x:c>
      <x:c r="S397" s="14" t="n">
        <x:v>2023</x:v>
      </x:c>
      <x:c r="T397" s="14" t="n">
        <x:v>2023</x:v>
      </x:c>
      <x:c r="U397" s="14" t="str">
        <x:v>Post-2021 casting excluded</x:v>
      </x:c>
      <x:c r="V397" s="14" t="str">
        <x:v>Earliest supplied year is 2023, later than the 2021 study year.</x:v>
      </x:c>
      <x:c r="W397" s="14"/>
      <x:c r="X397" s="14" t="str">
        <x:v>Included</x:v>
      </x:c>
      <x:c r="Y397" s="14"/>
      <x:c r="Z397" s="14" t="str">
        <x:v>Grace.docx</x:v>
      </x:c>
      <x:c r="AA3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ITV / ITVX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HYPERLINK("https://en.wikipedia.org/wiki/Grace","Open source")</x:f>
        <x:v>HYPERLINK is not implemented. linkLocation=https://en.wikipedia.org/wiki/Grace,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20</x:v>
      </x:c>
      <x:c r="BP397" s="14" t="str">
        <x:v>Maximum eligible IMDb cast-credit total (20), shared by 4 performer(s); not independently verified as a 2021-only episode total.</x:v>
      </x:c>
      <x:c r="BQ397" s="14" t="str">
        <x:v>Medium</x:v>
      </x:c>
      <x:c r="BR397" s="15" t="n">
        <x:v>1</x:v>
      </x:c>
      <x:c r="BS397" s="16" t="n">
        <x:v>0.05</x:v>
      </x:c>
      <x:c r="BT397" s="14" t="str">
        <x:v>One episode</x:v>
      </x:c>
      <x:c r="BU397" s="14" t="str">
        <x:v>Medium</x:v>
      </x:c>
      <x:c r="BV397" s="14" t="str">
        <x:v>Derived from supplied IMDb episode count and the documented production-total proxy.</x:v>
      </x:c>
      <x:c r="BW397" s="14" t="str">
        <x:v>Unable to determine</x:v>
      </x:c>
      <x:c r="BX397" s="14" t="str">
        <x:v>Supplied cast data establishes the credit and episode presence but does not establish narrative prominence.</x:v>
      </x:c>
      <x:c r="BY397" s="14" t="str">
        <x:v>Supplied IMDb cast-list workbook</x:v>
      </x:c>
      <x:c r="BZ3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tt11639300|nm8536380|tunde</x:v>
      </x:c>
      <x:c r="B398" s="14" t="str">
        <x:v>02</x:v>
      </x:c>
      <x:c r="C398" s="14" t="str">
        <x:v>2021_IMDb_Cast_Lists_Batch_02(1).xlsx</x:v>
      </x:c>
      <x:c r="D398" s="14" t="str">
        <x:v>Grace</x:v>
      </x:c>
      <x:c r="E398" s="14" t="n">
        <x:v>197</x:v>
      </x:c>
      <x:c r="F398" s="14" t="str">
        <x:v>Grace</x:v>
      </x:c>
      <x:c r="G398" s="14" t="str">
        <x:v>tt11639300</x:v>
      </x:c>
      <x:c r="H398" s="14" t="n">
        <x:v>2021</x:v>
      </x:c>
      <x:c r="I398" s="14" t="n">
        <x:v>2023</x:v>
      </x:c>
      <x:c r="J398" s="14" t="str">
        <x:v>Earlier-Production Carry-In Cohort</x:v>
      </x:c>
      <x:c r="K398" s="14" t="n">
        <x:v>2021</x:v>
      </x:c>
      <x:c r="L398" s="14" t="str">
        <x:v>Used in 2023 annual analysis</x:v>
      </x:c>
      <x:c r="M398" s="15" t="n">
        <x:v>190</x:v>
      </x:c>
      <x:c r="N398" s="14" t="str">
        <x:v>Joshua Sinclair-Evans</x:v>
      </x:c>
      <x:c r="O398" s="14" t="str">
        <x:v>nm8536380</x:v>
      </x:c>
      <x:c r="P398" s="14" t="str">
        <x:v>Tunde</x:v>
      </x:c>
      <x:c r="Q398" s="15" t="n">
        <x:v>1</x:v>
      </x:c>
      <x:c r="R398" s="14" t="str">
        <x:v>2023</x:v>
      </x:c>
      <x:c r="S398" s="14" t="n">
        <x:v>2023</x:v>
      </x:c>
      <x:c r="T398" s="14" t="n">
        <x:v>2023</x:v>
      </x:c>
      <x:c r="U398" s="14" t="str">
        <x:v>Post-2021 casting excluded</x:v>
      </x:c>
      <x:c r="V398" s="14" t="str">
        <x:v>Earliest supplied year is 2023, later than the 2021 study year.</x:v>
      </x:c>
      <x:c r="W398" s="14"/>
      <x:c r="X398" s="14" t="str">
        <x:v>Included</x:v>
      </x:c>
      <x:c r="Y398" s="14"/>
      <x:c r="Z398" s="14" t="str">
        <x:v>Grace.docx</x:v>
      </x:c>
      <x:c r="AA3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ITV / ITVX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HYPERLINK("https://en.wikipedia.org/wiki/Grace","Open source")</x:f>
        <x:v>HYPERLINK is not implemented. linkLocation=https://en.wikipedia.org/wiki/Grace,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20</x:v>
      </x:c>
      <x:c r="BP398" s="14" t="str">
        <x:v>Maximum eligible IMDb cast-credit total (20), shared by 4 performer(s); not independently verified as a 2021-only episode total.</x:v>
      </x:c>
      <x:c r="BQ398" s="14" t="str">
        <x:v>Medium</x:v>
      </x:c>
      <x:c r="BR398" s="15" t="n">
        <x:v>1</x:v>
      </x:c>
      <x:c r="BS398" s="16" t="n">
        <x:v>0.05</x:v>
      </x:c>
      <x:c r="BT398" s="14" t="str">
        <x:v>One episode</x:v>
      </x:c>
      <x:c r="BU398" s="14" t="str">
        <x:v>Medium</x:v>
      </x:c>
      <x:c r="BV398" s="14" t="str">
        <x:v>Derived from supplied IMDb episode count and the documented production-total proxy.</x:v>
      </x:c>
      <x:c r="BW398" s="14" t="str">
        <x:v>Unable to determine</x:v>
      </x:c>
      <x:c r="BX398" s="14" t="str">
        <x:v>Supplied cast data establishes the credit and episode presence but does not establish narrative prominence.</x:v>
      </x:c>
      <x:c r="BY398" s="14" t="str">
        <x:v>Supplied IMDb cast-list workbook</x:v>
      </x:c>
      <x:c r="BZ3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tt11639300|nm7489999|soit officer</x:v>
      </x:c>
      <x:c r="B399" s="14" t="str">
        <x:v>02</x:v>
      </x:c>
      <x:c r="C399" s="14" t="str">
        <x:v>2021_IMDb_Cast_Lists_Batch_02(1).xlsx</x:v>
      </x:c>
      <x:c r="D399" s="14" t="str">
        <x:v>Grace</x:v>
      </x:c>
      <x:c r="E399" s="14" t="n">
        <x:v>198</x:v>
      </x:c>
      <x:c r="F399" s="14" t="str">
        <x:v>Grace</x:v>
      </x:c>
      <x:c r="G399" s="14" t="str">
        <x:v>tt11639300</x:v>
      </x:c>
      <x:c r="H399" s="14" t="n">
        <x:v>2021</x:v>
      </x:c>
      <x:c r="I399" s="14" t="n">
        <x:v>2023</x:v>
      </x:c>
      <x:c r="J399" s="14" t="str">
        <x:v>Earlier-Production Carry-In Cohort</x:v>
      </x:c>
      <x:c r="K399" s="14" t="n">
        <x:v>2021</x:v>
      </x:c>
      <x:c r="L399" s="14" t="str">
        <x:v>Used in 2023 annual analysis</x:v>
      </x:c>
      <x:c r="M399" s="15" t="n">
        <x:v>191</x:v>
      </x:c>
      <x:c r="N399" s="14" t="str">
        <x:v>Charlotte Workman</x:v>
      </x:c>
      <x:c r="O399" s="14" t="str">
        <x:v>nm7489999</x:v>
      </x:c>
      <x:c r="P399" s="14" t="str">
        <x:v>SOIT Officer</x:v>
      </x:c>
      <x:c r="Q399" s="15" t="n">
        <x:v>1</x:v>
      </x:c>
      <x:c r="R399" s="14" t="str">
        <x:v>2023</x:v>
      </x:c>
      <x:c r="S399" s="14" t="n">
        <x:v>2023</x:v>
      </x:c>
      <x:c r="T399" s="14" t="n">
        <x:v>2023</x:v>
      </x:c>
      <x:c r="U399" s="14" t="str">
        <x:v>Post-2021 casting excluded</x:v>
      </x:c>
      <x:c r="V399" s="14" t="str">
        <x:v>Earliest supplied year is 2023, later than the 2021 study year.</x:v>
      </x:c>
      <x:c r="W399" s="14"/>
      <x:c r="X399" s="14" t="str">
        <x:v>Included</x:v>
      </x:c>
      <x:c r="Y399" s="14"/>
      <x:c r="Z399" s="14" t="str">
        <x:v>Grace.docx</x:v>
      </x:c>
      <x:c r="AA3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ITV / ITVX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HYPERLINK("https://en.wikipedia.org/wiki/Grace","Open source")</x:f>
        <x:v>HYPERLINK is not implemented. linkLocation=https://en.wikipedia.org/wiki/Grace,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20</x:v>
      </x:c>
      <x:c r="BP399" s="14" t="str">
        <x:v>Maximum eligible IMDb cast-credit total (20), shared by 4 performer(s); not independently verified as a 2021-only episode total.</x:v>
      </x:c>
      <x:c r="BQ399" s="14" t="str">
        <x:v>Medium</x:v>
      </x:c>
      <x:c r="BR399" s="15" t="n">
        <x:v>1</x:v>
      </x:c>
      <x:c r="BS399" s="16" t="n">
        <x:v>0.05</x:v>
      </x:c>
      <x:c r="BT399" s="14" t="str">
        <x:v>One episode</x:v>
      </x:c>
      <x:c r="BU399" s="14" t="str">
        <x:v>Medium</x:v>
      </x:c>
      <x:c r="BV399" s="14" t="str">
        <x:v>Derived from supplied IMDb episode count and the documented production-total proxy.</x:v>
      </x:c>
      <x:c r="BW399" s="14" t="str">
        <x:v>Unable to determine</x:v>
      </x:c>
      <x:c r="BX399" s="14" t="str">
        <x:v>Supplied cast data establishes the credit and episode presence but does not establish narrative prominence.</x:v>
      </x:c>
      <x:c r="BY399" s="14" t="str">
        <x:v>Supplied IMDb cast-list workbook</x:v>
      </x:c>
      <x:c r="BZ3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tt11639300|nm0682373|dci jack skerritt</x:v>
      </x:c>
      <x:c r="B400" s="14" t="str">
        <x:v>02</x:v>
      </x:c>
      <x:c r="C400" s="14" t="str">
        <x:v>2021_IMDb_Cast_Lists_Batch_02(1).xlsx</x:v>
      </x:c>
      <x:c r="D400" s="14" t="str">
        <x:v>Grace</x:v>
      </x:c>
      <x:c r="E400" s="14" t="n">
        <x:v>210</x:v>
      </x:c>
      <x:c r="F400" s="14" t="str">
        <x:v>Grace</x:v>
      </x:c>
      <x:c r="G400" s="14" t="str">
        <x:v>tt11639300</x:v>
      </x:c>
      <x:c r="H400" s="14" t="n">
        <x:v>2021</x:v>
      </x:c>
      <x:c r="I400" s="14" t="n">
        <x:v>2023</x:v>
      </x:c>
      <x:c r="J400" s="14" t="str">
        <x:v>Earlier-Production Carry-In Cohort</x:v>
      </x:c>
      <x:c r="K400" s="14" t="n">
        <x:v>2021</x:v>
      </x:c>
      <x:c r="L400" s="14" t="str">
        <x:v>Used in 2023 annual analysis</x:v>
      </x:c>
      <x:c r="M400" s="15" t="n">
        <x:v>203</x:v>
      </x:c>
      <x:c r="N400" s="14" t="str">
        <x:v>Jack Pierce</x:v>
      </x:c>
      <x:c r="O400" s="14" t="str">
        <x:v>nm0682373</x:v>
      </x:c>
      <x:c r="P400" s="14" t="str">
        <x:v>DCI Jack Skerritt</x:v>
      </x:c>
      <x:c r="Q400" s="15" t="n">
        <x:v>1</x:v>
      </x:c>
      <x:c r="R400" s="14" t="str">
        <x:v>2023</x:v>
      </x:c>
      <x:c r="S400" s="14" t="n">
        <x:v>2023</x:v>
      </x:c>
      <x:c r="T400" s="14" t="n">
        <x:v>2023</x:v>
      </x:c>
      <x:c r="U400" s="14" t="str">
        <x:v>Post-2021 casting excluded</x:v>
      </x:c>
      <x:c r="V400" s="14" t="str">
        <x:v>Earliest supplied year is 2023, later than the 2021 study year.</x:v>
      </x:c>
      <x:c r="W400" s="14"/>
      <x:c r="X400" s="14" t="str">
        <x:v>Included</x:v>
      </x:c>
      <x:c r="Y400" s="14"/>
      <x:c r="Z400" s="14" t="str">
        <x:v>Grace.docx</x:v>
      </x:c>
      <x:c r="AA4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ITV / ITVX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HYPERLINK("https://en.wikipedia.org/wiki/Grace","Open source")</x:f>
        <x:v>HYPERLINK is not implemented. linkLocation=https://en.wikipedia.org/wiki/Grace,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20</x:v>
      </x:c>
      <x:c r="BP400" s="14" t="str">
        <x:v>Maximum eligible IMDb cast-credit total (20), shared by 4 performer(s); not independently verified as a 2021-only episode total.</x:v>
      </x:c>
      <x:c r="BQ400" s="14" t="str">
        <x:v>Medium</x:v>
      </x:c>
      <x:c r="BR400" s="15" t="n">
        <x:v>1</x:v>
      </x:c>
      <x:c r="BS400" s="16" t="n">
        <x:v>0.05</x:v>
      </x:c>
      <x:c r="BT400" s="14" t="str">
        <x:v>One episode</x:v>
      </x:c>
      <x:c r="BU400" s="14" t="str">
        <x:v>Medium</x:v>
      </x:c>
      <x:c r="BV400" s="14" t="str">
        <x:v>Derived from supplied IMDb episode count and the documented production-total proxy.</x:v>
      </x:c>
      <x:c r="BW400" s="14" t="str">
        <x:v>Unable to determine</x:v>
      </x:c>
      <x:c r="BX400" s="14" t="str">
        <x:v>Supplied cast data establishes the credit and episode presence but does not establish narrative prominence.</x:v>
      </x:c>
      <x:c r="BY400" s="14" t="str">
        <x:v>Supplied IMDb cast-list workbook</x:v>
      </x:c>
      <x:c r="BZ4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tt11639300|nm3661137|evie preece</x:v>
      </x:c>
      <x:c r="B401" s="14" t="str">
        <x:v>02</x:v>
      </x:c>
      <x:c r="C401" s="14" t="str">
        <x:v>2021_IMDb_Cast_Lists_Batch_02(1).xlsx</x:v>
      </x:c>
      <x:c r="D401" s="14" t="str">
        <x:v>Grace</x:v>
      </x:c>
      <x:c r="E401" s="14" t="n">
        <x:v>211</x:v>
      </x:c>
      <x:c r="F401" s="14" t="str">
        <x:v>Grace</x:v>
      </x:c>
      <x:c r="G401" s="14" t="str">
        <x:v>tt11639300</x:v>
      </x:c>
      <x:c r="H401" s="14" t="n">
        <x:v>2021</x:v>
      </x:c>
      <x:c r="I401" s="14" t="n">
        <x:v>2023</x:v>
      </x:c>
      <x:c r="J401" s="14" t="str">
        <x:v>Earlier-Production Carry-In Cohort</x:v>
      </x:c>
      <x:c r="K401" s="14" t="n">
        <x:v>2021</x:v>
      </x:c>
      <x:c r="L401" s="14" t="str">
        <x:v>Used in 2023 annual analysis</x:v>
      </x:c>
      <x:c r="M401" s="15" t="n">
        <x:v>204</x:v>
      </x:c>
      <x:c r="N401" s="14" t="str">
        <x:v>Hebe Beardsall</x:v>
      </x:c>
      <x:c r="O401" s="14" t="str">
        <x:v>nm3661137</x:v>
      </x:c>
      <x:c r="P401" s="14" t="str">
        <x:v>Evie Preece</x:v>
      </x:c>
      <x:c r="Q401" s="15" t="n">
        <x:v>1</x:v>
      </x:c>
      <x:c r="R401" s="14" t="str">
        <x:v>2023</x:v>
      </x:c>
      <x:c r="S401" s="14" t="n">
        <x:v>2023</x:v>
      </x:c>
      <x:c r="T401" s="14" t="n">
        <x:v>2023</x:v>
      </x:c>
      <x:c r="U401" s="14" t="str">
        <x:v>Post-2021 casting excluded</x:v>
      </x:c>
      <x:c r="V401" s="14" t="str">
        <x:v>Earliest supplied year is 2023, later than the 2021 study year.</x:v>
      </x:c>
      <x:c r="W401" s="14"/>
      <x:c r="X401" s="14" t="str">
        <x:v>Included</x:v>
      </x:c>
      <x:c r="Y401" s="14"/>
      <x:c r="Z401" s="14" t="str">
        <x:v>Grace.docx</x:v>
      </x:c>
      <x:c r="AA4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ITV / ITVX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HYPERLINK("https://en.wikipedia.org/wiki/Grace","Open source")</x:f>
        <x:v>HYPERLINK is not implemented. linkLocation=https://en.wikipedia.org/wiki/Grace,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20</x:v>
      </x:c>
      <x:c r="BP401" s="14" t="str">
        <x:v>Maximum eligible IMDb cast-credit total (20), shared by 4 performer(s); not independently verified as a 2021-only episode total.</x:v>
      </x:c>
      <x:c r="BQ401" s="14" t="str">
        <x:v>Medium</x:v>
      </x:c>
      <x:c r="BR401" s="15" t="n">
        <x:v>1</x:v>
      </x:c>
      <x:c r="BS401" s="16" t="n">
        <x:v>0.05</x:v>
      </x:c>
      <x:c r="BT401" s="14" t="str">
        <x:v>One episode</x:v>
      </x:c>
      <x:c r="BU401" s="14" t="str">
        <x:v>Medium</x:v>
      </x:c>
      <x:c r="BV401" s="14" t="str">
        <x:v>Derived from supplied IMDb episode count and the documented production-total proxy.</x:v>
      </x:c>
      <x:c r="BW401" s="14" t="str">
        <x:v>Unable to determine</x:v>
      </x:c>
      <x:c r="BX401" s="14" t="str">
        <x:v>Supplied cast data establishes the credit and episode presence but does not establish narrative prominence.</x:v>
      </x:c>
      <x:c r="BY401" s="14" t="str">
        <x:v>Supplied IMDb cast-list workbook</x:v>
      </x:c>
      <x:c r="BZ4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tt11639300|nm13546616|drayton</x:v>
      </x:c>
      <x:c r="B402" s="14" t="str">
        <x:v>02</x:v>
      </x:c>
      <x:c r="C402" s="14" t="str">
        <x:v>2021_IMDb_Cast_Lists_Batch_02(1).xlsx</x:v>
      </x:c>
      <x:c r="D402" s="14" t="str">
        <x:v>Grace</x:v>
      </x:c>
      <x:c r="E402" s="14" t="n">
        <x:v>212</x:v>
      </x:c>
      <x:c r="F402" s="14" t="str">
        <x:v>Grace</x:v>
      </x:c>
      <x:c r="G402" s="14" t="str">
        <x:v>tt11639300</x:v>
      </x:c>
      <x:c r="H402" s="14" t="n">
        <x:v>2021</x:v>
      </x:c>
      <x:c r="I402" s="14" t="n">
        <x:v>2023</x:v>
      </x:c>
      <x:c r="J402" s="14" t="str">
        <x:v>Earlier-Production Carry-In Cohort</x:v>
      </x:c>
      <x:c r="K402" s="14" t="n">
        <x:v>2021</x:v>
      </x:c>
      <x:c r="L402" s="14" t="str">
        <x:v>Used in 2023 annual analysis</x:v>
      </x:c>
      <x:c r="M402" s="15" t="n">
        <x:v>205</x:v>
      </x:c>
      <x:c r="N402" s="14" t="str">
        <x:v>Adeola Yemitan</x:v>
      </x:c>
      <x:c r="O402" s="14" t="str">
        <x:v>nm13546616</x:v>
      </x:c>
      <x:c r="P402" s="14" t="str">
        <x:v>Drayton</x:v>
      </x:c>
      <x:c r="Q402" s="15" t="n">
        <x:v>1</x:v>
      </x:c>
      <x:c r="R402" s="14" t="str">
        <x:v>2023</x:v>
      </x:c>
      <x:c r="S402" s="14" t="n">
        <x:v>2023</x:v>
      </x:c>
      <x:c r="T402" s="14" t="n">
        <x:v>2023</x:v>
      </x:c>
      <x:c r="U402" s="14" t="str">
        <x:v>Post-2021 casting excluded</x:v>
      </x:c>
      <x:c r="V402" s="14" t="str">
        <x:v>Earliest supplied year is 2023, later than the 2021 study year.</x:v>
      </x:c>
      <x:c r="W402" s="14"/>
      <x:c r="X402" s="14" t="str">
        <x:v>Included</x:v>
      </x:c>
      <x:c r="Y402" s="14"/>
      <x:c r="Z402" s="14" t="str">
        <x:v>Grace.docx</x:v>
      </x:c>
      <x:c r="AA4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ITV / ITVX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HYPERLINK("https://en.wikipedia.org/wiki/Grace","Open source")</x:f>
        <x:v>HYPERLINK is not implemented. linkLocation=https://en.wikipedia.org/wiki/Grace,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20</x:v>
      </x:c>
      <x:c r="BP402" s="14" t="str">
        <x:v>Maximum eligible IMDb cast-credit total (20), shared by 4 performer(s); not independently verified as a 2021-only episode total.</x:v>
      </x:c>
      <x:c r="BQ402" s="14" t="str">
        <x:v>Medium</x:v>
      </x:c>
      <x:c r="BR402" s="15" t="n">
        <x:v>1</x:v>
      </x:c>
      <x:c r="BS402" s="16" t="n">
        <x:v>0.05</x:v>
      </x:c>
      <x:c r="BT402" s="14" t="str">
        <x:v>One episode</x:v>
      </x:c>
      <x:c r="BU402" s="14" t="str">
        <x:v>Medium</x:v>
      </x:c>
      <x:c r="BV402" s="14" t="str">
        <x:v>Derived from supplied IMDb episode count and the documented production-total proxy.</x:v>
      </x:c>
      <x:c r="BW402" s="14" t="str">
        <x:v>Unable to determine</x:v>
      </x:c>
      <x:c r="BX402" s="14" t="str">
        <x:v>Supplied cast data establishes the credit and episode presence but does not establish narrative prominence.</x:v>
      </x:c>
      <x:c r="BY402" s="14" t="str">
        <x:v>Supplied IMDb cast-list workbook</x:v>
      </x:c>
      <x:c r="BZ4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tt11639300|nm0419112|di sid barrow</x:v>
      </x:c>
      <x:c r="B403" s="14" t="str">
        <x:v>02</x:v>
      </x:c>
      <x:c r="C403" s="14" t="str">
        <x:v>2021_IMDb_Cast_Lists_Batch_02(1).xlsx</x:v>
      </x:c>
      <x:c r="D403" s="14" t="str">
        <x:v>Grace</x:v>
      </x:c>
      <x:c r="E403" s="14" t="n">
        <x:v>226</x:v>
      </x:c>
      <x:c r="F403" s="14" t="str">
        <x:v>Grace</x:v>
      </x:c>
      <x:c r="G403" s="14" t="str">
        <x:v>tt11639300</x:v>
      </x:c>
      <x:c r="H403" s="14" t="n">
        <x:v>2021</x:v>
      </x:c>
      <x:c r="I403" s="14" t="n">
        <x:v>2023</x:v>
      </x:c>
      <x:c r="J403" s="14" t="str">
        <x:v>Earlier-Production Carry-In Cohort</x:v>
      </x:c>
      <x:c r="K403" s="14" t="n">
        <x:v>2021</x:v>
      </x:c>
      <x:c r="L403" s="14" t="str">
        <x:v>Used in 2023 annual analysis</x:v>
      </x:c>
      <x:c r="M403" s="15" t="n">
        <x:v>219</x:v>
      </x:c>
      <x:c r="N403" s="14" t="str">
        <x:v>Rob Jarvis</x:v>
      </x:c>
      <x:c r="O403" s="14" t="str">
        <x:v>nm0419112</x:v>
      </x:c>
      <x:c r="P403" s="14" t="str">
        <x:v>DI Sid Barrow</x:v>
      </x:c>
      <x:c r="Q403" s="15" t="n">
        <x:v>1</x:v>
      </x:c>
      <x:c r="R403" s="14" t="str">
        <x:v>2023</x:v>
      </x:c>
      <x:c r="S403" s="14" t="n">
        <x:v>2023</x:v>
      </x:c>
      <x:c r="T403" s="14" t="n">
        <x:v>2023</x:v>
      </x:c>
      <x:c r="U403" s="14" t="str">
        <x:v>Post-2021 casting excluded</x:v>
      </x:c>
      <x:c r="V403" s="14" t="str">
        <x:v>Earliest supplied year is 2023, later than the 2021 study year.</x:v>
      </x:c>
      <x:c r="W403" s="14"/>
      <x:c r="X403" s="14" t="str">
        <x:v>Included</x:v>
      </x:c>
      <x:c r="Y403" s="14"/>
      <x:c r="Z403" s="14" t="str">
        <x:v>Grace.docx</x:v>
      </x:c>
      <x:c r="AA4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ITV / ITVX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HYPERLINK("https://en.wikipedia.org/wiki/Grace","Open source")</x:f>
        <x:v>HYPERLINK is not implemented. linkLocation=https://en.wikipedia.org/wiki/Grace,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20</x:v>
      </x:c>
      <x:c r="BP403" s="14" t="str">
        <x:v>Maximum eligible IMDb cast-credit total (20), shared by 4 performer(s); not independently verified as a 2021-only episode total.</x:v>
      </x:c>
      <x:c r="BQ403" s="14" t="str">
        <x:v>Medium</x:v>
      </x:c>
      <x:c r="BR403" s="15" t="n">
        <x:v>1</x:v>
      </x:c>
      <x:c r="BS403" s="16" t="n">
        <x:v>0.05</x:v>
      </x:c>
      <x:c r="BT403" s="14" t="str">
        <x:v>One episode</x:v>
      </x:c>
      <x:c r="BU403" s="14" t="str">
        <x:v>Medium</x:v>
      </x:c>
      <x:c r="BV403" s="14" t="str">
        <x:v>Derived from supplied IMDb episode count and the documented production-total proxy.</x:v>
      </x:c>
      <x:c r="BW403" s="14" t="str">
        <x:v>Unable to determine</x:v>
      </x:c>
      <x:c r="BX403" s="14" t="str">
        <x:v>Supplied cast data establishes the credit and episode presence but does not establish narrative prominence.</x:v>
      </x:c>
      <x:c r="BY403" s="14" t="str">
        <x:v>Supplied IMDb cast-list workbook</x:v>
      </x:c>
      <x:c r="BZ4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tt11639300|nm2099350|warren tucker</x:v>
      </x:c>
      <x:c r="B404" s="14" t="str">
        <x:v>02</x:v>
      </x:c>
      <x:c r="C404" s="14" t="str">
        <x:v>2021_IMDb_Cast_Lists_Batch_02(1).xlsx</x:v>
      </x:c>
      <x:c r="D404" s="14" t="str">
        <x:v>Grace</x:v>
      </x:c>
      <x:c r="E404" s="14" t="n">
        <x:v>227</x:v>
      </x:c>
      <x:c r="F404" s="14" t="str">
        <x:v>Grace</x:v>
      </x:c>
      <x:c r="G404" s="14" t="str">
        <x:v>tt11639300</x:v>
      </x:c>
      <x:c r="H404" s="14" t="n">
        <x:v>2021</x:v>
      </x:c>
      <x:c r="I404" s="14" t="n">
        <x:v>2023</x:v>
      </x:c>
      <x:c r="J404" s="14" t="str">
        <x:v>Earlier-Production Carry-In Cohort</x:v>
      </x:c>
      <x:c r="K404" s="14" t="n">
        <x:v>2021</x:v>
      </x:c>
      <x:c r="L404" s="14" t="str">
        <x:v>Used in 2023 annual analysis</x:v>
      </x:c>
      <x:c r="M404" s="15" t="n">
        <x:v>220</x:v>
      </x:c>
      <x:c r="N404" s="14" t="str">
        <x:v>Frank Jakeman</x:v>
      </x:c>
      <x:c r="O404" s="14" t="str">
        <x:v>nm2099350</x:v>
      </x:c>
      <x:c r="P404" s="14" t="str">
        <x:v>Warren Tucker</x:v>
      </x:c>
      <x:c r="Q404" s="15" t="n">
        <x:v>1</x:v>
      </x:c>
      <x:c r="R404" s="14" t="str">
        <x:v>2023</x:v>
      </x:c>
      <x:c r="S404" s="14" t="n">
        <x:v>2023</x:v>
      </x:c>
      <x:c r="T404" s="14" t="n">
        <x:v>2023</x:v>
      </x:c>
      <x:c r="U404" s="14" t="str">
        <x:v>Post-2021 casting excluded</x:v>
      </x:c>
      <x:c r="V404" s="14" t="str">
        <x:v>Earliest supplied year is 2023, later than the 2021 study year.</x:v>
      </x:c>
      <x:c r="W404" s="14"/>
      <x:c r="X404" s="14" t="str">
        <x:v>Included</x:v>
      </x:c>
      <x:c r="Y404" s="14"/>
      <x:c r="Z404" s="14" t="str">
        <x:v>Grace.docx</x:v>
      </x:c>
      <x:c r="AA4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ITV / ITVX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HYPERLINK("https://en.wikipedia.org/wiki/Grace","Open source")</x:f>
        <x:v>HYPERLINK is not implemented. linkLocation=https://en.wikipedia.org/wiki/Grace,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20</x:v>
      </x:c>
      <x:c r="BP404" s="14" t="str">
        <x:v>Maximum eligible IMDb cast-credit total (20), shared by 4 performer(s); not independently verified as a 2021-only episode total.</x:v>
      </x:c>
      <x:c r="BQ404" s="14" t="str">
        <x:v>Medium</x:v>
      </x:c>
      <x:c r="BR404" s="15" t="n">
        <x:v>1</x:v>
      </x:c>
      <x:c r="BS404" s="16" t="n">
        <x:v>0.05</x:v>
      </x:c>
      <x:c r="BT404" s="14" t="str">
        <x:v>One episode</x:v>
      </x:c>
      <x:c r="BU404" s="14" t="str">
        <x:v>Medium</x:v>
      </x:c>
      <x:c r="BV404" s="14" t="str">
        <x:v>Derived from supplied IMDb episode count and the documented production-total proxy.</x:v>
      </x:c>
      <x:c r="BW404" s="14" t="str">
        <x:v>Unable to determine</x:v>
      </x:c>
      <x:c r="BX404" s="14" t="str">
        <x:v>Supplied cast data establishes the credit and episode presence but does not establish narrative prominence.</x:v>
      </x:c>
      <x:c r="BY404" s="14" t="str">
        <x:v>Supplied IMDb cast-list workbook</x:v>
      </x:c>
      <x:c r="BZ4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tt11639300|nm0766736|james stettner</x:v>
      </x:c>
      <x:c r="B405" s="14" t="str">
        <x:v>02</x:v>
      </x:c>
      <x:c r="C405" s="14" t="str">
        <x:v>2021_IMDb_Cast_Lists_Batch_02(1).xlsx</x:v>
      </x:c>
      <x:c r="D405" s="14" t="str">
        <x:v>Grace</x:v>
      </x:c>
      <x:c r="E405" s="14" t="n">
        <x:v>239</x:v>
      </x:c>
      <x:c r="F405" s="14" t="str">
        <x:v>Grace</x:v>
      </x:c>
      <x:c r="G405" s="14" t="str">
        <x:v>tt11639300</x:v>
      </x:c>
      <x:c r="H405" s="14" t="n">
        <x:v>2021</x:v>
      </x:c>
      <x:c r="I405" s="14" t="n">
        <x:v>2023</x:v>
      </x:c>
      <x:c r="J405" s="14" t="str">
        <x:v>Earlier-Production Carry-In Cohort</x:v>
      </x:c>
      <x:c r="K405" s="14" t="n">
        <x:v>2021</x:v>
      </x:c>
      <x:c r="L405" s="14" t="str">
        <x:v>Used in 2023 annual analysis</x:v>
      </x:c>
      <x:c r="M405" s="15" t="n">
        <x:v>232</x:v>
      </x:c>
      <x:c r="N405" s="14" t="str">
        <x:v>Anton Valensi</x:v>
      </x:c>
      <x:c r="O405" s="14" t="str">
        <x:v>nm0766736</x:v>
      </x:c>
      <x:c r="P405" s="14" t="str">
        <x:v>James Stettner</x:v>
      </x:c>
      <x:c r="Q405" s="15" t="n">
        <x:v>1</x:v>
      </x:c>
      <x:c r="R405" s="14" t="str">
        <x:v>2023</x:v>
      </x:c>
      <x:c r="S405" s="14" t="n">
        <x:v>2023</x:v>
      </x:c>
      <x:c r="T405" s="14" t="n">
        <x:v>2023</x:v>
      </x:c>
      <x:c r="U405" s="14" t="str">
        <x:v>Post-2021 casting excluded</x:v>
      </x:c>
      <x:c r="V405" s="14" t="str">
        <x:v>Earliest supplied year is 2023, later than the 2021 study year.</x:v>
      </x:c>
      <x:c r="W405" s="14"/>
      <x:c r="X405" s="14" t="str">
        <x:v>Included</x:v>
      </x:c>
      <x:c r="Y405" s="14"/>
      <x:c r="Z405" s="14" t="str">
        <x:v>Grace.docx</x:v>
      </x:c>
      <x:c r="AA4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ITV / ITVX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HYPERLINK("https://en.wikipedia.org/wiki/Grace","Open source")</x:f>
        <x:v>HYPERLINK is not implemented. linkLocation=https://en.wikipedia.org/wiki/Grace,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20</x:v>
      </x:c>
      <x:c r="BP405" s="14" t="str">
        <x:v>Maximum eligible IMDb cast-credit total (20), shared by 4 performer(s); not independently verified as a 2021-only episode total.</x:v>
      </x:c>
      <x:c r="BQ405" s="14" t="str">
        <x:v>Medium</x:v>
      </x:c>
      <x:c r="BR405" s="15" t="n">
        <x:v>1</x:v>
      </x:c>
      <x:c r="BS405" s="16" t="n">
        <x:v>0.05</x:v>
      </x:c>
      <x:c r="BT405" s="14" t="str">
        <x:v>One episode</x:v>
      </x:c>
      <x:c r="BU405" s="14" t="str">
        <x:v>Medium</x:v>
      </x:c>
      <x:c r="BV405" s="14" t="str">
        <x:v>Derived from supplied IMDb episode count and the documented production-total proxy.</x:v>
      </x:c>
      <x:c r="BW405" s="14" t="str">
        <x:v>Unable to determine</x:v>
      </x:c>
      <x:c r="BX405" s="14" t="str">
        <x:v>Supplied cast data establishes the credit and episode presence but does not establish narrative prominence.</x:v>
      </x:c>
      <x:c r="BY405" s="14" t="str">
        <x:v>Supplied IMDb cast-list workbook</x:v>
      </x:c>
      <x:c r="BZ4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tt11639300|nm3220588|anna</x:v>
      </x:c>
      <x:c r="B406" s="14" t="str">
        <x:v>02</x:v>
      </x:c>
      <x:c r="C406" s="14" t="str">
        <x:v>2021_IMDb_Cast_Lists_Batch_02(1).xlsx</x:v>
      </x:c>
      <x:c r="D406" s="14" t="str">
        <x:v>Grace</x:v>
      </x:c>
      <x:c r="E406" s="14" t="n">
        <x:v>240</x:v>
      </x:c>
      <x:c r="F406" s="14" t="str">
        <x:v>Grace</x:v>
      </x:c>
      <x:c r="G406" s="14" t="str">
        <x:v>tt11639300</x:v>
      </x:c>
      <x:c r="H406" s="14" t="n">
        <x:v>2021</x:v>
      </x:c>
      <x:c r="I406" s="14" t="n">
        <x:v>2023</x:v>
      </x:c>
      <x:c r="J406" s="14" t="str">
        <x:v>Earlier-Production Carry-In Cohort</x:v>
      </x:c>
      <x:c r="K406" s="14" t="n">
        <x:v>2021</x:v>
      </x:c>
      <x:c r="L406" s="14" t="str">
        <x:v>Used in 2023 annual analysis</x:v>
      </x:c>
      <x:c r="M406" s="15" t="n">
        <x:v>233</x:v>
      </x:c>
      <x:c r="N406" s="14" t="str">
        <x:v>Jo Herbert</x:v>
      </x:c>
      <x:c r="O406" s="14" t="str">
        <x:v>nm3220588</x:v>
      </x:c>
      <x:c r="P406" s="14" t="str">
        <x:v>Anna</x:v>
      </x:c>
      <x:c r="Q406" s="15" t="n">
        <x:v>1</x:v>
      </x:c>
      <x:c r="R406" s="14" t="str">
        <x:v>2023</x:v>
      </x:c>
      <x:c r="S406" s="14" t="n">
        <x:v>2023</x:v>
      </x:c>
      <x:c r="T406" s="14" t="n">
        <x:v>2023</x:v>
      </x:c>
      <x:c r="U406" s="14" t="str">
        <x:v>Post-2021 casting excluded</x:v>
      </x:c>
      <x:c r="V406" s="14" t="str">
        <x:v>Earliest supplied year is 2023, later than the 2021 study year.</x:v>
      </x:c>
      <x:c r="W406" s="14"/>
      <x:c r="X406" s="14" t="str">
        <x:v>Included</x:v>
      </x:c>
      <x:c r="Y406" s="14"/>
      <x:c r="Z406" s="14" t="str">
        <x:v>Grace.docx</x:v>
      </x:c>
      <x:c r="AA4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ITV / ITVX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HYPERLINK("https://en.wikipedia.org/wiki/Grace","Open source")</x:f>
        <x:v>HYPERLINK is not implemented. linkLocation=https://en.wikipedia.org/wiki/Grace,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20</x:v>
      </x:c>
      <x:c r="BP406" s="14" t="str">
        <x:v>Maximum eligible IMDb cast-credit total (20), shared by 4 performer(s); not independently verified as a 2021-only episode total.</x:v>
      </x:c>
      <x:c r="BQ406" s="14" t="str">
        <x:v>Medium</x:v>
      </x:c>
      <x:c r="BR406" s="15" t="n">
        <x:v>1</x:v>
      </x:c>
      <x:c r="BS406" s="16" t="n">
        <x:v>0.05</x:v>
      </x:c>
      <x:c r="BT406" s="14" t="str">
        <x:v>One episode</x:v>
      </x:c>
      <x:c r="BU406" s="14" t="str">
        <x:v>Medium</x:v>
      </x:c>
      <x:c r="BV406" s="14" t="str">
        <x:v>Derived from supplied IMDb episode count and the documented production-total proxy.</x:v>
      </x:c>
      <x:c r="BW406" s="14" t="str">
        <x:v>Unable to determine</x:v>
      </x:c>
      <x:c r="BX406" s="14" t="str">
        <x:v>Supplied cast data establishes the credit and episode presence but does not establish narrative prominence.</x:v>
      </x:c>
      <x:c r="BY406" s="14" t="str">
        <x:v>Supplied IMDb cast-list workbook</x:v>
      </x:c>
      <x:c r="BZ4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tt11639300|nm0341295|pat robinson</x:v>
      </x:c>
      <x:c r="B407" s="14" t="str">
        <x:v>02</x:v>
      </x:c>
      <x:c r="C407" s="14" t="str">
        <x:v>2021_IMDb_Cast_Lists_Batch_02(1).xlsx</x:v>
      </x:c>
      <x:c r="D407" s="14" t="str">
        <x:v>Grace</x:v>
      </x:c>
      <x:c r="E407" s="14" t="n">
        <x:v>241</x:v>
      </x:c>
      <x:c r="F407" s="14" t="str">
        <x:v>Grace</x:v>
      </x:c>
      <x:c r="G407" s="14" t="str">
        <x:v>tt11639300</x:v>
      </x:c>
      <x:c r="H407" s="14" t="n">
        <x:v>2021</x:v>
      </x:c>
      <x:c r="I407" s="14" t="n">
        <x:v>2023</x:v>
      </x:c>
      <x:c r="J407" s="14" t="str">
        <x:v>Earlier-Production Carry-In Cohort</x:v>
      </x:c>
      <x:c r="K407" s="14" t="n">
        <x:v>2021</x:v>
      </x:c>
      <x:c r="L407" s="14" t="str">
        <x:v>Used in 2023 annual analysis</x:v>
      </x:c>
      <x:c r="M407" s="15" t="n">
        <x:v>234</x:v>
      </x:c>
      <x:c r="N407" s="14" t="str">
        <x:v>Mark Griffin</x:v>
      </x:c>
      <x:c r="O407" s="14" t="str">
        <x:v>nm0341295</x:v>
      </x:c>
      <x:c r="P407" s="14" t="str">
        <x:v>Pat Robinson</x:v>
      </x:c>
      <x:c r="Q407" s="15" t="n">
        <x:v>1</x:v>
      </x:c>
      <x:c r="R407" s="14" t="str">
        <x:v>2023</x:v>
      </x:c>
      <x:c r="S407" s="14" t="n">
        <x:v>2023</x:v>
      </x:c>
      <x:c r="T407" s="14" t="n">
        <x:v>2023</x:v>
      </x:c>
      <x:c r="U407" s="14" t="str">
        <x:v>Post-2021 casting excluded</x:v>
      </x:c>
      <x:c r="V407" s="14" t="str">
        <x:v>Earliest supplied year is 2023, later than the 2021 study year.</x:v>
      </x:c>
      <x:c r="W407" s="14"/>
      <x:c r="X407" s="14" t="str">
        <x:v>Included</x:v>
      </x:c>
      <x:c r="Y407" s="14"/>
      <x:c r="Z407" s="14" t="str">
        <x:v>Grace.docx</x:v>
      </x:c>
      <x:c r="AA4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ITV / ITVX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HYPERLINK("https://en.wikipedia.org/wiki/Grace","Open source")</x:f>
        <x:v>HYPERLINK is not implemented. linkLocation=https://en.wikipedia.org/wiki/Grace,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No established-register match</x:v>
      </x:c>
      <x:c r="AT407" s="14"/>
      <x:c r="AU407" s="14"/>
      <x:c r="AV407" s="14" t="str">
        <x:v>No established apparent-disability match</x:v>
      </x:c>
      <x:c r="AW407" s="14"/>
      <x:c r="AX407" s="14" t="str">
        <x:v>No</x:v>
      </x:c>
      <x:c r="AY407" s="14" t="str">
        <x:v>Unmatched</x:v>
      </x:c>
      <x:c r="AZ407" s="14" t="str">
        <x:v>Final supplied register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20</x:v>
      </x:c>
      <x:c r="BP407" s="14" t="str">
        <x:v>Maximum eligible IMDb cast-credit total (20), shared by 4 performer(s); not independently verified as a 2021-only episode total.</x:v>
      </x:c>
      <x:c r="BQ407" s="14" t="str">
        <x:v>Medium</x:v>
      </x:c>
      <x:c r="BR407" s="15" t="n">
        <x:v>1</x:v>
      </x:c>
      <x:c r="BS407" s="16" t="n">
        <x:v>0.05</x:v>
      </x:c>
      <x:c r="BT407" s="14" t="str">
        <x:v>One episode</x:v>
      </x:c>
      <x:c r="BU407" s="14" t="str">
        <x:v>Medium</x:v>
      </x:c>
      <x:c r="BV407" s="14" t="str">
        <x:v>Derived from supplied IMDb episode count and the documented production-total proxy.</x:v>
      </x:c>
      <x:c r="BW407" s="14" t="str">
        <x:v>Unable to determine</x:v>
      </x:c>
      <x:c r="BX407" s="14" t="str">
        <x:v>Supplied cast data establishes the credit and episode presence but does not establish narrative prominence.</x:v>
      </x:c>
      <x:c r="BY407" s="14" t="str">
        <x:v>Supplied IMDb cast-list workbook</x:v>
      </x:c>
      <x:c r="BZ4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tt11639300|nm0829815|fernanda robinson</x:v>
      </x:c>
      <x:c r="B408" s="14" t="str">
        <x:v>02</x:v>
      </x:c>
      <x:c r="C408" s="14" t="str">
        <x:v>2021_IMDb_Cast_Lists_Batch_02(1).xlsx</x:v>
      </x:c>
      <x:c r="D408" s="14" t="str">
        <x:v>Grace</x:v>
      </x:c>
      <x:c r="E408" s="14" t="n">
        <x:v>255</x:v>
      </x:c>
      <x:c r="F408" s="14" t="str">
        <x:v>Grace</x:v>
      </x:c>
      <x:c r="G408" s="14" t="str">
        <x:v>tt11639300</x:v>
      </x:c>
      <x:c r="H408" s="14" t="n">
        <x:v>2021</x:v>
      </x:c>
      <x:c r="I408" s="14" t="n">
        <x:v>2023</x:v>
      </x:c>
      <x:c r="J408" s="14" t="str">
        <x:v>Earlier-Production Carry-In Cohort</x:v>
      </x:c>
      <x:c r="K408" s="14" t="n">
        <x:v>2021</x:v>
      </x:c>
      <x:c r="L408" s="14" t="str">
        <x:v>Used in 2023 annual analysis</x:v>
      </x:c>
      <x:c r="M408" s="15" t="n">
        <x:v>248</x:v>
      </x:c>
      <x:c r="N408" s="14" t="str">
        <x:v>Sara Stewart</x:v>
      </x:c>
      <x:c r="O408" s="14" t="str">
        <x:v>nm0829815</x:v>
      </x:c>
      <x:c r="P408" s="14" t="str">
        <x:v>Fernanda Robinson</x:v>
      </x:c>
      <x:c r="Q408" s="15" t="n">
        <x:v>1</x:v>
      </x:c>
      <x:c r="R408" s="14" t="str">
        <x:v>2023</x:v>
      </x:c>
      <x:c r="S408" s="14" t="n">
        <x:v>2023</x:v>
      </x:c>
      <x:c r="T408" s="14" t="n">
        <x:v>2023</x:v>
      </x:c>
      <x:c r="U408" s="14" t="str">
        <x:v>Post-2021 casting excluded</x:v>
      </x:c>
      <x:c r="V408" s="14" t="str">
        <x:v>Earliest supplied year is 2023, later than the 2021 study year.</x:v>
      </x:c>
      <x:c r="W408" s="14"/>
      <x:c r="X408" s="14" t="str">
        <x:v>Included</x:v>
      </x:c>
      <x:c r="Y408" s="14"/>
      <x:c r="Z408" s="14" t="str">
        <x:v>Grace.docx</x:v>
      </x:c>
      <x:c r="AA4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ITV / ITVX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HYPERLINK("https://en.wikipedia.org/wiki/Grace","Open source")</x:f>
        <x:v>HYPERLINK is not implemented. linkLocation=https://en.wikipedia.org/wiki/Grace,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20</x:v>
      </x:c>
      <x:c r="BP408" s="14" t="str">
        <x:v>Maximum eligible IMDb cast-credit total (20), shared by 4 performer(s); not independently verified as a 2021-only episode total.</x:v>
      </x:c>
      <x:c r="BQ408" s="14" t="str">
        <x:v>Medium</x:v>
      </x:c>
      <x:c r="BR408" s="15" t="n">
        <x:v>1</x:v>
      </x:c>
      <x:c r="BS408" s="16" t="n">
        <x:v>0.05</x:v>
      </x:c>
      <x:c r="BT408" s="14" t="str">
        <x:v>One episode</x:v>
      </x:c>
      <x:c r="BU408" s="14" t="str">
        <x:v>Medium</x:v>
      </x:c>
      <x:c r="BV408" s="14" t="str">
        <x:v>Derived from supplied IMDb episode count and the documented production-total proxy.</x:v>
      </x:c>
      <x:c r="BW408" s="14" t="str">
        <x:v>Unable to determine</x:v>
      </x:c>
      <x:c r="BX408" s="14" t="str">
        <x:v>Supplied cast data establishes the credit and episode presence but does not establish narrative prominence.</x:v>
      </x:c>
      <x:c r="BY408" s="14" t="str">
        <x:v>Supplied IMDb cast-list workbook</x:v>
      </x:c>
      <x:c r="BZ4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tt11639300|nm7018296|roxy harris</x:v>
      </x:c>
      <x:c r="B409" s="14" t="str">
        <x:v>02</x:v>
      </x:c>
      <x:c r="C409" s="14" t="str">
        <x:v>2021_IMDb_Cast_Lists_Batch_02(1).xlsx</x:v>
      </x:c>
      <x:c r="D409" s="14" t="str">
        <x:v>Grace</x:v>
      </x:c>
      <x:c r="E409" s="14" t="n">
        <x:v>256</x:v>
      </x:c>
      <x:c r="F409" s="14" t="str">
        <x:v>Grace</x:v>
      </x:c>
      <x:c r="G409" s="14" t="str">
        <x:v>tt11639300</x:v>
      </x:c>
      <x:c r="H409" s="14" t="n">
        <x:v>2021</x:v>
      </x:c>
      <x:c r="I409" s="14" t="n">
        <x:v>2023</x:v>
      </x:c>
      <x:c r="J409" s="14" t="str">
        <x:v>Earlier-Production Carry-In Cohort</x:v>
      </x:c>
      <x:c r="K409" s="14" t="n">
        <x:v>2021</x:v>
      </x:c>
      <x:c r="L409" s="14" t="str">
        <x:v>Used in 2023 annual analysis</x:v>
      </x:c>
      <x:c r="M409" s="15" t="n">
        <x:v>249</x:v>
      </x:c>
      <x:c r="N409" s="14" t="str">
        <x:v>Charlotte Christof</x:v>
      </x:c>
      <x:c r="O409" s="14" t="str">
        <x:v>nm7018296</x:v>
      </x:c>
      <x:c r="P409" s="14" t="str">
        <x:v>Roxy Harris</x:v>
      </x:c>
      <x:c r="Q409" s="15" t="n">
        <x:v>1</x:v>
      </x:c>
      <x:c r="R409" s="14" t="str">
        <x:v>2023</x:v>
      </x:c>
      <x:c r="S409" s="14" t="n">
        <x:v>2023</x:v>
      </x:c>
      <x:c r="T409" s="14" t="n">
        <x:v>2023</x:v>
      </x:c>
      <x:c r="U409" s="14" t="str">
        <x:v>Post-2021 casting excluded</x:v>
      </x:c>
      <x:c r="V409" s="14" t="str">
        <x:v>Earliest supplied year is 2023, later than the 2021 study year.</x:v>
      </x:c>
      <x:c r="W409" s="14"/>
      <x:c r="X409" s="14" t="str">
        <x:v>Included</x:v>
      </x:c>
      <x:c r="Y409" s="14"/>
      <x:c r="Z409" s="14" t="str">
        <x:v>Grace.docx</x:v>
      </x:c>
      <x:c r="AA4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ITV / ITVX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HYPERLINK("https://en.wikipedia.org/wiki/Grace","Open source")</x:f>
        <x:v>HYPERLINK is not implemented. linkLocation=https://en.wikipedia.org/wiki/Grace,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20</x:v>
      </x:c>
      <x:c r="BP409" s="14" t="str">
        <x:v>Maximum eligible IMDb cast-credit total (20), shared by 4 performer(s); not independently verified as a 2021-only episode total.</x:v>
      </x:c>
      <x:c r="BQ409" s="14" t="str">
        <x:v>Medium</x:v>
      </x:c>
      <x:c r="BR409" s="15" t="n">
        <x:v>1</x:v>
      </x:c>
      <x:c r="BS409" s="16" t="n">
        <x:v>0.05</x:v>
      </x:c>
      <x:c r="BT409" s="14" t="str">
        <x:v>One episode</x:v>
      </x:c>
      <x:c r="BU409" s="14" t="str">
        <x:v>Medium</x:v>
      </x:c>
      <x:c r="BV409" s="14" t="str">
        <x:v>Derived from supplied IMDb episode count and the documented production-total proxy.</x:v>
      </x:c>
      <x:c r="BW409" s="14" t="str">
        <x:v>Unable to determine</x:v>
      </x:c>
      <x:c r="BX409" s="14" t="str">
        <x:v>Supplied cast data establishes the credit and episode presence but does not establish narrative prominence.</x:v>
      </x:c>
      <x:c r="BY409" s="14" t="str">
        <x:v>Supplied IMDb cast-list workbook</x:v>
      </x:c>
      <x:c r="BZ4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tt11639300|nm14717182|ginny</x:v>
      </x:c>
      <x:c r="B410" s="14" t="str">
        <x:v>02</x:v>
      </x:c>
      <x:c r="C410" s="14" t="str">
        <x:v>2021_IMDb_Cast_Lists_Batch_02(1).xlsx</x:v>
      </x:c>
      <x:c r="D410" s="14" t="str">
        <x:v>Grace</x:v>
      </x:c>
      <x:c r="E410" s="14" t="n">
        <x:v>257</x:v>
      </x:c>
      <x:c r="F410" s="14" t="str">
        <x:v>Grace</x:v>
      </x:c>
      <x:c r="G410" s="14" t="str">
        <x:v>tt11639300</x:v>
      </x:c>
      <x:c r="H410" s="14" t="n">
        <x:v>2021</x:v>
      </x:c>
      <x:c r="I410" s="14" t="n">
        <x:v>2023</x:v>
      </x:c>
      <x:c r="J410" s="14" t="str">
        <x:v>Earlier-Production Carry-In Cohort</x:v>
      </x:c>
      <x:c r="K410" s="14" t="n">
        <x:v>2021</x:v>
      </x:c>
      <x:c r="L410" s="14" t="str">
        <x:v>Used in 2023 annual analysis</x:v>
      </x:c>
      <x:c r="M410" s="15" t="n">
        <x:v>250</x:v>
      </x:c>
      <x:c r="N410" s="14" t="str">
        <x:v>Nancy Jenkins</x:v>
      </x:c>
      <x:c r="O410" s="14" t="str">
        <x:v>nm14717182</x:v>
      </x:c>
      <x:c r="P410" s="14" t="str">
        <x:v>Ginny</x:v>
      </x:c>
      <x:c r="Q410" s="15" t="n">
        <x:v>1</x:v>
      </x:c>
      <x:c r="R410" s="14" t="str">
        <x:v>2023</x:v>
      </x:c>
      <x:c r="S410" s="14" t="n">
        <x:v>2023</x:v>
      </x:c>
      <x:c r="T410" s="14" t="n">
        <x:v>2023</x:v>
      </x:c>
      <x:c r="U410" s="14" t="str">
        <x:v>Post-2021 casting excluded</x:v>
      </x:c>
      <x:c r="V410" s="14" t="str">
        <x:v>Earliest supplied year is 2023, later than the 2021 study year.</x:v>
      </x:c>
      <x:c r="W410" s="14"/>
      <x:c r="X410" s="14" t="str">
        <x:v>Included</x:v>
      </x:c>
      <x:c r="Y410" s="14"/>
      <x:c r="Z410" s="14" t="str">
        <x:v>Grace.docx</x:v>
      </x:c>
      <x:c r="AA4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ITV / ITVX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HYPERLINK("https://en.wikipedia.org/wiki/Grace","Open source")</x:f>
        <x:v>HYPERLINK is not implemented. linkLocation=https://en.wikipedia.org/wiki/Grace, friendlyName=Open source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20</x:v>
      </x:c>
      <x:c r="BP410" s="14" t="str">
        <x:v>Maximum eligible IMDb cast-credit total (20), shared by 4 performer(s); not independently verified as a 2021-only episode total.</x:v>
      </x:c>
      <x:c r="BQ410" s="14" t="str">
        <x:v>Medium</x:v>
      </x:c>
      <x:c r="BR410" s="15" t="n">
        <x:v>1</x:v>
      </x:c>
      <x:c r="BS410" s="16" t="n">
        <x:v>0.05</x:v>
      </x:c>
      <x:c r="BT410" s="14" t="str">
        <x:v>One episode</x:v>
      </x:c>
      <x:c r="BU410" s="14" t="str">
        <x:v>Medium</x:v>
      </x:c>
      <x:c r="BV410" s="14" t="str">
        <x:v>Derived from supplied IMDb episode count and the documented production-total proxy.</x:v>
      </x:c>
      <x:c r="BW410" s="14" t="str">
        <x:v>Unable to determine</x:v>
      </x:c>
      <x:c r="BX410" s="14" t="str">
        <x:v>Supplied cast data establishes the credit and episode presence but does not establish narrative prominence.</x:v>
      </x:c>
      <x:c r="BY410" s="14" t="str">
        <x:v>Supplied IMDb cast-list workbook</x:v>
      </x:c>
      <x:c r="BZ4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tt11639300|nm12794521|myles royce</x:v>
      </x:c>
      <x:c r="B411" s="14" t="str">
        <x:v>02</x:v>
      </x:c>
      <x:c r="C411" s="14" t="str">
        <x:v>2021_IMDb_Cast_Lists_Batch_02(1).xlsx</x:v>
      </x:c>
      <x:c r="D411" s="14" t="str">
        <x:v>Grace</x:v>
      </x:c>
      <x:c r="E411" s="14" t="n">
        <x:v>272</x:v>
      </x:c>
      <x:c r="F411" s="14" t="str">
        <x:v>Grace</x:v>
      </x:c>
      <x:c r="G411" s="14" t="str">
        <x:v>tt11639300</x:v>
      </x:c>
      <x:c r="H411" s="14" t="n">
        <x:v>2021</x:v>
      </x:c>
      <x:c r="I411" s="14" t="n">
        <x:v>2023</x:v>
      </x:c>
      <x:c r="J411" s="14" t="str">
        <x:v>Earlier-Production Carry-In Cohort</x:v>
      </x:c>
      <x:c r="K411" s="14" t="n">
        <x:v>2021</x:v>
      </x:c>
      <x:c r="L411" s="14" t="str">
        <x:v>Used in 2023 annual analysis</x:v>
      </x:c>
      <x:c r="M411" s="15" t="n">
        <x:v>265</x:v>
      </x:c>
      <x:c r="N411" s="14" t="str">
        <x:v>Mitchell Robertson</x:v>
      </x:c>
      <x:c r="O411" s="14" t="str">
        <x:v>nm12794521</x:v>
      </x:c>
      <x:c r="P411" s="14" t="str">
        <x:v>Myles Royce</x:v>
      </x:c>
      <x:c r="Q411" s="15" t="n">
        <x:v>1</x:v>
      </x:c>
      <x:c r="R411" s="14" t="str">
        <x:v>2023</x:v>
      </x:c>
      <x:c r="S411" s="14" t="n">
        <x:v>2023</x:v>
      </x:c>
      <x:c r="T411" s="14" t="n">
        <x:v>2023</x:v>
      </x:c>
      <x:c r="U411" s="14" t="str">
        <x:v>Post-2021 casting excluded</x:v>
      </x:c>
      <x:c r="V411" s="14" t="str">
        <x:v>Earliest supplied year is 2023, later than the 2021 study year.</x:v>
      </x:c>
      <x:c r="W411" s="14"/>
      <x:c r="X411" s="14" t="str">
        <x:v>Included</x:v>
      </x:c>
      <x:c r="Y411" s="14"/>
      <x:c r="Z411" s="14" t="str">
        <x:v>Grace.docx</x:v>
      </x:c>
      <x:c r="AA4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ITV / ITVX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HYPERLINK("https://en.wikipedia.org/wiki/Grace","Open source")</x:f>
        <x:v>HYPERLINK is not implemented. linkLocation=https://en.wikipedia.org/wiki/Grace, friendlyName=Open source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20</x:v>
      </x:c>
      <x:c r="BP411" s="14" t="str">
        <x:v>Maximum eligible IMDb cast-credit total (20), shared by 4 performer(s); not independently verified as a 2021-only episode total.</x:v>
      </x:c>
      <x:c r="BQ411" s="14" t="str">
        <x:v>Medium</x:v>
      </x:c>
      <x:c r="BR411" s="15" t="n">
        <x:v>1</x:v>
      </x:c>
      <x:c r="BS411" s="16" t="n">
        <x:v>0.05</x:v>
      </x:c>
      <x:c r="BT411" s="14" t="str">
        <x:v>One episode</x:v>
      </x:c>
      <x:c r="BU411" s="14" t="str">
        <x:v>Medium</x:v>
      </x:c>
      <x:c r="BV411" s="14" t="str">
        <x:v>Derived from supplied IMDb episode count and the documented production-total proxy.</x:v>
      </x:c>
      <x:c r="BW411" s="14" t="str">
        <x:v>Unable to determine</x:v>
      </x:c>
      <x:c r="BX411" s="14" t="str">
        <x:v>Supplied cast data establishes the credit and episode presence but does not establish narrative prominence.</x:v>
      </x:c>
      <x:c r="BY411" s="14" t="str">
        <x:v>Supplied IMDb cast-list workbook</x:v>
      </x:c>
      <x:c r="BZ4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tt11639300|nm1036923|june</x:v>
      </x:c>
      <x:c r="B412" s="14" t="str">
        <x:v>02</x:v>
      </x:c>
      <x:c r="C412" s="14" t="str">
        <x:v>2021_IMDb_Cast_Lists_Batch_02(1).xlsx</x:v>
      </x:c>
      <x:c r="D412" s="14" t="str">
        <x:v>Grace</x:v>
      </x:c>
      <x:c r="E412" s="14" t="n">
        <x:v>283</x:v>
      </x:c>
      <x:c r="F412" s="14" t="str">
        <x:v>Grace</x:v>
      </x:c>
      <x:c r="G412" s="14" t="str">
        <x:v>tt11639300</x:v>
      </x:c>
      <x:c r="H412" s="14" t="n">
        <x:v>2021</x:v>
      </x:c>
      <x:c r="I412" s="14" t="n">
        <x:v>2023</x:v>
      </x:c>
      <x:c r="J412" s="14" t="str">
        <x:v>Earlier-Production Carry-In Cohort</x:v>
      </x:c>
      <x:c r="K412" s="14" t="n">
        <x:v>2021</x:v>
      </x:c>
      <x:c r="L412" s="14" t="str">
        <x:v>Used in 2023 annual analysis</x:v>
      </x:c>
      <x:c r="M412" s="15" t="n">
        <x:v>276</x:v>
      </x:c>
      <x:c r="N412" s="14" t="str">
        <x:v>Sarah Thom</x:v>
      </x:c>
      <x:c r="O412" s="14" t="str">
        <x:v>nm1036923</x:v>
      </x:c>
      <x:c r="P412" s="14" t="str">
        <x:v>June</x:v>
      </x:c>
      <x:c r="Q412" s="15" t="n">
        <x:v>1</x:v>
      </x:c>
      <x:c r="R412" s="14" t="str">
        <x:v>2023</x:v>
      </x:c>
      <x:c r="S412" s="14" t="n">
        <x:v>2023</x:v>
      </x:c>
      <x:c r="T412" s="14" t="n">
        <x:v>2023</x:v>
      </x:c>
      <x:c r="U412" s="14" t="str">
        <x:v>Post-2021 casting excluded</x:v>
      </x:c>
      <x:c r="V412" s="14" t="str">
        <x:v>Earliest supplied year is 2023, later than the 2021 study year.</x:v>
      </x:c>
      <x:c r="W412" s="14"/>
      <x:c r="X412" s="14" t="str">
        <x:v>Included</x:v>
      </x:c>
      <x:c r="Y412" s="14"/>
      <x:c r="Z412" s="14" t="str">
        <x:v>Grace.docx</x:v>
      </x:c>
      <x:c r="AA4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ITV / ITVX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HYPERLINK("https://en.wikipedia.org/wiki/Grace","Open source")</x:f>
        <x:v>HYPERLINK is not implemented. linkLocation=https://en.wikipedia.org/wiki/Grace, friendlyName=Open source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20</x:v>
      </x:c>
      <x:c r="BP412" s="14" t="str">
        <x:v>Maximum eligible IMDb cast-credit total (20), shared by 4 performer(s); not independently verified as a 2021-only episode total.</x:v>
      </x:c>
      <x:c r="BQ412" s="14" t="str">
        <x:v>Medium</x:v>
      </x:c>
      <x:c r="BR412" s="15" t="n">
        <x:v>1</x:v>
      </x:c>
      <x:c r="BS412" s="16" t="n">
        <x:v>0.05</x:v>
      </x:c>
      <x:c r="BT412" s="14" t="str">
        <x:v>One episode</x:v>
      </x:c>
      <x:c r="BU412" s="14" t="str">
        <x:v>Medium</x:v>
      </x:c>
      <x:c r="BV412" s="14" t="str">
        <x:v>Derived from supplied IMDb episode count and the documented production-total proxy.</x:v>
      </x:c>
      <x:c r="BW412" s="14" t="str">
        <x:v>Unable to determine</x:v>
      </x:c>
      <x:c r="BX412" s="14" t="str">
        <x:v>Supplied cast data establishes the credit and episode presence but does not establish narrative prominence.</x:v>
      </x:c>
      <x:c r="BY412" s="14" t="str">
        <x:v>Supplied IMDb cast-list workbook</x:v>
      </x:c>
      <x:c r="BZ4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tt11639300|nm13373268|sasha</x:v>
      </x:c>
      <x:c r="B413" s="14" t="str">
        <x:v>02</x:v>
      </x:c>
      <x:c r="C413" s="14" t="str">
        <x:v>2021_IMDb_Cast_Lists_Batch_02(1).xlsx</x:v>
      </x:c>
      <x:c r="D413" s="14" t="str">
        <x:v>Grace</x:v>
      </x:c>
      <x:c r="E413" s="14" t="n">
        <x:v>294</x:v>
      </x:c>
      <x:c r="F413" s="14" t="str">
        <x:v>Grace</x:v>
      </x:c>
      <x:c r="G413" s="14" t="str">
        <x:v>tt11639300</x:v>
      </x:c>
      <x:c r="H413" s="14" t="n">
        <x:v>2021</x:v>
      </x:c>
      <x:c r="I413" s="14" t="n">
        <x:v>2023</x:v>
      </x:c>
      <x:c r="J413" s="14" t="str">
        <x:v>Earlier-Production Carry-In Cohort</x:v>
      </x:c>
      <x:c r="K413" s="14" t="n">
        <x:v>2021</x:v>
      </x:c>
      <x:c r="L413" s="14" t="str">
        <x:v>Used in 2023 annual analysis</x:v>
      </x:c>
      <x:c r="M413" s="15" t="n">
        <x:v>287</x:v>
      </x:c>
      <x:c r="N413" s="14" t="str">
        <x:v>Kiera Lester</x:v>
      </x:c>
      <x:c r="O413" s="14" t="str">
        <x:v>nm13373268</x:v>
      </x:c>
      <x:c r="P413" s="14" t="str">
        <x:v>Sasha</x:v>
      </x:c>
      <x:c r="Q413" s="15" t="n">
        <x:v>1</x:v>
      </x:c>
      <x:c r="R413" s="14" t="str">
        <x:v>2023</x:v>
      </x:c>
      <x:c r="S413" s="14" t="n">
        <x:v>2023</x:v>
      </x:c>
      <x:c r="T413" s="14" t="n">
        <x:v>2023</x:v>
      </x:c>
      <x:c r="U413" s="14" t="str">
        <x:v>Post-2021 casting excluded</x:v>
      </x:c>
      <x:c r="V413" s="14" t="str">
        <x:v>Earliest supplied year is 2023, later than the 2021 study year.</x:v>
      </x:c>
      <x:c r="W413" s="14"/>
      <x:c r="X413" s="14" t="str">
        <x:v>Included</x:v>
      </x:c>
      <x:c r="Y413" s="14"/>
      <x:c r="Z413" s="14" t="str">
        <x:v>Grace.docx</x:v>
      </x:c>
      <x:c r="AA4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ITV / ITVX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HYPERLINK("https://en.wikipedia.org/wiki/Grace","Open source")</x:f>
        <x:v>HYPERLINK is not implemented. linkLocation=https://en.wikipedia.org/wiki/Grace, friendlyName=Open source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20</x:v>
      </x:c>
      <x:c r="BP413" s="14" t="str">
        <x:v>Maximum eligible IMDb cast-credit total (20), shared by 4 performer(s); not independently verified as a 2021-only episode total.</x:v>
      </x:c>
      <x:c r="BQ413" s="14" t="str">
        <x:v>Medium</x:v>
      </x:c>
      <x:c r="BR413" s="15" t="n">
        <x:v>1</x:v>
      </x:c>
      <x:c r="BS413" s="16" t="n">
        <x:v>0.05</x:v>
      </x:c>
      <x:c r="BT413" s="14" t="str">
        <x:v>One episode</x:v>
      </x:c>
      <x:c r="BU413" s="14" t="str">
        <x:v>Medium</x:v>
      </x:c>
      <x:c r="BV413" s="14" t="str">
        <x:v>Derived from supplied IMDb episode count and the documented production-total proxy.</x:v>
      </x:c>
      <x:c r="BW413" s="14" t="str">
        <x:v>Unable to determine</x:v>
      </x:c>
      <x:c r="BX413" s="14" t="str">
        <x:v>Supplied cast data establishes the credit and episode presence but does not establish narrative prominence.</x:v>
      </x:c>
      <x:c r="BY413" s="14" t="str">
        <x:v>Supplied IMDb cast-list workbook</x:v>
      </x:c>
      <x:c r="BZ4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tt11639300|nm3338257|shing hin</x:v>
      </x:c>
      <x:c r="B414" s="14" t="str">
        <x:v>02</x:v>
      </x:c>
      <x:c r="C414" s="14" t="str">
        <x:v>2021_IMDb_Cast_Lists_Batch_02(1).xlsx</x:v>
      </x:c>
      <x:c r="D414" s="14" t="str">
        <x:v>Grace</x:v>
      </x:c>
      <x:c r="E414" s="14" t="n">
        <x:v>295</x:v>
      </x:c>
      <x:c r="F414" s="14" t="str">
        <x:v>Grace</x:v>
      </x:c>
      <x:c r="G414" s="14" t="str">
        <x:v>tt11639300</x:v>
      </x:c>
      <x:c r="H414" s="14" t="n">
        <x:v>2021</x:v>
      </x:c>
      <x:c r="I414" s="14" t="n">
        <x:v>2023</x:v>
      </x:c>
      <x:c r="J414" s="14" t="str">
        <x:v>Earlier-Production Carry-In Cohort</x:v>
      </x:c>
      <x:c r="K414" s="14" t="n">
        <x:v>2021</x:v>
      </x:c>
      <x:c r="L414" s="14" t="str">
        <x:v>Used in 2023 annual analysis</x:v>
      </x:c>
      <x:c r="M414" s="15" t="n">
        <x:v>288</x:v>
      </x:c>
      <x:c r="N414" s="14" t="str">
        <x:v>Andy Cheung</x:v>
      </x:c>
      <x:c r="O414" s="14" t="str">
        <x:v>nm3338257</x:v>
      </x:c>
      <x:c r="P414" s="14" t="str">
        <x:v>Shing Hin</x:v>
      </x:c>
      <x:c r="Q414" s="15" t="n">
        <x:v>1</x:v>
      </x:c>
      <x:c r="R414" s="14" t="str">
        <x:v>2023</x:v>
      </x:c>
      <x:c r="S414" s="14" t="n">
        <x:v>2023</x:v>
      </x:c>
      <x:c r="T414" s="14" t="n">
        <x:v>2023</x:v>
      </x:c>
      <x:c r="U414" s="14" t="str">
        <x:v>Post-2021 casting excluded</x:v>
      </x:c>
      <x:c r="V414" s="14" t="str">
        <x:v>Earliest supplied year is 2023, later than the 2021 study year.</x:v>
      </x:c>
      <x:c r="W414" s="14"/>
      <x:c r="X414" s="14" t="str">
        <x:v>Included</x:v>
      </x:c>
      <x:c r="Y414" s="14"/>
      <x:c r="Z414" s="14" t="str">
        <x:v>Grace.docx</x:v>
      </x:c>
      <x:c r="AA41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ITV / ITVX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HYPERLINK("https://en.wikipedia.org/wiki/Grace","Open source")</x:f>
        <x:v>HYPERLINK is not implemented. linkLocation=https://en.wikipedia.org/wiki/Grace, friendlyName=Open source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20</x:v>
      </x:c>
      <x:c r="BP414" s="14" t="str">
        <x:v>Maximum eligible IMDb cast-credit total (20), shared by 4 performer(s); not independently verified as a 2021-only episode total.</x:v>
      </x:c>
      <x:c r="BQ414" s="14" t="str">
        <x:v>Medium</x:v>
      </x:c>
      <x:c r="BR414" s="15" t="n">
        <x:v>1</x:v>
      </x:c>
      <x:c r="BS414" s="16" t="n">
        <x:v>0.05</x:v>
      </x:c>
      <x:c r="BT414" s="14" t="str">
        <x:v>One episode</x:v>
      </x:c>
      <x:c r="BU414" s="14" t="str">
        <x:v>Medium</x:v>
      </x:c>
      <x:c r="BV414" s="14" t="str">
        <x:v>Derived from supplied IMDb episode count and the documented production-total proxy.</x:v>
      </x:c>
      <x:c r="BW414" s="14" t="str">
        <x:v>Unable to determine</x:v>
      </x:c>
      <x:c r="BX414" s="14" t="str">
        <x:v>Supplied cast data establishes the credit and episode presence but does not establish narrative prominence.</x:v>
      </x:c>
      <x:c r="BY414" s="14" t="str">
        <x:v>Supplied IMDb cast-list workbook</x:v>
      </x:c>
      <x:c r="BZ41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tt11639300|nm0111796|maggie</x:v>
      </x:c>
      <x:c r="B415" s="14" t="str">
        <x:v>02</x:v>
      </x:c>
      <x:c r="C415" s="14" t="str">
        <x:v>2021_IMDb_Cast_Lists_Batch_02(1).xlsx</x:v>
      </x:c>
      <x:c r="D415" s="14" t="str">
        <x:v>Grace</x:v>
      </x:c>
      <x:c r="E415" s="14" t="n">
        <x:v>302</x:v>
      </x:c>
      <x:c r="F415" s="14" t="str">
        <x:v>Grace</x:v>
      </x:c>
      <x:c r="G415" s="14" t="str">
        <x:v>tt11639300</x:v>
      </x:c>
      <x:c r="H415" s="14" t="n">
        <x:v>2021</x:v>
      </x:c>
      <x:c r="I415" s="14" t="n">
        <x:v>2023</x:v>
      </x:c>
      <x:c r="J415" s="14" t="str">
        <x:v>Earlier-Production Carry-In Cohort</x:v>
      </x:c>
      <x:c r="K415" s="14" t="n">
        <x:v>2021</x:v>
      </x:c>
      <x:c r="L415" s="14" t="str">
        <x:v>Used in 2023 annual analysis</x:v>
      </x:c>
      <x:c r="M415" s="15" t="n">
        <x:v>295</x:v>
      </x:c>
      <x:c r="N415" s="14" t="str">
        <x:v>Joanna Brookes</x:v>
      </x:c>
      <x:c r="O415" s="14" t="str">
        <x:v>nm0111796</x:v>
      </x:c>
      <x:c r="P415" s="14" t="str">
        <x:v>Maggie</x:v>
      </x:c>
      <x:c r="Q415" s="15" t="n">
        <x:v>1</x:v>
      </x:c>
      <x:c r="R415" s="14" t="str">
        <x:v>2023</x:v>
      </x:c>
      <x:c r="S415" s="14" t="n">
        <x:v>2023</x:v>
      </x:c>
      <x:c r="T415" s="14" t="n">
        <x:v>2023</x:v>
      </x:c>
      <x:c r="U415" s="14" t="str">
        <x:v>Post-2021 casting excluded</x:v>
      </x:c>
      <x:c r="V415" s="14" t="str">
        <x:v>Earliest supplied year is 2023, later than the 2021 study year.</x:v>
      </x:c>
      <x:c r="W415" s="14"/>
      <x:c r="X415" s="14" t="str">
        <x:v>Included</x:v>
      </x:c>
      <x:c r="Y415" s="14"/>
      <x:c r="Z415" s="14" t="str">
        <x:v>Grace.docx</x:v>
      </x:c>
      <x:c r="AA41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ITV / ITVX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HYPERLINK("https://en.wikipedia.org/wiki/Grace","Open source")</x:f>
        <x:v>HYPERLINK is not implemented. linkLocation=https://en.wikipedia.org/wiki/Grace, friendlyName=Open source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20</x:v>
      </x:c>
      <x:c r="BP415" s="14" t="str">
        <x:v>Maximum eligible IMDb cast-credit total (20), shared by 4 performer(s); not independently verified as a 2021-only episode total.</x:v>
      </x:c>
      <x:c r="BQ415" s="14" t="str">
        <x:v>Medium</x:v>
      </x:c>
      <x:c r="BR415" s="15" t="n">
        <x:v>1</x:v>
      </x:c>
      <x:c r="BS415" s="16" t="n">
        <x:v>0.05</x:v>
      </x:c>
      <x:c r="BT415" s="14" t="str">
        <x:v>One episode</x:v>
      </x:c>
      <x:c r="BU415" s="14" t="str">
        <x:v>Medium</x:v>
      </x:c>
      <x:c r="BV415" s="14" t="str">
        <x:v>Derived from supplied IMDb episode count and the documented production-total proxy.</x:v>
      </x:c>
      <x:c r="BW415" s="14" t="str">
        <x:v>Unable to determine</x:v>
      </x:c>
      <x:c r="BX415" s="14" t="str">
        <x:v>Supplied cast data establishes the credit and episode presence but does not establish narrative prominence.</x:v>
      </x:c>
      <x:c r="BY415" s="14" t="str">
        <x:v>Supplied IMDb cast-list workbook</x:v>
      </x:c>
      <x:c r="BZ41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tt11639300|nm14693202|bruno</x:v>
      </x:c>
      <x:c r="B416" s="14" t="str">
        <x:v>02</x:v>
      </x:c>
      <x:c r="C416" s="14" t="str">
        <x:v>2021_IMDb_Cast_Lists_Batch_02(1).xlsx</x:v>
      </x:c>
      <x:c r="D416" s="14" t="str">
        <x:v>Grace</x:v>
      </x:c>
      <x:c r="E416" s="14" t="n">
        <x:v>303</x:v>
      </x:c>
      <x:c r="F416" s="14" t="str">
        <x:v>Grace</x:v>
      </x:c>
      <x:c r="G416" s="14" t="str">
        <x:v>tt11639300</x:v>
      </x:c>
      <x:c r="H416" s="14" t="n">
        <x:v>2021</x:v>
      </x:c>
      <x:c r="I416" s="14" t="n">
        <x:v>2023</x:v>
      </x:c>
      <x:c r="J416" s="14" t="str">
        <x:v>Earlier-Production Carry-In Cohort</x:v>
      </x:c>
      <x:c r="K416" s="14" t="n">
        <x:v>2021</x:v>
      </x:c>
      <x:c r="L416" s="14" t="str">
        <x:v>Used in 2023 annual analysis</x:v>
      </x:c>
      <x:c r="M416" s="15" t="n">
        <x:v>296</x:v>
      </x:c>
      <x:c r="N416" s="14" t="str">
        <x:v>Marko Curteanu</x:v>
      </x:c>
      <x:c r="O416" s="14" t="str">
        <x:v>nm14693202</x:v>
      </x:c>
      <x:c r="P416" s="14" t="str">
        <x:v>Bruno</x:v>
      </x:c>
      <x:c r="Q416" s="15" t="n">
        <x:v>1</x:v>
      </x:c>
      <x:c r="R416" s="14" t="str">
        <x:v>2023</x:v>
      </x:c>
      <x:c r="S416" s="14" t="n">
        <x:v>2023</x:v>
      </x:c>
      <x:c r="T416" s="14" t="n">
        <x:v>2023</x:v>
      </x:c>
      <x:c r="U416" s="14" t="str">
        <x:v>Post-2021 casting excluded</x:v>
      </x:c>
      <x:c r="V416" s="14" t="str">
        <x:v>Earliest supplied year is 2023, later than the 2021 study year.</x:v>
      </x:c>
      <x:c r="W416" s="14"/>
      <x:c r="X416" s="14" t="str">
        <x:v>Included</x:v>
      </x:c>
      <x:c r="Y416" s="14"/>
      <x:c r="Z416" s="14" t="str">
        <x:v>Grace.docx</x:v>
      </x:c>
      <x:c r="AA41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ITV / ITVX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HYPERLINK("https://en.wikipedia.org/wiki/Grace","Open source")</x:f>
        <x:v>HYPERLINK is not implemented. linkLocation=https://en.wikipedia.org/wiki/Grace, friendlyName=Open source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20</x:v>
      </x:c>
      <x:c r="BP416" s="14" t="str">
        <x:v>Maximum eligible IMDb cast-credit total (20), shared by 4 performer(s); not independently verified as a 2021-only episode total.</x:v>
      </x:c>
      <x:c r="BQ416" s="14" t="str">
        <x:v>Medium</x:v>
      </x:c>
      <x:c r="BR416" s="15" t="n">
        <x:v>1</x:v>
      </x:c>
      <x:c r="BS416" s="16" t="n">
        <x:v>0.05</x:v>
      </x:c>
      <x:c r="BT416" s="14" t="str">
        <x:v>One episode</x:v>
      </x:c>
      <x:c r="BU416" s="14" t="str">
        <x:v>Medium</x:v>
      </x:c>
      <x:c r="BV416" s="14" t="str">
        <x:v>Derived from supplied IMDb episode count and the documented production-total proxy.</x:v>
      </x:c>
      <x:c r="BW416" s="14" t="str">
        <x:v>Unable to determine</x:v>
      </x:c>
      <x:c r="BX416" s="14" t="str">
        <x:v>Supplied cast data establishes the credit and episode presence but does not establish narrative prominence.</x:v>
      </x:c>
      <x:c r="BY416" s="14" t="str">
        <x:v>Supplied IMDb cast-list workbook</x:v>
      </x:c>
      <x:c r="BZ41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tt11639300|nm0998162|dominic pope</x:v>
      </x:c>
      <x:c r="B417" s="14" t="str">
        <x:v>02</x:v>
      </x:c>
      <x:c r="C417" s="14" t="str">
        <x:v>2021_IMDb_Cast_Lists_Batch_02(1).xlsx</x:v>
      </x:c>
      <x:c r="D417" s="14" t="str">
        <x:v>Grace</x:v>
      </x:c>
      <x:c r="E417" s="14" t="n">
        <x:v>311</x:v>
      </x:c>
      <x:c r="F417" s="14" t="str">
        <x:v>Grace</x:v>
      </x:c>
      <x:c r="G417" s="14" t="str">
        <x:v>tt11639300</x:v>
      </x:c>
      <x:c r="H417" s="14" t="n">
        <x:v>2021</x:v>
      </x:c>
      <x:c r="I417" s="14" t="n">
        <x:v>2023</x:v>
      </x:c>
      <x:c r="J417" s="14" t="str">
        <x:v>Earlier-Production Carry-In Cohort</x:v>
      </x:c>
      <x:c r="K417" s="14" t="n">
        <x:v>2021</x:v>
      </x:c>
      <x:c r="L417" s="14" t="str">
        <x:v>Used in 2023 annual analysis</x:v>
      </x:c>
      <x:c r="M417" s="15" t="n">
        <x:v>304</x:v>
      </x:c>
      <x:c r="N417" s="14" t="str">
        <x:v>Nicholas Tizzard</x:v>
      </x:c>
      <x:c r="O417" s="14" t="str">
        <x:v>nm0998162</x:v>
      </x:c>
      <x:c r="P417" s="14" t="str">
        <x:v>Dominic Pope</x:v>
      </x:c>
      <x:c r="Q417" s="15" t="n">
        <x:v>1</x:v>
      </x:c>
      <x:c r="R417" s="14" t="str">
        <x:v>2023</x:v>
      </x:c>
      <x:c r="S417" s="14" t="n">
        <x:v>2023</x:v>
      </x:c>
      <x:c r="T417" s="14" t="n">
        <x:v>2023</x:v>
      </x:c>
      <x:c r="U417" s="14" t="str">
        <x:v>Post-2021 casting excluded</x:v>
      </x:c>
      <x:c r="V417" s="14" t="str">
        <x:v>Earliest supplied year is 2023, later than the 2021 study year.</x:v>
      </x:c>
      <x:c r="W417" s="14"/>
      <x:c r="X417" s="14" t="str">
        <x:v>Included</x:v>
      </x:c>
      <x:c r="Y417" s="14" t="str">
        <x:v>(as Nicholas Tizzar)</x:v>
      </x:c>
      <x:c r="Z417" s="14" t="str">
        <x:v>Grace.docx</x:v>
      </x:c>
      <x:c r="AA41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ITV / ITVX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HYPERLINK("https://en.wikipedia.org/wiki/Grace","Open source")</x:f>
        <x:v>HYPERLINK is not implemented. linkLocation=https://en.wikipedia.org/wiki/Grace, friendlyName=Open source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20</x:v>
      </x:c>
      <x:c r="BP417" s="14" t="str">
        <x:v>Maximum eligible IMDb cast-credit total (20), shared by 4 performer(s); not independently verified as a 2021-only episode total.</x:v>
      </x:c>
      <x:c r="BQ417" s="14" t="str">
        <x:v>Medium</x:v>
      </x:c>
      <x:c r="BR417" s="15" t="n">
        <x:v>1</x:v>
      </x:c>
      <x:c r="BS417" s="16" t="n">
        <x:v>0.05</x:v>
      </x:c>
      <x:c r="BT417" s="14" t="str">
        <x:v>One episode</x:v>
      </x:c>
      <x:c r="BU417" s="14" t="str">
        <x:v>Medium</x:v>
      </x:c>
      <x:c r="BV417" s="14" t="str">
        <x:v>Derived from supplied IMDb episode count and the documented production-total proxy.</x:v>
      </x:c>
      <x:c r="BW417" s="14" t="str">
        <x:v>Unable to determine</x:v>
      </x:c>
      <x:c r="BX417" s="14" t="str">
        <x:v>Supplied cast data establishes the credit and episode presence but does not establish narrative prominence.</x:v>
      </x:c>
      <x:c r="BY417" s="14" t="str">
        <x:v>Supplied IMDb cast-list workbook</x:v>
      </x:c>
      <x:c r="BZ41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tt11639300|nm9269247|tyler</x:v>
      </x:c>
      <x:c r="B418" s="14" t="str">
        <x:v>02</x:v>
      </x:c>
      <x:c r="C418" s="14" t="str">
        <x:v>2021_IMDb_Cast_Lists_Batch_02(1).xlsx</x:v>
      </x:c>
      <x:c r="D418" s="14" t="str">
        <x:v>Grace</x:v>
      </x:c>
      <x:c r="E418" s="14" t="n">
        <x:v>312</x:v>
      </x:c>
      <x:c r="F418" s="14" t="str">
        <x:v>Grace</x:v>
      </x:c>
      <x:c r="G418" s="14" t="str">
        <x:v>tt11639300</x:v>
      </x:c>
      <x:c r="H418" s="14" t="n">
        <x:v>2021</x:v>
      </x:c>
      <x:c r="I418" s="14" t="n">
        <x:v>2023</x:v>
      </x:c>
      <x:c r="J418" s="14" t="str">
        <x:v>Earlier-Production Carry-In Cohort</x:v>
      </x:c>
      <x:c r="K418" s="14" t="n">
        <x:v>2021</x:v>
      </x:c>
      <x:c r="L418" s="14" t="str">
        <x:v>Used in 2023 annual analysis</x:v>
      </x:c>
      <x:c r="M418" s="15" t="n">
        <x:v>305</x:v>
      </x:c>
      <x:c r="N418" s="14" t="str">
        <x:v>Dan Nicholson</x:v>
      </x:c>
      <x:c r="O418" s="14" t="str">
        <x:v>nm9269247</x:v>
      </x:c>
      <x:c r="P418" s="14" t="str">
        <x:v>Tyler</x:v>
      </x:c>
      <x:c r="Q418" s="15" t="n">
        <x:v>1</x:v>
      </x:c>
      <x:c r="R418" s="14" t="str">
        <x:v>2023</x:v>
      </x:c>
      <x:c r="S418" s="14" t="n">
        <x:v>2023</x:v>
      </x:c>
      <x:c r="T418" s="14" t="n">
        <x:v>2023</x:v>
      </x:c>
      <x:c r="U418" s="14" t="str">
        <x:v>Post-2021 casting excluded</x:v>
      </x:c>
      <x:c r="V418" s="14" t="str">
        <x:v>Earliest supplied year is 2023, later than the 2021 study year.</x:v>
      </x:c>
      <x:c r="W418" s="14"/>
      <x:c r="X418" s="14" t="str">
        <x:v>Included</x:v>
      </x:c>
      <x:c r="Y418" s="14"/>
      <x:c r="Z418" s="14" t="str">
        <x:v>Grace.docx</x:v>
      </x:c>
      <x:c r="AA41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ITV / ITVX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HYPERLINK("https://en.wikipedia.org/wiki/Grace","Open source")</x:f>
        <x:v>HYPERLINK is not implemented. linkLocation=https://en.wikipedia.org/wiki/Grace, friendlyName=Open source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20</x:v>
      </x:c>
      <x:c r="BP418" s="14" t="str">
        <x:v>Maximum eligible IMDb cast-credit total (20), shared by 4 performer(s); not independently verified as a 2021-only episode total.</x:v>
      </x:c>
      <x:c r="BQ418" s="14" t="str">
        <x:v>Medium</x:v>
      </x:c>
      <x:c r="BR418" s="15" t="n">
        <x:v>1</x:v>
      </x:c>
      <x:c r="BS418" s="16" t="n">
        <x:v>0.05</x:v>
      </x:c>
      <x:c r="BT418" s="14" t="str">
        <x:v>One episode</x:v>
      </x:c>
      <x:c r="BU418" s="14" t="str">
        <x:v>Medium</x:v>
      </x:c>
      <x:c r="BV418" s="14" t="str">
        <x:v>Derived from supplied IMDb episode count and the documented production-total proxy.</x:v>
      </x:c>
      <x:c r="BW418" s="14" t="str">
        <x:v>Unable to determine</x:v>
      </x:c>
      <x:c r="BX418" s="14" t="str">
        <x:v>Supplied cast data establishes the credit and episode presence but does not establish narrative prominence.</x:v>
      </x:c>
      <x:c r="BY418" s="14" t="str">
        <x:v>Supplied IMDb cast-list workbook</x:v>
      </x:c>
      <x:c r="BZ41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tt11639300|nm5242640|pippa starling</x:v>
      </x:c>
      <x:c r="B419" s="14" t="str">
        <x:v>02</x:v>
      </x:c>
      <x:c r="C419" s="14" t="str">
        <x:v>2021_IMDb_Cast_Lists_Batch_02(1).xlsx</x:v>
      </x:c>
      <x:c r="D419" s="14" t="str">
        <x:v>Grace</x:v>
      </x:c>
      <x:c r="E419" s="14" t="n">
        <x:v>317</x:v>
      </x:c>
      <x:c r="F419" s="14" t="str">
        <x:v>Grace</x:v>
      </x:c>
      <x:c r="G419" s="14" t="str">
        <x:v>tt11639300</x:v>
      </x:c>
      <x:c r="H419" s="14" t="n">
        <x:v>2021</x:v>
      </x:c>
      <x:c r="I419" s="14" t="n">
        <x:v>2023</x:v>
      </x:c>
      <x:c r="J419" s="14" t="str">
        <x:v>Earlier-Production Carry-In Cohort</x:v>
      </x:c>
      <x:c r="K419" s="14" t="n">
        <x:v>2021</x:v>
      </x:c>
      <x:c r="L419" s="14" t="str">
        <x:v>Used in 2023 annual analysis</x:v>
      </x:c>
      <x:c r="M419" s="15" t="n">
        <x:v>310</x:v>
      </x:c>
      <x:c r="N419" s="14" t="str">
        <x:v>Claudia Jolly</x:v>
      </x:c>
      <x:c r="O419" s="14" t="str">
        <x:v>nm5242640</x:v>
      </x:c>
      <x:c r="P419" s="14" t="str">
        <x:v>Pippa Starling</x:v>
      </x:c>
      <x:c r="Q419" s="15" t="n">
        <x:v>1</x:v>
      </x:c>
      <x:c r="R419" s="14" t="str">
        <x:v>2023</x:v>
      </x:c>
      <x:c r="S419" s="14" t="n">
        <x:v>2023</x:v>
      </x:c>
      <x:c r="T419" s="14" t="n">
        <x:v>2023</x:v>
      </x:c>
      <x:c r="U419" s="14" t="str">
        <x:v>Post-2021 casting excluded</x:v>
      </x:c>
      <x:c r="V419" s="14" t="str">
        <x:v>Earliest supplied year is 2023, later than the 2021 study year.</x:v>
      </x:c>
      <x:c r="W419" s="14"/>
      <x:c r="X419" s="14" t="str">
        <x:v>Included</x:v>
      </x:c>
      <x:c r="Y419" s="14"/>
      <x:c r="Z419" s="14" t="str">
        <x:v>Grace.docx</x:v>
      </x:c>
      <x:c r="AA41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ITV / ITVX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HYPERLINK("https://en.wikipedia.org/wiki/Grace","Open source")</x:f>
        <x:v>HYPERLINK is not implemented. linkLocation=https://en.wikipedia.org/wiki/Grace, friendlyName=Open source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20</x:v>
      </x:c>
      <x:c r="BP419" s="14" t="str">
        <x:v>Maximum eligible IMDb cast-credit total (20), shared by 4 performer(s); not independently verified as a 2021-only episode total.</x:v>
      </x:c>
      <x:c r="BQ419" s="14" t="str">
        <x:v>Medium</x:v>
      </x:c>
      <x:c r="BR419" s="15" t="n">
        <x:v>1</x:v>
      </x:c>
      <x:c r="BS419" s="16" t="n">
        <x:v>0.05</x:v>
      </x:c>
      <x:c r="BT419" s="14" t="str">
        <x:v>One episode</x:v>
      </x:c>
      <x:c r="BU419" s="14" t="str">
        <x:v>Medium</x:v>
      </x:c>
      <x:c r="BV419" s="14" t="str">
        <x:v>Derived from supplied IMDb episode count and the documented production-total proxy.</x:v>
      </x:c>
      <x:c r="BW419" s="14" t="str">
        <x:v>Unable to determine</x:v>
      </x:c>
      <x:c r="BX419" s="14" t="str">
        <x:v>Supplied cast data establishes the credit and episode presence but does not establish narrative prominence.</x:v>
      </x:c>
      <x:c r="BY419" s="14" t="str">
        <x:v>Supplied IMDb cast-list workbook</x:v>
      </x:c>
      <x:c r="BZ41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tt11639300|nm1344254|jenny coram</x:v>
      </x:c>
      <x:c r="B420" s="14" t="str">
        <x:v>02</x:v>
      </x:c>
      <x:c r="C420" s="14" t="str">
        <x:v>2021_IMDb_Cast_Lists_Batch_02(1).xlsx</x:v>
      </x:c>
      <x:c r="D420" s="14" t="str">
        <x:v>Grace</x:v>
      </x:c>
      <x:c r="E420" s="14" t="n">
        <x:v>318</x:v>
      </x:c>
      <x:c r="F420" s="14" t="str">
        <x:v>Grace</x:v>
      </x:c>
      <x:c r="G420" s="14" t="str">
        <x:v>tt11639300</x:v>
      </x:c>
      <x:c r="H420" s="14" t="n">
        <x:v>2021</x:v>
      </x:c>
      <x:c r="I420" s="14" t="n">
        <x:v>2023</x:v>
      </x:c>
      <x:c r="J420" s="14" t="str">
        <x:v>Earlier-Production Carry-In Cohort</x:v>
      </x:c>
      <x:c r="K420" s="14" t="n">
        <x:v>2021</x:v>
      </x:c>
      <x:c r="L420" s="14" t="str">
        <x:v>Used in 2023 annual analysis</x:v>
      </x:c>
      <x:c r="M420" s="15" t="n">
        <x:v>311</x:v>
      </x:c>
      <x:c r="N420" s="14" t="str">
        <x:v>Saskia Butler</x:v>
      </x:c>
      <x:c r="O420" s="14" t="str">
        <x:v>nm1344254</x:v>
      </x:c>
      <x:c r="P420" s="14" t="str">
        <x:v>Jenny Coram</x:v>
      </x:c>
      <x:c r="Q420" s="15" t="n">
        <x:v>1</x:v>
      </x:c>
      <x:c r="R420" s="14" t="str">
        <x:v>2023</x:v>
      </x:c>
      <x:c r="S420" s="14" t="n">
        <x:v>2023</x:v>
      </x:c>
      <x:c r="T420" s="14" t="n">
        <x:v>2023</x:v>
      </x:c>
      <x:c r="U420" s="14" t="str">
        <x:v>Post-2021 casting excluded</x:v>
      </x:c>
      <x:c r="V420" s="14" t="str">
        <x:v>Earliest supplied year is 2023, later than the 2021 study year.</x:v>
      </x:c>
      <x:c r="W420" s="14"/>
      <x:c r="X420" s="14" t="str">
        <x:v>Included</x:v>
      </x:c>
      <x:c r="Y420" s="14"/>
      <x:c r="Z420" s="14" t="str">
        <x:v>Grace.docx</x:v>
      </x:c>
      <x:c r="AA42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ITV / ITVX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HYPERLINK("https://en.wikipedia.org/wiki/Grace","Open source")</x:f>
        <x:v>HYPERLINK is not implemented. linkLocation=https://en.wikipedia.org/wiki/Grace, friendlyName=Open source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20</x:v>
      </x:c>
      <x:c r="BP420" s="14" t="str">
        <x:v>Maximum eligible IMDb cast-credit total (20), shared by 4 performer(s); not independently verified as a 2021-only episode total.</x:v>
      </x:c>
      <x:c r="BQ420" s="14" t="str">
        <x:v>Medium</x:v>
      </x:c>
      <x:c r="BR420" s="15" t="n">
        <x:v>1</x:v>
      </x:c>
      <x:c r="BS420" s="16" t="n">
        <x:v>0.05</x:v>
      </x:c>
      <x:c r="BT420" s="14" t="str">
        <x:v>One episode</x:v>
      </x:c>
      <x:c r="BU420" s="14" t="str">
        <x:v>Medium</x:v>
      </x:c>
      <x:c r="BV420" s="14" t="str">
        <x:v>Derived from supplied IMDb episode count and the documented production-total proxy.</x:v>
      </x:c>
      <x:c r="BW420" s="14" t="str">
        <x:v>Unable to determine</x:v>
      </x:c>
      <x:c r="BX420" s="14" t="str">
        <x:v>Supplied cast data establishes the credit and episode presence but does not establish narrative prominence.</x:v>
      </x:c>
      <x:c r="BY420" s="14" t="str">
        <x:v>Supplied IMDb cast-list workbook</x:v>
      </x:c>
      <x:c r="BZ42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tt11639300|nm1433038|nicky</x:v>
      </x:c>
      <x:c r="B421" s="14" t="str">
        <x:v>02</x:v>
      </x:c>
      <x:c r="C421" s="14" t="str">
        <x:v>2021_IMDb_Cast_Lists_Batch_02(1).xlsx</x:v>
      </x:c>
      <x:c r="D421" s="14" t="str">
        <x:v>Grace</x:v>
      </x:c>
      <x:c r="E421" s="14" t="n">
        <x:v>327</x:v>
      </x:c>
      <x:c r="F421" s="14" t="str">
        <x:v>Grace</x:v>
      </x:c>
      <x:c r="G421" s="14" t="str">
        <x:v>tt11639300</x:v>
      </x:c>
      <x:c r="H421" s="14" t="n">
        <x:v>2021</x:v>
      </x:c>
      <x:c r="I421" s="14" t="n">
        <x:v>2023</x:v>
      </x:c>
      <x:c r="J421" s="14" t="str">
        <x:v>Earlier-Production Carry-In Cohort</x:v>
      </x:c>
      <x:c r="K421" s="14" t="n">
        <x:v>2021</x:v>
      </x:c>
      <x:c r="L421" s="14" t="str">
        <x:v>Used in 2023 annual analysis</x:v>
      </x:c>
      <x:c r="M421" s="15" t="n">
        <x:v>320</x:v>
      </x:c>
      <x:c r="N421" s="14" t="str">
        <x:v>Katy Brittain</x:v>
      </x:c>
      <x:c r="O421" s="14" t="str">
        <x:v>nm1433038</x:v>
      </x:c>
      <x:c r="P421" s="14" t="str">
        <x:v>Nicky</x:v>
      </x:c>
      <x:c r="Q421" s="15" t="n">
        <x:v>1</x:v>
      </x:c>
      <x:c r="R421" s="14" t="str">
        <x:v>2023</x:v>
      </x:c>
      <x:c r="S421" s="14" t="n">
        <x:v>2023</x:v>
      </x:c>
      <x:c r="T421" s="14" t="n">
        <x:v>2023</x:v>
      </x:c>
      <x:c r="U421" s="14" t="str">
        <x:v>Post-2021 casting excluded</x:v>
      </x:c>
      <x:c r="V421" s="14" t="str">
        <x:v>Earliest supplied year is 2023, later than the 2021 study year.</x:v>
      </x:c>
      <x:c r="W421" s="14"/>
      <x:c r="X421" s="14" t="str">
        <x:v>Included</x:v>
      </x:c>
      <x:c r="Y421" s="14"/>
      <x:c r="Z421" s="14" t="str">
        <x:v>Grace.docx</x:v>
      </x:c>
      <x:c r="AA42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ITV / ITVX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HYPERLINK("https://en.wikipedia.org/wiki/Grace","Open source")</x:f>
        <x:v>HYPERLINK is not implemented. linkLocation=https://en.wikipedia.org/wiki/Grace, friendlyName=Open source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20</x:v>
      </x:c>
      <x:c r="BP421" s="14" t="str">
        <x:v>Maximum eligible IMDb cast-credit total (20), shared by 4 performer(s); not independently verified as a 2021-only episode total.</x:v>
      </x:c>
      <x:c r="BQ421" s="14" t="str">
        <x:v>Medium</x:v>
      </x:c>
      <x:c r="BR421" s="15" t="n">
        <x:v>1</x:v>
      </x:c>
      <x:c r="BS421" s="16" t="n">
        <x:v>0.05</x:v>
      </x:c>
      <x:c r="BT421" s="14" t="str">
        <x:v>One episode</x:v>
      </x:c>
      <x:c r="BU421" s="14" t="str">
        <x:v>Medium</x:v>
      </x:c>
      <x:c r="BV421" s="14" t="str">
        <x:v>Derived from supplied IMDb episode count and the documented production-total proxy.</x:v>
      </x:c>
      <x:c r="BW421" s="14" t="str">
        <x:v>Unable to determine</x:v>
      </x:c>
      <x:c r="BX421" s="14" t="str">
        <x:v>Supplied cast data establishes the credit and episode presence but does not establish narrative prominence.</x:v>
      </x:c>
      <x:c r="BY421" s="14" t="str">
        <x:v>Supplied IMDb cast-list workbook</x:v>
      </x:c>
      <x:c r="BZ42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tt11639300|nm9768698|jesse</x:v>
      </x:c>
      <x:c r="B422" s="14" t="str">
        <x:v>02</x:v>
      </x:c>
      <x:c r="C422" s="14" t="str">
        <x:v>2021_IMDb_Cast_Lists_Batch_02(1).xlsx</x:v>
      </x:c>
      <x:c r="D422" s="14" t="str">
        <x:v>Grace</x:v>
      </x:c>
      <x:c r="E422" s="14" t="n">
        <x:v>335</x:v>
      </x:c>
      <x:c r="F422" s="14" t="str">
        <x:v>Grace</x:v>
      </x:c>
      <x:c r="G422" s="14" t="str">
        <x:v>tt11639300</x:v>
      </x:c>
      <x:c r="H422" s="14" t="n">
        <x:v>2021</x:v>
      </x:c>
      <x:c r="I422" s="14" t="n">
        <x:v>2023</x:v>
      </x:c>
      <x:c r="J422" s="14" t="str">
        <x:v>Earlier-Production Carry-In Cohort</x:v>
      </x:c>
      <x:c r="K422" s="14" t="n">
        <x:v>2021</x:v>
      </x:c>
      <x:c r="L422" s="14" t="str">
        <x:v>Used in 2023 annual analysis</x:v>
      </x:c>
      <x:c r="M422" s="15" t="n">
        <x:v>328</x:v>
      </x:c>
      <x:c r="N422" s="14" t="str">
        <x:v>Molly Harris</x:v>
      </x:c>
      <x:c r="O422" s="14" t="str">
        <x:v>nm9768698</x:v>
      </x:c>
      <x:c r="P422" s="14" t="str">
        <x:v>Jesse</x:v>
      </x:c>
      <x:c r="Q422" s="15" t="n">
        <x:v>1</x:v>
      </x:c>
      <x:c r="R422" s="14" t="str">
        <x:v>2023</x:v>
      </x:c>
      <x:c r="S422" s="14" t="n">
        <x:v>2023</x:v>
      </x:c>
      <x:c r="T422" s="14" t="n">
        <x:v>2023</x:v>
      </x:c>
      <x:c r="U422" s="14" t="str">
        <x:v>Post-2021 casting excluded</x:v>
      </x:c>
      <x:c r="V422" s="14" t="str">
        <x:v>Earliest supplied year is 2023, later than the 2021 study year.</x:v>
      </x:c>
      <x:c r="W422" s="14"/>
      <x:c r="X422" s="14" t="str">
        <x:v>Included</x:v>
      </x:c>
      <x:c r="Y422" s="14"/>
      <x:c r="Z422" s="14" t="str">
        <x:v>Grace.docx</x:v>
      </x:c>
      <x:c r="AA42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ITV / ITVX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HYPERLINK("https://en.wikipedia.org/wiki/Grace","Open source")</x:f>
        <x:v>HYPERLINK is not implemented. linkLocation=https://en.wikipedia.org/wiki/Grace, friendlyName=Open source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20</x:v>
      </x:c>
      <x:c r="BP422" s="14" t="str">
        <x:v>Maximum eligible IMDb cast-credit total (20), shared by 4 performer(s); not independently verified as a 2021-only episode total.</x:v>
      </x:c>
      <x:c r="BQ422" s="14" t="str">
        <x:v>Medium</x:v>
      </x:c>
      <x:c r="BR422" s="15" t="n">
        <x:v>1</x:v>
      </x:c>
      <x:c r="BS422" s="16" t="n">
        <x:v>0.05</x:v>
      </x:c>
      <x:c r="BT422" s="14" t="str">
        <x:v>One episode</x:v>
      </x:c>
      <x:c r="BU422" s="14" t="str">
        <x:v>Medium</x:v>
      </x:c>
      <x:c r="BV422" s="14" t="str">
        <x:v>Derived from supplied IMDb episode count and the documented production-total proxy.</x:v>
      </x:c>
      <x:c r="BW422" s="14" t="str">
        <x:v>Unable to determine</x:v>
      </x:c>
      <x:c r="BX422" s="14" t="str">
        <x:v>Supplied cast data establishes the credit and episode presence but does not establish narrative prominence.</x:v>
      </x:c>
      <x:c r="BY422" s="14" t="str">
        <x:v>Supplied IMDb cast-list workbook</x:v>
      </x:c>
      <x:c r="BZ42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tt11639300|nm14651844|ryan</x:v>
      </x:c>
      <x:c r="B423" s="14" t="str">
        <x:v>02</x:v>
      </x:c>
      <x:c r="C423" s="14" t="str">
        <x:v>2021_IMDb_Cast_Lists_Batch_02(1).xlsx</x:v>
      </x:c>
      <x:c r="D423" s="14" t="str">
        <x:v>Grace</x:v>
      </x:c>
      <x:c r="E423" s="14" t="n">
        <x:v>342</x:v>
      </x:c>
      <x:c r="F423" s="14" t="str">
        <x:v>Grace</x:v>
      </x:c>
      <x:c r="G423" s="14" t="str">
        <x:v>tt11639300</x:v>
      </x:c>
      <x:c r="H423" s="14" t="n">
        <x:v>2021</x:v>
      </x:c>
      <x:c r="I423" s="14" t="n">
        <x:v>2023</x:v>
      </x:c>
      <x:c r="J423" s="14" t="str">
        <x:v>Earlier-Production Carry-In Cohort</x:v>
      </x:c>
      <x:c r="K423" s="14" t="n">
        <x:v>2021</x:v>
      </x:c>
      <x:c r="L423" s="14" t="str">
        <x:v>Used in 2023 annual analysis</x:v>
      </x:c>
      <x:c r="M423" s="15" t="n">
        <x:v>335</x:v>
      </x:c>
      <x:c r="N423" s="14" t="str">
        <x:v>Tyler-Jo Richardson</x:v>
      </x:c>
      <x:c r="O423" s="14" t="str">
        <x:v>nm14651844</x:v>
      </x:c>
      <x:c r="P423" s="14" t="str">
        <x:v>Ryan</x:v>
      </x:c>
      <x:c r="Q423" s="15" t="n">
        <x:v>1</x:v>
      </x:c>
      <x:c r="R423" s="14" t="str">
        <x:v>2023</x:v>
      </x:c>
      <x:c r="S423" s="14" t="n">
        <x:v>2023</x:v>
      </x:c>
      <x:c r="T423" s="14" t="n">
        <x:v>2023</x:v>
      </x:c>
      <x:c r="U423" s="14" t="str">
        <x:v>Post-2021 casting excluded</x:v>
      </x:c>
      <x:c r="V423" s="14" t="str">
        <x:v>Earliest supplied year is 2023, later than the 2021 study year.</x:v>
      </x:c>
      <x:c r="W423" s="14"/>
      <x:c r="X423" s="14" t="str">
        <x:v>Included</x:v>
      </x:c>
      <x:c r="Y423" s="14"/>
      <x:c r="Z423" s="14" t="str">
        <x:v>Grace.docx</x:v>
      </x:c>
      <x:c r="AA42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ITV / ITVX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HYPERLINK("https://en.wikipedia.org/wiki/Grace","Open source")</x:f>
        <x:v>HYPERLINK is not implemented. linkLocation=https://en.wikipedia.org/wiki/Grace, friendlyName=Open source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20</x:v>
      </x:c>
      <x:c r="BP423" s="14" t="str">
        <x:v>Maximum eligible IMDb cast-credit total (20), shared by 4 performer(s); not independently verified as a 2021-only episode total.</x:v>
      </x:c>
      <x:c r="BQ423" s="14" t="str">
        <x:v>Medium</x:v>
      </x:c>
      <x:c r="BR423" s="15" t="n">
        <x:v>1</x:v>
      </x:c>
      <x:c r="BS423" s="16" t="n">
        <x:v>0.05</x:v>
      </x:c>
      <x:c r="BT423" s="14" t="str">
        <x:v>One episode</x:v>
      </x:c>
      <x:c r="BU423" s="14" t="str">
        <x:v>Medium</x:v>
      </x:c>
      <x:c r="BV423" s="14" t="str">
        <x:v>Derived from supplied IMDb episode count and the documented production-total proxy.</x:v>
      </x:c>
      <x:c r="BW423" s="14" t="str">
        <x:v>Unable to determine</x:v>
      </x:c>
      <x:c r="BX423" s="14" t="str">
        <x:v>Supplied cast data establishes the credit and episode presence but does not establish narrative prominence.</x:v>
      </x:c>
      <x:c r="BY423" s="14" t="str">
        <x:v>Supplied IMDb cast-list workbook</x:v>
      </x:c>
      <x:c r="BZ42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tt11639300|nm12181149|bo</x:v>
      </x:c>
      <x:c r="B424" s="14" t="str">
        <x:v>02</x:v>
      </x:c>
      <x:c r="C424" s="14" t="str">
        <x:v>2021_IMDb_Cast_Lists_Batch_02(1).xlsx</x:v>
      </x:c>
      <x:c r="D424" s="14" t="str">
        <x:v>Grace</x:v>
      </x:c>
      <x:c r="E424" s="14" t="n">
        <x:v>348</x:v>
      </x:c>
      <x:c r="F424" s="14" t="str">
        <x:v>Grace</x:v>
      </x:c>
      <x:c r="G424" s="14" t="str">
        <x:v>tt11639300</x:v>
      </x:c>
      <x:c r="H424" s="14" t="n">
        <x:v>2021</x:v>
      </x:c>
      <x:c r="I424" s="14" t="n">
        <x:v>2023</x:v>
      </x:c>
      <x:c r="J424" s="14" t="str">
        <x:v>Earlier-Production Carry-In Cohort</x:v>
      </x:c>
      <x:c r="K424" s="14" t="n">
        <x:v>2021</x:v>
      </x:c>
      <x:c r="L424" s="14" t="str">
        <x:v>Used in 2023 annual analysis</x:v>
      </x:c>
      <x:c r="M424" s="15" t="n">
        <x:v>341</x:v>
      </x:c>
      <x:c r="N424" s="14" t="str">
        <x:v>Rai Endah</x:v>
      </x:c>
      <x:c r="O424" s="14" t="str">
        <x:v>nm12181149</x:v>
      </x:c>
      <x:c r="P424" s="14" t="str">
        <x:v>Bo</x:v>
      </x:c>
      <x:c r="Q424" s="15" t="n">
        <x:v>1</x:v>
      </x:c>
      <x:c r="R424" s="14" t="str">
        <x:v>2023</x:v>
      </x:c>
      <x:c r="S424" s="14" t="n">
        <x:v>2023</x:v>
      </x:c>
      <x:c r="T424" s="14" t="n">
        <x:v>2023</x:v>
      </x:c>
      <x:c r="U424" s="14" t="str">
        <x:v>Post-2021 casting excluded</x:v>
      </x:c>
      <x:c r="V424" s="14" t="str">
        <x:v>Earliest supplied year is 2023, later than the 2021 study year.</x:v>
      </x:c>
      <x:c r="W424" s="14"/>
      <x:c r="X424" s="14" t="str">
        <x:v>Included</x:v>
      </x:c>
      <x:c r="Y424" s="14"/>
      <x:c r="Z424" s="14" t="str">
        <x:v>Grace.docx</x:v>
      </x:c>
      <x:c r="AA42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ITV / ITVX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HYPERLINK("https://en.wikipedia.org/wiki/Grace","Open source")</x:f>
        <x:v>HYPERLINK is not implemented. linkLocation=https://en.wikipedia.org/wiki/Grace, friendlyName=Open source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20</x:v>
      </x:c>
      <x:c r="BP424" s="14" t="str">
        <x:v>Maximum eligible IMDb cast-credit total (20), shared by 4 performer(s); not independently verified as a 2021-only episode total.</x:v>
      </x:c>
      <x:c r="BQ424" s="14" t="str">
        <x:v>Medium</x:v>
      </x:c>
      <x:c r="BR424" s="15" t="n">
        <x:v>1</x:v>
      </x:c>
      <x:c r="BS424" s="16" t="n">
        <x:v>0.05</x:v>
      </x:c>
      <x:c r="BT424" s="14" t="str">
        <x:v>One episode</x:v>
      </x:c>
      <x:c r="BU424" s="14" t="str">
        <x:v>Medium</x:v>
      </x:c>
      <x:c r="BV424" s="14" t="str">
        <x:v>Derived from supplied IMDb episode count and the documented production-total proxy.</x:v>
      </x:c>
      <x:c r="BW424" s="14" t="str">
        <x:v>Unable to determine</x:v>
      </x:c>
      <x:c r="BX424" s="14" t="str">
        <x:v>Supplied cast data establishes the credit and episode presence but does not establish narrative prominence.</x:v>
      </x:c>
      <x:c r="BY424" s="14" t="str">
        <x:v>Supplied IMDb cast-list workbook</x:v>
      </x:c>
      <x:c r="BZ42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tt11639300|nm14651845|girl</x:v>
      </x:c>
      <x:c r="B425" s="14" t="str">
        <x:v>02</x:v>
      </x:c>
      <x:c r="C425" s="14" t="str">
        <x:v>2021_IMDb_Cast_Lists_Batch_02(1).xlsx</x:v>
      </x:c>
      <x:c r="D425" s="14" t="str">
        <x:v>Grace</x:v>
      </x:c>
      <x:c r="E425" s="14" t="n">
        <x:v>353</x:v>
      </x:c>
      <x:c r="F425" s="14" t="str">
        <x:v>Grace</x:v>
      </x:c>
      <x:c r="G425" s="14" t="str">
        <x:v>tt11639300</x:v>
      </x:c>
      <x:c r="H425" s="14" t="n">
        <x:v>2021</x:v>
      </x:c>
      <x:c r="I425" s="14" t="n">
        <x:v>2023</x:v>
      </x:c>
      <x:c r="J425" s="14" t="str">
        <x:v>Earlier-Production Carry-In Cohort</x:v>
      </x:c>
      <x:c r="K425" s="14" t="n">
        <x:v>2021</x:v>
      </x:c>
      <x:c r="L425" s="14" t="str">
        <x:v>Used in 2023 annual analysis</x:v>
      </x:c>
      <x:c r="M425" s="15" t="n">
        <x:v>346</x:v>
      </x:c>
      <x:c r="N425" s="14" t="str">
        <x:v>Darcy Collins</x:v>
      </x:c>
      <x:c r="O425" s="14" t="str">
        <x:v>nm14651845</x:v>
      </x:c>
      <x:c r="P425" s="14" t="str">
        <x:v>Girl</x:v>
      </x:c>
      <x:c r="Q425" s="15" t="n">
        <x:v>1</x:v>
      </x:c>
      <x:c r="R425" s="14" t="str">
        <x:v>2023</x:v>
      </x:c>
      <x:c r="S425" s="14" t="n">
        <x:v>2023</x:v>
      </x:c>
      <x:c r="T425" s="14" t="n">
        <x:v>2023</x:v>
      </x:c>
      <x:c r="U425" s="14" t="str">
        <x:v>Post-2021 casting excluded</x:v>
      </x:c>
      <x:c r="V425" s="14" t="str">
        <x:v>Earliest supplied year is 2023, later than the 2021 study year.</x:v>
      </x:c>
      <x:c r="W425" s="14"/>
      <x:c r="X425" s="14" t="str">
        <x:v>Included</x:v>
      </x:c>
      <x:c r="Y425" s="14"/>
      <x:c r="Z425" s="14" t="str">
        <x:v>Grace.docx</x:v>
      </x:c>
      <x:c r="AA42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ITV / ITVX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HYPERLINK("https://en.wikipedia.org/wiki/Grace","Open source")</x:f>
        <x:v>HYPERLINK is not implemented. linkLocation=https://en.wikipedia.org/wiki/Grace, friendlyName=Open source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20</x:v>
      </x:c>
      <x:c r="BP425" s="14" t="str">
        <x:v>Maximum eligible IMDb cast-credit total (20), shared by 4 performer(s); not independently verified as a 2021-only episode total.</x:v>
      </x:c>
      <x:c r="BQ425" s="14" t="str">
        <x:v>Medium</x:v>
      </x:c>
      <x:c r="BR425" s="15" t="n">
        <x:v>1</x:v>
      </x:c>
      <x:c r="BS425" s="16" t="n">
        <x:v>0.05</x:v>
      </x:c>
      <x:c r="BT425" s="14" t="str">
        <x:v>One episode</x:v>
      </x:c>
      <x:c r="BU425" s="14" t="str">
        <x:v>Medium</x:v>
      </x:c>
      <x:c r="BV425" s="14" t="str">
        <x:v>Derived from supplied IMDb episode count and the documented production-total proxy.</x:v>
      </x:c>
      <x:c r="BW425" s="14" t="str">
        <x:v>Unable to determine</x:v>
      </x:c>
      <x:c r="BX425" s="14" t="str">
        <x:v>Supplied cast data establishes the credit and episode presence but does not establish narrative prominence.</x:v>
      </x:c>
      <x:c r="BY425" s="14" t="str">
        <x:v>Supplied IMDb cast-list workbook</x:v>
      </x:c>
      <x:c r="BZ42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tt11639300|nm6761471|barman - andy</x:v>
      </x:c>
      <x:c r="B426" s="14" t="str">
        <x:v>02</x:v>
      </x:c>
      <x:c r="C426" s="14" t="str">
        <x:v>2021_IMDb_Cast_Lists_Batch_02(1).xlsx</x:v>
      </x:c>
      <x:c r="D426" s="14" t="str">
        <x:v>Grace</x:v>
      </x:c>
      <x:c r="E426" s="14" t="n">
        <x:v>358</x:v>
      </x:c>
      <x:c r="F426" s="14" t="str">
        <x:v>Grace</x:v>
      </x:c>
      <x:c r="G426" s="14" t="str">
        <x:v>tt11639300</x:v>
      </x:c>
      <x:c r="H426" s="14" t="n">
        <x:v>2021</x:v>
      </x:c>
      <x:c r="I426" s="14" t="n">
        <x:v>2023</x:v>
      </x:c>
      <x:c r="J426" s="14" t="str">
        <x:v>Earlier-Production Carry-In Cohort</x:v>
      </x:c>
      <x:c r="K426" s="14" t="n">
        <x:v>2021</x:v>
      </x:c>
      <x:c r="L426" s="14" t="str">
        <x:v>Used in 2023 annual analysis</x:v>
      </x:c>
      <x:c r="M426" s="15" t="n">
        <x:v>351</x:v>
      </x:c>
      <x:c r="N426" s="14" t="str">
        <x:v>Elliot Cable</x:v>
      </x:c>
      <x:c r="O426" s="14" t="str">
        <x:v>nm6761471</x:v>
      </x:c>
      <x:c r="P426" s="14" t="str">
        <x:v>Barman - Andy</x:v>
      </x:c>
      <x:c r="Q426" s="15" t="n">
        <x:v>1</x:v>
      </x:c>
      <x:c r="R426" s="14" t="str">
        <x:v>2023</x:v>
      </x:c>
      <x:c r="S426" s="14" t="n">
        <x:v>2023</x:v>
      </x:c>
      <x:c r="T426" s="14" t="n">
        <x:v>2023</x:v>
      </x:c>
      <x:c r="U426" s="14" t="str">
        <x:v>Post-2021 casting excluded</x:v>
      </x:c>
      <x:c r="V426" s="14" t="str">
        <x:v>Earliest supplied year is 2023, later than the 2021 study year.</x:v>
      </x:c>
      <x:c r="W426" s="14"/>
      <x:c r="X426" s="14" t="str">
        <x:v>Included</x:v>
      </x:c>
      <x:c r="Y426" s="14"/>
      <x:c r="Z426" s="14" t="str">
        <x:v>Grace.docx</x:v>
      </x:c>
      <x:c r="AA42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ITV / ITVX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HYPERLINK("https://en.wikipedia.org/wiki/Grace","Open source")</x:f>
        <x:v>HYPERLINK is not implemented. linkLocation=https://en.wikipedia.org/wiki/Grace, friendlyName=Open source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20</x:v>
      </x:c>
      <x:c r="BP426" s="14" t="str">
        <x:v>Maximum eligible IMDb cast-credit total (20), shared by 4 performer(s); not independently verified as a 2021-only episode total.</x:v>
      </x:c>
      <x:c r="BQ426" s="14" t="str">
        <x:v>Medium</x:v>
      </x:c>
      <x:c r="BR426" s="15" t="n">
        <x:v>1</x:v>
      </x:c>
      <x:c r="BS426" s="16" t="n">
        <x:v>0.05</x:v>
      </x:c>
      <x:c r="BT426" s="14" t="str">
        <x:v>One episode</x:v>
      </x:c>
      <x:c r="BU426" s="14" t="str">
        <x:v>Medium</x:v>
      </x:c>
      <x:c r="BV426" s="14" t="str">
        <x:v>Derived from supplied IMDb episode count and the documented production-total proxy.</x:v>
      </x:c>
      <x:c r="BW426" s="14" t="str">
        <x:v>Unable to determine</x:v>
      </x:c>
      <x:c r="BX426" s="14" t="str">
        <x:v>Supplied cast data establishes the credit and episode presence but does not establish narrative prominence.</x:v>
      </x:c>
      <x:c r="BY426" s="14" t="str">
        <x:v>Supplied IMDb cast-list workbook</x:v>
      </x:c>
      <x:c r="BZ42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tt11639300|nm0359654|pete winnicks</x:v>
      </x:c>
      <x:c r="B427" s="14" t="str">
        <x:v>02</x:v>
      </x:c>
      <x:c r="C427" s="14" t="str">
        <x:v>2021_IMDb_Cast_Lists_Batch_02(1).xlsx</x:v>
      </x:c>
      <x:c r="D427" s="14" t="str">
        <x:v>Grace</x:v>
      </x:c>
      <x:c r="E427" s="14" t="n">
        <x:v>363</x:v>
      </x:c>
      <x:c r="F427" s="14" t="str">
        <x:v>Grace</x:v>
      </x:c>
      <x:c r="G427" s="14" t="str">
        <x:v>tt11639300</x:v>
      </x:c>
      <x:c r="H427" s="14" t="n">
        <x:v>2021</x:v>
      </x:c>
      <x:c r="I427" s="14" t="n">
        <x:v>2023</x:v>
      </x:c>
      <x:c r="J427" s="14" t="str">
        <x:v>Earlier-Production Carry-In Cohort</x:v>
      </x:c>
      <x:c r="K427" s="14" t="n">
        <x:v>2021</x:v>
      </x:c>
      <x:c r="L427" s="14" t="str">
        <x:v>Used in 2023 annual analysis</x:v>
      </x:c>
      <x:c r="M427" s="15" t="n">
        <x:v>356</x:v>
      </x:c>
      <x:c r="N427" s="14" t="str">
        <x:v>Robert Hands</x:v>
      </x:c>
      <x:c r="O427" s="14" t="str">
        <x:v>nm0359654</x:v>
      </x:c>
      <x:c r="P427" s="14" t="str">
        <x:v>Pete Winnicks</x:v>
      </x:c>
      <x:c r="Q427" s="15" t="n">
        <x:v>1</x:v>
      </x:c>
      <x:c r="R427" s="14" t="str">
        <x:v>2023</x:v>
      </x:c>
      <x:c r="S427" s="14" t="n">
        <x:v>2023</x:v>
      </x:c>
      <x:c r="T427" s="14" t="n">
        <x:v>2023</x:v>
      </x:c>
      <x:c r="U427" s="14" t="str">
        <x:v>Post-2021 casting excluded</x:v>
      </x:c>
      <x:c r="V427" s="14" t="str">
        <x:v>Earliest supplied year is 2023, later than the 2021 study year.</x:v>
      </x:c>
      <x:c r="W427" s="14"/>
      <x:c r="X427" s="14" t="str">
        <x:v>Included</x:v>
      </x:c>
      <x:c r="Y427" s="14"/>
      <x:c r="Z427" s="14" t="str">
        <x:v>Grace.docx</x:v>
      </x:c>
      <x:c r="AA42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ITV / ITVX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HYPERLINK("https://en.wikipedia.org/wiki/Grace","Open source")</x:f>
        <x:v>HYPERLINK is not implemented. linkLocation=https://en.wikipedia.org/wiki/Grace, friendlyName=Open source</x:v>
      </x:c>
      <x:c r="AN427" s="14" t="str">
        <x:v>No qualifying BBC relationship</x:v>
      </x:c>
      <x:c r="AO427" s="14" t="str">
        <x:v>No</x:v>
      </x:c>
      <x:c r="AP427" s="14" t="str">
        <x:v>Out of scope</x:v>
      </x:c>
      <x:c r="AQ427" s="14" t="str">
        <x:v>No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20</x:v>
      </x:c>
      <x:c r="BP427" s="14" t="str">
        <x:v>Maximum eligible IMDb cast-credit total (20), shared by 4 performer(s); not independently verified as a 2021-only episode total.</x:v>
      </x:c>
      <x:c r="BQ427" s="14" t="str">
        <x:v>Medium</x:v>
      </x:c>
      <x:c r="BR427" s="15" t="n">
        <x:v>1</x:v>
      </x:c>
      <x:c r="BS427" s="16" t="n">
        <x:v>0.05</x:v>
      </x:c>
      <x:c r="BT427" s="14" t="str">
        <x:v>One episode</x:v>
      </x:c>
      <x:c r="BU427" s="14" t="str">
        <x:v>Medium</x:v>
      </x:c>
      <x:c r="BV427" s="14" t="str">
        <x:v>Derived from supplied IMDb episode count and the documented production-total proxy.</x:v>
      </x:c>
      <x:c r="BW427" s="14" t="str">
        <x:v>Unable to determine</x:v>
      </x:c>
      <x:c r="BX427" s="14" t="str">
        <x:v>Supplied cast data establishes the credit and episode presence but does not establish narrative prominence.</x:v>
      </x:c>
      <x:c r="BY427" s="14" t="str">
        <x:v>Supplied IMDb cast-list workbook</x:v>
      </x:c>
      <x:c r="BZ42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tt11639300|nm4445388|leo</x:v>
      </x:c>
      <x:c r="B428" s="14" t="str">
        <x:v>02</x:v>
      </x:c>
      <x:c r="C428" s="14" t="str">
        <x:v>2021_IMDb_Cast_Lists_Batch_02(1).xlsx</x:v>
      </x:c>
      <x:c r="D428" s="14" t="str">
        <x:v>Grace</x:v>
      </x:c>
      <x:c r="E428" s="14" t="n">
        <x:v>366</x:v>
      </x:c>
      <x:c r="F428" s="14" t="str">
        <x:v>Grace</x:v>
      </x:c>
      <x:c r="G428" s="14" t="str">
        <x:v>tt11639300</x:v>
      </x:c>
      <x:c r="H428" s="14" t="n">
        <x:v>2021</x:v>
      </x:c>
      <x:c r="I428" s="14" t="n">
        <x:v>2023</x:v>
      </x:c>
      <x:c r="J428" s="14" t="str">
        <x:v>Earlier-Production Carry-In Cohort</x:v>
      </x:c>
      <x:c r="K428" s="14" t="n">
        <x:v>2021</x:v>
      </x:c>
      <x:c r="L428" s="14" t="str">
        <x:v>Used in 2023 annual analysis</x:v>
      </x:c>
      <x:c r="M428" s="15" t="n">
        <x:v>359</x:v>
      </x:c>
      <x:c r="N428" s="14" t="str">
        <x:v>Darragh Hand</x:v>
      </x:c>
      <x:c r="O428" s="14" t="str">
        <x:v>nm4445388</x:v>
      </x:c>
      <x:c r="P428" s="14" t="str">
        <x:v>Leo</x:v>
      </x:c>
      <x:c r="Q428" s="15" t="n">
        <x:v>1</x:v>
      </x:c>
      <x:c r="R428" s="14" t="str">
        <x:v>2023</x:v>
      </x:c>
      <x:c r="S428" s="14" t="n">
        <x:v>2023</x:v>
      </x:c>
      <x:c r="T428" s="14" t="n">
        <x:v>2023</x:v>
      </x:c>
      <x:c r="U428" s="14" t="str">
        <x:v>Post-2021 casting excluded</x:v>
      </x:c>
      <x:c r="V428" s="14" t="str">
        <x:v>Earliest supplied year is 2023, later than the 2021 study year.</x:v>
      </x:c>
      <x:c r="W428" s="14"/>
      <x:c r="X428" s="14" t="str">
        <x:v>Included</x:v>
      </x:c>
      <x:c r="Y428" s="14"/>
      <x:c r="Z428" s="14" t="str">
        <x:v>Grace.docx</x:v>
      </x:c>
      <x:c r="AA42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ITV / ITVX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HYPERLINK("https://en.wikipedia.org/wiki/Grace","Open source")</x:f>
        <x:v>HYPERLINK is not implemented. linkLocation=https://en.wikipedia.org/wiki/Grace, friendlyName=Open source</x:v>
      </x:c>
      <x:c r="AN428" s="14" t="str">
        <x:v>No qualifying BBC relationship</x:v>
      </x:c>
      <x:c r="AO428" s="14" t="str">
        <x:v>No</x:v>
      </x:c>
      <x:c r="AP428" s="14" t="str">
        <x:v>Out of scope</x:v>
      </x:c>
      <x:c r="AQ428" s="14" t="str">
        <x:v>No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20</x:v>
      </x:c>
      <x:c r="BP428" s="14" t="str">
        <x:v>Maximum eligible IMDb cast-credit total (20), shared by 4 performer(s); not independently verified as a 2021-only episode total.</x:v>
      </x:c>
      <x:c r="BQ428" s="14" t="str">
        <x:v>Medium</x:v>
      </x:c>
      <x:c r="BR428" s="15" t="n">
        <x:v>1</x:v>
      </x:c>
      <x:c r="BS428" s="16" t="n">
        <x:v>0.05</x:v>
      </x:c>
      <x:c r="BT428" s="14" t="str">
        <x:v>One episode</x:v>
      </x:c>
      <x:c r="BU428" s="14" t="str">
        <x:v>Medium</x:v>
      </x:c>
      <x:c r="BV428" s="14" t="str">
        <x:v>Derived from supplied IMDb episode count and the documented production-total proxy.</x:v>
      </x:c>
      <x:c r="BW428" s="14" t="str">
        <x:v>Unable to determine</x:v>
      </x:c>
      <x:c r="BX428" s="14" t="str">
        <x:v>Supplied cast data establishes the credit and episode presence but does not establish narrative prominence.</x:v>
      </x:c>
      <x:c r="BY428" s="14" t="str">
        <x:v>Supplied IMDb cast-list workbook</x:v>
      </x:c>
      <x:c r="BZ42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tt11639300|nm7426656|daisy</x:v>
      </x:c>
      <x:c r="B429" s="14" t="str">
        <x:v>02</x:v>
      </x:c>
      <x:c r="C429" s="14" t="str">
        <x:v>2021_IMDb_Cast_Lists_Batch_02(1).xlsx</x:v>
      </x:c>
      <x:c r="D429" s="14" t="str">
        <x:v>Grace</x:v>
      </x:c>
      <x:c r="E429" s="14" t="n">
        <x:v>368</x:v>
      </x:c>
      <x:c r="F429" s="14" t="str">
        <x:v>Grace</x:v>
      </x:c>
      <x:c r="G429" s="14" t="str">
        <x:v>tt11639300</x:v>
      </x:c>
      <x:c r="H429" s="14" t="n">
        <x:v>2021</x:v>
      </x:c>
      <x:c r="I429" s="14" t="n">
        <x:v>2023</x:v>
      </x:c>
      <x:c r="J429" s="14" t="str">
        <x:v>Earlier-Production Carry-In Cohort</x:v>
      </x:c>
      <x:c r="K429" s="14" t="n">
        <x:v>2021</x:v>
      </x:c>
      <x:c r="L429" s="14" t="str">
        <x:v>Used in 2023 annual analysis</x:v>
      </x:c>
      <x:c r="M429" s="15" t="n">
        <x:v>361</x:v>
      </x:c>
      <x:c r="N429" s="14" t="str">
        <x:v>Lizzie Back</x:v>
      </x:c>
      <x:c r="O429" s="14" t="str">
        <x:v>nm7426656</x:v>
      </x:c>
      <x:c r="P429" s="14" t="str">
        <x:v>Daisy</x:v>
      </x:c>
      <x:c r="Q429" s="15" t="n">
        <x:v>1</x:v>
      </x:c>
      <x:c r="R429" s="14" t="str">
        <x:v>2023</x:v>
      </x:c>
      <x:c r="S429" s="14" t="n">
        <x:v>2023</x:v>
      </x:c>
      <x:c r="T429" s="14" t="n">
        <x:v>2023</x:v>
      </x:c>
      <x:c r="U429" s="14" t="str">
        <x:v>Post-2021 casting excluded</x:v>
      </x:c>
      <x:c r="V429" s="14" t="str">
        <x:v>Earliest supplied year is 2023, later than the 2021 study year.</x:v>
      </x:c>
      <x:c r="W429" s="14"/>
      <x:c r="X429" s="14" t="str">
        <x:v>Included</x:v>
      </x:c>
      <x:c r="Y429" s="14"/>
      <x:c r="Z429" s="14" t="str">
        <x:v>Grace.docx</x:v>
      </x:c>
      <x:c r="AA42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ITV / ITVX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HYPERLINK("https://en.wikipedia.org/wiki/Grace","Open source")</x:f>
        <x:v>HYPERLINK is not implemented. linkLocation=https://en.wikipedia.org/wiki/Grace, friendlyName=Open source</x:v>
      </x:c>
      <x:c r="AN429" s="14" t="str">
        <x:v>No qualifying BBC relationship</x:v>
      </x:c>
      <x:c r="AO429" s="14" t="str">
        <x:v>No</x:v>
      </x:c>
      <x:c r="AP429" s="14" t="str">
        <x:v>Out of scope</x:v>
      </x:c>
      <x:c r="AQ429" s="14" t="str">
        <x:v>No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20</x:v>
      </x:c>
      <x:c r="BP429" s="14" t="str">
        <x:v>Maximum eligible IMDb cast-credit total (20), shared by 4 performer(s); not independently verified as a 2021-only episode total.</x:v>
      </x:c>
      <x:c r="BQ429" s="14" t="str">
        <x:v>Medium</x:v>
      </x:c>
      <x:c r="BR429" s="15" t="n">
        <x:v>1</x:v>
      </x:c>
      <x:c r="BS429" s="16" t="n">
        <x:v>0.05</x:v>
      </x:c>
      <x:c r="BT429" s="14" t="str">
        <x:v>One episode</x:v>
      </x:c>
      <x:c r="BU429" s="14" t="str">
        <x:v>Medium</x:v>
      </x:c>
      <x:c r="BV429" s="14" t="str">
        <x:v>Derived from supplied IMDb episode count and the documented production-total proxy.</x:v>
      </x:c>
      <x:c r="BW429" s="14" t="str">
        <x:v>Unable to determine</x:v>
      </x:c>
      <x:c r="BX429" s="14" t="str">
        <x:v>Supplied cast data establishes the credit and episode presence but does not establish narrative prominence.</x:v>
      </x:c>
      <x:c r="BY429" s="14" t="str">
        <x:v>Supplied IMDb cast-list workbook</x:v>
      </x:c>
      <x:c r="BZ42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tt11639300|nm8093368|margarete</x:v>
      </x:c>
      <x:c r="B430" s="14" t="str">
        <x:v>02</x:v>
      </x:c>
      <x:c r="C430" s="14" t="str">
        <x:v>2021_IMDb_Cast_Lists_Batch_02(1).xlsx</x:v>
      </x:c>
      <x:c r="D430" s="14" t="str">
        <x:v>Grace</x:v>
      </x:c>
      <x:c r="E430" s="14" t="n">
        <x:v>370</x:v>
      </x:c>
      <x:c r="F430" s="14" t="str">
        <x:v>Grace</x:v>
      </x:c>
      <x:c r="G430" s="14" t="str">
        <x:v>tt11639300</x:v>
      </x:c>
      <x:c r="H430" s="14" t="n">
        <x:v>2021</x:v>
      </x:c>
      <x:c r="I430" s="14" t="n">
        <x:v>2023</x:v>
      </x:c>
      <x:c r="J430" s="14" t="str">
        <x:v>Earlier-Production Carry-In Cohort</x:v>
      </x:c>
      <x:c r="K430" s="14" t="n">
        <x:v>2021</x:v>
      </x:c>
      <x:c r="L430" s="14" t="str">
        <x:v>Used in 2023 annual analysis</x:v>
      </x:c>
      <x:c r="M430" s="15" t="n">
        <x:v>363</x:v>
      </x:c>
      <x:c r="N430" s="14" t="str">
        <x:v>Sibylla Meienberg</x:v>
      </x:c>
      <x:c r="O430" s="14" t="str">
        <x:v>nm8093368</x:v>
      </x:c>
      <x:c r="P430" s="14" t="str">
        <x:v>Margarete</x:v>
      </x:c>
      <x:c r="Q430" s="15" t="n">
        <x:v>1</x:v>
      </x:c>
      <x:c r="R430" s="14" t="str">
        <x:v>2023</x:v>
      </x:c>
      <x:c r="S430" s="14" t="n">
        <x:v>2023</x:v>
      </x:c>
      <x:c r="T430" s="14" t="n">
        <x:v>2023</x:v>
      </x:c>
      <x:c r="U430" s="14" t="str">
        <x:v>Post-2021 casting excluded</x:v>
      </x:c>
      <x:c r="V430" s="14" t="str">
        <x:v>Earliest supplied year is 2023, later than the 2021 study year.</x:v>
      </x:c>
      <x:c r="W430" s="14"/>
      <x:c r="X430" s="14" t="str">
        <x:v>Included</x:v>
      </x:c>
      <x:c r="Y430" s="14"/>
      <x:c r="Z430" s="14" t="str">
        <x:v>Grace.docx</x:v>
      </x:c>
      <x:c r="AA43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ITV / ITVX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HYPERLINK("https://en.wikipedia.org/wiki/Grace","Open source")</x:f>
        <x:v>HYPERLINK is not implemented. linkLocation=https://en.wikipedia.org/wiki/Grace, friendlyName=Open source</x:v>
      </x:c>
      <x:c r="AN430" s="14" t="str">
        <x:v>No qualifying BBC relationship</x:v>
      </x:c>
      <x:c r="AO430" s="14" t="str">
        <x:v>No</x:v>
      </x:c>
      <x:c r="AP430" s="14" t="str">
        <x:v>Out of scope</x:v>
      </x:c>
      <x:c r="AQ430" s="14" t="str">
        <x:v>No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20</x:v>
      </x:c>
      <x:c r="BP430" s="14" t="str">
        <x:v>Maximum eligible IMDb cast-credit total (20), shared by 4 performer(s); not independently verified as a 2021-only episode total.</x:v>
      </x:c>
      <x:c r="BQ430" s="14" t="str">
        <x:v>Medium</x:v>
      </x:c>
      <x:c r="BR430" s="15" t="n">
        <x:v>1</x:v>
      </x:c>
      <x:c r="BS430" s="16" t="n">
        <x:v>0.05</x:v>
      </x:c>
      <x:c r="BT430" s="14" t="str">
        <x:v>One episode</x:v>
      </x:c>
      <x:c r="BU430" s="14" t="str">
        <x:v>Medium</x:v>
      </x:c>
      <x:c r="BV430" s="14" t="str">
        <x:v>Derived from supplied IMDb episode count and the documented production-total proxy.</x:v>
      </x:c>
      <x:c r="BW430" s="14" t="str">
        <x:v>Unable to determine</x:v>
      </x:c>
      <x:c r="BX430" s="14" t="str">
        <x:v>Supplied cast data establishes the credit and episode presence but does not establish narrative prominence.</x:v>
      </x:c>
      <x:c r="BY430" s="14" t="str">
        <x:v>Supplied IMDb cast-list workbook</x:v>
      </x:c>
      <x:c r="BZ43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tt15499118|nm7898543|cooper</x:v>
      </x:c>
      <x:c r="B431" s="14" t="str">
        <x:v>03</x:v>
      </x:c>
      <x:c r="C431" s="14" t="str">
        <x:v>2021_IMDb_Cast_Lists_Batch_03(1).xlsx</x:v>
      </x:c>
      <x:c r="D431" s="14" t="str">
        <x:v>The Madame Blanc Mysteries</x:v>
      </x:c>
      <x:c r="E431" s="14" t="n">
        <x:v>22</x:v>
      </x:c>
      <x:c r="F431" s="14" t="str">
        <x:v>The Madame Blanc Mysteries</x:v>
      </x:c>
      <x:c r="G431" s="14" t="str">
        <x:v>tt15499118</x:v>
      </x:c>
      <x:c r="H431" s="14" t="n">
        <x:v>2021</x:v>
      </x:c>
      <x:c r="I431" s="14" t="n">
        <x:v>2023</x:v>
      </x:c>
      <x:c r="J431" s="14" t="str">
        <x:v>Earlier-Production Carry-In Cohort</x:v>
      </x:c>
      <x:c r="K431" s="14" t="n">
        <x:v>2021</x:v>
      </x:c>
      <x:c r="L431" s="14" t="str">
        <x:v>Used in 2023 annual analysis</x:v>
      </x:c>
      <x:c r="M431" s="15" t="n">
        <x:v>15</x:v>
      </x:c>
      <x:c r="N431" s="14" t="str">
        <x:v>Avant Strangel</x:v>
      </x:c>
      <x:c r="O431" s="14" t="str">
        <x:v>nm7898543</x:v>
      </x:c>
      <x:c r="P431" s="14" t="str">
        <x:v>Cooper</x:v>
      </x:c>
      <x:c r="Q431" s="15" t="n">
        <x:v>6</x:v>
      </x:c>
      <x:c r="R431" s="14" t="str">
        <x:v>2023–2024</x:v>
      </x:c>
      <x:c r="S431" s="14" t="n">
        <x:v>2023</x:v>
      </x:c>
      <x:c r="T431" s="14" t="n">
        <x:v>2023</x:v>
      </x:c>
      <x:c r="U431" s="14" t="str">
        <x:v>Post-2021 casting excluded</x:v>
      </x:c>
      <x:c r="V431" s="14" t="str">
        <x:v>Earliest supplied year is 2023, later than the 2021 study year.</x:v>
      </x:c>
      <x:c r="W431" s="14"/>
      <x:c r="X431" s="14" t="str">
        <x:v>Included</x:v>
      </x:c>
      <x:c r="Y431" s="14"/>
      <x:c r="Z431" s="14" t="str">
        <x:v>The Madame Blanc Mysteries.docx</x:v>
      </x:c>
      <x:c r="AA4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Channel 5 / 5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1" s="14" t="str">
        <x:v>No qualifying BBC relationship</x:v>
      </x:c>
      <x:c r="AO431" s="14" t="str">
        <x:v>No</x:v>
      </x:c>
      <x:c r="AP431" s="14" t="str">
        <x:v>Out of scope</x:v>
      </x:c>
      <x:c r="AQ431" s="14" t="str">
        <x:v>No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28</x:v>
      </x:c>
      <x:c r="BP431" s="14" t="str">
        <x:v>Maximum eligible IMDb cast-credit total (28), shared by 4 performer(s); not independently verified as a 2021-only episode total.</x:v>
      </x:c>
      <x:c r="BQ431" s="14" t="str">
        <x:v>Medium</x:v>
      </x:c>
      <x:c r="BR431" s="15" t="n">
        <x:v>6</x:v>
      </x:c>
      <x:c r="BS431" s="16" t="n">
        <x:v>0.2142857142857143</x:v>
      </x:c>
      <x:c r="BT431" s="14" t="str">
        <x:v>Minority of episodes</x:v>
      </x:c>
      <x:c r="BU431" s="14" t="str">
        <x:v>Medium</x:v>
      </x:c>
      <x:c r="BV431" s="14" t="str">
        <x:v>Derived from supplied IMDb episode count and the documented production-total proxy.</x:v>
      </x:c>
      <x:c r="BW431" s="14" t="str">
        <x:v>Unable to determine</x:v>
      </x:c>
      <x:c r="BX431" s="14" t="str">
        <x:v>Supplied cast data establishes the credit and episode presence but does not establish narrative prominence.</x:v>
      </x:c>
      <x:c r="BY431" s="14" t="str">
        <x:v>Supplied IMDb cast-list workbook</x:v>
      </x:c>
      <x:c r="BZ4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tt15499118|nm0219499|david</x:v>
      </x:c>
      <x:c r="B432" s="14" t="str">
        <x:v>03</x:v>
      </x:c>
      <x:c r="C432" s="14" t="str">
        <x:v>2021_IMDb_Cast_Lists_Batch_03(1).xlsx</x:v>
      </x:c>
      <x:c r="D432" s="14" t="str">
        <x:v>The Madame Blanc Mysteries</x:v>
      </x:c>
      <x:c r="E432" s="14" t="n">
        <x:v>28</x:v>
      </x:c>
      <x:c r="F432" s="14" t="str">
        <x:v>The Madame Blanc Mysteries</x:v>
      </x:c>
      <x:c r="G432" s="14" t="str">
        <x:v>tt15499118</x:v>
      </x:c>
      <x:c r="H432" s="14" t="n">
        <x:v>2021</x:v>
      </x:c>
      <x:c r="I432" s="14" t="n">
        <x:v>2023</x:v>
      </x:c>
      <x:c r="J432" s="14" t="str">
        <x:v>Earlier-Production Carry-In Cohort</x:v>
      </x:c>
      <x:c r="K432" s="14" t="n">
        <x:v>2021</x:v>
      </x:c>
      <x:c r="L432" s="14" t="str">
        <x:v>Used in 2023 annual analysis</x:v>
      </x:c>
      <x:c r="M432" s="15" t="n">
        <x:v>21</x:v>
      </x:c>
      <x:c r="N432" s="14" t="str">
        <x:v>Les Dennis</x:v>
      </x:c>
      <x:c r="O432" s="14" t="str">
        <x:v>nm0219499</x:v>
      </x:c>
      <x:c r="P432" s="14" t="str">
        <x:v>David</x:v>
      </x:c>
      <x:c r="Q432" s="15" t="n">
        <x:v>2</x:v>
      </x:c>
      <x:c r="R432" s="14" t="str">
        <x:v>2023–2025</x:v>
      </x:c>
      <x:c r="S432" s="14" t="n">
        <x:v>2023</x:v>
      </x:c>
      <x:c r="T432" s="14" t="n">
        <x:v>2023</x:v>
      </x:c>
      <x:c r="U432" s="14" t="str">
        <x:v>Post-2021 casting excluded</x:v>
      </x:c>
      <x:c r="V432" s="14" t="str">
        <x:v>Earliest supplied year is 2023, later than the 2021 study year.</x:v>
      </x:c>
      <x:c r="W432" s="14"/>
      <x:c r="X432" s="14" t="str">
        <x:v>Included</x:v>
      </x:c>
      <x:c r="Y432" s="14"/>
      <x:c r="Z432" s="14" t="str">
        <x:v>The Madame Blanc Mysteries.docx</x:v>
      </x:c>
      <x:c r="AA43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Channel 5 / 5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2" s="14" t="str">
        <x:v>No qualifying BBC relationship</x:v>
      </x:c>
      <x:c r="AO432" s="14" t="str">
        <x:v>No</x:v>
      </x:c>
      <x:c r="AP432" s="14" t="str">
        <x:v>Out of scope</x:v>
      </x:c>
      <x:c r="AQ432" s="14" t="str">
        <x:v>No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28</x:v>
      </x:c>
      <x:c r="BP432" s="14" t="str">
        <x:v>Maximum eligible IMDb cast-credit total (28), shared by 4 performer(s); not independently verified as a 2021-only episode total.</x:v>
      </x:c>
      <x:c r="BQ432" s="14" t="str">
        <x:v>Medium</x:v>
      </x:c>
      <x:c r="BR432" s="15" t="n">
        <x:v>2</x:v>
      </x:c>
      <x:c r="BS432" s="16" t="n">
        <x:v>0.07142857142857142</x:v>
      </x:c>
      <x:c r="BT432" s="14" t="str">
        <x:v>Minority of episodes</x:v>
      </x:c>
      <x:c r="BU432" s="14" t="str">
        <x:v>Medium</x:v>
      </x:c>
      <x:c r="BV432" s="14" t="str">
        <x:v>Derived from supplied IMDb episode count and the documented production-total proxy.</x:v>
      </x:c>
      <x:c r="BW432" s="14" t="str">
        <x:v>Unable to determine</x:v>
      </x:c>
      <x:c r="BX432" s="14" t="str">
        <x:v>Supplied cast data establishes the credit and episode presence but does not establish narrative prominence.</x:v>
      </x:c>
      <x:c r="BY432" s="14" t="str">
        <x:v>Supplied IMDb cast-list workbook</x:v>
      </x:c>
      <x:c r="BZ43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tt15499118|nm12491832|raimund</x:v>
      </x:c>
      <x:c r="B433" s="14" t="str">
        <x:v>03</x:v>
      </x:c>
      <x:c r="C433" s="14" t="str">
        <x:v>2021_IMDb_Cast_Lists_Batch_03(1).xlsx</x:v>
      </x:c>
      <x:c r="D433" s="14" t="str">
        <x:v>The Madame Blanc Mysteries</x:v>
      </x:c>
      <x:c r="E433" s="14" t="n">
        <x:v>33</x:v>
      </x:c>
      <x:c r="F433" s="14" t="str">
        <x:v>The Madame Blanc Mysteries</x:v>
      </x:c>
      <x:c r="G433" s="14" t="str">
        <x:v>tt15499118</x:v>
      </x:c>
      <x:c r="H433" s="14" t="n">
        <x:v>2021</x:v>
      </x:c>
      <x:c r="I433" s="14" t="n">
        <x:v>2023</x:v>
      </x:c>
      <x:c r="J433" s="14" t="str">
        <x:v>Earlier-Production Carry-In Cohort</x:v>
      </x:c>
      <x:c r="K433" s="14" t="n">
        <x:v>2021</x:v>
      </x:c>
      <x:c r="L433" s="14" t="str">
        <x:v>Used in 2023 annual analysis</x:v>
      </x:c>
      <x:c r="M433" s="15" t="n">
        <x:v>26</x:v>
      </x:c>
      <x:c r="N433" s="14" t="str">
        <x:v>Ewens Abid</x:v>
      </x:c>
      <x:c r="O433" s="14" t="str">
        <x:v>nm12491832</x:v>
      </x:c>
      <x:c r="P433" s="14" t="str">
        <x:v>Raimund</x:v>
      </x:c>
      <x:c r="Q433" s="15" t="n">
        <x:v>1</x:v>
      </x:c>
      <x:c r="R433" s="14" t="str">
        <x:v>2023</x:v>
      </x:c>
      <x:c r="S433" s="14" t="n">
        <x:v>2023</x:v>
      </x:c>
      <x:c r="T433" s="14" t="n">
        <x:v>2023</x:v>
      </x:c>
      <x:c r="U433" s="14" t="str">
        <x:v>Post-2021 casting excluded</x:v>
      </x:c>
      <x:c r="V433" s="14" t="str">
        <x:v>Earliest supplied year is 2023, later than the 2021 study year.</x:v>
      </x:c>
      <x:c r="W433" s="14"/>
      <x:c r="X433" s="14" t="str">
        <x:v>Included</x:v>
      </x:c>
      <x:c r="Y433" s="14"/>
      <x:c r="Z433" s="14" t="str">
        <x:v>The Madame Blanc Mysteries.docx</x:v>
      </x:c>
      <x:c r="AA43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Channel 5 / 5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3" s="14" t="str">
        <x:v>No qualifying BBC relationship</x:v>
      </x:c>
      <x:c r="AO433" s="14" t="str">
        <x:v>No</x:v>
      </x:c>
      <x:c r="AP433" s="14" t="str">
        <x:v>Out of scope</x:v>
      </x:c>
      <x:c r="AQ433" s="14" t="str">
        <x:v>No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28</x:v>
      </x:c>
      <x:c r="BP433" s="14" t="str">
        <x:v>Maximum eligible IMDb cast-credit total (28), shared by 4 performer(s); not independently verified as a 2021-only episode total.</x:v>
      </x:c>
      <x:c r="BQ433" s="14" t="str">
        <x:v>Medium</x:v>
      </x:c>
      <x:c r="BR433" s="15" t="n">
        <x:v>1</x:v>
      </x:c>
      <x:c r="BS433" s="16" t="n">
        <x:v>0.03571428571428571</x:v>
      </x:c>
      <x:c r="BT433" s="14" t="str">
        <x:v>One episode</x:v>
      </x:c>
      <x:c r="BU433" s="14" t="str">
        <x:v>Medium</x:v>
      </x:c>
      <x:c r="BV433" s="14" t="str">
        <x:v>Derived from supplied IMDb episode count and the documented production-total proxy.</x:v>
      </x:c>
      <x:c r="BW433" s="14" t="str">
        <x:v>Unable to determine</x:v>
      </x:c>
      <x:c r="BX433" s="14" t="str">
        <x:v>Supplied cast data establishes the credit and episode presence but does not establish narrative prominence.</x:v>
      </x:c>
      <x:c r="BY433" s="14" t="str">
        <x:v>Supplied IMDb cast-list workbook</x:v>
      </x:c>
      <x:c r="BZ43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tt15499118|nm3261729|george</x:v>
      </x:c>
      <x:c r="B434" s="14" t="str">
        <x:v>03</x:v>
      </x:c>
      <x:c r="C434" s="14" t="str">
        <x:v>2021_IMDb_Cast_Lists_Batch_03(1).xlsx</x:v>
      </x:c>
      <x:c r="D434" s="14" t="str">
        <x:v>The Madame Blanc Mysteries</x:v>
      </x:c>
      <x:c r="E434" s="14" t="n">
        <x:v>34</x:v>
      </x:c>
      <x:c r="F434" s="14" t="str">
        <x:v>The Madame Blanc Mysteries</x:v>
      </x:c>
      <x:c r="G434" s="14" t="str">
        <x:v>tt15499118</x:v>
      </x:c>
      <x:c r="H434" s="14" t="n">
        <x:v>2021</x:v>
      </x:c>
      <x:c r="I434" s="14" t="n">
        <x:v>2023</x:v>
      </x:c>
      <x:c r="J434" s="14" t="str">
        <x:v>Earlier-Production Carry-In Cohort</x:v>
      </x:c>
      <x:c r="K434" s="14" t="n">
        <x:v>2021</x:v>
      </x:c>
      <x:c r="L434" s="14" t="str">
        <x:v>Used in 2023 annual analysis</x:v>
      </x:c>
      <x:c r="M434" s="15" t="n">
        <x:v>27</x:v>
      </x:c>
      <x:c r="N434" s="14" t="str">
        <x:v>David Ames</x:v>
      </x:c>
      <x:c r="O434" s="14" t="str">
        <x:v>nm3261729</x:v>
      </x:c>
      <x:c r="P434" s="14" t="str">
        <x:v>George</x:v>
      </x:c>
      <x:c r="Q434" s="15" t="n">
        <x:v>1</x:v>
      </x:c>
      <x:c r="R434" s="14" t="str">
        <x:v>2023</x:v>
      </x:c>
      <x:c r="S434" s="14" t="n">
        <x:v>2023</x:v>
      </x:c>
      <x:c r="T434" s="14" t="n">
        <x:v>2023</x:v>
      </x:c>
      <x:c r="U434" s="14" t="str">
        <x:v>Post-2021 casting excluded</x:v>
      </x:c>
      <x:c r="V434" s="14" t="str">
        <x:v>Earliest supplied year is 2023, later than the 2021 study year.</x:v>
      </x:c>
      <x:c r="W434" s="14"/>
      <x:c r="X434" s="14" t="str">
        <x:v>Included</x:v>
      </x:c>
      <x:c r="Y434" s="14"/>
      <x:c r="Z434" s="14" t="str">
        <x:v>The Madame Blanc Mysteries.docx</x:v>
      </x:c>
      <x:c r="AA43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Channel 5 / 5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4" s="14" t="str">
        <x:v>No qualifying BBC relationship</x:v>
      </x:c>
      <x:c r="AO434" s="14" t="str">
        <x:v>No</x:v>
      </x:c>
      <x:c r="AP434" s="14" t="str">
        <x:v>Out of scope</x:v>
      </x:c>
      <x:c r="AQ434" s="14" t="str">
        <x:v>No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28</x:v>
      </x:c>
      <x:c r="BP434" s="14" t="str">
        <x:v>Maximum eligible IMDb cast-credit total (28), shared by 4 performer(s); not independently verified as a 2021-only episode total.</x:v>
      </x:c>
      <x:c r="BQ434" s="14" t="str">
        <x:v>Medium</x:v>
      </x:c>
      <x:c r="BR434" s="15" t="n">
        <x:v>1</x:v>
      </x:c>
      <x:c r="BS434" s="16" t="n">
        <x:v>0.03571428571428571</x:v>
      </x:c>
      <x:c r="BT434" s="14" t="str">
        <x:v>One episode</x:v>
      </x:c>
      <x:c r="BU434" s="14" t="str">
        <x:v>Medium</x:v>
      </x:c>
      <x:c r="BV434" s="14" t="str">
        <x:v>Derived from supplied IMDb episode count and the documented production-total proxy.</x:v>
      </x:c>
      <x:c r="BW434" s="14" t="str">
        <x:v>Unable to determine</x:v>
      </x:c>
      <x:c r="BX434" s="14" t="str">
        <x:v>Supplied cast data establishes the credit and episode presence but does not establish narrative prominence.</x:v>
      </x:c>
      <x:c r="BY434" s="14" t="str">
        <x:v>Supplied IMDb cast-list workbook</x:v>
      </x:c>
      <x:c r="BZ43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tt15499118|nm9242044|yves</x:v>
      </x:c>
      <x:c r="B435" s="14" t="str">
        <x:v>03</x:v>
      </x:c>
      <x:c r="C435" s="14" t="str">
        <x:v>2021_IMDb_Cast_Lists_Batch_03(1).xlsx</x:v>
      </x:c>
      <x:c r="D435" s="14" t="str">
        <x:v>The Madame Blanc Mysteries</x:v>
      </x:c>
      <x:c r="E435" s="14" t="n">
        <x:v>35</x:v>
      </x:c>
      <x:c r="F435" s="14" t="str">
        <x:v>The Madame Blanc Mysteries</x:v>
      </x:c>
      <x:c r="G435" s="14" t="str">
        <x:v>tt15499118</x:v>
      </x:c>
      <x:c r="H435" s="14" t="n">
        <x:v>2021</x:v>
      </x:c>
      <x:c r="I435" s="14" t="n">
        <x:v>2023</x:v>
      </x:c>
      <x:c r="J435" s="14" t="str">
        <x:v>Earlier-Production Carry-In Cohort</x:v>
      </x:c>
      <x:c r="K435" s="14" t="n">
        <x:v>2021</x:v>
      </x:c>
      <x:c r="L435" s="14" t="str">
        <x:v>Used in 2023 annual analysis</x:v>
      </x:c>
      <x:c r="M435" s="15" t="n">
        <x:v>28</x:v>
      </x:c>
      <x:c r="N435" s="14" t="str">
        <x:v>Adrien Mubu</x:v>
      </x:c>
      <x:c r="O435" s="14" t="str">
        <x:v>nm9242044</x:v>
      </x:c>
      <x:c r="P435" s="14" t="str">
        <x:v>Yves</x:v>
      </x:c>
      <x:c r="Q435" s="15" t="n">
        <x:v>1</x:v>
      </x:c>
      <x:c r="R435" s="14" t="str">
        <x:v>2023</x:v>
      </x:c>
      <x:c r="S435" s="14" t="n">
        <x:v>2023</x:v>
      </x:c>
      <x:c r="T435" s="14" t="n">
        <x:v>2023</x:v>
      </x:c>
      <x:c r="U435" s="14" t="str">
        <x:v>Post-2021 casting excluded</x:v>
      </x:c>
      <x:c r="V435" s="14" t="str">
        <x:v>Earliest supplied year is 2023, later than the 2021 study year.</x:v>
      </x:c>
      <x:c r="W435" s="14"/>
      <x:c r="X435" s="14" t="str">
        <x:v>Included</x:v>
      </x:c>
      <x:c r="Y435" s="14"/>
      <x:c r="Z435" s="14" t="str">
        <x:v>The Madame Blanc Mysteries.docx</x:v>
      </x:c>
      <x:c r="AA43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Channel 5 / 5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5" s="14" t="str">
        <x:v>No qualifying BBC relationship</x:v>
      </x:c>
      <x:c r="AO435" s="14" t="str">
        <x:v>No</x:v>
      </x:c>
      <x:c r="AP435" s="14" t="str">
        <x:v>Out of scope</x:v>
      </x:c>
      <x:c r="AQ435" s="14" t="str">
        <x:v>No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28</x:v>
      </x:c>
      <x:c r="BP435" s="14" t="str">
        <x:v>Maximum eligible IMDb cast-credit total (28), shared by 4 performer(s); not independently verified as a 2021-only episode total.</x:v>
      </x:c>
      <x:c r="BQ435" s="14" t="str">
        <x:v>Medium</x:v>
      </x:c>
      <x:c r="BR435" s="15" t="n">
        <x:v>1</x:v>
      </x:c>
      <x:c r="BS435" s="16" t="n">
        <x:v>0.03571428571428571</x:v>
      </x:c>
      <x:c r="BT435" s="14" t="str">
        <x:v>One episode</x:v>
      </x:c>
      <x:c r="BU435" s="14" t="str">
        <x:v>Medium</x:v>
      </x:c>
      <x:c r="BV435" s="14" t="str">
        <x:v>Derived from supplied IMDb episode count and the documented production-total proxy.</x:v>
      </x:c>
      <x:c r="BW435" s="14" t="str">
        <x:v>Unable to determine</x:v>
      </x:c>
      <x:c r="BX435" s="14" t="str">
        <x:v>Supplied cast data establishes the credit and episode presence but does not establish narrative prominence.</x:v>
      </x:c>
      <x:c r="BY435" s="14" t="str">
        <x:v>Supplied IMDb cast-list workbook</x:v>
      </x:c>
      <x:c r="BZ43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tt15499118|nm0090196|vernon bradley</x:v>
      </x:c>
      <x:c r="B436" s="14" t="str">
        <x:v>03</x:v>
      </x:c>
      <x:c r="C436" s="14" t="str">
        <x:v>2021_IMDb_Cast_Lists_Batch_03(1).xlsx</x:v>
      </x:c>
      <x:c r="D436" s="14" t="str">
        <x:v>The Madame Blanc Mysteries</x:v>
      </x:c>
      <x:c r="E436" s="14" t="n">
        <x:v>44</x:v>
      </x:c>
      <x:c r="F436" s="14" t="str">
        <x:v>The Madame Blanc Mysteries</x:v>
      </x:c>
      <x:c r="G436" s="14" t="str">
        <x:v>tt15499118</x:v>
      </x:c>
      <x:c r="H436" s="14" t="n">
        <x:v>2021</x:v>
      </x:c>
      <x:c r="I436" s="14" t="n">
        <x:v>2023</x:v>
      </x:c>
      <x:c r="J436" s="14" t="str">
        <x:v>Earlier-Production Carry-In Cohort</x:v>
      </x:c>
      <x:c r="K436" s="14" t="n">
        <x:v>2021</x:v>
      </x:c>
      <x:c r="L436" s="14" t="str">
        <x:v>Used in 2023 annual analysis</x:v>
      </x:c>
      <x:c r="M436" s="15" t="n">
        <x:v>37</x:v>
      </x:c>
      <x:c r="N436" s="14" t="str">
        <x:v>Lee Boardman</x:v>
      </x:c>
      <x:c r="O436" s="14" t="str">
        <x:v>nm0090196</x:v>
      </x:c>
      <x:c r="P436" s="14" t="str">
        <x:v>Vernon Bradley</x:v>
      </x:c>
      <x:c r="Q436" s="15" t="n">
        <x:v>1</x:v>
      </x:c>
      <x:c r="R436" s="14" t="str">
        <x:v>2023</x:v>
      </x:c>
      <x:c r="S436" s="14" t="n">
        <x:v>2023</x:v>
      </x:c>
      <x:c r="T436" s="14" t="n">
        <x:v>2023</x:v>
      </x:c>
      <x:c r="U436" s="14" t="str">
        <x:v>Post-2021 casting excluded</x:v>
      </x:c>
      <x:c r="V436" s="14" t="str">
        <x:v>Earliest supplied year is 2023, later than the 2021 study year.</x:v>
      </x:c>
      <x:c r="W436" s="14"/>
      <x:c r="X436" s="14" t="str">
        <x:v>Included</x:v>
      </x:c>
      <x:c r="Y436" s="14"/>
      <x:c r="Z436" s="14" t="str">
        <x:v>The Madame Blanc Mysteries.docx</x:v>
      </x:c>
      <x:c r="AA43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Channel 5 / 5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6" s="14" t="str">
        <x:v>No qualifying BBC relationship</x:v>
      </x:c>
      <x:c r="AO436" s="14" t="str">
        <x:v>No</x:v>
      </x:c>
      <x:c r="AP436" s="14" t="str">
        <x:v>Out of scope</x:v>
      </x:c>
      <x:c r="AQ436" s="14" t="str">
        <x:v>No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28</x:v>
      </x:c>
      <x:c r="BP436" s="14" t="str">
        <x:v>Maximum eligible IMDb cast-credit total (28), shared by 4 performer(s); not independently verified as a 2021-only episode total.</x:v>
      </x:c>
      <x:c r="BQ436" s="14" t="str">
        <x:v>Medium</x:v>
      </x:c>
      <x:c r="BR436" s="15" t="n">
        <x:v>1</x:v>
      </x:c>
      <x:c r="BS436" s="16" t="n">
        <x:v>0.03571428571428571</x:v>
      </x:c>
      <x:c r="BT436" s="14" t="str">
        <x:v>One episode</x:v>
      </x:c>
      <x:c r="BU436" s="14" t="str">
        <x:v>Medium</x:v>
      </x:c>
      <x:c r="BV436" s="14" t="str">
        <x:v>Derived from supplied IMDb episode count and the documented production-total proxy.</x:v>
      </x:c>
      <x:c r="BW436" s="14" t="str">
        <x:v>Unable to determine</x:v>
      </x:c>
      <x:c r="BX436" s="14" t="str">
        <x:v>Supplied cast data establishes the credit and episode presence but does not establish narrative prominence.</x:v>
      </x:c>
      <x:c r="BY436" s="14" t="str">
        <x:v>Supplied IMDb cast-list workbook</x:v>
      </x:c>
      <x:c r="BZ43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tt15499118|nm0099953|madame belvoir</x:v>
      </x:c>
      <x:c r="B437" s="14" t="str">
        <x:v>03</x:v>
      </x:c>
      <x:c r="C437" s="14" t="str">
        <x:v>2021_IMDb_Cast_Lists_Batch_03(1).xlsx</x:v>
      </x:c>
      <x:c r="D437" s="14" t="str">
        <x:v>The Madame Blanc Mysteries</x:v>
      </x:c>
      <x:c r="E437" s="14" t="n">
        <x:v>45</x:v>
      </x:c>
      <x:c r="F437" s="14" t="str">
        <x:v>The Madame Blanc Mysteries</x:v>
      </x:c>
      <x:c r="G437" s="14" t="str">
        <x:v>tt15499118</x:v>
      </x:c>
      <x:c r="H437" s="14" t="n">
        <x:v>2021</x:v>
      </x:c>
      <x:c r="I437" s="14" t="n">
        <x:v>2023</x:v>
      </x:c>
      <x:c r="J437" s="14" t="str">
        <x:v>Earlier-Production Carry-In Cohort</x:v>
      </x:c>
      <x:c r="K437" s="14" t="n">
        <x:v>2021</x:v>
      </x:c>
      <x:c r="L437" s="14" t="str">
        <x:v>Used in 2023 annual analysis</x:v>
      </x:c>
      <x:c r="M437" s="15" t="n">
        <x:v>38</x:v>
      </x:c>
      <x:c r="N437" s="14" t="str">
        <x:v>Elizabeth Bourgine</x:v>
      </x:c>
      <x:c r="O437" s="14" t="str">
        <x:v>nm0099953</x:v>
      </x:c>
      <x:c r="P437" s="14" t="str">
        <x:v>Madame Belvoir</x:v>
      </x:c>
      <x:c r="Q437" s="15" t="n">
        <x:v>1</x:v>
      </x:c>
      <x:c r="R437" s="14" t="str">
        <x:v>2023</x:v>
      </x:c>
      <x:c r="S437" s="14" t="n">
        <x:v>2023</x:v>
      </x:c>
      <x:c r="T437" s="14" t="n">
        <x:v>2023</x:v>
      </x:c>
      <x:c r="U437" s="14" t="str">
        <x:v>Post-2021 casting excluded</x:v>
      </x:c>
      <x:c r="V437" s="14" t="str">
        <x:v>Earliest supplied year is 2023, later than the 2021 study year.</x:v>
      </x:c>
      <x:c r="W437" s="14"/>
      <x:c r="X437" s="14" t="str">
        <x:v>Included</x:v>
      </x:c>
      <x:c r="Y437" s="14"/>
      <x:c r="Z437" s="14" t="str">
        <x:v>The Madame Blanc Mysteries.docx</x:v>
      </x:c>
      <x:c r="AA43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Channel 5 / 5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7" s="14" t="str">
        <x:v>No qualifying BBC relationship</x:v>
      </x:c>
      <x:c r="AO437" s="14" t="str">
        <x:v>No</x:v>
      </x:c>
      <x:c r="AP437" s="14" t="str">
        <x:v>Out of scope</x:v>
      </x:c>
      <x:c r="AQ437" s="14" t="str">
        <x:v>No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28</x:v>
      </x:c>
      <x:c r="BP437" s="14" t="str">
        <x:v>Maximum eligible IMDb cast-credit total (28), shared by 4 performer(s); not independently verified as a 2021-only episode total.</x:v>
      </x:c>
      <x:c r="BQ437" s="14" t="str">
        <x:v>Medium</x:v>
      </x:c>
      <x:c r="BR437" s="15" t="n">
        <x:v>1</x:v>
      </x:c>
      <x:c r="BS437" s="16" t="n">
        <x:v>0.03571428571428571</x:v>
      </x:c>
      <x:c r="BT437" s="14" t="str">
        <x:v>One episode</x:v>
      </x:c>
      <x:c r="BU437" s="14" t="str">
        <x:v>Medium</x:v>
      </x:c>
      <x:c r="BV437" s="14" t="str">
        <x:v>Derived from supplied IMDb episode count and the documented production-total proxy.</x:v>
      </x:c>
      <x:c r="BW437" s="14" t="str">
        <x:v>Unable to determine</x:v>
      </x:c>
      <x:c r="BX437" s="14" t="str">
        <x:v>Supplied cast data establishes the credit and episode presence but does not establish narrative prominence.</x:v>
      </x:c>
      <x:c r="BY437" s="14" t="str">
        <x:v>Supplied IMDb cast-list workbook</x:v>
      </x:c>
      <x:c r="BZ43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tt15499118|nm0090236|chloe</x:v>
      </x:c>
      <x:c r="B438" s="14" t="str">
        <x:v>03</x:v>
      </x:c>
      <x:c r="C438" s="14" t="str">
        <x:v>2021_IMDb_Cast_Lists_Batch_03(1).xlsx</x:v>
      </x:c>
      <x:c r="D438" s="14" t="str">
        <x:v>The Madame Blanc Mysteries</x:v>
      </x:c>
      <x:c r="E438" s="14" t="n">
        <x:v>46</x:v>
      </x:c>
      <x:c r="F438" s="14" t="str">
        <x:v>The Madame Blanc Mysteries</x:v>
      </x:c>
      <x:c r="G438" s="14" t="str">
        <x:v>tt15499118</x:v>
      </x:c>
      <x:c r="H438" s="14" t="n">
        <x:v>2021</x:v>
      </x:c>
      <x:c r="I438" s="14" t="n">
        <x:v>2023</x:v>
      </x:c>
      <x:c r="J438" s="14" t="str">
        <x:v>Earlier-Production Carry-In Cohort</x:v>
      </x:c>
      <x:c r="K438" s="14" t="n">
        <x:v>2021</x:v>
      </x:c>
      <x:c r="L438" s="14" t="str">
        <x:v>Used in 2023 annual analysis</x:v>
      </x:c>
      <x:c r="M438" s="15" t="n">
        <x:v>39</x:v>
      </x:c>
      <x:c r="N438" s="14" t="str">
        <x:v>Jacqueline Boatswain</x:v>
      </x:c>
      <x:c r="O438" s="14" t="str">
        <x:v>nm0090236</x:v>
      </x:c>
      <x:c r="P438" s="14" t="str">
        <x:v>Chloe</x:v>
      </x:c>
      <x:c r="Q438" s="15" t="n">
        <x:v>1</x:v>
      </x:c>
      <x:c r="R438" s="14" t="str">
        <x:v>2023</x:v>
      </x:c>
      <x:c r="S438" s="14" t="n">
        <x:v>2023</x:v>
      </x:c>
      <x:c r="T438" s="14" t="n">
        <x:v>2023</x:v>
      </x:c>
      <x:c r="U438" s="14" t="str">
        <x:v>Post-2021 casting excluded</x:v>
      </x:c>
      <x:c r="V438" s="14" t="str">
        <x:v>Earliest supplied year is 2023, later than the 2021 study year.</x:v>
      </x:c>
      <x:c r="W438" s="14"/>
      <x:c r="X438" s="14" t="str">
        <x:v>Included</x:v>
      </x:c>
      <x:c r="Y438" s="14"/>
      <x:c r="Z438" s="14" t="str">
        <x:v>The Madame Blanc Mysteries.docx</x:v>
      </x:c>
      <x:c r="AA43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Channel 5 / 5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8" s="14" t="str">
        <x:v>No qualifying BBC relationship</x:v>
      </x:c>
      <x:c r="AO438" s="14" t="str">
        <x:v>No</x:v>
      </x:c>
      <x:c r="AP438" s="14" t="str">
        <x:v>Out of scope</x:v>
      </x:c>
      <x:c r="AQ438" s="14" t="str">
        <x:v>No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28</x:v>
      </x:c>
      <x:c r="BP438" s="14" t="str">
        <x:v>Maximum eligible IMDb cast-credit total (28), shared by 4 performer(s); not independently verified as a 2021-only episode total.</x:v>
      </x:c>
      <x:c r="BQ438" s="14" t="str">
        <x:v>Medium</x:v>
      </x:c>
      <x:c r="BR438" s="15" t="n">
        <x:v>1</x:v>
      </x:c>
      <x:c r="BS438" s="16" t="n">
        <x:v>0.03571428571428571</x:v>
      </x:c>
      <x:c r="BT438" s="14" t="str">
        <x:v>One episode</x:v>
      </x:c>
      <x:c r="BU438" s="14" t="str">
        <x:v>Medium</x:v>
      </x:c>
      <x:c r="BV438" s="14" t="str">
        <x:v>Derived from supplied IMDb episode count and the documented production-total proxy.</x:v>
      </x:c>
      <x:c r="BW438" s="14" t="str">
        <x:v>Unable to determine</x:v>
      </x:c>
      <x:c r="BX438" s="14" t="str">
        <x:v>Supplied cast data establishes the credit and episode presence but does not establish narrative prominence.</x:v>
      </x:c>
      <x:c r="BY438" s="14" t="str">
        <x:v>Supplied IMDb cast-list workbook</x:v>
      </x:c>
      <x:c r="BZ43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tt15499118|nm0493607|martin</x:v>
      </x:c>
      <x:c r="B439" s="14" t="str">
        <x:v>03</x:v>
      </x:c>
      <x:c r="C439" s="14" t="str">
        <x:v>2021_IMDb_Cast_Lists_Batch_03(1).xlsx</x:v>
      </x:c>
      <x:c r="D439" s="14" t="str">
        <x:v>The Madame Blanc Mysteries</x:v>
      </x:c>
      <x:c r="E439" s="14" t="n">
        <x:v>47</x:v>
      </x:c>
      <x:c r="F439" s="14" t="str">
        <x:v>The Madame Blanc Mysteries</x:v>
      </x:c>
      <x:c r="G439" s="14" t="str">
        <x:v>tt15499118</x:v>
      </x:c>
      <x:c r="H439" s="14" t="n">
        <x:v>2021</x:v>
      </x:c>
      <x:c r="I439" s="14" t="n">
        <x:v>2023</x:v>
      </x:c>
      <x:c r="J439" s="14" t="str">
        <x:v>Earlier-Production Carry-In Cohort</x:v>
      </x:c>
      <x:c r="K439" s="14" t="n">
        <x:v>2021</x:v>
      </x:c>
      <x:c r="L439" s="14" t="str">
        <x:v>Used in 2023 annual analysis</x:v>
      </x:c>
      <x:c r="M439" s="15" t="n">
        <x:v>40</x:v>
      </x:c>
      <x:c r="N439" s="14" t="str">
        <x:v>George Layton</x:v>
      </x:c>
      <x:c r="O439" s="14" t="str">
        <x:v>nm0493607</x:v>
      </x:c>
      <x:c r="P439" s="14" t="str">
        <x:v>Martin</x:v>
      </x:c>
      <x:c r="Q439" s="15" t="n">
        <x:v>1</x:v>
      </x:c>
      <x:c r="R439" s="14" t="str">
        <x:v>2023</x:v>
      </x:c>
      <x:c r="S439" s="14" t="n">
        <x:v>2023</x:v>
      </x:c>
      <x:c r="T439" s="14" t="n">
        <x:v>2023</x:v>
      </x:c>
      <x:c r="U439" s="14" t="str">
        <x:v>Post-2021 casting excluded</x:v>
      </x:c>
      <x:c r="V439" s="14" t="str">
        <x:v>Earliest supplied year is 2023, later than the 2021 study year.</x:v>
      </x:c>
      <x:c r="W439" s="14"/>
      <x:c r="X439" s="14" t="str">
        <x:v>Included</x:v>
      </x:c>
      <x:c r="Y439" s="14"/>
      <x:c r="Z439" s="14" t="str">
        <x:v>The Madame Blanc Mysteries.docx</x:v>
      </x:c>
      <x:c r="AA43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Channel 5 / 5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39" s="14" t="str">
        <x:v>No qualifying BBC relationship</x:v>
      </x:c>
      <x:c r="AO439" s="14" t="str">
        <x:v>No</x:v>
      </x:c>
      <x:c r="AP439" s="14" t="str">
        <x:v>Out of scope</x:v>
      </x:c>
      <x:c r="AQ439" s="14" t="str">
        <x:v>No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28</x:v>
      </x:c>
      <x:c r="BP439" s="14" t="str">
        <x:v>Maximum eligible IMDb cast-credit total (28), shared by 4 performer(s); not independently verified as a 2021-only episode total.</x:v>
      </x:c>
      <x:c r="BQ439" s="14" t="str">
        <x:v>Medium</x:v>
      </x:c>
      <x:c r="BR439" s="15" t="n">
        <x:v>1</x:v>
      </x:c>
      <x:c r="BS439" s="16" t="n">
        <x:v>0.03571428571428571</x:v>
      </x:c>
      <x:c r="BT439" s="14" t="str">
        <x:v>One episode</x:v>
      </x:c>
      <x:c r="BU439" s="14" t="str">
        <x:v>Medium</x:v>
      </x:c>
      <x:c r="BV439" s="14" t="str">
        <x:v>Derived from supplied IMDb episode count and the documented production-total proxy.</x:v>
      </x:c>
      <x:c r="BW439" s="14" t="str">
        <x:v>Unable to determine</x:v>
      </x:c>
      <x:c r="BX439" s="14" t="str">
        <x:v>Supplied cast data establishes the credit and episode presence but does not establish narrative prominence.</x:v>
      </x:c>
      <x:c r="BY439" s="14" t="str">
        <x:v>Supplied IMDb cast-list workbook</x:v>
      </x:c>
      <x:c r="BZ43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tt15499118|nm2563255|lela</x:v>
      </x:c>
      <x:c r="B440" s="14" t="str">
        <x:v>03</x:v>
      </x:c>
      <x:c r="C440" s="14" t="str">
        <x:v>2021_IMDb_Cast_Lists_Batch_03(1).xlsx</x:v>
      </x:c>
      <x:c r="D440" s="14" t="str">
        <x:v>The Madame Blanc Mysteries</x:v>
      </x:c>
      <x:c r="E440" s="14" t="n">
        <x:v>48</x:v>
      </x:c>
      <x:c r="F440" s="14" t="str">
        <x:v>The Madame Blanc Mysteries</x:v>
      </x:c>
      <x:c r="G440" s="14" t="str">
        <x:v>tt15499118</x:v>
      </x:c>
      <x:c r="H440" s="14" t="n">
        <x:v>2021</x:v>
      </x:c>
      <x:c r="I440" s="14" t="n">
        <x:v>2023</x:v>
      </x:c>
      <x:c r="J440" s="14" t="str">
        <x:v>Earlier-Production Carry-In Cohort</x:v>
      </x:c>
      <x:c r="K440" s="14" t="n">
        <x:v>2021</x:v>
      </x:c>
      <x:c r="L440" s="14" t="str">
        <x:v>Used in 2023 annual analysis</x:v>
      </x:c>
      <x:c r="M440" s="15" t="n">
        <x:v>41</x:v>
      </x:c>
      <x:c r="N440" s="14" t="str">
        <x:v>Frida Cauchi</x:v>
      </x:c>
      <x:c r="O440" s="14" t="str">
        <x:v>nm2563255</x:v>
      </x:c>
      <x:c r="P440" s="14" t="str">
        <x:v>Lela</x:v>
      </x:c>
      <x:c r="Q440" s="15" t="n">
        <x:v>1</x:v>
      </x:c>
      <x:c r="R440" s="14" t="str">
        <x:v>2023</x:v>
      </x:c>
      <x:c r="S440" s="14" t="n">
        <x:v>2023</x:v>
      </x:c>
      <x:c r="T440" s="14" t="n">
        <x:v>2023</x:v>
      </x:c>
      <x:c r="U440" s="14" t="str">
        <x:v>Post-2021 casting excluded</x:v>
      </x:c>
      <x:c r="V440" s="14" t="str">
        <x:v>Earliest supplied year is 2023, later than the 2021 study year.</x:v>
      </x:c>
      <x:c r="W440" s="14"/>
      <x:c r="X440" s="14" t="str">
        <x:v>Included</x:v>
      </x:c>
      <x:c r="Y440" s="14"/>
      <x:c r="Z440" s="14" t="str">
        <x:v>The Madame Blanc Mysteries.docx</x:v>
      </x:c>
      <x:c r="AA44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Channel 5 / 5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0" s="14" t="str">
        <x:v>No qualifying BBC relationship</x:v>
      </x:c>
      <x:c r="AO440" s="14" t="str">
        <x:v>No</x:v>
      </x:c>
      <x:c r="AP440" s="14" t="str">
        <x:v>Out of scope</x:v>
      </x:c>
      <x:c r="AQ440" s="14" t="str">
        <x:v>No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28</x:v>
      </x:c>
      <x:c r="BP440" s="14" t="str">
        <x:v>Maximum eligible IMDb cast-credit total (28), shared by 4 performer(s); not independently verified as a 2021-only episode total.</x:v>
      </x:c>
      <x:c r="BQ440" s="14" t="str">
        <x:v>Medium</x:v>
      </x:c>
      <x:c r="BR440" s="15" t="n">
        <x:v>1</x:v>
      </x:c>
      <x:c r="BS440" s="16" t="n">
        <x:v>0.03571428571428571</x:v>
      </x:c>
      <x:c r="BT440" s="14" t="str">
        <x:v>One episode</x:v>
      </x:c>
      <x:c r="BU440" s="14" t="str">
        <x:v>Medium</x:v>
      </x:c>
      <x:c r="BV440" s="14" t="str">
        <x:v>Derived from supplied IMDb episode count and the documented production-total proxy.</x:v>
      </x:c>
      <x:c r="BW440" s="14" t="str">
        <x:v>Unable to determine</x:v>
      </x:c>
      <x:c r="BX440" s="14" t="str">
        <x:v>Supplied cast data establishes the credit and episode presence but does not establish narrative prominence.</x:v>
      </x:c>
      <x:c r="BY440" s="14" t="str">
        <x:v>Supplied IMDb cast-list workbook</x:v>
      </x:c>
      <x:c r="BZ44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tt15499118|nm1979751|brigette</x:v>
      </x:c>
      <x:c r="B441" s="14" t="str">
        <x:v>03</x:v>
      </x:c>
      <x:c r="C441" s="14" t="str">
        <x:v>2021_IMDb_Cast_Lists_Batch_03(1).xlsx</x:v>
      </x:c>
      <x:c r="D441" s="14" t="str">
        <x:v>The Madame Blanc Mysteries</x:v>
      </x:c>
      <x:c r="E441" s="14" t="n">
        <x:v>58</x:v>
      </x:c>
      <x:c r="F441" s="14" t="str">
        <x:v>The Madame Blanc Mysteries</x:v>
      </x:c>
      <x:c r="G441" s="14" t="str">
        <x:v>tt15499118</x:v>
      </x:c>
      <x:c r="H441" s="14" t="n">
        <x:v>2021</x:v>
      </x:c>
      <x:c r="I441" s="14" t="n">
        <x:v>2023</x:v>
      </x:c>
      <x:c r="J441" s="14" t="str">
        <x:v>Earlier-Production Carry-In Cohort</x:v>
      </x:c>
      <x:c r="K441" s="14" t="n">
        <x:v>2021</x:v>
      </x:c>
      <x:c r="L441" s="14" t="str">
        <x:v>Used in 2023 annual analysis</x:v>
      </x:c>
      <x:c r="M441" s="15" t="n">
        <x:v>51</x:v>
      </x:c>
      <x:c r="N441" s="14" t="str">
        <x:v>Karine Ambrosio</x:v>
      </x:c>
      <x:c r="O441" s="14" t="str">
        <x:v>nm1979751</x:v>
      </x:c>
      <x:c r="P441" s="14" t="str">
        <x:v>Brigette</x:v>
      </x:c>
      <x:c r="Q441" s="15" t="n">
        <x:v>1</x:v>
      </x:c>
      <x:c r="R441" s="14" t="str">
        <x:v>2023</x:v>
      </x:c>
      <x:c r="S441" s="14" t="n">
        <x:v>2023</x:v>
      </x:c>
      <x:c r="T441" s="14" t="n">
        <x:v>2023</x:v>
      </x:c>
      <x:c r="U441" s="14" t="str">
        <x:v>Post-2021 casting excluded</x:v>
      </x:c>
      <x:c r="V441" s="14" t="str">
        <x:v>Earliest supplied year is 2023, later than the 2021 study year.</x:v>
      </x:c>
      <x:c r="W441" s="14"/>
      <x:c r="X441" s="14" t="str">
        <x:v>Included</x:v>
      </x:c>
      <x:c r="Y441" s="14"/>
      <x:c r="Z441" s="14" t="str">
        <x:v>The Madame Blanc Mysteries.docx</x:v>
      </x:c>
      <x:c r="AA44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Channel 5 / 5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1" s="14" t="str">
        <x:v>No qualifying BBC relationship</x:v>
      </x:c>
      <x:c r="AO441" s="14" t="str">
        <x:v>No</x:v>
      </x:c>
      <x:c r="AP441" s="14" t="str">
        <x:v>Out of scope</x:v>
      </x:c>
      <x:c r="AQ441" s="14" t="str">
        <x:v>No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28</x:v>
      </x:c>
      <x:c r="BP441" s="14" t="str">
        <x:v>Maximum eligible IMDb cast-credit total (28), shared by 4 performer(s); not independently verified as a 2021-only episode total.</x:v>
      </x:c>
      <x:c r="BQ441" s="14" t="str">
        <x:v>Medium</x:v>
      </x:c>
      <x:c r="BR441" s="15" t="n">
        <x:v>1</x:v>
      </x:c>
      <x:c r="BS441" s="16" t="n">
        <x:v>0.03571428571428571</x:v>
      </x:c>
      <x:c r="BT441" s="14" t="str">
        <x:v>One episode</x:v>
      </x:c>
      <x:c r="BU441" s="14" t="str">
        <x:v>Medium</x:v>
      </x:c>
      <x:c r="BV441" s="14" t="str">
        <x:v>Derived from supplied IMDb episode count and the documented production-total proxy.</x:v>
      </x:c>
      <x:c r="BW441" s="14" t="str">
        <x:v>Unable to determine</x:v>
      </x:c>
      <x:c r="BX441" s="14" t="str">
        <x:v>Supplied cast data establishes the credit and episode presence but does not establish narrative prominence.</x:v>
      </x:c>
      <x:c r="BY441" s="14" t="str">
        <x:v>Supplied IMDb cast-list workbook</x:v>
      </x:c>
      <x:c r="BZ44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tt15499118|nm2870422|cedric</x:v>
      </x:c>
      <x:c r="B442" s="14" t="str">
        <x:v>03</x:v>
      </x:c>
      <x:c r="C442" s="14" t="str">
        <x:v>2021_IMDb_Cast_Lists_Batch_03(1).xlsx</x:v>
      </x:c>
      <x:c r="D442" s="14" t="str">
        <x:v>The Madame Blanc Mysteries</x:v>
      </x:c>
      <x:c r="E442" s="14" t="n">
        <x:v>59</x:v>
      </x:c>
      <x:c r="F442" s="14" t="str">
        <x:v>The Madame Blanc Mysteries</x:v>
      </x:c>
      <x:c r="G442" s="14" t="str">
        <x:v>tt15499118</x:v>
      </x:c>
      <x:c r="H442" s="14" t="n">
        <x:v>2021</x:v>
      </x:c>
      <x:c r="I442" s="14" t="n">
        <x:v>2023</x:v>
      </x:c>
      <x:c r="J442" s="14" t="str">
        <x:v>Earlier-Production Carry-In Cohort</x:v>
      </x:c>
      <x:c r="K442" s="14" t="n">
        <x:v>2021</x:v>
      </x:c>
      <x:c r="L442" s="14" t="str">
        <x:v>Used in 2023 annual analysis</x:v>
      </x:c>
      <x:c r="M442" s="15" t="n">
        <x:v>52</x:v>
      </x:c>
      <x:c r="N442" s="14" t="str">
        <x:v>Antony da Silva</x:v>
      </x:c>
      <x:c r="O442" s="14" t="str">
        <x:v>nm2870422</x:v>
      </x:c>
      <x:c r="P442" s="14" t="str">
        <x:v>Cedric</x:v>
      </x:c>
      <x:c r="Q442" s="15" t="n">
        <x:v>1</x:v>
      </x:c>
      <x:c r="R442" s="14" t="str">
        <x:v>2023</x:v>
      </x:c>
      <x:c r="S442" s="14" t="n">
        <x:v>2023</x:v>
      </x:c>
      <x:c r="T442" s="14" t="n">
        <x:v>2023</x:v>
      </x:c>
      <x:c r="U442" s="14" t="str">
        <x:v>Post-2021 casting excluded</x:v>
      </x:c>
      <x:c r="V442" s="14" t="str">
        <x:v>Earliest supplied year is 2023, later than the 2021 study year.</x:v>
      </x:c>
      <x:c r="W442" s="14"/>
      <x:c r="X442" s="14" t="str">
        <x:v>Included</x:v>
      </x:c>
      <x:c r="Y442" s="14"/>
      <x:c r="Z442" s="14" t="str">
        <x:v>The Madame Blanc Mysteries.docx</x:v>
      </x:c>
      <x:c r="AA44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Channel 5 / 5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2" s="14" t="str">
        <x:v>No qualifying BBC relationship</x:v>
      </x:c>
      <x:c r="AO442" s="14" t="str">
        <x:v>No</x:v>
      </x:c>
      <x:c r="AP442" s="14" t="str">
        <x:v>Out of scope</x:v>
      </x:c>
      <x:c r="AQ442" s="14" t="str">
        <x:v>No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28</x:v>
      </x:c>
      <x:c r="BP442" s="14" t="str">
        <x:v>Maximum eligible IMDb cast-credit total (28), shared by 4 performer(s); not independently verified as a 2021-only episode total.</x:v>
      </x:c>
      <x:c r="BQ442" s="14" t="str">
        <x:v>Medium</x:v>
      </x:c>
      <x:c r="BR442" s="15" t="n">
        <x:v>1</x:v>
      </x:c>
      <x:c r="BS442" s="16" t="n">
        <x:v>0.03571428571428571</x:v>
      </x:c>
      <x:c r="BT442" s="14" t="str">
        <x:v>One episode</x:v>
      </x:c>
      <x:c r="BU442" s="14" t="str">
        <x:v>Medium</x:v>
      </x:c>
      <x:c r="BV442" s="14" t="str">
        <x:v>Derived from supplied IMDb episode count and the documented production-total proxy.</x:v>
      </x:c>
      <x:c r="BW442" s="14" t="str">
        <x:v>Unable to determine</x:v>
      </x:c>
      <x:c r="BX442" s="14" t="str">
        <x:v>Supplied cast data establishes the credit and episode presence but does not establish narrative prominence.</x:v>
      </x:c>
      <x:c r="BY442" s="14" t="str">
        <x:v>Supplied IMDb cast-list workbook</x:v>
      </x:c>
      <x:c r="BZ44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tt15499118|nm8440491|lea</x:v>
      </x:c>
      <x:c r="B443" s="14" t="str">
        <x:v>03</x:v>
      </x:c>
      <x:c r="C443" s="14" t="str">
        <x:v>2021_IMDb_Cast_Lists_Batch_03(1).xlsx</x:v>
      </x:c>
      <x:c r="D443" s="14" t="str">
        <x:v>The Madame Blanc Mysteries</x:v>
      </x:c>
      <x:c r="E443" s="14" t="n">
        <x:v>70</x:v>
      </x:c>
      <x:c r="F443" s="14" t="str">
        <x:v>The Madame Blanc Mysteries</x:v>
      </x:c>
      <x:c r="G443" s="14" t="str">
        <x:v>tt15499118</x:v>
      </x:c>
      <x:c r="H443" s="14" t="n">
        <x:v>2021</x:v>
      </x:c>
      <x:c r="I443" s="14" t="n">
        <x:v>2023</x:v>
      </x:c>
      <x:c r="J443" s="14" t="str">
        <x:v>Earlier-Production Carry-In Cohort</x:v>
      </x:c>
      <x:c r="K443" s="14" t="n">
        <x:v>2021</x:v>
      </x:c>
      <x:c r="L443" s="14" t="str">
        <x:v>Used in 2023 annual analysis</x:v>
      </x:c>
      <x:c r="M443" s="15" t="n">
        <x:v>63</x:v>
      </x:c>
      <x:c r="N443" s="14" t="str">
        <x:v>Lyna Dubarry</x:v>
      </x:c>
      <x:c r="O443" s="14" t="str">
        <x:v>nm8440491</x:v>
      </x:c>
      <x:c r="P443" s="14" t="str">
        <x:v>Lea</x:v>
      </x:c>
      <x:c r="Q443" s="15" t="n">
        <x:v>1</x:v>
      </x:c>
      <x:c r="R443" s="14" t="str">
        <x:v>2023</x:v>
      </x:c>
      <x:c r="S443" s="14" t="n">
        <x:v>2023</x:v>
      </x:c>
      <x:c r="T443" s="14" t="n">
        <x:v>2023</x:v>
      </x:c>
      <x:c r="U443" s="14" t="str">
        <x:v>Post-2021 casting excluded</x:v>
      </x:c>
      <x:c r="V443" s="14" t="str">
        <x:v>Earliest supplied year is 2023, later than the 2021 study year.</x:v>
      </x:c>
      <x:c r="W443" s="14"/>
      <x:c r="X443" s="14" t="str">
        <x:v>Included</x:v>
      </x:c>
      <x:c r="Y443" s="14"/>
      <x:c r="Z443" s="14" t="str">
        <x:v>The Madame Blanc Mysteries.docx</x:v>
      </x:c>
      <x:c r="AA44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Channel 5 / 5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3" s="14" t="str">
        <x:v>No qualifying BBC relationship</x:v>
      </x:c>
      <x:c r="AO443" s="14" t="str">
        <x:v>No</x:v>
      </x:c>
      <x:c r="AP443" s="14" t="str">
        <x:v>Out of scope</x:v>
      </x:c>
      <x:c r="AQ443" s="14" t="str">
        <x:v>No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28</x:v>
      </x:c>
      <x:c r="BP443" s="14" t="str">
        <x:v>Maximum eligible IMDb cast-credit total (28), shared by 4 performer(s); not independently verified as a 2021-only episode total.</x:v>
      </x:c>
      <x:c r="BQ443" s="14" t="str">
        <x:v>Medium</x:v>
      </x:c>
      <x:c r="BR443" s="15" t="n">
        <x:v>1</x:v>
      </x:c>
      <x:c r="BS443" s="16" t="n">
        <x:v>0.03571428571428571</x:v>
      </x:c>
      <x:c r="BT443" s="14" t="str">
        <x:v>One episode</x:v>
      </x:c>
      <x:c r="BU443" s="14" t="str">
        <x:v>Medium</x:v>
      </x:c>
      <x:c r="BV443" s="14" t="str">
        <x:v>Derived from supplied IMDb episode count and the documented production-total proxy.</x:v>
      </x:c>
      <x:c r="BW443" s="14" t="str">
        <x:v>Unable to determine</x:v>
      </x:c>
      <x:c r="BX443" s="14" t="str">
        <x:v>Supplied cast data establishes the credit and episode presence but does not establish narrative prominence.</x:v>
      </x:c>
      <x:c r="BY443" s="14" t="str">
        <x:v>Supplied IMDb cast-list workbook</x:v>
      </x:c>
      <x:c r="BZ44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tt15499118|nm2267077|dura</x:v>
      </x:c>
      <x:c r="B444" s="14" t="str">
        <x:v>03</x:v>
      </x:c>
      <x:c r="C444" s="14" t="str">
        <x:v>2021_IMDb_Cast_Lists_Batch_03(1).xlsx</x:v>
      </x:c>
      <x:c r="D444" s="14" t="str">
        <x:v>The Madame Blanc Mysteries</x:v>
      </x:c>
      <x:c r="E444" s="14" t="n">
        <x:v>75</x:v>
      </x:c>
      <x:c r="F444" s="14" t="str">
        <x:v>The Madame Blanc Mysteries</x:v>
      </x:c>
      <x:c r="G444" s="14" t="str">
        <x:v>tt15499118</x:v>
      </x:c>
      <x:c r="H444" s="14" t="n">
        <x:v>2021</x:v>
      </x:c>
      <x:c r="I444" s="14" t="n">
        <x:v>2023</x:v>
      </x:c>
      <x:c r="J444" s="14" t="str">
        <x:v>Earlier-Production Carry-In Cohort</x:v>
      </x:c>
      <x:c r="K444" s="14" t="n">
        <x:v>2021</x:v>
      </x:c>
      <x:c r="L444" s="14" t="str">
        <x:v>Used in 2023 annual analysis</x:v>
      </x:c>
      <x:c r="M444" s="15" t="n">
        <x:v>68</x:v>
      </x:c>
      <x:c r="N444" s="14" t="str">
        <x:v>Torquil Deacon</x:v>
      </x:c>
      <x:c r="O444" s="14" t="str">
        <x:v>nm2267077</x:v>
      </x:c>
      <x:c r="P444" s="14" t="str">
        <x:v>Dura</x:v>
      </x:c>
      <x:c r="Q444" s="15" t="n">
        <x:v>1</x:v>
      </x:c>
      <x:c r="R444" s="14" t="str">
        <x:v>2023</x:v>
      </x:c>
      <x:c r="S444" s="14" t="n">
        <x:v>2023</x:v>
      </x:c>
      <x:c r="T444" s="14" t="n">
        <x:v>2023</x:v>
      </x:c>
      <x:c r="U444" s="14" t="str">
        <x:v>Post-2021 casting excluded</x:v>
      </x:c>
      <x:c r="V444" s="14" t="str">
        <x:v>Earliest supplied year is 2023, later than the 2021 study year.</x:v>
      </x:c>
      <x:c r="W444" s="14"/>
      <x:c r="X444" s="14" t="str">
        <x:v>Included</x:v>
      </x:c>
      <x:c r="Y444" s="14"/>
      <x:c r="Z444" s="14" t="str">
        <x:v>The Madame Blanc Mysteries.docx</x:v>
      </x:c>
      <x:c r="AA44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Channel 5 / 5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4" s="14" t="str">
        <x:v>No qualifying BBC relationship</x:v>
      </x:c>
      <x:c r="AO444" s="14" t="str">
        <x:v>No</x:v>
      </x:c>
      <x:c r="AP444" s="14" t="str">
        <x:v>Out of scope</x:v>
      </x:c>
      <x:c r="AQ444" s="14" t="str">
        <x:v>No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28</x:v>
      </x:c>
      <x:c r="BP444" s="14" t="str">
        <x:v>Maximum eligible IMDb cast-credit total (28), shared by 4 performer(s); not independently verified as a 2021-only episode total.</x:v>
      </x:c>
      <x:c r="BQ444" s="14" t="str">
        <x:v>Medium</x:v>
      </x:c>
      <x:c r="BR444" s="15" t="n">
        <x:v>1</x:v>
      </x:c>
      <x:c r="BS444" s="16" t="n">
        <x:v>0.03571428571428571</x:v>
      </x:c>
      <x:c r="BT444" s="14" t="str">
        <x:v>One episode</x:v>
      </x:c>
      <x:c r="BU444" s="14" t="str">
        <x:v>Medium</x:v>
      </x:c>
      <x:c r="BV444" s="14" t="str">
        <x:v>Derived from supplied IMDb episode count and the documented production-total proxy.</x:v>
      </x:c>
      <x:c r="BW444" s="14" t="str">
        <x:v>Unable to determine</x:v>
      </x:c>
      <x:c r="BX444" s="14" t="str">
        <x:v>Supplied cast data establishes the credit and episode presence but does not establish narrative prominence.</x:v>
      </x:c>
      <x:c r="BY444" s="14" t="str">
        <x:v>Supplied IMDb cast-list workbook</x:v>
      </x:c>
      <x:c r="BZ44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tt15499118|nm1767836|lily</x:v>
      </x:c>
      <x:c r="B445" s="14" t="str">
        <x:v>03</x:v>
      </x:c>
      <x:c r="C445" s="14" t="str">
        <x:v>2021_IMDb_Cast_Lists_Batch_03(1).xlsx</x:v>
      </x:c>
      <x:c r="D445" s="14" t="str">
        <x:v>The Madame Blanc Mysteries</x:v>
      </x:c>
      <x:c r="E445" s="14" t="n">
        <x:v>76</x:v>
      </x:c>
      <x:c r="F445" s="14" t="str">
        <x:v>The Madame Blanc Mysteries</x:v>
      </x:c>
      <x:c r="G445" s="14" t="str">
        <x:v>tt15499118</x:v>
      </x:c>
      <x:c r="H445" s="14" t="n">
        <x:v>2021</x:v>
      </x:c>
      <x:c r="I445" s="14" t="n">
        <x:v>2023</x:v>
      </x:c>
      <x:c r="J445" s="14" t="str">
        <x:v>Earlier-Production Carry-In Cohort</x:v>
      </x:c>
      <x:c r="K445" s="14" t="n">
        <x:v>2021</x:v>
      </x:c>
      <x:c r="L445" s="14" t="str">
        <x:v>Used in 2023 annual analysis</x:v>
      </x:c>
      <x:c r="M445" s="15" t="n">
        <x:v>69</x:v>
      </x:c>
      <x:c r="N445" s="14" t="str">
        <x:v>Murielle Huet des Aunay</x:v>
      </x:c>
      <x:c r="O445" s="14" t="str">
        <x:v>nm1767836</x:v>
      </x:c>
      <x:c r="P445" s="14" t="str">
        <x:v>Lily</x:v>
      </x:c>
      <x:c r="Q445" s="15" t="n">
        <x:v>1</x:v>
      </x:c>
      <x:c r="R445" s="14" t="str">
        <x:v>2023</x:v>
      </x:c>
      <x:c r="S445" s="14" t="n">
        <x:v>2023</x:v>
      </x:c>
      <x:c r="T445" s="14" t="n">
        <x:v>2023</x:v>
      </x:c>
      <x:c r="U445" s="14" t="str">
        <x:v>Post-2021 casting excluded</x:v>
      </x:c>
      <x:c r="V445" s="14" t="str">
        <x:v>Earliest supplied year is 2023, later than the 2021 study year.</x:v>
      </x:c>
      <x:c r="W445" s="14"/>
      <x:c r="X445" s="14" t="str">
        <x:v>Included</x:v>
      </x:c>
      <x:c r="Y445" s="14"/>
      <x:c r="Z445" s="14" t="str">
        <x:v>The Madame Blanc Mysteries.docx</x:v>
      </x:c>
      <x:c r="AA44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Channel 5 / 5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5" s="14" t="str">
        <x:v>No qualifying BBC relationship</x:v>
      </x:c>
      <x:c r="AO445" s="14" t="str">
        <x:v>No</x:v>
      </x:c>
      <x:c r="AP445" s="14" t="str">
        <x:v>Out of scope</x:v>
      </x:c>
      <x:c r="AQ445" s="14" t="str">
        <x:v>No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28</x:v>
      </x:c>
      <x:c r="BP445" s="14" t="str">
        <x:v>Maximum eligible IMDb cast-credit total (28), shared by 4 performer(s); not independently verified as a 2021-only episode total.</x:v>
      </x:c>
      <x:c r="BQ445" s="14" t="str">
        <x:v>Medium</x:v>
      </x:c>
      <x:c r="BR445" s="15" t="n">
        <x:v>1</x:v>
      </x:c>
      <x:c r="BS445" s="16" t="n">
        <x:v>0.03571428571428571</x:v>
      </x:c>
      <x:c r="BT445" s="14" t="str">
        <x:v>One episode</x:v>
      </x:c>
      <x:c r="BU445" s="14" t="str">
        <x:v>Medium</x:v>
      </x:c>
      <x:c r="BV445" s="14" t="str">
        <x:v>Derived from supplied IMDb episode count and the documented production-total proxy.</x:v>
      </x:c>
      <x:c r="BW445" s="14" t="str">
        <x:v>Unable to determine</x:v>
      </x:c>
      <x:c r="BX445" s="14" t="str">
        <x:v>Supplied cast data establishes the credit and episode presence but does not establish narrative prominence.</x:v>
      </x:c>
      <x:c r="BY445" s="14" t="str">
        <x:v>Supplied IMDb cast-list workbook</x:v>
      </x:c>
      <x:c r="BZ44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tt15499118|nm0861664|flora marshall</x:v>
      </x:c>
      <x:c r="B446" s="14" t="str">
        <x:v>03</x:v>
      </x:c>
      <x:c r="C446" s="14" t="str">
        <x:v>2021_IMDb_Cast_Lists_Batch_03(1).xlsx</x:v>
      </x:c>
      <x:c r="D446" s="14" t="str">
        <x:v>The Madame Blanc Mysteries</x:v>
      </x:c>
      <x:c r="E446" s="14" t="n">
        <x:v>94</x:v>
      </x:c>
      <x:c r="F446" s="14" t="str">
        <x:v>The Madame Blanc Mysteries</x:v>
      </x:c>
      <x:c r="G446" s="14" t="str">
        <x:v>tt15499118</x:v>
      </x:c>
      <x:c r="H446" s="14" t="n">
        <x:v>2021</x:v>
      </x:c>
      <x:c r="I446" s="14" t="n">
        <x:v>2023</x:v>
      </x:c>
      <x:c r="J446" s="14" t="str">
        <x:v>Earlier-Production Carry-In Cohort</x:v>
      </x:c>
      <x:c r="K446" s="14" t="n">
        <x:v>2021</x:v>
      </x:c>
      <x:c r="L446" s="14" t="str">
        <x:v>Used in 2023 annual analysis</x:v>
      </x:c>
      <x:c r="M446" s="15" t="n">
        <x:v>87</x:v>
      </x:c>
      <x:c r="N446" s="14" t="str">
        <x:v>Harriet Thorpe</x:v>
      </x:c>
      <x:c r="O446" s="14" t="str">
        <x:v>nm0861664</x:v>
      </x:c>
      <x:c r="P446" s="14" t="str">
        <x:v>Flora Marshall</x:v>
      </x:c>
      <x:c r="Q446" s="15" t="n">
        <x:v>1</x:v>
      </x:c>
      <x:c r="R446" s="14" t="str">
        <x:v>2023</x:v>
      </x:c>
      <x:c r="S446" s="14" t="n">
        <x:v>2023</x:v>
      </x:c>
      <x:c r="T446" s="14" t="n">
        <x:v>2023</x:v>
      </x:c>
      <x:c r="U446" s="14" t="str">
        <x:v>Post-2021 casting excluded</x:v>
      </x:c>
      <x:c r="V446" s="14" t="str">
        <x:v>Earliest supplied year is 2023, later than the 2021 study year.</x:v>
      </x:c>
      <x:c r="W446" s="14"/>
      <x:c r="X446" s="14" t="str">
        <x:v>Included</x:v>
      </x:c>
      <x:c r="Y446" s="14"/>
      <x:c r="Z446" s="14" t="str">
        <x:v>The Madame Blanc Mysteries.docx</x:v>
      </x:c>
      <x:c r="AA44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Channel 5 / 5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6" s="14" t="str">
        <x:v>No qualifying BBC relationship</x:v>
      </x:c>
      <x:c r="AO446" s="14" t="str">
        <x:v>No</x:v>
      </x:c>
      <x:c r="AP446" s="14" t="str">
        <x:v>Out of scope</x:v>
      </x:c>
      <x:c r="AQ446" s="14" t="str">
        <x:v>No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28</x:v>
      </x:c>
      <x:c r="BP446" s="14" t="str">
        <x:v>Maximum eligible IMDb cast-credit total (28), shared by 4 performer(s); not independently verified as a 2021-only episode total.</x:v>
      </x:c>
      <x:c r="BQ446" s="14" t="str">
        <x:v>Medium</x:v>
      </x:c>
      <x:c r="BR446" s="15" t="n">
        <x:v>1</x:v>
      </x:c>
      <x:c r="BS446" s="16" t="n">
        <x:v>0.03571428571428571</x:v>
      </x:c>
      <x:c r="BT446" s="14" t="str">
        <x:v>One episode</x:v>
      </x:c>
      <x:c r="BU446" s="14" t="str">
        <x:v>Medium</x:v>
      </x:c>
      <x:c r="BV446" s="14" t="str">
        <x:v>Derived from supplied IMDb episode count and the documented production-total proxy.</x:v>
      </x:c>
      <x:c r="BW446" s="14" t="str">
        <x:v>Unable to determine</x:v>
      </x:c>
      <x:c r="BX446" s="14" t="str">
        <x:v>Supplied cast data establishes the credit and episode presence but does not establish narrative prominence.</x:v>
      </x:c>
      <x:c r="BY446" s="14" t="str">
        <x:v>Supplied IMDb cast-list workbook</x:v>
      </x:c>
      <x:c r="BZ44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tt15499118|nm0416590|rose bradley</x:v>
      </x:c>
      <x:c r="B447" s="14" t="str">
        <x:v>03</x:v>
      </x:c>
      <x:c r="C447" s="14" t="str">
        <x:v>2021_IMDb_Cast_Lists_Batch_03(1).xlsx</x:v>
      </x:c>
      <x:c r="D447" s="14" t="str">
        <x:v>The Madame Blanc Mysteries</x:v>
      </x:c>
      <x:c r="E447" s="14" t="n">
        <x:v>95</x:v>
      </x:c>
      <x:c r="F447" s="14" t="str">
        <x:v>The Madame Blanc Mysteries</x:v>
      </x:c>
      <x:c r="G447" s="14" t="str">
        <x:v>tt15499118</x:v>
      </x:c>
      <x:c r="H447" s="14" t="n">
        <x:v>2021</x:v>
      </x:c>
      <x:c r="I447" s="14" t="n">
        <x:v>2023</x:v>
      </x:c>
      <x:c r="J447" s="14" t="str">
        <x:v>Earlier-Production Carry-In Cohort</x:v>
      </x:c>
      <x:c r="K447" s="14" t="n">
        <x:v>2021</x:v>
      </x:c>
      <x:c r="L447" s="14" t="str">
        <x:v>Used in 2023 annual analysis</x:v>
      </x:c>
      <x:c r="M447" s="15" t="n">
        <x:v>88</x:v>
      </x:c>
      <x:c r="N447" s="14" t="str">
        <x:v>Jennifer James</x:v>
      </x:c>
      <x:c r="O447" s="14" t="str">
        <x:v>nm0416590</x:v>
      </x:c>
      <x:c r="P447" s="14" t="str">
        <x:v>Rose Bradley</x:v>
      </x:c>
      <x:c r="Q447" s="15" t="n">
        <x:v>1</x:v>
      </x:c>
      <x:c r="R447" s="14" t="str">
        <x:v>2023</x:v>
      </x:c>
      <x:c r="S447" s="14" t="n">
        <x:v>2023</x:v>
      </x:c>
      <x:c r="T447" s="14" t="n">
        <x:v>2023</x:v>
      </x:c>
      <x:c r="U447" s="14" t="str">
        <x:v>Post-2021 casting excluded</x:v>
      </x:c>
      <x:c r="V447" s="14" t="str">
        <x:v>Earliest supplied year is 2023, later than the 2021 study year.</x:v>
      </x:c>
      <x:c r="W447" s="14"/>
      <x:c r="X447" s="14" t="str">
        <x:v>Included</x:v>
      </x:c>
      <x:c r="Y447" s="14"/>
      <x:c r="Z447" s="14" t="str">
        <x:v>The Madame Blanc Mysteries.docx</x:v>
      </x:c>
      <x:c r="AA44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Channel 5 / 5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7" s="14" t="str">
        <x:v>No qualifying BBC relationship</x:v>
      </x:c>
      <x:c r="AO447" s="14" t="str">
        <x:v>No</x:v>
      </x:c>
      <x:c r="AP447" s="14" t="str">
        <x:v>Out of scope</x:v>
      </x:c>
      <x:c r="AQ447" s="14" t="str">
        <x:v>No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28</x:v>
      </x:c>
      <x:c r="BP447" s="14" t="str">
        <x:v>Maximum eligible IMDb cast-credit total (28), shared by 4 performer(s); not independently verified as a 2021-only episode total.</x:v>
      </x:c>
      <x:c r="BQ447" s="14" t="str">
        <x:v>Medium</x:v>
      </x:c>
      <x:c r="BR447" s="15" t="n">
        <x:v>1</x:v>
      </x:c>
      <x:c r="BS447" s="16" t="n">
        <x:v>0.03571428571428571</x:v>
      </x:c>
      <x:c r="BT447" s="14" t="str">
        <x:v>One episode</x:v>
      </x:c>
      <x:c r="BU447" s="14" t="str">
        <x:v>Medium</x:v>
      </x:c>
      <x:c r="BV447" s="14" t="str">
        <x:v>Derived from supplied IMDb episode count and the documented production-total proxy.</x:v>
      </x:c>
      <x:c r="BW447" s="14" t="str">
        <x:v>Unable to determine</x:v>
      </x:c>
      <x:c r="BX447" s="14" t="str">
        <x:v>Supplied cast data establishes the credit and episode presence but does not establish narrative prominence.</x:v>
      </x:c>
      <x:c r="BY447" s="14" t="str">
        <x:v>Supplied IMDb cast-list workbook</x:v>
      </x:c>
      <x:c r="BZ44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tt15499118|nm13029770|margarete</x:v>
      </x:c>
      <x:c r="B448" s="14" t="str">
        <x:v>03</x:v>
      </x:c>
      <x:c r="C448" s="14" t="str">
        <x:v>2021_IMDb_Cast_Lists_Batch_03(1).xlsx</x:v>
      </x:c>
      <x:c r="D448" s="14" t="str">
        <x:v>The Madame Blanc Mysteries</x:v>
      </x:c>
      <x:c r="E448" s="14" t="n">
        <x:v>100</x:v>
      </x:c>
      <x:c r="F448" s="14" t="str">
        <x:v>The Madame Blanc Mysteries</x:v>
      </x:c>
      <x:c r="G448" s="14" t="str">
        <x:v>tt15499118</x:v>
      </x:c>
      <x:c r="H448" s="14" t="n">
        <x:v>2021</x:v>
      </x:c>
      <x:c r="I448" s="14" t="n">
        <x:v>2023</x:v>
      </x:c>
      <x:c r="J448" s="14" t="str">
        <x:v>Earlier-Production Carry-In Cohort</x:v>
      </x:c>
      <x:c r="K448" s="14" t="n">
        <x:v>2021</x:v>
      </x:c>
      <x:c r="L448" s="14" t="str">
        <x:v>Used in 2023 annual analysis</x:v>
      </x:c>
      <x:c r="M448" s="15" t="n">
        <x:v>93</x:v>
      </x:c>
      <x:c r="N448" s="14" t="str">
        <x:v>Sarah Junillon</x:v>
      </x:c>
      <x:c r="O448" s="14" t="str">
        <x:v>nm13029770</x:v>
      </x:c>
      <x:c r="P448" s="14" t="str">
        <x:v>Margarete</x:v>
      </x:c>
      <x:c r="Q448" s="15" t="n">
        <x:v>1</x:v>
      </x:c>
      <x:c r="R448" s="14" t="str">
        <x:v>2023</x:v>
      </x:c>
      <x:c r="S448" s="14" t="n">
        <x:v>2023</x:v>
      </x:c>
      <x:c r="T448" s="14" t="n">
        <x:v>2023</x:v>
      </x:c>
      <x:c r="U448" s="14" t="str">
        <x:v>Post-2021 casting excluded</x:v>
      </x:c>
      <x:c r="V448" s="14" t="str">
        <x:v>Earliest supplied year is 2023, later than the 2021 study year.</x:v>
      </x:c>
      <x:c r="W448" s="14"/>
      <x:c r="X448" s="14" t="str">
        <x:v>Included</x:v>
      </x:c>
      <x:c r="Y448" s="14"/>
      <x:c r="Z448" s="14" t="str">
        <x:v>The Madame Blanc Mysteries.docx</x:v>
      </x:c>
      <x:c r="AA44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Channel 5 / 5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8" s="14" t="str">
        <x:v>No qualifying BBC relationship</x:v>
      </x:c>
      <x:c r="AO448" s="14" t="str">
        <x:v>No</x:v>
      </x:c>
      <x:c r="AP448" s="14" t="str">
        <x:v>Out of scope</x:v>
      </x:c>
      <x:c r="AQ448" s="14" t="str">
        <x:v>No</x:v>
      </x:c>
      <x:c r="AR448" s="14" t="str">
        <x:v>Resolved from master register</x:v>
      </x:c>
      <x:c r="AS448" s="14" t="str">
        <x:v>No established-register match</x:v>
      </x:c>
      <x:c r="AT448" s="14"/>
      <x:c r="AU448" s="14"/>
      <x:c r="AV448" s="14" t="str">
        <x:v>No established apparent-disability match</x:v>
      </x:c>
      <x:c r="AW448" s="14"/>
      <x:c r="AX448" s="14" t="str">
        <x:v>No</x:v>
      </x:c>
      <x:c r="AY448" s="14" t="str">
        <x:v>Unmatched</x:v>
      </x:c>
      <x:c r="AZ448" s="14" t="str">
        <x:v>Final supplied register</x:v>
      </x:c>
      <x:c r="BA448" s="14" t="str">
        <x:v>Absence from the register is not evidence that the performer is not disabled.</x:v>
      </x:c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28</x:v>
      </x:c>
      <x:c r="BP448" s="14" t="str">
        <x:v>Maximum eligible IMDb cast-credit total (28), shared by 4 performer(s); not independently verified as a 2021-only episode total.</x:v>
      </x:c>
      <x:c r="BQ448" s="14" t="str">
        <x:v>Medium</x:v>
      </x:c>
      <x:c r="BR448" s="15" t="n">
        <x:v>1</x:v>
      </x:c>
      <x:c r="BS448" s="16" t="n">
        <x:v>0.03571428571428571</x:v>
      </x:c>
      <x:c r="BT448" s="14" t="str">
        <x:v>One episode</x:v>
      </x:c>
      <x:c r="BU448" s="14" t="str">
        <x:v>Medium</x:v>
      </x:c>
      <x:c r="BV448" s="14" t="str">
        <x:v>Derived from supplied IMDb episode count and the documented production-total proxy.</x:v>
      </x:c>
      <x:c r="BW448" s="14" t="str">
        <x:v>Unable to determine</x:v>
      </x:c>
      <x:c r="BX448" s="14" t="str">
        <x:v>Supplied cast data establishes the credit and episode presence but does not establish narrative prominence.</x:v>
      </x:c>
      <x:c r="BY448" s="14" t="str">
        <x:v>Supplied IMDb cast-list workbook</x:v>
      </x:c>
      <x:c r="BZ44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tt15499118|nm0341752|manderina</x:v>
      </x:c>
      <x:c r="B449" s="14" t="str">
        <x:v>03</x:v>
      </x:c>
      <x:c r="C449" s="14" t="str">
        <x:v>2021_IMDb_Cast_Lists_Batch_03(1).xlsx</x:v>
      </x:c>
      <x:c r="D449" s="14" t="str">
        <x:v>The Madame Blanc Mysteries</x:v>
      </x:c>
      <x:c r="E449" s="14" t="n">
        <x:v>101</x:v>
      </x:c>
      <x:c r="F449" s="14" t="str">
        <x:v>The Madame Blanc Mysteries</x:v>
      </x:c>
      <x:c r="G449" s="14" t="str">
        <x:v>tt15499118</x:v>
      </x:c>
      <x:c r="H449" s="14" t="n">
        <x:v>2021</x:v>
      </x:c>
      <x:c r="I449" s="14" t="n">
        <x:v>2023</x:v>
      </x:c>
      <x:c r="J449" s="14" t="str">
        <x:v>Earlier-Production Carry-In Cohort</x:v>
      </x:c>
      <x:c r="K449" s="14" t="n">
        <x:v>2021</x:v>
      </x:c>
      <x:c r="L449" s="14" t="str">
        <x:v>Used in 2023 annual analysis</x:v>
      </x:c>
      <x:c r="M449" s="15" t="n">
        <x:v>94</x:v>
      </x:c>
      <x:c r="N449" s="14" t="str">
        <x:v>Sara Griffiths</x:v>
      </x:c>
      <x:c r="O449" s="14" t="str">
        <x:v>nm0341752</x:v>
      </x:c>
      <x:c r="P449" s="14" t="str">
        <x:v>Manderina</x:v>
      </x:c>
      <x:c r="Q449" s="15" t="n">
        <x:v>1</x:v>
      </x:c>
      <x:c r="R449" s="14" t="str">
        <x:v>2023</x:v>
      </x:c>
      <x:c r="S449" s="14" t="n">
        <x:v>2023</x:v>
      </x:c>
      <x:c r="T449" s="14" t="n">
        <x:v>2023</x:v>
      </x:c>
      <x:c r="U449" s="14" t="str">
        <x:v>Post-2021 casting excluded</x:v>
      </x:c>
      <x:c r="V449" s="14" t="str">
        <x:v>Earliest supplied year is 2023, later than the 2021 study year.</x:v>
      </x:c>
      <x:c r="W449" s="14"/>
      <x:c r="X449" s="14" t="str">
        <x:v>Included</x:v>
      </x:c>
      <x:c r="Y449" s="14"/>
      <x:c r="Z449" s="14" t="str">
        <x:v>The Madame Blanc Mysteries.docx</x:v>
      </x:c>
      <x:c r="AA44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Channel 5 / 5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49" s="14" t="str">
        <x:v>No qualifying BBC relationship</x:v>
      </x:c>
      <x:c r="AO449" s="14" t="str">
        <x:v>No</x:v>
      </x:c>
      <x:c r="AP449" s="14" t="str">
        <x:v>Out of scope</x:v>
      </x:c>
      <x:c r="AQ449" s="14" t="str">
        <x:v>No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28</x:v>
      </x:c>
      <x:c r="BP449" s="14" t="str">
        <x:v>Maximum eligible IMDb cast-credit total (28), shared by 4 performer(s); not independently verified as a 2021-only episode total.</x:v>
      </x:c>
      <x:c r="BQ449" s="14" t="str">
        <x:v>Medium</x:v>
      </x:c>
      <x:c r="BR449" s="15" t="n">
        <x:v>1</x:v>
      </x:c>
      <x:c r="BS449" s="16" t="n">
        <x:v>0.03571428571428571</x:v>
      </x:c>
      <x:c r="BT449" s="14" t="str">
        <x:v>One episode</x:v>
      </x:c>
      <x:c r="BU449" s="14" t="str">
        <x:v>Medium</x:v>
      </x:c>
      <x:c r="BV449" s="14" t="str">
        <x:v>Derived from supplied IMDb episode count and the documented production-total proxy.</x:v>
      </x:c>
      <x:c r="BW449" s="14" t="str">
        <x:v>Unable to determine</x:v>
      </x:c>
      <x:c r="BX449" s="14" t="str">
        <x:v>Supplied cast data establishes the credit and episode presence but does not establish narrative prominence.</x:v>
      </x:c>
      <x:c r="BY449" s="14" t="str">
        <x:v>Supplied IMDb cast-list workbook</x:v>
      </x:c>
      <x:c r="BZ44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tt15499118|nm3016596|eric coste</x:v>
      </x:c>
      <x:c r="B450" s="14" t="str">
        <x:v>03</x:v>
      </x:c>
      <x:c r="C450" s="14" t="str">
        <x:v>2021_IMDb_Cast_Lists_Batch_03(1).xlsx</x:v>
      </x:c>
      <x:c r="D450" s="14" t="str">
        <x:v>The Madame Blanc Mysteries</x:v>
      </x:c>
      <x:c r="E450" s="14" t="n">
        <x:v>102</x:v>
      </x:c>
      <x:c r="F450" s="14" t="str">
        <x:v>The Madame Blanc Mysteries</x:v>
      </x:c>
      <x:c r="G450" s="14" t="str">
        <x:v>tt15499118</x:v>
      </x:c>
      <x:c r="H450" s="14" t="n">
        <x:v>2021</x:v>
      </x:c>
      <x:c r="I450" s="14" t="n">
        <x:v>2023</x:v>
      </x:c>
      <x:c r="J450" s="14" t="str">
        <x:v>Earlier-Production Carry-In Cohort</x:v>
      </x:c>
      <x:c r="K450" s="14" t="n">
        <x:v>2021</x:v>
      </x:c>
      <x:c r="L450" s="14" t="str">
        <x:v>Used in 2023 annual analysis</x:v>
      </x:c>
      <x:c r="M450" s="15" t="n">
        <x:v>95</x:v>
      </x:c>
      <x:c r="N450" s="14" t="str">
        <x:v>Nicolas Van Beveren</x:v>
      </x:c>
      <x:c r="O450" s="14" t="str">
        <x:v>nm3016596</x:v>
      </x:c>
      <x:c r="P450" s="14" t="str">
        <x:v>Eric Coste</x:v>
      </x:c>
      <x:c r="Q450" s="15" t="n">
        <x:v>1</x:v>
      </x:c>
      <x:c r="R450" s="14" t="str">
        <x:v>2023</x:v>
      </x:c>
      <x:c r="S450" s="14" t="n">
        <x:v>2023</x:v>
      </x:c>
      <x:c r="T450" s="14" t="n">
        <x:v>2023</x:v>
      </x:c>
      <x:c r="U450" s="14" t="str">
        <x:v>Post-2021 casting excluded</x:v>
      </x:c>
      <x:c r="V450" s="14" t="str">
        <x:v>Earliest supplied year is 2023, later than the 2021 study year.</x:v>
      </x:c>
      <x:c r="W450" s="14"/>
      <x:c r="X450" s="14" t="str">
        <x:v>Included</x:v>
      </x:c>
      <x:c r="Y450" s="14"/>
      <x:c r="Z450" s="14" t="str">
        <x:v>The Madame Blanc Mysteries.docx</x:v>
      </x:c>
      <x:c r="AA45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Channel 5 / 5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0" s="14" t="str">
        <x:v>No qualifying BBC relationship</x:v>
      </x:c>
      <x:c r="AO450" s="14" t="str">
        <x:v>No</x:v>
      </x:c>
      <x:c r="AP450" s="14" t="str">
        <x:v>Out of scope</x:v>
      </x:c>
      <x:c r="AQ450" s="14" t="str">
        <x:v>No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28</x:v>
      </x:c>
      <x:c r="BP450" s="14" t="str">
        <x:v>Maximum eligible IMDb cast-credit total (28), shared by 4 performer(s); not independently verified as a 2021-only episode total.</x:v>
      </x:c>
      <x:c r="BQ450" s="14" t="str">
        <x:v>Medium</x:v>
      </x:c>
      <x:c r="BR450" s="15" t="n">
        <x:v>1</x:v>
      </x:c>
      <x:c r="BS450" s="16" t="n">
        <x:v>0.03571428571428571</x:v>
      </x:c>
      <x:c r="BT450" s="14" t="str">
        <x:v>One episode</x:v>
      </x:c>
      <x:c r="BU450" s="14" t="str">
        <x:v>Medium</x:v>
      </x:c>
      <x:c r="BV450" s="14" t="str">
        <x:v>Derived from supplied IMDb episode count and the documented production-total proxy.</x:v>
      </x:c>
      <x:c r="BW450" s="14" t="str">
        <x:v>Unable to determine</x:v>
      </x:c>
      <x:c r="BX450" s="14" t="str">
        <x:v>Supplied cast data establishes the credit and episode presence but does not establish narrative prominence.</x:v>
      </x:c>
      <x:c r="BY450" s="14" t="str">
        <x:v>Supplied IMDb cast-list workbook</x:v>
      </x:c>
      <x:c r="BZ45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tt15499118|nm1051123|alan</x:v>
      </x:c>
      <x:c r="B451" s="14" t="str">
        <x:v>03</x:v>
      </x:c>
      <x:c r="C451" s="14" t="str">
        <x:v>2021_IMDb_Cast_Lists_Batch_03(1).xlsx</x:v>
      </x:c>
      <x:c r="D451" s="14" t="str">
        <x:v>The Madame Blanc Mysteries</x:v>
      </x:c>
      <x:c r="E451" s="14" t="n">
        <x:v>103</x:v>
      </x:c>
      <x:c r="F451" s="14" t="str">
        <x:v>The Madame Blanc Mysteries</x:v>
      </x:c>
      <x:c r="G451" s="14" t="str">
        <x:v>tt15499118</x:v>
      </x:c>
      <x:c r="H451" s="14" t="n">
        <x:v>2021</x:v>
      </x:c>
      <x:c r="I451" s="14" t="n">
        <x:v>2023</x:v>
      </x:c>
      <x:c r="J451" s="14" t="str">
        <x:v>Earlier-Production Carry-In Cohort</x:v>
      </x:c>
      <x:c r="K451" s="14" t="n">
        <x:v>2021</x:v>
      </x:c>
      <x:c r="L451" s="14" t="str">
        <x:v>Used in 2023 annual analysis</x:v>
      </x:c>
      <x:c r="M451" s="15" t="n">
        <x:v>96</x:v>
      </x:c>
      <x:c r="N451" s="14" t="str">
        <x:v>Alexander Newland</x:v>
      </x:c>
      <x:c r="O451" s="14" t="str">
        <x:v>nm1051123</x:v>
      </x:c>
      <x:c r="P451" s="14" t="str">
        <x:v>Alan</x:v>
      </x:c>
      <x:c r="Q451" s="15" t="n">
        <x:v>1</x:v>
      </x:c>
      <x:c r="R451" s="14" t="str">
        <x:v>2023</x:v>
      </x:c>
      <x:c r="S451" s="14" t="n">
        <x:v>2023</x:v>
      </x:c>
      <x:c r="T451" s="14" t="n">
        <x:v>2023</x:v>
      </x:c>
      <x:c r="U451" s="14" t="str">
        <x:v>Post-2021 casting excluded</x:v>
      </x:c>
      <x:c r="V451" s="14" t="str">
        <x:v>Earliest supplied year is 2023, later than the 2021 study year.</x:v>
      </x:c>
      <x:c r="W451" s="14"/>
      <x:c r="X451" s="14" t="str">
        <x:v>Included</x:v>
      </x:c>
      <x:c r="Y451" s="14"/>
      <x:c r="Z451" s="14" t="str">
        <x:v>The Madame Blanc Mysteries.docx</x:v>
      </x:c>
      <x:c r="AA45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Channel 5 / 5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1" s="14" t="str">
        <x:v>No qualifying BBC relationship</x:v>
      </x:c>
      <x:c r="AO451" s="14" t="str">
        <x:v>No</x:v>
      </x:c>
      <x:c r="AP451" s="14" t="str">
        <x:v>Out of scope</x:v>
      </x:c>
      <x:c r="AQ451" s="14" t="str">
        <x:v>No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28</x:v>
      </x:c>
      <x:c r="BP451" s="14" t="str">
        <x:v>Maximum eligible IMDb cast-credit total (28), shared by 4 performer(s); not independently verified as a 2021-only episode total.</x:v>
      </x:c>
      <x:c r="BQ451" s="14" t="str">
        <x:v>Medium</x:v>
      </x:c>
      <x:c r="BR451" s="15" t="n">
        <x:v>1</x:v>
      </x:c>
      <x:c r="BS451" s="16" t="n">
        <x:v>0.03571428571428571</x:v>
      </x:c>
      <x:c r="BT451" s="14" t="str">
        <x:v>One episode</x:v>
      </x:c>
      <x:c r="BU451" s="14" t="str">
        <x:v>Medium</x:v>
      </x:c>
      <x:c r="BV451" s="14" t="str">
        <x:v>Derived from supplied IMDb episode count and the documented production-total proxy.</x:v>
      </x:c>
      <x:c r="BW451" s="14" t="str">
        <x:v>Unable to determine</x:v>
      </x:c>
      <x:c r="BX451" s="14" t="str">
        <x:v>Supplied cast data establishes the credit and episode presence but does not establish narrative prominence.</x:v>
      </x:c>
      <x:c r="BY451" s="14" t="str">
        <x:v>Supplied IMDb cast-list workbook</x:v>
      </x:c>
      <x:c r="BZ45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tt15499118|nm0602612|jules</x:v>
      </x:c>
      <x:c r="B452" s="14" t="str">
        <x:v>03</x:v>
      </x:c>
      <x:c r="C452" s="14" t="str">
        <x:v>2021_IMDb_Cast_Lists_Batch_03(1).xlsx</x:v>
      </x:c>
      <x:c r="D452" s="14" t="str">
        <x:v>The Madame Blanc Mysteries</x:v>
      </x:c>
      <x:c r="E452" s="14" t="n">
        <x:v>108</x:v>
      </x:c>
      <x:c r="F452" s="14" t="str">
        <x:v>The Madame Blanc Mysteries</x:v>
      </x:c>
      <x:c r="G452" s="14" t="str">
        <x:v>tt15499118</x:v>
      </x:c>
      <x:c r="H452" s="14" t="n">
        <x:v>2021</x:v>
      </x:c>
      <x:c r="I452" s="14" t="n">
        <x:v>2023</x:v>
      </x:c>
      <x:c r="J452" s="14" t="str">
        <x:v>Earlier-Production Carry-In Cohort</x:v>
      </x:c>
      <x:c r="K452" s="14" t="n">
        <x:v>2021</x:v>
      </x:c>
      <x:c r="L452" s="14" t="str">
        <x:v>Used in 2023 annual analysis</x:v>
      </x:c>
      <x:c r="M452" s="15" t="n">
        <x:v>101</x:v>
      </x:c>
      <x:c r="N452" s="14" t="str">
        <x:v>Gerald Morales</x:v>
      </x:c>
      <x:c r="O452" s="14" t="str">
        <x:v>nm0602612</x:v>
      </x:c>
      <x:c r="P452" s="14" t="str">
        <x:v>Jules</x:v>
      </x:c>
      <x:c r="Q452" s="15" t="n">
        <x:v>1</x:v>
      </x:c>
      <x:c r="R452" s="14" t="str">
        <x:v>2023</x:v>
      </x:c>
      <x:c r="S452" s="14" t="n">
        <x:v>2023</x:v>
      </x:c>
      <x:c r="T452" s="14" t="n">
        <x:v>2023</x:v>
      </x:c>
      <x:c r="U452" s="14" t="str">
        <x:v>Post-2021 casting excluded</x:v>
      </x:c>
      <x:c r="V452" s="14" t="str">
        <x:v>Earliest supplied year is 2023, later than the 2021 study year.</x:v>
      </x:c>
      <x:c r="W452" s="14"/>
      <x:c r="X452" s="14" t="str">
        <x:v>Included</x:v>
      </x:c>
      <x:c r="Y452" s="14" t="str">
        <x:v>(as Gérald Moralès)</x:v>
      </x:c>
      <x:c r="Z452" s="14" t="str">
        <x:v>The Madame Blanc Mysteries.docx</x:v>
      </x:c>
      <x:c r="AA45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Channel 5 / 5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2" s="14" t="str">
        <x:v>No qualifying BBC relationship</x:v>
      </x:c>
      <x:c r="AO452" s="14" t="str">
        <x:v>No</x:v>
      </x:c>
      <x:c r="AP452" s="14" t="str">
        <x:v>Out of scope</x:v>
      </x:c>
      <x:c r="AQ452" s="14" t="str">
        <x:v>No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28</x:v>
      </x:c>
      <x:c r="BP452" s="14" t="str">
        <x:v>Maximum eligible IMDb cast-credit total (28), shared by 4 performer(s); not independently verified as a 2021-only episode total.</x:v>
      </x:c>
      <x:c r="BQ452" s="14" t="str">
        <x:v>Medium</x:v>
      </x:c>
      <x:c r="BR452" s="15" t="n">
        <x:v>1</x:v>
      </x:c>
      <x:c r="BS452" s="16" t="n">
        <x:v>0.03571428571428571</x:v>
      </x:c>
      <x:c r="BT452" s="14" t="str">
        <x:v>One episode</x:v>
      </x:c>
      <x:c r="BU452" s="14" t="str">
        <x:v>Medium</x:v>
      </x:c>
      <x:c r="BV452" s="14" t="str">
        <x:v>Derived from supplied IMDb episode count and the documented production-total proxy.</x:v>
      </x:c>
      <x:c r="BW452" s="14" t="str">
        <x:v>Unable to determine</x:v>
      </x:c>
      <x:c r="BX452" s="14" t="str">
        <x:v>Supplied cast data establishes the credit and episode presence but does not establish narrative prominence.</x:v>
      </x:c>
      <x:c r="BY452" s="14" t="str">
        <x:v>Supplied IMDb cast-list workbook</x:v>
      </x:c>
      <x:c r="BZ45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tt15499118|nm0887953|robert coste</x:v>
      </x:c>
      <x:c r="B453" s="14" t="str">
        <x:v>03</x:v>
      </x:c>
      <x:c r="C453" s="14" t="str">
        <x:v>2021_IMDb_Cast_Lists_Batch_03(1).xlsx</x:v>
      </x:c>
      <x:c r="D453" s="14" t="str">
        <x:v>The Madame Blanc Mysteries</x:v>
      </x:c>
      <x:c r="E453" s="14" t="n">
        <x:v>117</x:v>
      </x:c>
      <x:c r="F453" s="14" t="str">
        <x:v>The Madame Blanc Mysteries</x:v>
      </x:c>
      <x:c r="G453" s="14" t="str">
        <x:v>tt15499118</x:v>
      </x:c>
      <x:c r="H453" s="14" t="n">
        <x:v>2021</x:v>
      </x:c>
      <x:c r="I453" s="14" t="n">
        <x:v>2023</x:v>
      </x:c>
      <x:c r="J453" s="14" t="str">
        <x:v>Earlier-Production Carry-In Cohort</x:v>
      </x:c>
      <x:c r="K453" s="14" t="n">
        <x:v>2021</x:v>
      </x:c>
      <x:c r="L453" s="14" t="str">
        <x:v>Used in 2023 annual analysis</x:v>
      </x:c>
      <x:c r="M453" s="15" t="n">
        <x:v>110</x:v>
      </x:c>
      <x:c r="N453" s="14" t="str">
        <x:v>Nick Von Schlippe</x:v>
      </x:c>
      <x:c r="O453" s="14" t="str">
        <x:v>nm0887953</x:v>
      </x:c>
      <x:c r="P453" s="14" t="str">
        <x:v>Robert Coste</x:v>
      </x:c>
      <x:c r="Q453" s="15" t="n">
        <x:v>1</x:v>
      </x:c>
      <x:c r="R453" s="14" t="str">
        <x:v>2023</x:v>
      </x:c>
      <x:c r="S453" s="14" t="n">
        <x:v>2023</x:v>
      </x:c>
      <x:c r="T453" s="14" t="n">
        <x:v>2023</x:v>
      </x:c>
      <x:c r="U453" s="14" t="str">
        <x:v>Post-2021 casting excluded</x:v>
      </x:c>
      <x:c r="V453" s="14" t="str">
        <x:v>Earliest supplied year is 2023, later than the 2021 study year.</x:v>
      </x:c>
      <x:c r="W453" s="14"/>
      <x:c r="X453" s="14" t="str">
        <x:v>Included</x:v>
      </x:c>
      <x:c r="Y453" s="14"/>
      <x:c r="Z453" s="14" t="str">
        <x:v>The Madame Blanc Mysteries.docx</x:v>
      </x:c>
      <x:c r="AA45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Channel 5 / 5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3" s="14" t="str">
        <x:v>No qualifying BBC relationship</x:v>
      </x:c>
      <x:c r="AO453" s="14" t="str">
        <x:v>No</x:v>
      </x:c>
      <x:c r="AP453" s="14" t="str">
        <x:v>Out of scope</x:v>
      </x:c>
      <x:c r="AQ453" s="14" t="str">
        <x:v>No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28</x:v>
      </x:c>
      <x:c r="BP453" s="14" t="str">
        <x:v>Maximum eligible IMDb cast-credit total (28), shared by 4 performer(s); not independently verified as a 2021-only episode total.</x:v>
      </x:c>
      <x:c r="BQ453" s="14" t="str">
        <x:v>Medium</x:v>
      </x:c>
      <x:c r="BR453" s="15" t="n">
        <x:v>1</x:v>
      </x:c>
      <x:c r="BS453" s="16" t="n">
        <x:v>0.03571428571428571</x:v>
      </x:c>
      <x:c r="BT453" s="14" t="str">
        <x:v>One episode</x:v>
      </x:c>
      <x:c r="BU453" s="14" t="str">
        <x:v>Medium</x:v>
      </x:c>
      <x:c r="BV453" s="14" t="str">
        <x:v>Derived from supplied IMDb episode count and the documented production-total proxy.</x:v>
      </x:c>
      <x:c r="BW453" s="14" t="str">
        <x:v>Unable to determine</x:v>
      </x:c>
      <x:c r="BX453" s="14" t="str">
        <x:v>Supplied cast data establishes the credit and episode presence but does not establish narrative prominence.</x:v>
      </x:c>
      <x:c r="BY453" s="14" t="str">
        <x:v>Supplied IMDb cast-list workbook</x:v>
      </x:c>
      <x:c r="BZ45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tt15499118|nm5438655|raffy</x:v>
      </x:c>
      <x:c r="B454" s="14" t="str">
        <x:v>03</x:v>
      </x:c>
      <x:c r="C454" s="14" t="str">
        <x:v>2021_IMDb_Cast_Lists_Batch_03(1).xlsx</x:v>
      </x:c>
      <x:c r="D454" s="14" t="str">
        <x:v>The Madame Blanc Mysteries</x:v>
      </x:c>
      <x:c r="E454" s="14" t="n">
        <x:v>125</x:v>
      </x:c>
      <x:c r="F454" s="14" t="str">
        <x:v>The Madame Blanc Mysteries</x:v>
      </x:c>
      <x:c r="G454" s="14" t="str">
        <x:v>tt15499118</x:v>
      </x:c>
      <x:c r="H454" s="14" t="n">
        <x:v>2021</x:v>
      </x:c>
      <x:c r="I454" s="14" t="n">
        <x:v>2023</x:v>
      </x:c>
      <x:c r="J454" s="14" t="str">
        <x:v>Earlier-Production Carry-In Cohort</x:v>
      </x:c>
      <x:c r="K454" s="14" t="n">
        <x:v>2021</x:v>
      </x:c>
      <x:c r="L454" s="14" t="str">
        <x:v>Used in 2023 annual analysis</x:v>
      </x:c>
      <x:c r="M454" s="15" t="n">
        <x:v>118</x:v>
      </x:c>
      <x:c r="N454" s="14" t="str">
        <x:v>Jassem Mougari</x:v>
      </x:c>
      <x:c r="O454" s="14" t="str">
        <x:v>nm5438655</x:v>
      </x:c>
      <x:c r="P454" s="14" t="str">
        <x:v>Raffy</x:v>
      </x:c>
      <x:c r="Q454" s="15" t="n">
        <x:v>1</x:v>
      </x:c>
      <x:c r="R454" s="14" t="str">
        <x:v>2023</x:v>
      </x:c>
      <x:c r="S454" s="14" t="n">
        <x:v>2023</x:v>
      </x:c>
      <x:c r="T454" s="14" t="n">
        <x:v>2023</x:v>
      </x:c>
      <x:c r="U454" s="14" t="str">
        <x:v>Post-2021 casting excluded</x:v>
      </x:c>
      <x:c r="V454" s="14" t="str">
        <x:v>Earliest supplied year is 2023, later than the 2021 study year.</x:v>
      </x:c>
      <x:c r="W454" s="14"/>
      <x:c r="X454" s="14" t="str">
        <x:v>Included</x:v>
      </x:c>
      <x:c r="Y454" s="14"/>
      <x:c r="Z454" s="14" t="str">
        <x:v>The Madame Blanc Mysteries.docx</x:v>
      </x:c>
      <x:c r="AA45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Channel 5 / 5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4" s="14" t="str">
        <x:v>No qualifying BBC relationship</x:v>
      </x:c>
      <x:c r="AO454" s="14" t="str">
        <x:v>No</x:v>
      </x:c>
      <x:c r="AP454" s="14" t="str">
        <x:v>Out of scope</x:v>
      </x:c>
      <x:c r="AQ454" s="14" t="str">
        <x:v>No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28</x:v>
      </x:c>
      <x:c r="BP454" s="14" t="str">
        <x:v>Maximum eligible IMDb cast-credit total (28), shared by 4 performer(s); not independently verified as a 2021-only episode total.</x:v>
      </x:c>
      <x:c r="BQ454" s="14" t="str">
        <x:v>Medium</x:v>
      </x:c>
      <x:c r="BR454" s="15" t="n">
        <x:v>1</x:v>
      </x:c>
      <x:c r="BS454" s="16" t="n">
        <x:v>0.03571428571428571</x:v>
      </x:c>
      <x:c r="BT454" s="14" t="str">
        <x:v>One episode</x:v>
      </x:c>
      <x:c r="BU454" s="14" t="str">
        <x:v>Medium</x:v>
      </x:c>
      <x:c r="BV454" s="14" t="str">
        <x:v>Derived from supplied IMDb episode count and the documented production-total proxy.</x:v>
      </x:c>
      <x:c r="BW454" s="14" t="str">
        <x:v>Unable to determine</x:v>
      </x:c>
      <x:c r="BX454" s="14" t="str">
        <x:v>Supplied cast data establishes the credit and episode presence but does not establish narrative prominence.</x:v>
      </x:c>
      <x:c r="BY454" s="14" t="str">
        <x:v>Supplied IMDb cast-list workbook</x:v>
      </x:c>
      <x:c r="BZ45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tt15499118|nm1356129|genevieve</x:v>
      </x:c>
      <x:c r="B455" s="14" t="str">
        <x:v>03</x:v>
      </x:c>
      <x:c r="C455" s="14" t="str">
        <x:v>2021_IMDb_Cast_Lists_Batch_03(1).xlsx</x:v>
      </x:c>
      <x:c r="D455" s="14" t="str">
        <x:v>The Madame Blanc Mysteries</x:v>
      </x:c>
      <x:c r="E455" s="14" t="n">
        <x:v>126</x:v>
      </x:c>
      <x:c r="F455" s="14" t="str">
        <x:v>The Madame Blanc Mysteries</x:v>
      </x:c>
      <x:c r="G455" s="14" t="str">
        <x:v>tt15499118</x:v>
      </x:c>
      <x:c r="H455" s="14" t="n">
        <x:v>2021</x:v>
      </x:c>
      <x:c r="I455" s="14" t="n">
        <x:v>2023</x:v>
      </x:c>
      <x:c r="J455" s="14" t="str">
        <x:v>Earlier-Production Carry-In Cohort</x:v>
      </x:c>
      <x:c r="K455" s="14" t="n">
        <x:v>2021</x:v>
      </x:c>
      <x:c r="L455" s="14" t="str">
        <x:v>Used in 2023 annual analysis</x:v>
      </x:c>
      <x:c r="M455" s="15" t="n">
        <x:v>119</x:v>
      </x:c>
      <x:c r="N455" s="14" t="str">
        <x:v>Bettina Paris</x:v>
      </x:c>
      <x:c r="O455" s="14" t="str">
        <x:v>nm1356129</x:v>
      </x:c>
      <x:c r="P455" s="14" t="str">
        <x:v>Genevieve</x:v>
      </x:c>
      <x:c r="Q455" s="15" t="n">
        <x:v>1</x:v>
      </x:c>
      <x:c r="R455" s="14" t="str">
        <x:v>2023</x:v>
      </x:c>
      <x:c r="S455" s="14" t="n">
        <x:v>2023</x:v>
      </x:c>
      <x:c r="T455" s="14" t="n">
        <x:v>2023</x:v>
      </x:c>
      <x:c r="U455" s="14" t="str">
        <x:v>Post-2021 casting excluded</x:v>
      </x:c>
      <x:c r="V455" s="14" t="str">
        <x:v>Earliest supplied year is 2023, later than the 2021 study year.</x:v>
      </x:c>
      <x:c r="W455" s="14"/>
      <x:c r="X455" s="14" t="str">
        <x:v>Included</x:v>
      </x:c>
      <x:c r="Y455" s="14"/>
      <x:c r="Z455" s="14" t="str">
        <x:v>The Madame Blanc Mysteries.docx</x:v>
      </x:c>
      <x:c r="AA45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Channel 5 / 5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5" s="14" t="str">
        <x:v>No qualifying BBC relationship</x:v>
      </x:c>
      <x:c r="AO455" s="14" t="str">
        <x:v>No</x:v>
      </x:c>
      <x:c r="AP455" s="14" t="str">
        <x:v>Out of scope</x:v>
      </x:c>
      <x:c r="AQ455" s="14" t="str">
        <x:v>No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28</x:v>
      </x:c>
      <x:c r="BP455" s="14" t="str">
        <x:v>Maximum eligible IMDb cast-credit total (28), shared by 4 performer(s); not independently verified as a 2021-only episode total.</x:v>
      </x:c>
      <x:c r="BQ455" s="14" t="str">
        <x:v>Medium</x:v>
      </x:c>
      <x:c r="BR455" s="15" t="n">
        <x:v>1</x:v>
      </x:c>
      <x:c r="BS455" s="16" t="n">
        <x:v>0.03571428571428571</x:v>
      </x:c>
      <x:c r="BT455" s="14" t="str">
        <x:v>One episode</x:v>
      </x:c>
      <x:c r="BU455" s="14" t="str">
        <x:v>Medium</x:v>
      </x:c>
      <x:c r="BV455" s="14" t="str">
        <x:v>Derived from supplied IMDb episode count and the documented production-total proxy.</x:v>
      </x:c>
      <x:c r="BW455" s="14" t="str">
        <x:v>Unable to determine</x:v>
      </x:c>
      <x:c r="BX455" s="14" t="str">
        <x:v>Supplied cast data establishes the credit and episode presence but does not establish narrative prominence.</x:v>
      </x:c>
      <x:c r="BY455" s="14" t="str">
        <x:v>Supplied IMDb cast-list workbook</x:v>
      </x:c>
      <x:c r="BZ45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tt15499118|nm12386812|johnson</x:v>
      </x:c>
      <x:c r="B456" s="14" t="str">
        <x:v>03</x:v>
      </x:c>
      <x:c r="C456" s="14" t="str">
        <x:v>2021_IMDb_Cast_Lists_Batch_03(1).xlsx</x:v>
      </x:c>
      <x:c r="D456" s="14" t="str">
        <x:v>The Madame Blanc Mysteries</x:v>
      </x:c>
      <x:c r="E456" s="14" t="n">
        <x:v>127</x:v>
      </x:c>
      <x:c r="F456" s="14" t="str">
        <x:v>The Madame Blanc Mysteries</x:v>
      </x:c>
      <x:c r="G456" s="14" t="str">
        <x:v>tt15499118</x:v>
      </x:c>
      <x:c r="H456" s="14" t="n">
        <x:v>2021</x:v>
      </x:c>
      <x:c r="I456" s="14" t="n">
        <x:v>2023</x:v>
      </x:c>
      <x:c r="J456" s="14" t="str">
        <x:v>Earlier-Production Carry-In Cohort</x:v>
      </x:c>
      <x:c r="K456" s="14" t="n">
        <x:v>2021</x:v>
      </x:c>
      <x:c r="L456" s="14" t="str">
        <x:v>Used in 2023 annual analysis</x:v>
      </x:c>
      <x:c r="M456" s="15" t="n">
        <x:v>120</x:v>
      </x:c>
      <x:c r="N456" s="14" t="str">
        <x:v>Tayo Aluko</x:v>
      </x:c>
      <x:c r="O456" s="14" t="str">
        <x:v>nm12386812</x:v>
      </x:c>
      <x:c r="P456" s="14" t="str">
        <x:v>Johnson</x:v>
      </x:c>
      <x:c r="Q456" s="15" t="n">
        <x:v>1</x:v>
      </x:c>
      <x:c r="R456" s="14" t="str">
        <x:v>2023</x:v>
      </x:c>
      <x:c r="S456" s="14" t="n">
        <x:v>2023</x:v>
      </x:c>
      <x:c r="T456" s="14" t="n">
        <x:v>2023</x:v>
      </x:c>
      <x:c r="U456" s="14" t="str">
        <x:v>Post-2021 casting excluded</x:v>
      </x:c>
      <x:c r="V456" s="14" t="str">
        <x:v>Earliest supplied year is 2023, later than the 2021 study year.</x:v>
      </x:c>
      <x:c r="W456" s="14"/>
      <x:c r="X456" s="14" t="str">
        <x:v>Included</x:v>
      </x:c>
      <x:c r="Y456" s="14"/>
      <x:c r="Z456" s="14" t="str">
        <x:v>The Madame Blanc Mysteries.docx</x:v>
      </x:c>
      <x:c r="AA45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Channel 5 / 5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6" s="14" t="str">
        <x:v>No qualifying BBC relationship</x:v>
      </x:c>
      <x:c r="AO456" s="14" t="str">
        <x:v>No</x:v>
      </x:c>
      <x:c r="AP456" s="14" t="str">
        <x:v>Out of scope</x:v>
      </x:c>
      <x:c r="AQ456" s="14" t="str">
        <x:v>No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28</x:v>
      </x:c>
      <x:c r="BP456" s="14" t="str">
        <x:v>Maximum eligible IMDb cast-credit total (28), shared by 4 performer(s); not independently verified as a 2021-only episode total.</x:v>
      </x:c>
      <x:c r="BQ456" s="14" t="str">
        <x:v>Medium</x:v>
      </x:c>
      <x:c r="BR456" s="15" t="n">
        <x:v>1</x:v>
      </x:c>
      <x:c r="BS456" s="16" t="n">
        <x:v>0.03571428571428571</x:v>
      </x:c>
      <x:c r="BT456" s="14" t="str">
        <x:v>One episode</x:v>
      </x:c>
      <x:c r="BU456" s="14" t="str">
        <x:v>Medium</x:v>
      </x:c>
      <x:c r="BV456" s="14" t="str">
        <x:v>Derived from supplied IMDb episode count and the documented production-total proxy.</x:v>
      </x:c>
      <x:c r="BW456" s="14" t="str">
        <x:v>Unable to determine</x:v>
      </x:c>
      <x:c r="BX456" s="14" t="str">
        <x:v>Supplied cast data establishes the credit and episode presence but does not establish narrative prominence.</x:v>
      </x:c>
      <x:c r="BY456" s="14" t="str">
        <x:v>Supplied IMDb cast-list workbook</x:v>
      </x:c>
      <x:c r="BZ45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tt15499118|nm0672621|lydia</x:v>
      </x:c>
      <x:c r="B457" s="14" t="str">
        <x:v>03</x:v>
      </x:c>
      <x:c r="C457" s="14" t="str">
        <x:v>2021_IMDb_Cast_Lists_Batch_03(1).xlsx</x:v>
      </x:c>
      <x:c r="D457" s="14" t="str">
        <x:v>The Madame Blanc Mysteries</x:v>
      </x:c>
      <x:c r="E457" s="14" t="n">
        <x:v>136</x:v>
      </x:c>
      <x:c r="F457" s="14" t="str">
        <x:v>The Madame Blanc Mysteries</x:v>
      </x:c>
      <x:c r="G457" s="14" t="str">
        <x:v>tt15499118</x:v>
      </x:c>
      <x:c r="H457" s="14" t="n">
        <x:v>2021</x:v>
      </x:c>
      <x:c r="I457" s="14" t="n">
        <x:v>2023</x:v>
      </x:c>
      <x:c r="J457" s="14" t="str">
        <x:v>Earlier-Production Carry-In Cohort</x:v>
      </x:c>
      <x:c r="K457" s="14" t="n">
        <x:v>2021</x:v>
      </x:c>
      <x:c r="L457" s="14" t="str">
        <x:v>Used in 2023 annual analysis</x:v>
      </x:c>
      <x:c r="M457" s="15" t="n">
        <x:v>129</x:v>
      </x:c>
      <x:c r="N457" s="14" t="str">
        <x:v>Vicki Pepperdine</x:v>
      </x:c>
      <x:c r="O457" s="14" t="str">
        <x:v>nm0672621</x:v>
      </x:c>
      <x:c r="P457" s="14" t="str">
        <x:v>Lydia</x:v>
      </x:c>
      <x:c r="Q457" s="15" t="n">
        <x:v>1</x:v>
      </x:c>
      <x:c r="R457" s="14" t="str">
        <x:v>2023</x:v>
      </x:c>
      <x:c r="S457" s="14" t="n">
        <x:v>2023</x:v>
      </x:c>
      <x:c r="T457" s="14" t="n">
        <x:v>2023</x:v>
      </x:c>
      <x:c r="U457" s="14" t="str">
        <x:v>Post-2021 casting excluded</x:v>
      </x:c>
      <x:c r="V457" s="14" t="str">
        <x:v>Earliest supplied year is 2023, later than the 2021 study year.</x:v>
      </x:c>
      <x:c r="W457" s="14"/>
      <x:c r="X457" s="14" t="str">
        <x:v>Included</x:v>
      </x:c>
      <x:c r="Y457" s="14"/>
      <x:c r="Z457" s="14" t="str">
        <x:v>The Madame Blanc Mysteries.docx</x:v>
      </x:c>
      <x:c r="AA45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Channel 5 / 5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7" s="14" t="str">
        <x:v>No qualifying BBC relationship</x:v>
      </x:c>
      <x:c r="AO457" s="14" t="str">
        <x:v>No</x:v>
      </x:c>
      <x:c r="AP457" s="14" t="str">
        <x:v>Out of scope</x:v>
      </x:c>
      <x:c r="AQ457" s="14" t="str">
        <x:v>No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28</x:v>
      </x:c>
      <x:c r="BP457" s="14" t="str">
        <x:v>Maximum eligible IMDb cast-credit total (28), shared by 4 performer(s); not independently verified as a 2021-only episode total.</x:v>
      </x:c>
      <x:c r="BQ457" s="14" t="str">
        <x:v>Medium</x:v>
      </x:c>
      <x:c r="BR457" s="15" t="n">
        <x:v>1</x:v>
      </x:c>
      <x:c r="BS457" s="16" t="n">
        <x:v>0.03571428571428571</x:v>
      </x:c>
      <x:c r="BT457" s="14" t="str">
        <x:v>One episode</x:v>
      </x:c>
      <x:c r="BU457" s="14" t="str">
        <x:v>Medium</x:v>
      </x:c>
      <x:c r="BV457" s="14" t="str">
        <x:v>Derived from supplied IMDb episode count and the documented production-total proxy.</x:v>
      </x:c>
      <x:c r="BW457" s="14" t="str">
        <x:v>Unable to determine</x:v>
      </x:c>
      <x:c r="BX457" s="14" t="str">
        <x:v>Supplied cast data establishes the credit and episode presence but does not establish narrative prominence.</x:v>
      </x:c>
      <x:c r="BY457" s="14" t="str">
        <x:v>Supplied IMDb cast-list workbook</x:v>
      </x:c>
      <x:c r="BZ45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tt15499118|nm0751085|marco</x:v>
      </x:c>
      <x:c r="B458" s="14" t="str">
        <x:v>03</x:v>
      </x:c>
      <x:c r="C458" s="14" t="str">
        <x:v>2021_IMDb_Cast_Lists_Batch_03(1).xlsx</x:v>
      </x:c>
      <x:c r="D458" s="14" t="str">
        <x:v>The Madame Blanc Mysteries</x:v>
      </x:c>
      <x:c r="E458" s="14" t="n">
        <x:v>141</x:v>
      </x:c>
      <x:c r="F458" s="14" t="str">
        <x:v>The Madame Blanc Mysteries</x:v>
      </x:c>
      <x:c r="G458" s="14" t="str">
        <x:v>tt15499118</x:v>
      </x:c>
      <x:c r="H458" s="14" t="n">
        <x:v>2021</x:v>
      </x:c>
      <x:c r="I458" s="14" t="n">
        <x:v>2023</x:v>
      </x:c>
      <x:c r="J458" s="14" t="str">
        <x:v>Earlier-Production Carry-In Cohort</x:v>
      </x:c>
      <x:c r="K458" s="14" t="n">
        <x:v>2021</x:v>
      </x:c>
      <x:c r="L458" s="14" t="str">
        <x:v>Used in 2023 annual analysis</x:v>
      </x:c>
      <x:c r="M458" s="15" t="n">
        <x:v>134</x:v>
      </x:c>
      <x:c r="N458" s="14" t="str">
        <x:v>Clive Russell</x:v>
      </x:c>
      <x:c r="O458" s="14" t="str">
        <x:v>nm0751085</x:v>
      </x:c>
      <x:c r="P458" s="14" t="str">
        <x:v>Marco</x:v>
      </x:c>
      <x:c r="Q458" s="15" t="n">
        <x:v>1</x:v>
      </x:c>
      <x:c r="R458" s="14" t="str">
        <x:v>2023</x:v>
      </x:c>
      <x:c r="S458" s="14" t="n">
        <x:v>2023</x:v>
      </x:c>
      <x:c r="T458" s="14" t="n">
        <x:v>2023</x:v>
      </x:c>
      <x:c r="U458" s="14" t="str">
        <x:v>Post-2021 casting excluded</x:v>
      </x:c>
      <x:c r="V458" s="14" t="str">
        <x:v>Earliest supplied year is 2023, later than the 2021 study year.</x:v>
      </x:c>
      <x:c r="W458" s="14"/>
      <x:c r="X458" s="14" t="str">
        <x:v>Included</x:v>
      </x:c>
      <x:c r="Y458" s="14"/>
      <x:c r="Z458" s="14" t="str">
        <x:v>The Madame Blanc Mysteries.docx</x:v>
      </x:c>
      <x:c r="AA45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Channel 5 / 5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458" s="14" t="str">
        <x:v>No qualifying BBC relationship</x:v>
      </x:c>
      <x:c r="AO458" s="14" t="str">
        <x:v>No</x:v>
      </x:c>
      <x:c r="AP458" s="14" t="str">
        <x:v>Out of scope</x:v>
      </x:c>
      <x:c r="AQ458" s="14" t="str">
        <x:v>No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28</x:v>
      </x:c>
      <x:c r="BP458" s="14" t="str">
        <x:v>Maximum eligible IMDb cast-credit total (28), shared by 4 performer(s); not independently verified as a 2021-only episode total.</x:v>
      </x:c>
      <x:c r="BQ458" s="14" t="str">
        <x:v>Medium</x:v>
      </x:c>
      <x:c r="BR458" s="15" t="n">
        <x:v>1</x:v>
      </x:c>
      <x:c r="BS458" s="16" t="n">
        <x:v>0.03571428571428571</x:v>
      </x:c>
      <x:c r="BT458" s="14" t="str">
        <x:v>One episode</x:v>
      </x:c>
      <x:c r="BU458" s="14" t="str">
        <x:v>Medium</x:v>
      </x:c>
      <x:c r="BV458" s="14" t="str">
        <x:v>Derived from supplied IMDb episode count and the documented production-total proxy.</x:v>
      </x:c>
      <x:c r="BW458" s="14" t="str">
        <x:v>Unable to determine</x:v>
      </x:c>
      <x:c r="BX458" s="14" t="str">
        <x:v>Supplied cast data establishes the credit and episode presence but does not establish narrative prominence.</x:v>
      </x:c>
      <x:c r="BY458" s="14" t="str">
        <x:v>Supplied IMDb cast-list workbook</x:v>
      </x:c>
      <x:c r="BZ45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tt14364876|nm2119840|dc elaine lucas / ds elaine lucas</x:v>
      </x:c>
      <x:c r="B459" s="14" t="str">
        <x:v>04</x:v>
      </x:c>
      <x:c r="C459" s="14" t="str">
        <x:v>2021_IMDb_Cast_Lists_Batch_04(1).xlsx</x:v>
      </x:c>
      <x:c r="D459" s="14" t="str">
        <x:v>The Tower</x:v>
      </x:c>
      <x:c r="E459" s="14" t="n">
        <x:v>15</x:v>
      </x:c>
      <x:c r="F459" s="14" t="str">
        <x:v>The Tower</x:v>
      </x:c>
      <x:c r="G459" s="14" t="str">
        <x:v>tt14364876</x:v>
      </x:c>
      <x:c r="H459" s="14" t="n">
        <x:v>2021</x:v>
      </x:c>
      <x:c r="I459" s="14" t="n">
        <x:v>2023</x:v>
      </x:c>
      <x:c r="J459" s="14" t="str">
        <x:v>Earlier-Production Carry-In Cohort</x:v>
      </x:c>
      <x:c r="K459" s="14" t="n">
        <x:v>2021</x:v>
      </x:c>
      <x:c r="L459" s="14" t="str">
        <x:v>Used in 2023 annual analysis</x:v>
      </x:c>
      <x:c r="M459" s="15" t="n">
        <x:v>8</x:v>
      </x:c>
      <x:c r="N459" s="14" t="str">
        <x:v>Ella Smith</x:v>
      </x:c>
      <x:c r="O459" s="14" t="str">
        <x:v>nm2119840</x:v>
      </x:c>
      <x:c r="P459" s="14" t="str">
        <x:v>DC Elaine Lucas / DS Elaine Lucas</x:v>
      </x:c>
      <x:c r="Q459" s="15" t="n">
        <x:v>8</x:v>
      </x:c>
      <x:c r="R459" s="14" t="str">
        <x:v>2023–2024</x:v>
      </x:c>
      <x:c r="S459" s="14" t="n">
        <x:v>2023</x:v>
      </x:c>
      <x:c r="T459" s="14" t="n">
        <x:v>2023</x:v>
      </x:c>
      <x:c r="U459" s="14" t="str">
        <x:v>Post-2021 casting excluded</x:v>
      </x:c>
      <x:c r="V459" s="14" t="str">
        <x:v>Earliest supplied year is 2023, later than the 2021 study year.</x:v>
      </x:c>
      <x:c r="W459" s="14"/>
      <x:c r="X459" s="14" t="str">
        <x:v>Included</x:v>
      </x:c>
      <x:c r="Y459" s="14"/>
      <x:c r="Z459" s="14" t="str">
        <x:v>The Tower.docx</x:v>
      </x:c>
      <x:c r="AA45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ITV / ITVX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HYPERLINK("https://en.wikipedia.org/wiki/The_Tower","Open source")</x:f>
        <x:v>HYPERLINK is not implemented. linkLocation=https://en.wikipedia.org/wiki/The_Tower,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11</x:v>
      </x:c>
      <x:c r="BP459" s="14" t="str">
        <x:v>Maximum eligible IMDb cast-credit total (11), shared by 5 performer(s); not independently verified as a 2021-only episode total.</x:v>
      </x:c>
      <x:c r="BQ459" s="14" t="str">
        <x:v>Medium</x:v>
      </x:c>
      <x:c r="BR459" s="15" t="n">
        <x:v>8</x:v>
      </x:c>
      <x:c r="BS459" s="16" t="n">
        <x:v>0.7272727272727273</x:v>
      </x:c>
      <x:c r="BT459" s="14" t="str">
        <x:v>Majority of episodes</x:v>
      </x:c>
      <x:c r="BU459" s="14" t="str">
        <x:v>Medium</x:v>
      </x:c>
      <x:c r="BV459" s="14" t="str">
        <x:v>Derived from supplied IMDb episode count and the documented production-total proxy.</x:v>
      </x:c>
      <x:c r="BW459" s="14" t="str">
        <x:v>Unable to determine</x:v>
      </x:c>
      <x:c r="BX459" s="14" t="str">
        <x:v>Supplied cast data establishes the credit and episode presence but does not establish narrative prominence.</x:v>
      </x:c>
      <x:c r="BY459" s="14" t="str">
        <x:v>Supplied IMDb cast-list workbook</x:v>
      </x:c>
      <x:c r="BZ45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tt14364876|nm1225475|dc lee coutts</x:v>
      </x:c>
      <x:c r="B460" s="14" t="str">
        <x:v>04</x:v>
      </x:c>
      <x:c r="C460" s="14" t="str">
        <x:v>2021_IMDb_Cast_Lists_Batch_04(1).xlsx</x:v>
      </x:c>
      <x:c r="D460" s="14" t="str">
        <x:v>The Tower</x:v>
      </x:c>
      <x:c r="E460" s="14" t="n">
        <x:v>16</x:v>
      </x:c>
      <x:c r="F460" s="14" t="str">
        <x:v>The Tower</x:v>
      </x:c>
      <x:c r="G460" s="14" t="str">
        <x:v>tt14364876</x:v>
      </x:c>
      <x:c r="H460" s="14" t="n">
        <x:v>2021</x:v>
      </x:c>
      <x:c r="I460" s="14" t="n">
        <x:v>2023</x:v>
      </x:c>
      <x:c r="J460" s="14" t="str">
        <x:v>Earlier-Production Carry-In Cohort</x:v>
      </x:c>
      <x:c r="K460" s="14" t="n">
        <x:v>2021</x:v>
      </x:c>
      <x:c r="L460" s="14" t="str">
        <x:v>Used in 2023 annual analysis</x:v>
      </x:c>
      <x:c r="M460" s="15" t="n">
        <x:v>9</x:v>
      </x:c>
      <x:c r="N460" s="14" t="str">
        <x:v>Bobby Lockwood</x:v>
      </x:c>
      <x:c r="O460" s="14" t="str">
        <x:v>nm1225475</x:v>
      </x:c>
      <x:c r="P460" s="14" t="str">
        <x:v>DC Lee Coutts</x:v>
      </x:c>
      <x:c r="Q460" s="15" t="n">
        <x:v>8</x:v>
      </x:c>
      <x:c r="R460" s="14" t="str">
        <x:v>2023–2024</x:v>
      </x:c>
      <x:c r="S460" s="14" t="n">
        <x:v>2023</x:v>
      </x:c>
      <x:c r="T460" s="14" t="n">
        <x:v>2023</x:v>
      </x:c>
      <x:c r="U460" s="14" t="str">
        <x:v>Post-2021 casting excluded</x:v>
      </x:c>
      <x:c r="V460" s="14" t="str">
        <x:v>Earliest supplied year is 2023, later than the 2021 study year.</x:v>
      </x:c>
      <x:c r="W460" s="14"/>
      <x:c r="X460" s="14" t="str">
        <x:v>Included</x:v>
      </x:c>
      <x:c r="Y460" s="14"/>
      <x:c r="Z460" s="14" t="str">
        <x:v>The Tower.docx</x:v>
      </x:c>
      <x:c r="AA46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ITV / ITVX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HYPERLINK("https://en.wikipedia.org/wiki/The_Tower","Open source")</x:f>
        <x:v>HYPERLINK is not implemented. linkLocation=https://en.wikipedia.org/wiki/The_Tower,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11</x:v>
      </x:c>
      <x:c r="BP460" s="14" t="str">
        <x:v>Maximum eligible IMDb cast-credit total (11), shared by 5 performer(s); not independently verified as a 2021-only episode total.</x:v>
      </x:c>
      <x:c r="BQ460" s="14" t="str">
        <x:v>Medium</x:v>
      </x:c>
      <x:c r="BR460" s="15" t="n">
        <x:v>8</x:v>
      </x:c>
      <x:c r="BS460" s="16" t="n">
        <x:v>0.7272727272727273</x:v>
      </x:c>
      <x:c r="BT460" s="14" t="str">
        <x:v>Majority of episodes</x:v>
      </x:c>
      <x:c r="BU460" s="14" t="str">
        <x:v>Medium</x:v>
      </x:c>
      <x:c r="BV460" s="14" t="str">
        <x:v>Derived from supplied IMDb episode count and the documented production-total proxy.</x:v>
      </x:c>
      <x:c r="BW460" s="14" t="str">
        <x:v>Unable to determine</x:v>
      </x:c>
      <x:c r="BX460" s="14" t="str">
        <x:v>Supplied cast data establishes the credit and episode presence but does not establish narrative prominence.</x:v>
      </x:c>
      <x:c r="BY460" s="14" t="str">
        <x:v>Supplied IMDb cast-list workbook</x:v>
      </x:c>
      <x:c r="BZ46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tt14364876|nm0574320|dci jim fedden</x:v>
      </x:c>
      <x:c r="B461" s="14" t="str">
        <x:v>04</x:v>
      </x:c>
      <x:c r="C461" s="14" t="str">
        <x:v>2021_IMDb_Cast_Lists_Batch_04(1).xlsx</x:v>
      </x:c>
      <x:c r="D461" s="14" t="str">
        <x:v>The Tower</x:v>
      </x:c>
      <x:c r="E461" s="14" t="n">
        <x:v>20</x:v>
      </x:c>
      <x:c r="F461" s="14" t="str">
        <x:v>The Tower</x:v>
      </x:c>
      <x:c r="G461" s="14" t="str">
        <x:v>tt14364876</x:v>
      </x:c>
      <x:c r="H461" s="14" t="n">
        <x:v>2021</x:v>
      </x:c>
      <x:c r="I461" s="14" t="n">
        <x:v>2023</x:v>
      </x:c>
      <x:c r="J461" s="14" t="str">
        <x:v>Earlier-Production Carry-In Cohort</x:v>
      </x:c>
      <x:c r="K461" s="14" t="n">
        <x:v>2021</x:v>
      </x:c>
      <x:c r="L461" s="14" t="str">
        <x:v>Used in 2023 annual analysis</x:v>
      </x:c>
      <x:c r="M461" s="15" t="n">
        <x:v>13</x:v>
      </x:c>
      <x:c r="N461" s="14" t="str">
        <x:v>Stuart McQuarrie</x:v>
      </x:c>
      <x:c r="O461" s="14" t="str">
        <x:v>nm0574320</x:v>
      </x:c>
      <x:c r="P461" s="14" t="str">
        <x:v>DCI Jim Fedden</x:v>
      </x:c>
      <x:c r="Q461" s="15" t="n">
        <x:v>5</x:v>
      </x:c>
      <x:c r="R461" s="14" t="str">
        <x:v>2023–2024</x:v>
      </x:c>
      <x:c r="S461" s="14" t="n">
        <x:v>2023</x:v>
      </x:c>
      <x:c r="T461" s="14" t="n">
        <x:v>2023</x:v>
      </x:c>
      <x:c r="U461" s="14" t="str">
        <x:v>Post-2021 casting excluded</x:v>
      </x:c>
      <x:c r="V461" s="14" t="str">
        <x:v>Earliest supplied year is 2023, later than the 2021 study year.</x:v>
      </x:c>
      <x:c r="W461" s="14"/>
      <x:c r="X461" s="14" t="str">
        <x:v>Included</x:v>
      </x:c>
      <x:c r="Y461" s="14"/>
      <x:c r="Z461" s="14" t="str">
        <x:v>The Tower.docx</x:v>
      </x:c>
      <x:c r="AA46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ITV / ITVX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HYPERLINK("https://en.wikipedia.org/wiki/The_Tower","Open source")</x:f>
        <x:v>HYPERLINK is not implemented. linkLocation=https://en.wikipedia.org/wiki/The_Tower,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11</x:v>
      </x:c>
      <x:c r="BP461" s="14" t="str">
        <x:v>Maximum eligible IMDb cast-credit total (11), shared by 5 performer(s); not independently verified as a 2021-only episode total.</x:v>
      </x:c>
      <x:c r="BQ461" s="14" t="str">
        <x:v>Medium</x:v>
      </x:c>
      <x:c r="BR461" s="15" t="n">
        <x:v>5</x:v>
      </x:c>
      <x:c r="BS461" s="16" t="n">
        <x:v>0.4545454545454545</x:v>
      </x:c>
      <x:c r="BT461" s="14" t="str">
        <x:v>Minority of episodes</x:v>
      </x:c>
      <x:c r="BU461" s="14" t="str">
        <x:v>Medium</x:v>
      </x:c>
      <x:c r="BV461" s="14" t="str">
        <x:v>Derived from supplied IMDb episode count and the documented production-total proxy.</x:v>
      </x:c>
      <x:c r="BW461" s="14" t="str">
        <x:v>Unable to determine</x:v>
      </x:c>
      <x:c r="BX461" s="14" t="str">
        <x:v>Supplied cast data establishes the credit and episode presence but does not establish narrative prominence.</x:v>
      </x:c>
      <x:c r="BY461" s="14" t="str">
        <x:v>Supplied IMDb cast-list workbook</x:v>
      </x:c>
      <x:c r="BZ46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tt14364876|nm1239446|dc archie rivers</x:v>
      </x:c>
      <x:c r="B462" s="14" t="str">
        <x:v>04</x:v>
      </x:c>
      <x:c r="C462" s="14" t="str">
        <x:v>2021_IMDb_Cast_Lists_Batch_04(1).xlsx</x:v>
      </x:c>
      <x:c r="D462" s="14" t="str">
        <x:v>The Tower</x:v>
      </x:c>
      <x:c r="E462" s="14" t="n">
        <x:v>21</x:v>
      </x:c>
      <x:c r="F462" s="14" t="str">
        <x:v>The Tower</x:v>
      </x:c>
      <x:c r="G462" s="14" t="str">
        <x:v>tt14364876</x:v>
      </x:c>
      <x:c r="H462" s="14" t="n">
        <x:v>2021</x:v>
      </x:c>
      <x:c r="I462" s="14" t="n">
        <x:v>2023</x:v>
      </x:c>
      <x:c r="J462" s="14" t="str">
        <x:v>Earlier-Production Carry-In Cohort</x:v>
      </x:c>
      <x:c r="K462" s="14" t="n">
        <x:v>2021</x:v>
      </x:c>
      <x:c r="L462" s="14" t="str">
        <x:v>Used in 2023 annual analysis</x:v>
      </x:c>
      <x:c r="M462" s="15" t="n">
        <x:v>14</x:v>
      </x:c>
      <x:c r="N462" s="14" t="str">
        <x:v>John Gully</x:v>
      </x:c>
      <x:c r="O462" s="14" t="str">
        <x:v>nm1239446</x:v>
      </x:c>
      <x:c r="P462" s="14" t="str">
        <x:v>DC Archie Rivers</x:v>
      </x:c>
      <x:c r="Q462" s="15" t="n">
        <x:v>5</x:v>
      </x:c>
      <x:c r="R462" s="14" t="str">
        <x:v>2023–2024</x:v>
      </x:c>
      <x:c r="S462" s="14" t="n">
        <x:v>2023</x:v>
      </x:c>
      <x:c r="T462" s="14" t="n">
        <x:v>2023</x:v>
      </x:c>
      <x:c r="U462" s="14" t="str">
        <x:v>Post-2021 casting excluded</x:v>
      </x:c>
      <x:c r="V462" s="14" t="str">
        <x:v>Earliest supplied year is 2023, later than the 2021 study year.</x:v>
      </x:c>
      <x:c r="W462" s="14"/>
      <x:c r="X462" s="14" t="str">
        <x:v>Included</x:v>
      </x:c>
      <x:c r="Y462" s="14"/>
      <x:c r="Z462" s="14" t="str">
        <x:v>The Tower.docx</x:v>
      </x:c>
      <x:c r="AA46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ITV / ITVX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HYPERLINK("https://en.wikipedia.org/wiki/The_Tower","Open source")</x:f>
        <x:v>HYPERLINK is not implemented. linkLocation=https://en.wikipedia.org/wiki/The_Tower,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11</x:v>
      </x:c>
      <x:c r="BP462" s="14" t="str">
        <x:v>Maximum eligible IMDb cast-credit total (11), shared by 5 performer(s); not independently verified as a 2021-only episode total.</x:v>
      </x:c>
      <x:c r="BQ462" s="14" t="str">
        <x:v>Medium</x:v>
      </x:c>
      <x:c r="BR462" s="15" t="n">
        <x:v>5</x:v>
      </x:c>
      <x:c r="BS462" s="16" t="n">
        <x:v>0.4545454545454545</x:v>
      </x:c>
      <x:c r="BT462" s="14" t="str">
        <x:v>Minority of episodes</x:v>
      </x:c>
      <x:c r="BU462" s="14" t="str">
        <x:v>Medium</x:v>
      </x:c>
      <x:c r="BV462" s="14" t="str">
        <x:v>Derived from supplied IMDb episode count and the documented production-total proxy.</x:v>
      </x:c>
      <x:c r="BW462" s="14" t="str">
        <x:v>Unable to determine</x:v>
      </x:c>
      <x:c r="BX462" s="14" t="str">
        <x:v>Supplied cast data establishes the credit and episode presence but does not establish narrative prominence.</x:v>
      </x:c>
      <x:c r="BY462" s="14" t="str">
        <x:v>Supplied IMDb cast-list workbook</x:v>
      </x:c>
      <x:c r="BZ46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tt14364876|nm13736783|skye brannon</x:v>
      </x:c>
      <x:c r="B463" s="14" t="str">
        <x:v>04</x:v>
      </x:c>
      <x:c r="C463" s="14" t="str">
        <x:v>2021_IMDb_Cast_Lists_Batch_04(1).xlsx</x:v>
      </x:c>
      <x:c r="D463" s="14" t="str">
        <x:v>The Tower</x:v>
      </x:c>
      <x:c r="E463" s="14" t="n">
        <x:v>22</x:v>
      </x:c>
      <x:c r="F463" s="14" t="str">
        <x:v>The Tower</x:v>
      </x:c>
      <x:c r="G463" s="14" t="str">
        <x:v>tt14364876</x:v>
      </x:c>
      <x:c r="H463" s="14" t="n">
        <x:v>2021</x:v>
      </x:c>
      <x:c r="I463" s="14" t="n">
        <x:v>2023</x:v>
      </x:c>
      <x:c r="J463" s="14" t="str">
        <x:v>Earlier-Production Carry-In Cohort</x:v>
      </x:c>
      <x:c r="K463" s="14" t="n">
        <x:v>2021</x:v>
      </x:c>
      <x:c r="L463" s="14" t="str">
        <x:v>Used in 2023 annual analysis</x:v>
      </x:c>
      <x:c r="M463" s="15" t="n">
        <x:v>15</x:v>
      </x:c>
      <x:c r="N463" s="14" t="str">
        <x:v>Faith Delaney</x:v>
      </x:c>
      <x:c r="O463" s="14" t="str">
        <x:v>nm13736783</x:v>
      </x:c>
      <x:c r="P463" s="14" t="str">
        <x:v>Skye Brannon</x:v>
      </x:c>
      <x:c r="Q463" s="15" t="n">
        <x:v>4</x:v>
      </x:c>
      <x:c r="R463" s="14" t="str">
        <x:v>2023</x:v>
      </x:c>
      <x:c r="S463" s="14" t="n">
        <x:v>2023</x:v>
      </x:c>
      <x:c r="T463" s="14" t="n">
        <x:v>2023</x:v>
      </x:c>
      <x:c r="U463" s="14" t="str">
        <x:v>Post-2021 casting excluded</x:v>
      </x:c>
      <x:c r="V463" s="14" t="str">
        <x:v>Earliest supplied year is 2023, later than the 2021 study year.</x:v>
      </x:c>
      <x:c r="W463" s="14"/>
      <x:c r="X463" s="14" t="str">
        <x:v>Included</x:v>
      </x:c>
      <x:c r="Y463" s="14"/>
      <x:c r="Z463" s="14" t="str">
        <x:v>The Tower.docx</x:v>
      </x:c>
      <x:c r="AA46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ITV / ITVX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HYPERLINK("https://en.wikipedia.org/wiki/The_Tower","Open source")</x:f>
        <x:v>HYPERLINK is not implemented. linkLocation=https://en.wikipedia.org/wiki/The_Tower,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11</x:v>
      </x:c>
      <x:c r="BP463" s="14" t="str">
        <x:v>Maximum eligible IMDb cast-credit total (11), shared by 5 performer(s); not independently verified as a 2021-only episode total.</x:v>
      </x:c>
      <x:c r="BQ463" s="14" t="str">
        <x:v>Medium</x:v>
      </x:c>
      <x:c r="BR463" s="15" t="n">
        <x:v>4</x:v>
      </x:c>
      <x:c r="BS463" s="16" t="n">
        <x:v>0.3636363636363636</x:v>
      </x:c>
      <x:c r="BT463" s="14" t="str">
        <x:v>Minority of episodes</x:v>
      </x:c>
      <x:c r="BU463" s="14" t="str">
        <x:v>Medium</x:v>
      </x:c>
      <x:c r="BV463" s="14" t="str">
        <x:v>Derived from supplied IMDb episode count and the documented production-total proxy.</x:v>
      </x:c>
      <x:c r="BW463" s="14" t="str">
        <x:v>Unable to determine</x:v>
      </x:c>
      <x:c r="BX463" s="14" t="str">
        <x:v>Supplied cast data establishes the credit and episode presence but does not establish narrative prominence.</x:v>
      </x:c>
      <x:c r="BY463" s="14" t="str">
        <x:v>Supplied IMDb cast-list workbook</x:v>
      </x:c>
      <x:c r="BZ46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tt14364876|nm3025667|pc colin ryle</x:v>
      </x:c>
      <x:c r="B464" s="14" t="str">
        <x:v>04</x:v>
      </x:c>
      <x:c r="C464" s="14" t="str">
        <x:v>2021_IMDb_Cast_Lists_Batch_04(1).xlsx</x:v>
      </x:c>
      <x:c r="D464" s="14" t="str">
        <x:v>The Tower</x:v>
      </x:c>
      <x:c r="E464" s="14" t="n">
        <x:v>23</x:v>
      </x:c>
      <x:c r="F464" s="14" t="str">
        <x:v>The Tower</x:v>
      </x:c>
      <x:c r="G464" s="14" t="str">
        <x:v>tt14364876</x:v>
      </x:c>
      <x:c r="H464" s="14" t="n">
        <x:v>2021</x:v>
      </x:c>
      <x:c r="I464" s="14" t="n">
        <x:v>2023</x:v>
      </x:c>
      <x:c r="J464" s="14" t="str">
        <x:v>Earlier-Production Carry-In Cohort</x:v>
      </x:c>
      <x:c r="K464" s="14" t="n">
        <x:v>2021</x:v>
      </x:c>
      <x:c r="L464" s="14" t="str">
        <x:v>Used in 2023 annual analysis</x:v>
      </x:c>
      <x:c r="M464" s="15" t="n">
        <x:v>16</x:v>
      </x:c>
      <x:c r="N464" s="14" t="str">
        <x:v>Jack Shalloo</x:v>
      </x:c>
      <x:c r="O464" s="14" t="str">
        <x:v>nm3025667</x:v>
      </x:c>
      <x:c r="P464" s="14" t="str">
        <x:v>PC Colin Ryle</x:v>
      </x:c>
      <x:c r="Q464" s="15" t="n">
        <x:v>4</x:v>
      </x:c>
      <x:c r="R464" s="14" t="str">
        <x:v>2023</x:v>
      </x:c>
      <x:c r="S464" s="14" t="n">
        <x:v>2023</x:v>
      </x:c>
      <x:c r="T464" s="14" t="n">
        <x:v>2023</x:v>
      </x:c>
      <x:c r="U464" s="14" t="str">
        <x:v>Post-2021 casting excluded</x:v>
      </x:c>
      <x:c r="V464" s="14" t="str">
        <x:v>Earliest supplied year is 2023, later than the 2021 study year.</x:v>
      </x:c>
      <x:c r="W464" s="14"/>
      <x:c r="X464" s="14" t="str">
        <x:v>Included</x:v>
      </x:c>
      <x:c r="Y464" s="14"/>
      <x:c r="Z464" s="14" t="str">
        <x:v>The Tower.docx</x:v>
      </x:c>
      <x:c r="AA46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ITV / ITVX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HYPERLINK("https://en.wikipedia.org/wiki/The_Tower","Open source")</x:f>
        <x:v>HYPERLINK is not implemented. linkLocation=https://en.wikipedia.org/wiki/The_Tower,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11</x:v>
      </x:c>
      <x:c r="BP464" s="14" t="str">
        <x:v>Maximum eligible IMDb cast-credit total (11), shared by 5 performer(s); not independently verified as a 2021-only episode total.</x:v>
      </x:c>
      <x:c r="BQ464" s="14" t="str">
        <x:v>Medium</x:v>
      </x:c>
      <x:c r="BR464" s="15" t="n">
        <x:v>4</x:v>
      </x:c>
      <x:c r="BS464" s="16" t="n">
        <x:v>0.3636363636363636</x:v>
      </x:c>
      <x:c r="BT464" s="14" t="str">
        <x:v>Minority of episodes</x:v>
      </x:c>
      <x:c r="BU464" s="14" t="str">
        <x:v>Medium</x:v>
      </x:c>
      <x:c r="BV464" s="14" t="str">
        <x:v>Derived from supplied IMDb episode count and the documented production-total proxy.</x:v>
      </x:c>
      <x:c r="BW464" s="14" t="str">
        <x:v>Unable to determine</x:v>
      </x:c>
      <x:c r="BX464" s="14" t="str">
        <x:v>Supplied cast data establishes the credit and episode presence but does not establish narrative prominence.</x:v>
      </x:c>
      <x:c r="BY464" s="14" t="str">
        <x:v>Supplied IMDb cast-list workbook</x:v>
      </x:c>
      <x:c r="BZ46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tt14364876|nm5065265|mark brannon / matthew brannon</x:v>
      </x:c>
      <x:c r="B465" s="14" t="str">
        <x:v>04</x:v>
      </x:c>
      <x:c r="C465" s="14" t="str">
        <x:v>2021_IMDb_Cast_Lists_Batch_04(1).xlsx</x:v>
      </x:c>
      <x:c r="D465" s="14" t="str">
        <x:v>The Tower</x:v>
      </x:c>
      <x:c r="E465" s="14" t="n">
        <x:v>24</x:v>
      </x:c>
      <x:c r="F465" s="14" t="str">
        <x:v>The Tower</x:v>
      </x:c>
      <x:c r="G465" s="14" t="str">
        <x:v>tt14364876</x:v>
      </x:c>
      <x:c r="H465" s="14" t="n">
        <x:v>2021</x:v>
      </x:c>
      <x:c r="I465" s="14" t="n">
        <x:v>2023</x:v>
      </x:c>
      <x:c r="J465" s="14" t="str">
        <x:v>Earlier-Production Carry-In Cohort</x:v>
      </x:c>
      <x:c r="K465" s="14" t="n">
        <x:v>2021</x:v>
      </x:c>
      <x:c r="L465" s="14" t="str">
        <x:v>Used in 2023 annual analysis</x:v>
      </x:c>
      <x:c r="M465" s="15" t="n">
        <x:v>17</x:v>
      </x:c>
      <x:c r="N465" s="14" t="str">
        <x:v>Charley Palmer Rothwell</x:v>
      </x:c>
      <x:c r="O465" s="14" t="str">
        <x:v>nm5065265</x:v>
      </x:c>
      <x:c r="P465" s="14" t="str">
        <x:v>Mark Brannon / Matthew Brannon</x:v>
      </x:c>
      <x:c r="Q465" s="15" t="n">
        <x:v>4</x:v>
      </x:c>
      <x:c r="R465" s="14" t="str">
        <x:v>2023</x:v>
      </x:c>
      <x:c r="S465" s="14" t="n">
        <x:v>2023</x:v>
      </x:c>
      <x:c r="T465" s="14" t="n">
        <x:v>2023</x:v>
      </x:c>
      <x:c r="U465" s="14" t="str">
        <x:v>Post-2021 casting excluded</x:v>
      </x:c>
      <x:c r="V465" s="14" t="str">
        <x:v>Earliest supplied year is 2023, later than the 2021 study year.</x:v>
      </x:c>
      <x:c r="W465" s="14"/>
      <x:c r="X465" s="14" t="str">
        <x:v>Included</x:v>
      </x:c>
      <x:c r="Y465" s="14"/>
      <x:c r="Z465" s="14" t="str">
        <x:v>The Tower.docx</x:v>
      </x:c>
      <x:c r="AA46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ITV / ITVX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HYPERLINK("https://en.wikipedia.org/wiki/The_Tower","Open source")</x:f>
        <x:v>HYPERLINK is not implemented. linkLocation=https://en.wikipedia.org/wiki/The_Tower,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11</x:v>
      </x:c>
      <x:c r="BP465" s="14" t="str">
        <x:v>Maximum eligible IMDb cast-credit total (11), shared by 5 performer(s); not independently verified as a 2021-only episode total.</x:v>
      </x:c>
      <x:c r="BQ465" s="14" t="str">
        <x:v>Medium</x:v>
      </x:c>
      <x:c r="BR465" s="15" t="n">
        <x:v>4</x:v>
      </x:c>
      <x:c r="BS465" s="16" t="n">
        <x:v>0.3636363636363636</x:v>
      </x:c>
      <x:c r="BT465" s="14" t="str">
        <x:v>Minority of episodes</x:v>
      </x:c>
      <x:c r="BU465" s="14" t="str">
        <x:v>Medium</x:v>
      </x:c>
      <x:c r="BV465" s="14" t="str">
        <x:v>Derived from supplied IMDb episode count and the documented production-total proxy.</x:v>
      </x:c>
      <x:c r="BW465" s="14" t="str">
        <x:v>Unable to determine</x:v>
      </x:c>
      <x:c r="BX465" s="14" t="str">
        <x:v>Supplied cast data establishes the credit and episode presence but does not establish narrative prominence.</x:v>
      </x:c>
      <x:c r="BY465" s="14" t="str">
        <x:v>Supplied IMDb cast-list workbook</x:v>
      </x:c>
      <x:c r="BZ46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tt14364876|nm0653666|cathy teel</x:v>
      </x:c>
      <x:c r="B466" s="14" t="str">
        <x:v>04</x:v>
      </x:c>
      <x:c r="C466" s="14" t="str">
        <x:v>2021_IMDb_Cast_Lists_Batch_04(1).xlsx</x:v>
      </x:c>
      <x:c r="D466" s="14" t="str">
        <x:v>The Tower</x:v>
      </x:c>
      <x:c r="E466" s="14" t="n">
        <x:v>28</x:v>
      </x:c>
      <x:c r="F466" s="14" t="str">
        <x:v>The Tower</x:v>
      </x:c>
      <x:c r="G466" s="14" t="str">
        <x:v>tt14364876</x:v>
      </x:c>
      <x:c r="H466" s="14" t="n">
        <x:v>2021</x:v>
      </x:c>
      <x:c r="I466" s="14" t="n">
        <x:v>2023</x:v>
      </x:c>
      <x:c r="J466" s="14" t="str">
        <x:v>Earlier-Production Carry-In Cohort</x:v>
      </x:c>
      <x:c r="K466" s="14" t="n">
        <x:v>2021</x:v>
      </x:c>
      <x:c r="L466" s="14" t="str">
        <x:v>Used in 2023 annual analysis</x:v>
      </x:c>
      <x:c r="M466" s="15" t="n">
        <x:v>21</x:v>
      </x:c>
      <x:c r="N466" s="14" t="str">
        <x:v>Tamzin Outhwaite</x:v>
      </x:c>
      <x:c r="O466" s="14" t="str">
        <x:v>nm0653666</x:v>
      </x:c>
      <x:c r="P466" s="14" t="str">
        <x:v>Cathy Teel</x:v>
      </x:c>
      <x:c r="Q466" s="15" t="n">
        <x:v>4</x:v>
      </x:c>
      <x:c r="R466" s="14" t="str">
        <x:v>2023</x:v>
      </x:c>
      <x:c r="S466" s="14" t="n">
        <x:v>2023</x:v>
      </x:c>
      <x:c r="T466" s="14" t="n">
        <x:v>2023</x:v>
      </x:c>
      <x:c r="U466" s="14" t="str">
        <x:v>Post-2021 casting excluded</x:v>
      </x:c>
      <x:c r="V466" s="14" t="str">
        <x:v>Earliest supplied year is 2023, later than the 2021 study year.</x:v>
      </x:c>
      <x:c r="W466" s="14"/>
      <x:c r="X466" s="14" t="str">
        <x:v>Included</x:v>
      </x:c>
      <x:c r="Y466" s="14"/>
      <x:c r="Z466" s="14" t="str">
        <x:v>The Tower.docx</x:v>
      </x:c>
      <x:c r="AA46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ITV / ITVX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HYPERLINK("https://en.wikipedia.org/wiki/The_Tower","Open source")</x:f>
        <x:v>HYPERLINK is not implemented. linkLocation=https://en.wikipedia.org/wiki/The_Tower,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11</x:v>
      </x:c>
      <x:c r="BP466" s="14" t="str">
        <x:v>Maximum eligible IMDb cast-credit total (11), shared by 5 performer(s); not independently verified as a 2021-only episode total.</x:v>
      </x:c>
      <x:c r="BQ466" s="14" t="str">
        <x:v>Medium</x:v>
      </x:c>
      <x:c r="BR466" s="15" t="n">
        <x:v>4</x:v>
      </x:c>
      <x:c r="BS466" s="16" t="n">
        <x:v>0.3636363636363636</x:v>
      </x:c>
      <x:c r="BT466" s="14" t="str">
        <x:v>Minority of episodes</x:v>
      </x:c>
      <x:c r="BU466" s="14" t="str">
        <x:v>Medium</x:v>
      </x:c>
      <x:c r="BV466" s="14" t="str">
        <x:v>Derived from supplied IMDb episode count and the documented production-total proxy.</x:v>
      </x:c>
      <x:c r="BW466" s="14" t="str">
        <x:v>Unable to determine</x:v>
      </x:c>
      <x:c r="BX466" s="14" t="str">
        <x:v>Supplied cast data establishes the credit and episode presence but does not establish narrative prominence.</x:v>
      </x:c>
      <x:c r="BY466" s="14" t="str">
        <x:v>Supplied IMDb cast-list workbook</x:v>
      </x:c>
      <x:c r="BZ46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tt14364876|nm0193657|claire mills</x:v>
      </x:c>
      <x:c r="B467" s="14" t="str">
        <x:v>04</x:v>
      </x:c>
      <x:c r="C467" s="14" t="str">
        <x:v>2021_IMDb_Cast_Lists_Batch_04(1).xlsx</x:v>
      </x:c>
      <x:c r="D467" s="14" t="str">
        <x:v>The Tower</x:v>
      </x:c>
      <x:c r="E467" s="14" t="n">
        <x:v>30</x:v>
      </x:c>
      <x:c r="F467" s="14" t="str">
        <x:v>The Tower</x:v>
      </x:c>
      <x:c r="G467" s="14" t="str">
        <x:v>tt14364876</x:v>
      </x:c>
      <x:c r="H467" s="14" t="n">
        <x:v>2021</x:v>
      </x:c>
      <x:c r="I467" s="14" t="n">
        <x:v>2023</x:v>
      </x:c>
      <x:c r="J467" s="14" t="str">
        <x:v>Earlier-Production Carry-In Cohort</x:v>
      </x:c>
      <x:c r="K467" s="14" t="n">
        <x:v>2021</x:v>
      </x:c>
      <x:c r="L467" s="14" t="str">
        <x:v>Used in 2023 annual analysis</x:v>
      </x:c>
      <x:c r="M467" s="15" t="n">
        <x:v>23</x:v>
      </x:c>
      <x:c r="N467" s="14" t="str">
        <x:v>Niamh Cusack</x:v>
      </x:c>
      <x:c r="O467" s="14" t="str">
        <x:v>nm0193657</x:v>
      </x:c>
      <x:c r="P467" s="14" t="str">
        <x:v>Claire Mills</x:v>
      </x:c>
      <x:c r="Q467" s="15" t="n">
        <x:v>4</x:v>
      </x:c>
      <x:c r="R467" s="14" t="str">
        <x:v>2023</x:v>
      </x:c>
      <x:c r="S467" s="14" t="n">
        <x:v>2023</x:v>
      </x:c>
      <x:c r="T467" s="14" t="n">
        <x:v>2023</x:v>
      </x:c>
      <x:c r="U467" s="14" t="str">
        <x:v>Post-2021 casting excluded</x:v>
      </x:c>
      <x:c r="V467" s="14" t="str">
        <x:v>Earliest supplied year is 2023, later than the 2021 study year.</x:v>
      </x:c>
      <x:c r="W467" s="14"/>
      <x:c r="X467" s="14" t="str">
        <x:v>Included</x:v>
      </x:c>
      <x:c r="Y467" s="14"/>
      <x:c r="Z467" s="14" t="str">
        <x:v>The Tower.docx</x:v>
      </x:c>
      <x:c r="AA46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ITV / ITVX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HYPERLINK("https://en.wikipedia.org/wiki/The_Tower","Open source")</x:f>
        <x:v>HYPERLINK is not implemented. linkLocation=https://en.wikipedia.org/wiki/The_Tower,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11</x:v>
      </x:c>
      <x:c r="BP467" s="14" t="str">
        <x:v>Maximum eligible IMDb cast-credit total (11), shared by 5 performer(s); not independently verified as a 2021-only episode total.</x:v>
      </x:c>
      <x:c r="BQ467" s="14" t="str">
        <x:v>Medium</x:v>
      </x:c>
      <x:c r="BR467" s="15" t="n">
        <x:v>4</x:v>
      </x:c>
      <x:c r="BS467" s="16" t="n">
        <x:v>0.3636363636363636</x:v>
      </x:c>
      <x:c r="BT467" s="14" t="str">
        <x:v>Minority of episodes</x:v>
      </x:c>
      <x:c r="BU467" s="14" t="str">
        <x:v>Medium</x:v>
      </x:c>
      <x:c r="BV467" s="14" t="str">
        <x:v>Derived from supplied IMDb episode count and the documented production-total proxy.</x:v>
      </x:c>
      <x:c r="BW467" s="14" t="str">
        <x:v>Unable to determine</x:v>
      </x:c>
      <x:c r="BX467" s="14" t="str">
        <x:v>Supplied cast data establishes the credit and episode presence but does not establish narrative prominence.</x:v>
      </x:c>
      <x:c r="BY467" s="14" t="str">
        <x:v>Supplied IMDb cast-list workbook</x:v>
      </x:c>
      <x:c r="BZ46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tt14364876|nm4832911|newsreader</x:v>
      </x:c>
      <x:c r="B468" s="14" t="str">
        <x:v>04</x:v>
      </x:c>
      <x:c r="C468" s="14" t="str">
        <x:v>2021_IMDb_Cast_Lists_Batch_04(1).xlsx</x:v>
      </x:c>
      <x:c r="D468" s="14" t="str">
        <x:v>The Tower</x:v>
      </x:c>
      <x:c r="E468" s="14" t="n">
        <x:v>34</x:v>
      </x:c>
      <x:c r="F468" s="14" t="str">
        <x:v>The Tower</x:v>
      </x:c>
      <x:c r="G468" s="14" t="str">
        <x:v>tt14364876</x:v>
      </x:c>
      <x:c r="H468" s="14" t="n">
        <x:v>2021</x:v>
      </x:c>
      <x:c r="I468" s="14" t="n">
        <x:v>2023</x:v>
      </x:c>
      <x:c r="J468" s="14" t="str">
        <x:v>Earlier-Production Carry-In Cohort</x:v>
      </x:c>
      <x:c r="K468" s="14" t="n">
        <x:v>2021</x:v>
      </x:c>
      <x:c r="L468" s="14" t="str">
        <x:v>Used in 2023 annual analysis</x:v>
      </x:c>
      <x:c r="M468" s="15" t="n">
        <x:v>27</x:v>
      </x:c>
      <x:c r="N468" s="14" t="str">
        <x:v>Lucrezia Millarini</x:v>
      </x:c>
      <x:c r="O468" s="14" t="str">
        <x:v>nm4832911</x:v>
      </x:c>
      <x:c r="P468" s="14" t="str">
        <x:v>Newsreader</x:v>
      </x:c>
      <x:c r="Q468" s="15" t="n">
        <x:v>4</x:v>
      </x:c>
      <x:c r="R468" s="14" t="str">
        <x:v>2023–2024</x:v>
      </x:c>
      <x:c r="S468" s="14" t="n">
        <x:v>2023</x:v>
      </x:c>
      <x:c r="T468" s="14" t="n">
        <x:v>2023</x:v>
      </x:c>
      <x:c r="U468" s="14" t="str">
        <x:v>Post-2021 casting excluded</x:v>
      </x:c>
      <x:c r="V468" s="14" t="str">
        <x:v>Earliest supplied year is 2023, later than the 2021 study year.</x:v>
      </x:c>
      <x:c r="W468" s="14"/>
      <x:c r="X468" s="14" t="str">
        <x:v>Included</x:v>
      </x:c>
      <x:c r="Y468" s="14"/>
      <x:c r="Z468" s="14" t="str">
        <x:v>The Tower.docx</x:v>
      </x:c>
      <x:c r="AA46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ITV / ITVX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HYPERLINK("https://en.wikipedia.org/wiki/The_Tower","Open source")</x:f>
        <x:v>HYPERLINK is not implemented. linkLocation=https://en.wikipedia.org/wiki/The_Tower,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11</x:v>
      </x:c>
      <x:c r="BP468" s="14" t="str">
        <x:v>Maximum eligible IMDb cast-credit total (11), shared by 5 performer(s); not independently verified as a 2021-only episode total.</x:v>
      </x:c>
      <x:c r="BQ468" s="14" t="str">
        <x:v>Medium</x:v>
      </x:c>
      <x:c r="BR468" s="15" t="n">
        <x:v>4</x:v>
      </x:c>
      <x:c r="BS468" s="16" t="n">
        <x:v>0.3636363636363636</x:v>
      </x:c>
      <x:c r="BT468" s="14" t="str">
        <x:v>Minority of episodes</x:v>
      </x:c>
      <x:c r="BU468" s="14" t="str">
        <x:v>Medium</x:v>
      </x:c>
      <x:c r="BV468" s="14" t="str">
        <x:v>Derived from supplied IMDb episode count and the documented production-total proxy.</x:v>
      </x:c>
      <x:c r="BW468" s="14" t="str">
        <x:v>Unable to determine</x:v>
      </x:c>
      <x:c r="BX468" s="14" t="str">
        <x:v>Supplied cast data establishes the credit and episode presence but does not establish narrative prominence.</x:v>
      </x:c>
      <x:c r="BY468" s="14" t="str">
        <x:v>Supplied IMDb cast-list workbook</x:v>
      </x:c>
      <x:c r="BZ46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tt14364876|nm6551323|inspector lucas stanning</x:v>
      </x:c>
      <x:c r="B469" s="14" t="str">
        <x:v>04</x:v>
      </x:c>
      <x:c r="C469" s="14" t="str">
        <x:v>2021_IMDb_Cast_Lists_Batch_04(1).xlsx</x:v>
      </x:c>
      <x:c r="D469" s="14" t="str">
        <x:v>The Tower</x:v>
      </x:c>
      <x:c r="E469" s="14" t="n">
        <x:v>42</x:v>
      </x:c>
      <x:c r="F469" s="14" t="str">
        <x:v>The Tower</x:v>
      </x:c>
      <x:c r="G469" s="14" t="str">
        <x:v>tt14364876</x:v>
      </x:c>
      <x:c r="H469" s="14" t="n">
        <x:v>2021</x:v>
      </x:c>
      <x:c r="I469" s="14" t="n">
        <x:v>2023</x:v>
      </x:c>
      <x:c r="J469" s="14" t="str">
        <x:v>Earlier-Production Carry-In Cohort</x:v>
      </x:c>
      <x:c r="K469" s="14" t="n">
        <x:v>2021</x:v>
      </x:c>
      <x:c r="L469" s="14" t="str">
        <x:v>Used in 2023 annual analysis</x:v>
      </x:c>
      <x:c r="M469" s="15" t="n">
        <x:v>35</x:v>
      </x:c>
      <x:c r="N469" s="14" t="str">
        <x:v>Robbie O'Neill</x:v>
      </x:c>
      <x:c r="O469" s="14" t="str">
        <x:v>nm6551323</x:v>
      </x:c>
      <x:c r="P469" s="14" t="str">
        <x:v>Inspector Lucas Stanning</x:v>
      </x:c>
      <x:c r="Q469" s="15" t="n">
        <x:v>3</x:v>
      </x:c>
      <x:c r="R469" s="14" t="str">
        <x:v>2023–2024</x:v>
      </x:c>
      <x:c r="S469" s="14" t="n">
        <x:v>2023</x:v>
      </x:c>
      <x:c r="T469" s="14" t="n">
        <x:v>2023</x:v>
      </x:c>
      <x:c r="U469" s="14" t="str">
        <x:v>Post-2021 casting excluded</x:v>
      </x:c>
      <x:c r="V469" s="14" t="str">
        <x:v>Earliest supplied year is 2023, later than the 2021 study year.</x:v>
      </x:c>
      <x:c r="W469" s="14"/>
      <x:c r="X469" s="14" t="str">
        <x:v>Included</x:v>
      </x:c>
      <x:c r="Y469" s="14"/>
      <x:c r="Z469" s="14" t="str">
        <x:v>The Tower.docx</x:v>
      </x:c>
      <x:c r="AA46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ITV / ITVX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HYPERLINK("https://en.wikipedia.org/wiki/The_Tower","Open source")</x:f>
        <x:v>HYPERLINK is not implemented. linkLocation=https://en.wikipedia.org/wiki/The_Tower,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11</x:v>
      </x:c>
      <x:c r="BP469" s="14" t="str">
        <x:v>Maximum eligible IMDb cast-credit total (11), shared by 5 performer(s); not independently verified as a 2021-only episode total.</x:v>
      </x:c>
      <x:c r="BQ469" s="14" t="str">
        <x:v>Medium</x:v>
      </x:c>
      <x:c r="BR469" s="15" t="n">
        <x:v>3</x:v>
      </x:c>
      <x:c r="BS469" s="16" t="n">
        <x:v>0.2727272727272727</x:v>
      </x:c>
      <x:c r="BT469" s="14" t="str">
        <x:v>Minority of episodes</x:v>
      </x:c>
      <x:c r="BU469" s="14" t="str">
        <x:v>Medium</x:v>
      </x:c>
      <x:c r="BV469" s="14" t="str">
        <x:v>Derived from supplied IMDb episode count and the documented production-total proxy.</x:v>
      </x:c>
      <x:c r="BW469" s="14" t="str">
        <x:v>Unable to determine</x:v>
      </x:c>
      <x:c r="BX469" s="14" t="str">
        <x:v>Supplied cast data establishes the credit and episode presence but does not establish narrative prominence.</x:v>
      </x:c>
      <x:c r="BY469" s="14" t="str">
        <x:v>Supplied IMDb cast-list workbook</x:v>
      </x:c>
      <x:c r="BZ46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tt14364876|nm11888328|marley daniels</x:v>
      </x:c>
      <x:c r="B470" s="14" t="str">
        <x:v>04</x:v>
      </x:c>
      <x:c r="C470" s="14" t="str">
        <x:v>2021_IMDb_Cast_Lists_Batch_04(1).xlsx</x:v>
      </x:c>
      <x:c r="D470" s="14" t="str">
        <x:v>The Tower</x:v>
      </x:c>
      <x:c r="E470" s="14" t="n">
        <x:v>45</x:v>
      </x:c>
      <x:c r="F470" s="14" t="str">
        <x:v>The Tower</x:v>
      </x:c>
      <x:c r="G470" s="14" t="str">
        <x:v>tt14364876</x:v>
      </x:c>
      <x:c r="H470" s="14" t="n">
        <x:v>2021</x:v>
      </x:c>
      <x:c r="I470" s="14" t="n">
        <x:v>2023</x:v>
      </x:c>
      <x:c r="J470" s="14" t="str">
        <x:v>Earlier-Production Carry-In Cohort</x:v>
      </x:c>
      <x:c r="K470" s="14" t="n">
        <x:v>2021</x:v>
      </x:c>
      <x:c r="L470" s="14" t="str">
        <x:v>Used in 2023 annual analysis</x:v>
      </x:c>
      <x:c r="M470" s="15" t="n">
        <x:v>38</x:v>
      </x:c>
      <x:c r="N470" s="14" t="str">
        <x:v>Shonagh Marie</x:v>
      </x:c>
      <x:c r="O470" s="14" t="str">
        <x:v>nm11888328</x:v>
      </x:c>
      <x:c r="P470" s="14" t="str">
        <x:v>Marley Daniels</x:v>
      </x:c>
      <x:c r="Q470" s="15" t="n">
        <x:v>3</x:v>
      </x:c>
      <x:c r="R470" s="14" t="str">
        <x:v>2023</x:v>
      </x:c>
      <x:c r="S470" s="14" t="n">
        <x:v>2023</x:v>
      </x:c>
      <x:c r="T470" s="14" t="n">
        <x:v>2023</x:v>
      </x:c>
      <x:c r="U470" s="14" t="str">
        <x:v>Post-2021 casting excluded</x:v>
      </x:c>
      <x:c r="V470" s="14" t="str">
        <x:v>Earliest supplied year is 2023, later than the 2021 study year.</x:v>
      </x:c>
      <x:c r="W470" s="14"/>
      <x:c r="X470" s="14" t="str">
        <x:v>Included</x:v>
      </x:c>
      <x:c r="Y470" s="14"/>
      <x:c r="Z470" s="14" t="str">
        <x:v>The Tower.docx</x:v>
      </x:c>
      <x:c r="AA47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ITV / ITVX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7" t="e">
        <x:f>HYPERLINK("https://en.wikipedia.org/wiki/The_Tower","Open source")</x:f>
        <x:v>HYPERLINK is not implemented. linkLocation=https://en.wikipedia.org/wiki/The_Tower,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11</x:v>
      </x:c>
      <x:c r="BP470" s="14" t="str">
        <x:v>Maximum eligible IMDb cast-credit total (11), shared by 5 performer(s); not independently verified as a 2021-only episode total.</x:v>
      </x:c>
      <x:c r="BQ470" s="14" t="str">
        <x:v>Medium</x:v>
      </x:c>
      <x:c r="BR470" s="15" t="n">
        <x:v>3</x:v>
      </x:c>
      <x:c r="BS470" s="16" t="n">
        <x:v>0.2727272727272727</x:v>
      </x:c>
      <x:c r="BT470" s="14" t="str">
        <x:v>Minority of episodes</x:v>
      </x:c>
      <x:c r="BU470" s="14" t="str">
        <x:v>Medium</x:v>
      </x:c>
      <x:c r="BV470" s="14" t="str">
        <x:v>Derived from supplied IMDb episode count and the documented production-total proxy.</x:v>
      </x:c>
      <x:c r="BW470" s="14" t="str">
        <x:v>Unable to determine</x:v>
      </x:c>
      <x:c r="BX470" s="14" t="str">
        <x:v>Supplied cast data establishes the credit and episode presence but does not establish narrative prominence.</x:v>
      </x:c>
      <x:c r="BY470" s="14" t="str">
        <x:v>Supplied IMDb cast-list workbook</x:v>
      </x:c>
      <x:c r="BZ47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tt14364876|nm12354430|armed police officer 1</x:v>
      </x:c>
      <x:c r="B471" s="14" t="str">
        <x:v>04</x:v>
      </x:c>
      <x:c r="C471" s="14" t="str">
        <x:v>2021_IMDb_Cast_Lists_Batch_04(1).xlsx</x:v>
      </x:c>
      <x:c r="D471" s="14" t="str">
        <x:v>The Tower</x:v>
      </x:c>
      <x:c r="E471" s="14" t="n">
        <x:v>46</x:v>
      </x:c>
      <x:c r="F471" s="14" t="str">
        <x:v>The Tower</x:v>
      </x:c>
      <x:c r="G471" s="14" t="str">
        <x:v>tt14364876</x:v>
      </x:c>
      <x:c r="H471" s="14" t="n">
        <x:v>2021</x:v>
      </x:c>
      <x:c r="I471" s="14" t="n">
        <x:v>2023</x:v>
      </x:c>
      <x:c r="J471" s="14" t="str">
        <x:v>Earlier-Production Carry-In Cohort</x:v>
      </x:c>
      <x:c r="K471" s="14" t="n">
        <x:v>2021</x:v>
      </x:c>
      <x:c r="L471" s="14" t="str">
        <x:v>Used in 2023 annual analysis</x:v>
      </x:c>
      <x:c r="M471" s="15" t="n">
        <x:v>39</x:v>
      </x:c>
      <x:c r="N471" s="14" t="str">
        <x:v>Paul Candelent</x:v>
      </x:c>
      <x:c r="O471" s="14" t="str">
        <x:v>nm12354430</x:v>
      </x:c>
      <x:c r="P471" s="14" t="str">
        <x:v>Armed police officer 1</x:v>
      </x:c>
      <x:c r="Q471" s="15" t="n">
        <x:v>3</x:v>
      </x:c>
      <x:c r="R471" s="14" t="str">
        <x:v>2023</x:v>
      </x:c>
      <x:c r="S471" s="14" t="n">
        <x:v>2023</x:v>
      </x:c>
      <x:c r="T471" s="14" t="n">
        <x:v>2023</x:v>
      </x:c>
      <x:c r="U471" s="14" t="str">
        <x:v>Post-2021 casting excluded</x:v>
      </x:c>
      <x:c r="V471" s="14" t="str">
        <x:v>Earliest supplied year is 2023, later than the 2021 study year.</x:v>
      </x:c>
      <x:c r="W471" s="14"/>
      <x:c r="X471" s="14" t="str">
        <x:v>Included</x:v>
      </x:c>
      <x:c r="Y471" s="14"/>
      <x:c r="Z471" s="14" t="str">
        <x:v>The Tower.docx</x:v>
      </x:c>
      <x:c r="AA47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ITV / ITVX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7" t="e">
        <x:f>HYPERLINK("https://en.wikipedia.org/wiki/The_Tower","Open source")</x:f>
        <x:v>HYPERLINK is not implemented. linkLocation=https://en.wikipedia.org/wiki/The_Tower,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11</x:v>
      </x:c>
      <x:c r="BP471" s="14" t="str">
        <x:v>Maximum eligible IMDb cast-credit total (11), shared by 5 performer(s); not independently verified as a 2021-only episode total.</x:v>
      </x:c>
      <x:c r="BQ471" s="14" t="str">
        <x:v>Medium</x:v>
      </x:c>
      <x:c r="BR471" s="15" t="n">
        <x:v>3</x:v>
      </x:c>
      <x:c r="BS471" s="16" t="n">
        <x:v>0.2727272727272727</x:v>
      </x:c>
      <x:c r="BT471" s="14" t="str">
        <x:v>Minority of episodes</x:v>
      </x:c>
      <x:c r="BU471" s="14" t="str">
        <x:v>Medium</x:v>
      </x:c>
      <x:c r="BV471" s="14" t="str">
        <x:v>Derived from supplied IMDb episode count and the documented production-total proxy.</x:v>
      </x:c>
      <x:c r="BW471" s="14" t="str">
        <x:v>Unable to determine</x:v>
      </x:c>
      <x:c r="BX471" s="14" t="str">
        <x:v>Supplied cast data establishes the credit and episode presence but does not establish narrative prominence.</x:v>
      </x:c>
      <x:c r="BY471" s="14" t="str">
        <x:v>Supplied IMDb cast-list workbook</x:v>
      </x:c>
      <x:c r="BZ47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tt14364876|nm7083804|georgina teel</x:v>
      </x:c>
      <x:c r="B472" s="14" t="str">
        <x:v>04</x:v>
      </x:c>
      <x:c r="C472" s="14" t="str">
        <x:v>2021_IMDb_Cast_Lists_Batch_04(1).xlsx</x:v>
      </x:c>
      <x:c r="D472" s="14" t="str">
        <x:v>The Tower</x:v>
      </x:c>
      <x:c r="E472" s="14" t="n">
        <x:v>48</x:v>
      </x:c>
      <x:c r="F472" s="14" t="str">
        <x:v>The Tower</x:v>
      </x:c>
      <x:c r="G472" s="14" t="str">
        <x:v>tt14364876</x:v>
      </x:c>
      <x:c r="H472" s="14" t="n">
        <x:v>2021</x:v>
      </x:c>
      <x:c r="I472" s="14" t="n">
        <x:v>2023</x:v>
      </x:c>
      <x:c r="J472" s="14" t="str">
        <x:v>Earlier-Production Carry-In Cohort</x:v>
      </x:c>
      <x:c r="K472" s="14" t="n">
        <x:v>2021</x:v>
      </x:c>
      <x:c r="L472" s="14" t="str">
        <x:v>Used in 2023 annual analysis</x:v>
      </x:c>
      <x:c r="M472" s="15" t="n">
        <x:v>41</x:v>
      </x:c>
      <x:c r="N472" s="14" t="str">
        <x:v>Rosa Coduri-Fulford</x:v>
      </x:c>
      <x:c r="O472" s="14" t="str">
        <x:v>nm7083804</x:v>
      </x:c>
      <x:c r="P472" s="14" t="str">
        <x:v>Georgina Teel</x:v>
      </x:c>
      <x:c r="Q472" s="15" t="n">
        <x:v>2</x:v>
      </x:c>
      <x:c r="R472" s="14" t="str">
        <x:v>2023</x:v>
      </x:c>
      <x:c r="S472" s="14" t="n">
        <x:v>2023</x:v>
      </x:c>
      <x:c r="T472" s="14" t="n">
        <x:v>2023</x:v>
      </x:c>
      <x:c r="U472" s="14" t="str">
        <x:v>Post-2021 casting excluded</x:v>
      </x:c>
      <x:c r="V472" s="14" t="str">
        <x:v>Earliest supplied year is 2023, later than the 2021 study year.</x:v>
      </x:c>
      <x:c r="W472" s="14"/>
      <x:c r="X472" s="14" t="str">
        <x:v>Included</x:v>
      </x:c>
      <x:c r="Y472" s="14" t="str">
        <x:v>(as Rosa Coduri)</x:v>
      </x:c>
      <x:c r="Z472" s="14" t="str">
        <x:v>The Tower.docx</x:v>
      </x:c>
      <x:c r="AA47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ITV / ITVX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7" t="e">
        <x:f>HYPERLINK("https://en.wikipedia.org/wiki/The_Tower","Open source")</x:f>
        <x:v>HYPERLINK is not implemented. linkLocation=https://en.wikipedia.org/wiki/The_Tower,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11</x:v>
      </x:c>
      <x:c r="BP472" s="14" t="str">
        <x:v>Maximum eligible IMDb cast-credit total (11), shared by 5 performer(s); not independently verified as a 2021-only episode total.</x:v>
      </x:c>
      <x:c r="BQ472" s="14" t="str">
        <x:v>Medium</x:v>
      </x:c>
      <x:c r="BR472" s="15" t="n">
        <x:v>2</x:v>
      </x:c>
      <x:c r="BS472" s="16" t="n">
        <x:v>0.1818181818181818</x:v>
      </x:c>
      <x:c r="BT472" s="14" t="str">
        <x:v>Minority of episodes</x:v>
      </x:c>
      <x:c r="BU472" s="14" t="str">
        <x:v>Medium</x:v>
      </x:c>
      <x:c r="BV472" s="14" t="str">
        <x:v>Derived from supplied IMDb episode count and the documented production-total proxy.</x:v>
      </x:c>
      <x:c r="BW472" s="14" t="str">
        <x:v>Unable to determine</x:v>
      </x:c>
      <x:c r="BX472" s="14" t="str">
        <x:v>Supplied cast data establishes the credit and episode presence but does not establish narrative prominence.</x:v>
      </x:c>
      <x:c r="BY472" s="14" t="str">
        <x:v>Supplied IMDb cast-list workbook</x:v>
      </x:c>
      <x:c r="BZ47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tt14364876|nm2031026|nicola harris</x:v>
      </x:c>
      <x:c r="B473" s="14" t="str">
        <x:v>04</x:v>
      </x:c>
      <x:c r="C473" s="14" t="str">
        <x:v>2021_IMDb_Cast_Lists_Batch_04(1).xlsx</x:v>
      </x:c>
      <x:c r="D473" s="14" t="str">
        <x:v>The Tower</x:v>
      </x:c>
      <x:c r="E473" s="14" t="n">
        <x:v>49</x:v>
      </x:c>
      <x:c r="F473" s="14" t="str">
        <x:v>The Tower</x:v>
      </x:c>
      <x:c r="G473" s="14" t="str">
        <x:v>tt14364876</x:v>
      </x:c>
      <x:c r="H473" s="14" t="n">
        <x:v>2021</x:v>
      </x:c>
      <x:c r="I473" s="14" t="n">
        <x:v>2023</x:v>
      </x:c>
      <x:c r="J473" s="14" t="str">
        <x:v>Earlier-Production Carry-In Cohort</x:v>
      </x:c>
      <x:c r="K473" s="14" t="n">
        <x:v>2021</x:v>
      </x:c>
      <x:c r="L473" s="14" t="str">
        <x:v>Used in 2023 annual analysis</x:v>
      </x:c>
      <x:c r="M473" s="15" t="n">
        <x:v>42</x:v>
      </x:c>
      <x:c r="N473" s="14" t="str">
        <x:v>Catherine Rowney</x:v>
      </x:c>
      <x:c r="O473" s="14" t="str">
        <x:v>nm2031026</x:v>
      </x:c>
      <x:c r="P473" s="14" t="str">
        <x:v>Nicola Harris</x:v>
      </x:c>
      <x:c r="Q473" s="15" t="n">
        <x:v>2</x:v>
      </x:c>
      <x:c r="R473" s="14" t="str">
        <x:v>2023</x:v>
      </x:c>
      <x:c r="S473" s="14" t="n">
        <x:v>2023</x:v>
      </x:c>
      <x:c r="T473" s="14" t="n">
        <x:v>2023</x:v>
      </x:c>
      <x:c r="U473" s="14" t="str">
        <x:v>Post-2021 casting excluded</x:v>
      </x:c>
      <x:c r="V473" s="14" t="str">
        <x:v>Earliest supplied year is 2023, later than the 2021 study year.</x:v>
      </x:c>
      <x:c r="W473" s="14"/>
      <x:c r="X473" s="14" t="str">
        <x:v>Included</x:v>
      </x:c>
      <x:c r="Y473" s="14"/>
      <x:c r="Z473" s="14" t="str">
        <x:v>The Tower.docx</x:v>
      </x:c>
      <x:c r="AA47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ITV / ITVX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7" t="e">
        <x:f>HYPERLINK("https://en.wikipedia.org/wiki/The_Tower","Open source")</x:f>
        <x:v>HYPERLINK is not implemented. linkLocation=https://en.wikipedia.org/wiki/The_Tower,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11</x:v>
      </x:c>
      <x:c r="BP473" s="14" t="str">
        <x:v>Maximum eligible IMDb cast-credit total (11), shared by 5 performer(s); not independently verified as a 2021-only episode total.</x:v>
      </x:c>
      <x:c r="BQ473" s="14" t="str">
        <x:v>Medium</x:v>
      </x:c>
      <x:c r="BR473" s="15" t="n">
        <x:v>2</x:v>
      </x:c>
      <x:c r="BS473" s="16" t="n">
        <x:v>0.1818181818181818</x:v>
      </x:c>
      <x:c r="BT473" s="14" t="str">
        <x:v>Minority of episodes</x:v>
      </x:c>
      <x:c r="BU473" s="14" t="str">
        <x:v>Medium</x:v>
      </x:c>
      <x:c r="BV473" s="14" t="str">
        <x:v>Derived from supplied IMDb episode count and the documented production-total proxy.</x:v>
      </x:c>
      <x:c r="BW473" s="14" t="str">
        <x:v>Unable to determine</x:v>
      </x:c>
      <x:c r="BX473" s="14" t="str">
        <x:v>Supplied cast data establishes the credit and episode presence but does not establish narrative prominence.</x:v>
      </x:c>
      <x:c r="BY473" s="14" t="str">
        <x:v>Supplied IMDb cast-list workbook</x:v>
      </x:c>
      <x:c r="BZ47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tt14364876|nm0597853|james adama</x:v>
      </x:c>
      <x:c r="B474" s="14" t="str">
        <x:v>04</x:v>
      </x:c>
      <x:c r="C474" s="14" t="str">
        <x:v>2021_IMDb_Cast_Lists_Batch_04(1).xlsx</x:v>
      </x:c>
      <x:c r="D474" s="14" t="str">
        <x:v>The Tower</x:v>
      </x:c>
      <x:c r="E474" s="14" t="n">
        <x:v>51</x:v>
      </x:c>
      <x:c r="F474" s="14" t="str">
        <x:v>The Tower</x:v>
      </x:c>
      <x:c r="G474" s="14" t="str">
        <x:v>tt14364876</x:v>
      </x:c>
      <x:c r="H474" s="14" t="n">
        <x:v>2021</x:v>
      </x:c>
      <x:c r="I474" s="14" t="n">
        <x:v>2023</x:v>
      </x:c>
      <x:c r="J474" s="14" t="str">
        <x:v>Earlier-Production Carry-In Cohort</x:v>
      </x:c>
      <x:c r="K474" s="14" t="n">
        <x:v>2021</x:v>
      </x:c>
      <x:c r="L474" s="14" t="str">
        <x:v>Used in 2023 annual analysis</x:v>
      </x:c>
      <x:c r="M474" s="15" t="n">
        <x:v>44</x:v>
      </x:c>
      <x:c r="N474" s="14" t="str">
        <x:v>Mark Monero</x:v>
      </x:c>
      <x:c r="O474" s="14" t="str">
        <x:v>nm0597853</x:v>
      </x:c>
      <x:c r="P474" s="14" t="str">
        <x:v>James Adama</x:v>
      </x:c>
      <x:c r="Q474" s="15" t="n">
        <x:v>2</x:v>
      </x:c>
      <x:c r="R474" s="14" t="str">
        <x:v>2023</x:v>
      </x:c>
      <x:c r="S474" s="14" t="n">
        <x:v>2023</x:v>
      </x:c>
      <x:c r="T474" s="14" t="n">
        <x:v>2023</x:v>
      </x:c>
      <x:c r="U474" s="14" t="str">
        <x:v>Post-2021 casting excluded</x:v>
      </x:c>
      <x:c r="V474" s="14" t="str">
        <x:v>Earliest supplied year is 2023, later than the 2021 study year.</x:v>
      </x:c>
      <x:c r="W474" s="14"/>
      <x:c r="X474" s="14" t="str">
        <x:v>Included</x:v>
      </x:c>
      <x:c r="Y474" s="14"/>
      <x:c r="Z474" s="14" t="str">
        <x:v>The Tower.docx</x:v>
      </x:c>
      <x:c r="AA47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ITV / ITVX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7" t="e">
        <x:f>HYPERLINK("https://en.wikipedia.org/wiki/The_Tower","Open source")</x:f>
        <x:v>HYPERLINK is not implemented. linkLocation=https://en.wikipedia.org/wiki/The_Tower,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11</x:v>
      </x:c>
      <x:c r="BP474" s="14" t="str">
        <x:v>Maximum eligible IMDb cast-credit total (11), shared by 5 performer(s); not independently verified as a 2021-only episode total.</x:v>
      </x:c>
      <x:c r="BQ474" s="14" t="str">
        <x:v>Medium</x:v>
      </x:c>
      <x:c r="BR474" s="15" t="n">
        <x:v>2</x:v>
      </x:c>
      <x:c r="BS474" s="16" t="n">
        <x:v>0.1818181818181818</x:v>
      </x:c>
      <x:c r="BT474" s="14" t="str">
        <x:v>Minority of episodes</x:v>
      </x:c>
      <x:c r="BU474" s="14" t="str">
        <x:v>Medium</x:v>
      </x:c>
      <x:c r="BV474" s="14" t="str">
        <x:v>Derived from supplied IMDb episode count and the documented production-total proxy.</x:v>
      </x:c>
      <x:c r="BW474" s="14" t="str">
        <x:v>Unable to determine</x:v>
      </x:c>
      <x:c r="BX474" s="14" t="str">
        <x:v>Supplied cast data establishes the credit and episode presence but does not establish narrative prominence.</x:v>
      </x:c>
      <x:c r="BY474" s="14" t="str">
        <x:v>Supplied IMDb cast-list workbook</x:v>
      </x:c>
      <x:c r="BZ47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tt14364876|nm2437517|pathologist</x:v>
      </x:c>
      <x:c r="B475" s="14" t="str">
        <x:v>04</x:v>
      </x:c>
      <x:c r="C475" s="14" t="str">
        <x:v>2021_IMDb_Cast_Lists_Batch_04(1).xlsx</x:v>
      </x:c>
      <x:c r="D475" s="14" t="str">
        <x:v>The Tower</x:v>
      </x:c>
      <x:c r="E475" s="14" t="n">
        <x:v>52</x:v>
      </x:c>
      <x:c r="F475" s="14" t="str">
        <x:v>The Tower</x:v>
      </x:c>
      <x:c r="G475" s="14" t="str">
        <x:v>tt14364876</x:v>
      </x:c>
      <x:c r="H475" s="14" t="n">
        <x:v>2021</x:v>
      </x:c>
      <x:c r="I475" s="14" t="n">
        <x:v>2023</x:v>
      </x:c>
      <x:c r="J475" s="14" t="str">
        <x:v>Earlier-Production Carry-In Cohort</x:v>
      </x:c>
      <x:c r="K475" s="14" t="n">
        <x:v>2021</x:v>
      </x:c>
      <x:c r="L475" s="14" t="str">
        <x:v>Used in 2023 annual analysis</x:v>
      </x:c>
      <x:c r="M475" s="15" t="n">
        <x:v>45</x:v>
      </x:c>
      <x:c r="N475" s="14" t="str">
        <x:v>Kirsty Hoiles</x:v>
      </x:c>
      <x:c r="O475" s="14" t="str">
        <x:v>nm2437517</x:v>
      </x:c>
      <x:c r="P475" s="14" t="str">
        <x:v>Pathologist</x:v>
      </x:c>
      <x:c r="Q475" s="15" t="n">
        <x:v>2</x:v>
      </x:c>
      <x:c r="R475" s="14" t="str">
        <x:v>2023–2024</x:v>
      </x:c>
      <x:c r="S475" s="14" t="n">
        <x:v>2023</x:v>
      </x:c>
      <x:c r="T475" s="14" t="n">
        <x:v>2023</x:v>
      </x:c>
      <x:c r="U475" s="14" t="str">
        <x:v>Post-2021 casting excluded</x:v>
      </x:c>
      <x:c r="V475" s="14" t="str">
        <x:v>Earliest supplied year is 2023, later than the 2021 study year.</x:v>
      </x:c>
      <x:c r="W475" s="14"/>
      <x:c r="X475" s="14" t="str">
        <x:v>Included</x:v>
      </x:c>
      <x:c r="Y475" s="14"/>
      <x:c r="Z475" s="14" t="str">
        <x:v>The Tower.docx</x:v>
      </x:c>
      <x:c r="AA47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ITV / ITVX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7" t="e">
        <x:f>HYPERLINK("https://en.wikipedia.org/wiki/The_Tower","Open source")</x:f>
        <x:v>HYPERLINK is not implemented. linkLocation=https://en.wikipedia.org/wiki/The_Tower,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11</x:v>
      </x:c>
      <x:c r="BP475" s="14" t="str">
        <x:v>Maximum eligible IMDb cast-credit total (11), shared by 5 performer(s); not independently verified as a 2021-only episode total.</x:v>
      </x:c>
      <x:c r="BQ475" s="14" t="str">
        <x:v>Medium</x:v>
      </x:c>
      <x:c r="BR475" s="15" t="n">
        <x:v>2</x:v>
      </x:c>
      <x:c r="BS475" s="16" t="n">
        <x:v>0.1818181818181818</x:v>
      </x:c>
      <x:c r="BT475" s="14" t="str">
        <x:v>Minority of episodes</x:v>
      </x:c>
      <x:c r="BU475" s="14" t="str">
        <x:v>Medium</x:v>
      </x:c>
      <x:c r="BV475" s="14" t="str">
        <x:v>Derived from supplied IMDb episode count and the documented production-total proxy.</x:v>
      </x:c>
      <x:c r="BW475" s="14" t="str">
        <x:v>Unable to determine</x:v>
      </x:c>
      <x:c r="BX475" s="14" t="str">
        <x:v>Supplied cast data establishes the credit and episode presence but does not establish narrative prominence.</x:v>
      </x:c>
      <x:c r="BY475" s="14" t="str">
        <x:v>Supplied IMDb cast-list workbook</x:v>
      </x:c>
      <x:c r="BZ47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tt14364876|nm3223952|nabila adama</x:v>
      </x:c>
      <x:c r="B476" s="14" t="str">
        <x:v>04</x:v>
      </x:c>
      <x:c r="C476" s="14" t="str">
        <x:v>2021_IMDb_Cast_Lists_Batch_04(1).xlsx</x:v>
      </x:c>
      <x:c r="D476" s="14" t="str">
        <x:v>The Tower</x:v>
      </x:c>
      <x:c r="E476" s="14" t="n">
        <x:v>54</x:v>
      </x:c>
      <x:c r="F476" s="14" t="str">
        <x:v>The Tower</x:v>
      </x:c>
      <x:c r="G476" s="14" t="str">
        <x:v>tt14364876</x:v>
      </x:c>
      <x:c r="H476" s="14" t="n">
        <x:v>2021</x:v>
      </x:c>
      <x:c r="I476" s="14" t="n">
        <x:v>2023</x:v>
      </x:c>
      <x:c r="J476" s="14" t="str">
        <x:v>Earlier-Production Carry-In Cohort</x:v>
      </x:c>
      <x:c r="K476" s="14" t="n">
        <x:v>2021</x:v>
      </x:c>
      <x:c r="L476" s="14" t="str">
        <x:v>Used in 2023 annual analysis</x:v>
      </x:c>
      <x:c r="M476" s="15" t="n">
        <x:v>47</x:v>
      </x:c>
      <x:c r="N476" s="14" t="str">
        <x:v>Buckso Dhillon-Woolley</x:v>
      </x:c>
      <x:c r="O476" s="14" t="str">
        <x:v>nm3223952</x:v>
      </x:c>
      <x:c r="P476" s="14" t="str">
        <x:v>Nabila Adama</x:v>
      </x:c>
      <x:c r="Q476" s="15" t="n">
        <x:v>2</x:v>
      </x:c>
      <x:c r="R476" s="14" t="str">
        <x:v>2023</x:v>
      </x:c>
      <x:c r="S476" s="14" t="n">
        <x:v>2023</x:v>
      </x:c>
      <x:c r="T476" s="14" t="n">
        <x:v>2023</x:v>
      </x:c>
      <x:c r="U476" s="14" t="str">
        <x:v>Post-2021 casting excluded</x:v>
      </x:c>
      <x:c r="V476" s="14" t="str">
        <x:v>Earliest supplied year is 2023, later than the 2021 study year.</x:v>
      </x:c>
      <x:c r="W476" s="14"/>
      <x:c r="X476" s="14" t="str">
        <x:v>Included</x:v>
      </x:c>
      <x:c r="Y476" s="14"/>
      <x:c r="Z476" s="14" t="str">
        <x:v>The Tower.docx</x:v>
      </x:c>
      <x:c r="AA47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ITV / ITVX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7" t="e">
        <x:f>HYPERLINK("https://en.wikipedia.org/wiki/The_Tower","Open source")</x:f>
        <x:v>HYPERLINK is not implemented. linkLocation=https://en.wikipedia.org/wiki/The_Tower,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11</x:v>
      </x:c>
      <x:c r="BP476" s="14" t="str">
        <x:v>Maximum eligible IMDb cast-credit total (11), shared by 5 performer(s); not independently verified as a 2021-only episode total.</x:v>
      </x:c>
      <x:c r="BQ476" s="14" t="str">
        <x:v>Medium</x:v>
      </x:c>
      <x:c r="BR476" s="15" t="n">
        <x:v>2</x:v>
      </x:c>
      <x:c r="BS476" s="16" t="n">
        <x:v>0.1818181818181818</x:v>
      </x:c>
      <x:c r="BT476" s="14" t="str">
        <x:v>Minority of episodes</x:v>
      </x:c>
      <x:c r="BU476" s="14" t="str">
        <x:v>Medium</x:v>
      </x:c>
      <x:c r="BV476" s="14" t="str">
        <x:v>Derived from supplied IMDb episode count and the documented production-total proxy.</x:v>
      </x:c>
      <x:c r="BW476" s="14" t="str">
        <x:v>Unable to determine</x:v>
      </x:c>
      <x:c r="BX476" s="14" t="str">
        <x:v>Supplied cast data establishes the credit and episode presence but does not establish narrative prominence.</x:v>
      </x:c>
      <x:c r="BY476" s="14" t="str">
        <x:v>Supplied IMDb cast-list workbook</x:v>
      </x:c>
      <x:c r="BZ47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tt14364876|nm0077401|ben mills</x:v>
      </x:c>
      <x:c r="B477" s="14" t="str">
        <x:v>04</x:v>
      </x:c>
      <x:c r="C477" s="14" t="str">
        <x:v>2021_IMDb_Cast_Lists_Batch_04(1).xlsx</x:v>
      </x:c>
      <x:c r="D477" s="14" t="str">
        <x:v>The Tower</x:v>
      </x:c>
      <x:c r="E477" s="14" t="n">
        <x:v>58</x:v>
      </x:c>
      <x:c r="F477" s="14" t="str">
        <x:v>The Tower</x:v>
      </x:c>
      <x:c r="G477" s="14" t="str">
        <x:v>tt14364876</x:v>
      </x:c>
      <x:c r="H477" s="14" t="n">
        <x:v>2021</x:v>
      </x:c>
      <x:c r="I477" s="14" t="n">
        <x:v>2023</x:v>
      </x:c>
      <x:c r="J477" s="14" t="str">
        <x:v>Earlier-Production Carry-In Cohort</x:v>
      </x:c>
      <x:c r="K477" s="14" t="n">
        <x:v>2021</x:v>
      </x:c>
      <x:c r="L477" s="14" t="str">
        <x:v>Used in 2023 annual analysis</x:v>
      </x:c>
      <x:c r="M477" s="15" t="n">
        <x:v>51</x:v>
      </x:c>
      <x:c r="N477" s="14" t="str">
        <x:v>Tim Berrington</x:v>
      </x:c>
      <x:c r="O477" s="14" t="str">
        <x:v>nm0077401</x:v>
      </x:c>
      <x:c r="P477" s="14" t="str">
        <x:v>Ben Mills</x:v>
      </x:c>
      <x:c r="Q477" s="15" t="n">
        <x:v>2</x:v>
      </x:c>
      <x:c r="R477" s="14" t="str">
        <x:v>2023</x:v>
      </x:c>
      <x:c r="S477" s="14" t="n">
        <x:v>2023</x:v>
      </x:c>
      <x:c r="T477" s="14" t="n">
        <x:v>2023</x:v>
      </x:c>
      <x:c r="U477" s="14" t="str">
        <x:v>Post-2021 casting excluded</x:v>
      </x:c>
      <x:c r="V477" s="14" t="str">
        <x:v>Earliest supplied year is 2023, later than the 2021 study year.</x:v>
      </x:c>
      <x:c r="W477" s="14"/>
      <x:c r="X477" s="14" t="str">
        <x:v>Included</x:v>
      </x:c>
      <x:c r="Y477" s="14"/>
      <x:c r="Z477" s="14" t="str">
        <x:v>The Tower.docx</x:v>
      </x:c>
      <x:c r="AA47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ITV / ITVX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7" t="e">
        <x:f>HYPERLINK("https://en.wikipedia.org/wiki/The_Tower","Open source")</x:f>
        <x:v>HYPERLINK is not implemented. linkLocation=https://en.wikipedia.org/wiki/The_Tower,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11</x:v>
      </x:c>
      <x:c r="BP477" s="14" t="str">
        <x:v>Maximum eligible IMDb cast-credit total (11), shared by 5 performer(s); not independently verified as a 2021-only episode total.</x:v>
      </x:c>
      <x:c r="BQ477" s="14" t="str">
        <x:v>Medium</x:v>
      </x:c>
      <x:c r="BR477" s="15" t="n">
        <x:v>2</x:v>
      </x:c>
      <x:c r="BS477" s="16" t="n">
        <x:v>0.1818181818181818</x:v>
      </x:c>
      <x:c r="BT477" s="14" t="str">
        <x:v>Minority of episodes</x:v>
      </x:c>
      <x:c r="BU477" s="14" t="str">
        <x:v>Medium</x:v>
      </x:c>
      <x:c r="BV477" s="14" t="str">
        <x:v>Derived from supplied IMDb episode count and the documented production-total proxy.</x:v>
      </x:c>
      <x:c r="BW477" s="14" t="str">
        <x:v>Unable to determine</x:v>
      </x:c>
      <x:c r="BX477" s="14" t="str">
        <x:v>Supplied cast data establishes the credit and episode presence but does not establish narrative prominence.</x:v>
      </x:c>
      <x:c r="BY477" s="14" t="str">
        <x:v>Supplied IMDb cast-list workbook</x:v>
      </x:c>
      <x:c r="BZ47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tt14364876|nm1782195|katherine herringham</x:v>
      </x:c>
      <x:c r="B478" s="14" t="str">
        <x:v>04</x:v>
      </x:c>
      <x:c r="C478" s="14" t="str">
        <x:v>2021_IMDb_Cast_Lists_Batch_04(1).xlsx</x:v>
      </x:c>
      <x:c r="D478" s="14" t="str">
        <x:v>The Tower</x:v>
      </x:c>
      <x:c r="E478" s="14" t="n">
        <x:v>59</x:v>
      </x:c>
      <x:c r="F478" s="14" t="str">
        <x:v>The Tower</x:v>
      </x:c>
      <x:c r="G478" s="14" t="str">
        <x:v>tt14364876</x:v>
      </x:c>
      <x:c r="H478" s="14" t="n">
        <x:v>2021</x:v>
      </x:c>
      <x:c r="I478" s="14" t="n">
        <x:v>2023</x:v>
      </x:c>
      <x:c r="J478" s="14" t="str">
        <x:v>Earlier-Production Carry-In Cohort</x:v>
      </x:c>
      <x:c r="K478" s="14" t="n">
        <x:v>2021</x:v>
      </x:c>
      <x:c r="L478" s="14" t="str">
        <x:v>Used in 2023 annual analysis</x:v>
      </x:c>
      <x:c r="M478" s="15" t="n">
        <x:v>52</x:v>
      </x:c>
      <x:c r="N478" s="14" t="str">
        <x:v>Rosalie Craig</x:v>
      </x:c>
      <x:c r="O478" s="14" t="str">
        <x:v>nm1782195</x:v>
      </x:c>
      <x:c r="P478" s="14" t="str">
        <x:v>Katherine Herringham</x:v>
      </x:c>
      <x:c r="Q478" s="15" t="n">
        <x:v>1</x:v>
      </x:c>
      <x:c r="R478" s="14" t="str">
        <x:v>2023</x:v>
      </x:c>
      <x:c r="S478" s="14" t="n">
        <x:v>2023</x:v>
      </x:c>
      <x:c r="T478" s="14" t="n">
        <x:v>2023</x:v>
      </x:c>
      <x:c r="U478" s="14" t="str">
        <x:v>Post-2021 casting excluded</x:v>
      </x:c>
      <x:c r="V478" s="14" t="str">
        <x:v>Earliest supplied year is 2023, later than the 2021 study year.</x:v>
      </x:c>
      <x:c r="W478" s="14"/>
      <x:c r="X478" s="14" t="str">
        <x:v>Included</x:v>
      </x:c>
      <x:c r="Y478" s="14"/>
      <x:c r="Z478" s="14" t="str">
        <x:v>The Tower.docx</x:v>
      </x:c>
      <x:c r="AA47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ITV / ITVX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7" t="e">
        <x:f>HYPERLINK("https://en.wikipedia.org/wiki/The_Tower","Open source")</x:f>
        <x:v>HYPERLINK is not implemented. linkLocation=https://en.wikipedia.org/wiki/The_Tower,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11</x:v>
      </x:c>
      <x:c r="BP478" s="14" t="str">
        <x:v>Maximum eligible IMDb cast-credit total (11), shared by 5 performer(s); not independently verified as a 2021-only episode total.</x:v>
      </x:c>
      <x:c r="BQ478" s="14" t="str">
        <x:v>Medium</x:v>
      </x:c>
      <x:c r="BR478" s="15" t="n">
        <x:v>1</x:v>
      </x:c>
      <x:c r="BS478" s="16" t="n">
        <x:v>0.09090909090909091</x:v>
      </x:c>
      <x:c r="BT478" s="14" t="str">
        <x:v>One episode</x:v>
      </x:c>
      <x:c r="BU478" s="14" t="str">
        <x:v>Medium</x:v>
      </x:c>
      <x:c r="BV478" s="14" t="str">
        <x:v>Derived from supplied IMDb episode count and the documented production-total proxy.</x:v>
      </x:c>
      <x:c r="BW478" s="14" t="str">
        <x:v>Unable to determine</x:v>
      </x:c>
      <x:c r="BX478" s="14" t="str">
        <x:v>Supplied cast data establishes the credit and episode presence but does not establish narrative prominence.</x:v>
      </x:c>
      <x:c r="BY478" s="14" t="str">
        <x:v>Supplied IMDb cast-list workbook</x:v>
      </x:c>
      <x:c r="BZ47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tt14364876|nm0836435|adrian stephenson</x:v>
      </x:c>
      <x:c r="B479" s="14" t="str">
        <x:v>04</x:v>
      </x:c>
      <x:c r="C479" s="14" t="str">
        <x:v>2021_IMDb_Cast_Lists_Batch_04(1).xlsx</x:v>
      </x:c>
      <x:c r="D479" s="14" t="str">
        <x:v>The Tower</x:v>
      </x:c>
      <x:c r="E479" s="14" t="n">
        <x:v>62</x:v>
      </x:c>
      <x:c r="F479" s="14" t="str">
        <x:v>The Tower</x:v>
      </x:c>
      <x:c r="G479" s="14" t="str">
        <x:v>tt14364876</x:v>
      </x:c>
      <x:c r="H479" s="14" t="n">
        <x:v>2021</x:v>
      </x:c>
      <x:c r="I479" s="14" t="n">
        <x:v>2023</x:v>
      </x:c>
      <x:c r="J479" s="14" t="str">
        <x:v>Earlier-Production Carry-In Cohort</x:v>
      </x:c>
      <x:c r="K479" s="14" t="n">
        <x:v>2021</x:v>
      </x:c>
      <x:c r="L479" s="14" t="str">
        <x:v>Used in 2023 annual analysis</x:v>
      </x:c>
      <x:c r="M479" s="15" t="n">
        <x:v>55</x:v>
      </x:c>
      <x:c r="N479" s="14" t="str">
        <x:v>Tristan Sturrock</x:v>
      </x:c>
      <x:c r="O479" s="14" t="str">
        <x:v>nm0836435</x:v>
      </x:c>
      <x:c r="P479" s="14" t="str">
        <x:v>Adrian Stephenson</x:v>
      </x:c>
      <x:c r="Q479" s="15" t="n">
        <x:v>1</x:v>
      </x:c>
      <x:c r="R479" s="14" t="str">
        <x:v>2023</x:v>
      </x:c>
      <x:c r="S479" s="14" t="n">
        <x:v>2023</x:v>
      </x:c>
      <x:c r="T479" s="14" t="n">
        <x:v>2023</x:v>
      </x:c>
      <x:c r="U479" s="14" t="str">
        <x:v>Post-2021 casting excluded</x:v>
      </x:c>
      <x:c r="V479" s="14" t="str">
        <x:v>Earliest supplied year is 2023, later than the 2021 study year.</x:v>
      </x:c>
      <x:c r="W479" s="14"/>
      <x:c r="X479" s="14" t="str">
        <x:v>Included</x:v>
      </x:c>
      <x:c r="Y479" s="14"/>
      <x:c r="Z479" s="14" t="str">
        <x:v>The Tower.docx</x:v>
      </x:c>
      <x:c r="AA47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ITV / ITVX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7" t="e">
        <x:f>HYPERLINK("https://en.wikipedia.org/wiki/The_Tower","Open source")</x:f>
        <x:v>HYPERLINK is not implemented. linkLocation=https://en.wikipedia.org/wiki/The_Tower,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No established-register match</x:v>
      </x:c>
      <x:c r="AT479" s="14"/>
      <x:c r="AU479" s="14"/>
      <x:c r="AV479" s="14" t="str">
        <x:v>No established apparent-disability match</x:v>
      </x:c>
      <x:c r="AW479" s="14"/>
      <x:c r="AX479" s="14" t="str">
        <x:v>No</x:v>
      </x:c>
      <x:c r="AY479" s="14" t="str">
        <x:v>Unmatched</x:v>
      </x:c>
      <x:c r="AZ479" s="14" t="str">
        <x:v>Final supplied register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11</x:v>
      </x:c>
      <x:c r="BP479" s="14" t="str">
        <x:v>Maximum eligible IMDb cast-credit total (11), shared by 5 performer(s); not independently verified as a 2021-only episode total.</x:v>
      </x:c>
      <x:c r="BQ479" s="14" t="str">
        <x:v>Medium</x:v>
      </x:c>
      <x:c r="BR479" s="15" t="n">
        <x:v>1</x:v>
      </x:c>
      <x:c r="BS479" s="16" t="n">
        <x:v>0.09090909090909091</x:v>
      </x:c>
      <x:c r="BT479" s="14" t="str">
        <x:v>One episode</x:v>
      </x:c>
      <x:c r="BU479" s="14" t="str">
        <x:v>Medium</x:v>
      </x:c>
      <x:c r="BV479" s="14" t="str">
        <x:v>Derived from supplied IMDb episode count and the documented production-total proxy.</x:v>
      </x:c>
      <x:c r="BW479" s="14" t="str">
        <x:v>Unable to determine</x:v>
      </x:c>
      <x:c r="BX479" s="14" t="str">
        <x:v>Supplied cast data establishes the credit and episode presence but does not establish narrative prominence.</x:v>
      </x:c>
      <x:c r="BY479" s="14" t="str">
        <x:v>Supplied IMDb cast-list workbook</x:v>
      </x:c>
      <x:c r="BZ47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tt14364876|nm0564947|ray walker</x:v>
      </x:c>
      <x:c r="B480" s="14" t="str">
        <x:v>04</x:v>
      </x:c>
      <x:c r="C480" s="14" t="str">
        <x:v>2021_IMDb_Cast_Lists_Batch_04(1).xlsx</x:v>
      </x:c>
      <x:c r="D480" s="14" t="str">
        <x:v>The Tower</x:v>
      </x:c>
      <x:c r="E480" s="14" t="n">
        <x:v>63</x:v>
      </x:c>
      <x:c r="F480" s="14" t="str">
        <x:v>The Tower</x:v>
      </x:c>
      <x:c r="G480" s="14" t="str">
        <x:v>tt14364876</x:v>
      </x:c>
      <x:c r="H480" s="14" t="n">
        <x:v>2021</x:v>
      </x:c>
      <x:c r="I480" s="14" t="n">
        <x:v>2023</x:v>
      </x:c>
      <x:c r="J480" s="14" t="str">
        <x:v>Earlier-Production Carry-In Cohort</x:v>
      </x:c>
      <x:c r="K480" s="14" t="n">
        <x:v>2021</x:v>
      </x:c>
      <x:c r="L480" s="14" t="str">
        <x:v>Used in 2023 annual analysis</x:v>
      </x:c>
      <x:c r="M480" s="15" t="n">
        <x:v>56</x:v>
      </x:c>
      <x:c r="N480" s="14" t="str">
        <x:v>Brian McCardie</x:v>
      </x:c>
      <x:c r="O480" s="14" t="str">
        <x:v>nm0564947</x:v>
      </x:c>
      <x:c r="P480" s="14" t="str">
        <x:v>Ray Walker</x:v>
      </x:c>
      <x:c r="Q480" s="15" t="n">
        <x:v>1</x:v>
      </x:c>
      <x:c r="R480" s="14" t="str">
        <x:v>2023</x:v>
      </x:c>
      <x:c r="S480" s="14" t="n">
        <x:v>2023</x:v>
      </x:c>
      <x:c r="T480" s="14" t="n">
        <x:v>2023</x:v>
      </x:c>
      <x:c r="U480" s="14" t="str">
        <x:v>Post-2021 casting excluded</x:v>
      </x:c>
      <x:c r="V480" s="14" t="str">
        <x:v>Earliest supplied year is 2023, later than the 2021 study year.</x:v>
      </x:c>
      <x:c r="W480" s="14"/>
      <x:c r="X480" s="14" t="str">
        <x:v>Included</x:v>
      </x:c>
      <x:c r="Y480" s="14"/>
      <x:c r="Z480" s="14" t="str">
        <x:v>The Tower.docx</x:v>
      </x:c>
      <x:c r="AA48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ITV / ITVX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7" t="e">
        <x:f>HYPERLINK("https://en.wikipedia.org/wiki/The_Tower","Open source")</x:f>
        <x:v>HYPERLINK is not implemented. linkLocation=https://en.wikipedia.org/wiki/The_Tower,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11</x:v>
      </x:c>
      <x:c r="BP480" s="14" t="str">
        <x:v>Maximum eligible IMDb cast-credit total (11), shared by 5 performer(s); not independently verified as a 2021-only episode total.</x:v>
      </x:c>
      <x:c r="BQ480" s="14" t="str">
        <x:v>Medium</x:v>
      </x:c>
      <x:c r="BR480" s="15" t="n">
        <x:v>1</x:v>
      </x:c>
      <x:c r="BS480" s="16" t="n">
        <x:v>0.09090909090909091</x:v>
      </x:c>
      <x:c r="BT480" s="14" t="str">
        <x:v>One episode</x:v>
      </x:c>
      <x:c r="BU480" s="14" t="str">
        <x:v>Medium</x:v>
      </x:c>
      <x:c r="BV480" s="14" t="str">
        <x:v>Derived from supplied IMDb episode count and the documented production-total proxy.</x:v>
      </x:c>
      <x:c r="BW480" s="14" t="str">
        <x:v>Unable to determine</x:v>
      </x:c>
      <x:c r="BX480" s="14" t="str">
        <x:v>Supplied cast data establishes the credit and episode presence but does not establish narrative prominence.</x:v>
      </x:c>
      <x:c r="BY480" s="14" t="str">
        <x:v>Supplied IMDb cast-list workbook</x:v>
      </x:c>
      <x:c r="BZ48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tt14364876|nm12039598|marion</x:v>
      </x:c>
      <x:c r="B481" s="14" t="str">
        <x:v>04</x:v>
      </x:c>
      <x:c r="C481" s="14" t="str">
        <x:v>2021_IMDb_Cast_Lists_Batch_04(1).xlsx</x:v>
      </x:c>
      <x:c r="D481" s="14" t="str">
        <x:v>The Tower</x:v>
      </x:c>
      <x:c r="E481" s="14" t="n">
        <x:v>67</x:v>
      </x:c>
      <x:c r="F481" s="14" t="str">
        <x:v>The Tower</x:v>
      </x:c>
      <x:c r="G481" s="14" t="str">
        <x:v>tt14364876</x:v>
      </x:c>
      <x:c r="H481" s="14" t="n">
        <x:v>2021</x:v>
      </x:c>
      <x:c r="I481" s="14" t="n">
        <x:v>2023</x:v>
      </x:c>
      <x:c r="J481" s="14" t="str">
        <x:v>Earlier-Production Carry-In Cohort</x:v>
      </x:c>
      <x:c r="K481" s="14" t="n">
        <x:v>2021</x:v>
      </x:c>
      <x:c r="L481" s="14" t="str">
        <x:v>Used in 2023 annual analysis</x:v>
      </x:c>
      <x:c r="M481" s="15" t="n">
        <x:v>60</x:v>
      </x:c>
      <x:c r="N481" s="14" t="str">
        <x:v>Victoria Bolt</x:v>
      </x:c>
      <x:c r="O481" s="14" t="str">
        <x:v>nm12039598</x:v>
      </x:c>
      <x:c r="P481" s="14" t="str">
        <x:v>Marion</x:v>
      </x:c>
      <x:c r="Q481" s="15" t="n">
        <x:v>1</x:v>
      </x:c>
      <x:c r="R481" s="14" t="str">
        <x:v>2023</x:v>
      </x:c>
      <x:c r="S481" s="14" t="n">
        <x:v>2023</x:v>
      </x:c>
      <x:c r="T481" s="14" t="n">
        <x:v>2023</x:v>
      </x:c>
      <x:c r="U481" s="14" t="str">
        <x:v>Post-2021 casting excluded</x:v>
      </x:c>
      <x:c r="V481" s="14" t="str">
        <x:v>Earliest supplied year is 2023, later than the 2021 study year.</x:v>
      </x:c>
      <x:c r="W481" s="14"/>
      <x:c r="X481" s="14" t="str">
        <x:v>Included</x:v>
      </x:c>
      <x:c r="Y481" s="14"/>
      <x:c r="Z481" s="14" t="str">
        <x:v>The Tower.docx</x:v>
      </x:c>
      <x:c r="AA48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ITV / ITVX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7" t="e">
        <x:f>HYPERLINK("https://en.wikipedia.org/wiki/The_Tower","Open source")</x:f>
        <x:v>HYPERLINK is not implemented. linkLocation=https://en.wikipedia.org/wiki/The_Tower,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11</x:v>
      </x:c>
      <x:c r="BP481" s="14" t="str">
        <x:v>Maximum eligible IMDb cast-credit total (11), shared by 5 performer(s); not independently verified as a 2021-only episode total.</x:v>
      </x:c>
      <x:c r="BQ481" s="14" t="str">
        <x:v>Medium</x:v>
      </x:c>
      <x:c r="BR481" s="15" t="n">
        <x:v>1</x:v>
      </x:c>
      <x:c r="BS481" s="16" t="n">
        <x:v>0.09090909090909091</x:v>
      </x:c>
      <x:c r="BT481" s="14" t="str">
        <x:v>One episode</x:v>
      </x:c>
      <x:c r="BU481" s="14" t="str">
        <x:v>Medium</x:v>
      </x:c>
      <x:c r="BV481" s="14" t="str">
        <x:v>Derived from supplied IMDb episode count and the documented production-total proxy.</x:v>
      </x:c>
      <x:c r="BW481" s="14" t="str">
        <x:v>Unable to determine</x:v>
      </x:c>
      <x:c r="BX481" s="14" t="str">
        <x:v>Supplied cast data establishes the credit and episode presence but does not establish narrative prominence.</x:v>
      </x:c>
      <x:c r="BY481" s="14" t="str">
        <x:v>Supplied IMDb cast-list workbook</x:v>
      </x:c>
      <x:c r="BZ48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tt14364876|nm0163915|pc emma davies</x:v>
      </x:c>
      <x:c r="B482" s="14" t="str">
        <x:v>04</x:v>
      </x:c>
      <x:c r="C482" s="14" t="str">
        <x:v>2021_IMDb_Cast_Lists_Batch_04(1).xlsx</x:v>
      </x:c>
      <x:c r="D482" s="14" t="str">
        <x:v>The Tower</x:v>
      </x:c>
      <x:c r="E482" s="14" t="n">
        <x:v>69</x:v>
      </x:c>
      <x:c r="F482" s="14" t="str">
        <x:v>The Tower</x:v>
      </x:c>
      <x:c r="G482" s="14" t="str">
        <x:v>tt14364876</x:v>
      </x:c>
      <x:c r="H482" s="14" t="n">
        <x:v>2021</x:v>
      </x:c>
      <x:c r="I482" s="14" t="n">
        <x:v>2023</x:v>
      </x:c>
      <x:c r="J482" s="14" t="str">
        <x:v>Earlier-Production Carry-In Cohort</x:v>
      </x:c>
      <x:c r="K482" s="14" t="n">
        <x:v>2021</x:v>
      </x:c>
      <x:c r="L482" s="14" t="str">
        <x:v>Used in 2023 annual analysis</x:v>
      </x:c>
      <x:c r="M482" s="15" t="n">
        <x:v>62</x:v>
      </x:c>
      <x:c r="N482" s="14" t="str">
        <x:v>Elsie Clark</x:v>
      </x:c>
      <x:c r="O482" s="14" t="str">
        <x:v>nm0163915</x:v>
      </x:c>
      <x:c r="P482" s="14" t="str">
        <x:v>PC Emma Davies</x:v>
      </x:c>
      <x:c r="Q482" s="15" t="n">
        <x:v>1</x:v>
      </x:c>
      <x:c r="R482" s="14" t="str">
        <x:v>2023</x:v>
      </x:c>
      <x:c r="S482" s="14" t="n">
        <x:v>2023</x:v>
      </x:c>
      <x:c r="T482" s="14" t="n">
        <x:v>2023</x:v>
      </x:c>
      <x:c r="U482" s="14" t="str">
        <x:v>Post-2021 casting excluded</x:v>
      </x:c>
      <x:c r="V482" s="14" t="str">
        <x:v>Earliest supplied year is 2023, later than the 2021 study year.</x:v>
      </x:c>
      <x:c r="W482" s="14"/>
      <x:c r="X482" s="14" t="str">
        <x:v>Included</x:v>
      </x:c>
      <x:c r="Y482" s="14"/>
      <x:c r="Z482" s="14" t="str">
        <x:v>The Tower.docx</x:v>
      </x:c>
      <x:c r="AA48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ITV / ITVX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7" t="e">
        <x:f>HYPERLINK("https://en.wikipedia.org/wiki/The_Tower","Open source")</x:f>
        <x:v>HYPERLINK is not implemented. linkLocation=https://en.wikipedia.org/wiki/The_Tower,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11</x:v>
      </x:c>
      <x:c r="BP482" s="14" t="str">
        <x:v>Maximum eligible IMDb cast-credit total (11), shared by 5 performer(s); not independently verified as a 2021-only episode total.</x:v>
      </x:c>
      <x:c r="BQ482" s="14" t="str">
        <x:v>Medium</x:v>
      </x:c>
      <x:c r="BR482" s="15" t="n">
        <x:v>1</x:v>
      </x:c>
      <x:c r="BS482" s="16" t="n">
        <x:v>0.09090909090909091</x:v>
      </x:c>
      <x:c r="BT482" s="14" t="str">
        <x:v>One episode</x:v>
      </x:c>
      <x:c r="BU482" s="14" t="str">
        <x:v>Medium</x:v>
      </x:c>
      <x:c r="BV482" s="14" t="str">
        <x:v>Derived from supplied IMDb episode count and the documented production-total proxy.</x:v>
      </x:c>
      <x:c r="BW482" s="14" t="str">
        <x:v>Unable to determine</x:v>
      </x:c>
      <x:c r="BX482" s="14" t="str">
        <x:v>Supplied cast data establishes the credit and episode presence but does not establish narrative prominence.</x:v>
      </x:c>
      <x:c r="BY482" s="14" t="str">
        <x:v>Supplied IMDb cast-list workbook</x:v>
      </x:c>
      <x:c r="BZ48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tt14364876|nm14267691|tania</x:v>
      </x:c>
      <x:c r="B483" s="14" t="str">
        <x:v>04</x:v>
      </x:c>
      <x:c r="C483" s="14" t="str">
        <x:v>2021_IMDb_Cast_Lists_Batch_04(1).xlsx</x:v>
      </x:c>
      <x:c r="D483" s="14" t="str">
        <x:v>The Tower</x:v>
      </x:c>
      <x:c r="E483" s="14" t="n">
        <x:v>71</x:v>
      </x:c>
      <x:c r="F483" s="14" t="str">
        <x:v>The Tower</x:v>
      </x:c>
      <x:c r="G483" s="14" t="str">
        <x:v>tt14364876</x:v>
      </x:c>
      <x:c r="H483" s="14" t="n">
        <x:v>2021</x:v>
      </x:c>
      <x:c r="I483" s="14" t="n">
        <x:v>2023</x:v>
      </x:c>
      <x:c r="J483" s="14" t="str">
        <x:v>Earlier-Production Carry-In Cohort</x:v>
      </x:c>
      <x:c r="K483" s="14" t="n">
        <x:v>2021</x:v>
      </x:c>
      <x:c r="L483" s="14" t="str">
        <x:v>Used in 2023 annual analysis</x:v>
      </x:c>
      <x:c r="M483" s="15" t="n">
        <x:v>64</x:v>
      </x:c>
      <x:c r="N483" s="14" t="str">
        <x:v>Yasmin Davies</x:v>
      </x:c>
      <x:c r="O483" s="14" t="str">
        <x:v>nm14267691</x:v>
      </x:c>
      <x:c r="P483" s="14" t="str">
        <x:v>Tania</x:v>
      </x:c>
      <x:c r="Q483" s="15" t="n">
        <x:v>1</x:v>
      </x:c>
      <x:c r="R483" s="14" t="str">
        <x:v>2023</x:v>
      </x:c>
      <x:c r="S483" s="14" t="n">
        <x:v>2023</x:v>
      </x:c>
      <x:c r="T483" s="14" t="n">
        <x:v>2023</x:v>
      </x:c>
      <x:c r="U483" s="14" t="str">
        <x:v>Post-2021 casting excluded</x:v>
      </x:c>
      <x:c r="V483" s="14" t="str">
        <x:v>Earliest supplied year is 2023, later than the 2021 study year.</x:v>
      </x:c>
      <x:c r="W483" s="14"/>
      <x:c r="X483" s="14" t="str">
        <x:v>Included</x:v>
      </x:c>
      <x:c r="Y483" s="14"/>
      <x:c r="Z483" s="14" t="str">
        <x:v>The Tower.docx</x:v>
      </x:c>
      <x:c r="AA48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ITV / ITVX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7" t="e">
        <x:f>HYPERLINK("https://en.wikipedia.org/wiki/The_Tower","Open source")</x:f>
        <x:v>HYPERLINK is not implemented. linkLocation=https://en.wikipedia.org/wiki/The_Tower,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11</x:v>
      </x:c>
      <x:c r="BP483" s="14" t="str">
        <x:v>Maximum eligible IMDb cast-credit total (11), shared by 5 performer(s); not independently verified as a 2021-only episode total.</x:v>
      </x:c>
      <x:c r="BQ483" s="14" t="str">
        <x:v>Medium</x:v>
      </x:c>
      <x:c r="BR483" s="15" t="n">
        <x:v>1</x:v>
      </x:c>
      <x:c r="BS483" s="16" t="n">
        <x:v>0.09090909090909091</x:v>
      </x:c>
      <x:c r="BT483" s="14" t="str">
        <x:v>One episode</x:v>
      </x:c>
      <x:c r="BU483" s="14" t="str">
        <x:v>Medium</x:v>
      </x:c>
      <x:c r="BV483" s="14" t="str">
        <x:v>Derived from supplied IMDb episode count and the documented production-total proxy.</x:v>
      </x:c>
      <x:c r="BW483" s="14" t="str">
        <x:v>Unable to determine</x:v>
      </x:c>
      <x:c r="BX483" s="14" t="str">
        <x:v>Supplied cast data establishes the credit and episode presence but does not establish narrative prominence.</x:v>
      </x:c>
      <x:c r="BY483" s="14" t="str">
        <x:v>Supplied IMDb cast-list workbook</x:v>
      </x:c>
      <x:c r="BZ48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tt14364876|nm3072339|abigail levy</x:v>
      </x:c>
      <x:c r="B484" s="14" t="str">
        <x:v>04</x:v>
      </x:c>
      <x:c r="C484" s="14" t="str">
        <x:v>2021_IMDb_Cast_Lists_Batch_04(1).xlsx</x:v>
      </x:c>
      <x:c r="D484" s="14" t="str">
        <x:v>The Tower</x:v>
      </x:c>
      <x:c r="E484" s="14" t="n">
        <x:v>72</x:v>
      </x:c>
      <x:c r="F484" s="14" t="str">
        <x:v>The Tower</x:v>
      </x:c>
      <x:c r="G484" s="14" t="str">
        <x:v>tt14364876</x:v>
      </x:c>
      <x:c r="H484" s="14" t="n">
        <x:v>2021</x:v>
      </x:c>
      <x:c r="I484" s="14" t="n">
        <x:v>2023</x:v>
      </x:c>
      <x:c r="J484" s="14" t="str">
        <x:v>Earlier-Production Carry-In Cohort</x:v>
      </x:c>
      <x:c r="K484" s="14" t="n">
        <x:v>2021</x:v>
      </x:c>
      <x:c r="L484" s="14" t="str">
        <x:v>Used in 2023 annual analysis</x:v>
      </x:c>
      <x:c r="M484" s="15" t="n">
        <x:v>65</x:v>
      </x:c>
      <x:c r="N484" s="14" t="str">
        <x:v>Rebecca Calder</x:v>
      </x:c>
      <x:c r="O484" s="14" t="str">
        <x:v>nm3072339</x:v>
      </x:c>
      <x:c r="P484" s="14" t="str">
        <x:v>Abigail Levy</x:v>
      </x:c>
      <x:c r="Q484" s="15" t="n">
        <x:v>1</x:v>
      </x:c>
      <x:c r="R484" s="14" t="str">
        <x:v>2023</x:v>
      </x:c>
      <x:c r="S484" s="14" t="n">
        <x:v>2023</x:v>
      </x:c>
      <x:c r="T484" s="14" t="n">
        <x:v>2023</x:v>
      </x:c>
      <x:c r="U484" s="14" t="str">
        <x:v>Post-2021 casting excluded</x:v>
      </x:c>
      <x:c r="V484" s="14" t="str">
        <x:v>Earliest supplied year is 2023, later than the 2021 study year.</x:v>
      </x:c>
      <x:c r="W484" s="14"/>
      <x:c r="X484" s="14" t="str">
        <x:v>Included</x:v>
      </x:c>
      <x:c r="Y484" s="14"/>
      <x:c r="Z484" s="14" t="str">
        <x:v>The Tower.docx</x:v>
      </x:c>
      <x:c r="AA48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ITV / ITVX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7" t="e">
        <x:f>HYPERLINK("https://en.wikipedia.org/wiki/The_Tower","Open source")</x:f>
        <x:v>HYPERLINK is not implemented. linkLocation=https://en.wikipedia.org/wiki/The_Tower,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11</x:v>
      </x:c>
      <x:c r="BP484" s="14" t="str">
        <x:v>Maximum eligible IMDb cast-credit total (11), shared by 5 performer(s); not independently verified as a 2021-only episode total.</x:v>
      </x:c>
      <x:c r="BQ484" s="14" t="str">
        <x:v>Medium</x:v>
      </x:c>
      <x:c r="BR484" s="15" t="n">
        <x:v>1</x:v>
      </x:c>
      <x:c r="BS484" s="16" t="n">
        <x:v>0.09090909090909091</x:v>
      </x:c>
      <x:c r="BT484" s="14" t="str">
        <x:v>One episode</x:v>
      </x:c>
      <x:c r="BU484" s="14" t="str">
        <x:v>Medium</x:v>
      </x:c>
      <x:c r="BV484" s="14" t="str">
        <x:v>Derived from supplied IMDb episode count and the documented production-total proxy.</x:v>
      </x:c>
      <x:c r="BW484" s="14" t="str">
        <x:v>Unable to determine</x:v>
      </x:c>
      <x:c r="BX484" s="14" t="str">
        <x:v>Supplied cast data establishes the credit and episode presence but does not establish narrative prominence.</x:v>
      </x:c>
      <x:c r="BY484" s="14" t="str">
        <x:v>Supplied IMDb cast-list workbook</x:v>
      </x:c>
      <x:c r="BZ48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tt14364876|nm3780532|isla waterson</x:v>
      </x:c>
      <x:c r="B485" s="14" t="str">
        <x:v>04</x:v>
      </x:c>
      <x:c r="C485" s="14" t="str">
        <x:v>2021_IMDb_Cast_Lists_Batch_04(1).xlsx</x:v>
      </x:c>
      <x:c r="D485" s="14" t="str">
        <x:v>The Tower</x:v>
      </x:c>
      <x:c r="E485" s="14" t="n">
        <x:v>73</x:v>
      </x:c>
      <x:c r="F485" s="14" t="str">
        <x:v>The Tower</x:v>
      </x:c>
      <x:c r="G485" s="14" t="str">
        <x:v>tt14364876</x:v>
      </x:c>
      <x:c r="H485" s="14" t="n">
        <x:v>2021</x:v>
      </x:c>
      <x:c r="I485" s="14" t="n">
        <x:v>2023</x:v>
      </x:c>
      <x:c r="J485" s="14" t="str">
        <x:v>Earlier-Production Carry-In Cohort</x:v>
      </x:c>
      <x:c r="K485" s="14" t="n">
        <x:v>2021</x:v>
      </x:c>
      <x:c r="L485" s="14" t="str">
        <x:v>Used in 2023 annual analysis</x:v>
      </x:c>
      <x:c r="M485" s="15" t="n">
        <x:v>66</x:v>
      </x:c>
      <x:c r="N485" s="14" t="str">
        <x:v>Maud Denis</x:v>
      </x:c>
      <x:c r="O485" s="14" t="str">
        <x:v>nm3780532</x:v>
      </x:c>
      <x:c r="P485" s="14" t="str">
        <x:v>Isla Waterson</x:v>
      </x:c>
      <x:c r="Q485" s="15" t="n">
        <x:v>1</x:v>
      </x:c>
      <x:c r="R485" s="14" t="str">
        <x:v>2023</x:v>
      </x:c>
      <x:c r="S485" s="14" t="n">
        <x:v>2023</x:v>
      </x:c>
      <x:c r="T485" s="14" t="n">
        <x:v>2023</x:v>
      </x:c>
      <x:c r="U485" s="14" t="str">
        <x:v>Post-2021 casting excluded</x:v>
      </x:c>
      <x:c r="V485" s="14" t="str">
        <x:v>Earliest supplied year is 2023, later than the 2021 study year.</x:v>
      </x:c>
      <x:c r="W485" s="14"/>
      <x:c r="X485" s="14" t="str">
        <x:v>Included</x:v>
      </x:c>
      <x:c r="Y485" s="14" t="str">
        <x:v>(as Maud Druine)</x:v>
      </x:c>
      <x:c r="Z485" s="14" t="str">
        <x:v>The Tower.docx</x:v>
      </x:c>
      <x:c r="AA48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ITV / ITVX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7" t="e">
        <x:f>HYPERLINK("https://en.wikipedia.org/wiki/The_Tower","Open source")</x:f>
        <x:v>HYPERLINK is not implemented. linkLocation=https://en.wikipedia.org/wiki/The_Tower,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11</x:v>
      </x:c>
      <x:c r="BP485" s="14" t="str">
        <x:v>Maximum eligible IMDb cast-credit total (11), shared by 5 performer(s); not independently verified as a 2021-only episode total.</x:v>
      </x:c>
      <x:c r="BQ485" s="14" t="str">
        <x:v>Medium</x:v>
      </x:c>
      <x:c r="BR485" s="15" t="n">
        <x:v>1</x:v>
      </x:c>
      <x:c r="BS485" s="16" t="n">
        <x:v>0.09090909090909091</x:v>
      </x:c>
      <x:c r="BT485" s="14" t="str">
        <x:v>One episode</x:v>
      </x:c>
      <x:c r="BU485" s="14" t="str">
        <x:v>Medium</x:v>
      </x:c>
      <x:c r="BV485" s="14" t="str">
        <x:v>Derived from supplied IMDb episode count and the documented production-total proxy.</x:v>
      </x:c>
      <x:c r="BW485" s="14" t="str">
        <x:v>Unable to determine</x:v>
      </x:c>
      <x:c r="BX485" s="14" t="str">
        <x:v>Supplied cast data establishes the credit and episode presence but does not establish narrative prominence.</x:v>
      </x:c>
      <x:c r="BY485" s="14" t="str">
        <x:v>Supplied IMDb cast-list workbook</x:v>
      </x:c>
      <x:c r="BZ48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tt14364876|nm13580290|armed response officer</x:v>
      </x:c>
      <x:c r="B486" s="14" t="str">
        <x:v>04</x:v>
      </x:c>
      <x:c r="C486" s="14" t="str">
        <x:v>2021_IMDb_Cast_Lists_Batch_04(1).xlsx</x:v>
      </x:c>
      <x:c r="D486" s="14" t="str">
        <x:v>The Tower</x:v>
      </x:c>
      <x:c r="E486" s="14" t="n">
        <x:v>74</x:v>
      </x:c>
      <x:c r="F486" s="14" t="str">
        <x:v>The Tower</x:v>
      </x:c>
      <x:c r="G486" s="14" t="str">
        <x:v>tt14364876</x:v>
      </x:c>
      <x:c r="H486" s="14" t="n">
        <x:v>2021</x:v>
      </x:c>
      <x:c r="I486" s="14" t="n">
        <x:v>2023</x:v>
      </x:c>
      <x:c r="J486" s="14" t="str">
        <x:v>Earlier-Production Carry-In Cohort</x:v>
      </x:c>
      <x:c r="K486" s="14" t="n">
        <x:v>2021</x:v>
      </x:c>
      <x:c r="L486" s="14" t="str">
        <x:v>Used in 2023 annual analysis</x:v>
      </x:c>
      <x:c r="M486" s="15" t="n">
        <x:v>67</x:v>
      </x:c>
      <x:c r="N486" s="14" t="str">
        <x:v>Andy M Milligan</x:v>
      </x:c>
      <x:c r="O486" s="14" t="str">
        <x:v>nm13580290</x:v>
      </x:c>
      <x:c r="P486" s="14" t="str">
        <x:v>Armed Response Officer</x:v>
      </x:c>
      <x:c r="Q486" s="15" t="n">
        <x:v>1</x:v>
      </x:c>
      <x:c r="R486" s="14" t="str">
        <x:v>2023</x:v>
      </x:c>
      <x:c r="S486" s="14" t="n">
        <x:v>2023</x:v>
      </x:c>
      <x:c r="T486" s="14" t="n">
        <x:v>2023</x:v>
      </x:c>
      <x:c r="U486" s="14" t="str">
        <x:v>Post-2021 casting excluded</x:v>
      </x:c>
      <x:c r="V486" s="14" t="str">
        <x:v>Earliest supplied year is 2023, later than the 2021 study year.</x:v>
      </x:c>
      <x:c r="W486" s="14"/>
      <x:c r="X486" s="14" t="str">
        <x:v>Included</x:v>
      </x:c>
      <x:c r="Y486" s="14"/>
      <x:c r="Z486" s="14" t="str">
        <x:v>The Tower.docx</x:v>
      </x:c>
      <x:c r="AA48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ITV / ITVX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7" t="e">
        <x:f>HYPERLINK("https://en.wikipedia.org/wiki/The_Tower","Open source")</x:f>
        <x:v>HYPERLINK is not implemented. linkLocation=https://en.wikipedia.org/wiki/The_Tower,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11</x:v>
      </x:c>
      <x:c r="BP486" s="14" t="str">
        <x:v>Maximum eligible IMDb cast-credit total (11), shared by 5 performer(s); not independently verified as a 2021-only episode total.</x:v>
      </x:c>
      <x:c r="BQ486" s="14" t="str">
        <x:v>Medium</x:v>
      </x:c>
      <x:c r="BR486" s="15" t="n">
        <x:v>1</x:v>
      </x:c>
      <x:c r="BS486" s="16" t="n">
        <x:v>0.09090909090909091</x:v>
      </x:c>
      <x:c r="BT486" s="14" t="str">
        <x:v>One episode</x:v>
      </x:c>
      <x:c r="BU486" s="14" t="str">
        <x:v>Medium</x:v>
      </x:c>
      <x:c r="BV486" s="14" t="str">
        <x:v>Derived from supplied IMDb episode count and the documented production-total proxy.</x:v>
      </x:c>
      <x:c r="BW486" s="14" t="str">
        <x:v>Unable to determine</x:v>
      </x:c>
      <x:c r="BX486" s="14" t="str">
        <x:v>Supplied cast data establishes the credit and episode presence but does not establish narrative prominence.</x:v>
      </x:c>
      <x:c r="BY486" s="14" t="str">
        <x:v>Supplied IMDb cast-list workbook</x:v>
      </x:c>
      <x:c r="BZ48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tt14364876|nm4523530|amelia</x:v>
      </x:c>
      <x:c r="B487" s="14" t="str">
        <x:v>04</x:v>
      </x:c>
      <x:c r="C487" s="14" t="str">
        <x:v>2021_IMDb_Cast_Lists_Batch_04(1).xlsx</x:v>
      </x:c>
      <x:c r="D487" s="14" t="str">
        <x:v>The Tower</x:v>
      </x:c>
      <x:c r="E487" s="14" t="n">
        <x:v>77</x:v>
      </x:c>
      <x:c r="F487" s="14" t="str">
        <x:v>The Tower</x:v>
      </x:c>
      <x:c r="G487" s="14" t="str">
        <x:v>tt14364876</x:v>
      </x:c>
      <x:c r="H487" s="14" t="n">
        <x:v>2021</x:v>
      </x:c>
      <x:c r="I487" s="14" t="n">
        <x:v>2023</x:v>
      </x:c>
      <x:c r="J487" s="14" t="str">
        <x:v>Earlier-Production Carry-In Cohort</x:v>
      </x:c>
      <x:c r="K487" s="14" t="n">
        <x:v>2021</x:v>
      </x:c>
      <x:c r="L487" s="14" t="str">
        <x:v>Used in 2023 annual analysis</x:v>
      </x:c>
      <x:c r="M487" s="15" t="n">
        <x:v>70</x:v>
      </x:c>
      <x:c r="N487" s="14" t="str">
        <x:v>Victoria Ross</x:v>
      </x:c>
      <x:c r="O487" s="14" t="str">
        <x:v>nm4523530</x:v>
      </x:c>
      <x:c r="P487" s="14" t="str">
        <x:v>Amelia</x:v>
      </x:c>
      <x:c r="Q487" s="15" t="n">
        <x:v>1</x:v>
      </x:c>
      <x:c r="R487" s="14" t="str">
        <x:v>2023</x:v>
      </x:c>
      <x:c r="S487" s="14" t="n">
        <x:v>2023</x:v>
      </x:c>
      <x:c r="T487" s="14" t="n">
        <x:v>2023</x:v>
      </x:c>
      <x:c r="U487" s="14" t="str">
        <x:v>Post-2021 casting excluded</x:v>
      </x:c>
      <x:c r="V487" s="14" t="str">
        <x:v>Earliest supplied year is 2023, later than the 2021 study year.</x:v>
      </x:c>
      <x:c r="W487" s="14"/>
      <x:c r="X487" s="14" t="str">
        <x:v>Included</x:v>
      </x:c>
      <x:c r="Y487" s="14"/>
      <x:c r="Z487" s="14" t="str">
        <x:v>The Tower.docx</x:v>
      </x:c>
      <x:c r="AA48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ITV / ITVX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7" t="e">
        <x:f>HYPERLINK("https://en.wikipedia.org/wiki/The_Tower","Open source")</x:f>
        <x:v>HYPERLINK is not implemented. linkLocation=https://en.wikipedia.org/wiki/The_Tower,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11</x:v>
      </x:c>
      <x:c r="BP487" s="14" t="str">
        <x:v>Maximum eligible IMDb cast-credit total (11), shared by 5 performer(s); not independently verified as a 2021-only episode total.</x:v>
      </x:c>
      <x:c r="BQ487" s="14" t="str">
        <x:v>Medium</x:v>
      </x:c>
      <x:c r="BR487" s="15" t="n">
        <x:v>1</x:v>
      </x:c>
      <x:c r="BS487" s="16" t="n">
        <x:v>0.09090909090909091</x:v>
      </x:c>
      <x:c r="BT487" s="14" t="str">
        <x:v>One episode</x:v>
      </x:c>
      <x:c r="BU487" s="14" t="str">
        <x:v>Medium</x:v>
      </x:c>
      <x:c r="BV487" s="14" t="str">
        <x:v>Derived from supplied IMDb episode count and the documented production-total proxy.</x:v>
      </x:c>
      <x:c r="BW487" s="14" t="str">
        <x:v>Unable to determine</x:v>
      </x:c>
      <x:c r="BX487" s="14" t="str">
        <x:v>Supplied cast data establishes the credit and episode presence but does not establish narrative prominence.</x:v>
      </x:c>
      <x:c r="BY487" s="14" t="str">
        <x:v>Supplied IMDb cast-list workbook</x:v>
      </x:c>
      <x:c r="BZ48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tt14364876|nm4044151|chairwoman</x:v>
      </x:c>
      <x:c r="B488" s="14" t="str">
        <x:v>04</x:v>
      </x:c>
      <x:c r="C488" s="14" t="str">
        <x:v>2021_IMDb_Cast_Lists_Batch_04(1).xlsx</x:v>
      </x:c>
      <x:c r="D488" s="14" t="str">
        <x:v>The Tower</x:v>
      </x:c>
      <x:c r="E488" s="14" t="n">
        <x:v>80</x:v>
      </x:c>
      <x:c r="F488" s="14" t="str">
        <x:v>The Tower</x:v>
      </x:c>
      <x:c r="G488" s="14" t="str">
        <x:v>tt14364876</x:v>
      </x:c>
      <x:c r="H488" s="14" t="n">
        <x:v>2021</x:v>
      </x:c>
      <x:c r="I488" s="14" t="n">
        <x:v>2023</x:v>
      </x:c>
      <x:c r="J488" s="14" t="str">
        <x:v>Earlier-Production Carry-In Cohort</x:v>
      </x:c>
      <x:c r="K488" s="14" t="n">
        <x:v>2021</x:v>
      </x:c>
      <x:c r="L488" s="14" t="str">
        <x:v>Used in 2023 annual analysis</x:v>
      </x:c>
      <x:c r="M488" s="15" t="n">
        <x:v>73</x:v>
      </x:c>
      <x:c r="N488" s="14" t="str">
        <x:v>Shameem Ahmad</x:v>
      </x:c>
      <x:c r="O488" s="14" t="str">
        <x:v>nm4044151</x:v>
      </x:c>
      <x:c r="P488" s="14" t="str">
        <x:v>Chairwoman</x:v>
      </x:c>
      <x:c r="Q488" s="15" t="n">
        <x:v>1</x:v>
      </x:c>
      <x:c r="R488" s="14" t="str">
        <x:v>2023</x:v>
      </x:c>
      <x:c r="S488" s="14" t="n">
        <x:v>2023</x:v>
      </x:c>
      <x:c r="T488" s="14" t="n">
        <x:v>2023</x:v>
      </x:c>
      <x:c r="U488" s="14" t="str">
        <x:v>Post-2021 casting excluded</x:v>
      </x:c>
      <x:c r="V488" s="14" t="str">
        <x:v>Earliest supplied year is 2023, later than the 2021 study year.</x:v>
      </x:c>
      <x:c r="W488" s="14"/>
      <x:c r="X488" s="14" t="str">
        <x:v>Included</x:v>
      </x:c>
      <x:c r="Y488" s="14"/>
      <x:c r="Z488" s="14" t="str">
        <x:v>The Tower.docx</x:v>
      </x:c>
      <x:c r="AA48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ITV / ITVX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7" t="e">
        <x:f>HYPERLINK("https://en.wikipedia.org/wiki/The_Tower","Open source")</x:f>
        <x:v>HYPERLINK is not implemented. linkLocation=https://en.wikipedia.org/wiki/The_Tower,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11</x:v>
      </x:c>
      <x:c r="BP488" s="14" t="str">
        <x:v>Maximum eligible IMDb cast-credit total (11), shared by 5 performer(s); not independently verified as a 2021-only episode total.</x:v>
      </x:c>
      <x:c r="BQ488" s="14" t="str">
        <x:v>Medium</x:v>
      </x:c>
      <x:c r="BR488" s="15" t="n">
        <x:v>1</x:v>
      </x:c>
      <x:c r="BS488" s="16" t="n">
        <x:v>0.09090909090909091</x:v>
      </x:c>
      <x:c r="BT488" s="14" t="str">
        <x:v>One episode</x:v>
      </x:c>
      <x:c r="BU488" s="14" t="str">
        <x:v>Medium</x:v>
      </x:c>
      <x:c r="BV488" s="14" t="str">
        <x:v>Derived from supplied IMDb episode count and the documented production-total proxy.</x:v>
      </x:c>
      <x:c r="BW488" s="14" t="str">
        <x:v>Unable to determine</x:v>
      </x:c>
      <x:c r="BX488" s="14" t="str">
        <x:v>Supplied cast data establishes the credit and episode presence but does not establish narrative prominence.</x:v>
      </x:c>
      <x:c r="BY488" s="14" t="str">
        <x:v>Supplied IMDb cast-list workbook</x:v>
      </x:c>
      <x:c r="BZ48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tt14364876|nm14914866|prosecuting barrister</x:v>
      </x:c>
      <x:c r="B489" s="14" t="str">
        <x:v>04</x:v>
      </x:c>
      <x:c r="C489" s="14" t="str">
        <x:v>2021_IMDb_Cast_Lists_Batch_04(1).xlsx</x:v>
      </x:c>
      <x:c r="D489" s="14" t="str">
        <x:v>The Tower</x:v>
      </x:c>
      <x:c r="E489" s="14" t="n">
        <x:v>82</x:v>
      </x:c>
      <x:c r="F489" s="14" t="str">
        <x:v>The Tower</x:v>
      </x:c>
      <x:c r="G489" s="14" t="str">
        <x:v>tt14364876</x:v>
      </x:c>
      <x:c r="H489" s="14" t="n">
        <x:v>2021</x:v>
      </x:c>
      <x:c r="I489" s="14" t="n">
        <x:v>2023</x:v>
      </x:c>
      <x:c r="J489" s="14" t="str">
        <x:v>Earlier-Production Carry-In Cohort</x:v>
      </x:c>
      <x:c r="K489" s="14" t="n">
        <x:v>2021</x:v>
      </x:c>
      <x:c r="L489" s="14" t="str">
        <x:v>Used in 2023 annual analysis</x:v>
      </x:c>
      <x:c r="M489" s="15" t="n">
        <x:v>75</x:v>
      </x:c>
      <x:c r="N489" s="14" t="str">
        <x:v>Robyn Moore</x:v>
      </x:c>
      <x:c r="O489" s="14" t="str">
        <x:v>nm14914866</x:v>
      </x:c>
      <x:c r="P489" s="14" t="str">
        <x:v>Prosecuting Barrister</x:v>
      </x:c>
      <x:c r="Q489" s="15" t="n">
        <x:v>1</x:v>
      </x:c>
      <x:c r="R489" s="14" t="str">
        <x:v>2023</x:v>
      </x:c>
      <x:c r="S489" s="14" t="n">
        <x:v>2023</x:v>
      </x:c>
      <x:c r="T489" s="14" t="n">
        <x:v>2023</x:v>
      </x:c>
      <x:c r="U489" s="14" t="str">
        <x:v>Post-2021 casting excluded</x:v>
      </x:c>
      <x:c r="V489" s="14" t="str">
        <x:v>Earliest supplied year is 2023, later than the 2021 study year.</x:v>
      </x:c>
      <x:c r="W489" s="14"/>
      <x:c r="X489" s="14" t="str">
        <x:v>Included</x:v>
      </x:c>
      <x:c r="Y489" s="14"/>
      <x:c r="Z489" s="14" t="str">
        <x:v>The Tower.docx</x:v>
      </x:c>
      <x:c r="AA48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ITV / ITVX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7" t="e">
        <x:f>HYPERLINK("https://en.wikipedia.org/wiki/The_Tower","Open source")</x:f>
        <x:v>HYPERLINK is not implemented. linkLocation=https://en.wikipedia.org/wiki/The_Tower,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11</x:v>
      </x:c>
      <x:c r="BP489" s="14" t="str">
        <x:v>Maximum eligible IMDb cast-credit total (11), shared by 5 performer(s); not independently verified as a 2021-only episode total.</x:v>
      </x:c>
      <x:c r="BQ489" s="14" t="str">
        <x:v>Medium</x:v>
      </x:c>
      <x:c r="BR489" s="15" t="n">
        <x:v>1</x:v>
      </x:c>
      <x:c r="BS489" s="16" t="n">
        <x:v>0.09090909090909091</x:v>
      </x:c>
      <x:c r="BT489" s="14" t="str">
        <x:v>One episode</x:v>
      </x:c>
      <x:c r="BU489" s="14" t="str">
        <x:v>Medium</x:v>
      </x:c>
      <x:c r="BV489" s="14" t="str">
        <x:v>Derived from supplied IMDb episode count and the documented production-total proxy.</x:v>
      </x:c>
      <x:c r="BW489" s="14" t="str">
        <x:v>Unable to determine</x:v>
      </x:c>
      <x:c r="BX489" s="14" t="str">
        <x:v>Supplied cast data establishes the credit and episode presence but does not establish narrative prominence.</x:v>
      </x:c>
      <x:c r="BY489" s="14" t="str">
        <x:v>Supplied IMDb cast-list workbook</x:v>
      </x:c>
      <x:c r="BZ48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tt14364876|nm5020731|paul stokes</x:v>
      </x:c>
      <x:c r="B490" s="14" t="str">
        <x:v>04</x:v>
      </x:c>
      <x:c r="C490" s="14" t="str">
        <x:v>2021_IMDb_Cast_Lists_Batch_04(1).xlsx</x:v>
      </x:c>
      <x:c r="D490" s="14" t="str">
        <x:v>The Tower</x:v>
      </x:c>
      <x:c r="E490" s="14" t="n">
        <x:v>83</x:v>
      </x:c>
      <x:c r="F490" s="14" t="str">
        <x:v>The Tower</x:v>
      </x:c>
      <x:c r="G490" s="14" t="str">
        <x:v>tt14364876</x:v>
      </x:c>
      <x:c r="H490" s="14" t="n">
        <x:v>2021</x:v>
      </x:c>
      <x:c r="I490" s="14" t="n">
        <x:v>2023</x:v>
      </x:c>
      <x:c r="J490" s="14" t="str">
        <x:v>Earlier-Production Carry-In Cohort</x:v>
      </x:c>
      <x:c r="K490" s="14" t="n">
        <x:v>2021</x:v>
      </x:c>
      <x:c r="L490" s="14" t="str">
        <x:v>Used in 2023 annual analysis</x:v>
      </x:c>
      <x:c r="M490" s="15" t="n">
        <x:v>76</x:v>
      </x:c>
      <x:c r="N490" s="14" t="str">
        <x:v>Alexis Platt</x:v>
      </x:c>
      <x:c r="O490" s="14" t="str">
        <x:v>nm5020731</x:v>
      </x:c>
      <x:c r="P490" s="14" t="str">
        <x:v>Paul Stokes</x:v>
      </x:c>
      <x:c r="Q490" s="15" t="n">
        <x:v>1</x:v>
      </x:c>
      <x:c r="R490" s="14" t="str">
        <x:v>2023</x:v>
      </x:c>
      <x:c r="S490" s="14" t="n">
        <x:v>2023</x:v>
      </x:c>
      <x:c r="T490" s="14" t="n">
        <x:v>2023</x:v>
      </x:c>
      <x:c r="U490" s="14" t="str">
        <x:v>Post-2021 casting excluded</x:v>
      </x:c>
      <x:c r="V490" s="14" t="str">
        <x:v>Earliest supplied year is 2023, later than the 2021 study year.</x:v>
      </x:c>
      <x:c r="W490" s="14"/>
      <x:c r="X490" s="14" t="str">
        <x:v>Included</x:v>
      </x:c>
      <x:c r="Y490" s="14"/>
      <x:c r="Z490" s="14" t="str">
        <x:v>The Tower.docx</x:v>
      </x:c>
      <x:c r="AA49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ITV / ITVX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7" t="e">
        <x:f>HYPERLINK("https://en.wikipedia.org/wiki/The_Tower","Open source")</x:f>
        <x:v>HYPERLINK is not implemented. linkLocation=https://en.wikipedia.org/wiki/The_Tower,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11</x:v>
      </x:c>
      <x:c r="BP490" s="14" t="str">
        <x:v>Maximum eligible IMDb cast-credit total (11), shared by 5 performer(s); not independently verified as a 2021-only episode total.</x:v>
      </x:c>
      <x:c r="BQ490" s="14" t="str">
        <x:v>Medium</x:v>
      </x:c>
      <x:c r="BR490" s="15" t="n">
        <x:v>1</x:v>
      </x:c>
      <x:c r="BS490" s="16" t="n">
        <x:v>0.09090909090909091</x:v>
      </x:c>
      <x:c r="BT490" s="14" t="str">
        <x:v>One episode</x:v>
      </x:c>
      <x:c r="BU490" s="14" t="str">
        <x:v>Medium</x:v>
      </x:c>
      <x:c r="BV490" s="14" t="str">
        <x:v>Derived from supplied IMDb episode count and the documented production-total proxy.</x:v>
      </x:c>
      <x:c r="BW490" s="14" t="str">
        <x:v>Unable to determine</x:v>
      </x:c>
      <x:c r="BX490" s="14" t="str">
        <x:v>Supplied cast data establishes the credit and episode presence but does not establish narrative prominence.</x:v>
      </x:c>
      <x:c r="BY490" s="14" t="str">
        <x:v>Supplied IMDb cast-list workbook</x:v>
      </x:c>
      <x:c r="BZ49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tt14364876|nm1790084|robert mccarthy</x:v>
      </x:c>
      <x:c r="B491" s="14" t="str">
        <x:v>04</x:v>
      </x:c>
      <x:c r="C491" s="14" t="str">
        <x:v>2021_IMDb_Cast_Lists_Batch_04(1).xlsx</x:v>
      </x:c>
      <x:c r="D491" s="14" t="str">
        <x:v>The Tower</x:v>
      </x:c>
      <x:c r="E491" s="14" t="n">
        <x:v>84</x:v>
      </x:c>
      <x:c r="F491" s="14" t="str">
        <x:v>The Tower</x:v>
      </x:c>
      <x:c r="G491" s="14" t="str">
        <x:v>tt14364876</x:v>
      </x:c>
      <x:c r="H491" s="14" t="n">
        <x:v>2021</x:v>
      </x:c>
      <x:c r="I491" s="14" t="n">
        <x:v>2023</x:v>
      </x:c>
      <x:c r="J491" s="14" t="str">
        <x:v>Earlier-Production Carry-In Cohort</x:v>
      </x:c>
      <x:c r="K491" s="14" t="n">
        <x:v>2021</x:v>
      </x:c>
      <x:c r="L491" s="14" t="str">
        <x:v>Used in 2023 annual analysis</x:v>
      </x:c>
      <x:c r="M491" s="15" t="n">
        <x:v>77</x:v>
      </x:c>
      <x:c r="N491" s="14" t="str">
        <x:v>Benjamin Beresford</x:v>
      </x:c>
      <x:c r="O491" s="14" t="str">
        <x:v>nm1790084</x:v>
      </x:c>
      <x:c r="P491" s="14" t="str">
        <x:v>Robert McCarthy</x:v>
      </x:c>
      <x:c r="Q491" s="15" t="n">
        <x:v>1</x:v>
      </x:c>
      <x:c r="R491" s="14" t="str">
        <x:v>2023</x:v>
      </x:c>
      <x:c r="S491" s="14" t="n">
        <x:v>2023</x:v>
      </x:c>
      <x:c r="T491" s="14" t="n">
        <x:v>2023</x:v>
      </x:c>
      <x:c r="U491" s="14" t="str">
        <x:v>Post-2021 casting excluded</x:v>
      </x:c>
      <x:c r="V491" s="14" t="str">
        <x:v>Earliest supplied year is 2023, later than the 2021 study year.</x:v>
      </x:c>
      <x:c r="W491" s="14"/>
      <x:c r="X491" s="14" t="str">
        <x:v>Included</x:v>
      </x:c>
      <x:c r="Y491" s="14"/>
      <x:c r="Z491" s="14" t="str">
        <x:v>The Tower.docx</x:v>
      </x:c>
      <x:c r="AA49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ITV / ITVX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7" t="e">
        <x:f>HYPERLINK("https://en.wikipedia.org/wiki/The_Tower","Open source")</x:f>
        <x:v>HYPERLINK is not implemented. linkLocation=https://en.wikipedia.org/wiki/The_Tower,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11</x:v>
      </x:c>
      <x:c r="BP491" s="14" t="str">
        <x:v>Maximum eligible IMDb cast-credit total (11), shared by 5 performer(s); not independently verified as a 2021-only episode total.</x:v>
      </x:c>
      <x:c r="BQ491" s="14" t="str">
        <x:v>Medium</x:v>
      </x:c>
      <x:c r="BR491" s="15" t="n">
        <x:v>1</x:v>
      </x:c>
      <x:c r="BS491" s="16" t="n">
        <x:v>0.09090909090909091</x:v>
      </x:c>
      <x:c r="BT491" s="14" t="str">
        <x:v>One episode</x:v>
      </x:c>
      <x:c r="BU491" s="14" t="str">
        <x:v>Medium</x:v>
      </x:c>
      <x:c r="BV491" s="14" t="str">
        <x:v>Derived from supplied IMDb episode count and the documented production-total proxy.</x:v>
      </x:c>
      <x:c r="BW491" s="14" t="str">
        <x:v>Unable to determine</x:v>
      </x:c>
      <x:c r="BX491" s="14" t="str">
        <x:v>Supplied cast data establishes the credit and episode presence but does not establish narrative prominence.</x:v>
      </x:c>
      <x:c r="BY491" s="14" t="str">
        <x:v>Supplied IMDb cast-list workbook</x:v>
      </x:c>
      <x:c r="BZ49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tt14364876|nm3907129|defending barrister</x:v>
      </x:c>
      <x:c r="B492" s="14" t="str">
        <x:v>04</x:v>
      </x:c>
      <x:c r="C492" s="14" t="str">
        <x:v>2021_IMDb_Cast_Lists_Batch_04(1).xlsx</x:v>
      </x:c>
      <x:c r="D492" s="14" t="str">
        <x:v>The Tower</x:v>
      </x:c>
      <x:c r="E492" s="14" t="n">
        <x:v>85</x:v>
      </x:c>
      <x:c r="F492" s="14" t="str">
        <x:v>The Tower</x:v>
      </x:c>
      <x:c r="G492" s="14" t="str">
        <x:v>tt14364876</x:v>
      </x:c>
      <x:c r="H492" s="14" t="n">
        <x:v>2021</x:v>
      </x:c>
      <x:c r="I492" s="14" t="n">
        <x:v>2023</x:v>
      </x:c>
      <x:c r="J492" s="14" t="str">
        <x:v>Earlier-Production Carry-In Cohort</x:v>
      </x:c>
      <x:c r="K492" s="14" t="n">
        <x:v>2021</x:v>
      </x:c>
      <x:c r="L492" s="14" t="str">
        <x:v>Used in 2023 annual analysis</x:v>
      </x:c>
      <x:c r="M492" s="15" t="n">
        <x:v>78</x:v>
      </x:c>
      <x:c r="N492" s="14" t="str">
        <x:v>Vicki Hackett</x:v>
      </x:c>
      <x:c r="O492" s="14" t="str">
        <x:v>nm3907129</x:v>
      </x:c>
      <x:c r="P492" s="14" t="str">
        <x:v>Defending Barrister</x:v>
      </x:c>
      <x:c r="Q492" s="15" t="n">
        <x:v>1</x:v>
      </x:c>
      <x:c r="R492" s="14" t="str">
        <x:v>2023</x:v>
      </x:c>
      <x:c r="S492" s="14" t="n">
        <x:v>2023</x:v>
      </x:c>
      <x:c r="T492" s="14" t="n">
        <x:v>2023</x:v>
      </x:c>
      <x:c r="U492" s="14" t="str">
        <x:v>Post-2021 casting excluded</x:v>
      </x:c>
      <x:c r="V492" s="14" t="str">
        <x:v>Earliest supplied year is 2023, later than the 2021 study year.</x:v>
      </x:c>
      <x:c r="W492" s="14"/>
      <x:c r="X492" s="14" t="str">
        <x:v>Included</x:v>
      </x:c>
      <x:c r="Y492" s="14"/>
      <x:c r="Z492" s="14" t="str">
        <x:v>The Tower.docx</x:v>
      </x:c>
      <x:c r="AA49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ITV / ITVX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7" t="e">
        <x:f>HYPERLINK("https://en.wikipedia.org/wiki/The_Tower","Open source")</x:f>
        <x:v>HYPERLINK is not implemented. linkLocation=https://en.wikipedia.org/wiki/The_Tower,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11</x:v>
      </x:c>
      <x:c r="BP492" s="14" t="str">
        <x:v>Maximum eligible IMDb cast-credit total (11), shared by 5 performer(s); not independently verified as a 2021-only episode total.</x:v>
      </x:c>
      <x:c r="BQ492" s="14" t="str">
        <x:v>Medium</x:v>
      </x:c>
      <x:c r="BR492" s="15" t="n">
        <x:v>1</x:v>
      </x:c>
      <x:c r="BS492" s="16" t="n">
        <x:v>0.09090909090909091</x:v>
      </x:c>
      <x:c r="BT492" s="14" t="str">
        <x:v>One episode</x:v>
      </x:c>
      <x:c r="BU492" s="14" t="str">
        <x:v>Medium</x:v>
      </x:c>
      <x:c r="BV492" s="14" t="str">
        <x:v>Derived from supplied IMDb episode count and the documented production-total proxy.</x:v>
      </x:c>
      <x:c r="BW492" s="14" t="str">
        <x:v>Unable to determine</x:v>
      </x:c>
      <x:c r="BX492" s="14" t="str">
        <x:v>Supplied cast data establishes the credit and episode presence but does not establish narrative prominence.</x:v>
      </x:c>
      <x:c r="BY492" s="14" t="str">
        <x:v>Supplied IMDb cast-list workbook</x:v>
      </x:c>
      <x:c r="BZ49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tt14364876|nm1056798|derek holt</x:v>
      </x:c>
      <x:c r="B493" s="14" t="str">
        <x:v>04</x:v>
      </x:c>
      <x:c r="C493" s="14" t="str">
        <x:v>2021_IMDb_Cast_Lists_Batch_04(1).xlsx</x:v>
      </x:c>
      <x:c r="D493" s="14" t="str">
        <x:v>The Tower</x:v>
      </x:c>
      <x:c r="E493" s="14" t="n">
        <x:v>86</x:v>
      </x:c>
      <x:c r="F493" s="14" t="str">
        <x:v>The Tower</x:v>
      </x:c>
      <x:c r="G493" s="14" t="str">
        <x:v>tt14364876</x:v>
      </x:c>
      <x:c r="H493" s="14" t="n">
        <x:v>2021</x:v>
      </x:c>
      <x:c r="I493" s="14" t="n">
        <x:v>2023</x:v>
      </x:c>
      <x:c r="J493" s="14" t="str">
        <x:v>Earlier-Production Carry-In Cohort</x:v>
      </x:c>
      <x:c r="K493" s="14" t="n">
        <x:v>2021</x:v>
      </x:c>
      <x:c r="L493" s="14" t="str">
        <x:v>Used in 2023 annual analysis</x:v>
      </x:c>
      <x:c r="M493" s="15" t="n">
        <x:v>79</x:v>
      </x:c>
      <x:c r="N493" s="14" t="str">
        <x:v>Andonis Anthony</x:v>
      </x:c>
      <x:c r="O493" s="14" t="str">
        <x:v>nm1056798</x:v>
      </x:c>
      <x:c r="P493" s="14" t="str">
        <x:v>Derek Holt</x:v>
      </x:c>
      <x:c r="Q493" s="15" t="n">
        <x:v>1</x:v>
      </x:c>
      <x:c r="R493" s="14" t="str">
        <x:v>2023</x:v>
      </x:c>
      <x:c r="S493" s="14" t="n">
        <x:v>2023</x:v>
      </x:c>
      <x:c r="T493" s="14" t="n">
        <x:v>2023</x:v>
      </x:c>
      <x:c r="U493" s="14" t="str">
        <x:v>Post-2021 casting excluded</x:v>
      </x:c>
      <x:c r="V493" s="14" t="str">
        <x:v>Earliest supplied year is 2023, later than the 2021 study year.</x:v>
      </x:c>
      <x:c r="W493" s="14"/>
      <x:c r="X493" s="14" t="str">
        <x:v>Included</x:v>
      </x:c>
      <x:c r="Y493" s="14"/>
      <x:c r="Z493" s="14" t="str">
        <x:v>The Tower.docx</x:v>
      </x:c>
      <x:c r="AA49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ITV / ITVX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7" t="e">
        <x:f>HYPERLINK("https://en.wikipedia.org/wiki/The_Tower","Open source")</x:f>
        <x:v>HYPERLINK is not implemented. linkLocation=https://en.wikipedia.org/wiki/The_Tower,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11</x:v>
      </x:c>
      <x:c r="BP493" s="14" t="str">
        <x:v>Maximum eligible IMDb cast-credit total (11), shared by 5 performer(s); not independently verified as a 2021-only episode total.</x:v>
      </x:c>
      <x:c r="BQ493" s="14" t="str">
        <x:v>Medium</x:v>
      </x:c>
      <x:c r="BR493" s="15" t="n">
        <x:v>1</x:v>
      </x:c>
      <x:c r="BS493" s="16" t="n">
        <x:v>0.09090909090909091</x:v>
      </x:c>
      <x:c r="BT493" s="14" t="str">
        <x:v>One episode</x:v>
      </x:c>
      <x:c r="BU493" s="14" t="str">
        <x:v>Medium</x:v>
      </x:c>
      <x:c r="BV493" s="14" t="str">
        <x:v>Derived from supplied IMDb episode count and the documented production-total proxy.</x:v>
      </x:c>
      <x:c r="BW493" s="14" t="str">
        <x:v>Unable to determine</x:v>
      </x:c>
      <x:c r="BX493" s="14" t="str">
        <x:v>Supplied cast data establishes the credit and episode presence but does not establish narrative prominence.</x:v>
      </x:c>
      <x:c r="BY493" s="14" t="str">
        <x:v>Supplied IMDb cast-list workbook</x:v>
      </x:c>
      <x:c r="BZ49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tt13138834|nm2092886|orla o'riordan</x:v>
      </x:c>
      <x:c r="B494" s="14" t="str">
        <x:v>04</x:v>
      </x:c>
      <x:c r="C494" s="14" t="str">
        <x:v>2021_IMDb_Cast_Lists_Batch_04(1).xlsx</x:v>
      </x:c>
      <x:c r="D494" s="14" t="str">
        <x:v>Time</x:v>
      </x:c>
      <x:c r="E494" s="14" t="n">
        <x:v>10</x:v>
      </x:c>
      <x:c r="F494" s="14" t="str">
        <x:v>Time</x:v>
      </x:c>
      <x:c r="G494" s="14" t="str">
        <x:v>tt13138834</x:v>
      </x:c>
      <x:c r="H494" s="14" t="n">
        <x:v>2021</x:v>
      </x:c>
      <x:c r="I494" s="14" t="n">
        <x:v>2023</x:v>
      </x:c>
      <x:c r="J494" s="14" t="str">
        <x:v>Earlier-Production Carry-In Cohort</x:v>
      </x:c>
      <x:c r="K494" s="14" t="n">
        <x:v>2021</x:v>
      </x:c>
      <x:c r="L494" s="14" t="str">
        <x:v>Used in 2023 annual analysis</x:v>
      </x:c>
      <x:c r="M494" s="15" t="n">
        <x:v>3</x:v>
      </x:c>
      <x:c r="N494" s="14" t="str">
        <x:v>Jodie Whittaker</x:v>
      </x:c>
      <x:c r="O494" s="14" t="str">
        <x:v>nm2092886</x:v>
      </x:c>
      <x:c r="P494" s="14" t="str">
        <x:v>Orla O'Riordan</x:v>
      </x:c>
      <x:c r="Q494" s="15" t="n">
        <x:v>3</x:v>
      </x:c>
      <x:c r="R494" s="14" t="str">
        <x:v>2023</x:v>
      </x:c>
      <x:c r="S494" s="14" t="n">
        <x:v>2023</x:v>
      </x:c>
      <x:c r="T494" s="14" t="n">
        <x:v>2023</x:v>
      </x:c>
      <x:c r="U494" s="14" t="str">
        <x:v>Post-2021 casting excluded</x:v>
      </x:c>
      <x:c r="V494" s="14" t="str">
        <x:v>Earliest supplied year is 2023, later than the 2021 study year.</x:v>
      </x:c>
      <x:c r="W494" s="14"/>
      <x:c r="X494" s="14" t="str">
        <x:v>Included</x:v>
      </x:c>
      <x:c r="Y494" s="14"/>
      <x:c r="Z494" s="14" t="str">
        <x:v>Time.docx</x:v>
      </x:c>
      <x:c r="AA49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BBC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7" t="e">
        <x:f>HYPERLINK("https://en.wikipedia.org/wiki/Time","Open source")</x:f>
        <x:v>HYPERLINK is not implemented. linkLocation=https://en.wikipedia.org/wiki/Time, friendlyName=Open source</x:v>
      </x:c>
      <x:c r="AN494" s="14" t="str">
        <x:v>BBC public-service commission</x:v>
      </x:c>
      <x:c r="AO494" s="14" t="str">
        <x:v>Yes</x:v>
      </x:c>
      <x:c r="AP494" s="14" t="str">
        <x:v>Direct BBC public-service scope</x:v>
      </x:c>
      <x:c r="AQ494" s="14" t="str">
        <x:v>Yes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7</x:v>
      </x:c>
      <x:c r="BP494" s="14" t="str">
        <x:v>Maximum eligible IMDb cast-credit total (7), shared by 1 performer(s); not independently verified as a 2021-only episode total.</x:v>
      </x:c>
      <x:c r="BQ494" s="14" t="str">
        <x:v>Low</x:v>
      </x:c>
      <x:c r="BR494" s="15" t="n">
        <x:v>3</x:v>
      </x:c>
      <x:c r="BS494" s="16" t="n">
        <x:v>0.4285714285714285</x:v>
      </x:c>
      <x:c r="BT494" s="14" t="str">
        <x:v>Minority of episodes</x:v>
      </x:c>
      <x:c r="BU494" s="14" t="str">
        <x:v>Low</x:v>
      </x:c>
      <x:c r="BV494" s="14" t="str">
        <x:v>Derived from supplied IMDb episode count and the documented production-total proxy.</x:v>
      </x:c>
      <x:c r="BW494" s="14" t="str">
        <x:v>Unable to determine</x:v>
      </x:c>
      <x:c r="BX494" s="14" t="str">
        <x:v>Supplied cast data establishes the credit and episode presence but does not establish narrative prominence.</x:v>
      </x:c>
      <x:c r="BY494" s="14" t="str">
        <x:v>Supplied IMDb cast-list workbook</x:v>
      </x:c>
      <x:c r="BZ49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tt13138834|nm0589584|po martin</x:v>
      </x:c>
      <x:c r="B495" s="14" t="str">
        <x:v>04</x:v>
      </x:c>
      <x:c r="C495" s="14" t="str">
        <x:v>2021_IMDb_Cast_Lists_Batch_04(1).xlsx</x:v>
      </x:c>
      <x:c r="D495" s="14" t="str">
        <x:v>Time</x:v>
      </x:c>
      <x:c r="E495" s="14" t="n">
        <x:v>12</x:v>
      </x:c>
      <x:c r="F495" s="14" t="str">
        <x:v>Time</x:v>
      </x:c>
      <x:c r="G495" s="14" t="str">
        <x:v>tt13138834</x:v>
      </x:c>
      <x:c r="H495" s="14" t="n">
        <x:v>2021</x:v>
      </x:c>
      <x:c r="I495" s="14" t="n">
        <x:v>2023</x:v>
      </x:c>
      <x:c r="J495" s="14" t="str">
        <x:v>Earlier-Production Carry-In Cohort</x:v>
      </x:c>
      <x:c r="K495" s="14" t="n">
        <x:v>2021</x:v>
      </x:c>
      <x:c r="L495" s="14" t="str">
        <x:v>Used in 2023 annual analysis</x:v>
      </x:c>
      <x:c r="M495" s="15" t="n">
        <x:v>5</x:v>
      </x:c>
      <x:c r="N495" s="14" t="str">
        <x:v>Lisa Millett</x:v>
      </x:c>
      <x:c r="O495" s="14" t="str">
        <x:v>nm0589584</x:v>
      </x:c>
      <x:c r="P495" s="14" t="str">
        <x:v>PO Martin</x:v>
      </x:c>
      <x:c r="Q495" s="15" t="n">
        <x:v>3</x:v>
      </x:c>
      <x:c r="R495" s="14" t="str">
        <x:v>2023</x:v>
      </x:c>
      <x:c r="S495" s="14" t="n">
        <x:v>2023</x:v>
      </x:c>
      <x:c r="T495" s="14" t="n">
        <x:v>2023</x:v>
      </x:c>
      <x:c r="U495" s="14" t="str">
        <x:v>Post-2021 casting excluded</x:v>
      </x:c>
      <x:c r="V495" s="14" t="str">
        <x:v>Earliest supplied year is 2023, later than the 2021 study year.</x:v>
      </x:c>
      <x:c r="W495" s="14"/>
      <x:c r="X495" s="14" t="str">
        <x:v>Included</x:v>
      </x:c>
      <x:c r="Y495" s="14"/>
      <x:c r="Z495" s="14" t="str">
        <x:v>Time.docx</x:v>
      </x:c>
      <x:c r="AA49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BBC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7" t="e">
        <x:f>HYPERLINK("https://en.wikipedia.org/wiki/Time","Open source")</x:f>
        <x:v>HYPERLINK is not implemented. linkLocation=https://en.wikipedia.org/wiki/Time, friendlyName=Open source</x:v>
      </x:c>
      <x:c r="AN495" s="14" t="str">
        <x:v>BBC public-service commission</x:v>
      </x:c>
      <x:c r="AO495" s="14" t="str">
        <x:v>Yes</x:v>
      </x:c>
      <x:c r="AP495" s="14" t="str">
        <x:v>Direct BBC public-service scope</x:v>
      </x:c>
      <x:c r="AQ495" s="14" t="str">
        <x:v>Yes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7</x:v>
      </x:c>
      <x:c r="BP495" s="14" t="str">
        <x:v>Maximum eligible IMDb cast-credit total (7), shared by 1 performer(s); not independently verified as a 2021-only episode total.</x:v>
      </x:c>
      <x:c r="BQ495" s="14" t="str">
        <x:v>Low</x:v>
      </x:c>
      <x:c r="BR495" s="15" t="n">
        <x:v>3</x:v>
      </x:c>
      <x:c r="BS495" s="16" t="n">
        <x:v>0.4285714285714285</x:v>
      </x:c>
      <x:c r="BT495" s="14" t="str">
        <x:v>Minority of episodes</x:v>
      </x:c>
      <x:c r="BU495" s="14" t="str">
        <x:v>Low</x:v>
      </x:c>
      <x:c r="BV495" s="14" t="str">
        <x:v>Derived from supplied IMDb episode count and the documented production-total proxy.</x:v>
      </x:c>
      <x:c r="BW495" s="14" t="str">
        <x:v>Unable to determine</x:v>
      </x:c>
      <x:c r="BX495" s="14" t="str">
        <x:v>Supplied cast data establishes the credit and episode presence but does not establish narrative prominence.</x:v>
      </x:c>
      <x:c r="BY495" s="14" t="str">
        <x:v>Supplied IMDb cast-list workbook</x:v>
      </x:c>
      <x:c r="BZ49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tt13138834|nm8044596|abi cochrane</x:v>
      </x:c>
      <x:c r="B496" s="14" t="str">
        <x:v>04</x:v>
      </x:c>
      <x:c r="C496" s="14" t="str">
        <x:v>2021_IMDb_Cast_Lists_Batch_04(1).xlsx</x:v>
      </x:c>
      <x:c r="D496" s="14" t="str">
        <x:v>Time</x:v>
      </x:c>
      <x:c r="E496" s="14" t="n">
        <x:v>13</x:v>
      </x:c>
      <x:c r="F496" s="14" t="str">
        <x:v>Time</x:v>
      </x:c>
      <x:c r="G496" s="14" t="str">
        <x:v>tt13138834</x:v>
      </x:c>
      <x:c r="H496" s="14" t="n">
        <x:v>2021</x:v>
      </x:c>
      <x:c r="I496" s="14" t="n">
        <x:v>2023</x:v>
      </x:c>
      <x:c r="J496" s="14" t="str">
        <x:v>Earlier-Production Carry-In Cohort</x:v>
      </x:c>
      <x:c r="K496" s="14" t="n">
        <x:v>2021</x:v>
      </x:c>
      <x:c r="L496" s="14" t="str">
        <x:v>Used in 2023 annual analysis</x:v>
      </x:c>
      <x:c r="M496" s="15" t="n">
        <x:v>6</x:v>
      </x:c>
      <x:c r="N496" s="14" t="str">
        <x:v>Tamara Lawrance</x:v>
      </x:c>
      <x:c r="O496" s="14" t="str">
        <x:v>nm8044596</x:v>
      </x:c>
      <x:c r="P496" s="14" t="str">
        <x:v>Abi Cochrane</x:v>
      </x:c>
      <x:c r="Q496" s="15" t="n">
        <x:v>3</x:v>
      </x:c>
      <x:c r="R496" s="14" t="str">
        <x:v>2023</x:v>
      </x:c>
      <x:c r="S496" s="14" t="n">
        <x:v>2023</x:v>
      </x:c>
      <x:c r="T496" s="14" t="n">
        <x:v>2023</x:v>
      </x:c>
      <x:c r="U496" s="14" t="str">
        <x:v>Post-2021 casting excluded</x:v>
      </x:c>
      <x:c r="V496" s="14" t="str">
        <x:v>Earliest supplied year is 2023, later than the 2021 study year.</x:v>
      </x:c>
      <x:c r="W496" s="14"/>
      <x:c r="X496" s="14" t="str">
        <x:v>Included</x:v>
      </x:c>
      <x:c r="Y496" s="14"/>
      <x:c r="Z496" s="14" t="str">
        <x:v>Time.docx</x:v>
      </x:c>
      <x:c r="AA49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BBC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7" t="e">
        <x:f>HYPERLINK("https://en.wikipedia.org/wiki/Time","Open source")</x:f>
        <x:v>HYPERLINK is not implemented. linkLocation=https://en.wikipedia.org/wiki/Time, friendlyName=Open source</x:v>
      </x:c>
      <x:c r="AN496" s="14" t="str">
        <x:v>BBC public-service commission</x:v>
      </x:c>
      <x:c r="AO496" s="14" t="str">
        <x:v>Yes</x:v>
      </x:c>
      <x:c r="AP496" s="14" t="str">
        <x:v>Direct BBC public-service scope</x:v>
      </x:c>
      <x:c r="AQ496" s="14" t="str">
        <x:v>Yes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7</x:v>
      </x:c>
      <x:c r="BP496" s="14" t="str">
        <x:v>Maximum eligible IMDb cast-credit total (7), shared by 1 performer(s); not independently verified as a 2021-only episode total.</x:v>
      </x:c>
      <x:c r="BQ496" s="14" t="str">
        <x:v>Low</x:v>
      </x:c>
      <x:c r="BR496" s="15" t="n">
        <x:v>3</x:v>
      </x:c>
      <x:c r="BS496" s="16" t="n">
        <x:v>0.4285714285714285</x:v>
      </x:c>
      <x:c r="BT496" s="14" t="str">
        <x:v>Minority of episodes</x:v>
      </x:c>
      <x:c r="BU496" s="14" t="str">
        <x:v>Low</x:v>
      </x:c>
      <x:c r="BV496" s="14" t="str">
        <x:v>Derived from supplied IMDb episode count and the documented production-total proxy.</x:v>
      </x:c>
      <x:c r="BW496" s="14" t="str">
        <x:v>Unable to determine</x:v>
      </x:c>
      <x:c r="BX496" s="14" t="str">
        <x:v>Supplied cast data establishes the credit and episode presence but does not establish narrative prominence.</x:v>
      </x:c>
      <x:c r="BY496" s="14" t="str">
        <x:v>Supplied IMDb cast-list workbook</x:v>
      </x:c>
      <x:c r="BZ49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tt13138834|nm12609181|nancy o'riordan</x:v>
      </x:c>
      <x:c r="B497" s="14" t="str">
        <x:v>04</x:v>
      </x:c>
      <x:c r="C497" s="14" t="str">
        <x:v>2021_IMDb_Cast_Lists_Batch_04(1).xlsx</x:v>
      </x:c>
      <x:c r="D497" s="14" t="str">
        <x:v>Time</x:v>
      </x:c>
      <x:c r="E497" s="14" t="n">
        <x:v>15</x:v>
      </x:c>
      <x:c r="F497" s="14" t="str">
        <x:v>Time</x:v>
      </x:c>
      <x:c r="G497" s="14" t="str">
        <x:v>tt13138834</x:v>
      </x:c>
      <x:c r="H497" s="14" t="n">
        <x:v>2021</x:v>
      </x:c>
      <x:c r="I497" s="14" t="n">
        <x:v>2023</x:v>
      </x:c>
      <x:c r="J497" s="14" t="str">
        <x:v>Earlier-Production Carry-In Cohort</x:v>
      </x:c>
      <x:c r="K497" s="14" t="n">
        <x:v>2021</x:v>
      </x:c>
      <x:c r="L497" s="14" t="str">
        <x:v>Used in 2023 annual analysis</x:v>
      </x:c>
      <x:c r="M497" s="15" t="n">
        <x:v>8</x:v>
      </x:c>
      <x:c r="N497" s="14" t="str">
        <x:v>Matilda Firth</x:v>
      </x:c>
      <x:c r="O497" s="14" t="str">
        <x:v>nm12609181</x:v>
      </x:c>
      <x:c r="P497" s="14" t="str">
        <x:v>Nancy O'Riordan</x:v>
      </x:c>
      <x:c r="Q497" s="15" t="n">
        <x:v>3</x:v>
      </x:c>
      <x:c r="R497" s="14" t="str">
        <x:v>2023</x:v>
      </x:c>
      <x:c r="S497" s="14" t="n">
        <x:v>2023</x:v>
      </x:c>
      <x:c r="T497" s="14" t="n">
        <x:v>2023</x:v>
      </x:c>
      <x:c r="U497" s="14" t="str">
        <x:v>Post-2021 casting excluded</x:v>
      </x:c>
      <x:c r="V497" s="14" t="str">
        <x:v>Earliest supplied year is 2023, later than the 2021 study year.</x:v>
      </x:c>
      <x:c r="W497" s="14"/>
      <x:c r="X497" s="14" t="str">
        <x:v>Included</x:v>
      </x:c>
      <x:c r="Y497" s="14"/>
      <x:c r="Z497" s="14" t="str">
        <x:v>Time.docx</x:v>
      </x:c>
      <x:c r="AA49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BBC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7" t="e">
        <x:f>HYPERLINK("https://en.wikipedia.org/wiki/Time","Open source")</x:f>
        <x:v>HYPERLINK is not implemented. linkLocation=https://en.wikipedia.org/wiki/Time, friendlyName=Open source</x:v>
      </x:c>
      <x:c r="AN497" s="14" t="str">
        <x:v>BBC public-service commission</x:v>
      </x:c>
      <x:c r="AO497" s="14" t="str">
        <x:v>Yes</x:v>
      </x:c>
      <x:c r="AP497" s="14" t="str">
        <x:v>Direct BBC public-service scope</x:v>
      </x:c>
      <x:c r="AQ497" s="14" t="str">
        <x:v>Yes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7</x:v>
      </x:c>
      <x:c r="BP497" s="14" t="str">
        <x:v>Maximum eligible IMDb cast-credit total (7), shared by 1 performer(s); not independently verified as a 2021-only episode total.</x:v>
      </x:c>
      <x:c r="BQ497" s="14" t="str">
        <x:v>Low</x:v>
      </x:c>
      <x:c r="BR497" s="15" t="n">
        <x:v>3</x:v>
      </x:c>
      <x:c r="BS497" s="16" t="n">
        <x:v>0.4285714285714285</x:v>
      </x:c>
      <x:c r="BT497" s="14" t="str">
        <x:v>Minority of episodes</x:v>
      </x:c>
      <x:c r="BU497" s="14" t="str">
        <x:v>Low</x:v>
      </x:c>
      <x:c r="BV497" s="14" t="str">
        <x:v>Derived from supplied IMDb episode count and the documented production-total proxy.</x:v>
      </x:c>
      <x:c r="BW497" s="14" t="str">
        <x:v>Unable to determine</x:v>
      </x:c>
      <x:c r="BX497" s="14" t="str">
        <x:v>Supplied cast data establishes the credit and episode presence but does not establish narrative prominence.</x:v>
      </x:c>
      <x:c r="BY497" s="14" t="str">
        <x:v>Supplied IMDb cast-list workbook</x:v>
      </x:c>
      <x:c r="BZ49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tt13138834|nm8165602|kelsey morgan</x:v>
      </x:c>
      <x:c r="B498" s="14" t="str">
        <x:v>04</x:v>
      </x:c>
      <x:c r="C498" s="14" t="str">
        <x:v>2021_IMDb_Cast_Lists_Batch_04(1).xlsx</x:v>
      </x:c>
      <x:c r="D498" s="14" t="str">
        <x:v>Time</x:v>
      </x:c>
      <x:c r="E498" s="14" t="n">
        <x:v>16</x:v>
      </x:c>
      <x:c r="F498" s="14" t="str">
        <x:v>Time</x:v>
      </x:c>
      <x:c r="G498" s="14" t="str">
        <x:v>tt13138834</x:v>
      </x:c>
      <x:c r="H498" s="14" t="n">
        <x:v>2021</x:v>
      </x:c>
      <x:c r="I498" s="14" t="n">
        <x:v>2023</x:v>
      </x:c>
      <x:c r="J498" s="14" t="str">
        <x:v>Earlier-Production Carry-In Cohort</x:v>
      </x:c>
      <x:c r="K498" s="14" t="n">
        <x:v>2021</x:v>
      </x:c>
      <x:c r="L498" s="14" t="str">
        <x:v>Used in 2023 annual analysis</x:v>
      </x:c>
      <x:c r="M498" s="15" t="n">
        <x:v>9</x:v>
      </x:c>
      <x:c r="N498" s="14" t="str">
        <x:v>Bella Ramsey</x:v>
      </x:c>
      <x:c r="O498" s="14" t="str">
        <x:v>nm8165602</x:v>
      </x:c>
      <x:c r="P498" s="14" t="str">
        <x:v>Kelsey Morgan</x:v>
      </x:c>
      <x:c r="Q498" s="15" t="n">
        <x:v>3</x:v>
      </x:c>
      <x:c r="R498" s="14" t="str">
        <x:v>2023</x:v>
      </x:c>
      <x:c r="S498" s="14" t="n">
        <x:v>2023</x:v>
      </x:c>
      <x:c r="T498" s="14" t="n">
        <x:v>2023</x:v>
      </x:c>
      <x:c r="U498" s="14" t="str">
        <x:v>Post-2021 casting excluded</x:v>
      </x:c>
      <x:c r="V498" s="14" t="str">
        <x:v>Earliest supplied year is 2023, later than the 2021 study year.</x:v>
      </x:c>
      <x:c r="W498" s="14"/>
      <x:c r="X498" s="14" t="str">
        <x:v>Included</x:v>
      </x:c>
      <x:c r="Y498" s="14"/>
      <x:c r="Z498" s="14" t="str">
        <x:v>Time.docx</x:v>
      </x:c>
      <x:c r="AA49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498" s="14" t="str">
        <x:v>Existing established-register match</x:v>
      </x:c>
      <x:c r="AC498" s="14"/>
      <x:c r="AD498" s="14" t="str">
        <x:v>Existing register classification: Neurodivergent. Not treated as an apparent-disability finding here.</x:v>
      </x:c>
      <x:c r="AE498" s="14" t="str">
        <x:v>Established_Disability_Category_Register V1.1.xlsx</x:v>
      </x:c>
      <x:c r="AF498" s="14"/>
      <x:c r="AG498" s="14" t="str">
        <x:v>Established user-supplied classification retained for deduplication; evidence was not re-researched in this batch.</x:v>
      </x:c>
      <x:c r="AH498" s="14" t="str">
        <x:v>BBC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7" t="e">
        <x:f>HYPERLINK("https://en.wikipedia.org/wiki/Time","Open source")</x:f>
        <x:v>HYPERLINK is not implemented. linkLocation=https://en.wikipedia.org/wiki/Time, friendlyName=Open source</x:v>
      </x:c>
      <x:c r="AN498" s="14" t="str">
        <x:v>BBC public-service commission</x:v>
      </x:c>
      <x:c r="AO498" s="14" t="str">
        <x:v>Yes</x:v>
      </x:c>
      <x:c r="AP498" s="14" t="str">
        <x:v>Direct BBC public-service scope</x:v>
      </x:c>
      <x:c r="AQ498" s="14" t="str">
        <x:v>Yes</x:v>
      </x:c>
      <x:c r="AR498" s="14" t="str">
        <x:v>Resolved from master register</x:v>
      </x:c>
      <x:c r="AS498" s="14" t="str">
        <x:v>Exact IMDb performer ID match</x:v>
      </x:c>
      <x:c r="AT498" s="14" t="str">
        <x:v>nm8165602</x:v>
      </x:c>
      <x:c r="AU498" s="14" t="str">
        <x:v>Neurodivergent</x:v>
      </x:c>
      <x:c r="AV498" s="14" t="str">
        <x:v>No</x:v>
      </x:c>
      <x:c r="AW498" s="14"/>
      <x:c r="AX498" s="14" t="str">
        <x:v>Yes</x:v>
      </x:c>
      <x:c r="AY498" s="14" t="str">
        <x:v>Matched</x:v>
      </x:c>
      <x:c r="AZ498" s="14" t="str">
        <x:v>Final supplied register</x:v>
      </x:c>
      <x:c r="BA498" s="14"/>
      <x:c r="BB498" s="14" t="str">
        <x:v>Exact IMDb performer ID match</x:v>
      </x:c>
      <x:c r="BC498" s="14" t="str">
        <x:v>nm8165602</x:v>
      </x:c>
      <x:c r="BD498" s="14" t="str">
        <x:v>Bella Ramsey</x:v>
      </x:c>
      <x:c r="BE498" s="14" t="str">
        <x:v>Neurodivergent</x:v>
      </x:c>
      <x:c r="BF498" s="14" t="str">
        <x:v>No</x:v>
      </x:c>
      <x:c r="BG498" s="14"/>
      <x:c r="BH498" s="14" t="str">
        <x:v>Yes</x:v>
      </x:c>
      <x:c r="BI498" s="14" t="str">
        <x:v>User-supplied established classification</x:v>
      </x:c>
      <x:c r="BJ498" s="14" t="str">
        <x:v>11_Neurodivergent..csv</x:v>
      </x:c>
      <x:c r="BK498" s="14"/>
      <x:c r="BL498" s="14" t="str">
        <x:v>Matched</x:v>
      </x:c>
      <x:c r="BM498" s="14" t="str">
        <x:v>Final supplied register</x:v>
      </x:c>
      <x:c r="BN498" s="14"/>
      <x:c r="BO498" s="14" t="n">
        <x:v>7</x:v>
      </x:c>
      <x:c r="BP498" s="14" t="str">
        <x:v>Maximum eligible IMDb cast-credit total (7), shared by 1 performer(s); not independently verified as a 2021-only episode total.</x:v>
      </x:c>
      <x:c r="BQ498" s="14" t="str">
        <x:v>Low</x:v>
      </x:c>
      <x:c r="BR498" s="15" t="n">
        <x:v>3</x:v>
      </x:c>
      <x:c r="BS498" s="16" t="n">
        <x:v>0.4285714285714285</x:v>
      </x:c>
      <x:c r="BT498" s="14" t="str">
        <x:v>Minority of episodes</x:v>
      </x:c>
      <x:c r="BU498" s="14" t="str">
        <x:v>Low</x:v>
      </x:c>
      <x:c r="BV498" s="14" t="str">
        <x:v>Derived from supplied IMDb episode count and the documented production-total proxy.</x:v>
      </x:c>
      <x:c r="BW498" s="14" t="str">
        <x:v>Unable to determine</x:v>
      </x:c>
      <x:c r="BX498" s="14" t="str">
        <x:v>Supplied cast data establishes the credit and episode presence but does not establish narrative prominence.</x:v>
      </x:c>
      <x:c r="BY498" s="14" t="str">
        <x:v>Supplied IMDb cast-list workbook</x:v>
      </x:c>
      <x:c r="BZ49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tt13138834|nm15390540|callum o'riordan</x:v>
      </x:c>
      <x:c r="B499" s="14" t="str">
        <x:v>04</x:v>
      </x:c>
      <x:c r="C499" s="14" t="str">
        <x:v>2021_IMDb_Cast_Lists_Batch_04(1).xlsx</x:v>
      </x:c>
      <x:c r="D499" s="14" t="str">
        <x:v>Time</x:v>
      </x:c>
      <x:c r="E499" s="14" t="n">
        <x:v>17</x:v>
      </x:c>
      <x:c r="F499" s="14" t="str">
        <x:v>Time</x:v>
      </x:c>
      <x:c r="G499" s="14" t="str">
        <x:v>tt13138834</x:v>
      </x:c>
      <x:c r="H499" s="14" t="n">
        <x:v>2021</x:v>
      </x:c>
      <x:c r="I499" s="14" t="n">
        <x:v>2023</x:v>
      </x:c>
      <x:c r="J499" s="14" t="str">
        <x:v>Earlier-Production Carry-In Cohort</x:v>
      </x:c>
      <x:c r="K499" s="14" t="n">
        <x:v>2021</x:v>
      </x:c>
      <x:c r="L499" s="14" t="str">
        <x:v>Used in 2023 annual analysis</x:v>
      </x:c>
      <x:c r="M499" s="15" t="n">
        <x:v>10</x:v>
      </x:c>
      <x:c r="N499" s="14" t="str">
        <x:v>Brody Griffiths</x:v>
      </x:c>
      <x:c r="O499" s="14" t="str">
        <x:v>nm15390540</x:v>
      </x:c>
      <x:c r="P499" s="14" t="str">
        <x:v>Callum O'Riordan</x:v>
      </x:c>
      <x:c r="Q499" s="15" t="n">
        <x:v>3</x:v>
      </x:c>
      <x:c r="R499" s="14" t="str">
        <x:v>2023</x:v>
      </x:c>
      <x:c r="S499" s="14" t="n">
        <x:v>2023</x:v>
      </x:c>
      <x:c r="T499" s="14" t="n">
        <x:v>2023</x:v>
      </x:c>
      <x:c r="U499" s="14" t="str">
        <x:v>Post-2021 casting excluded</x:v>
      </x:c>
      <x:c r="V499" s="14" t="str">
        <x:v>Earliest supplied year is 2023, later than the 2021 study year.</x:v>
      </x:c>
      <x:c r="W499" s="14"/>
      <x:c r="X499" s="14" t="str">
        <x:v>Included</x:v>
      </x:c>
      <x:c r="Y499" s="14"/>
      <x:c r="Z499" s="14" t="str">
        <x:v>Time.docx</x:v>
      </x:c>
      <x:c r="AA49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BBC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7" t="e">
        <x:f>HYPERLINK("https://en.wikipedia.org/wiki/Time","Open source")</x:f>
        <x:v>HYPERLINK is not implemented. linkLocation=https://en.wikipedia.org/wiki/Time, friendlyName=Open source</x:v>
      </x:c>
      <x:c r="AN499" s="14" t="str">
        <x:v>BBC public-service commission</x:v>
      </x:c>
      <x:c r="AO499" s="14" t="str">
        <x:v>Yes</x:v>
      </x:c>
      <x:c r="AP499" s="14" t="str">
        <x:v>Direct BBC public-service scope</x:v>
      </x:c>
      <x:c r="AQ499" s="14" t="str">
        <x:v>Yes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7</x:v>
      </x:c>
      <x:c r="BP499" s="14" t="str">
        <x:v>Maximum eligible IMDb cast-credit total (7), shared by 1 performer(s); not independently verified as a 2021-only episode total.</x:v>
      </x:c>
      <x:c r="BQ499" s="14" t="str">
        <x:v>Low</x:v>
      </x:c>
      <x:c r="BR499" s="15" t="n">
        <x:v>3</x:v>
      </x:c>
      <x:c r="BS499" s="16" t="n">
        <x:v>0.4285714285714285</x:v>
      </x:c>
      <x:c r="BT499" s="14" t="str">
        <x:v>Minority of episodes</x:v>
      </x:c>
      <x:c r="BU499" s="14" t="str">
        <x:v>Low</x:v>
      </x:c>
      <x:c r="BV499" s="14" t="str">
        <x:v>Derived from supplied IMDb episode count and the documented production-total proxy.</x:v>
      </x:c>
      <x:c r="BW499" s="14" t="str">
        <x:v>Unable to determine</x:v>
      </x:c>
      <x:c r="BX499" s="14" t="str">
        <x:v>Supplied cast data establishes the credit and episode presence but does not establish narrative prominence.</x:v>
      </x:c>
      <x:c r="BY499" s="14" t="str">
        <x:v>Supplied IMDb cast-list workbook</x:v>
      </x:c>
      <x:c r="BZ49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tt13138834|nm3656240|po carter</x:v>
      </x:c>
      <x:c r="B500" s="14" t="str">
        <x:v>04</x:v>
      </x:c>
      <x:c r="C500" s="14" t="str">
        <x:v>2021_IMDb_Cast_Lists_Batch_04(1).xlsx</x:v>
      </x:c>
      <x:c r="D500" s="14" t="str">
        <x:v>Time</x:v>
      </x:c>
      <x:c r="E500" s="14" t="n">
        <x:v>20</x:v>
      </x:c>
      <x:c r="F500" s="14" t="str">
        <x:v>Time</x:v>
      </x:c>
      <x:c r="G500" s="14" t="str">
        <x:v>tt13138834</x:v>
      </x:c>
      <x:c r="H500" s="14" t="n">
        <x:v>2021</x:v>
      </x:c>
      <x:c r="I500" s="14" t="n">
        <x:v>2023</x:v>
      </x:c>
      <x:c r="J500" s="14" t="str">
        <x:v>Earlier-Production Carry-In Cohort</x:v>
      </x:c>
      <x:c r="K500" s="14" t="n">
        <x:v>2021</x:v>
      </x:c>
      <x:c r="L500" s="14" t="str">
        <x:v>Used in 2023 annual analysis</x:v>
      </x:c>
      <x:c r="M500" s="15" t="n">
        <x:v>13</x:v>
      </x:c>
      <x:c r="N500" s="14" t="str">
        <x:v>Louise Lee</x:v>
      </x:c>
      <x:c r="O500" s="14" t="str">
        <x:v>nm3656240</x:v>
      </x:c>
      <x:c r="P500" s="14" t="str">
        <x:v>PO Carter</x:v>
      </x:c>
      <x:c r="Q500" s="15" t="n">
        <x:v>3</x:v>
      </x:c>
      <x:c r="R500" s="14" t="str">
        <x:v>2023</x:v>
      </x:c>
      <x:c r="S500" s="14" t="n">
        <x:v>2023</x:v>
      </x:c>
      <x:c r="T500" s="14" t="n">
        <x:v>2023</x:v>
      </x:c>
      <x:c r="U500" s="14" t="str">
        <x:v>Post-2021 casting excluded</x:v>
      </x:c>
      <x:c r="V500" s="14" t="str">
        <x:v>Earliest supplied year is 2023, later than the 2021 study year.</x:v>
      </x:c>
      <x:c r="W500" s="14"/>
      <x:c r="X500" s="14" t="str">
        <x:v>Included</x:v>
      </x:c>
      <x:c r="Y500" s="14"/>
      <x:c r="Z500" s="14" t="str">
        <x:v>Time.docx</x:v>
      </x:c>
      <x:c r="AA50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BBC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7" t="e">
        <x:f>HYPERLINK("https://en.wikipedia.org/wiki/Time","Open source")</x:f>
        <x:v>HYPERLINK is not implemented. linkLocation=https://en.wikipedia.org/wiki/Time, friendlyName=Open source</x:v>
      </x:c>
      <x:c r="AN500" s="14" t="str">
        <x:v>BBC public-service commission</x:v>
      </x:c>
      <x:c r="AO500" s="14" t="str">
        <x:v>Yes</x:v>
      </x:c>
      <x:c r="AP500" s="14" t="str">
        <x:v>Direct BBC public-service scope</x:v>
      </x:c>
      <x:c r="AQ500" s="14" t="str">
        <x:v>Yes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7</x:v>
      </x:c>
      <x:c r="BP500" s="14" t="str">
        <x:v>Maximum eligible IMDb cast-credit total (7), shared by 1 performer(s); not independently verified as a 2021-only episode total.</x:v>
      </x:c>
      <x:c r="BQ500" s="14" t="str">
        <x:v>Low</x:v>
      </x:c>
      <x:c r="BR500" s="15" t="n">
        <x:v>3</x:v>
      </x:c>
      <x:c r="BS500" s="16" t="n">
        <x:v>0.4285714285714285</x:v>
      </x:c>
      <x:c r="BT500" s="14" t="str">
        <x:v>Minority of episodes</x:v>
      </x:c>
      <x:c r="BU500" s="14" t="str">
        <x:v>Low</x:v>
      </x:c>
      <x:c r="BV500" s="14" t="str">
        <x:v>Derived from supplied IMDb episode count and the documented production-total proxy.</x:v>
      </x:c>
      <x:c r="BW500" s="14" t="str">
        <x:v>Unable to determine</x:v>
      </x:c>
      <x:c r="BX500" s="14" t="str">
        <x:v>Supplied cast data establishes the credit and episode presence but does not establish narrative prominence.</x:v>
      </x:c>
      <x:c r="BY500" s="14" t="str">
        <x:v>Supplied IMDb cast-list workbook</x:v>
      </x:c>
      <x:c r="BZ50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tt13138834|nm12209574|kyle o'riordan</x:v>
      </x:c>
      <x:c r="B501" s="14" t="str">
        <x:v>04</x:v>
      </x:c>
      <x:c r="C501" s="14" t="str">
        <x:v>2021_IMDb_Cast_Lists_Batch_04(1).xlsx</x:v>
      </x:c>
      <x:c r="D501" s="14" t="str">
        <x:v>Time</x:v>
      </x:c>
      <x:c r="E501" s="14" t="n">
        <x:v>21</x:v>
      </x:c>
      <x:c r="F501" s="14" t="str">
        <x:v>Time</x:v>
      </x:c>
      <x:c r="G501" s="14" t="str">
        <x:v>tt13138834</x:v>
      </x:c>
      <x:c r="H501" s="14" t="n">
        <x:v>2021</x:v>
      </x:c>
      <x:c r="I501" s="14" t="n">
        <x:v>2023</x:v>
      </x:c>
      <x:c r="J501" s="14" t="str">
        <x:v>Earlier-Production Carry-In Cohort</x:v>
      </x:c>
      <x:c r="K501" s="14" t="n">
        <x:v>2021</x:v>
      </x:c>
      <x:c r="L501" s="14" t="str">
        <x:v>Used in 2023 annual analysis</x:v>
      </x:c>
      <x:c r="M501" s="15" t="n">
        <x:v>14</x:v>
      </x:c>
      <x:c r="N501" s="14" t="str">
        <x:v>Isaac Lancel-Watkinson</x:v>
      </x:c>
      <x:c r="O501" s="14" t="str">
        <x:v>nm12209574</x:v>
      </x:c>
      <x:c r="P501" s="14" t="str">
        <x:v>Kyle O'Riordan</x:v>
      </x:c>
      <x:c r="Q501" s="15" t="n">
        <x:v>3</x:v>
      </x:c>
      <x:c r="R501" s="14" t="str">
        <x:v>2023</x:v>
      </x:c>
      <x:c r="S501" s="14" t="n">
        <x:v>2023</x:v>
      </x:c>
      <x:c r="T501" s="14" t="n">
        <x:v>2023</x:v>
      </x:c>
      <x:c r="U501" s="14" t="str">
        <x:v>Post-2021 casting excluded</x:v>
      </x:c>
      <x:c r="V501" s="14" t="str">
        <x:v>Earliest supplied year is 2023, later than the 2021 study year.</x:v>
      </x:c>
      <x:c r="W501" s="14"/>
      <x:c r="X501" s="14" t="str">
        <x:v>Included</x:v>
      </x:c>
      <x:c r="Y501" s="14"/>
      <x:c r="Z501" s="14" t="str">
        <x:v>Time.docx</x:v>
      </x:c>
      <x:c r="AA501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BBC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7" t="e">
        <x:f>HYPERLINK("https://en.wikipedia.org/wiki/Time","Open source")</x:f>
        <x:v>HYPERLINK is not implemented. linkLocation=https://en.wikipedia.org/wiki/Time, friendlyName=Open source</x:v>
      </x:c>
      <x:c r="AN501" s="14" t="str">
        <x:v>BBC public-service commission</x:v>
      </x:c>
      <x:c r="AO501" s="14" t="str">
        <x:v>Yes</x:v>
      </x:c>
      <x:c r="AP501" s="14" t="str">
        <x:v>Direct BBC public-service scope</x:v>
      </x:c>
      <x:c r="AQ501" s="14" t="str">
        <x:v>Yes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7</x:v>
      </x:c>
      <x:c r="BP501" s="14" t="str">
        <x:v>Maximum eligible IMDb cast-credit total (7), shared by 1 performer(s); not independently verified as a 2021-only episode total.</x:v>
      </x:c>
      <x:c r="BQ501" s="14" t="str">
        <x:v>Low</x:v>
      </x:c>
      <x:c r="BR501" s="15" t="n">
        <x:v>3</x:v>
      </x:c>
      <x:c r="BS501" s="16" t="n">
        <x:v>0.4285714285714285</x:v>
      </x:c>
      <x:c r="BT501" s="14" t="str">
        <x:v>Minority of episodes</x:v>
      </x:c>
      <x:c r="BU501" s="14" t="str">
        <x:v>Low</x:v>
      </x:c>
      <x:c r="BV501" s="14" t="str">
        <x:v>Derived from supplied IMDb episode count and the documented production-total proxy.</x:v>
      </x:c>
      <x:c r="BW501" s="14" t="str">
        <x:v>Unable to determine</x:v>
      </x:c>
      <x:c r="BX501" s="14" t="str">
        <x:v>Supplied cast data establishes the credit and episode presence but does not establish narrative prominence.</x:v>
      </x:c>
      <x:c r="BY501" s="14" t="str">
        <x:v>Supplied IMDb cast-list workbook</x:v>
      </x:c>
      <x:c r="BZ501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tt13138834|nm10452282|adam muller</x:v>
      </x:c>
      <x:c r="B502" s="14" t="str">
        <x:v>04</x:v>
      </x:c>
      <x:c r="C502" s="14" t="str">
        <x:v>2021_IMDb_Cast_Lists_Batch_04(1).xlsx</x:v>
      </x:c>
      <x:c r="D502" s="14" t="str">
        <x:v>Time</x:v>
      </x:c>
      <x:c r="E502" s="14" t="n">
        <x:v>24</x:v>
      </x:c>
      <x:c r="F502" s="14" t="str">
        <x:v>Time</x:v>
      </x:c>
      <x:c r="G502" s="14" t="str">
        <x:v>tt13138834</x:v>
      </x:c>
      <x:c r="H502" s="14" t="n">
        <x:v>2021</x:v>
      </x:c>
      <x:c r="I502" s="14" t="n">
        <x:v>2023</x:v>
      </x:c>
      <x:c r="J502" s="14" t="str">
        <x:v>Earlier-Production Carry-In Cohort</x:v>
      </x:c>
      <x:c r="K502" s="14" t="n">
        <x:v>2021</x:v>
      </x:c>
      <x:c r="L502" s="14" t="str">
        <x:v>Used in 2023 annual analysis</x:v>
      </x:c>
      <x:c r="M502" s="15" t="n">
        <x:v>17</x:v>
      </x:c>
      <x:c r="N502" s="14" t="str">
        <x:v>Nicholas Nunn</x:v>
      </x:c>
      <x:c r="O502" s="14" t="str">
        <x:v>nm10452282</x:v>
      </x:c>
      <x:c r="P502" s="14" t="str">
        <x:v>Adam Muller</x:v>
      </x:c>
      <x:c r="Q502" s="15" t="n">
        <x:v>3</x:v>
      </x:c>
      <x:c r="R502" s="14" t="str">
        <x:v>2023</x:v>
      </x:c>
      <x:c r="S502" s="14" t="n">
        <x:v>2023</x:v>
      </x:c>
      <x:c r="T502" s="14" t="n">
        <x:v>2023</x:v>
      </x:c>
      <x:c r="U502" s="14" t="str">
        <x:v>Post-2021 casting excluded</x:v>
      </x:c>
      <x:c r="V502" s="14" t="str">
        <x:v>Earliest supplied year is 2023, later than the 2021 study year.</x:v>
      </x:c>
      <x:c r="W502" s="14"/>
      <x:c r="X502" s="14" t="str">
        <x:v>Included</x:v>
      </x:c>
      <x:c r="Y502" s="14"/>
      <x:c r="Z502" s="14" t="str">
        <x:v>Time.docx</x:v>
      </x:c>
      <x:c r="AA502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BBC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7" t="e">
        <x:f>HYPERLINK("https://en.wikipedia.org/wiki/Time","Open source")</x:f>
        <x:v>HYPERLINK is not implemented. linkLocation=https://en.wikipedia.org/wiki/Time, friendlyName=Open source</x:v>
      </x:c>
      <x:c r="AN502" s="14" t="str">
        <x:v>BBC public-service commission</x:v>
      </x:c>
      <x:c r="AO502" s="14" t="str">
        <x:v>Yes</x:v>
      </x:c>
      <x:c r="AP502" s="14" t="str">
        <x:v>Direct BBC public-service scope</x:v>
      </x:c>
      <x:c r="AQ502" s="14" t="str">
        <x:v>Yes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7</x:v>
      </x:c>
      <x:c r="BP502" s="14" t="str">
        <x:v>Maximum eligible IMDb cast-credit total (7), shared by 1 performer(s); not independently verified as a 2021-only episode total.</x:v>
      </x:c>
      <x:c r="BQ502" s="14" t="str">
        <x:v>Low</x:v>
      </x:c>
      <x:c r="BR502" s="15" t="n">
        <x:v>3</x:v>
      </x:c>
      <x:c r="BS502" s="16" t="n">
        <x:v>0.4285714285714285</x:v>
      </x:c>
      <x:c r="BT502" s="14" t="str">
        <x:v>Minority of episodes</x:v>
      </x:c>
      <x:c r="BU502" s="14" t="str">
        <x:v>Low</x:v>
      </x:c>
      <x:c r="BV502" s="14" t="str">
        <x:v>Derived from supplied IMDb episode count and the documented production-total proxy.</x:v>
      </x:c>
      <x:c r="BW502" s="14" t="str">
        <x:v>Unable to determine</x:v>
      </x:c>
      <x:c r="BX502" s="14" t="str">
        <x:v>Supplied cast data establishes the credit and episode presence but does not establish narrative prominence.</x:v>
      </x:c>
      <x:c r="BY502" s="14" t="str">
        <x:v>Supplied IMDb cast-list workbook</x:v>
      </x:c>
      <x:c r="BZ502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tt13138834|nm6705037|donna mills</x:v>
      </x:c>
      <x:c r="B503" s="14" t="str">
        <x:v>04</x:v>
      </x:c>
      <x:c r="C503" s="14" t="str">
        <x:v>2021_IMDb_Cast_Lists_Batch_04(1).xlsx</x:v>
      </x:c>
      <x:c r="D503" s="14" t="str">
        <x:v>Time</x:v>
      </x:c>
      <x:c r="E503" s="14" t="n">
        <x:v>26</x:v>
      </x:c>
      <x:c r="F503" s="14" t="str">
        <x:v>Time</x:v>
      </x:c>
      <x:c r="G503" s="14" t="str">
        <x:v>tt13138834</x:v>
      </x:c>
      <x:c r="H503" s="14" t="n">
        <x:v>2021</x:v>
      </x:c>
      <x:c r="I503" s="14" t="n">
        <x:v>2023</x:v>
      </x:c>
      <x:c r="J503" s="14" t="str">
        <x:v>Earlier-Production Carry-In Cohort</x:v>
      </x:c>
      <x:c r="K503" s="14" t="n">
        <x:v>2021</x:v>
      </x:c>
      <x:c r="L503" s="14" t="str">
        <x:v>Used in 2023 annual analysis</x:v>
      </x:c>
      <x:c r="M503" s="15" t="n">
        <x:v>19</x:v>
      </x:c>
      <x:c r="N503" s="14" t="str">
        <x:v>Kayla Meikle</x:v>
      </x:c>
      <x:c r="O503" s="14" t="str">
        <x:v>nm6705037</x:v>
      </x:c>
      <x:c r="P503" s="14" t="str">
        <x:v>Donna Mills</x:v>
      </x:c>
      <x:c r="Q503" s="15" t="n">
        <x:v>3</x:v>
      </x:c>
      <x:c r="R503" s="14" t="str">
        <x:v>2023</x:v>
      </x:c>
      <x:c r="S503" s="14" t="n">
        <x:v>2023</x:v>
      </x:c>
      <x:c r="T503" s="14" t="n">
        <x:v>2023</x:v>
      </x:c>
      <x:c r="U503" s="14" t="str">
        <x:v>Post-2021 casting excluded</x:v>
      </x:c>
      <x:c r="V503" s="14" t="str">
        <x:v>Earliest supplied year is 2023, later than the 2021 study year.</x:v>
      </x:c>
      <x:c r="W503" s="14"/>
      <x:c r="X503" s="14" t="str">
        <x:v>Included</x:v>
      </x:c>
      <x:c r="Y503" s="14"/>
      <x:c r="Z503" s="14" t="str">
        <x:v>Time.docx</x:v>
      </x:c>
      <x:c r="AA503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BBC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7" t="e">
        <x:f>HYPERLINK("https://en.wikipedia.org/wiki/Time","Open source")</x:f>
        <x:v>HYPERLINK is not implemented. linkLocation=https://en.wikipedia.org/wiki/Time, friendlyName=Open source</x:v>
      </x:c>
      <x:c r="AN503" s="14" t="str">
        <x:v>BBC public-service commission</x:v>
      </x:c>
      <x:c r="AO503" s="14" t="str">
        <x:v>Yes</x:v>
      </x:c>
      <x:c r="AP503" s="14" t="str">
        <x:v>Direct BBC public-service scope</x:v>
      </x:c>
      <x:c r="AQ503" s="14" t="str">
        <x:v>Yes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7</x:v>
      </x:c>
      <x:c r="BP503" s="14" t="str">
        <x:v>Maximum eligible IMDb cast-credit total (7), shared by 1 performer(s); not independently verified as a 2021-only episode total.</x:v>
      </x:c>
      <x:c r="BQ503" s="14" t="str">
        <x:v>Low</x:v>
      </x:c>
      <x:c r="BR503" s="15" t="n">
        <x:v>3</x:v>
      </x:c>
      <x:c r="BS503" s="16" t="n">
        <x:v>0.4285714285714285</x:v>
      </x:c>
      <x:c r="BT503" s="14" t="str">
        <x:v>Minority of episodes</x:v>
      </x:c>
      <x:c r="BU503" s="14" t="str">
        <x:v>Low</x:v>
      </x:c>
      <x:c r="BV503" s="14" t="str">
        <x:v>Derived from supplied IMDb episode count and the documented production-total proxy.</x:v>
      </x:c>
      <x:c r="BW503" s="14" t="str">
        <x:v>Unable to determine</x:v>
      </x:c>
      <x:c r="BX503" s="14" t="str">
        <x:v>Supplied cast data establishes the credit and episode presence but does not establish narrative prominence.</x:v>
      </x:c>
      <x:c r="BY503" s="14" t="str">
        <x:v>Supplied IMDb cast-list workbook</x:v>
      </x:c>
      <x:c r="BZ503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tt13138834|nm13420770|sarah duddy</x:v>
      </x:c>
      <x:c r="B504" s="14" t="str">
        <x:v>04</x:v>
      </x:c>
      <x:c r="C504" s="14" t="str">
        <x:v>2021_IMDb_Cast_Lists_Batch_04(1).xlsx</x:v>
      </x:c>
      <x:c r="D504" s="14" t="str">
        <x:v>Time</x:v>
      </x:c>
      <x:c r="E504" s="14" t="n">
        <x:v>27</x:v>
      </x:c>
      <x:c r="F504" s="14" t="str">
        <x:v>Time</x:v>
      </x:c>
      <x:c r="G504" s="14" t="str">
        <x:v>tt13138834</x:v>
      </x:c>
      <x:c r="H504" s="14" t="n">
        <x:v>2021</x:v>
      </x:c>
      <x:c r="I504" s="14" t="n">
        <x:v>2023</x:v>
      </x:c>
      <x:c r="J504" s="14" t="str">
        <x:v>Earlier-Production Carry-In Cohort</x:v>
      </x:c>
      <x:c r="K504" s="14" t="n">
        <x:v>2021</x:v>
      </x:c>
      <x:c r="L504" s="14" t="str">
        <x:v>Used in 2023 annual analysis</x:v>
      </x:c>
      <x:c r="M504" s="15" t="n">
        <x:v>20</x:v>
      </x:c>
      <x:c r="N504" s="14" t="str">
        <x:v>Alicia Forde</x:v>
      </x:c>
      <x:c r="O504" s="14" t="str">
        <x:v>nm13420770</x:v>
      </x:c>
      <x:c r="P504" s="14" t="str">
        <x:v>Sarah Duddy</x:v>
      </x:c>
      <x:c r="Q504" s="15" t="n">
        <x:v>3</x:v>
      </x:c>
      <x:c r="R504" s="14" t="str">
        <x:v>2023</x:v>
      </x:c>
      <x:c r="S504" s="14" t="n">
        <x:v>2023</x:v>
      </x:c>
      <x:c r="T504" s="14" t="n">
        <x:v>2023</x:v>
      </x:c>
      <x:c r="U504" s="14" t="str">
        <x:v>Post-2021 casting excluded</x:v>
      </x:c>
      <x:c r="V504" s="14" t="str">
        <x:v>Earliest supplied year is 2023, later than the 2021 study year.</x:v>
      </x:c>
      <x:c r="W504" s="14"/>
      <x:c r="X504" s="14" t="str">
        <x:v>Included</x:v>
      </x:c>
      <x:c r="Y504" s="14"/>
      <x:c r="Z504" s="14" t="str">
        <x:v>Time.docx</x:v>
      </x:c>
      <x:c r="AA50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BBC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7" t="e">
        <x:f>HYPERLINK("https://en.wikipedia.org/wiki/Time","Open source")</x:f>
        <x:v>HYPERLINK is not implemented. linkLocation=https://en.wikipedia.org/wiki/Time, friendlyName=Open source</x:v>
      </x:c>
      <x:c r="AN504" s="14" t="str">
        <x:v>BBC public-service commission</x:v>
      </x:c>
      <x:c r="AO504" s="14" t="str">
        <x:v>Yes</x:v>
      </x:c>
      <x:c r="AP504" s="14" t="str">
        <x:v>Direct BBC public-service scope</x:v>
      </x:c>
      <x:c r="AQ504" s="14" t="str">
        <x:v>Yes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7</x:v>
      </x:c>
      <x:c r="BP504" s="14" t="str">
        <x:v>Maximum eligible IMDb cast-credit total (7), shared by 1 performer(s); not independently verified as a 2021-only episode total.</x:v>
      </x:c>
      <x:c r="BQ504" s="14" t="str">
        <x:v>Low</x:v>
      </x:c>
      <x:c r="BR504" s="15" t="n">
        <x:v>3</x:v>
      </x:c>
      <x:c r="BS504" s="16" t="n">
        <x:v>0.4285714285714285</x:v>
      </x:c>
      <x:c r="BT504" s="14" t="str">
        <x:v>Minority of episodes</x:v>
      </x:c>
      <x:c r="BU504" s="14" t="str">
        <x:v>Low</x:v>
      </x:c>
      <x:c r="BV504" s="14" t="str">
        <x:v>Derived from supplied IMDb episode count and the documented production-total proxy.</x:v>
      </x:c>
      <x:c r="BW504" s="14" t="str">
        <x:v>Unable to determine</x:v>
      </x:c>
      <x:c r="BX504" s="14" t="str">
        <x:v>Supplied cast data establishes the credit and episode presence but does not establish narrative prominence.</x:v>
      </x:c>
      <x:c r="BY504" s="14" t="str">
        <x:v>Supplied IMDb cast-list workbook</x:v>
      </x:c>
      <x:c r="BZ50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tt13138834|nm8139654|maeve riley</x:v>
      </x:c>
      <x:c r="B505" s="14" t="str">
        <x:v>04</x:v>
      </x:c>
      <x:c r="C505" s="14" t="str">
        <x:v>2021_IMDb_Cast_Lists_Batch_04(1).xlsx</x:v>
      </x:c>
      <x:c r="D505" s="14" t="str">
        <x:v>Time</x:v>
      </x:c>
      <x:c r="E505" s="14" t="n">
        <x:v>28</x:v>
      </x:c>
      <x:c r="F505" s="14" t="str">
        <x:v>Time</x:v>
      </x:c>
      <x:c r="G505" s="14" t="str">
        <x:v>tt13138834</x:v>
      </x:c>
      <x:c r="H505" s="14" t="n">
        <x:v>2021</x:v>
      </x:c>
      <x:c r="I505" s="14" t="n">
        <x:v>2023</x:v>
      </x:c>
      <x:c r="J505" s="14" t="str">
        <x:v>Earlier-Production Carry-In Cohort</x:v>
      </x:c>
      <x:c r="K505" s="14" t="n">
        <x:v>2021</x:v>
      </x:c>
      <x:c r="L505" s="14" t="str">
        <x:v>Used in 2023 annual analysis</x:v>
      </x:c>
      <x:c r="M505" s="15" t="n">
        <x:v>21</x:v>
      </x:c>
      <x:c r="N505" s="14" t="str">
        <x:v>Sophie Willan</x:v>
      </x:c>
      <x:c r="O505" s="14" t="str">
        <x:v>nm8139654</x:v>
      </x:c>
      <x:c r="P505" s="14" t="str">
        <x:v>Maeve Riley</x:v>
      </x:c>
      <x:c r="Q505" s="15" t="n">
        <x:v>3</x:v>
      </x:c>
      <x:c r="R505" s="14" t="str">
        <x:v>2023</x:v>
      </x:c>
      <x:c r="S505" s="14" t="n">
        <x:v>2023</x:v>
      </x:c>
      <x:c r="T505" s="14" t="n">
        <x:v>2023</x:v>
      </x:c>
      <x:c r="U505" s="14" t="str">
        <x:v>Post-2021 casting excluded</x:v>
      </x:c>
      <x:c r="V505" s="14" t="str">
        <x:v>Earliest supplied year is 2023, later than the 2021 study year.</x:v>
      </x:c>
      <x:c r="W505" s="14"/>
      <x:c r="X505" s="14" t="str">
        <x:v>Included</x:v>
      </x:c>
      <x:c r="Y505" s="14"/>
      <x:c r="Z505" s="14" t="str">
        <x:v>Time.docx</x:v>
      </x:c>
      <x:c r="AA50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BBC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7" t="e">
        <x:f>HYPERLINK("https://en.wikipedia.org/wiki/Time","Open source")</x:f>
        <x:v>HYPERLINK is not implemented. linkLocation=https://en.wikipedia.org/wiki/Time, friendlyName=Open source</x:v>
      </x:c>
      <x:c r="AN505" s="14" t="str">
        <x:v>BBC public-service commission</x:v>
      </x:c>
      <x:c r="AO505" s="14" t="str">
        <x:v>Yes</x:v>
      </x:c>
      <x:c r="AP505" s="14" t="str">
        <x:v>Direct BBC public-service scope</x:v>
      </x:c>
      <x:c r="AQ505" s="14" t="str">
        <x:v>Yes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7</x:v>
      </x:c>
      <x:c r="BP505" s="14" t="str">
        <x:v>Maximum eligible IMDb cast-credit total (7), shared by 1 performer(s); not independently verified as a 2021-only episode total.</x:v>
      </x:c>
      <x:c r="BQ505" s="14" t="str">
        <x:v>Low</x:v>
      </x:c>
      <x:c r="BR505" s="15" t="n">
        <x:v>3</x:v>
      </x:c>
      <x:c r="BS505" s="16" t="n">
        <x:v>0.4285714285714285</x:v>
      </x:c>
      <x:c r="BT505" s="14" t="str">
        <x:v>Minority of episodes</x:v>
      </x:c>
      <x:c r="BU505" s="14" t="str">
        <x:v>Low</x:v>
      </x:c>
      <x:c r="BV505" s="14" t="str">
        <x:v>Derived from supplied IMDb episode count and the documented production-total proxy.</x:v>
      </x:c>
      <x:c r="BW505" s="14" t="str">
        <x:v>Unable to determine</x:v>
      </x:c>
      <x:c r="BX505" s="14" t="str">
        <x:v>Supplied cast data establishes the credit and episode presence but does not establish narrative prominence.</x:v>
      </x:c>
      <x:c r="BY505" s="14" t="str">
        <x:v>Supplied IMDb cast-list workbook</x:v>
      </x:c>
      <x:c r="BZ50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tt13138834|nm0334150|lou harkness</x:v>
      </x:c>
      <x:c r="B506" s="14" t="str">
        <x:v>04</x:v>
      </x:c>
      <x:c r="C506" s="14" t="str">
        <x:v>2021_IMDb_Cast_Lists_Batch_04(1).xlsx</x:v>
      </x:c>
      <x:c r="D506" s="14" t="str">
        <x:v>Time</x:v>
      </x:c>
      <x:c r="E506" s="14" t="n">
        <x:v>30</x:v>
      </x:c>
      <x:c r="F506" s="14" t="str">
        <x:v>Time</x:v>
      </x:c>
      <x:c r="G506" s="14" t="str">
        <x:v>tt13138834</x:v>
      </x:c>
      <x:c r="H506" s="14" t="n">
        <x:v>2021</x:v>
      </x:c>
      <x:c r="I506" s="14" t="n">
        <x:v>2023</x:v>
      </x:c>
      <x:c r="J506" s="14" t="str">
        <x:v>Earlier-Production Carry-In Cohort</x:v>
      </x:c>
      <x:c r="K506" s="14" t="n">
        <x:v>2021</x:v>
      </x:c>
      <x:c r="L506" s="14" t="str">
        <x:v>Used in 2023 annual analysis</x:v>
      </x:c>
      <x:c r="M506" s="15" t="n">
        <x:v>23</x:v>
      </x:c>
      <x:c r="N506" s="14" t="str">
        <x:v>Julie Graham</x:v>
      </x:c>
      <x:c r="O506" s="14" t="str">
        <x:v>nm0334150</x:v>
      </x:c>
      <x:c r="P506" s="14" t="str">
        <x:v>Lou Harkness</x:v>
      </x:c>
      <x:c r="Q506" s="15" t="n">
        <x:v>3</x:v>
      </x:c>
      <x:c r="R506" s="14" t="str">
        <x:v>2023</x:v>
      </x:c>
      <x:c r="S506" s="14" t="n">
        <x:v>2023</x:v>
      </x:c>
      <x:c r="T506" s="14" t="n">
        <x:v>2023</x:v>
      </x:c>
      <x:c r="U506" s="14" t="str">
        <x:v>Post-2021 casting excluded</x:v>
      </x:c>
      <x:c r="V506" s="14" t="str">
        <x:v>Earliest supplied year is 2023, later than the 2021 study year.</x:v>
      </x:c>
      <x:c r="W506" s="14"/>
      <x:c r="X506" s="14" t="str">
        <x:v>Included</x:v>
      </x:c>
      <x:c r="Y506" s="14"/>
      <x:c r="Z506" s="14" t="str">
        <x:v>Time.docx</x:v>
      </x:c>
      <x:c r="AA50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BBC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7" t="e">
        <x:f>HYPERLINK("https://en.wikipedia.org/wiki/Time","Open source")</x:f>
        <x:v>HYPERLINK is not implemented. linkLocation=https://en.wikipedia.org/wiki/Time, friendlyName=Open source</x:v>
      </x:c>
      <x:c r="AN506" s="14" t="str">
        <x:v>BBC public-service commission</x:v>
      </x:c>
      <x:c r="AO506" s="14" t="str">
        <x:v>Yes</x:v>
      </x:c>
      <x:c r="AP506" s="14" t="str">
        <x:v>Direct BBC public-service scope</x:v>
      </x:c>
      <x:c r="AQ506" s="14" t="str">
        <x:v>Yes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7</x:v>
      </x:c>
      <x:c r="BP506" s="14" t="str">
        <x:v>Maximum eligible IMDb cast-credit total (7), shared by 1 performer(s); not independently verified as a 2021-only episode total.</x:v>
      </x:c>
      <x:c r="BQ506" s="14" t="str">
        <x:v>Low</x:v>
      </x:c>
      <x:c r="BR506" s="15" t="n">
        <x:v>3</x:v>
      </x:c>
      <x:c r="BS506" s="16" t="n">
        <x:v>0.4285714285714285</x:v>
      </x:c>
      <x:c r="BT506" s="14" t="str">
        <x:v>Minority of episodes</x:v>
      </x:c>
      <x:c r="BU506" s="14" t="str">
        <x:v>Low</x:v>
      </x:c>
      <x:c r="BV506" s="14" t="str">
        <x:v>Derived from supplied IMDb episode count and the documented production-total proxy.</x:v>
      </x:c>
      <x:c r="BW506" s="14" t="str">
        <x:v>Unable to determine</x:v>
      </x:c>
      <x:c r="BX506" s="14" t="str">
        <x:v>Supplied cast data establishes the credit and episode presence but does not establish narrative prominence.</x:v>
      </x:c>
      <x:c r="BY506" s="14" t="str">
        <x:v>Supplied IMDb cast-list workbook</x:v>
      </x:c>
      <x:c r="BZ50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tt13138834|nm2427837|tanya helsby</x:v>
      </x:c>
      <x:c r="B507" s="14" t="str">
        <x:v>04</x:v>
      </x:c>
      <x:c r="C507" s="14" t="str">
        <x:v>2021_IMDb_Cast_Lists_Batch_04(1).xlsx</x:v>
      </x:c>
      <x:c r="D507" s="14" t="str">
        <x:v>Time</x:v>
      </x:c>
      <x:c r="E507" s="14" t="n">
        <x:v>37</x:v>
      </x:c>
      <x:c r="F507" s="14" t="str">
        <x:v>Time</x:v>
      </x:c>
      <x:c r="G507" s="14" t="str">
        <x:v>tt13138834</x:v>
      </x:c>
      <x:c r="H507" s="14" t="n">
        <x:v>2021</x:v>
      </x:c>
      <x:c r="I507" s="14" t="n">
        <x:v>2023</x:v>
      </x:c>
      <x:c r="J507" s="14" t="str">
        <x:v>Earlier-Production Carry-In Cohort</x:v>
      </x:c>
      <x:c r="K507" s="14" t="n">
        <x:v>2021</x:v>
      </x:c>
      <x:c r="L507" s="14" t="str">
        <x:v>Used in 2023 annual analysis</x:v>
      </x:c>
      <x:c r="M507" s="15" t="n">
        <x:v>30</x:v>
      </x:c>
      <x:c r="N507" s="14" t="str">
        <x:v>Faye McKeever</x:v>
      </x:c>
      <x:c r="O507" s="14" t="str">
        <x:v>nm2427837</x:v>
      </x:c>
      <x:c r="P507" s="14" t="str">
        <x:v>Tanya Helsby</x:v>
      </x:c>
      <x:c r="Q507" s="15" t="n">
        <x:v>3</x:v>
      </x:c>
      <x:c r="R507" s="14" t="str">
        <x:v>2023</x:v>
      </x:c>
      <x:c r="S507" s="14" t="n">
        <x:v>2023</x:v>
      </x:c>
      <x:c r="T507" s="14" t="n">
        <x:v>2023</x:v>
      </x:c>
      <x:c r="U507" s="14" t="str">
        <x:v>Post-2021 casting excluded</x:v>
      </x:c>
      <x:c r="V507" s="14" t="str">
        <x:v>Earliest supplied year is 2023, later than the 2021 study year.</x:v>
      </x:c>
      <x:c r="W507" s="14"/>
      <x:c r="X507" s="14" t="str">
        <x:v>Included</x:v>
      </x:c>
      <x:c r="Y507" s="14"/>
      <x:c r="Z507" s="14" t="str">
        <x:v>Time.docx</x:v>
      </x:c>
      <x:c r="AA50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BBC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HYPERLINK("https://en.wikipedia.org/wiki/Time","Open source")</x:f>
        <x:v>HYPERLINK is not implemented. linkLocation=https://en.wikipedia.org/wiki/Time, friendlyName=Open source</x:v>
      </x:c>
      <x:c r="AN507" s="14" t="str">
        <x:v>BBC public-service commission</x:v>
      </x:c>
      <x:c r="AO507" s="14" t="str">
        <x:v>Yes</x:v>
      </x:c>
      <x:c r="AP507" s="14" t="str">
        <x:v>Direct BBC public-service scope</x:v>
      </x:c>
      <x:c r="AQ507" s="14" t="str">
        <x:v>Yes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7</x:v>
      </x:c>
      <x:c r="BP507" s="14" t="str">
        <x:v>Maximum eligible IMDb cast-credit total (7), shared by 1 performer(s); not independently verified as a 2021-only episode total.</x:v>
      </x:c>
      <x:c r="BQ507" s="14" t="str">
        <x:v>Low</x:v>
      </x:c>
      <x:c r="BR507" s="15" t="n">
        <x:v>3</x:v>
      </x:c>
      <x:c r="BS507" s="16" t="n">
        <x:v>0.4285714285714285</x:v>
      </x:c>
      <x:c r="BT507" s="14" t="str">
        <x:v>Minority of episodes</x:v>
      </x:c>
      <x:c r="BU507" s="14" t="str">
        <x:v>Low</x:v>
      </x:c>
      <x:c r="BV507" s="14" t="str">
        <x:v>Derived from supplied IMDb episode count and the documented production-total proxy.</x:v>
      </x:c>
      <x:c r="BW507" s="14" t="str">
        <x:v>Unable to determine</x:v>
      </x:c>
      <x:c r="BX507" s="14" t="str">
        <x:v>Supplied cast data establishes the credit and episode presence but does not establish narrative prominence.</x:v>
      </x:c>
      <x:c r="BY507" s="14" t="str">
        <x:v>Supplied IMDb cast-list workbook</x:v>
      </x:c>
      <x:c r="BZ50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tt13138834|nm15416186|tash</x:v>
      </x:c>
      <x:c r="B508" s="14" t="str">
        <x:v>04</x:v>
      </x:c>
      <x:c r="C508" s="14" t="str">
        <x:v>2021_IMDb_Cast_Lists_Batch_04(1).xlsx</x:v>
      </x:c>
      <x:c r="D508" s="14" t="str">
        <x:v>Time</x:v>
      </x:c>
      <x:c r="E508" s="14" t="n">
        <x:v>42</x:v>
      </x:c>
      <x:c r="F508" s="14" t="str">
        <x:v>Time</x:v>
      </x:c>
      <x:c r="G508" s="14" t="str">
        <x:v>tt13138834</x:v>
      </x:c>
      <x:c r="H508" s="14" t="n">
        <x:v>2021</x:v>
      </x:c>
      <x:c r="I508" s="14" t="n">
        <x:v>2023</x:v>
      </x:c>
      <x:c r="J508" s="14" t="str">
        <x:v>Earlier-Production Carry-In Cohort</x:v>
      </x:c>
      <x:c r="K508" s="14" t="n">
        <x:v>2021</x:v>
      </x:c>
      <x:c r="L508" s="14" t="str">
        <x:v>Used in 2023 annual analysis</x:v>
      </x:c>
      <x:c r="M508" s="15" t="n">
        <x:v>35</x:v>
      </x:c>
      <x:c r="N508" s="14" t="str">
        <x:v>Alexandra Monaghan</x:v>
      </x:c>
      <x:c r="O508" s="14" t="str">
        <x:v>nm15416186</x:v>
      </x:c>
      <x:c r="P508" s="14" t="str">
        <x:v>Tash</x:v>
      </x:c>
      <x:c r="Q508" s="15" t="n">
        <x:v>2</x:v>
      </x:c>
      <x:c r="R508" s="14" t="str">
        <x:v>2023</x:v>
      </x:c>
      <x:c r="S508" s="14" t="n">
        <x:v>2023</x:v>
      </x:c>
      <x:c r="T508" s="14" t="n">
        <x:v>2023</x:v>
      </x:c>
      <x:c r="U508" s="14" t="str">
        <x:v>Post-2021 casting excluded</x:v>
      </x:c>
      <x:c r="V508" s="14" t="str">
        <x:v>Earliest supplied year is 2023, later than the 2021 study year.</x:v>
      </x:c>
      <x:c r="W508" s="14"/>
      <x:c r="X508" s="14" t="str">
        <x:v>Included</x:v>
      </x:c>
      <x:c r="Y508" s="14"/>
      <x:c r="Z508" s="14" t="str">
        <x:v>Time.docx</x:v>
      </x:c>
      <x:c r="AA50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BBC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HYPERLINK("https://en.wikipedia.org/wiki/Time","Open source")</x:f>
        <x:v>HYPERLINK is not implemented. linkLocation=https://en.wikipedia.org/wiki/Time, friendlyName=Open source</x:v>
      </x:c>
      <x:c r="AN508" s="14" t="str">
        <x:v>BBC public-service commission</x:v>
      </x:c>
      <x:c r="AO508" s="14" t="str">
        <x:v>Yes</x:v>
      </x:c>
      <x:c r="AP508" s="14" t="str">
        <x:v>Direct BBC public-service scope</x:v>
      </x:c>
      <x:c r="AQ508" s="14" t="str">
        <x:v>Yes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7</x:v>
      </x:c>
      <x:c r="BP508" s="14" t="str">
        <x:v>Maximum eligible IMDb cast-credit total (7), shared by 1 performer(s); not independently verified as a 2021-only episode total.</x:v>
      </x:c>
      <x:c r="BQ508" s="14" t="str">
        <x:v>Low</x:v>
      </x:c>
      <x:c r="BR508" s="15" t="n">
        <x:v>2</x:v>
      </x:c>
      <x:c r="BS508" s="16" t="n">
        <x:v>0.2857142857142857</x:v>
      </x:c>
      <x:c r="BT508" s="14" t="str">
        <x:v>Minority of episodes</x:v>
      </x:c>
      <x:c r="BU508" s="14" t="str">
        <x:v>Low</x:v>
      </x:c>
      <x:c r="BV508" s="14" t="str">
        <x:v>Derived from supplied IMDb episode count and the documented production-total proxy.</x:v>
      </x:c>
      <x:c r="BW508" s="14" t="str">
        <x:v>Unable to determine</x:v>
      </x:c>
      <x:c r="BX508" s="14" t="str">
        <x:v>Supplied cast data establishes the credit and episode presence but does not establish narrative prominence.</x:v>
      </x:c>
      <x:c r="BY508" s="14" t="str">
        <x:v>Supplied IMDb cast-list workbook</x:v>
      </x:c>
      <x:c r="BZ50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tt13138834|nm1735111|tess palmer</x:v>
      </x:c>
      <x:c r="B509" s="14" t="str">
        <x:v>04</x:v>
      </x:c>
      <x:c r="C509" s="14" t="str">
        <x:v>2021_IMDb_Cast_Lists_Batch_04(1).xlsx</x:v>
      </x:c>
      <x:c r="D509" s="14" t="str">
        <x:v>Time</x:v>
      </x:c>
      <x:c r="E509" s="14" t="n">
        <x:v>48</x:v>
      </x:c>
      <x:c r="F509" s="14" t="str">
        <x:v>Time</x:v>
      </x:c>
      <x:c r="G509" s="14" t="str">
        <x:v>tt13138834</x:v>
      </x:c>
      <x:c r="H509" s="14" t="n">
        <x:v>2021</x:v>
      </x:c>
      <x:c r="I509" s="14" t="n">
        <x:v>2023</x:v>
      </x:c>
      <x:c r="J509" s="14" t="str">
        <x:v>Earlier-Production Carry-In Cohort</x:v>
      </x:c>
      <x:c r="K509" s="14" t="n">
        <x:v>2021</x:v>
      </x:c>
      <x:c r="L509" s="14" t="str">
        <x:v>Used in 2023 annual analysis</x:v>
      </x:c>
      <x:c r="M509" s="15" t="n">
        <x:v>41</x:v>
      </x:c>
      <x:c r="N509" s="14" t="str">
        <x:v>Danielle Henry</x:v>
      </x:c>
      <x:c r="O509" s="14" t="str">
        <x:v>nm1735111</x:v>
      </x:c>
      <x:c r="P509" s="14" t="str">
        <x:v>Tess Palmer</x:v>
      </x:c>
      <x:c r="Q509" s="15" t="n">
        <x:v>2</x:v>
      </x:c>
      <x:c r="R509" s="14" t="str">
        <x:v>2023</x:v>
      </x:c>
      <x:c r="S509" s="14" t="n">
        <x:v>2023</x:v>
      </x:c>
      <x:c r="T509" s="14" t="n">
        <x:v>2023</x:v>
      </x:c>
      <x:c r="U509" s="14" t="str">
        <x:v>Post-2021 casting excluded</x:v>
      </x:c>
      <x:c r="V509" s="14" t="str">
        <x:v>Earliest supplied year is 2023, later than the 2021 study year.</x:v>
      </x:c>
      <x:c r="W509" s="14"/>
      <x:c r="X509" s="14" t="str">
        <x:v>Included</x:v>
      </x:c>
      <x:c r="Y509" s="14"/>
      <x:c r="Z509" s="14" t="str">
        <x:v>Time.docx</x:v>
      </x:c>
      <x:c r="AA50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BBC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HYPERLINK("https://en.wikipedia.org/wiki/Time","Open source")</x:f>
        <x:v>HYPERLINK is not implemented. linkLocation=https://en.wikipedia.org/wiki/Time, friendlyName=Open source</x:v>
      </x:c>
      <x:c r="AN509" s="14" t="str">
        <x:v>BBC public-service commission</x:v>
      </x:c>
      <x:c r="AO509" s="14" t="str">
        <x:v>Yes</x:v>
      </x:c>
      <x:c r="AP509" s="14" t="str">
        <x:v>Direct BBC public-service scope</x:v>
      </x:c>
      <x:c r="AQ509" s="14" t="str">
        <x:v>Yes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7</x:v>
      </x:c>
      <x:c r="BP509" s="14" t="str">
        <x:v>Maximum eligible IMDb cast-credit total (7), shared by 1 performer(s); not independently verified as a 2021-only episode total.</x:v>
      </x:c>
      <x:c r="BQ509" s="14" t="str">
        <x:v>Low</x:v>
      </x:c>
      <x:c r="BR509" s="15" t="n">
        <x:v>2</x:v>
      </x:c>
      <x:c r="BS509" s="16" t="n">
        <x:v>0.2857142857142857</x:v>
      </x:c>
      <x:c r="BT509" s="14" t="str">
        <x:v>Minority of episodes</x:v>
      </x:c>
      <x:c r="BU509" s="14" t="str">
        <x:v>Low</x:v>
      </x:c>
      <x:c r="BV509" s="14" t="str">
        <x:v>Derived from supplied IMDb episode count and the documented production-total proxy.</x:v>
      </x:c>
      <x:c r="BW509" s="14" t="str">
        <x:v>Unable to determine</x:v>
      </x:c>
      <x:c r="BX509" s="14" t="str">
        <x:v>Supplied cast data establishes the credit and episode presence but does not establish narrative prominence.</x:v>
      </x:c>
      <x:c r="BY509" s="14" t="str">
        <x:v>Supplied IMDb cast-list workbook</x:v>
      </x:c>
      <x:c r="BZ50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tt13138834|nm0378269|elizabeth o'riordan</x:v>
      </x:c>
      <x:c r="B510" s="14" t="str">
        <x:v>04</x:v>
      </x:c>
      <x:c r="C510" s="14" t="str">
        <x:v>2021_IMDb_Cast_Lists_Batch_04(1).xlsx</x:v>
      </x:c>
      <x:c r="D510" s="14" t="str">
        <x:v>Time</x:v>
      </x:c>
      <x:c r="E510" s="14" t="n">
        <x:v>49</x:v>
      </x:c>
      <x:c r="F510" s="14" t="str">
        <x:v>Time</x:v>
      </x:c>
      <x:c r="G510" s="14" t="str">
        <x:v>tt13138834</x:v>
      </x:c>
      <x:c r="H510" s="14" t="n">
        <x:v>2021</x:v>
      </x:c>
      <x:c r="I510" s="14" t="n">
        <x:v>2023</x:v>
      </x:c>
      <x:c r="J510" s="14" t="str">
        <x:v>Earlier-Production Carry-In Cohort</x:v>
      </x:c>
      <x:c r="K510" s="14" t="n">
        <x:v>2021</x:v>
      </x:c>
      <x:c r="L510" s="14" t="str">
        <x:v>Used in 2023 annual analysis</x:v>
      </x:c>
      <x:c r="M510" s="15" t="n">
        <x:v>42</x:v>
      </x:c>
      <x:c r="N510" s="14" t="str">
        <x:v>Karen Henthorn</x:v>
      </x:c>
      <x:c r="O510" s="14" t="str">
        <x:v>nm0378269</x:v>
      </x:c>
      <x:c r="P510" s="14" t="str">
        <x:v>Elizabeth O'Riordan</x:v>
      </x:c>
      <x:c r="Q510" s="15" t="n">
        <x:v>2</x:v>
      </x:c>
      <x:c r="R510" s="14" t="str">
        <x:v>2023</x:v>
      </x:c>
      <x:c r="S510" s="14" t="n">
        <x:v>2023</x:v>
      </x:c>
      <x:c r="T510" s="14" t="n">
        <x:v>2023</x:v>
      </x:c>
      <x:c r="U510" s="14" t="str">
        <x:v>Post-2021 casting excluded</x:v>
      </x:c>
      <x:c r="V510" s="14" t="str">
        <x:v>Earliest supplied year is 2023, later than the 2021 study year.</x:v>
      </x:c>
      <x:c r="W510" s="14"/>
      <x:c r="X510" s="14" t="str">
        <x:v>Included</x:v>
      </x:c>
      <x:c r="Y510" s="14"/>
      <x:c r="Z510" s="14" t="str">
        <x:v>Time.docx</x:v>
      </x:c>
      <x:c r="AA51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BBC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HYPERLINK("https://en.wikipedia.org/wiki/Time","Open source")</x:f>
        <x:v>HYPERLINK is not implemented. linkLocation=https://en.wikipedia.org/wiki/Time, friendlyName=Open source</x:v>
      </x:c>
      <x:c r="AN510" s="14" t="str">
        <x:v>BBC public-service commission</x:v>
      </x:c>
      <x:c r="AO510" s="14" t="str">
        <x:v>Yes</x:v>
      </x:c>
      <x:c r="AP510" s="14" t="str">
        <x:v>Direct BBC public-service scope</x:v>
      </x:c>
      <x:c r="AQ510" s="14" t="str">
        <x:v>Yes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7</x:v>
      </x:c>
      <x:c r="BP510" s="14" t="str">
        <x:v>Maximum eligible IMDb cast-credit total (7), shared by 1 performer(s); not independently verified as a 2021-only episode total.</x:v>
      </x:c>
      <x:c r="BQ510" s="14" t="str">
        <x:v>Low</x:v>
      </x:c>
      <x:c r="BR510" s="15" t="n">
        <x:v>2</x:v>
      </x:c>
      <x:c r="BS510" s="16" t="n">
        <x:v>0.2857142857142857</x:v>
      </x:c>
      <x:c r="BT510" s="14" t="str">
        <x:v>Minority of episodes</x:v>
      </x:c>
      <x:c r="BU510" s="14" t="str">
        <x:v>Low</x:v>
      </x:c>
      <x:c r="BV510" s="14" t="str">
        <x:v>Derived from supplied IMDb episode count and the documented production-total proxy.</x:v>
      </x:c>
      <x:c r="BW510" s="14" t="str">
        <x:v>Unable to determine</x:v>
      </x:c>
      <x:c r="BX510" s="14" t="str">
        <x:v>Supplied cast data establishes the credit and episode presence but does not establish narrative prominence.</x:v>
      </x:c>
      <x:c r="BY510" s="14" t="str">
        <x:v>Supplied IMDb cast-list workbook</x:v>
      </x:c>
      <x:c r="BZ51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tt13138834|nm5857064|rob cochrane</x:v>
      </x:c>
      <x:c r="B511" s="14" t="str">
        <x:v>04</x:v>
      </x:c>
      <x:c r="C511" s="14" t="str">
        <x:v>2021_IMDb_Cast_Lists_Batch_04(1).xlsx</x:v>
      </x:c>
      <x:c r="D511" s="14" t="str">
        <x:v>Time</x:v>
      </x:c>
      <x:c r="E511" s="14" t="n">
        <x:v>50</x:v>
      </x:c>
      <x:c r="F511" s="14" t="str">
        <x:v>Time</x:v>
      </x:c>
      <x:c r="G511" s="14" t="str">
        <x:v>tt13138834</x:v>
      </x:c>
      <x:c r="H511" s="14" t="n">
        <x:v>2021</x:v>
      </x:c>
      <x:c r="I511" s="14" t="n">
        <x:v>2023</x:v>
      </x:c>
      <x:c r="J511" s="14" t="str">
        <x:v>Earlier-Production Carry-In Cohort</x:v>
      </x:c>
      <x:c r="K511" s="14" t="n">
        <x:v>2021</x:v>
      </x:c>
      <x:c r="L511" s="14" t="str">
        <x:v>Used in 2023 annual analysis</x:v>
      </x:c>
      <x:c r="M511" s="15" t="n">
        <x:v>43</x:v>
      </x:c>
      <x:c r="N511" s="14" t="str">
        <x:v>James Corrigan</x:v>
      </x:c>
      <x:c r="O511" s="14" t="str">
        <x:v>nm5857064</x:v>
      </x:c>
      <x:c r="P511" s="14" t="str">
        <x:v>Rob Cochrane</x:v>
      </x:c>
      <x:c r="Q511" s="15" t="n">
        <x:v>2</x:v>
      </x:c>
      <x:c r="R511" s="14" t="str">
        <x:v>2023</x:v>
      </x:c>
      <x:c r="S511" s="14" t="n">
        <x:v>2023</x:v>
      </x:c>
      <x:c r="T511" s="14" t="n">
        <x:v>2023</x:v>
      </x:c>
      <x:c r="U511" s="14" t="str">
        <x:v>Post-2021 casting excluded</x:v>
      </x:c>
      <x:c r="V511" s="14" t="str">
        <x:v>Earliest supplied year is 2023, later than the 2021 study year.</x:v>
      </x:c>
      <x:c r="W511" s="14"/>
      <x:c r="X511" s="14" t="str">
        <x:v>Included</x:v>
      </x:c>
      <x:c r="Y511" s="14"/>
      <x:c r="Z511" s="14" t="str">
        <x:v>Time.docx</x:v>
      </x:c>
      <x:c r="AA511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BBC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HYPERLINK("https://en.wikipedia.org/wiki/Time","Open source")</x:f>
        <x:v>HYPERLINK is not implemented. linkLocation=https://en.wikipedia.org/wiki/Time, friendlyName=Open source</x:v>
      </x:c>
      <x:c r="AN511" s="14" t="str">
        <x:v>BBC public-service commission</x:v>
      </x:c>
      <x:c r="AO511" s="14" t="str">
        <x:v>Yes</x:v>
      </x:c>
      <x:c r="AP511" s="14" t="str">
        <x:v>Direct BBC public-service scope</x:v>
      </x:c>
      <x:c r="AQ511" s="14" t="str">
        <x:v>Yes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7</x:v>
      </x:c>
      <x:c r="BP511" s="14" t="str">
        <x:v>Maximum eligible IMDb cast-credit total (7), shared by 1 performer(s); not independently verified as a 2021-only episode total.</x:v>
      </x:c>
      <x:c r="BQ511" s="14" t="str">
        <x:v>Low</x:v>
      </x:c>
      <x:c r="BR511" s="15" t="n">
        <x:v>2</x:v>
      </x:c>
      <x:c r="BS511" s="16" t="n">
        <x:v>0.2857142857142857</x:v>
      </x:c>
      <x:c r="BT511" s="14" t="str">
        <x:v>Minority of episodes</x:v>
      </x:c>
      <x:c r="BU511" s="14" t="str">
        <x:v>Low</x:v>
      </x:c>
      <x:c r="BV511" s="14" t="str">
        <x:v>Derived from supplied IMDb episode count and the documented production-total proxy.</x:v>
      </x:c>
      <x:c r="BW511" s="14" t="str">
        <x:v>Unable to determine</x:v>
      </x:c>
      <x:c r="BX511" s="14" t="str">
        <x:v>Supplied cast data establishes the credit and episode presence but does not establish narrative prominence.</x:v>
      </x:c>
      <x:c r="BY511" s="14" t="str">
        <x:v>Supplied IMDb cast-list workbook</x:v>
      </x:c>
      <x:c r="BZ511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tt13138834|nm4051192|sonographer</x:v>
      </x:c>
      <x:c r="B512" s="14" t="str">
        <x:v>04</x:v>
      </x:c>
      <x:c r="C512" s="14" t="str">
        <x:v>2021_IMDb_Cast_Lists_Batch_04(1).xlsx</x:v>
      </x:c>
      <x:c r="D512" s="14" t="str">
        <x:v>Time</x:v>
      </x:c>
      <x:c r="E512" s="14" t="n">
        <x:v>51</x:v>
      </x:c>
      <x:c r="F512" s="14" t="str">
        <x:v>Time</x:v>
      </x:c>
      <x:c r="G512" s="14" t="str">
        <x:v>tt13138834</x:v>
      </x:c>
      <x:c r="H512" s="14" t="n">
        <x:v>2021</x:v>
      </x:c>
      <x:c r="I512" s="14" t="n">
        <x:v>2023</x:v>
      </x:c>
      <x:c r="J512" s="14" t="str">
        <x:v>Earlier-Production Carry-In Cohort</x:v>
      </x:c>
      <x:c r="K512" s="14" t="n">
        <x:v>2021</x:v>
      </x:c>
      <x:c r="L512" s="14" t="str">
        <x:v>Used in 2023 annual analysis</x:v>
      </x:c>
      <x:c r="M512" s="15" t="n">
        <x:v>44</x:v>
      </x:c>
      <x:c r="N512" s="14" t="str">
        <x:v>Terri Reddin</x:v>
      </x:c>
      <x:c r="O512" s="14" t="str">
        <x:v>nm4051192</x:v>
      </x:c>
      <x:c r="P512" s="14" t="str">
        <x:v>Sonographer</x:v>
      </x:c>
      <x:c r="Q512" s="15" t="n">
        <x:v>2</x:v>
      </x:c>
      <x:c r="R512" s="14" t="str">
        <x:v>2023</x:v>
      </x:c>
      <x:c r="S512" s="14" t="n">
        <x:v>2023</x:v>
      </x:c>
      <x:c r="T512" s="14" t="n">
        <x:v>2023</x:v>
      </x:c>
      <x:c r="U512" s="14" t="str">
        <x:v>Post-2021 casting excluded</x:v>
      </x:c>
      <x:c r="V512" s="14" t="str">
        <x:v>Earliest supplied year is 2023, later than the 2021 study year.</x:v>
      </x:c>
      <x:c r="W512" s="14"/>
      <x:c r="X512" s="14" t="str">
        <x:v>Included</x:v>
      </x:c>
      <x:c r="Y512" s="14"/>
      <x:c r="Z512" s="14" t="str">
        <x:v>Time.docx</x:v>
      </x:c>
      <x:c r="AA512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BBC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HYPERLINK("https://en.wikipedia.org/wiki/Time","Open source")</x:f>
        <x:v>HYPERLINK is not implemented. linkLocation=https://en.wikipedia.org/wiki/Time, friendlyName=Open source</x:v>
      </x:c>
      <x:c r="AN512" s="14" t="str">
        <x:v>BBC public-service commission</x:v>
      </x:c>
      <x:c r="AO512" s="14" t="str">
        <x:v>Yes</x:v>
      </x:c>
      <x:c r="AP512" s="14" t="str">
        <x:v>Direct BBC public-service scope</x:v>
      </x:c>
      <x:c r="AQ512" s="14" t="str">
        <x:v>Yes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7</x:v>
      </x:c>
      <x:c r="BP512" s="14" t="str">
        <x:v>Maximum eligible IMDb cast-credit total (7), shared by 1 performer(s); not independently verified as a 2021-only episode total.</x:v>
      </x:c>
      <x:c r="BQ512" s="14" t="str">
        <x:v>Low</x:v>
      </x:c>
      <x:c r="BR512" s="15" t="n">
        <x:v>2</x:v>
      </x:c>
      <x:c r="BS512" s="16" t="n">
        <x:v>0.2857142857142857</x:v>
      </x:c>
      <x:c r="BT512" s="14" t="str">
        <x:v>Minority of episodes</x:v>
      </x:c>
      <x:c r="BU512" s="14" t="str">
        <x:v>Low</x:v>
      </x:c>
      <x:c r="BV512" s="14" t="str">
        <x:v>Derived from supplied IMDb episode count and the documented production-total proxy.</x:v>
      </x:c>
      <x:c r="BW512" s="14" t="str">
        <x:v>Unable to determine</x:v>
      </x:c>
      <x:c r="BX512" s="14" t="str">
        <x:v>Supplied cast data establishes the credit and episode presence but does not establish narrative prominence.</x:v>
      </x:c>
      <x:c r="BY512" s="14" t="str">
        <x:v>Supplied IMDb cast-list workbook</x:v>
      </x:c>
      <x:c r="BZ512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tt13138834|nm4837024|steven harkness / stephen harkness</x:v>
      </x:c>
      <x:c r="B513" s="14" t="str">
        <x:v>04</x:v>
      </x:c>
      <x:c r="C513" s="14" t="str">
        <x:v>2021_IMDb_Cast_Lists_Batch_04(1).xlsx</x:v>
      </x:c>
      <x:c r="D513" s="14" t="str">
        <x:v>Time</x:v>
      </x:c>
      <x:c r="E513" s="14" t="n">
        <x:v>52</x:v>
      </x:c>
      <x:c r="F513" s="14" t="str">
        <x:v>Time</x:v>
      </x:c>
      <x:c r="G513" s="14" t="str">
        <x:v>tt13138834</x:v>
      </x:c>
      <x:c r="H513" s="14" t="n">
        <x:v>2021</x:v>
      </x:c>
      <x:c r="I513" s="14" t="n">
        <x:v>2023</x:v>
      </x:c>
      <x:c r="J513" s="14" t="str">
        <x:v>Earlier-Production Carry-In Cohort</x:v>
      </x:c>
      <x:c r="K513" s="14" t="n">
        <x:v>2021</x:v>
      </x:c>
      <x:c r="L513" s="14" t="str">
        <x:v>Used in 2023 annual analysis</x:v>
      </x:c>
      <x:c r="M513" s="15" t="n">
        <x:v>45</x:v>
      </x:c>
      <x:c r="N513" s="14" t="str">
        <x:v>Conor McCarry</x:v>
      </x:c>
      <x:c r="O513" s="14" t="str">
        <x:v>nm4837024</x:v>
      </x:c>
      <x:c r="P513" s="14" t="str">
        <x:v>Steven Harkness / Stephen Harkness</x:v>
      </x:c>
      <x:c r="Q513" s="15" t="n">
        <x:v>2</x:v>
      </x:c>
      <x:c r="R513" s="14" t="str">
        <x:v>2023</x:v>
      </x:c>
      <x:c r="S513" s="14" t="n">
        <x:v>2023</x:v>
      </x:c>
      <x:c r="T513" s="14" t="n">
        <x:v>2023</x:v>
      </x:c>
      <x:c r="U513" s="14" t="str">
        <x:v>Post-2021 casting excluded</x:v>
      </x:c>
      <x:c r="V513" s="14" t="str">
        <x:v>Earliest supplied year is 2023, later than the 2021 study year.</x:v>
      </x:c>
      <x:c r="W513" s="14"/>
      <x:c r="X513" s="14" t="str">
        <x:v>Included</x:v>
      </x:c>
      <x:c r="Y513" s="14"/>
      <x:c r="Z513" s="14" t="str">
        <x:v>Time.docx</x:v>
      </x:c>
      <x:c r="AA513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BBC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HYPERLINK("https://en.wikipedia.org/wiki/Time","Open source")</x:f>
        <x:v>HYPERLINK is not implemented. linkLocation=https://en.wikipedia.org/wiki/Time, friendlyName=Open source</x:v>
      </x:c>
      <x:c r="AN513" s="14" t="str">
        <x:v>BBC public-service commission</x:v>
      </x:c>
      <x:c r="AO513" s="14" t="str">
        <x:v>Yes</x:v>
      </x:c>
      <x:c r="AP513" s="14" t="str">
        <x:v>Direct BBC public-service scope</x:v>
      </x:c>
      <x:c r="AQ513" s="14" t="str">
        <x:v>Yes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7</x:v>
      </x:c>
      <x:c r="BP513" s="14" t="str">
        <x:v>Maximum eligible IMDb cast-credit total (7), shared by 1 performer(s); not independently verified as a 2021-only episode total.</x:v>
      </x:c>
      <x:c r="BQ513" s="14" t="str">
        <x:v>Low</x:v>
      </x:c>
      <x:c r="BR513" s="15" t="n">
        <x:v>2</x:v>
      </x:c>
      <x:c r="BS513" s="16" t="n">
        <x:v>0.2857142857142857</x:v>
      </x:c>
      <x:c r="BT513" s="14" t="str">
        <x:v>Minority of episodes</x:v>
      </x:c>
      <x:c r="BU513" s="14" t="str">
        <x:v>Low</x:v>
      </x:c>
      <x:c r="BV513" s="14" t="str">
        <x:v>Derived from supplied IMDb episode count and the documented production-total proxy.</x:v>
      </x:c>
      <x:c r="BW513" s="14" t="str">
        <x:v>Unable to determine</x:v>
      </x:c>
      <x:c r="BX513" s="14" t="str">
        <x:v>Supplied cast data establishes the credit and episode presence but does not establish narrative prominence.</x:v>
      </x:c>
      <x:c r="BY513" s="14" t="str">
        <x:v>Supplied IMDb cast-list workbook</x:v>
      </x:c>
      <x:c r="BZ513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tt13138834|nm12874628|social worker</x:v>
      </x:c>
      <x:c r="B514" s="14" t="str">
        <x:v>04</x:v>
      </x:c>
      <x:c r="C514" s="14" t="str">
        <x:v>2021_IMDb_Cast_Lists_Batch_04(1).xlsx</x:v>
      </x:c>
      <x:c r="D514" s="14" t="str">
        <x:v>Time</x:v>
      </x:c>
      <x:c r="E514" s="14" t="n">
        <x:v>54</x:v>
      </x:c>
      <x:c r="F514" s="14" t="str">
        <x:v>Time</x:v>
      </x:c>
      <x:c r="G514" s="14" t="str">
        <x:v>tt13138834</x:v>
      </x:c>
      <x:c r="H514" s="14" t="n">
        <x:v>2021</x:v>
      </x:c>
      <x:c r="I514" s="14" t="n">
        <x:v>2023</x:v>
      </x:c>
      <x:c r="J514" s="14" t="str">
        <x:v>Earlier-Production Carry-In Cohort</x:v>
      </x:c>
      <x:c r="K514" s="14" t="n">
        <x:v>2021</x:v>
      </x:c>
      <x:c r="L514" s="14" t="str">
        <x:v>Used in 2023 annual analysis</x:v>
      </x:c>
      <x:c r="M514" s="15" t="n">
        <x:v>47</x:v>
      </x:c>
      <x:c r="N514" s="14" t="str">
        <x:v>Jackie Jones</x:v>
      </x:c>
      <x:c r="O514" s="14" t="str">
        <x:v>nm12874628</x:v>
      </x:c>
      <x:c r="P514" s="14" t="str">
        <x:v>Social Worker</x:v>
      </x:c>
      <x:c r="Q514" s="15" t="n">
        <x:v>2</x:v>
      </x:c>
      <x:c r="R514" s="14" t="str">
        <x:v>2023</x:v>
      </x:c>
      <x:c r="S514" s="14" t="n">
        <x:v>2023</x:v>
      </x:c>
      <x:c r="T514" s="14" t="n">
        <x:v>2023</x:v>
      </x:c>
      <x:c r="U514" s="14" t="str">
        <x:v>Post-2021 casting excluded</x:v>
      </x:c>
      <x:c r="V514" s="14" t="str">
        <x:v>Earliest supplied year is 2023, later than the 2021 study year.</x:v>
      </x:c>
      <x:c r="W514" s="14"/>
      <x:c r="X514" s="14" t="str">
        <x:v>Included</x:v>
      </x:c>
      <x:c r="Y514" s="14"/>
      <x:c r="Z514" s="14" t="str">
        <x:v>Time.docx</x:v>
      </x:c>
      <x:c r="AA51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BBC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HYPERLINK("https://en.wikipedia.org/wiki/Time","Open source")</x:f>
        <x:v>HYPERLINK is not implemented. linkLocation=https://en.wikipedia.org/wiki/Time, friendlyName=Open source</x:v>
      </x:c>
      <x:c r="AN514" s="14" t="str">
        <x:v>BBC public-service commission</x:v>
      </x:c>
      <x:c r="AO514" s="14" t="str">
        <x:v>Yes</x:v>
      </x:c>
      <x:c r="AP514" s="14" t="str">
        <x:v>Direct BBC public-service scope</x:v>
      </x:c>
      <x:c r="AQ514" s="14" t="str">
        <x:v>Yes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7</x:v>
      </x:c>
      <x:c r="BP514" s="14" t="str">
        <x:v>Maximum eligible IMDb cast-credit total (7), shared by 1 performer(s); not independently verified as a 2021-only episode total.</x:v>
      </x:c>
      <x:c r="BQ514" s="14" t="str">
        <x:v>Low</x:v>
      </x:c>
      <x:c r="BR514" s="15" t="n">
        <x:v>2</x:v>
      </x:c>
      <x:c r="BS514" s="16" t="n">
        <x:v>0.2857142857142857</x:v>
      </x:c>
      <x:c r="BT514" s="14" t="str">
        <x:v>Minority of episodes</x:v>
      </x:c>
      <x:c r="BU514" s="14" t="str">
        <x:v>Low</x:v>
      </x:c>
      <x:c r="BV514" s="14" t="str">
        <x:v>Derived from supplied IMDb episode count and the documented production-total proxy.</x:v>
      </x:c>
      <x:c r="BW514" s="14" t="str">
        <x:v>Unable to determine</x:v>
      </x:c>
      <x:c r="BX514" s="14" t="str">
        <x:v>Supplied cast data establishes the credit and episode presence but does not establish narrative prominence.</x:v>
      </x:c>
      <x:c r="BY514" s="14" t="str">
        <x:v>Supplied IMDb cast-list workbook</x:v>
      </x:c>
      <x:c r="BZ51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tt13138834|nm3807052|orla's bar boss</x:v>
      </x:c>
      <x:c r="B515" s="14" t="str">
        <x:v>04</x:v>
      </x:c>
      <x:c r="C515" s="14" t="str">
        <x:v>2021_IMDb_Cast_Lists_Batch_04(1).xlsx</x:v>
      </x:c>
      <x:c r="D515" s="14" t="str">
        <x:v>Time</x:v>
      </x:c>
      <x:c r="E515" s="14" t="n">
        <x:v>55</x:v>
      </x:c>
      <x:c r="F515" s="14" t="str">
        <x:v>Time</x:v>
      </x:c>
      <x:c r="G515" s="14" t="str">
        <x:v>tt13138834</x:v>
      </x:c>
      <x:c r="H515" s="14" t="n">
        <x:v>2021</x:v>
      </x:c>
      <x:c r="I515" s="14" t="n">
        <x:v>2023</x:v>
      </x:c>
      <x:c r="J515" s="14" t="str">
        <x:v>Earlier-Production Carry-In Cohort</x:v>
      </x:c>
      <x:c r="K515" s="14" t="n">
        <x:v>2021</x:v>
      </x:c>
      <x:c r="L515" s="14" t="str">
        <x:v>Used in 2023 annual analysis</x:v>
      </x:c>
      <x:c r="M515" s="15" t="n">
        <x:v>48</x:v>
      </x:c>
      <x:c r="N515" s="14" t="str">
        <x:v>Philip Hill-Pearson</x:v>
      </x:c>
      <x:c r="O515" s="14" t="str">
        <x:v>nm3807052</x:v>
      </x:c>
      <x:c r="P515" s="14" t="str">
        <x:v>Orla's Bar Boss</x:v>
      </x:c>
      <x:c r="Q515" s="15" t="n">
        <x:v>1</x:v>
      </x:c>
      <x:c r="R515" s="14" t="str">
        <x:v>2023</x:v>
      </x:c>
      <x:c r="S515" s="14" t="n">
        <x:v>2023</x:v>
      </x:c>
      <x:c r="T515" s="14" t="n">
        <x:v>2023</x:v>
      </x:c>
      <x:c r="U515" s="14" t="str">
        <x:v>Post-2021 casting excluded</x:v>
      </x:c>
      <x:c r="V515" s="14" t="str">
        <x:v>Earliest supplied year is 2023, later than the 2021 study year.</x:v>
      </x:c>
      <x:c r="W515" s="14"/>
      <x:c r="X515" s="14" t="str">
        <x:v>Included</x:v>
      </x:c>
      <x:c r="Y515" s="14"/>
      <x:c r="Z515" s="14" t="str">
        <x:v>Time.docx</x:v>
      </x:c>
      <x:c r="AA51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BBC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HYPERLINK("https://en.wikipedia.org/wiki/Time","Open source")</x:f>
        <x:v>HYPERLINK is not implemented. linkLocation=https://en.wikipedia.org/wiki/Time, friendlyName=Open source</x:v>
      </x:c>
      <x:c r="AN515" s="14" t="str">
        <x:v>BBC public-service commission</x:v>
      </x:c>
      <x:c r="AO515" s="14" t="str">
        <x:v>Yes</x:v>
      </x:c>
      <x:c r="AP515" s="14" t="str">
        <x:v>Direct BBC public-service scope</x:v>
      </x:c>
      <x:c r="AQ515" s="14" t="str">
        <x:v>Yes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7</x:v>
      </x:c>
      <x:c r="BP515" s="14" t="str">
        <x:v>Maximum eligible IMDb cast-credit total (7), shared by 1 performer(s); not independently verified as a 2021-only episode total.</x:v>
      </x:c>
      <x:c r="BQ515" s="14" t="str">
        <x:v>Low</x:v>
      </x:c>
      <x:c r="BR515" s="15" t="n">
        <x:v>1</x:v>
      </x:c>
      <x:c r="BS515" s="16" t="n">
        <x:v>0.1428571428571428</x:v>
      </x:c>
      <x:c r="BT515" s="14" t="str">
        <x:v>One episode</x:v>
      </x:c>
      <x:c r="BU515" s="14" t="str">
        <x:v>Low</x:v>
      </x:c>
      <x:c r="BV515" s="14" t="str">
        <x:v>Derived from supplied IMDb episode count and the documented production-total proxy.</x:v>
      </x:c>
      <x:c r="BW515" s="14" t="str">
        <x:v>Unable to determine</x:v>
      </x:c>
      <x:c r="BX515" s="14" t="str">
        <x:v>Supplied cast data establishes the credit and episode presence but does not establish narrative prominence.</x:v>
      </x:c>
      <x:c r="BY515" s="14" t="str">
        <x:v>Supplied IMDb cast-list workbook</x:v>
      </x:c>
      <x:c r="BZ51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tt13138834|nm11373640|independent adjudacator</x:v>
      </x:c>
      <x:c r="B516" s="14" t="str">
        <x:v>04</x:v>
      </x:c>
      <x:c r="C516" s="14" t="str">
        <x:v>2021_IMDb_Cast_Lists_Batch_04(1).xlsx</x:v>
      </x:c>
      <x:c r="D516" s="14" t="str">
        <x:v>Time</x:v>
      </x:c>
      <x:c r="E516" s="14" t="n">
        <x:v>57</x:v>
      </x:c>
      <x:c r="F516" s="14" t="str">
        <x:v>Time</x:v>
      </x:c>
      <x:c r="G516" s="14" t="str">
        <x:v>tt13138834</x:v>
      </x:c>
      <x:c r="H516" s="14" t="n">
        <x:v>2021</x:v>
      </x:c>
      <x:c r="I516" s="14" t="n">
        <x:v>2023</x:v>
      </x:c>
      <x:c r="J516" s="14" t="str">
        <x:v>Earlier-Production Carry-In Cohort</x:v>
      </x:c>
      <x:c r="K516" s="14" t="n">
        <x:v>2021</x:v>
      </x:c>
      <x:c r="L516" s="14" t="str">
        <x:v>Used in 2023 annual analysis</x:v>
      </x:c>
      <x:c r="M516" s="15" t="n">
        <x:v>50</x:v>
      </x:c>
      <x:c r="N516" s="14" t="str">
        <x:v>Ronan Holdsworth</x:v>
      </x:c>
      <x:c r="O516" s="14" t="str">
        <x:v>nm11373640</x:v>
      </x:c>
      <x:c r="P516" s="14" t="str">
        <x:v>Independent Adjudacator</x:v>
      </x:c>
      <x:c r="Q516" s="15" t="n">
        <x:v>1</x:v>
      </x:c>
      <x:c r="R516" s="14" t="str">
        <x:v>2023</x:v>
      </x:c>
      <x:c r="S516" s="14" t="n">
        <x:v>2023</x:v>
      </x:c>
      <x:c r="T516" s="14" t="n">
        <x:v>2023</x:v>
      </x:c>
      <x:c r="U516" s="14" t="str">
        <x:v>Post-2021 casting excluded</x:v>
      </x:c>
      <x:c r="V516" s="14" t="str">
        <x:v>Earliest supplied year is 2023, later than the 2021 study year.</x:v>
      </x:c>
      <x:c r="W516" s="14"/>
      <x:c r="X516" s="14" t="str">
        <x:v>Included</x:v>
      </x:c>
      <x:c r="Y516" s="14"/>
      <x:c r="Z516" s="14" t="str">
        <x:v>Time.docx</x:v>
      </x:c>
      <x:c r="AA51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BBC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HYPERLINK("https://en.wikipedia.org/wiki/Time","Open source")</x:f>
        <x:v>HYPERLINK is not implemented. linkLocation=https://en.wikipedia.org/wiki/Time, friendlyName=Open source</x:v>
      </x:c>
      <x:c r="AN516" s="14" t="str">
        <x:v>BBC public-service commission</x:v>
      </x:c>
      <x:c r="AO516" s="14" t="str">
        <x:v>Yes</x:v>
      </x:c>
      <x:c r="AP516" s="14" t="str">
        <x:v>Direct BBC public-service scope</x:v>
      </x:c>
      <x:c r="AQ516" s="14" t="str">
        <x:v>Yes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7</x:v>
      </x:c>
      <x:c r="BP516" s="14" t="str">
        <x:v>Maximum eligible IMDb cast-credit total (7), shared by 1 performer(s); not independently verified as a 2021-only episode total.</x:v>
      </x:c>
      <x:c r="BQ516" s="14" t="str">
        <x:v>Low</x:v>
      </x:c>
      <x:c r="BR516" s="15" t="n">
        <x:v>1</x:v>
      </x:c>
      <x:c r="BS516" s="16" t="n">
        <x:v>0.1428571428571428</x:v>
      </x:c>
      <x:c r="BT516" s="14" t="str">
        <x:v>One episode</x:v>
      </x:c>
      <x:c r="BU516" s="14" t="str">
        <x:v>Low</x:v>
      </x:c>
      <x:c r="BV516" s="14" t="str">
        <x:v>Derived from supplied IMDb episode count and the documented production-total proxy.</x:v>
      </x:c>
      <x:c r="BW516" s="14" t="str">
        <x:v>Unable to determine</x:v>
      </x:c>
      <x:c r="BX516" s="14" t="str">
        <x:v>Supplied cast data establishes the credit and episode presence but does not establish narrative prominence.</x:v>
      </x:c>
      <x:c r="BY516" s="14" t="str">
        <x:v>Supplied IMDb cast-list workbook</x:v>
      </x:c>
      <x:c r="BZ51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tt13138834|nm7964124|faith</x:v>
      </x:c>
      <x:c r="B517" s="14" t="str">
        <x:v>04</x:v>
      </x:c>
      <x:c r="C517" s="14" t="str">
        <x:v>2021_IMDb_Cast_Lists_Batch_04(1).xlsx</x:v>
      </x:c>
      <x:c r="D517" s="14" t="str">
        <x:v>Time</x:v>
      </x:c>
      <x:c r="E517" s="14" t="n">
        <x:v>58</x:v>
      </x:c>
      <x:c r="F517" s="14" t="str">
        <x:v>Time</x:v>
      </x:c>
      <x:c r="G517" s="14" t="str">
        <x:v>tt13138834</x:v>
      </x:c>
      <x:c r="H517" s="14" t="n">
        <x:v>2021</x:v>
      </x:c>
      <x:c r="I517" s="14" t="n">
        <x:v>2023</x:v>
      </x:c>
      <x:c r="J517" s="14" t="str">
        <x:v>Earlier-Production Carry-In Cohort</x:v>
      </x:c>
      <x:c r="K517" s="14" t="n">
        <x:v>2021</x:v>
      </x:c>
      <x:c r="L517" s="14" t="str">
        <x:v>Used in 2023 annual analysis</x:v>
      </x:c>
      <x:c r="M517" s="15" t="n">
        <x:v>51</x:v>
      </x:c>
      <x:c r="N517" s="14" t="str">
        <x:v>Cindy Humphrey</x:v>
      </x:c>
      <x:c r="O517" s="14" t="str">
        <x:v>nm7964124</x:v>
      </x:c>
      <x:c r="P517" s="14" t="str">
        <x:v>Faith</x:v>
      </x:c>
      <x:c r="Q517" s="15" t="n">
        <x:v>1</x:v>
      </x:c>
      <x:c r="R517" s="14" t="str">
        <x:v>2023</x:v>
      </x:c>
      <x:c r="S517" s="14" t="n">
        <x:v>2023</x:v>
      </x:c>
      <x:c r="T517" s="14" t="n">
        <x:v>2023</x:v>
      </x:c>
      <x:c r="U517" s="14" t="str">
        <x:v>Post-2021 casting excluded</x:v>
      </x:c>
      <x:c r="V517" s="14" t="str">
        <x:v>Earliest supplied year is 2023, later than the 2021 study year.</x:v>
      </x:c>
      <x:c r="W517" s="14"/>
      <x:c r="X517" s="14" t="str">
        <x:v>Included</x:v>
      </x:c>
      <x:c r="Y517" s="14"/>
      <x:c r="Z517" s="14" t="str">
        <x:v>Time.docx</x:v>
      </x:c>
      <x:c r="AA51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BBC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HYPERLINK("https://en.wikipedia.org/wiki/Time","Open source")</x:f>
        <x:v>HYPERLINK is not implemented. linkLocation=https://en.wikipedia.org/wiki/Time, friendlyName=Open source</x:v>
      </x:c>
      <x:c r="AN517" s="14" t="str">
        <x:v>BBC public-service commission</x:v>
      </x:c>
      <x:c r="AO517" s="14" t="str">
        <x:v>Yes</x:v>
      </x:c>
      <x:c r="AP517" s="14" t="str">
        <x:v>Direct BBC public-service scope</x:v>
      </x:c>
      <x:c r="AQ517" s="14" t="str">
        <x:v>Yes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7</x:v>
      </x:c>
      <x:c r="BP517" s="14" t="str">
        <x:v>Maximum eligible IMDb cast-credit total (7), shared by 1 performer(s); not independently verified as a 2021-only episode total.</x:v>
      </x:c>
      <x:c r="BQ517" s="14" t="str">
        <x:v>Low</x:v>
      </x:c>
      <x:c r="BR517" s="15" t="n">
        <x:v>1</x:v>
      </x:c>
      <x:c r="BS517" s="16" t="n">
        <x:v>0.1428571428571428</x:v>
      </x:c>
      <x:c r="BT517" s="14" t="str">
        <x:v>One episode</x:v>
      </x:c>
      <x:c r="BU517" s="14" t="str">
        <x:v>Low</x:v>
      </x:c>
      <x:c r="BV517" s="14" t="str">
        <x:v>Derived from supplied IMDb episode count and the documented production-total proxy.</x:v>
      </x:c>
      <x:c r="BW517" s="14" t="str">
        <x:v>Unable to determine</x:v>
      </x:c>
      <x:c r="BX517" s="14" t="str">
        <x:v>Supplied cast data establishes the credit and episode presence but does not establish narrative prominence.</x:v>
      </x:c>
      <x:c r="BY517" s="14" t="str">
        <x:v>Supplied IMDb cast-list workbook</x:v>
      </x:c>
      <x:c r="BZ51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tt13138834|nm0125315|nurse garvey</x:v>
      </x:c>
      <x:c r="B518" s="14" t="str">
        <x:v>04</x:v>
      </x:c>
      <x:c r="C518" s="14" t="str">
        <x:v>2021_IMDb_Cast_Lists_Batch_04(1).xlsx</x:v>
      </x:c>
      <x:c r="D518" s="14" t="str">
        <x:v>Time</x:v>
      </x:c>
      <x:c r="E518" s="14" t="n">
        <x:v>59</x:v>
      </x:c>
      <x:c r="F518" s="14" t="str">
        <x:v>Time</x:v>
      </x:c>
      <x:c r="G518" s="14" t="str">
        <x:v>tt13138834</x:v>
      </x:c>
      <x:c r="H518" s="14" t="n">
        <x:v>2021</x:v>
      </x:c>
      <x:c r="I518" s="14" t="n">
        <x:v>2023</x:v>
      </x:c>
      <x:c r="J518" s="14" t="str">
        <x:v>Earlier-Production Carry-In Cohort</x:v>
      </x:c>
      <x:c r="K518" s="14" t="n">
        <x:v>2021</x:v>
      </x:c>
      <x:c r="L518" s="14" t="str">
        <x:v>Used in 2023 annual analysis</x:v>
      </x:c>
      <x:c r="M518" s="15" t="n">
        <x:v>52</x:v>
      </x:c>
      <x:c r="N518" s="14" t="str">
        <x:v>Michelle Butterly</x:v>
      </x:c>
      <x:c r="O518" s="14" t="str">
        <x:v>nm0125315</x:v>
      </x:c>
      <x:c r="P518" s="14" t="str">
        <x:v>Nurse Garvey</x:v>
      </x:c>
      <x:c r="Q518" s="15" t="n">
        <x:v>1</x:v>
      </x:c>
      <x:c r="R518" s="14" t="str">
        <x:v>2023</x:v>
      </x:c>
      <x:c r="S518" s="14" t="n">
        <x:v>2023</x:v>
      </x:c>
      <x:c r="T518" s="14" t="n">
        <x:v>2023</x:v>
      </x:c>
      <x:c r="U518" s="14" t="str">
        <x:v>Post-2021 casting excluded</x:v>
      </x:c>
      <x:c r="V518" s="14" t="str">
        <x:v>Earliest supplied year is 2023, later than the 2021 study year.</x:v>
      </x:c>
      <x:c r="W518" s="14"/>
      <x:c r="X518" s="14" t="str">
        <x:v>Included</x:v>
      </x:c>
      <x:c r="Y518" s="14"/>
      <x:c r="Z518" s="14" t="str">
        <x:v>Time.docx</x:v>
      </x:c>
      <x:c r="AA51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BBC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HYPERLINK("https://en.wikipedia.org/wiki/Time","Open source")</x:f>
        <x:v>HYPERLINK is not implemented. linkLocation=https://en.wikipedia.org/wiki/Time, friendlyName=Open source</x:v>
      </x:c>
      <x:c r="AN518" s="14" t="str">
        <x:v>BBC public-service commission</x:v>
      </x:c>
      <x:c r="AO518" s="14" t="str">
        <x:v>Yes</x:v>
      </x:c>
      <x:c r="AP518" s="14" t="str">
        <x:v>Direct BBC public-service scope</x:v>
      </x:c>
      <x:c r="AQ518" s="14" t="str">
        <x:v>Yes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7</x:v>
      </x:c>
      <x:c r="BP518" s="14" t="str">
        <x:v>Maximum eligible IMDb cast-credit total (7), shared by 1 performer(s); not independently verified as a 2021-only episode total.</x:v>
      </x:c>
      <x:c r="BQ518" s="14" t="str">
        <x:v>Low</x:v>
      </x:c>
      <x:c r="BR518" s="15" t="n">
        <x:v>1</x:v>
      </x:c>
      <x:c r="BS518" s="16" t="n">
        <x:v>0.1428571428571428</x:v>
      </x:c>
      <x:c r="BT518" s="14" t="str">
        <x:v>One episode</x:v>
      </x:c>
      <x:c r="BU518" s="14" t="str">
        <x:v>Low</x:v>
      </x:c>
      <x:c r="BV518" s="14" t="str">
        <x:v>Derived from supplied IMDb episode count and the documented production-total proxy.</x:v>
      </x:c>
      <x:c r="BW518" s="14" t="str">
        <x:v>Unable to determine</x:v>
      </x:c>
      <x:c r="BX518" s="14" t="str">
        <x:v>Supplied cast data establishes the credit and episode presence but does not establish narrative prominence.</x:v>
      </x:c>
      <x:c r="BY518" s="14" t="str">
        <x:v>Supplied IMDb cast-list workbook</x:v>
      </x:c>
      <x:c r="BZ51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tt13138834|nm8569428|tahani</x:v>
      </x:c>
      <x:c r="B519" s="14" t="str">
        <x:v>04</x:v>
      </x:c>
      <x:c r="C519" s="14" t="str">
        <x:v>2021_IMDb_Cast_Lists_Batch_04(1).xlsx</x:v>
      </x:c>
      <x:c r="D519" s="14" t="str">
        <x:v>Time</x:v>
      </x:c>
      <x:c r="E519" s="14" t="n">
        <x:v>61</x:v>
      </x:c>
      <x:c r="F519" s="14" t="str">
        <x:v>Time</x:v>
      </x:c>
      <x:c r="G519" s="14" t="str">
        <x:v>tt13138834</x:v>
      </x:c>
      <x:c r="H519" s="14" t="n">
        <x:v>2021</x:v>
      </x:c>
      <x:c r="I519" s="14" t="n">
        <x:v>2023</x:v>
      </x:c>
      <x:c r="J519" s="14" t="str">
        <x:v>Earlier-Production Carry-In Cohort</x:v>
      </x:c>
      <x:c r="K519" s="14" t="n">
        <x:v>2021</x:v>
      </x:c>
      <x:c r="L519" s="14" t="str">
        <x:v>Used in 2023 annual analysis</x:v>
      </x:c>
      <x:c r="M519" s="15" t="n">
        <x:v>54</x:v>
      </x:c>
      <x:c r="N519" s="14" t="str">
        <x:v>Maimuna Memon</x:v>
      </x:c>
      <x:c r="O519" s="14" t="str">
        <x:v>nm8569428</x:v>
      </x:c>
      <x:c r="P519" s="14" t="str">
        <x:v>Tahani</x:v>
      </x:c>
      <x:c r="Q519" s="15" t="n">
        <x:v>1</x:v>
      </x:c>
      <x:c r="R519" s="14" t="str">
        <x:v>2023</x:v>
      </x:c>
      <x:c r="S519" s="14" t="n">
        <x:v>2023</x:v>
      </x:c>
      <x:c r="T519" s="14" t="n">
        <x:v>2023</x:v>
      </x:c>
      <x:c r="U519" s="14" t="str">
        <x:v>Post-2021 casting excluded</x:v>
      </x:c>
      <x:c r="V519" s="14" t="str">
        <x:v>Earliest supplied year is 2023, later than the 2021 study year.</x:v>
      </x:c>
      <x:c r="W519" s="14"/>
      <x:c r="X519" s="14" t="str">
        <x:v>Included</x:v>
      </x:c>
      <x:c r="Y519" s="14"/>
      <x:c r="Z519" s="14" t="str">
        <x:v>Time.docx</x:v>
      </x:c>
      <x:c r="AA51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BBC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HYPERLINK("https://en.wikipedia.org/wiki/Time","Open source")</x:f>
        <x:v>HYPERLINK is not implemented. linkLocation=https://en.wikipedia.org/wiki/Time, friendlyName=Open source</x:v>
      </x:c>
      <x:c r="AN519" s="14" t="str">
        <x:v>BBC public-service commission</x:v>
      </x:c>
      <x:c r="AO519" s="14" t="str">
        <x:v>Yes</x:v>
      </x:c>
      <x:c r="AP519" s="14" t="str">
        <x:v>Direct BBC public-service scope</x:v>
      </x:c>
      <x:c r="AQ519" s="14" t="str">
        <x:v>Yes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7</x:v>
      </x:c>
      <x:c r="BP519" s="14" t="str">
        <x:v>Maximum eligible IMDb cast-credit total (7), shared by 1 performer(s); not independently verified as a 2021-only episode total.</x:v>
      </x:c>
      <x:c r="BQ519" s="14" t="str">
        <x:v>Low</x:v>
      </x:c>
      <x:c r="BR519" s="15" t="n">
        <x:v>1</x:v>
      </x:c>
      <x:c r="BS519" s="16" t="n">
        <x:v>0.1428571428571428</x:v>
      </x:c>
      <x:c r="BT519" s="14" t="str">
        <x:v>One episode</x:v>
      </x:c>
      <x:c r="BU519" s="14" t="str">
        <x:v>Low</x:v>
      </x:c>
      <x:c r="BV519" s="14" t="str">
        <x:v>Derived from supplied IMDb episode count and the documented production-total proxy.</x:v>
      </x:c>
      <x:c r="BW519" s="14" t="str">
        <x:v>Unable to determine</x:v>
      </x:c>
      <x:c r="BX519" s="14" t="str">
        <x:v>Supplied cast data establishes the credit and episode presence but does not establish narrative prominence.</x:v>
      </x:c>
      <x:c r="BY519" s="14" t="str">
        <x:v>Supplied IMDb cast-list workbook</x:v>
      </x:c>
      <x:c r="BZ51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tt13138834|nm0944070|may sinclair</x:v>
      </x:c>
      <x:c r="B520" s="14" t="str">
        <x:v>04</x:v>
      </x:c>
      <x:c r="C520" s="14" t="str">
        <x:v>2021_IMDb_Cast_Lists_Batch_04(1).xlsx</x:v>
      </x:c>
      <x:c r="D520" s="14" t="str">
        <x:v>Time</x:v>
      </x:c>
      <x:c r="E520" s="14" t="n">
        <x:v>66</x:v>
      </x:c>
      <x:c r="F520" s="14" t="str">
        <x:v>Time</x:v>
      </x:c>
      <x:c r="G520" s="14" t="str">
        <x:v>tt13138834</x:v>
      </x:c>
      <x:c r="H520" s="14" t="n">
        <x:v>2021</x:v>
      </x:c>
      <x:c r="I520" s="14" t="n">
        <x:v>2023</x:v>
      </x:c>
      <x:c r="J520" s="14" t="str">
        <x:v>Earlier-Production Carry-In Cohort</x:v>
      </x:c>
      <x:c r="K520" s="14" t="n">
        <x:v>2021</x:v>
      </x:c>
      <x:c r="L520" s="14" t="str">
        <x:v>Used in 2023 annual analysis</x:v>
      </x:c>
      <x:c r="M520" s="15" t="n">
        <x:v>59</x:v>
      </x:c>
      <x:c r="N520" s="14" t="str">
        <x:v>Angela Wynter</x:v>
      </x:c>
      <x:c r="O520" s="14" t="str">
        <x:v>nm0944070</x:v>
      </x:c>
      <x:c r="P520" s="14" t="str">
        <x:v>May Sinclair</x:v>
      </x:c>
      <x:c r="Q520" s="15" t="n">
        <x:v>1</x:v>
      </x:c>
      <x:c r="R520" s="14" t="str">
        <x:v>2023</x:v>
      </x:c>
      <x:c r="S520" s="14" t="n">
        <x:v>2023</x:v>
      </x:c>
      <x:c r="T520" s="14" t="n">
        <x:v>2023</x:v>
      </x:c>
      <x:c r="U520" s="14" t="str">
        <x:v>Post-2021 casting excluded</x:v>
      </x:c>
      <x:c r="V520" s="14" t="str">
        <x:v>Earliest supplied year is 2023, later than the 2021 study year.</x:v>
      </x:c>
      <x:c r="W520" s="14"/>
      <x:c r="X520" s="14" t="str">
        <x:v>Included</x:v>
      </x:c>
      <x:c r="Y520" s="14"/>
      <x:c r="Z520" s="14" t="str">
        <x:v>Time.docx</x:v>
      </x:c>
      <x:c r="AA52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BBC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HYPERLINK("https://en.wikipedia.org/wiki/Time","Open source")</x:f>
        <x:v>HYPERLINK is not implemented. linkLocation=https://en.wikipedia.org/wiki/Time, friendlyName=Open source</x:v>
      </x:c>
      <x:c r="AN520" s="14" t="str">
        <x:v>BBC public-service commission</x:v>
      </x:c>
      <x:c r="AO520" s="14" t="str">
        <x:v>Yes</x:v>
      </x:c>
      <x:c r="AP520" s="14" t="str">
        <x:v>Direct BBC public-service scope</x:v>
      </x:c>
      <x:c r="AQ520" s="14" t="str">
        <x:v>Yes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7</x:v>
      </x:c>
      <x:c r="BP520" s="14" t="str">
        <x:v>Maximum eligible IMDb cast-credit total (7), shared by 1 performer(s); not independently verified as a 2021-only episode total.</x:v>
      </x:c>
      <x:c r="BQ520" s="14" t="str">
        <x:v>Low</x:v>
      </x:c>
      <x:c r="BR520" s="15" t="n">
        <x:v>1</x:v>
      </x:c>
      <x:c r="BS520" s="16" t="n">
        <x:v>0.1428571428571428</x:v>
      </x:c>
      <x:c r="BT520" s="14" t="str">
        <x:v>One episode</x:v>
      </x:c>
      <x:c r="BU520" s="14" t="str">
        <x:v>Low</x:v>
      </x:c>
      <x:c r="BV520" s="14" t="str">
        <x:v>Derived from supplied IMDb episode count and the documented production-total proxy.</x:v>
      </x:c>
      <x:c r="BW520" s="14" t="str">
        <x:v>Unable to determine</x:v>
      </x:c>
      <x:c r="BX520" s="14" t="str">
        <x:v>Supplied cast data establishes the credit and episode presence but does not establish narrative prominence.</x:v>
      </x:c>
      <x:c r="BY520" s="14" t="str">
        <x:v>Supplied IMDb cast-list workbook</x:v>
      </x:c>
      <x:c r="BZ52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tt13138834|nm6888823|sarah's visitor</x:v>
      </x:c>
      <x:c r="B521" s="14" t="str">
        <x:v>04</x:v>
      </x:c>
      <x:c r="C521" s="14" t="str">
        <x:v>2021_IMDb_Cast_Lists_Batch_04(1).xlsx</x:v>
      </x:c>
      <x:c r="D521" s="14" t="str">
        <x:v>Time</x:v>
      </x:c>
      <x:c r="E521" s="14" t="n">
        <x:v>67</x:v>
      </x:c>
      <x:c r="F521" s="14" t="str">
        <x:v>Time</x:v>
      </x:c>
      <x:c r="G521" s="14" t="str">
        <x:v>tt13138834</x:v>
      </x:c>
      <x:c r="H521" s="14" t="n">
        <x:v>2021</x:v>
      </x:c>
      <x:c r="I521" s="14" t="n">
        <x:v>2023</x:v>
      </x:c>
      <x:c r="J521" s="14" t="str">
        <x:v>Earlier-Production Carry-In Cohort</x:v>
      </x:c>
      <x:c r="K521" s="14" t="n">
        <x:v>2021</x:v>
      </x:c>
      <x:c r="L521" s="14" t="str">
        <x:v>Used in 2023 annual analysis</x:v>
      </x:c>
      <x:c r="M521" s="15" t="n">
        <x:v>60</x:v>
      </x:c>
      <x:c r="N521" s="14" t="str">
        <x:v>Alicia Brockenbrow</x:v>
      </x:c>
      <x:c r="O521" s="14" t="str">
        <x:v>nm6888823</x:v>
      </x:c>
      <x:c r="P521" s="14" t="str">
        <x:v>Sarah's Visitor</x:v>
      </x:c>
      <x:c r="Q521" s="15" t="n">
        <x:v>1</x:v>
      </x:c>
      <x:c r="R521" s="14" t="str">
        <x:v>2023</x:v>
      </x:c>
      <x:c r="S521" s="14" t="n">
        <x:v>2023</x:v>
      </x:c>
      <x:c r="T521" s="14" t="n">
        <x:v>2023</x:v>
      </x:c>
      <x:c r="U521" s="14" t="str">
        <x:v>Post-2021 casting excluded</x:v>
      </x:c>
      <x:c r="V521" s="14" t="str">
        <x:v>Earliest supplied year is 2023, later than the 2021 study year.</x:v>
      </x:c>
      <x:c r="W521" s="14"/>
      <x:c r="X521" s="14" t="str">
        <x:v>Included</x:v>
      </x:c>
      <x:c r="Y521" s="14"/>
      <x:c r="Z521" s="14" t="str">
        <x:v>Time.docx</x:v>
      </x:c>
      <x:c r="AA521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HYPERLINK("https://en.wikipedia.org/wiki/Time","Open source")</x:f>
        <x:v>HYPERLINK is not implemented. linkLocation=https://en.wikipedia.org/wiki/Time,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7</x:v>
      </x:c>
      <x:c r="BP521" s="14" t="str">
        <x:v>Maximum eligible IMDb cast-credit total (7), shared by 1 performer(s); not independently verified as a 2021-only episode total.</x:v>
      </x:c>
      <x:c r="BQ521" s="14" t="str">
        <x:v>Low</x:v>
      </x:c>
      <x:c r="BR521" s="15" t="n">
        <x:v>1</x:v>
      </x:c>
      <x:c r="BS521" s="16" t="n">
        <x:v>0.1428571428571428</x:v>
      </x:c>
      <x:c r="BT521" s="14" t="str">
        <x:v>One episode</x:v>
      </x:c>
      <x:c r="BU521" s="14" t="str">
        <x:v>Low</x:v>
      </x:c>
      <x:c r="BV521" s="14" t="str">
        <x:v>Derived from supplied IMDb episode count and the documented production-total proxy.</x:v>
      </x:c>
      <x:c r="BW521" s="14" t="str">
        <x:v>Unable to determine</x:v>
      </x:c>
      <x:c r="BX521" s="14" t="str">
        <x:v>Supplied cast data establishes the credit and episode presence but does not establish narrative prominence.</x:v>
      </x:c>
      <x:c r="BY521" s="14" t="str">
        <x:v>Supplied IMDb cast-list workbook</x:v>
      </x:c>
      <x:c r="BZ521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tt13138834|nm0585484|celebrant</x:v>
      </x:c>
      <x:c r="B522" s="14" t="str">
        <x:v>04</x:v>
      </x:c>
      <x:c r="C522" s="14" t="str">
        <x:v>2021_IMDb_Cast_Lists_Batch_04(1).xlsx</x:v>
      </x:c>
      <x:c r="D522" s="14" t="str">
        <x:v>Time</x:v>
      </x:c>
      <x:c r="E522" s="14" t="n">
        <x:v>68</x:v>
      </x:c>
      <x:c r="F522" s="14" t="str">
        <x:v>Time</x:v>
      </x:c>
      <x:c r="G522" s="14" t="str">
        <x:v>tt13138834</x:v>
      </x:c>
      <x:c r="H522" s="14" t="n">
        <x:v>2021</x:v>
      </x:c>
      <x:c r="I522" s="14" t="n">
        <x:v>2023</x:v>
      </x:c>
      <x:c r="J522" s="14" t="str">
        <x:v>Earlier-Production Carry-In Cohort</x:v>
      </x:c>
      <x:c r="K522" s="14" t="n">
        <x:v>2021</x:v>
      </x:c>
      <x:c r="L522" s="14" t="str">
        <x:v>Used in 2023 annual analysis</x:v>
      </x:c>
      <x:c r="M522" s="15" t="n">
        <x:v>61</x:v>
      </x:c>
      <x:c r="N522" s="14" t="str">
        <x:v>Christopher Middleton</x:v>
      </x:c>
      <x:c r="O522" s="14" t="str">
        <x:v>nm0585484</x:v>
      </x:c>
      <x:c r="P522" s="14" t="str">
        <x:v>Celebrant</x:v>
      </x:c>
      <x:c r="Q522" s="15" t="n">
        <x:v>1</x:v>
      </x:c>
      <x:c r="R522" s="14" t="str">
        <x:v>2023</x:v>
      </x:c>
      <x:c r="S522" s="14" t="n">
        <x:v>2023</x:v>
      </x:c>
      <x:c r="T522" s="14" t="n">
        <x:v>2023</x:v>
      </x:c>
      <x:c r="U522" s="14" t="str">
        <x:v>Post-2021 casting excluded</x:v>
      </x:c>
      <x:c r="V522" s="14" t="str">
        <x:v>Earliest supplied year is 2023, later than the 2021 study year.</x:v>
      </x:c>
      <x:c r="W522" s="14"/>
      <x:c r="X522" s="14" t="str">
        <x:v>Included</x:v>
      </x:c>
      <x:c r="Y522" s="14"/>
      <x:c r="Z522" s="14" t="str">
        <x:v>Time.docx</x:v>
      </x:c>
      <x:c r="AA522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HYPERLINK("https://en.wikipedia.org/wiki/Time","Open source")</x:f>
        <x:v>HYPERLINK is not implemented. linkLocation=https://en.wikipedia.org/wiki/Time,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7</x:v>
      </x:c>
      <x:c r="BP522" s="14" t="str">
        <x:v>Maximum eligible IMDb cast-credit total (7), shared by 1 performer(s); not independently verified as a 2021-only episode total.</x:v>
      </x:c>
      <x:c r="BQ522" s="14" t="str">
        <x:v>Low</x:v>
      </x:c>
      <x:c r="BR522" s="15" t="n">
        <x:v>1</x:v>
      </x:c>
      <x:c r="BS522" s="16" t="n">
        <x:v>0.1428571428571428</x:v>
      </x:c>
      <x:c r="BT522" s="14" t="str">
        <x:v>One episode</x:v>
      </x:c>
      <x:c r="BU522" s="14" t="str">
        <x:v>Low</x:v>
      </x:c>
      <x:c r="BV522" s="14" t="str">
        <x:v>Derived from supplied IMDb episode count and the documented production-total proxy.</x:v>
      </x:c>
      <x:c r="BW522" s="14" t="str">
        <x:v>Unable to determine</x:v>
      </x:c>
      <x:c r="BX522" s="14" t="str">
        <x:v>Supplied cast data establishes the credit and episode presence but does not establish narrative prominence.</x:v>
      </x:c>
      <x:c r="BY522" s="14" t="str">
        <x:v>Supplied IMDb cast-list workbook</x:v>
      </x:c>
      <x:c r="BZ522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tt13138834|nm1600515|deputy governor</x:v>
      </x:c>
      <x:c r="B523" s="14" t="str">
        <x:v>04</x:v>
      </x:c>
      <x:c r="C523" s="14" t="str">
        <x:v>2021_IMDb_Cast_Lists_Batch_04(1).xlsx</x:v>
      </x:c>
      <x:c r="D523" s="14" t="str">
        <x:v>Time</x:v>
      </x:c>
      <x:c r="E523" s="14" t="n">
        <x:v>70</x:v>
      </x:c>
      <x:c r="F523" s="14" t="str">
        <x:v>Time</x:v>
      </x:c>
      <x:c r="G523" s="14" t="str">
        <x:v>tt13138834</x:v>
      </x:c>
      <x:c r="H523" s="14" t="n">
        <x:v>2021</x:v>
      </x:c>
      <x:c r="I523" s="14" t="n">
        <x:v>2023</x:v>
      </x:c>
      <x:c r="J523" s="14" t="str">
        <x:v>Earlier-Production Carry-In Cohort</x:v>
      </x:c>
      <x:c r="K523" s="14" t="n">
        <x:v>2021</x:v>
      </x:c>
      <x:c r="L523" s="14" t="str">
        <x:v>Used in 2023 annual analysis</x:v>
      </x:c>
      <x:c r="M523" s="15" t="n">
        <x:v>63</x:v>
      </x:c>
      <x:c r="N523" s="14" t="str">
        <x:v>Dana Haqjoo</x:v>
      </x:c>
      <x:c r="O523" s="14" t="str">
        <x:v>nm1600515</x:v>
      </x:c>
      <x:c r="P523" s="14" t="str">
        <x:v>Deputy Governor</x:v>
      </x:c>
      <x:c r="Q523" s="15" t="n">
        <x:v>1</x:v>
      </x:c>
      <x:c r="R523" s="14" t="str">
        <x:v>2023</x:v>
      </x:c>
      <x:c r="S523" s="14" t="n">
        <x:v>2023</x:v>
      </x:c>
      <x:c r="T523" s="14" t="n">
        <x:v>2023</x:v>
      </x:c>
      <x:c r="U523" s="14" t="str">
        <x:v>Post-2021 casting excluded</x:v>
      </x:c>
      <x:c r="V523" s="14" t="str">
        <x:v>Earliest supplied year is 2023, later than the 2021 study year.</x:v>
      </x:c>
      <x:c r="W523" s="14"/>
      <x:c r="X523" s="14" t="str">
        <x:v>Included</x:v>
      </x:c>
      <x:c r="Y523" s="14"/>
      <x:c r="Z523" s="14" t="str">
        <x:v>Time.docx</x:v>
      </x:c>
      <x:c r="AA523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HYPERLINK("https://en.wikipedia.org/wiki/Time","Open source")</x:f>
        <x:v>HYPERLINK is not implemented. linkLocation=https://en.wikipedia.org/wiki/Time,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7</x:v>
      </x:c>
      <x:c r="BP523" s="14" t="str">
        <x:v>Maximum eligible IMDb cast-credit total (7), shared by 1 performer(s); not independently verified as a 2021-only episode total.</x:v>
      </x:c>
      <x:c r="BQ523" s="14" t="str">
        <x:v>Low</x:v>
      </x:c>
      <x:c r="BR523" s="15" t="n">
        <x:v>1</x:v>
      </x:c>
      <x:c r="BS523" s="16" t="n">
        <x:v>0.1428571428571428</x:v>
      </x:c>
      <x:c r="BT523" s="14" t="str">
        <x:v>One episode</x:v>
      </x:c>
      <x:c r="BU523" s="14" t="str">
        <x:v>Low</x:v>
      </x:c>
      <x:c r="BV523" s="14" t="str">
        <x:v>Derived from supplied IMDb episode count and the documented production-total proxy.</x:v>
      </x:c>
      <x:c r="BW523" s="14" t="str">
        <x:v>Unable to determine</x:v>
      </x:c>
      <x:c r="BX523" s="14" t="str">
        <x:v>Supplied cast data establishes the credit and episode presence but does not establish narrative prominence.</x:v>
      </x:c>
      <x:c r="BY523" s="14" t="str">
        <x:v>Supplied IMDb cast-list workbook</x:v>
      </x:c>
      <x:c r="BZ523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tt13138834|nm7600297|hospice nurse</x:v>
      </x:c>
      <x:c r="B524" s="14" t="str">
        <x:v>04</x:v>
      </x:c>
      <x:c r="C524" s="14" t="str">
        <x:v>2021_IMDb_Cast_Lists_Batch_04(1).xlsx</x:v>
      </x:c>
      <x:c r="D524" s="14" t="str">
        <x:v>Time</x:v>
      </x:c>
      <x:c r="E524" s="14" t="n">
        <x:v>71</x:v>
      </x:c>
      <x:c r="F524" s="14" t="str">
        <x:v>Time</x:v>
      </x:c>
      <x:c r="G524" s="14" t="str">
        <x:v>tt13138834</x:v>
      </x:c>
      <x:c r="H524" s="14" t="n">
        <x:v>2021</x:v>
      </x:c>
      <x:c r="I524" s="14" t="n">
        <x:v>2023</x:v>
      </x:c>
      <x:c r="J524" s="14" t="str">
        <x:v>Earlier-Production Carry-In Cohort</x:v>
      </x:c>
      <x:c r="K524" s="14" t="n">
        <x:v>2021</x:v>
      </x:c>
      <x:c r="L524" s="14" t="str">
        <x:v>Used in 2023 annual analysis</x:v>
      </x:c>
      <x:c r="M524" s="15" t="n">
        <x:v>64</x:v>
      </x:c>
      <x:c r="N524" s="14" t="str">
        <x:v>Louise Willoughby</x:v>
      </x:c>
      <x:c r="O524" s="14" t="str">
        <x:v>nm7600297</x:v>
      </x:c>
      <x:c r="P524" s="14" t="str">
        <x:v>Hospice Nurse</x:v>
      </x:c>
      <x:c r="Q524" s="15" t="n">
        <x:v>1</x:v>
      </x:c>
      <x:c r="R524" s="14" t="str">
        <x:v>2023</x:v>
      </x:c>
      <x:c r="S524" s="14" t="n">
        <x:v>2023</x:v>
      </x:c>
      <x:c r="T524" s="14" t="n">
        <x:v>2023</x:v>
      </x:c>
      <x:c r="U524" s="14" t="str">
        <x:v>Post-2021 casting excluded</x:v>
      </x:c>
      <x:c r="V524" s="14" t="str">
        <x:v>Earliest supplied year is 2023, later than the 2021 study year.</x:v>
      </x:c>
      <x:c r="W524" s="14"/>
      <x:c r="X524" s="14" t="str">
        <x:v>Included</x:v>
      </x:c>
      <x:c r="Y524" s="14"/>
      <x:c r="Z524" s="14" t="str">
        <x:v>Time.docx</x:v>
      </x:c>
      <x:c r="AA52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HYPERLINK("https://en.wikipedia.org/wiki/Time","Open source")</x:f>
        <x:v>HYPERLINK is not implemented. linkLocation=https://en.wikipedia.org/wiki/Time,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7</x:v>
      </x:c>
      <x:c r="BP524" s="14" t="str">
        <x:v>Maximum eligible IMDb cast-credit total (7), shared by 1 performer(s); not independently verified as a 2021-only episode total.</x:v>
      </x:c>
      <x:c r="BQ524" s="14" t="str">
        <x:v>Low</x:v>
      </x:c>
      <x:c r="BR524" s="15" t="n">
        <x:v>1</x:v>
      </x:c>
      <x:c r="BS524" s="16" t="n">
        <x:v>0.1428571428571428</x:v>
      </x:c>
      <x:c r="BT524" s="14" t="str">
        <x:v>One episode</x:v>
      </x:c>
      <x:c r="BU524" s="14" t="str">
        <x:v>Low</x:v>
      </x:c>
      <x:c r="BV524" s="14" t="str">
        <x:v>Derived from supplied IMDb episode count and the documented production-total proxy.</x:v>
      </x:c>
      <x:c r="BW524" s="14" t="str">
        <x:v>Unable to determine</x:v>
      </x:c>
      <x:c r="BX524" s="14" t="str">
        <x:v>Supplied cast data establishes the credit and episode presence but does not establish narrative prominence.</x:v>
      </x:c>
      <x:c r="BY524" s="14" t="str">
        <x:v>Supplied IMDb cast-list workbook</x:v>
      </x:c>
      <x:c r="BZ524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tt13138834|nm1508068|defence barrister</x:v>
      </x:c>
      <x:c r="B525" s="14" t="str">
        <x:v>04</x:v>
      </x:c>
      <x:c r="C525" s="14" t="str">
        <x:v>2021_IMDb_Cast_Lists_Batch_04(1).xlsx</x:v>
      </x:c>
      <x:c r="D525" s="14" t="str">
        <x:v>Time</x:v>
      </x:c>
      <x:c r="E525" s="14" t="n">
        <x:v>72</x:v>
      </x:c>
      <x:c r="F525" s="14" t="str">
        <x:v>Time</x:v>
      </x:c>
      <x:c r="G525" s="14" t="str">
        <x:v>tt13138834</x:v>
      </x:c>
      <x:c r="H525" s="14" t="n">
        <x:v>2021</x:v>
      </x:c>
      <x:c r="I525" s="14" t="n">
        <x:v>2023</x:v>
      </x:c>
      <x:c r="J525" s="14" t="str">
        <x:v>Earlier-Production Carry-In Cohort</x:v>
      </x:c>
      <x:c r="K525" s="14" t="n">
        <x:v>2021</x:v>
      </x:c>
      <x:c r="L525" s="14" t="str">
        <x:v>Used in 2023 annual analysis</x:v>
      </x:c>
      <x:c r="M525" s="15" t="n">
        <x:v>65</x:v>
      </x:c>
      <x:c r="N525" s="14" t="str">
        <x:v>Andrew Loudon</x:v>
      </x:c>
      <x:c r="O525" s="14" t="str">
        <x:v>nm1508068</x:v>
      </x:c>
      <x:c r="P525" s="14" t="str">
        <x:v>Defence Barrister</x:v>
      </x:c>
      <x:c r="Q525" s="15" t="n">
        <x:v>1</x:v>
      </x:c>
      <x:c r="R525" s="14" t="str">
        <x:v>2023</x:v>
      </x:c>
      <x:c r="S525" s="14" t="n">
        <x:v>2023</x:v>
      </x:c>
      <x:c r="T525" s="14" t="n">
        <x:v>2023</x:v>
      </x:c>
      <x:c r="U525" s="14" t="str">
        <x:v>Post-2021 casting excluded</x:v>
      </x:c>
      <x:c r="V525" s="14" t="str">
        <x:v>Earliest supplied year is 2023, later than the 2021 study year.</x:v>
      </x:c>
      <x:c r="W525" s="14"/>
      <x:c r="X525" s="14" t="str">
        <x:v>Included</x:v>
      </x:c>
      <x:c r="Y525" s="14"/>
      <x:c r="Z525" s="14" t="str">
        <x:v>Time.docx</x:v>
      </x:c>
      <x:c r="AA52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HYPERLINK("https://en.wikipedia.org/wiki/Time","Open source")</x:f>
        <x:v>HYPERLINK is not implemented. linkLocation=https://en.wikipedia.org/wiki/Time,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7</x:v>
      </x:c>
      <x:c r="BP525" s="14" t="str">
        <x:v>Maximum eligible IMDb cast-credit total (7), shared by 1 performer(s); not independently verified as a 2021-only episode total.</x:v>
      </x:c>
      <x:c r="BQ525" s="14" t="str">
        <x:v>Low</x:v>
      </x:c>
      <x:c r="BR525" s="15" t="n">
        <x:v>1</x:v>
      </x:c>
      <x:c r="BS525" s="16" t="n">
        <x:v>0.1428571428571428</x:v>
      </x:c>
      <x:c r="BT525" s="14" t="str">
        <x:v>One episode</x:v>
      </x:c>
      <x:c r="BU525" s="14" t="str">
        <x:v>Low</x:v>
      </x:c>
      <x:c r="BV525" s="14" t="str">
        <x:v>Derived from supplied IMDb episode count and the documented production-total proxy.</x:v>
      </x:c>
      <x:c r="BW525" s="14" t="str">
        <x:v>Unable to determine</x:v>
      </x:c>
      <x:c r="BX525" s="14" t="str">
        <x:v>Supplied cast data establishes the credit and episode presence but does not establish narrative prominence.</x:v>
      </x:c>
      <x:c r="BY525" s="14" t="str">
        <x:v>Supplied IMDb cast-list workbook</x:v>
      </x:c>
      <x:c r="BZ525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tt13138834|nm1544594|prosecution barrister</x:v>
      </x:c>
      <x:c r="B526" s="14" t="str">
        <x:v>04</x:v>
      </x:c>
      <x:c r="C526" s="14" t="str">
        <x:v>2021_IMDb_Cast_Lists_Batch_04(1).xlsx</x:v>
      </x:c>
      <x:c r="D526" s="14" t="str">
        <x:v>Time</x:v>
      </x:c>
      <x:c r="E526" s="14" t="n">
        <x:v>75</x:v>
      </x:c>
      <x:c r="F526" s="14" t="str">
        <x:v>Time</x:v>
      </x:c>
      <x:c r="G526" s="14" t="str">
        <x:v>tt13138834</x:v>
      </x:c>
      <x:c r="H526" s="14" t="n">
        <x:v>2021</x:v>
      </x:c>
      <x:c r="I526" s="14" t="n">
        <x:v>2023</x:v>
      </x:c>
      <x:c r="J526" s="14" t="str">
        <x:v>Earlier-Production Carry-In Cohort</x:v>
      </x:c>
      <x:c r="K526" s="14" t="n">
        <x:v>2021</x:v>
      </x:c>
      <x:c r="L526" s="14" t="str">
        <x:v>Used in 2023 annual analysis</x:v>
      </x:c>
      <x:c r="M526" s="15" t="n">
        <x:v>68</x:v>
      </x:c>
      <x:c r="N526" s="14" t="str">
        <x:v>Bridgitta Roy</x:v>
      </x:c>
      <x:c r="O526" s="14" t="str">
        <x:v>nm1544594</x:v>
      </x:c>
      <x:c r="P526" s="14" t="str">
        <x:v>Prosecution Barrister</x:v>
      </x:c>
      <x:c r="Q526" s="15" t="n">
        <x:v>1</x:v>
      </x:c>
      <x:c r="R526" s="14" t="str">
        <x:v>2023</x:v>
      </x:c>
      <x:c r="S526" s="14" t="n">
        <x:v>2023</x:v>
      </x:c>
      <x:c r="T526" s="14" t="n">
        <x:v>2023</x:v>
      </x:c>
      <x:c r="U526" s="14" t="str">
        <x:v>Post-2021 casting excluded</x:v>
      </x:c>
      <x:c r="V526" s="14" t="str">
        <x:v>Earliest supplied year is 2023, later than the 2021 study year.</x:v>
      </x:c>
      <x:c r="W526" s="14"/>
      <x:c r="X526" s="14" t="str">
        <x:v>Included</x:v>
      </x:c>
      <x:c r="Y526" s="14"/>
      <x:c r="Z526" s="14" t="str">
        <x:v>Time.docx</x:v>
      </x:c>
      <x:c r="AA52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HYPERLINK("https://en.wikipedia.org/wiki/Time","Open source")</x:f>
        <x:v>HYPERLINK is not implemented. linkLocation=https://en.wikipedia.org/wiki/Time, friendlyName=Open source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7</x:v>
      </x:c>
      <x:c r="BP526" s="14" t="str">
        <x:v>Maximum eligible IMDb cast-credit total (7), shared by 1 performer(s); not independently verified as a 2021-only episode total.</x:v>
      </x:c>
      <x:c r="BQ526" s="14" t="str">
        <x:v>Low</x:v>
      </x:c>
      <x:c r="BR526" s="15" t="n">
        <x:v>1</x:v>
      </x:c>
      <x:c r="BS526" s="16" t="n">
        <x:v>0.1428571428571428</x:v>
      </x:c>
      <x:c r="BT526" s="14" t="str">
        <x:v>One episode</x:v>
      </x:c>
      <x:c r="BU526" s="14" t="str">
        <x:v>Low</x:v>
      </x:c>
      <x:c r="BV526" s="14" t="str">
        <x:v>Derived from supplied IMDb episode count and the documented production-total proxy.</x:v>
      </x:c>
      <x:c r="BW526" s="14" t="str">
        <x:v>Unable to determine</x:v>
      </x:c>
      <x:c r="BX526" s="14" t="str">
        <x:v>Supplied cast data establishes the credit and episode presence but does not establish narrative prominence.</x:v>
      </x:c>
      <x:c r="BY526" s="14" t="str">
        <x:v>Supplied IMDb cast-list workbook</x:v>
      </x:c>
      <x:c r="BZ526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tt13138834|nm0394324|judge</x:v>
      </x:c>
      <x:c r="B527" s="14" t="str">
        <x:v>04</x:v>
      </x:c>
      <x:c r="C527" s="14" t="str">
        <x:v>2021_IMDb_Cast_Lists_Batch_04(1).xlsx</x:v>
      </x:c>
      <x:c r="D527" s="14" t="str">
        <x:v>Time</x:v>
      </x:c>
      <x:c r="E527" s="14" t="n">
        <x:v>79</x:v>
      </x:c>
      <x:c r="F527" s="14" t="str">
        <x:v>Time</x:v>
      </x:c>
      <x:c r="G527" s="14" t="str">
        <x:v>tt13138834</x:v>
      </x:c>
      <x:c r="H527" s="14" t="n">
        <x:v>2021</x:v>
      </x:c>
      <x:c r="I527" s="14" t="n">
        <x:v>2023</x:v>
      </x:c>
      <x:c r="J527" s="14" t="str">
        <x:v>Earlier-Production Carry-In Cohort</x:v>
      </x:c>
      <x:c r="K527" s="14" t="n">
        <x:v>2021</x:v>
      </x:c>
      <x:c r="L527" s="14" t="str">
        <x:v>Used in 2023 annual analysis</x:v>
      </x:c>
      <x:c r="M527" s="15" t="n">
        <x:v>72</x:v>
      </x:c>
      <x:c r="N527" s="14" t="str">
        <x:v>Lizzie Hopley</x:v>
      </x:c>
      <x:c r="O527" s="14" t="str">
        <x:v>nm0394324</x:v>
      </x:c>
      <x:c r="P527" s="14" t="str">
        <x:v>Judge</x:v>
      </x:c>
      <x:c r="Q527" s="15" t="n">
        <x:v>1</x:v>
      </x:c>
      <x:c r="R527" s="14" t="str">
        <x:v>2023</x:v>
      </x:c>
      <x:c r="S527" s="14" t="n">
        <x:v>2023</x:v>
      </x:c>
      <x:c r="T527" s="14" t="n">
        <x:v>2023</x:v>
      </x:c>
      <x:c r="U527" s="14" t="str">
        <x:v>Post-2021 casting excluded</x:v>
      </x:c>
      <x:c r="V527" s="14" t="str">
        <x:v>Earliest supplied year is 2023, later than the 2021 study year.</x:v>
      </x:c>
      <x:c r="W527" s="14"/>
      <x:c r="X527" s="14" t="str">
        <x:v>Included</x:v>
      </x:c>
      <x:c r="Y527" s="14"/>
      <x:c r="Z527" s="14" t="str">
        <x:v>Time.docx</x:v>
      </x:c>
      <x:c r="AA52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HYPERLINK("https://en.wikipedia.org/wiki/Time","Open source")</x:f>
        <x:v>HYPERLINK is not implemented. linkLocation=https://en.wikipedia.org/wiki/Time, friendlyName=Open source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7</x:v>
      </x:c>
      <x:c r="BP527" s="14" t="str">
        <x:v>Maximum eligible IMDb cast-credit total (7), shared by 1 performer(s); not independently verified as a 2021-only episode total.</x:v>
      </x:c>
      <x:c r="BQ527" s="14" t="str">
        <x:v>Low</x:v>
      </x:c>
      <x:c r="BR527" s="15" t="n">
        <x:v>1</x:v>
      </x:c>
      <x:c r="BS527" s="16" t="n">
        <x:v>0.1428571428571428</x:v>
      </x:c>
      <x:c r="BT527" s="14" t="str">
        <x:v>One episode</x:v>
      </x:c>
      <x:c r="BU527" s="14" t="str">
        <x:v>Low</x:v>
      </x:c>
      <x:c r="BV527" s="14" t="str">
        <x:v>Derived from supplied IMDb episode count and the documented production-total proxy.</x:v>
      </x:c>
      <x:c r="BW527" s="14" t="str">
        <x:v>Unable to determine</x:v>
      </x:c>
      <x:c r="BX527" s="14" t="str">
        <x:v>Supplied cast data establishes the credit and episode presence but does not establish narrative prominence.</x:v>
      </x:c>
      <x:c r="BY527" s="14" t="str">
        <x:v>Supplied IMDb cast-list workbook</x:v>
      </x:c>
      <x:c r="BZ527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tt13138834|nm6641776|chairperson</x:v>
      </x:c>
      <x:c r="B528" s="14" t="str">
        <x:v>04</x:v>
      </x:c>
      <x:c r="C528" s="14" t="str">
        <x:v>2021_IMDb_Cast_Lists_Batch_04(1).xlsx</x:v>
      </x:c>
      <x:c r="D528" s="14" t="str">
        <x:v>Time</x:v>
      </x:c>
      <x:c r="E528" s="14" t="n">
        <x:v>81</x:v>
      </x:c>
      <x:c r="F528" s="14" t="str">
        <x:v>Time</x:v>
      </x:c>
      <x:c r="G528" s="14" t="str">
        <x:v>tt13138834</x:v>
      </x:c>
      <x:c r="H528" s="14" t="n">
        <x:v>2021</x:v>
      </x:c>
      <x:c r="I528" s="14" t="n">
        <x:v>2023</x:v>
      </x:c>
      <x:c r="J528" s="14" t="str">
        <x:v>Earlier-Production Carry-In Cohort</x:v>
      </x:c>
      <x:c r="K528" s="14" t="n">
        <x:v>2021</x:v>
      </x:c>
      <x:c r="L528" s="14" t="str">
        <x:v>Used in 2023 annual analysis</x:v>
      </x:c>
      <x:c r="M528" s="15" t="n">
        <x:v>74</x:v>
      </x:c>
      <x:c r="N528" s="14" t="str">
        <x:v>Stephen Whitfield</x:v>
      </x:c>
      <x:c r="O528" s="14" t="str">
        <x:v>nm6641776</x:v>
      </x:c>
      <x:c r="P528" s="14" t="str">
        <x:v>Chairperson</x:v>
      </x:c>
      <x:c r="Q528" s="15" t="n">
        <x:v>1</x:v>
      </x:c>
      <x:c r="R528" s="14" t="str">
        <x:v>2023</x:v>
      </x:c>
      <x:c r="S528" s="14" t="n">
        <x:v>2023</x:v>
      </x:c>
      <x:c r="T528" s="14" t="n">
        <x:v>2023</x:v>
      </x:c>
      <x:c r="U528" s="14" t="str">
        <x:v>Post-2021 casting excluded</x:v>
      </x:c>
      <x:c r="V528" s="14" t="str">
        <x:v>Earliest supplied year is 2023, later than the 2021 study year.</x:v>
      </x:c>
      <x:c r="W528" s="14"/>
      <x:c r="X528" s="14" t="str">
        <x:v>Included</x:v>
      </x:c>
      <x:c r="Y528" s="14"/>
      <x:c r="Z528" s="14" t="str">
        <x:v>Time.docx</x:v>
      </x:c>
      <x:c r="AA52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HYPERLINK("https://en.wikipedia.org/wiki/Time","Open source")</x:f>
        <x:v>HYPERLINK is not implemented. linkLocation=https://en.wikipedia.org/wiki/Time, friendlyName=Open source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7</x:v>
      </x:c>
      <x:c r="BP528" s="14" t="str">
        <x:v>Maximum eligible IMDb cast-credit total (7), shared by 1 performer(s); not independently verified as a 2021-only episode total.</x:v>
      </x:c>
      <x:c r="BQ528" s="14" t="str">
        <x:v>Low</x:v>
      </x:c>
      <x:c r="BR528" s="15" t="n">
        <x:v>1</x:v>
      </x:c>
      <x:c r="BS528" s="16" t="n">
        <x:v>0.1428571428571428</x:v>
      </x:c>
      <x:c r="BT528" s="14" t="str">
        <x:v>One episode</x:v>
      </x:c>
      <x:c r="BU528" s="14" t="str">
        <x:v>Low</x:v>
      </x:c>
      <x:c r="BV528" s="14" t="str">
        <x:v>Derived from supplied IMDb episode count and the documented production-total proxy.</x:v>
      </x:c>
      <x:c r="BW528" s="14" t="str">
        <x:v>Unable to determine</x:v>
      </x:c>
      <x:c r="BX528" s="14" t="str">
        <x:v>Supplied cast data establishes the credit and episode presence but does not establish narrative prominence.</x:v>
      </x:c>
      <x:c r="BY528" s="14" t="str">
        <x:v>Supplied IMDb cast-list workbook</x:v>
      </x:c>
      <x:c r="BZ528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tt13138834|nm0447288|mrs. kelly</x:v>
      </x:c>
      <x:c r="B529" s="14" t="str">
        <x:v>04</x:v>
      </x:c>
      <x:c r="C529" s="14" t="str">
        <x:v>2021_IMDb_Cast_Lists_Batch_04(1).xlsx</x:v>
      </x:c>
      <x:c r="D529" s="14" t="str">
        <x:v>Time</x:v>
      </x:c>
      <x:c r="E529" s="14" t="n">
        <x:v>83</x:v>
      </x:c>
      <x:c r="F529" s="14" t="str">
        <x:v>Time</x:v>
      </x:c>
      <x:c r="G529" s="14" t="str">
        <x:v>tt13138834</x:v>
      </x:c>
      <x:c r="H529" s="14" t="n">
        <x:v>2021</x:v>
      </x:c>
      <x:c r="I529" s="14" t="n">
        <x:v>2023</x:v>
      </x:c>
      <x:c r="J529" s="14" t="str">
        <x:v>Earlier-Production Carry-In Cohort</x:v>
      </x:c>
      <x:c r="K529" s="14" t="n">
        <x:v>2021</x:v>
      </x:c>
      <x:c r="L529" s="14" t="str">
        <x:v>Used in 2023 annual analysis</x:v>
      </x:c>
      <x:c r="M529" s="15" t="n">
        <x:v>76</x:v>
      </x:c>
      <x:c r="N529" s="14" t="str">
        <x:v>Gail Kemp</x:v>
      </x:c>
      <x:c r="O529" s="14" t="str">
        <x:v>nm0447288</x:v>
      </x:c>
      <x:c r="P529" s="14" t="str">
        <x:v>Mrs. Kelly</x:v>
      </x:c>
      <x:c r="Q529" s="15" t="n">
        <x:v>1</x:v>
      </x:c>
      <x:c r="R529" s="14" t="str">
        <x:v>2023</x:v>
      </x:c>
      <x:c r="S529" s="14" t="n">
        <x:v>2023</x:v>
      </x:c>
      <x:c r="T529" s="14" t="n">
        <x:v>2023</x:v>
      </x:c>
      <x:c r="U529" s="14" t="str">
        <x:v>Post-2021 casting excluded</x:v>
      </x:c>
      <x:c r="V529" s="14" t="str">
        <x:v>Earliest supplied year is 2023, later than the 2021 study year.</x:v>
      </x:c>
      <x:c r="W529" s="14"/>
      <x:c r="X529" s="14" t="str">
        <x:v>Included</x:v>
      </x:c>
      <x:c r="Y529" s="14"/>
      <x:c r="Z529" s="14" t="str">
        <x:v>Time.docx</x:v>
      </x:c>
      <x:c r="AA52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HYPERLINK("https://en.wikipedia.org/wiki/Time","Open source")</x:f>
        <x:v>HYPERLINK is not implemented. linkLocation=https://en.wikipedia.org/wiki/Time, friendlyName=Open source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7</x:v>
      </x:c>
      <x:c r="BP529" s="14" t="str">
        <x:v>Maximum eligible IMDb cast-credit total (7), shared by 1 performer(s); not independently verified as a 2021-only episode total.</x:v>
      </x:c>
      <x:c r="BQ529" s="14" t="str">
        <x:v>Low</x:v>
      </x:c>
      <x:c r="BR529" s="15" t="n">
        <x:v>1</x:v>
      </x:c>
      <x:c r="BS529" s="16" t="n">
        <x:v>0.1428571428571428</x:v>
      </x:c>
      <x:c r="BT529" s="14" t="str">
        <x:v>One episode</x:v>
      </x:c>
      <x:c r="BU529" s="14" t="str">
        <x:v>Low</x:v>
      </x:c>
      <x:c r="BV529" s="14" t="str">
        <x:v>Derived from supplied IMDb episode count and the documented production-total proxy.</x:v>
      </x:c>
      <x:c r="BW529" s="14" t="str">
        <x:v>Unable to determine</x:v>
      </x:c>
      <x:c r="BX529" s="14" t="str">
        <x:v>Supplied cast data establishes the credit and episode presence but does not establish narrative prominence.</x:v>
      </x:c>
      <x:c r="BY529" s="14" t="str">
        <x:v>Supplied IMDb cast-list workbook</x:v>
      </x:c>
      <x:c r="BZ529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tt13138834|nm2684912|po ross</x:v>
      </x:c>
      <x:c r="B530" s="14" t="str">
        <x:v>04</x:v>
      </x:c>
      <x:c r="C530" s="14" t="str">
        <x:v>2021_IMDb_Cast_Lists_Batch_04(1).xlsx</x:v>
      </x:c>
      <x:c r="D530" s="14" t="str">
        <x:v>Time</x:v>
      </x:c>
      <x:c r="E530" s="14" t="n">
        <x:v>89</x:v>
      </x:c>
      <x:c r="F530" s="14" t="str">
        <x:v>Time</x:v>
      </x:c>
      <x:c r="G530" s="14" t="str">
        <x:v>tt13138834</x:v>
      </x:c>
      <x:c r="H530" s="14" t="n">
        <x:v>2021</x:v>
      </x:c>
      <x:c r="I530" s="14" t="n">
        <x:v>2023</x:v>
      </x:c>
      <x:c r="J530" s="14" t="str">
        <x:v>Earlier-Production Carry-In Cohort</x:v>
      </x:c>
      <x:c r="K530" s="14" t="n">
        <x:v>2021</x:v>
      </x:c>
      <x:c r="L530" s="14" t="str">
        <x:v>Used in 2023 annual analysis</x:v>
      </x:c>
      <x:c r="M530" s="15" t="n">
        <x:v>82</x:v>
      </x:c>
      <x:c r="N530" s="14" t="str">
        <x:v>Daniel Jillings</x:v>
      </x:c>
      <x:c r="O530" s="14" t="str">
        <x:v>nm2684912</x:v>
      </x:c>
      <x:c r="P530" s="14" t="str">
        <x:v>PO Ross</x:v>
      </x:c>
      <x:c r="Q530" s="15" t="n">
        <x:v>1</x:v>
      </x:c>
      <x:c r="R530" s="14" t="str">
        <x:v>2023</x:v>
      </x:c>
      <x:c r="S530" s="14" t="n">
        <x:v>2023</x:v>
      </x:c>
      <x:c r="T530" s="14" t="n">
        <x:v>2023</x:v>
      </x:c>
      <x:c r="U530" s="14" t="str">
        <x:v>Post-2021 casting excluded</x:v>
      </x:c>
      <x:c r="V530" s="14" t="str">
        <x:v>Earliest supplied year is 2023, later than the 2021 study year.</x:v>
      </x:c>
      <x:c r="W530" s="14"/>
      <x:c r="X530" s="14" t="str">
        <x:v>Included</x:v>
      </x:c>
      <x:c r="Y530" s="14"/>
      <x:c r="Z530" s="14" t="str">
        <x:v>Time.docx</x:v>
      </x:c>
      <x:c r="AA53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HYPERLINK("https://en.wikipedia.org/wiki/Time","Open source")</x:f>
        <x:v>HYPERLINK is not implemented. linkLocation=https://en.wikipedia.org/wiki/Time, friendlyName=Open source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7</x:v>
      </x:c>
      <x:c r="BP530" s="14" t="str">
        <x:v>Maximum eligible IMDb cast-credit total (7), shared by 1 performer(s); not independently verified as a 2021-only episode total.</x:v>
      </x:c>
      <x:c r="BQ530" s="14" t="str">
        <x:v>Low</x:v>
      </x:c>
      <x:c r="BR530" s="15" t="n">
        <x:v>1</x:v>
      </x:c>
      <x:c r="BS530" s="16" t="n">
        <x:v>0.1428571428571428</x:v>
      </x:c>
      <x:c r="BT530" s="14" t="str">
        <x:v>One episode</x:v>
      </x:c>
      <x:c r="BU530" s="14" t="str">
        <x:v>Low</x:v>
      </x:c>
      <x:c r="BV530" s="14" t="str">
        <x:v>Derived from supplied IMDb episode count and the documented production-total proxy.</x:v>
      </x:c>
      <x:c r="BW530" s="14" t="str">
        <x:v>Unable to determine</x:v>
      </x:c>
      <x:c r="BX530" s="14" t="str">
        <x:v>Supplied cast data establishes the credit and episode presence but does not establish narrative prominence.</x:v>
      </x:c>
      <x:c r="BY530" s="14" t="str">
        <x:v>Supplied IMDb cast-list workbook</x:v>
      </x:c>
      <x:c r="BZ530" s="17" t="e">
        <x:f>HYPERLINK("https://www.imdb.com/title/tt13138834/fullcredits/","Open source")</x:f>
        <x:v>HYPERLINK is not implemented. linkLocation=https://www.imdb.com/title/tt13138834/fullcredits/,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tt11846996|nm0304801|eliza russell</x:v>
      </x:c>
      <x:c r="B531" s="14" t="str">
        <x:v>05</x:v>
      </x:c>
      <x:c r="C531" s="14" t="str">
        <x:v>2021_IMDb_Cast_Lists_Batch_05(1).xlsx</x:v>
      </x:c>
      <x:c r="D531" s="14" t="str">
        <x:v>Vigil</x:v>
      </x:c>
      <x:c r="E531" s="14" t="n">
        <x:v>13</x:v>
      </x:c>
      <x:c r="F531" s="14" t="str">
        <x:v>Vigil</x:v>
      </x:c>
      <x:c r="G531" s="14" t="str">
        <x:v>tt11846996</x:v>
      </x:c>
      <x:c r="H531" s="14" t="n">
        <x:v>2021</x:v>
      </x:c>
      <x:c r="I531" s="14" t="n">
        <x:v>2023</x:v>
      </x:c>
      <x:c r="J531" s="14" t="str">
        <x:v>Earlier-Production Carry-In Cohort</x:v>
      </x:c>
      <x:c r="K531" s="14" t="n">
        <x:v>2021</x:v>
      </x:c>
      <x:c r="L531" s="14" t="str">
        <x:v>Used in 2023 annual analysis</x:v>
      </x:c>
      <x:c r="M531" s="15" t="n">
        <x:v>6</x:v>
      </x:c>
      <x:c r="N531" s="14" t="str">
        <x:v>Romola Garai</x:v>
      </x:c>
      <x:c r="O531" s="14" t="str">
        <x:v>nm0304801</x:v>
      </x:c>
      <x:c r="P531" s="14" t="str">
        <x:v>Eliza Russell</x:v>
      </x:c>
      <x:c r="Q531" s="15" t="n">
        <x:v>6</x:v>
      </x:c>
      <x:c r="R531" s="14" t="str">
        <x:v>2023</x:v>
      </x:c>
      <x:c r="S531" s="14" t="n">
        <x:v>2023</x:v>
      </x:c>
      <x:c r="T531" s="14" t="n">
        <x:v>2023</x:v>
      </x:c>
      <x:c r="U531" s="14" t="str">
        <x:v>Post-2021 casting excluded</x:v>
      </x:c>
      <x:c r="V531" s="14" t="str">
        <x:v>Earliest supplied year is 2023, later than the 2021 study year.</x:v>
      </x:c>
      <x:c r="W531" s="14"/>
      <x:c r="X531" s="14" t="str">
        <x:v>Included</x:v>
      </x:c>
      <x:c r="Y531" s="14"/>
      <x:c r="Z531" s="14" t="str">
        <x:v>Vigil.docx</x:v>
      </x:c>
      <x:c r="AA53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HYPERLINK("https://en.wikipedia.org/wiki/Vigil","Open source")</x:f>
        <x:v>HYPERLINK is not implemented. linkLocation=https://en.wikipedia.org/wiki/Vigil, friendlyName=Open source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13</x:v>
      </x:c>
      <x:c r="BP531" s="14" t="str">
        <x:v>Maximum eligible IMDb cast-credit total (13), shared by 2 performer(s); not independently verified as a 2021-only episode total.</x:v>
      </x:c>
      <x:c r="BQ531" s="14" t="str">
        <x:v>Medium</x:v>
      </x:c>
      <x:c r="BR531" s="15" t="n">
        <x:v>6</x:v>
      </x:c>
      <x:c r="BS531" s="16" t="n">
        <x:v>0.4615384615384616</x:v>
      </x:c>
      <x:c r="BT531" s="14" t="str">
        <x:v>Minority of episodes</x:v>
      </x:c>
      <x:c r="BU531" s="14" t="str">
        <x:v>Medium</x:v>
      </x:c>
      <x:c r="BV531" s="14" t="str">
        <x:v>Derived from supplied IMDb episode count and the documented production-total proxy.</x:v>
      </x:c>
      <x:c r="BW531" s="14" t="str">
        <x:v>Unable to determine</x:v>
      </x:c>
      <x:c r="BX531" s="14" t="str">
        <x:v>Supplied cast data establishes the credit and episode presence but does not establish narrative prominence.</x:v>
      </x:c>
      <x:c r="BY531" s="14" t="str">
        <x:v>Supplied IMDb cast-list workbook</x:v>
      </x:c>
      <x:c r="BZ53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tt11846996|nm0779084|marcus grainger</x:v>
      </x:c>
      <x:c r="B532" s="14" t="str">
        <x:v>05</x:v>
      </x:c>
      <x:c r="C532" s="14" t="str">
        <x:v>2021_IMDb_Cast_Lists_Batch_05(1).xlsx</x:v>
      </x:c>
      <x:c r="D532" s="14" t="str">
        <x:v>Vigil</x:v>
      </x:c>
      <x:c r="E532" s="14" t="n">
        <x:v>15</x:v>
      </x:c>
      <x:c r="F532" s="14" t="str">
        <x:v>Vigil</x:v>
      </x:c>
      <x:c r="G532" s="14" t="str">
        <x:v>tt11846996</x:v>
      </x:c>
      <x:c r="H532" s="14" t="n">
        <x:v>2021</x:v>
      </x:c>
      <x:c r="I532" s="14" t="n">
        <x:v>2023</x:v>
      </x:c>
      <x:c r="J532" s="14" t="str">
        <x:v>Earlier-Production Carry-In Cohort</x:v>
      </x:c>
      <x:c r="K532" s="14" t="n">
        <x:v>2021</x:v>
      </x:c>
      <x:c r="L532" s="14" t="str">
        <x:v>Used in 2023 annual analysis</x:v>
      </x:c>
      <x:c r="M532" s="15" t="n">
        <x:v>8</x:v>
      </x:c>
      <x:c r="N532" s="14" t="str">
        <x:v>Dougray Scott</x:v>
      </x:c>
      <x:c r="O532" s="14" t="str">
        <x:v>nm0779084</x:v>
      </x:c>
      <x:c r="P532" s="14" t="str">
        <x:v>Marcus Grainger</x:v>
      </x:c>
      <x:c r="Q532" s="15" t="n">
        <x:v>6</x:v>
      </x:c>
      <x:c r="R532" s="14" t="str">
        <x:v>2023</x:v>
      </x:c>
      <x:c r="S532" s="14" t="n">
        <x:v>2023</x:v>
      </x:c>
      <x:c r="T532" s="14" t="n">
        <x:v>2023</x:v>
      </x:c>
      <x:c r="U532" s="14" t="str">
        <x:v>Post-2021 casting excluded</x:v>
      </x:c>
      <x:c r="V532" s="14" t="str">
        <x:v>Earliest supplied year is 2023, later than the 2021 study year.</x:v>
      </x:c>
      <x:c r="W532" s="14"/>
      <x:c r="X532" s="14" t="str">
        <x:v>Included</x:v>
      </x:c>
      <x:c r="Y532" s="14"/>
      <x:c r="Z532" s="14" t="str">
        <x:v>Vigil.docx</x:v>
      </x:c>
      <x:c r="AA53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HYPERLINK("https://en.wikipedia.org/wiki/Vigil","Open source")</x:f>
        <x:v>HYPERLINK is not implemented. linkLocation=https://en.wikipedia.org/wiki/Vigil, friendlyName=Open source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13</x:v>
      </x:c>
      <x:c r="BP532" s="14" t="str">
        <x:v>Maximum eligible IMDb cast-credit total (13), shared by 2 performer(s); not independently verified as a 2021-only episode total.</x:v>
      </x:c>
      <x:c r="BQ532" s="14" t="str">
        <x:v>Medium</x:v>
      </x:c>
      <x:c r="BR532" s="15" t="n">
        <x:v>6</x:v>
      </x:c>
      <x:c r="BS532" s="16" t="n">
        <x:v>0.4615384615384616</x:v>
      </x:c>
      <x:c r="BT532" s="14" t="str">
        <x:v>Minority of episodes</x:v>
      </x:c>
      <x:c r="BU532" s="14" t="str">
        <x:v>Medium</x:v>
      </x:c>
      <x:c r="BV532" s="14" t="str">
        <x:v>Derived from supplied IMDb episode count and the documented production-total proxy.</x:v>
      </x:c>
      <x:c r="BW532" s="14" t="str">
        <x:v>Unable to determine</x:v>
      </x:c>
      <x:c r="BX532" s="14" t="str">
        <x:v>Supplied cast data establishes the credit and episode presence but does not establish narrative prominence.</x:v>
      </x:c>
      <x:c r="BY532" s="14" t="str">
        <x:v>Supplied IMDb cast-list workbook</x:v>
      </x:c>
      <x:c r="BZ53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tt11846996|nm8207028|callum barker</x:v>
      </x:c>
      <x:c r="B533" s="14" t="str">
        <x:v>05</x:v>
      </x:c>
      <x:c r="C533" s="14" t="str">
        <x:v>2021_IMDb_Cast_Lists_Batch_05(1).xlsx</x:v>
      </x:c>
      <x:c r="D533" s="14" t="str">
        <x:v>Vigil</x:v>
      </x:c>
      <x:c r="E533" s="14" t="n">
        <x:v>18</x:v>
      </x:c>
      <x:c r="F533" s="14" t="str">
        <x:v>Vigil</x:v>
      </x:c>
      <x:c r="G533" s="14" t="str">
        <x:v>tt11846996</x:v>
      </x:c>
      <x:c r="H533" s="14" t="n">
        <x:v>2021</x:v>
      </x:c>
      <x:c r="I533" s="14" t="n">
        <x:v>2023</x:v>
      </x:c>
      <x:c r="J533" s="14" t="str">
        <x:v>Earlier-Production Carry-In Cohort</x:v>
      </x:c>
      <x:c r="K533" s="14" t="n">
        <x:v>2021</x:v>
      </x:c>
      <x:c r="L533" s="14" t="str">
        <x:v>Used in 2023 annual analysis</x:v>
      </x:c>
      <x:c r="M533" s="15" t="n">
        <x:v>11</x:v>
      </x:c>
      <x:c r="N533" s="14" t="str">
        <x:v>Chris Jenks</x:v>
      </x:c>
      <x:c r="O533" s="14" t="str">
        <x:v>nm8207028</x:v>
      </x:c>
      <x:c r="P533" s="14" t="str">
        <x:v>Callum Barker</x:v>
      </x:c>
      <x:c r="Q533" s="15" t="n">
        <x:v>6</x:v>
      </x:c>
      <x:c r="R533" s="14" t="str">
        <x:v>2023</x:v>
      </x:c>
      <x:c r="S533" s="14" t="n">
        <x:v>2023</x:v>
      </x:c>
      <x:c r="T533" s="14" t="n">
        <x:v>2023</x:v>
      </x:c>
      <x:c r="U533" s="14" t="str">
        <x:v>Post-2021 casting excluded</x:v>
      </x:c>
      <x:c r="V533" s="14" t="str">
        <x:v>Earliest supplied year is 2023, later than the 2021 study year.</x:v>
      </x:c>
      <x:c r="W533" s="14"/>
      <x:c r="X533" s="14" t="str">
        <x:v>Included</x:v>
      </x:c>
      <x:c r="Y533" s="14"/>
      <x:c r="Z533" s="14" t="str">
        <x:v>Vigil.docx</x:v>
      </x:c>
      <x:c r="AA53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HYPERLINK("https://en.wikipedia.org/wiki/Vigil","Open source")</x:f>
        <x:v>HYPERLINK is not implemented. linkLocation=https://en.wikipedia.org/wiki/Vigil, friendlyName=Open source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13</x:v>
      </x:c>
      <x:c r="BP533" s="14" t="str">
        <x:v>Maximum eligible IMDb cast-credit total (13), shared by 2 performer(s); not independently verified as a 2021-only episode total.</x:v>
      </x:c>
      <x:c r="BQ533" s="14" t="str">
        <x:v>Medium</x:v>
      </x:c>
      <x:c r="BR533" s="15" t="n">
        <x:v>6</x:v>
      </x:c>
      <x:c r="BS533" s="16" t="n">
        <x:v>0.4615384615384616</x:v>
      </x:c>
      <x:c r="BT533" s="14" t="str">
        <x:v>Minority of episodes</x:v>
      </x:c>
      <x:c r="BU533" s="14" t="str">
        <x:v>Medium</x:v>
      </x:c>
      <x:c r="BV533" s="14" t="str">
        <x:v>Derived from supplied IMDb episode count and the documented production-total proxy.</x:v>
      </x:c>
      <x:c r="BW533" s="14" t="str">
        <x:v>Unable to determine</x:v>
      </x:c>
      <x:c r="BX533" s="14" t="str">
        <x:v>Supplied cast data establishes the credit and episode presence but does not establish narrative prominence.</x:v>
      </x:c>
      <x:c r="BY533" s="14" t="str">
        <x:v>Supplied IMDb cast-list workbook</x:v>
      </x:c>
      <x:c r="BZ53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tt11846996|nm5011084|daniel ramsay</x:v>
      </x:c>
      <x:c r="B534" s="14" t="str">
        <x:v>05</x:v>
      </x:c>
      <x:c r="C534" s="14" t="str">
        <x:v>2021_IMDb_Cast_Lists_Batch_05(1).xlsx</x:v>
      </x:c>
      <x:c r="D534" s="14" t="str">
        <x:v>Vigil</x:v>
      </x:c>
      <x:c r="E534" s="14" t="n">
        <x:v>20</x:v>
      </x:c>
      <x:c r="F534" s="14" t="str">
        <x:v>Vigil</x:v>
      </x:c>
      <x:c r="G534" s="14" t="str">
        <x:v>tt11846996</x:v>
      </x:c>
      <x:c r="H534" s="14" t="n">
        <x:v>2021</x:v>
      </x:c>
      <x:c r="I534" s="14" t="n">
        <x:v>2023</x:v>
      </x:c>
      <x:c r="J534" s="14" t="str">
        <x:v>Earlier-Production Carry-In Cohort</x:v>
      </x:c>
      <x:c r="K534" s="14" t="n">
        <x:v>2021</x:v>
      </x:c>
      <x:c r="L534" s="14" t="str">
        <x:v>Used in 2023 annual analysis</x:v>
      </x:c>
      <x:c r="M534" s="15" t="n">
        <x:v>13</x:v>
      </x:c>
      <x:c r="N534" s="14" t="str">
        <x:v>Amir El-Masry</x:v>
      </x:c>
      <x:c r="O534" s="14" t="str">
        <x:v>nm5011084</x:v>
      </x:c>
      <x:c r="P534" s="14" t="str">
        <x:v>Daniel Ramsay</x:v>
      </x:c>
      <x:c r="Q534" s="15" t="n">
        <x:v>6</x:v>
      </x:c>
      <x:c r="R534" s="14" t="str">
        <x:v>2023</x:v>
      </x:c>
      <x:c r="S534" s="14" t="n">
        <x:v>2023</x:v>
      </x:c>
      <x:c r="T534" s="14" t="n">
        <x:v>2023</x:v>
      </x:c>
      <x:c r="U534" s="14" t="str">
        <x:v>Post-2021 casting excluded</x:v>
      </x:c>
      <x:c r="V534" s="14" t="str">
        <x:v>Earliest supplied year is 2023, later than the 2021 study year.</x:v>
      </x:c>
      <x:c r="W534" s="14"/>
      <x:c r="X534" s="14" t="str">
        <x:v>Included</x:v>
      </x:c>
      <x:c r="Y534" s="14"/>
      <x:c r="Z534" s="14" t="str">
        <x:v>Vigil.docx</x:v>
      </x:c>
      <x:c r="AA53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HYPERLINK("https://en.wikipedia.org/wiki/Vigil","Open source")</x:f>
        <x:v>HYPERLINK is not implemented. linkLocation=https://en.wikipedia.org/wiki/Vigil, friendlyName=Open source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13</x:v>
      </x:c>
      <x:c r="BP534" s="14" t="str">
        <x:v>Maximum eligible IMDb cast-credit total (13), shared by 2 performer(s); not independently verified as a 2021-only episode total.</x:v>
      </x:c>
      <x:c r="BQ534" s="14" t="str">
        <x:v>Medium</x:v>
      </x:c>
      <x:c r="BR534" s="15" t="n">
        <x:v>6</x:v>
      </x:c>
      <x:c r="BS534" s="16" t="n">
        <x:v>0.4615384615384616</x:v>
      </x:c>
      <x:c r="BT534" s="14" t="str">
        <x:v>Minority of episodes</x:v>
      </x:c>
      <x:c r="BU534" s="14" t="str">
        <x:v>Medium</x:v>
      </x:c>
      <x:c r="BV534" s="14" t="str">
        <x:v>Derived from supplied IMDb episode count and the documented production-total proxy.</x:v>
      </x:c>
      <x:c r="BW534" s="14" t="str">
        <x:v>Unable to determine</x:v>
      </x:c>
      <x:c r="BX534" s="14" t="str">
        <x:v>Supplied cast data establishes the credit and episode presence but does not establish narrative prominence.</x:v>
      </x:c>
      <x:c r="BY534" s="14" t="str">
        <x:v>Supplied IMDb cast-list workbook</x:v>
      </x:c>
      <x:c r="BZ53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tt11846996|nm6354959|sam kader</x:v>
      </x:c>
      <x:c r="B535" s="14" t="str">
        <x:v>05</x:v>
      </x:c>
      <x:c r="C535" s="14" t="str">
        <x:v>2021_IMDb_Cast_Lists_Batch_05(1).xlsx</x:v>
      </x:c>
      <x:c r="D535" s="14" t="str">
        <x:v>Vigil</x:v>
      </x:c>
      <x:c r="E535" s="14" t="n">
        <x:v>22</x:v>
      </x:c>
      <x:c r="F535" s="14" t="str">
        <x:v>Vigil</x:v>
      </x:c>
      <x:c r="G535" s="14" t="str">
        <x:v>tt11846996</x:v>
      </x:c>
      <x:c r="H535" s="14" t="n">
        <x:v>2021</x:v>
      </x:c>
      <x:c r="I535" s="14" t="n">
        <x:v>2023</x:v>
      </x:c>
      <x:c r="J535" s="14" t="str">
        <x:v>Earlier-Production Carry-In Cohort</x:v>
      </x:c>
      <x:c r="K535" s="14" t="n">
        <x:v>2021</x:v>
      </x:c>
      <x:c r="L535" s="14" t="str">
        <x:v>Used in 2023 annual analysis</x:v>
      </x:c>
      <x:c r="M535" s="15" t="n">
        <x:v>15</x:v>
      </x:c>
      <x:c r="N535" s="14" t="str">
        <x:v>Oscar Salem</x:v>
      </x:c>
      <x:c r="O535" s="14" t="str">
        <x:v>nm6354959</x:v>
      </x:c>
      <x:c r="P535" s="14" t="str">
        <x:v>Sam Kader</x:v>
      </x:c>
      <x:c r="Q535" s="15" t="n">
        <x:v>6</x:v>
      </x:c>
      <x:c r="R535" s="14" t="str">
        <x:v>2023</x:v>
      </x:c>
      <x:c r="S535" s="14" t="n">
        <x:v>2023</x:v>
      </x:c>
      <x:c r="T535" s="14" t="n">
        <x:v>2023</x:v>
      </x:c>
      <x:c r="U535" s="14" t="str">
        <x:v>Post-2021 casting excluded</x:v>
      </x:c>
      <x:c r="V535" s="14" t="str">
        <x:v>Earliest supplied year is 2023, later than the 2021 study year.</x:v>
      </x:c>
      <x:c r="W535" s="14"/>
      <x:c r="X535" s="14" t="str">
        <x:v>Included</x:v>
      </x:c>
      <x:c r="Y535" s="14"/>
      <x:c r="Z535" s="14" t="str">
        <x:v>Vigil.docx</x:v>
      </x:c>
      <x:c r="AA53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HYPERLINK("https://en.wikipedia.org/wiki/Vigil","Open source")</x:f>
        <x:v>HYPERLINK is not implemented. linkLocation=https://en.wikipedia.org/wiki/Vigil, friendlyName=Open source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13</x:v>
      </x:c>
      <x:c r="BP535" s="14" t="str">
        <x:v>Maximum eligible IMDb cast-credit total (13), shared by 2 performer(s); not independently verified as a 2021-only episode total.</x:v>
      </x:c>
      <x:c r="BQ535" s="14" t="str">
        <x:v>Medium</x:v>
      </x:c>
      <x:c r="BR535" s="15" t="n">
        <x:v>6</x:v>
      </x:c>
      <x:c r="BS535" s="16" t="n">
        <x:v>0.4615384615384616</x:v>
      </x:c>
      <x:c r="BT535" s="14" t="str">
        <x:v>Minority of episodes</x:v>
      </x:c>
      <x:c r="BU535" s="14" t="str">
        <x:v>Medium</x:v>
      </x:c>
      <x:c r="BV535" s="14" t="str">
        <x:v>Derived from supplied IMDb episode count and the documented production-total proxy.</x:v>
      </x:c>
      <x:c r="BW535" s="14" t="str">
        <x:v>Unable to determine</x:v>
      </x:c>
      <x:c r="BX535" s="14" t="str">
        <x:v>Supplied cast data establishes the credit and episode presence but does not establish narrative prominence.</x:v>
      </x:c>
      <x:c r="BY535" s="14" t="str">
        <x:v>Supplied IMDb cast-list workbook</x:v>
      </x:c>
      <x:c r="BZ53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tt11846996|nm6596215|wes harper</x:v>
      </x:c>
      <x:c r="B536" s="14" t="str">
        <x:v>05</x:v>
      </x:c>
      <x:c r="C536" s="14" t="str">
        <x:v>2021_IMDb_Cast_Lists_Batch_05(1).xlsx</x:v>
      </x:c>
      <x:c r="D536" s="14" t="str">
        <x:v>Vigil</x:v>
      </x:c>
      <x:c r="E536" s="14" t="n">
        <x:v>24</x:v>
      </x:c>
      <x:c r="F536" s="14" t="str">
        <x:v>Vigil</x:v>
      </x:c>
      <x:c r="G536" s="14" t="str">
        <x:v>tt11846996</x:v>
      </x:c>
      <x:c r="H536" s="14" t="n">
        <x:v>2021</x:v>
      </x:c>
      <x:c r="I536" s="14" t="n">
        <x:v>2023</x:v>
      </x:c>
      <x:c r="J536" s="14" t="str">
        <x:v>Earlier-Production Carry-In Cohort</x:v>
      </x:c>
      <x:c r="K536" s="14" t="n">
        <x:v>2021</x:v>
      </x:c>
      <x:c r="L536" s="14" t="str">
        <x:v>Used in 2023 annual analysis</x:v>
      </x:c>
      <x:c r="M536" s="15" t="n">
        <x:v>17</x:v>
      </x:c>
      <x:c r="N536" s="14" t="str">
        <x:v>Jonathan Ajayi</x:v>
      </x:c>
      <x:c r="O536" s="14" t="str">
        <x:v>nm6596215</x:v>
      </x:c>
      <x:c r="P536" s="14" t="str">
        <x:v>Wes Harper</x:v>
      </x:c>
      <x:c r="Q536" s="15" t="n">
        <x:v>6</x:v>
      </x:c>
      <x:c r="R536" s="14" t="str">
        <x:v>2023</x:v>
      </x:c>
      <x:c r="S536" s="14" t="n">
        <x:v>2023</x:v>
      </x:c>
      <x:c r="T536" s="14" t="n">
        <x:v>2023</x:v>
      </x:c>
      <x:c r="U536" s="14" t="str">
        <x:v>Post-2021 casting excluded</x:v>
      </x:c>
      <x:c r="V536" s="14" t="str">
        <x:v>Earliest supplied year is 2023, later than the 2021 study year.</x:v>
      </x:c>
      <x:c r="W536" s="14"/>
      <x:c r="X536" s="14" t="str">
        <x:v>Included</x:v>
      </x:c>
      <x:c r="Y536" s="14"/>
      <x:c r="Z536" s="14" t="str">
        <x:v>Vigil.docx</x:v>
      </x:c>
      <x:c r="AA53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HYPERLINK("https://en.wikipedia.org/wiki/Vigil","Open source")</x:f>
        <x:v>HYPERLINK is not implemented. linkLocation=https://en.wikipedia.org/wiki/Vigil, friendlyName=Open source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13</x:v>
      </x:c>
      <x:c r="BP536" s="14" t="str">
        <x:v>Maximum eligible IMDb cast-credit total (13), shared by 2 performer(s); not independently verified as a 2021-only episode total.</x:v>
      </x:c>
      <x:c r="BQ536" s="14" t="str">
        <x:v>Medium</x:v>
      </x:c>
      <x:c r="BR536" s="15" t="n">
        <x:v>6</x:v>
      </x:c>
      <x:c r="BS536" s="16" t="n">
        <x:v>0.4615384615384616</x:v>
      </x:c>
      <x:c r="BT536" s="14" t="str">
        <x:v>Minority of episodes</x:v>
      </x:c>
      <x:c r="BU536" s="14" t="str">
        <x:v>Medium</x:v>
      </x:c>
      <x:c r="BV536" s="14" t="str">
        <x:v>Derived from supplied IMDb episode count and the documented production-total proxy.</x:v>
      </x:c>
      <x:c r="BW536" s="14" t="str">
        <x:v>Unable to determine</x:v>
      </x:c>
      <x:c r="BX536" s="14" t="str">
        <x:v>Supplied cast data establishes the credit and episode presence but does not establish narrative prominence.</x:v>
      </x:c>
      <x:c r="BY536" s="14" t="str">
        <x:v>Supplied IMDb cast-list workbook</x:v>
      </x:c>
      <x:c r="BZ53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tt11846996|nm9099081|ali bilali</x:v>
      </x:c>
      <x:c r="B537" s="14" t="str">
        <x:v>05</x:v>
      </x:c>
      <x:c r="C537" s="14" t="str">
        <x:v>2021_IMDb_Cast_Lists_Batch_05(1).xlsx</x:v>
      </x:c>
      <x:c r="D537" s="14" t="str">
        <x:v>Vigil</x:v>
      </x:c>
      <x:c r="E537" s="14" t="n">
        <x:v>26</x:v>
      </x:c>
      <x:c r="F537" s="14" t="str">
        <x:v>Vigil</x:v>
      </x:c>
      <x:c r="G537" s="14" t="str">
        <x:v>tt11846996</x:v>
      </x:c>
      <x:c r="H537" s="14" t="n">
        <x:v>2021</x:v>
      </x:c>
      <x:c r="I537" s="14" t="n">
        <x:v>2023</x:v>
      </x:c>
      <x:c r="J537" s="14" t="str">
        <x:v>Earlier-Production Carry-In Cohort</x:v>
      </x:c>
      <x:c r="K537" s="14" t="n">
        <x:v>2021</x:v>
      </x:c>
      <x:c r="L537" s="14" t="str">
        <x:v>Used in 2023 annual analysis</x:v>
      </x:c>
      <x:c r="M537" s="15" t="n">
        <x:v>19</x:v>
      </x:c>
      <x:c r="N537" s="14" t="str">
        <x:v>Nebras Jamali</x:v>
      </x:c>
      <x:c r="O537" s="14" t="str">
        <x:v>nm9099081</x:v>
      </x:c>
      <x:c r="P537" s="14" t="str">
        <x:v>Ali Bilali</x:v>
      </x:c>
      <x:c r="Q537" s="15" t="n">
        <x:v>6</x:v>
      </x:c>
      <x:c r="R537" s="14" t="str">
        <x:v>2023</x:v>
      </x:c>
      <x:c r="S537" s="14" t="n">
        <x:v>2023</x:v>
      </x:c>
      <x:c r="T537" s="14" t="n">
        <x:v>2023</x:v>
      </x:c>
      <x:c r="U537" s="14" t="str">
        <x:v>Post-2021 casting excluded</x:v>
      </x:c>
      <x:c r="V537" s="14" t="str">
        <x:v>Earliest supplied year is 2023, later than the 2021 study year.</x:v>
      </x:c>
      <x:c r="W537" s="14"/>
      <x:c r="X537" s="14" t="str">
        <x:v>Included</x:v>
      </x:c>
      <x:c r="Y537" s="14"/>
      <x:c r="Z537" s="14" t="str">
        <x:v>Vigil.docx</x:v>
      </x:c>
      <x:c r="AA53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HYPERLINK("https://en.wikipedia.org/wiki/Vigil","Open source")</x:f>
        <x:v>HYPERLINK is not implemented. linkLocation=https://en.wikipedia.org/wiki/Vigil, friendlyName=Open source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13</x:v>
      </x:c>
      <x:c r="BP537" s="14" t="str">
        <x:v>Maximum eligible IMDb cast-credit total (13), shared by 2 performer(s); not independently verified as a 2021-only episode total.</x:v>
      </x:c>
      <x:c r="BQ537" s="14" t="str">
        <x:v>Medium</x:v>
      </x:c>
      <x:c r="BR537" s="15" t="n">
        <x:v>6</x:v>
      </x:c>
      <x:c r="BS537" s="16" t="n">
        <x:v>0.4615384615384616</x:v>
      </x:c>
      <x:c r="BT537" s="14" t="str">
        <x:v>Minority of episodes</x:v>
      </x:c>
      <x:c r="BU537" s="14" t="str">
        <x:v>Medium</x:v>
      </x:c>
      <x:c r="BV537" s="14" t="str">
        <x:v>Derived from supplied IMDb episode count and the documented production-total proxy.</x:v>
      </x:c>
      <x:c r="BW537" s="14" t="str">
        <x:v>Unable to determine</x:v>
      </x:c>
      <x:c r="BX537" s="14" t="str">
        <x:v>Supplied cast data establishes the credit and episode presence but does not establish narrative prominence.</x:v>
      </x:c>
      <x:c r="BY537" s="14" t="str">
        <x:v>Supplied IMDb cast-list workbook</x:v>
      </x:c>
      <x:c r="BZ53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tt11846996|nm2707511|ross sutherland</x:v>
      </x:c>
      <x:c r="B538" s="14" t="str">
        <x:v>05</x:v>
      </x:c>
      <x:c r="C538" s="14" t="str">
        <x:v>2021_IMDb_Cast_Lists_Batch_05(1).xlsx</x:v>
      </x:c>
      <x:c r="D538" s="14" t="str">
        <x:v>Vigil</x:v>
      </x:c>
      <x:c r="E538" s="14" t="n">
        <x:v>33</x:v>
      </x:c>
      <x:c r="F538" s="14" t="str">
        <x:v>Vigil</x:v>
      </x:c>
      <x:c r="G538" s="14" t="str">
        <x:v>tt11846996</x:v>
      </x:c>
      <x:c r="H538" s="14" t="n">
        <x:v>2021</x:v>
      </x:c>
      <x:c r="I538" s="14" t="n">
        <x:v>2023</x:v>
      </x:c>
      <x:c r="J538" s="14" t="str">
        <x:v>Earlier-Production Carry-In Cohort</x:v>
      </x:c>
      <x:c r="K538" s="14" t="n">
        <x:v>2021</x:v>
      </x:c>
      <x:c r="L538" s="14" t="str">
        <x:v>Used in 2023 annual analysis</x:v>
      </x:c>
      <x:c r="M538" s="15" t="n">
        <x:v>26</x:v>
      </x:c>
      <x:c r="N538" s="14" t="str">
        <x:v>David Elliot</x:v>
      </x:c>
      <x:c r="O538" s="14" t="str">
        <x:v>nm2707511</x:v>
      </x:c>
      <x:c r="P538" s="14" t="str">
        <x:v>Ross Sutherland</x:v>
      </x:c>
      <x:c r="Q538" s="15" t="n">
        <x:v>5</x:v>
      </x:c>
      <x:c r="R538" s="14" t="str">
        <x:v>2023</x:v>
      </x:c>
      <x:c r="S538" s="14" t="n">
        <x:v>2023</x:v>
      </x:c>
      <x:c r="T538" s="14" t="n">
        <x:v>2023</x:v>
      </x:c>
      <x:c r="U538" s="14" t="str">
        <x:v>Post-2021 casting excluded</x:v>
      </x:c>
      <x:c r="V538" s="14" t="str">
        <x:v>Earliest supplied year is 2023, later than the 2021 study year.</x:v>
      </x:c>
      <x:c r="W538" s="14"/>
      <x:c r="X538" s="14" t="str">
        <x:v>Included</x:v>
      </x:c>
      <x:c r="Y538" s="14"/>
      <x:c r="Z538" s="14" t="str">
        <x:v>Vigil.docx</x:v>
      </x:c>
      <x:c r="AA53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HYPERLINK("https://en.wikipedia.org/wiki/Vigil","Open source")</x:f>
        <x:v>HYPERLINK is not implemented. linkLocation=https://en.wikipedia.org/wiki/Vigil, friendlyName=Open source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13</x:v>
      </x:c>
      <x:c r="BP538" s="14" t="str">
        <x:v>Maximum eligible IMDb cast-credit total (13), shared by 2 performer(s); not independently verified as a 2021-only episode total.</x:v>
      </x:c>
      <x:c r="BQ538" s="14" t="str">
        <x:v>Medium</x:v>
      </x:c>
      <x:c r="BR538" s="15" t="n">
        <x:v>5</x:v>
      </x:c>
      <x:c r="BS538" s="16" t="n">
        <x:v>0.3846153846153846</x:v>
      </x:c>
      <x:c r="BT538" s="14" t="str">
        <x:v>Minority of episodes</x:v>
      </x:c>
      <x:c r="BU538" s="14" t="str">
        <x:v>Medium</x:v>
      </x:c>
      <x:c r="BV538" s="14" t="str">
        <x:v>Derived from supplied IMDb episode count and the documented production-total proxy.</x:v>
      </x:c>
      <x:c r="BW538" s="14" t="str">
        <x:v>Unable to determine</x:v>
      </x:c>
      <x:c r="BX538" s="14" t="str">
        <x:v>Supplied cast data establishes the credit and episode presence but does not establish narrative prominence.</x:v>
      </x:c>
      <x:c r="BY538" s="14" t="str">
        <x:v>Supplied IMDb cast-list workbook</x:v>
      </x:c>
      <x:c r="BZ53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tt11846996|nm3109482|nicole lawson</x:v>
      </x:c>
      <x:c r="B539" s="14" t="str">
        <x:v>05</x:v>
      </x:c>
      <x:c r="C539" s="14" t="str">
        <x:v>2021_IMDb_Cast_Lists_Batch_05(1).xlsx</x:v>
      </x:c>
      <x:c r="D539" s="14" t="str">
        <x:v>Vigil</x:v>
      </x:c>
      <x:c r="E539" s="14" t="n">
        <x:v>34</x:v>
      </x:c>
      <x:c r="F539" s="14" t="str">
        <x:v>Vigil</x:v>
      </x:c>
      <x:c r="G539" s="14" t="str">
        <x:v>tt11846996</x:v>
      </x:c>
      <x:c r="H539" s="14" t="n">
        <x:v>2021</x:v>
      </x:c>
      <x:c r="I539" s="14" t="n">
        <x:v>2023</x:v>
      </x:c>
      <x:c r="J539" s="14" t="str">
        <x:v>Earlier-Production Carry-In Cohort</x:v>
      </x:c>
      <x:c r="K539" s="14" t="n">
        <x:v>2021</x:v>
      </x:c>
      <x:c r="L539" s="14" t="str">
        <x:v>Used in 2023 annual analysis</x:v>
      </x:c>
      <x:c r="M539" s="15" t="n">
        <x:v>27</x:v>
      </x:c>
      <x:c r="N539" s="14" t="str">
        <x:v>Shannon Hayes</x:v>
      </x:c>
      <x:c r="O539" s="14" t="str">
        <x:v>nm3109482</x:v>
      </x:c>
      <x:c r="P539" s="14" t="str">
        <x:v>Nicole Lawson</x:v>
      </x:c>
      <x:c r="Q539" s="15" t="n">
        <x:v>5</x:v>
      </x:c>
      <x:c r="R539" s="14" t="str">
        <x:v>2023</x:v>
      </x:c>
      <x:c r="S539" s="14" t="n">
        <x:v>2023</x:v>
      </x:c>
      <x:c r="T539" s="14" t="n">
        <x:v>2023</x:v>
      </x:c>
      <x:c r="U539" s="14" t="str">
        <x:v>Post-2021 casting excluded</x:v>
      </x:c>
      <x:c r="V539" s="14" t="str">
        <x:v>Earliest supplied year is 2023, later than the 2021 study year.</x:v>
      </x:c>
      <x:c r="W539" s="14"/>
      <x:c r="X539" s="14" t="str">
        <x:v>Included</x:v>
      </x:c>
      <x:c r="Y539" s="14"/>
      <x:c r="Z539" s="14" t="str">
        <x:v>Vigil.docx</x:v>
      </x:c>
      <x:c r="AA53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HYPERLINK("https://en.wikipedia.org/wiki/Vigil","Open source")</x:f>
        <x:v>HYPERLINK is not implemented. linkLocation=https://en.wikipedia.org/wiki/Vigil, friendlyName=Open source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13</x:v>
      </x:c>
      <x:c r="BP539" s="14" t="str">
        <x:v>Maximum eligible IMDb cast-credit total (13), shared by 2 performer(s); not independently verified as a 2021-only episode total.</x:v>
      </x:c>
      <x:c r="BQ539" s="14" t="str">
        <x:v>Medium</x:v>
      </x:c>
      <x:c r="BR539" s="15" t="n">
        <x:v>5</x:v>
      </x:c>
      <x:c r="BS539" s="16" t="n">
        <x:v>0.3846153846153846</x:v>
      </x:c>
      <x:c r="BT539" s="14" t="str">
        <x:v>Minority of episodes</x:v>
      </x:c>
      <x:c r="BU539" s="14" t="str">
        <x:v>Medium</x:v>
      </x:c>
      <x:c r="BV539" s="14" t="str">
        <x:v>Derived from supplied IMDb episode count and the documented production-total proxy.</x:v>
      </x:c>
      <x:c r="BW539" s="14" t="str">
        <x:v>Unable to determine</x:v>
      </x:c>
      <x:c r="BX539" s="14" t="str">
        <x:v>Supplied cast data establishes the credit and episode presence but does not establish narrative prominence.</x:v>
      </x:c>
      <x:c r="BY539" s="14" t="str">
        <x:v>Supplied IMDb cast-list workbook</x:v>
      </x:c>
      <x:c r="BZ53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tt11846996|nm14673191|sabiha chapman</x:v>
      </x:c>
      <x:c r="B540" s="14" t="str">
        <x:v>05</x:v>
      </x:c>
      <x:c r="C540" s="14" t="str">
        <x:v>2021_IMDb_Cast_Lists_Batch_05(1).xlsx</x:v>
      </x:c>
      <x:c r="D540" s="14" t="str">
        <x:v>Vigil</x:v>
      </x:c>
      <x:c r="E540" s="14" t="n">
        <x:v>40</x:v>
      </x:c>
      <x:c r="F540" s="14" t="str">
        <x:v>Vigil</x:v>
      </x:c>
      <x:c r="G540" s="14" t="str">
        <x:v>tt11846996</x:v>
      </x:c>
      <x:c r="H540" s="14" t="n">
        <x:v>2021</x:v>
      </x:c>
      <x:c r="I540" s="14" t="n">
        <x:v>2023</x:v>
      </x:c>
      <x:c r="J540" s="14" t="str">
        <x:v>Earlier-Production Carry-In Cohort</x:v>
      </x:c>
      <x:c r="K540" s="14" t="n">
        <x:v>2021</x:v>
      </x:c>
      <x:c r="L540" s="14" t="str">
        <x:v>Used in 2023 annual analysis</x:v>
      </x:c>
      <x:c r="M540" s="15" t="n">
        <x:v>33</x:v>
      </x:c>
      <x:c r="N540" s="14" t="str">
        <x:v>Hiba Medina</x:v>
      </x:c>
      <x:c r="O540" s="14" t="str">
        <x:v>nm14673191</x:v>
      </x:c>
      <x:c r="P540" s="14" t="str">
        <x:v>Sabiha Chapman</x:v>
      </x:c>
      <x:c r="Q540" s="15" t="n">
        <x:v>4</x:v>
      </x:c>
      <x:c r="R540" s="14" t="str">
        <x:v>2023</x:v>
      </x:c>
      <x:c r="S540" s="14" t="n">
        <x:v>2023</x:v>
      </x:c>
      <x:c r="T540" s="14" t="n">
        <x:v>2023</x:v>
      </x:c>
      <x:c r="U540" s="14" t="str">
        <x:v>Post-2021 casting excluded</x:v>
      </x:c>
      <x:c r="V540" s="14" t="str">
        <x:v>Earliest supplied year is 2023, later than the 2021 study year.</x:v>
      </x:c>
      <x:c r="W540" s="14"/>
      <x:c r="X540" s="14" t="str">
        <x:v>Included</x:v>
      </x:c>
      <x:c r="Y540" s="14"/>
      <x:c r="Z540" s="14" t="str">
        <x:v>Vigil.docx</x:v>
      </x:c>
      <x:c r="AA54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HYPERLINK("https://en.wikipedia.org/wiki/Vigil","Open source")</x:f>
        <x:v>HYPERLINK is not implemented. linkLocation=https://en.wikipedia.org/wiki/Vigil, friendlyName=Open source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13</x:v>
      </x:c>
      <x:c r="BP540" s="14" t="str">
        <x:v>Maximum eligible IMDb cast-credit total (13), shared by 2 performer(s); not independently verified as a 2021-only episode total.</x:v>
      </x:c>
      <x:c r="BQ540" s="14" t="str">
        <x:v>Medium</x:v>
      </x:c>
      <x:c r="BR540" s="15" t="n">
        <x:v>4</x:v>
      </x:c>
      <x:c r="BS540" s="16" t="n">
        <x:v>0.3076923076923077</x:v>
      </x:c>
      <x:c r="BT540" s="14" t="str">
        <x:v>Minority of episodes</x:v>
      </x:c>
      <x:c r="BU540" s="14" t="str">
        <x:v>Medium</x:v>
      </x:c>
      <x:c r="BV540" s="14" t="str">
        <x:v>Derived from supplied IMDb episode count and the documented production-total proxy.</x:v>
      </x:c>
      <x:c r="BW540" s="14" t="str">
        <x:v>Unable to determine</x:v>
      </x:c>
      <x:c r="BX540" s="14" t="str">
        <x:v>Supplied cast data establishes the credit and episode presence but does not establish narrative prominence.</x:v>
      </x:c>
      <x:c r="BY540" s="14" t="str">
        <x:v>Supplied IMDb cast-list workbook</x:v>
      </x:c>
      <x:c r="BZ54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tt11846996|nm1901279|paul townsend</x:v>
      </x:c>
      <x:c r="B541" s="14" t="str">
        <x:v>05</x:v>
      </x:c>
      <x:c r="C541" s="14" t="str">
        <x:v>2021_IMDb_Cast_Lists_Batch_05(1).xlsx</x:v>
      </x:c>
      <x:c r="D541" s="14" t="str">
        <x:v>Vigil</x:v>
      </x:c>
      <x:c r="E541" s="14" t="n">
        <x:v>41</x:v>
      </x:c>
      <x:c r="F541" s="14" t="str">
        <x:v>Vigil</x:v>
      </x:c>
      <x:c r="G541" s="14" t="str">
        <x:v>tt11846996</x:v>
      </x:c>
      <x:c r="H541" s="14" t="n">
        <x:v>2021</x:v>
      </x:c>
      <x:c r="I541" s="14" t="n">
        <x:v>2023</x:v>
      </x:c>
      <x:c r="J541" s="14" t="str">
        <x:v>Earlier-Production Carry-In Cohort</x:v>
      </x:c>
      <x:c r="K541" s="14" t="n">
        <x:v>2021</x:v>
      </x:c>
      <x:c r="L541" s="14" t="str">
        <x:v>Used in 2023 annual analysis</x:v>
      </x:c>
      <x:c r="M541" s="15" t="n">
        <x:v>34</x:v>
      </x:c>
      <x:c r="N541" s="14" t="str">
        <x:v>Noof Ousellam</x:v>
      </x:c>
      <x:c r="O541" s="14" t="str">
        <x:v>nm1901279</x:v>
      </x:c>
      <x:c r="P541" s="14" t="str">
        <x:v>Paul Townsend</x:v>
      </x:c>
      <x:c r="Q541" s="15" t="n">
        <x:v>4</x:v>
      </x:c>
      <x:c r="R541" s="14" t="str">
        <x:v>2023</x:v>
      </x:c>
      <x:c r="S541" s="14" t="n">
        <x:v>2023</x:v>
      </x:c>
      <x:c r="T541" s="14" t="n">
        <x:v>2023</x:v>
      </x:c>
      <x:c r="U541" s="14" t="str">
        <x:v>Post-2021 casting excluded</x:v>
      </x:c>
      <x:c r="V541" s="14" t="str">
        <x:v>Earliest supplied year is 2023, later than the 2021 study year.</x:v>
      </x:c>
      <x:c r="W541" s="14"/>
      <x:c r="X541" s="14" t="str">
        <x:v>Included</x:v>
      </x:c>
      <x:c r="Y541" s="14"/>
      <x:c r="Z541" s="14" t="str">
        <x:v>Vigil.docx</x:v>
      </x:c>
      <x:c r="AA54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HYPERLINK("https://en.wikipedia.org/wiki/Vigil","Open source")</x:f>
        <x:v>HYPERLINK is not implemented. linkLocation=https://en.wikipedia.org/wiki/Vigil, friendlyName=Open source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13</x:v>
      </x:c>
      <x:c r="BP541" s="14" t="str">
        <x:v>Maximum eligible IMDb cast-credit total (13), shared by 2 performer(s); not independently verified as a 2021-only episode total.</x:v>
      </x:c>
      <x:c r="BQ541" s="14" t="str">
        <x:v>Medium</x:v>
      </x:c>
      <x:c r="BR541" s="15" t="n">
        <x:v>4</x:v>
      </x:c>
      <x:c r="BS541" s="16" t="n">
        <x:v>0.3076923076923077</x:v>
      </x:c>
      <x:c r="BT541" s="14" t="str">
        <x:v>Minority of episodes</x:v>
      </x:c>
      <x:c r="BU541" s="14" t="str">
        <x:v>Medium</x:v>
      </x:c>
      <x:c r="BV541" s="14" t="str">
        <x:v>Derived from supplied IMDb episode count and the documented production-total proxy.</x:v>
      </x:c>
      <x:c r="BW541" s="14" t="str">
        <x:v>Unable to determine</x:v>
      </x:c>
      <x:c r="BX541" s="14" t="str">
        <x:v>Supplied cast data establishes the credit and episode presence but does not establish narrative prominence.</x:v>
      </x:c>
      <x:c r="BY541" s="14" t="str">
        <x:v>Supplied IMDb cast-list workbook</x:v>
      </x:c>
      <x:c r="BZ54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tt11846996|nm12319062|firas zaman</x:v>
      </x:c>
      <x:c r="B542" s="14" t="str">
        <x:v>05</x:v>
      </x:c>
      <x:c r="C542" s="14" t="str">
        <x:v>2021_IMDb_Cast_Lists_Batch_05(1).xlsx</x:v>
      </x:c>
      <x:c r="D542" s="14" t="str">
        <x:v>Vigil</x:v>
      </x:c>
      <x:c r="E542" s="14" t="n">
        <x:v>43</x:v>
      </x:c>
      <x:c r="F542" s="14" t="str">
        <x:v>Vigil</x:v>
      </x:c>
      <x:c r="G542" s="14" t="str">
        <x:v>tt11846996</x:v>
      </x:c>
      <x:c r="H542" s="14" t="n">
        <x:v>2021</x:v>
      </x:c>
      <x:c r="I542" s="14" t="n">
        <x:v>2023</x:v>
      </x:c>
      <x:c r="J542" s="14" t="str">
        <x:v>Earlier-Production Carry-In Cohort</x:v>
      </x:c>
      <x:c r="K542" s="14" t="n">
        <x:v>2021</x:v>
      </x:c>
      <x:c r="L542" s="14" t="str">
        <x:v>Used in 2023 annual analysis</x:v>
      </x:c>
      <x:c r="M542" s="15" t="n">
        <x:v>36</x:v>
      </x:c>
      <x:c r="N542" s="14" t="str">
        <x:v>Tommy Sim'aan</x:v>
      </x:c>
      <x:c r="O542" s="14" t="str">
        <x:v>nm12319062</x:v>
      </x:c>
      <x:c r="P542" s="14" t="str">
        <x:v>Firas Zaman</x:v>
      </x:c>
      <x:c r="Q542" s="15" t="n">
        <x:v>4</x:v>
      </x:c>
      <x:c r="R542" s="14" t="str">
        <x:v>2023</x:v>
      </x:c>
      <x:c r="S542" s="14" t="n">
        <x:v>2023</x:v>
      </x:c>
      <x:c r="T542" s="14" t="n">
        <x:v>2023</x:v>
      </x:c>
      <x:c r="U542" s="14" t="str">
        <x:v>Post-2021 casting excluded</x:v>
      </x:c>
      <x:c r="V542" s="14" t="str">
        <x:v>Earliest supplied year is 2023, later than the 2021 study year.</x:v>
      </x:c>
      <x:c r="W542" s="14"/>
      <x:c r="X542" s="14" t="str">
        <x:v>Included</x:v>
      </x:c>
      <x:c r="Y542" s="14"/>
      <x:c r="Z542" s="14" t="str">
        <x:v>Vigil.docx</x:v>
      </x:c>
      <x:c r="AA54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HYPERLINK("https://en.wikipedia.org/wiki/Vigil","Open source")</x:f>
        <x:v>HYPERLINK is not implemented. linkLocation=https://en.wikipedia.org/wiki/Vigil, friendlyName=Open source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13</x:v>
      </x:c>
      <x:c r="BP542" s="14" t="str">
        <x:v>Maximum eligible IMDb cast-credit total (13), shared by 2 performer(s); not independently verified as a 2021-only episode total.</x:v>
      </x:c>
      <x:c r="BQ542" s="14" t="str">
        <x:v>Medium</x:v>
      </x:c>
      <x:c r="BR542" s="15" t="n">
        <x:v>4</x:v>
      </x:c>
      <x:c r="BS542" s="16" t="n">
        <x:v>0.3076923076923077</x:v>
      </x:c>
      <x:c r="BT542" s="14" t="str">
        <x:v>Minority of episodes</x:v>
      </x:c>
      <x:c r="BU542" s="14" t="str">
        <x:v>Medium</x:v>
      </x:c>
      <x:c r="BV542" s="14" t="str">
        <x:v>Derived from supplied IMDb episode count and the documented production-total proxy.</x:v>
      </x:c>
      <x:c r="BW542" s="14" t="str">
        <x:v>Unable to determine</x:v>
      </x:c>
      <x:c r="BX542" s="14" t="str">
        <x:v>Supplied cast data establishes the credit and episode presence but does not establish narrative prominence.</x:v>
      </x:c>
      <x:c r="BY542" s="14" t="str">
        <x:v>Supplied IMDb cast-list workbook</x:v>
      </x:c>
      <x:c r="BZ54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tt11846996|nm0253097|derek mccabe</x:v>
      </x:c>
      <x:c r="B543" s="14" t="str">
        <x:v>05</x:v>
      </x:c>
      <x:c r="C543" s="14" t="str">
        <x:v>2021_IMDb_Cast_Lists_Batch_05(1).xlsx</x:v>
      </x:c>
      <x:c r="D543" s="14" t="str">
        <x:v>Vigil</x:v>
      </x:c>
      <x:c r="E543" s="14" t="n">
        <x:v>47</x:v>
      </x:c>
      <x:c r="F543" s="14" t="str">
        <x:v>Vigil</x:v>
      </x:c>
      <x:c r="G543" s="14" t="str">
        <x:v>tt11846996</x:v>
      </x:c>
      <x:c r="H543" s="14" t="n">
        <x:v>2021</x:v>
      </x:c>
      <x:c r="I543" s="14" t="n">
        <x:v>2023</x:v>
      </x:c>
      <x:c r="J543" s="14" t="str">
        <x:v>Earlier-Production Carry-In Cohort</x:v>
      </x:c>
      <x:c r="K543" s="14" t="n">
        <x:v>2021</x:v>
      </x:c>
      <x:c r="L543" s="14" t="str">
        <x:v>Used in 2023 annual analysis</x:v>
      </x:c>
      <x:c r="M543" s="15" t="n">
        <x:v>40</x:v>
      </x:c>
      <x:c r="N543" s="14" t="str">
        <x:v>Steven Elder</x:v>
      </x:c>
      <x:c r="O543" s="14" t="str">
        <x:v>nm0253097</x:v>
      </x:c>
      <x:c r="P543" s="14" t="str">
        <x:v>Derek McCabe</x:v>
      </x:c>
      <x:c r="Q543" s="15" t="n">
        <x:v>3</x:v>
      </x:c>
      <x:c r="R543" s="14" t="str">
        <x:v>2023</x:v>
      </x:c>
      <x:c r="S543" s="14" t="n">
        <x:v>2023</x:v>
      </x:c>
      <x:c r="T543" s="14" t="n">
        <x:v>2023</x:v>
      </x:c>
      <x:c r="U543" s="14" t="str">
        <x:v>Post-2021 casting excluded</x:v>
      </x:c>
      <x:c r="V543" s="14" t="str">
        <x:v>Earliest supplied year is 2023, later than the 2021 study year.</x:v>
      </x:c>
      <x:c r="W543" s="14"/>
      <x:c r="X543" s="14" t="str">
        <x:v>Included</x:v>
      </x:c>
      <x:c r="Y543" s="14"/>
      <x:c r="Z543" s="14" t="str">
        <x:v>Vigil.docx</x:v>
      </x:c>
      <x:c r="AA54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HYPERLINK("https://en.wikipedia.org/wiki/Vigil","Open source")</x:f>
        <x:v>HYPERLINK is not implemented. linkLocation=https://en.wikipedia.org/wiki/Vigil, friendlyName=Open source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13</x:v>
      </x:c>
      <x:c r="BP543" s="14" t="str">
        <x:v>Maximum eligible IMDb cast-credit total (13), shared by 2 performer(s); not independently verified as a 2021-only episode total.</x:v>
      </x:c>
      <x:c r="BQ543" s="14" t="str">
        <x:v>Medium</x:v>
      </x:c>
      <x:c r="BR543" s="15" t="n">
        <x:v>3</x:v>
      </x:c>
      <x:c r="BS543" s="16" t="n">
        <x:v>0.2307692307692308</x:v>
      </x:c>
      <x:c r="BT543" s="14" t="str">
        <x:v>Minority of episodes</x:v>
      </x:c>
      <x:c r="BU543" s="14" t="str">
        <x:v>Medium</x:v>
      </x:c>
      <x:c r="BV543" s="14" t="str">
        <x:v>Derived from supplied IMDb episode count and the documented production-total proxy.</x:v>
      </x:c>
      <x:c r="BW543" s="14" t="str">
        <x:v>Unable to determine</x:v>
      </x:c>
      <x:c r="BX543" s="14" t="str">
        <x:v>Supplied cast data establishes the credit and episode presence but does not establish narrative prominence.</x:v>
      </x:c>
      <x:c r="BY543" s="14" t="str">
        <x:v>Supplied IMDb cast-list workbook</x:v>
      </x:c>
      <x:c r="BZ54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tt11846996|nm0949728|compton</x:v>
      </x:c>
      <x:c r="B544" s="14" t="str">
        <x:v>05</x:v>
      </x:c>
      <x:c r="C544" s="14" t="str">
        <x:v>2021_IMDb_Cast_Lists_Batch_05(1).xlsx</x:v>
      </x:c>
      <x:c r="D544" s="14" t="str">
        <x:v>Vigil</x:v>
      </x:c>
      <x:c r="E544" s="14" t="n">
        <x:v>48</x:v>
      </x:c>
      <x:c r="F544" s="14" t="str">
        <x:v>Vigil</x:v>
      </x:c>
      <x:c r="G544" s="14" t="str">
        <x:v>tt11846996</x:v>
      </x:c>
      <x:c r="H544" s="14" t="n">
        <x:v>2021</x:v>
      </x:c>
      <x:c r="I544" s="14" t="n">
        <x:v>2023</x:v>
      </x:c>
      <x:c r="J544" s="14" t="str">
        <x:v>Earlier-Production Carry-In Cohort</x:v>
      </x:c>
      <x:c r="K544" s="14" t="n">
        <x:v>2021</x:v>
      </x:c>
      <x:c r="L544" s="14" t="str">
        <x:v>Used in 2023 annual analysis</x:v>
      </x:c>
      <x:c r="M544" s="15" t="n">
        <x:v>41</x:v>
      </x:c>
      <x:c r="N544" s="14" t="str">
        <x:v>Jordan Young</x:v>
      </x:c>
      <x:c r="O544" s="14" t="str">
        <x:v>nm0949728</x:v>
      </x:c>
      <x:c r="P544" s="14" t="str">
        <x:v>Compton</x:v>
      </x:c>
      <x:c r="Q544" s="15" t="n">
        <x:v>3</x:v>
      </x:c>
      <x:c r="R544" s="14" t="str">
        <x:v>2023</x:v>
      </x:c>
      <x:c r="S544" s="14" t="n">
        <x:v>2023</x:v>
      </x:c>
      <x:c r="T544" s="14" t="n">
        <x:v>2023</x:v>
      </x:c>
      <x:c r="U544" s="14" t="str">
        <x:v>Post-2021 casting excluded</x:v>
      </x:c>
      <x:c r="V544" s="14" t="str">
        <x:v>Earliest supplied year is 2023, later than the 2021 study year.</x:v>
      </x:c>
      <x:c r="W544" s="14"/>
      <x:c r="X544" s="14" t="str">
        <x:v>Included</x:v>
      </x:c>
      <x:c r="Y544" s="14"/>
      <x:c r="Z544" s="14" t="str">
        <x:v>Vigil.docx</x:v>
      </x:c>
      <x:c r="AA54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HYPERLINK("https://en.wikipedia.org/wiki/Vigil","Open source")</x:f>
        <x:v>HYPERLINK is not implemented. linkLocation=https://en.wikipedia.org/wiki/Vigil, friendlyName=Open source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13</x:v>
      </x:c>
      <x:c r="BP544" s="14" t="str">
        <x:v>Maximum eligible IMDb cast-credit total (13), shared by 2 performer(s); not independently verified as a 2021-only episode total.</x:v>
      </x:c>
      <x:c r="BQ544" s="14" t="str">
        <x:v>Medium</x:v>
      </x:c>
      <x:c r="BR544" s="15" t="n">
        <x:v>3</x:v>
      </x:c>
      <x:c r="BS544" s="16" t="n">
        <x:v>0.2307692307692308</x:v>
      </x:c>
      <x:c r="BT544" s="14" t="str">
        <x:v>Minority of episodes</x:v>
      </x:c>
      <x:c r="BU544" s="14" t="str">
        <x:v>Medium</x:v>
      </x:c>
      <x:c r="BV544" s="14" t="str">
        <x:v>Derived from supplied IMDb episode count and the documented production-total proxy.</x:v>
      </x:c>
      <x:c r="BW544" s="14" t="str">
        <x:v>Unable to determine</x:v>
      </x:c>
      <x:c r="BX544" s="14" t="str">
        <x:v>Supplied cast data establishes the credit and episode presence but does not establish narrative prominence.</x:v>
      </x:c>
      <x:c r="BY544" s="14" t="str">
        <x:v>Supplied IMDb cast-list workbook</x:v>
      </x:c>
      <x:c r="BZ54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tt11846996|nm9944131|clothier</x:v>
      </x:c>
      <x:c r="B545" s="14" t="str">
        <x:v>05</x:v>
      </x:c>
      <x:c r="C545" s="14" t="str">
        <x:v>2021_IMDb_Cast_Lists_Batch_05(1).xlsx</x:v>
      </x:c>
      <x:c r="D545" s="14" t="str">
        <x:v>Vigil</x:v>
      </x:c>
      <x:c r="E545" s="14" t="n">
        <x:v>49</x:v>
      </x:c>
      <x:c r="F545" s="14" t="str">
        <x:v>Vigil</x:v>
      </x:c>
      <x:c r="G545" s="14" t="str">
        <x:v>tt11846996</x:v>
      </x:c>
      <x:c r="H545" s="14" t="n">
        <x:v>2021</x:v>
      </x:c>
      <x:c r="I545" s="14" t="n">
        <x:v>2023</x:v>
      </x:c>
      <x:c r="J545" s="14" t="str">
        <x:v>Earlier-Production Carry-In Cohort</x:v>
      </x:c>
      <x:c r="K545" s="14" t="n">
        <x:v>2021</x:v>
      </x:c>
      <x:c r="L545" s="14" t="str">
        <x:v>Used in 2023 annual analysis</x:v>
      </x:c>
      <x:c r="M545" s="15" t="n">
        <x:v>42</x:v>
      </x:c>
      <x:c r="N545" s="14" t="str">
        <x:v>Angus Yellowlees</x:v>
      </x:c>
      <x:c r="O545" s="14" t="str">
        <x:v>nm9944131</x:v>
      </x:c>
      <x:c r="P545" s="14" t="str">
        <x:v>Clothier</x:v>
      </x:c>
      <x:c r="Q545" s="15" t="n">
        <x:v>3</x:v>
      </x:c>
      <x:c r="R545" s="14" t="str">
        <x:v>2023</x:v>
      </x:c>
      <x:c r="S545" s="14" t="n">
        <x:v>2023</x:v>
      </x:c>
      <x:c r="T545" s="14" t="n">
        <x:v>2023</x:v>
      </x:c>
      <x:c r="U545" s="14" t="str">
        <x:v>Post-2021 casting excluded</x:v>
      </x:c>
      <x:c r="V545" s="14" t="str">
        <x:v>Earliest supplied year is 2023, later than the 2021 study year.</x:v>
      </x:c>
      <x:c r="W545" s="14"/>
      <x:c r="X545" s="14" t="str">
        <x:v>Included</x:v>
      </x:c>
      <x:c r="Y545" s="14"/>
      <x:c r="Z545" s="14" t="str">
        <x:v>Vigil.docx</x:v>
      </x:c>
      <x:c r="AA54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HYPERLINK("https://en.wikipedia.org/wiki/Vigil","Open source")</x:f>
        <x:v>HYPERLINK is not implemented. linkLocation=https://en.wikipedia.org/wiki/Vigil, friendlyName=Open source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13</x:v>
      </x:c>
      <x:c r="BP545" s="14" t="str">
        <x:v>Maximum eligible IMDb cast-credit total (13), shared by 2 performer(s); not independently verified as a 2021-only episode total.</x:v>
      </x:c>
      <x:c r="BQ545" s="14" t="str">
        <x:v>Medium</x:v>
      </x:c>
      <x:c r="BR545" s="15" t="n">
        <x:v>3</x:v>
      </x:c>
      <x:c r="BS545" s="16" t="n">
        <x:v>0.2307692307692308</x:v>
      </x:c>
      <x:c r="BT545" s="14" t="str">
        <x:v>Minority of episodes</x:v>
      </x:c>
      <x:c r="BU545" s="14" t="str">
        <x:v>Medium</x:v>
      </x:c>
      <x:c r="BV545" s="14" t="str">
        <x:v>Derived from supplied IMDb episode count and the documented production-total proxy.</x:v>
      </x:c>
      <x:c r="BW545" s="14" t="str">
        <x:v>Unable to determine</x:v>
      </x:c>
      <x:c r="BX545" s="14" t="str">
        <x:v>Supplied cast data establishes the credit and episode presence but does not establish narrative prominence.</x:v>
      </x:c>
      <x:c r="BY545" s="14" t="str">
        <x:v>Supplied IMDb cast-list workbook</x:v>
      </x:c>
      <x:c r="BZ54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tt11846996|nm0535582|sir ian downing</x:v>
      </x:c>
      <x:c r="B546" s="14" t="str">
        <x:v>05</x:v>
      </x:c>
      <x:c r="C546" s="14" t="str">
        <x:v>2021_IMDb_Cast_Lists_Batch_05(1).xlsx</x:v>
      </x:c>
      <x:c r="D546" s="14" t="str">
        <x:v>Vigil</x:v>
      </x:c>
      <x:c r="E546" s="14" t="n">
        <x:v>50</x:v>
      </x:c>
      <x:c r="F546" s="14" t="str">
        <x:v>Vigil</x:v>
      </x:c>
      <x:c r="G546" s="14" t="str">
        <x:v>tt11846996</x:v>
      </x:c>
      <x:c r="H546" s="14" t="n">
        <x:v>2021</x:v>
      </x:c>
      <x:c r="I546" s="14" t="n">
        <x:v>2023</x:v>
      </x:c>
      <x:c r="J546" s="14" t="str">
        <x:v>Earlier-Production Carry-In Cohort</x:v>
      </x:c>
      <x:c r="K546" s="14" t="n">
        <x:v>2021</x:v>
      </x:c>
      <x:c r="L546" s="14" t="str">
        <x:v>Used in 2023 annual analysis</x:v>
      </x:c>
      <x:c r="M546" s="15" t="n">
        <x:v>43</x:v>
      </x:c>
      <x:c r="N546" s="14" t="str">
        <x:v>Dominic Mafham</x:v>
      </x:c>
      <x:c r="O546" s="14" t="str">
        <x:v>nm0535582</x:v>
      </x:c>
      <x:c r="P546" s="14" t="str">
        <x:v>Sir Ian Downing</x:v>
      </x:c>
      <x:c r="Q546" s="15" t="n">
        <x:v>3</x:v>
      </x:c>
      <x:c r="R546" s="14" t="str">
        <x:v>2023–2026</x:v>
      </x:c>
      <x:c r="S546" s="14" t="n">
        <x:v>2023</x:v>
      </x:c>
      <x:c r="T546" s="14" t="n">
        <x:v>2023</x:v>
      </x:c>
      <x:c r="U546" s="14" t="str">
        <x:v>Post-2021 casting excluded</x:v>
      </x:c>
      <x:c r="V546" s="14" t="str">
        <x:v>Earliest supplied year is 2023, later than the 2021 study year.</x:v>
      </x:c>
      <x:c r="W546" s="14"/>
      <x:c r="X546" s="14" t="str">
        <x:v>Included</x:v>
      </x:c>
      <x:c r="Y546" s="14"/>
      <x:c r="Z546" s="14" t="str">
        <x:v>Vigil.docx</x:v>
      </x:c>
      <x:c r="AA54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HYPERLINK("https://en.wikipedia.org/wiki/Vigil","Open source")</x:f>
        <x:v>HYPERLINK is not implemented. linkLocation=https://en.wikipedia.org/wiki/Vigil, friendlyName=Open source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13</x:v>
      </x:c>
      <x:c r="BP546" s="14" t="str">
        <x:v>Maximum eligible IMDb cast-credit total (13), shared by 2 performer(s); not independently verified as a 2021-only episode total.</x:v>
      </x:c>
      <x:c r="BQ546" s="14" t="str">
        <x:v>Medium</x:v>
      </x:c>
      <x:c r="BR546" s="15" t="n">
        <x:v>3</x:v>
      </x:c>
      <x:c r="BS546" s="16" t="n">
        <x:v>0.2307692307692308</x:v>
      </x:c>
      <x:c r="BT546" s="14" t="str">
        <x:v>Minority of episodes</x:v>
      </x:c>
      <x:c r="BU546" s="14" t="str">
        <x:v>Medium</x:v>
      </x:c>
      <x:c r="BV546" s="14" t="str">
        <x:v>Derived from supplied IMDb episode count and the documented production-total proxy.</x:v>
      </x:c>
      <x:c r="BW546" s="14" t="str">
        <x:v>Unable to determine</x:v>
      </x:c>
      <x:c r="BX546" s="14" t="str">
        <x:v>Supplied cast data establishes the credit and episode presence but does not establish narrative prominence.</x:v>
      </x:c>
      <x:c r="BY546" s="14" t="str">
        <x:v>Supplied IMDb cast-list workbook</x:v>
      </x:c>
      <x:c r="BZ54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tt11846996|nm6040685|mutaz</x:v>
      </x:c>
      <x:c r="B547" s="14" t="str">
        <x:v>05</x:v>
      </x:c>
      <x:c r="C547" s="14" t="str">
        <x:v>2021_IMDb_Cast_Lists_Batch_05(1).xlsx</x:v>
      </x:c>
      <x:c r="D547" s="14" t="str">
        <x:v>Vigil</x:v>
      </x:c>
      <x:c r="E547" s="14" t="n">
        <x:v>53</x:v>
      </x:c>
      <x:c r="F547" s="14" t="str">
        <x:v>Vigil</x:v>
      </x:c>
      <x:c r="G547" s="14" t="str">
        <x:v>tt11846996</x:v>
      </x:c>
      <x:c r="H547" s="14" t="n">
        <x:v>2021</x:v>
      </x:c>
      <x:c r="I547" s="14" t="n">
        <x:v>2023</x:v>
      </x:c>
      <x:c r="J547" s="14" t="str">
        <x:v>Earlier-Production Carry-In Cohort</x:v>
      </x:c>
      <x:c r="K547" s="14" t="n">
        <x:v>2021</x:v>
      </x:c>
      <x:c r="L547" s="14" t="str">
        <x:v>Used in 2023 annual analysis</x:v>
      </x:c>
      <x:c r="M547" s="15" t="n">
        <x:v>46</x:v>
      </x:c>
      <x:c r="N547" s="14" t="str">
        <x:v>Kamal Mustaffai</x:v>
      </x:c>
      <x:c r="O547" s="14" t="str">
        <x:v>nm6040685</x:v>
      </x:c>
      <x:c r="P547" s="14" t="str">
        <x:v>Mutaz</x:v>
      </x:c>
      <x:c r="Q547" s="15" t="n">
        <x:v>2</x:v>
      </x:c>
      <x:c r="R547" s="14" t="str">
        <x:v>2023</x:v>
      </x:c>
      <x:c r="S547" s="14" t="n">
        <x:v>2023</x:v>
      </x:c>
      <x:c r="T547" s="14" t="n">
        <x:v>2023</x:v>
      </x:c>
      <x:c r="U547" s="14" t="str">
        <x:v>Post-2021 casting excluded</x:v>
      </x:c>
      <x:c r="V547" s="14" t="str">
        <x:v>Earliest supplied year is 2023, later than the 2021 study year.</x:v>
      </x:c>
      <x:c r="W547" s="14"/>
      <x:c r="X547" s="14" t="str">
        <x:v>Included</x:v>
      </x:c>
      <x:c r="Y547" s="14"/>
      <x:c r="Z547" s="14" t="str">
        <x:v>Vigil.docx</x:v>
      </x:c>
      <x:c r="AA54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HYPERLINK("https://en.wikipedia.org/wiki/Vigil","Open source")</x:f>
        <x:v>HYPERLINK is not implemented. linkLocation=https://en.wikipedia.org/wiki/Vigil, friendlyName=Open source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13</x:v>
      </x:c>
      <x:c r="BP547" s="14" t="str">
        <x:v>Maximum eligible IMDb cast-credit total (13), shared by 2 performer(s); not independently verified as a 2021-only episode total.</x:v>
      </x:c>
      <x:c r="BQ547" s="14" t="str">
        <x:v>Medium</x:v>
      </x:c>
      <x:c r="BR547" s="15" t="n">
        <x:v>2</x:v>
      </x:c>
      <x:c r="BS547" s="16" t="n">
        <x:v>0.1538461538461539</x:v>
      </x:c>
      <x:c r="BT547" s="14" t="str">
        <x:v>Minority of episodes</x:v>
      </x:c>
      <x:c r="BU547" s="14" t="str">
        <x:v>Medium</x:v>
      </x:c>
      <x:c r="BV547" s="14" t="str">
        <x:v>Derived from supplied IMDb episode count and the documented production-total proxy.</x:v>
      </x:c>
      <x:c r="BW547" s="14" t="str">
        <x:v>Unable to determine</x:v>
      </x:c>
      <x:c r="BX547" s="14" t="str">
        <x:v>Supplied cast data establishes the credit and episode presence but does not establish narrative prominence.</x:v>
      </x:c>
      <x:c r="BY547" s="14" t="str">
        <x:v>Supplied IMDb cast-list workbook</x:v>
      </x:c>
      <x:c r="BZ54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tt11846996|nm13634066|faisal ghazali</x:v>
      </x:c>
      <x:c r="B548" s="14" t="str">
        <x:v>05</x:v>
      </x:c>
      <x:c r="C548" s="14" t="str">
        <x:v>2021_IMDb_Cast_Lists_Batch_05(1).xlsx</x:v>
      </x:c>
      <x:c r="D548" s="14" t="str">
        <x:v>Vigil</x:v>
      </x:c>
      <x:c r="E548" s="14" t="n">
        <x:v>54</x:v>
      </x:c>
      <x:c r="F548" s="14" t="str">
        <x:v>Vigil</x:v>
      </x:c>
      <x:c r="G548" s="14" t="str">
        <x:v>tt11846996</x:v>
      </x:c>
      <x:c r="H548" s="14" t="n">
        <x:v>2021</x:v>
      </x:c>
      <x:c r="I548" s="14" t="n">
        <x:v>2023</x:v>
      </x:c>
      <x:c r="J548" s="14" t="str">
        <x:v>Earlier-Production Carry-In Cohort</x:v>
      </x:c>
      <x:c r="K548" s="14" t="n">
        <x:v>2021</x:v>
      </x:c>
      <x:c r="L548" s="14" t="str">
        <x:v>Used in 2023 annual analysis</x:v>
      </x:c>
      <x:c r="M548" s="15" t="n">
        <x:v>47</x:v>
      </x:c>
      <x:c r="N548" s="14" t="str">
        <x:v>Malek Alkoni</x:v>
      </x:c>
      <x:c r="O548" s="14" t="str">
        <x:v>nm13634066</x:v>
      </x:c>
      <x:c r="P548" s="14" t="str">
        <x:v>Faisal Ghazali</x:v>
      </x:c>
      <x:c r="Q548" s="15" t="n">
        <x:v>2</x:v>
      </x:c>
      <x:c r="R548" s="14" t="str">
        <x:v>2023</x:v>
      </x:c>
      <x:c r="S548" s="14" t="n">
        <x:v>2023</x:v>
      </x:c>
      <x:c r="T548" s="14" t="n">
        <x:v>2023</x:v>
      </x:c>
      <x:c r="U548" s="14" t="str">
        <x:v>Post-2021 casting excluded</x:v>
      </x:c>
      <x:c r="V548" s="14" t="str">
        <x:v>Earliest supplied year is 2023, later than the 2021 study year.</x:v>
      </x:c>
      <x:c r="W548" s="14"/>
      <x:c r="X548" s="14" t="str">
        <x:v>Included</x:v>
      </x:c>
      <x:c r="Y548" s="14"/>
      <x:c r="Z548" s="14" t="str">
        <x:v>Vigil.docx</x:v>
      </x:c>
      <x:c r="AA54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HYPERLINK("https://en.wikipedia.org/wiki/Vigil","Open source")</x:f>
        <x:v>HYPERLINK is not implemented. linkLocation=https://en.wikipedia.org/wiki/Vigil, friendlyName=Open source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13</x:v>
      </x:c>
      <x:c r="BP548" s="14" t="str">
        <x:v>Maximum eligible IMDb cast-credit total (13), shared by 2 performer(s); not independently verified as a 2021-only episode total.</x:v>
      </x:c>
      <x:c r="BQ548" s="14" t="str">
        <x:v>Medium</x:v>
      </x:c>
      <x:c r="BR548" s="15" t="n">
        <x:v>2</x:v>
      </x:c>
      <x:c r="BS548" s="16" t="n">
        <x:v>0.1538461538461539</x:v>
      </x:c>
      <x:c r="BT548" s="14" t="str">
        <x:v>Minority of episodes</x:v>
      </x:c>
      <x:c r="BU548" s="14" t="str">
        <x:v>Medium</x:v>
      </x:c>
      <x:c r="BV548" s="14" t="str">
        <x:v>Derived from supplied IMDb episode count and the documented production-total proxy.</x:v>
      </x:c>
      <x:c r="BW548" s="14" t="str">
        <x:v>Unable to determine</x:v>
      </x:c>
      <x:c r="BX548" s="14" t="str">
        <x:v>Supplied cast data establishes the credit and episode presence but does not establish narrative prominence.</x:v>
      </x:c>
      <x:c r="BY548" s="14" t="str">
        <x:v>Supplied IMDb cast-list workbook</x:v>
      </x:c>
      <x:c r="BZ54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tt11846996|nm1716920|abdullah ghazali</x:v>
      </x:c>
      <x:c r="B549" s="14" t="str">
        <x:v>05</x:v>
      </x:c>
      <x:c r="C549" s="14" t="str">
        <x:v>2021_IMDb_Cast_Lists_Batch_05(1).xlsx</x:v>
      </x:c>
      <x:c r="D549" s="14" t="str">
        <x:v>Vigil</x:v>
      </x:c>
      <x:c r="E549" s="14" t="n">
        <x:v>55</x:v>
      </x:c>
      <x:c r="F549" s="14" t="str">
        <x:v>Vigil</x:v>
      </x:c>
      <x:c r="G549" s="14" t="str">
        <x:v>tt11846996</x:v>
      </x:c>
      <x:c r="H549" s="14" t="n">
        <x:v>2021</x:v>
      </x:c>
      <x:c r="I549" s="14" t="n">
        <x:v>2023</x:v>
      </x:c>
      <x:c r="J549" s="14" t="str">
        <x:v>Earlier-Production Carry-In Cohort</x:v>
      </x:c>
      <x:c r="K549" s="14" t="n">
        <x:v>2021</x:v>
      </x:c>
      <x:c r="L549" s="14" t="str">
        <x:v>Used in 2023 annual analysis</x:v>
      </x:c>
      <x:c r="M549" s="15" t="n">
        <x:v>48</x:v>
      </x:c>
      <x:c r="N549" s="14" t="str">
        <x:v>Khalid Laith</x:v>
      </x:c>
      <x:c r="O549" s="14" t="str">
        <x:v>nm1716920</x:v>
      </x:c>
      <x:c r="P549" s="14" t="str">
        <x:v>Abdullah Ghazali</x:v>
      </x:c>
      <x:c r="Q549" s="15" t="n">
        <x:v>2</x:v>
      </x:c>
      <x:c r="R549" s="14" t="str">
        <x:v>2023</x:v>
      </x:c>
      <x:c r="S549" s="14" t="n">
        <x:v>2023</x:v>
      </x:c>
      <x:c r="T549" s="14" t="n">
        <x:v>2023</x:v>
      </x:c>
      <x:c r="U549" s="14" t="str">
        <x:v>Post-2021 casting excluded</x:v>
      </x:c>
      <x:c r="V549" s="14" t="str">
        <x:v>Earliest supplied year is 2023, later than the 2021 study year.</x:v>
      </x:c>
      <x:c r="W549" s="14"/>
      <x:c r="X549" s="14" t="str">
        <x:v>Included</x:v>
      </x:c>
      <x:c r="Y549" s="14"/>
      <x:c r="Z549" s="14" t="str">
        <x:v>Vigil.docx</x:v>
      </x:c>
      <x:c r="AA54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HYPERLINK("https://en.wikipedia.org/wiki/Vigil","Open source")</x:f>
        <x:v>HYPERLINK is not implemented. linkLocation=https://en.wikipedia.org/wiki/Vigil, friendlyName=Open source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13</x:v>
      </x:c>
      <x:c r="BP549" s="14" t="str">
        <x:v>Maximum eligible IMDb cast-credit total (13), shared by 2 performer(s); not independently verified as a 2021-only episode total.</x:v>
      </x:c>
      <x:c r="BQ549" s="14" t="str">
        <x:v>Medium</x:v>
      </x:c>
      <x:c r="BR549" s="15" t="n">
        <x:v>2</x:v>
      </x:c>
      <x:c r="BS549" s="16" t="n">
        <x:v>0.1538461538461539</x:v>
      </x:c>
      <x:c r="BT549" s="14" t="str">
        <x:v>Minority of episodes</x:v>
      </x:c>
      <x:c r="BU549" s="14" t="str">
        <x:v>Medium</x:v>
      </x:c>
      <x:c r="BV549" s="14" t="str">
        <x:v>Derived from supplied IMDb episode count and the documented production-total proxy.</x:v>
      </x:c>
      <x:c r="BW549" s="14" t="str">
        <x:v>Unable to determine</x:v>
      </x:c>
      <x:c r="BX549" s="14" t="str">
        <x:v>Supplied cast data establishes the credit and episode presence but does not establish narrative prominence.</x:v>
      </x:c>
      <x:c r="BY549" s="14" t="str">
        <x:v>Supplied IMDb cast-list workbook</x:v>
      </x:c>
      <x:c r="BZ54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tt11846996|nm8030703|arlene royce</x:v>
      </x:c>
      <x:c r="B550" s="14" t="str">
        <x:v>05</x:v>
      </x:c>
      <x:c r="C550" s="14" t="str">
        <x:v>2021_IMDb_Cast_Lists_Batch_05(1).xlsx</x:v>
      </x:c>
      <x:c r="D550" s="14" t="str">
        <x:v>Vigil</x:v>
      </x:c>
      <x:c r="E550" s="14" t="n">
        <x:v>56</x:v>
      </x:c>
      <x:c r="F550" s="14" t="str">
        <x:v>Vigil</x:v>
      </x:c>
      <x:c r="G550" s="14" t="str">
        <x:v>tt11846996</x:v>
      </x:c>
      <x:c r="H550" s="14" t="n">
        <x:v>2021</x:v>
      </x:c>
      <x:c r="I550" s="14" t="n">
        <x:v>2023</x:v>
      </x:c>
      <x:c r="J550" s="14" t="str">
        <x:v>Earlier-Production Carry-In Cohort</x:v>
      </x:c>
      <x:c r="K550" s="14" t="n">
        <x:v>2021</x:v>
      </x:c>
      <x:c r="L550" s="14" t="str">
        <x:v>Used in 2023 annual analysis</x:v>
      </x:c>
      <x:c r="M550" s="15" t="n">
        <x:v>49</x:v>
      </x:c>
      <x:c r="N550" s="14" t="str">
        <x:v>Naomi Stirrat</x:v>
      </x:c>
      <x:c r="O550" s="14" t="str">
        <x:v>nm8030703</x:v>
      </x:c>
      <x:c r="P550" s="14" t="str">
        <x:v>Arlene Royce</x:v>
      </x:c>
      <x:c r="Q550" s="15" t="n">
        <x:v>2</x:v>
      </x:c>
      <x:c r="R550" s="14" t="str">
        <x:v>2023</x:v>
      </x:c>
      <x:c r="S550" s="14" t="n">
        <x:v>2023</x:v>
      </x:c>
      <x:c r="T550" s="14" t="n">
        <x:v>2023</x:v>
      </x:c>
      <x:c r="U550" s="14" t="str">
        <x:v>Post-2021 casting excluded</x:v>
      </x:c>
      <x:c r="V550" s="14" t="str">
        <x:v>Earliest supplied year is 2023, later than the 2021 study year.</x:v>
      </x:c>
      <x:c r="W550" s="14"/>
      <x:c r="X550" s="14" t="str">
        <x:v>Included</x:v>
      </x:c>
      <x:c r="Y550" s="14"/>
      <x:c r="Z550" s="14" t="str">
        <x:v>Vigil.docx</x:v>
      </x:c>
      <x:c r="AA55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HYPERLINK("https://en.wikipedia.org/wiki/Vigil","Open source")</x:f>
        <x:v>HYPERLINK is not implemented. linkLocation=https://en.wikipedia.org/wiki/Vigil, friendlyName=Open source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13</x:v>
      </x:c>
      <x:c r="BP550" s="14" t="str">
        <x:v>Maximum eligible IMDb cast-credit total (13), shared by 2 performer(s); not independently verified as a 2021-only episode total.</x:v>
      </x:c>
      <x:c r="BQ550" s="14" t="str">
        <x:v>Medium</x:v>
      </x:c>
      <x:c r="BR550" s="15" t="n">
        <x:v>2</x:v>
      </x:c>
      <x:c r="BS550" s="16" t="n">
        <x:v>0.1538461538461539</x:v>
      </x:c>
      <x:c r="BT550" s="14" t="str">
        <x:v>Minority of episodes</x:v>
      </x:c>
      <x:c r="BU550" s="14" t="str">
        <x:v>Medium</x:v>
      </x:c>
      <x:c r="BV550" s="14" t="str">
        <x:v>Derived from supplied IMDb episode count and the documented production-total proxy.</x:v>
      </x:c>
      <x:c r="BW550" s="14" t="str">
        <x:v>Unable to determine</x:v>
      </x:c>
      <x:c r="BX550" s="14" t="str">
        <x:v>Supplied cast data establishes the credit and episode presence but does not establish narrative prominence.</x:v>
      </x:c>
      <x:c r="BY550" s="14" t="str">
        <x:v>Supplied IMDb cast-list workbook</x:v>
      </x:c>
      <x:c r="BZ55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tt11846996|nm9799191|news presenter</x:v>
      </x:c>
      <x:c r="B551" s="14" t="str">
        <x:v>05</x:v>
      </x:c>
      <x:c r="C551" s="14" t="str">
        <x:v>2021_IMDb_Cast_Lists_Batch_05(1).xlsx</x:v>
      </x:c>
      <x:c r="D551" s="14" t="str">
        <x:v>Vigil</x:v>
      </x:c>
      <x:c r="E551" s="14" t="n">
        <x:v>57</x:v>
      </x:c>
      <x:c r="F551" s="14" t="str">
        <x:v>Vigil</x:v>
      </x:c>
      <x:c r="G551" s="14" t="str">
        <x:v>tt11846996</x:v>
      </x:c>
      <x:c r="H551" s="14" t="n">
        <x:v>2021</x:v>
      </x:c>
      <x:c r="I551" s="14" t="n">
        <x:v>2023</x:v>
      </x:c>
      <x:c r="J551" s="14" t="str">
        <x:v>Earlier-Production Carry-In Cohort</x:v>
      </x:c>
      <x:c r="K551" s="14" t="n">
        <x:v>2021</x:v>
      </x:c>
      <x:c r="L551" s="14" t="str">
        <x:v>Used in 2023 annual analysis</x:v>
      </x:c>
      <x:c r="M551" s="15" t="n">
        <x:v>50</x:v>
      </x:c>
      <x:c r="N551" s="14" t="str">
        <x:v>Laura Miller</x:v>
      </x:c>
      <x:c r="O551" s="14" t="str">
        <x:v>nm9799191</x:v>
      </x:c>
      <x:c r="P551" s="14" t="str">
        <x:v>News Presenter</x:v>
      </x:c>
      <x:c r="Q551" s="15" t="n">
        <x:v>2</x:v>
      </x:c>
      <x:c r="R551" s="14" t="str">
        <x:v>2023</x:v>
      </x:c>
      <x:c r="S551" s="14" t="n">
        <x:v>2023</x:v>
      </x:c>
      <x:c r="T551" s="14" t="n">
        <x:v>2023</x:v>
      </x:c>
      <x:c r="U551" s="14" t="str">
        <x:v>Post-2021 casting excluded</x:v>
      </x:c>
      <x:c r="V551" s="14" t="str">
        <x:v>Earliest supplied year is 2023, later than the 2021 study year.</x:v>
      </x:c>
      <x:c r="W551" s="14"/>
      <x:c r="X551" s="14" t="str">
        <x:v>Included</x:v>
      </x:c>
      <x:c r="Y551" s="14"/>
      <x:c r="Z551" s="14" t="str">
        <x:v>Vigil.docx</x:v>
      </x:c>
      <x:c r="AA55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HYPERLINK("https://en.wikipedia.org/wiki/Vigil","Open source")</x:f>
        <x:v>HYPERLINK is not implemented. linkLocation=https://en.wikipedia.org/wiki/Vigil, friendlyName=Open source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13</x:v>
      </x:c>
      <x:c r="BP551" s="14" t="str">
        <x:v>Maximum eligible IMDb cast-credit total (13), shared by 2 performer(s); not independently verified as a 2021-only episode total.</x:v>
      </x:c>
      <x:c r="BQ551" s="14" t="str">
        <x:v>Medium</x:v>
      </x:c>
      <x:c r="BR551" s="15" t="n">
        <x:v>2</x:v>
      </x:c>
      <x:c r="BS551" s="16" t="n">
        <x:v>0.1538461538461539</x:v>
      </x:c>
      <x:c r="BT551" s="14" t="str">
        <x:v>Minority of episodes</x:v>
      </x:c>
      <x:c r="BU551" s="14" t="str">
        <x:v>Medium</x:v>
      </x:c>
      <x:c r="BV551" s="14" t="str">
        <x:v>Derived from supplied IMDb episode count and the documented production-total proxy.</x:v>
      </x:c>
      <x:c r="BW551" s="14" t="str">
        <x:v>Unable to determine</x:v>
      </x:c>
      <x:c r="BX551" s="14" t="str">
        <x:v>Supplied cast data establishes the credit and episode presence but does not establish narrative prominence.</x:v>
      </x:c>
      <x:c r="BY551" s="14" t="str">
        <x:v>Supplied IMDb cast-list workbook</x:v>
      </x:c>
      <x:c r="BZ55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tt11846996|nm0533258|anthony chapman</x:v>
      </x:c>
      <x:c r="B552" s="14" t="str">
        <x:v>05</x:v>
      </x:c>
      <x:c r="C552" s="14" t="str">
        <x:v>2021_IMDb_Cast_Lists_Batch_05(1).xlsx</x:v>
      </x:c>
      <x:c r="D552" s="14" t="str">
        <x:v>Vigil</x:v>
      </x:c>
      <x:c r="E552" s="14" t="n">
        <x:v>64</x:v>
      </x:c>
      <x:c r="F552" s="14" t="str">
        <x:v>Vigil</x:v>
      </x:c>
      <x:c r="G552" s="14" t="str">
        <x:v>tt11846996</x:v>
      </x:c>
      <x:c r="H552" s="14" t="n">
        <x:v>2021</x:v>
      </x:c>
      <x:c r="I552" s="14" t="n">
        <x:v>2023</x:v>
      </x:c>
      <x:c r="J552" s="14" t="str">
        <x:v>Earlier-Production Carry-In Cohort</x:v>
      </x:c>
      <x:c r="K552" s="14" t="n">
        <x:v>2021</x:v>
      </x:c>
      <x:c r="L552" s="14" t="str">
        <x:v>Used in 2023 annual analysis</x:v>
      </x:c>
      <x:c r="M552" s="15" t="n">
        <x:v>57</x:v>
      </x:c>
      <x:c r="N552" s="14" t="str">
        <x:v>Alastair Mackenzie</x:v>
      </x:c>
      <x:c r="O552" s="14" t="str">
        <x:v>nm0533258</x:v>
      </x:c>
      <x:c r="P552" s="14" t="str">
        <x:v>Anthony Chapman</x:v>
      </x:c>
      <x:c r="Q552" s="15" t="n">
        <x:v>1</x:v>
      </x:c>
      <x:c r="R552" s="14" t="str">
        <x:v>2023</x:v>
      </x:c>
      <x:c r="S552" s="14" t="n">
        <x:v>2023</x:v>
      </x:c>
      <x:c r="T552" s="14" t="n">
        <x:v>2023</x:v>
      </x:c>
      <x:c r="U552" s="14" t="str">
        <x:v>Post-2021 casting excluded</x:v>
      </x:c>
      <x:c r="V552" s="14" t="str">
        <x:v>Earliest supplied year is 2023, later than the 2021 study year.</x:v>
      </x:c>
      <x:c r="W552" s="14"/>
      <x:c r="X552" s="14" t="str">
        <x:v>Included</x:v>
      </x:c>
      <x:c r="Y552" s="14"/>
      <x:c r="Z552" s="14" t="str">
        <x:v>Vigil.docx</x:v>
      </x:c>
      <x:c r="AA55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HYPERLINK("https://en.wikipedia.org/wiki/Vigil","Open source")</x:f>
        <x:v>HYPERLINK is not implemented. linkLocation=https://en.wikipedia.org/wiki/Vigil, friendlyName=Open source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13</x:v>
      </x:c>
      <x:c r="BP552" s="14" t="str">
        <x:v>Maximum eligible IMDb cast-credit total (13), shared by 2 performer(s); not independently verified as a 2021-only episode total.</x:v>
      </x:c>
      <x:c r="BQ552" s="14" t="str">
        <x:v>Medium</x:v>
      </x:c>
      <x:c r="BR552" s="15" t="n">
        <x:v>1</x:v>
      </x:c>
      <x:c r="BS552" s="16" t="n">
        <x:v>0.07692307692307693</x:v>
      </x:c>
      <x:c r="BT552" s="14" t="str">
        <x:v>One episode</x:v>
      </x:c>
      <x:c r="BU552" s="14" t="str">
        <x:v>Medium</x:v>
      </x:c>
      <x:c r="BV552" s="14" t="str">
        <x:v>Derived from supplied IMDb episode count and the documented production-total proxy.</x:v>
      </x:c>
      <x:c r="BW552" s="14" t="str">
        <x:v>Unable to determine</x:v>
      </x:c>
      <x:c r="BX552" s="14" t="str">
        <x:v>Supplied cast data establishes the credit and episode presence but does not establish narrative prominence.</x:v>
      </x:c>
      <x:c r="BY552" s="14" t="str">
        <x:v>Supplied IMDb cast-list workbook</x:v>
      </x:c>
      <x:c r="BZ55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tt11846996|nm6412159|paramedic fraser</x:v>
      </x:c>
      <x:c r="B553" s="14" t="str">
        <x:v>05</x:v>
      </x:c>
      <x:c r="C553" s="14" t="str">
        <x:v>2021_IMDb_Cast_Lists_Batch_05(1).xlsx</x:v>
      </x:c>
      <x:c r="D553" s="14" t="str">
        <x:v>Vigil</x:v>
      </x:c>
      <x:c r="E553" s="14" t="n">
        <x:v>65</x:v>
      </x:c>
      <x:c r="F553" s="14" t="str">
        <x:v>Vigil</x:v>
      </x:c>
      <x:c r="G553" s="14" t="str">
        <x:v>tt11846996</x:v>
      </x:c>
      <x:c r="H553" s="14" t="n">
        <x:v>2021</x:v>
      </x:c>
      <x:c r="I553" s="14" t="n">
        <x:v>2023</x:v>
      </x:c>
      <x:c r="J553" s="14" t="str">
        <x:v>Earlier-Production Carry-In Cohort</x:v>
      </x:c>
      <x:c r="K553" s="14" t="n">
        <x:v>2021</x:v>
      </x:c>
      <x:c r="L553" s="14" t="str">
        <x:v>Used in 2023 annual analysis</x:v>
      </x:c>
      <x:c r="M553" s="15" t="n">
        <x:v>58</x:v>
      </x:c>
      <x:c r="N553" s="14" t="str">
        <x:v>Kim Allan</x:v>
      </x:c>
      <x:c r="O553" s="14" t="str">
        <x:v>nm6412159</x:v>
      </x:c>
      <x:c r="P553" s="14" t="str">
        <x:v>Paramedic Fraser</x:v>
      </x:c>
      <x:c r="Q553" s="15" t="n">
        <x:v>1</x:v>
      </x:c>
      <x:c r="R553" s="14" t="str">
        <x:v>2023</x:v>
      </x:c>
      <x:c r="S553" s="14" t="n">
        <x:v>2023</x:v>
      </x:c>
      <x:c r="T553" s="14" t="n">
        <x:v>2023</x:v>
      </x:c>
      <x:c r="U553" s="14" t="str">
        <x:v>Post-2021 casting excluded</x:v>
      </x:c>
      <x:c r="V553" s="14" t="str">
        <x:v>Earliest supplied year is 2023, later than the 2021 study year.</x:v>
      </x:c>
      <x:c r="W553" s="14"/>
      <x:c r="X553" s="14" t="str">
        <x:v>Included</x:v>
      </x:c>
      <x:c r="Y553" s="14"/>
      <x:c r="Z553" s="14" t="str">
        <x:v>Vigil.docx</x:v>
      </x:c>
      <x:c r="AA55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HYPERLINK("https://en.wikipedia.org/wiki/Vigil","Open source")</x:f>
        <x:v>HYPERLINK is not implemented. linkLocation=https://en.wikipedia.org/wiki/Vigil, friendlyName=Open source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13</x:v>
      </x:c>
      <x:c r="BP553" s="14" t="str">
        <x:v>Maximum eligible IMDb cast-credit total (13), shared by 2 performer(s); not independently verified as a 2021-only episode total.</x:v>
      </x:c>
      <x:c r="BQ553" s="14" t="str">
        <x:v>Medium</x:v>
      </x:c>
      <x:c r="BR553" s="15" t="n">
        <x:v>1</x:v>
      </x:c>
      <x:c r="BS553" s="16" t="n">
        <x:v>0.07692307692307693</x:v>
      </x:c>
      <x:c r="BT553" s="14" t="str">
        <x:v>One episode</x:v>
      </x:c>
      <x:c r="BU553" s="14" t="str">
        <x:v>Medium</x:v>
      </x:c>
      <x:c r="BV553" s="14" t="str">
        <x:v>Derived from supplied IMDb episode count and the documented production-total proxy.</x:v>
      </x:c>
      <x:c r="BW553" s="14" t="str">
        <x:v>Unable to determine</x:v>
      </x:c>
      <x:c r="BX553" s="14" t="str">
        <x:v>Supplied cast data establishes the credit and episode presence but does not establish narrative prominence.</x:v>
      </x:c>
      <x:c r="BY553" s="14" t="str">
        <x:v>Supplied IMDb cast-list workbook</x:v>
      </x:c>
      <x:c r="BZ55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tt11846996|nm9049488|gunner patrick</x:v>
      </x:c>
      <x:c r="B554" s="14" t="str">
        <x:v>05</x:v>
      </x:c>
      <x:c r="C554" s="14" t="str">
        <x:v>2021_IMDb_Cast_Lists_Batch_05(1).xlsx</x:v>
      </x:c>
      <x:c r="D554" s="14" t="str">
        <x:v>Vigil</x:v>
      </x:c>
      <x:c r="E554" s="14" t="n">
        <x:v>66</x:v>
      </x:c>
      <x:c r="F554" s="14" t="str">
        <x:v>Vigil</x:v>
      </x:c>
      <x:c r="G554" s="14" t="str">
        <x:v>tt11846996</x:v>
      </x:c>
      <x:c r="H554" s="14" t="n">
        <x:v>2021</x:v>
      </x:c>
      <x:c r="I554" s="14" t="n">
        <x:v>2023</x:v>
      </x:c>
      <x:c r="J554" s="14" t="str">
        <x:v>Earlier-Production Carry-In Cohort</x:v>
      </x:c>
      <x:c r="K554" s="14" t="n">
        <x:v>2021</x:v>
      </x:c>
      <x:c r="L554" s="14" t="str">
        <x:v>Used in 2023 annual analysis</x:v>
      </x:c>
      <x:c r="M554" s="15" t="n">
        <x:v>59</x:v>
      </x:c>
      <x:c r="N554" s="14" t="str">
        <x:v>Craig Anthony-Kelly</x:v>
      </x:c>
      <x:c r="O554" s="14" t="str">
        <x:v>nm9049488</x:v>
      </x:c>
      <x:c r="P554" s="14" t="str">
        <x:v>Gunner Patrick</x:v>
      </x:c>
      <x:c r="Q554" s="15" t="n">
        <x:v>1</x:v>
      </x:c>
      <x:c r="R554" s="14" t="str">
        <x:v>2023</x:v>
      </x:c>
      <x:c r="S554" s="14" t="n">
        <x:v>2023</x:v>
      </x:c>
      <x:c r="T554" s="14" t="n">
        <x:v>2023</x:v>
      </x:c>
      <x:c r="U554" s="14" t="str">
        <x:v>Post-2021 casting excluded</x:v>
      </x:c>
      <x:c r="V554" s="14" t="str">
        <x:v>Earliest supplied year is 2023, later than the 2021 study year.</x:v>
      </x:c>
      <x:c r="W554" s="14"/>
      <x:c r="X554" s="14" t="str">
        <x:v>Included</x:v>
      </x:c>
      <x:c r="Y554" s="14"/>
      <x:c r="Z554" s="14" t="str">
        <x:v>Vigil.docx</x:v>
      </x:c>
      <x:c r="AA55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HYPERLINK("https://en.wikipedia.org/wiki/Vigil","Open source")</x:f>
        <x:v>HYPERLINK is not implemented. linkLocation=https://en.wikipedia.org/wiki/Vigil, friendlyName=Open source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13</x:v>
      </x:c>
      <x:c r="BP554" s="14" t="str">
        <x:v>Maximum eligible IMDb cast-credit total (13), shared by 2 performer(s); not independently verified as a 2021-only episode total.</x:v>
      </x:c>
      <x:c r="BQ554" s="14" t="str">
        <x:v>Medium</x:v>
      </x:c>
      <x:c r="BR554" s="15" t="n">
        <x:v>1</x:v>
      </x:c>
      <x:c r="BS554" s="16" t="n">
        <x:v>0.07692307692307693</x:v>
      </x:c>
      <x:c r="BT554" s="14" t="str">
        <x:v>One episode</x:v>
      </x:c>
      <x:c r="BU554" s="14" t="str">
        <x:v>Medium</x:v>
      </x:c>
      <x:c r="BV554" s="14" t="str">
        <x:v>Derived from supplied IMDb episode count and the documented production-total proxy.</x:v>
      </x:c>
      <x:c r="BW554" s="14" t="str">
        <x:v>Unable to determine</x:v>
      </x:c>
      <x:c r="BX554" s="14" t="str">
        <x:v>Supplied cast data establishes the credit and episode presence but does not establish narrative prominence.</x:v>
      </x:c>
      <x:c r="BY554" s="14" t="str">
        <x:v>Supplied IMDb cast-list workbook</x:v>
      </x:c>
      <x:c r="BZ55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tt11846996|nm1544039|intelligence officer wright</x:v>
      </x:c>
      <x:c r="B555" s="14" t="str">
        <x:v>05</x:v>
      </x:c>
      <x:c r="C555" s="14" t="str">
        <x:v>2021_IMDb_Cast_Lists_Batch_05(1).xlsx</x:v>
      </x:c>
      <x:c r="D555" s="14" t="str">
        <x:v>Vigil</x:v>
      </x:c>
      <x:c r="E555" s="14" t="n">
        <x:v>67</x:v>
      </x:c>
      <x:c r="F555" s="14" t="str">
        <x:v>Vigil</x:v>
      </x:c>
      <x:c r="G555" s="14" t="str">
        <x:v>tt11846996</x:v>
      </x:c>
      <x:c r="H555" s="14" t="n">
        <x:v>2021</x:v>
      </x:c>
      <x:c r="I555" s="14" t="n">
        <x:v>2023</x:v>
      </x:c>
      <x:c r="J555" s="14" t="str">
        <x:v>Earlier-Production Carry-In Cohort</x:v>
      </x:c>
      <x:c r="K555" s="14" t="n">
        <x:v>2021</x:v>
      </x:c>
      <x:c r="L555" s="14" t="str">
        <x:v>Used in 2023 annual analysis</x:v>
      </x:c>
      <x:c r="M555" s="15" t="n">
        <x:v>60</x:v>
      </x:c>
      <x:c r="N555" s="14" t="str">
        <x:v>Kirsty Besterman</x:v>
      </x:c>
      <x:c r="O555" s="14" t="str">
        <x:v>nm1544039</x:v>
      </x:c>
      <x:c r="P555" s="14" t="str">
        <x:v>Intelligence Officer Wright</x:v>
      </x:c>
      <x:c r="Q555" s="15" t="n">
        <x:v>1</x:v>
      </x:c>
      <x:c r="R555" s="14" t="str">
        <x:v>2023</x:v>
      </x:c>
      <x:c r="S555" s="14" t="n">
        <x:v>2023</x:v>
      </x:c>
      <x:c r="T555" s="14" t="n">
        <x:v>2023</x:v>
      </x:c>
      <x:c r="U555" s="14" t="str">
        <x:v>Post-2021 casting excluded</x:v>
      </x:c>
      <x:c r="V555" s="14" t="str">
        <x:v>Earliest supplied year is 2023, later than the 2021 study year.</x:v>
      </x:c>
      <x:c r="W555" s="14"/>
      <x:c r="X555" s="14" t="str">
        <x:v>Included</x:v>
      </x:c>
      <x:c r="Y555" s="14"/>
      <x:c r="Z555" s="14" t="str">
        <x:v>Vigil.docx</x:v>
      </x:c>
      <x:c r="AA55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HYPERLINK("https://en.wikipedia.org/wiki/Vigil","Open source")</x:f>
        <x:v>HYPERLINK is not implemented. linkLocation=https://en.wikipedia.org/wiki/Vigil, friendlyName=Open source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13</x:v>
      </x:c>
      <x:c r="BP555" s="14" t="str">
        <x:v>Maximum eligible IMDb cast-credit total (13), shared by 2 performer(s); not independently verified as a 2021-only episode total.</x:v>
      </x:c>
      <x:c r="BQ555" s="14" t="str">
        <x:v>Medium</x:v>
      </x:c>
      <x:c r="BR555" s="15" t="n">
        <x:v>1</x:v>
      </x:c>
      <x:c r="BS555" s="16" t="n">
        <x:v>0.07692307692307693</x:v>
      </x:c>
      <x:c r="BT555" s="14" t="str">
        <x:v>One episode</x:v>
      </x:c>
      <x:c r="BU555" s="14" t="str">
        <x:v>Medium</x:v>
      </x:c>
      <x:c r="BV555" s="14" t="str">
        <x:v>Derived from supplied IMDb episode count and the documented production-total proxy.</x:v>
      </x:c>
      <x:c r="BW555" s="14" t="str">
        <x:v>Unable to determine</x:v>
      </x:c>
      <x:c r="BX555" s="14" t="str">
        <x:v>Supplied cast data establishes the credit and episode presence but does not establish narrative prominence.</x:v>
      </x:c>
      <x:c r="BY555" s="14" t="str">
        <x:v>Supplied IMDb cast-list workbook</x:v>
      </x:c>
      <x:c r="BZ55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tt11846996|nm1467587|gunner jansen</x:v>
      </x:c>
      <x:c r="B556" s="14" t="str">
        <x:v>05</x:v>
      </x:c>
      <x:c r="C556" s="14" t="str">
        <x:v>2021_IMDb_Cast_Lists_Batch_05(1).xlsx</x:v>
      </x:c>
      <x:c r="D556" s="14" t="str">
        <x:v>Vigil</x:v>
      </x:c>
      <x:c r="E556" s="14" t="n">
        <x:v>68</x:v>
      </x:c>
      <x:c r="F556" s="14" t="str">
        <x:v>Vigil</x:v>
      </x:c>
      <x:c r="G556" s="14" t="str">
        <x:v>tt11846996</x:v>
      </x:c>
      <x:c r="H556" s="14" t="n">
        <x:v>2021</x:v>
      </x:c>
      <x:c r="I556" s="14" t="n">
        <x:v>2023</x:v>
      </x:c>
      <x:c r="J556" s="14" t="str">
        <x:v>Earlier-Production Carry-In Cohort</x:v>
      </x:c>
      <x:c r="K556" s="14" t="n">
        <x:v>2021</x:v>
      </x:c>
      <x:c r="L556" s="14" t="str">
        <x:v>Used in 2023 annual analysis</x:v>
      </x:c>
      <x:c r="M556" s="15" t="n">
        <x:v>61</x:v>
      </x:c>
      <x:c r="N556" s="14" t="str">
        <x:v>Martin Bell</x:v>
      </x:c>
      <x:c r="O556" s="14" t="str">
        <x:v>nm1467587</x:v>
      </x:c>
      <x:c r="P556" s="14" t="str">
        <x:v>Gunner Jansen</x:v>
      </x:c>
      <x:c r="Q556" s="15" t="n">
        <x:v>1</x:v>
      </x:c>
      <x:c r="R556" s="14" t="str">
        <x:v>2023</x:v>
      </x:c>
      <x:c r="S556" s="14" t="n">
        <x:v>2023</x:v>
      </x:c>
      <x:c r="T556" s="14" t="n">
        <x:v>2023</x:v>
      </x:c>
      <x:c r="U556" s="14" t="str">
        <x:v>Post-2021 casting excluded</x:v>
      </x:c>
      <x:c r="V556" s="14" t="str">
        <x:v>Earliest supplied year is 2023, later than the 2021 study year.</x:v>
      </x:c>
      <x:c r="W556" s="14"/>
      <x:c r="X556" s="14" t="str">
        <x:v>Included</x:v>
      </x:c>
      <x:c r="Y556" s="14"/>
      <x:c r="Z556" s="14" t="str">
        <x:v>Vigil.docx</x:v>
      </x:c>
      <x:c r="AA55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HYPERLINK("https://en.wikipedia.org/wiki/Vigil","Open source")</x:f>
        <x:v>HYPERLINK is not implemented. linkLocation=https://en.wikipedia.org/wiki/Vigil, friendlyName=Open source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13</x:v>
      </x:c>
      <x:c r="BP556" s="14" t="str">
        <x:v>Maximum eligible IMDb cast-credit total (13), shared by 2 performer(s); not independently verified as a 2021-only episode total.</x:v>
      </x:c>
      <x:c r="BQ556" s="14" t="str">
        <x:v>Medium</x:v>
      </x:c>
      <x:c r="BR556" s="15" t="n">
        <x:v>1</x:v>
      </x:c>
      <x:c r="BS556" s="16" t="n">
        <x:v>0.07692307692307693</x:v>
      </x:c>
      <x:c r="BT556" s="14" t="str">
        <x:v>One episode</x:v>
      </x:c>
      <x:c r="BU556" s="14" t="str">
        <x:v>Medium</x:v>
      </x:c>
      <x:c r="BV556" s="14" t="str">
        <x:v>Derived from supplied IMDb episode count and the documented production-total proxy.</x:v>
      </x:c>
      <x:c r="BW556" s="14" t="str">
        <x:v>Unable to determine</x:v>
      </x:c>
      <x:c r="BX556" s="14" t="str">
        <x:v>Supplied cast data establishes the credit and episode presence but does not establish narrative prominence.</x:v>
      </x:c>
      <x:c r="BY556" s="14" t="str">
        <x:v>Supplied IMDb cast-list workbook</x:v>
      </x:c>
      <x:c r="BZ55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tt11846996|nm0735206|emma millington</x:v>
      </x:c>
      <x:c r="B557" s="14" t="str">
        <x:v>05</x:v>
      </x:c>
      <x:c r="C557" s="14" t="str">
        <x:v>2021_IMDb_Cast_Lists_Batch_05(1).xlsx</x:v>
      </x:c>
      <x:c r="D557" s="14" t="str">
        <x:v>Vigil</x:v>
      </x:c>
      <x:c r="E557" s="14" t="n">
        <x:v>69</x:v>
      </x:c>
      <x:c r="F557" s="14" t="str">
        <x:v>Vigil</x:v>
      </x:c>
      <x:c r="G557" s="14" t="str">
        <x:v>tt11846996</x:v>
      </x:c>
      <x:c r="H557" s="14" t="n">
        <x:v>2021</x:v>
      </x:c>
      <x:c r="I557" s="14" t="n">
        <x:v>2023</x:v>
      </x:c>
      <x:c r="J557" s="14" t="str">
        <x:v>Earlier-Production Carry-In Cohort</x:v>
      </x:c>
      <x:c r="K557" s="14" t="n">
        <x:v>2021</x:v>
      </x:c>
      <x:c r="L557" s="14" t="str">
        <x:v>Used in 2023 annual analysis</x:v>
      </x:c>
      <x:c r="M557" s="15" t="n">
        <x:v>62</x:v>
      </x:c>
      <x:c r="N557" s="14" t="str">
        <x:v>Tania Rodrigues</x:v>
      </x:c>
      <x:c r="O557" s="14" t="str">
        <x:v>nm0735206</x:v>
      </x:c>
      <x:c r="P557" s="14" t="str">
        <x:v>Emma Millington</x:v>
      </x:c>
      <x:c r="Q557" s="15" t="n">
        <x:v>1</x:v>
      </x:c>
      <x:c r="R557" s="14" t="str">
        <x:v>2023</x:v>
      </x:c>
      <x:c r="S557" s="14" t="n">
        <x:v>2023</x:v>
      </x:c>
      <x:c r="T557" s="14" t="n">
        <x:v>2023</x:v>
      </x:c>
      <x:c r="U557" s="14" t="str">
        <x:v>Post-2021 casting excluded</x:v>
      </x:c>
      <x:c r="V557" s="14" t="str">
        <x:v>Earliest supplied year is 2023, later than the 2021 study year.</x:v>
      </x:c>
      <x:c r="W557" s="14"/>
      <x:c r="X557" s="14" t="str">
        <x:v>Included</x:v>
      </x:c>
      <x:c r="Y557" s="14"/>
      <x:c r="Z557" s="14" t="str">
        <x:v>Vigil.docx</x:v>
      </x:c>
      <x:c r="AA55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HYPERLINK("https://en.wikipedia.org/wiki/Vigil","Open source")</x:f>
        <x:v>HYPERLINK is not implemented. linkLocation=https://en.wikipedia.org/wiki/Vigil, friendlyName=Open source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13</x:v>
      </x:c>
      <x:c r="BP557" s="14" t="str">
        <x:v>Maximum eligible IMDb cast-credit total (13), shared by 2 performer(s); not independently verified as a 2021-only episode total.</x:v>
      </x:c>
      <x:c r="BQ557" s="14" t="str">
        <x:v>Medium</x:v>
      </x:c>
      <x:c r="BR557" s="15" t="n">
        <x:v>1</x:v>
      </x:c>
      <x:c r="BS557" s="16" t="n">
        <x:v>0.07692307692307693</x:v>
      </x:c>
      <x:c r="BT557" s="14" t="str">
        <x:v>One episode</x:v>
      </x:c>
      <x:c r="BU557" s="14" t="str">
        <x:v>Medium</x:v>
      </x:c>
      <x:c r="BV557" s="14" t="str">
        <x:v>Derived from supplied IMDb episode count and the documented production-total proxy.</x:v>
      </x:c>
      <x:c r="BW557" s="14" t="str">
        <x:v>Unable to determine</x:v>
      </x:c>
      <x:c r="BX557" s="14" t="str">
        <x:v>Supplied cast data establishes the credit and episode presence but does not establish narrative prominence.</x:v>
      </x:c>
      <x:c r="BY557" s="14" t="str">
        <x:v>Supplied IMDb cast-list workbook</x:v>
      </x:c>
      <x:c r="BZ55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tt11846996|nm10417228|gunner simmonds</x:v>
      </x:c>
      <x:c r="B558" s="14" t="str">
        <x:v>05</x:v>
      </x:c>
      <x:c r="C558" s="14" t="str">
        <x:v>2021_IMDb_Cast_Lists_Batch_05(1).xlsx</x:v>
      </x:c>
      <x:c r="D558" s="14" t="str">
        <x:v>Vigil</x:v>
      </x:c>
      <x:c r="E558" s="14" t="n">
        <x:v>70</x:v>
      </x:c>
      <x:c r="F558" s="14" t="str">
        <x:v>Vigil</x:v>
      </x:c>
      <x:c r="G558" s="14" t="str">
        <x:v>tt11846996</x:v>
      </x:c>
      <x:c r="H558" s="14" t="n">
        <x:v>2021</x:v>
      </x:c>
      <x:c r="I558" s="14" t="n">
        <x:v>2023</x:v>
      </x:c>
      <x:c r="J558" s="14" t="str">
        <x:v>Earlier-Production Carry-In Cohort</x:v>
      </x:c>
      <x:c r="K558" s="14" t="n">
        <x:v>2021</x:v>
      </x:c>
      <x:c r="L558" s="14" t="str">
        <x:v>Used in 2023 annual analysis</x:v>
      </x:c>
      <x:c r="M558" s="15" t="n">
        <x:v>63</x:v>
      </x:c>
      <x:c r="N558" s="14" t="str">
        <x:v>Jack Hesketh</x:v>
      </x:c>
      <x:c r="O558" s="14" t="str">
        <x:v>nm10417228</x:v>
      </x:c>
      <x:c r="P558" s="14" t="str">
        <x:v>Gunner Simmonds</x:v>
      </x:c>
      <x:c r="Q558" s="15" t="n">
        <x:v>1</x:v>
      </x:c>
      <x:c r="R558" s="14" t="str">
        <x:v>2023</x:v>
      </x:c>
      <x:c r="S558" s="14" t="n">
        <x:v>2023</x:v>
      </x:c>
      <x:c r="T558" s="14" t="n">
        <x:v>2023</x:v>
      </x:c>
      <x:c r="U558" s="14" t="str">
        <x:v>Post-2021 casting excluded</x:v>
      </x:c>
      <x:c r="V558" s="14" t="str">
        <x:v>Earliest supplied year is 2023, later than the 2021 study year.</x:v>
      </x:c>
      <x:c r="W558" s="14"/>
      <x:c r="X558" s="14" t="str">
        <x:v>Included</x:v>
      </x:c>
      <x:c r="Y558" s="14"/>
      <x:c r="Z558" s="14" t="str">
        <x:v>Vigil.docx</x:v>
      </x:c>
      <x:c r="AA55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HYPERLINK("https://en.wikipedia.org/wiki/Vigil","Open source")</x:f>
        <x:v>HYPERLINK is not implemented. linkLocation=https://en.wikipedia.org/wiki/Vigil, friendlyName=Open source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13</x:v>
      </x:c>
      <x:c r="BP558" s="14" t="str">
        <x:v>Maximum eligible IMDb cast-credit total (13), shared by 2 performer(s); not independently verified as a 2021-only episode total.</x:v>
      </x:c>
      <x:c r="BQ558" s="14" t="str">
        <x:v>Medium</x:v>
      </x:c>
      <x:c r="BR558" s="15" t="n">
        <x:v>1</x:v>
      </x:c>
      <x:c r="BS558" s="16" t="n">
        <x:v>0.07692307692307693</x:v>
      </x:c>
      <x:c r="BT558" s="14" t="str">
        <x:v>One episode</x:v>
      </x:c>
      <x:c r="BU558" s="14" t="str">
        <x:v>Medium</x:v>
      </x:c>
      <x:c r="BV558" s="14" t="str">
        <x:v>Derived from supplied IMDb episode count and the documented production-total proxy.</x:v>
      </x:c>
      <x:c r="BW558" s="14" t="str">
        <x:v>Unable to determine</x:v>
      </x:c>
      <x:c r="BX558" s="14" t="str">
        <x:v>Supplied cast data establishes the credit and episode presence but does not establish narrative prominence.</x:v>
      </x:c>
      <x:c r="BY558" s="14" t="str">
        <x:v>Supplied IMDb cast-list workbook</x:v>
      </x:c>
      <x:c r="BZ55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tt11846996|nm9925112|alia ghazali</x:v>
      </x:c>
      <x:c r="B559" s="14" t="str">
        <x:v>05</x:v>
      </x:c>
      <x:c r="C559" s="14" t="str">
        <x:v>2021_IMDb_Cast_Lists_Batch_05(1).xlsx</x:v>
      </x:c>
      <x:c r="D559" s="14" t="str">
        <x:v>Vigil</x:v>
      </x:c>
      <x:c r="E559" s="14" t="n">
        <x:v>71</x:v>
      </x:c>
      <x:c r="F559" s="14" t="str">
        <x:v>Vigil</x:v>
      </x:c>
      <x:c r="G559" s="14" t="str">
        <x:v>tt11846996</x:v>
      </x:c>
      <x:c r="H559" s="14" t="n">
        <x:v>2021</x:v>
      </x:c>
      <x:c r="I559" s="14" t="n">
        <x:v>2023</x:v>
      </x:c>
      <x:c r="J559" s="14" t="str">
        <x:v>Earlier-Production Carry-In Cohort</x:v>
      </x:c>
      <x:c r="K559" s="14" t="n">
        <x:v>2021</x:v>
      </x:c>
      <x:c r="L559" s="14" t="str">
        <x:v>Used in 2023 annual analysis</x:v>
      </x:c>
      <x:c r="M559" s="15" t="n">
        <x:v>64</x:v>
      </x:c>
      <x:c r="N559" s="14" t="str">
        <x:v>Rebecca Banatvala</x:v>
      </x:c>
      <x:c r="O559" s="14" t="str">
        <x:v>nm9925112</x:v>
      </x:c>
      <x:c r="P559" s="14" t="str">
        <x:v>Alia Ghazali</x:v>
      </x:c>
      <x:c r="Q559" s="15" t="n">
        <x:v>1</x:v>
      </x:c>
      <x:c r="R559" s="14" t="str">
        <x:v>2023</x:v>
      </x:c>
      <x:c r="S559" s="14" t="n">
        <x:v>2023</x:v>
      </x:c>
      <x:c r="T559" s="14" t="n">
        <x:v>2023</x:v>
      </x:c>
      <x:c r="U559" s="14" t="str">
        <x:v>Post-2021 casting excluded</x:v>
      </x:c>
      <x:c r="V559" s="14" t="str">
        <x:v>Earliest supplied year is 2023, later than the 2021 study year.</x:v>
      </x:c>
      <x:c r="W559" s="14"/>
      <x:c r="X559" s="14" t="str">
        <x:v>Included</x:v>
      </x:c>
      <x:c r="Y559" s="14"/>
      <x:c r="Z559" s="14" t="str">
        <x:v>Vigil.docx</x:v>
      </x:c>
      <x:c r="AA55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HYPERLINK("https://en.wikipedia.org/wiki/Vigil","Open source")</x:f>
        <x:v>HYPERLINK is not implemented. linkLocation=https://en.wikipedia.org/wiki/Vigil, friendlyName=Open source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13</x:v>
      </x:c>
      <x:c r="BP559" s="14" t="str">
        <x:v>Maximum eligible IMDb cast-credit total (13), shared by 2 performer(s); not independently verified as a 2021-only episode total.</x:v>
      </x:c>
      <x:c r="BQ559" s="14" t="str">
        <x:v>Medium</x:v>
      </x:c>
      <x:c r="BR559" s="15" t="n">
        <x:v>1</x:v>
      </x:c>
      <x:c r="BS559" s="16" t="n">
        <x:v>0.07692307692307693</x:v>
      </x:c>
      <x:c r="BT559" s="14" t="str">
        <x:v>One episode</x:v>
      </x:c>
      <x:c r="BU559" s="14" t="str">
        <x:v>Medium</x:v>
      </x:c>
      <x:c r="BV559" s="14" t="str">
        <x:v>Derived from supplied IMDb episode count and the documented production-total proxy.</x:v>
      </x:c>
      <x:c r="BW559" s="14" t="str">
        <x:v>Unable to determine</x:v>
      </x:c>
      <x:c r="BX559" s="14" t="str">
        <x:v>Supplied cast data establishes the credit and episode presence but does not establish narrative prominence.</x:v>
      </x:c>
      <x:c r="BY559" s="14" t="str">
        <x:v>Supplied IMDb cast-list workbook</x:v>
      </x:c>
      <x:c r="BZ55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tt11846996|nm5703265|co-pilot roy</x:v>
      </x:c>
      <x:c r="B560" s="14" t="str">
        <x:v>05</x:v>
      </x:c>
      <x:c r="C560" s="14" t="str">
        <x:v>2021_IMDb_Cast_Lists_Batch_05(1).xlsx</x:v>
      </x:c>
      <x:c r="D560" s="14" t="str">
        <x:v>Vigil</x:v>
      </x:c>
      <x:c r="E560" s="14" t="n">
        <x:v>72</x:v>
      </x:c>
      <x:c r="F560" s="14" t="str">
        <x:v>Vigil</x:v>
      </x:c>
      <x:c r="G560" s="14" t="str">
        <x:v>tt11846996</x:v>
      </x:c>
      <x:c r="H560" s="14" t="n">
        <x:v>2021</x:v>
      </x:c>
      <x:c r="I560" s="14" t="n">
        <x:v>2023</x:v>
      </x:c>
      <x:c r="J560" s="14" t="str">
        <x:v>Earlier-Production Carry-In Cohort</x:v>
      </x:c>
      <x:c r="K560" s="14" t="n">
        <x:v>2021</x:v>
      </x:c>
      <x:c r="L560" s="14" t="str">
        <x:v>Used in 2023 annual analysis</x:v>
      </x:c>
      <x:c r="M560" s="15" t="n">
        <x:v>65</x:v>
      </x:c>
      <x:c r="N560" s="14" t="str">
        <x:v>Conor Boru</x:v>
      </x:c>
      <x:c r="O560" s="14" t="str">
        <x:v>nm5703265</x:v>
      </x:c>
      <x:c r="P560" s="14" t="str">
        <x:v>Co-Pilot Roy</x:v>
      </x:c>
      <x:c r="Q560" s="15" t="n">
        <x:v>1</x:v>
      </x:c>
      <x:c r="R560" s="14" t="str">
        <x:v>2023</x:v>
      </x:c>
      <x:c r="S560" s="14" t="n">
        <x:v>2023</x:v>
      </x:c>
      <x:c r="T560" s="14" t="n">
        <x:v>2023</x:v>
      </x:c>
      <x:c r="U560" s="14" t="str">
        <x:v>Post-2021 casting excluded</x:v>
      </x:c>
      <x:c r="V560" s="14" t="str">
        <x:v>Earliest supplied year is 2023, later than the 2021 study year.</x:v>
      </x:c>
      <x:c r="W560" s="14"/>
      <x:c r="X560" s="14" t="str">
        <x:v>Included</x:v>
      </x:c>
      <x:c r="Y560" s="14"/>
      <x:c r="Z560" s="14" t="str">
        <x:v>Vigil.docx</x:v>
      </x:c>
      <x:c r="AA56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HYPERLINK("https://en.wikipedia.org/wiki/Vigil","Open source")</x:f>
        <x:v>HYPERLINK is not implemented. linkLocation=https://en.wikipedia.org/wiki/Vigil, friendlyName=Open source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13</x:v>
      </x:c>
      <x:c r="BP560" s="14" t="str">
        <x:v>Maximum eligible IMDb cast-credit total (13), shared by 2 performer(s); not independently verified as a 2021-only episode total.</x:v>
      </x:c>
      <x:c r="BQ560" s="14" t="str">
        <x:v>Medium</x:v>
      </x:c>
      <x:c r="BR560" s="15" t="n">
        <x:v>1</x:v>
      </x:c>
      <x:c r="BS560" s="16" t="n">
        <x:v>0.07692307692307693</x:v>
      </x:c>
      <x:c r="BT560" s="14" t="str">
        <x:v>One episode</x:v>
      </x:c>
      <x:c r="BU560" s="14" t="str">
        <x:v>Medium</x:v>
      </x:c>
      <x:c r="BV560" s="14" t="str">
        <x:v>Derived from supplied IMDb episode count and the documented production-total proxy.</x:v>
      </x:c>
      <x:c r="BW560" s="14" t="str">
        <x:v>Unable to determine</x:v>
      </x:c>
      <x:c r="BX560" s="14" t="str">
        <x:v>Supplied cast data establishes the credit and episode presence but does not establish narrative prominence.</x:v>
      </x:c>
      <x:c r="BY560" s="14" t="str">
        <x:v>Supplied IMDb cast-list workbook</x:v>
      </x:c>
      <x:c r="BZ56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tt11846996|nm10725194|wudyani airport officer</x:v>
      </x:c>
      <x:c r="B561" s="14" t="str">
        <x:v>05</x:v>
      </x:c>
      <x:c r="C561" s="14" t="str">
        <x:v>2021_IMDb_Cast_Lists_Batch_05(1).xlsx</x:v>
      </x:c>
      <x:c r="D561" s="14" t="str">
        <x:v>Vigil</x:v>
      </x:c>
      <x:c r="E561" s="14" t="n">
        <x:v>73</x:v>
      </x:c>
      <x:c r="F561" s="14" t="str">
        <x:v>Vigil</x:v>
      </x:c>
      <x:c r="G561" s="14" t="str">
        <x:v>tt11846996</x:v>
      </x:c>
      <x:c r="H561" s="14" t="n">
        <x:v>2021</x:v>
      </x:c>
      <x:c r="I561" s="14" t="n">
        <x:v>2023</x:v>
      </x:c>
      <x:c r="J561" s="14" t="str">
        <x:v>Earlier-Production Carry-In Cohort</x:v>
      </x:c>
      <x:c r="K561" s="14" t="n">
        <x:v>2021</x:v>
      </x:c>
      <x:c r="L561" s="14" t="str">
        <x:v>Used in 2023 annual analysis</x:v>
      </x:c>
      <x:c r="M561" s="15" t="n">
        <x:v>66</x:v>
      </x:c>
      <x:c r="N561" s="14" t="str">
        <x:v>Nowras Tharb</x:v>
      </x:c>
      <x:c r="O561" s="14" t="str">
        <x:v>nm10725194</x:v>
      </x:c>
      <x:c r="P561" s="14" t="str">
        <x:v>Wudyani Airport Officer</x:v>
      </x:c>
      <x:c r="Q561" s="15" t="n">
        <x:v>1</x:v>
      </x:c>
      <x:c r="R561" s="14" t="str">
        <x:v>2023</x:v>
      </x:c>
      <x:c r="S561" s="14" t="n">
        <x:v>2023</x:v>
      </x:c>
      <x:c r="T561" s="14" t="n">
        <x:v>2023</x:v>
      </x:c>
      <x:c r="U561" s="14" t="str">
        <x:v>Post-2021 casting excluded</x:v>
      </x:c>
      <x:c r="V561" s="14" t="str">
        <x:v>Earliest supplied year is 2023, later than the 2021 study year.</x:v>
      </x:c>
      <x:c r="W561" s="14"/>
      <x:c r="X561" s="14" t="str">
        <x:v>Included</x:v>
      </x:c>
      <x:c r="Y561" s="14"/>
      <x:c r="Z561" s="14" t="str">
        <x:v>Vigil.docx</x:v>
      </x:c>
      <x:c r="AA56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HYPERLINK("https://en.wikipedia.org/wiki/Vigil","Open source")</x:f>
        <x:v>HYPERLINK is not implemented. linkLocation=https://en.wikipedia.org/wiki/Vigil, friendlyName=Open source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13</x:v>
      </x:c>
      <x:c r="BP561" s="14" t="str">
        <x:v>Maximum eligible IMDb cast-credit total (13), shared by 2 performer(s); not independently verified as a 2021-only episode total.</x:v>
      </x:c>
      <x:c r="BQ561" s="14" t="str">
        <x:v>Medium</x:v>
      </x:c>
      <x:c r="BR561" s="15" t="n">
        <x:v>1</x:v>
      </x:c>
      <x:c r="BS561" s="16" t="n">
        <x:v>0.07692307692307693</x:v>
      </x:c>
      <x:c r="BT561" s="14" t="str">
        <x:v>One episode</x:v>
      </x:c>
      <x:c r="BU561" s="14" t="str">
        <x:v>Medium</x:v>
      </x:c>
      <x:c r="BV561" s="14" t="str">
        <x:v>Derived from supplied IMDb episode count and the documented production-total proxy.</x:v>
      </x:c>
      <x:c r="BW561" s="14" t="str">
        <x:v>Unable to determine</x:v>
      </x:c>
      <x:c r="BX561" s="14" t="str">
        <x:v>Supplied cast data establishes the credit and episode presence but does not establish narrative prominence.</x:v>
      </x:c>
      <x:c r="BY561" s="14" t="str">
        <x:v>Supplied IMDb cast-list workbook</x:v>
      </x:c>
      <x:c r="BZ56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tt11846996|nm7280502|colin dixon</x:v>
      </x:c>
      <x:c r="B562" s="14" t="str">
        <x:v>05</x:v>
      </x:c>
      <x:c r="C562" s="14" t="str">
        <x:v>2021_IMDb_Cast_Lists_Batch_05(1).xlsx</x:v>
      </x:c>
      <x:c r="D562" s="14" t="str">
        <x:v>Vigil</x:v>
      </x:c>
      <x:c r="E562" s="14" t="n">
        <x:v>74</x:v>
      </x:c>
      <x:c r="F562" s="14" t="str">
        <x:v>Vigil</x:v>
      </x:c>
      <x:c r="G562" s="14" t="str">
        <x:v>tt11846996</x:v>
      </x:c>
      <x:c r="H562" s="14" t="n">
        <x:v>2021</x:v>
      </x:c>
      <x:c r="I562" s="14" t="n">
        <x:v>2023</x:v>
      </x:c>
      <x:c r="J562" s="14" t="str">
        <x:v>Earlier-Production Carry-In Cohort</x:v>
      </x:c>
      <x:c r="K562" s="14" t="n">
        <x:v>2021</x:v>
      </x:c>
      <x:c r="L562" s="14" t="str">
        <x:v>Used in 2023 annual analysis</x:v>
      </x:c>
      <x:c r="M562" s="15" t="n">
        <x:v>67</x:v>
      </x:c>
      <x:c r="N562" s="14" t="str">
        <x:v>Anders Hayward</x:v>
      </x:c>
      <x:c r="O562" s="14" t="str">
        <x:v>nm7280502</x:v>
      </x:c>
      <x:c r="P562" s="14" t="str">
        <x:v>Colin Dixon</x:v>
      </x:c>
      <x:c r="Q562" s="15" t="n">
        <x:v>1</x:v>
      </x:c>
      <x:c r="R562" s="14" t="str">
        <x:v>2023</x:v>
      </x:c>
      <x:c r="S562" s="14" t="n">
        <x:v>2023</x:v>
      </x:c>
      <x:c r="T562" s="14" t="n">
        <x:v>2023</x:v>
      </x:c>
      <x:c r="U562" s="14" t="str">
        <x:v>Post-2021 casting excluded</x:v>
      </x:c>
      <x:c r="V562" s="14" t="str">
        <x:v>Earliest supplied year is 2023, later than the 2021 study year.</x:v>
      </x:c>
      <x:c r="W562" s="14"/>
      <x:c r="X562" s="14" t="str">
        <x:v>Included</x:v>
      </x:c>
      <x:c r="Y562" s="14"/>
      <x:c r="Z562" s="14" t="str">
        <x:v>Vigil.docx</x:v>
      </x:c>
      <x:c r="AA56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HYPERLINK("https://en.wikipedia.org/wiki/Vigil","Open source")</x:f>
        <x:v>HYPERLINK is not implemented. linkLocation=https://en.wikipedia.org/wiki/Vigil, friendlyName=Open source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13</x:v>
      </x:c>
      <x:c r="BP562" s="14" t="str">
        <x:v>Maximum eligible IMDb cast-credit total (13), shared by 2 performer(s); not independently verified as a 2021-only episode total.</x:v>
      </x:c>
      <x:c r="BQ562" s="14" t="str">
        <x:v>Medium</x:v>
      </x:c>
      <x:c r="BR562" s="15" t="n">
        <x:v>1</x:v>
      </x:c>
      <x:c r="BS562" s="16" t="n">
        <x:v>0.07692307692307693</x:v>
      </x:c>
      <x:c r="BT562" s="14" t="str">
        <x:v>One episode</x:v>
      </x:c>
      <x:c r="BU562" s="14" t="str">
        <x:v>Medium</x:v>
      </x:c>
      <x:c r="BV562" s="14" t="str">
        <x:v>Derived from supplied IMDb episode count and the documented production-total proxy.</x:v>
      </x:c>
      <x:c r="BW562" s="14" t="str">
        <x:v>Unable to determine</x:v>
      </x:c>
      <x:c r="BX562" s="14" t="str">
        <x:v>Supplied cast data establishes the credit and episode presence but does not establish narrative prominence.</x:v>
      </x:c>
      <x:c r="BY562" s="14" t="str">
        <x:v>Supplied IMDb cast-list workbook</x:v>
      </x:c>
      <x:c r="BZ562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tt11846996|nm5241260|jones</x:v>
      </x:c>
      <x:c r="B563" s="14" t="str">
        <x:v>05</x:v>
      </x:c>
      <x:c r="C563" s="14" t="str">
        <x:v>2021_IMDb_Cast_Lists_Batch_05(1).xlsx</x:v>
      </x:c>
      <x:c r="D563" s="14" t="str">
        <x:v>Vigil</x:v>
      </x:c>
      <x:c r="E563" s="14" t="n">
        <x:v>75</x:v>
      </x:c>
      <x:c r="F563" s="14" t="str">
        <x:v>Vigil</x:v>
      </x:c>
      <x:c r="G563" s="14" t="str">
        <x:v>tt11846996</x:v>
      </x:c>
      <x:c r="H563" s="14" t="n">
        <x:v>2021</x:v>
      </x:c>
      <x:c r="I563" s="14" t="n">
        <x:v>2023</x:v>
      </x:c>
      <x:c r="J563" s="14" t="str">
        <x:v>Earlier-Production Carry-In Cohort</x:v>
      </x:c>
      <x:c r="K563" s="14" t="n">
        <x:v>2021</x:v>
      </x:c>
      <x:c r="L563" s="14" t="str">
        <x:v>Used in 2023 annual analysis</x:v>
      </x:c>
      <x:c r="M563" s="15" t="n">
        <x:v>68</x:v>
      </x:c>
      <x:c r="N563" s="14" t="str">
        <x:v>Lee Knight</x:v>
      </x:c>
      <x:c r="O563" s="14" t="str">
        <x:v>nm5241260</x:v>
      </x:c>
      <x:c r="P563" s="14" t="str">
        <x:v>Jones</x:v>
      </x:c>
      <x:c r="Q563" s="15" t="n">
        <x:v>1</x:v>
      </x:c>
      <x:c r="R563" s="14" t="str">
        <x:v>2023</x:v>
      </x:c>
      <x:c r="S563" s="14" t="n">
        <x:v>2023</x:v>
      </x:c>
      <x:c r="T563" s="14" t="n">
        <x:v>2023</x:v>
      </x:c>
      <x:c r="U563" s="14" t="str">
        <x:v>Post-2021 casting excluded</x:v>
      </x:c>
      <x:c r="V563" s="14" t="str">
        <x:v>Earliest supplied year is 2023, later than the 2021 study year.</x:v>
      </x:c>
      <x:c r="W563" s="14"/>
      <x:c r="X563" s="14" t="str">
        <x:v>Included</x:v>
      </x:c>
      <x:c r="Y563" s="14"/>
      <x:c r="Z563" s="14" t="str">
        <x:v>Vigil.docx</x:v>
      </x:c>
      <x:c r="AA56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HYPERLINK("https://en.wikipedia.org/wiki/Vigil","Open source")</x:f>
        <x:v>HYPERLINK is not implemented. linkLocation=https://en.wikipedia.org/wiki/Vigil, friendlyName=Open source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13</x:v>
      </x:c>
      <x:c r="BP563" s="14" t="str">
        <x:v>Maximum eligible IMDb cast-credit total (13), shared by 2 performer(s); not independently verified as a 2021-only episode total.</x:v>
      </x:c>
      <x:c r="BQ563" s="14" t="str">
        <x:v>Medium</x:v>
      </x:c>
      <x:c r="BR563" s="15" t="n">
        <x:v>1</x:v>
      </x:c>
      <x:c r="BS563" s="16" t="n">
        <x:v>0.07692307692307693</x:v>
      </x:c>
      <x:c r="BT563" s="14" t="str">
        <x:v>One episode</x:v>
      </x:c>
      <x:c r="BU563" s="14" t="str">
        <x:v>Medium</x:v>
      </x:c>
      <x:c r="BV563" s="14" t="str">
        <x:v>Derived from supplied IMDb episode count and the documented production-total proxy.</x:v>
      </x:c>
      <x:c r="BW563" s="14" t="str">
        <x:v>Unable to determine</x:v>
      </x:c>
      <x:c r="BX563" s="14" t="str">
        <x:v>Supplied cast data establishes the credit and episode presence but does not establish narrative prominence.</x:v>
      </x:c>
      <x:c r="BY563" s="14" t="str">
        <x:v>Supplied IMDb cast-list workbook</x:v>
      </x:c>
      <x:c r="BZ563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tt11846996|nm8315088|airman field</x:v>
      </x:c>
      <x:c r="B564" s="14" t="str">
        <x:v>05</x:v>
      </x:c>
      <x:c r="C564" s="14" t="str">
        <x:v>2021_IMDb_Cast_Lists_Batch_05(1).xlsx</x:v>
      </x:c>
      <x:c r="D564" s="14" t="str">
        <x:v>Vigil</x:v>
      </x:c>
      <x:c r="E564" s="14" t="n">
        <x:v>76</x:v>
      </x:c>
      <x:c r="F564" s="14" t="str">
        <x:v>Vigil</x:v>
      </x:c>
      <x:c r="G564" s="14" t="str">
        <x:v>tt11846996</x:v>
      </x:c>
      <x:c r="H564" s="14" t="n">
        <x:v>2021</x:v>
      </x:c>
      <x:c r="I564" s="14" t="n">
        <x:v>2023</x:v>
      </x:c>
      <x:c r="J564" s="14" t="str">
        <x:v>Earlier-Production Carry-In Cohort</x:v>
      </x:c>
      <x:c r="K564" s="14" t="n">
        <x:v>2021</x:v>
      </x:c>
      <x:c r="L564" s="14" t="str">
        <x:v>Used in 2023 annual analysis</x:v>
      </x:c>
      <x:c r="M564" s="15" t="n">
        <x:v>69</x:v>
      </x:c>
      <x:c r="N564" s="14" t="str">
        <x:v>Ben Allen</x:v>
      </x:c>
      <x:c r="O564" s="14" t="str">
        <x:v>nm8315088</x:v>
      </x:c>
      <x:c r="P564" s="14" t="str">
        <x:v>Airman Field</x:v>
      </x:c>
      <x:c r="Q564" s="15" t="n">
        <x:v>1</x:v>
      </x:c>
      <x:c r="R564" s="14" t="str">
        <x:v>2023</x:v>
      </x:c>
      <x:c r="S564" s="14" t="n">
        <x:v>2023</x:v>
      </x:c>
      <x:c r="T564" s="14" t="n">
        <x:v>2023</x:v>
      </x:c>
      <x:c r="U564" s="14" t="str">
        <x:v>Post-2021 casting excluded</x:v>
      </x:c>
      <x:c r="V564" s="14" t="str">
        <x:v>Earliest supplied year is 2023, later than the 2021 study year.</x:v>
      </x:c>
      <x:c r="W564" s="14"/>
      <x:c r="X564" s="14" t="str">
        <x:v>Included</x:v>
      </x:c>
      <x:c r="Y564" s="14"/>
      <x:c r="Z564" s="14" t="str">
        <x:v>Vigil.docx</x:v>
      </x:c>
      <x:c r="AA56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HYPERLINK("https://en.wikipedia.org/wiki/Vigil","Open source")</x:f>
        <x:v>HYPERLINK is not implemented. linkLocation=https://en.wikipedia.org/wiki/Vigil, friendlyName=Open source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13</x:v>
      </x:c>
      <x:c r="BP564" s="14" t="str">
        <x:v>Maximum eligible IMDb cast-credit total (13), shared by 2 performer(s); not independently verified as a 2021-only episode total.</x:v>
      </x:c>
      <x:c r="BQ564" s="14" t="str">
        <x:v>Medium</x:v>
      </x:c>
      <x:c r="BR564" s="15" t="n">
        <x:v>1</x:v>
      </x:c>
      <x:c r="BS564" s="16" t="n">
        <x:v>0.07692307692307693</x:v>
      </x:c>
      <x:c r="BT564" s="14" t="str">
        <x:v>One episode</x:v>
      </x:c>
      <x:c r="BU564" s="14" t="str">
        <x:v>Medium</x:v>
      </x:c>
      <x:c r="BV564" s="14" t="str">
        <x:v>Derived from supplied IMDb episode count and the documented production-total proxy.</x:v>
      </x:c>
      <x:c r="BW564" s="14" t="str">
        <x:v>Unable to determine</x:v>
      </x:c>
      <x:c r="BX564" s="14" t="str">
        <x:v>Supplied cast data establishes the credit and episode presence but does not establish narrative prominence.</x:v>
      </x:c>
      <x:c r="BY564" s="14" t="str">
        <x:v>Supplied IMDb cast-list workbook</x:v>
      </x:c>
      <x:c r="BZ564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tt11846996|nm8142076|saskia</x:v>
      </x:c>
      <x:c r="B565" s="14" t="str">
        <x:v>05</x:v>
      </x:c>
      <x:c r="C565" s="14" t="str">
        <x:v>2021_IMDb_Cast_Lists_Batch_05(1).xlsx</x:v>
      </x:c>
      <x:c r="D565" s="14" t="str">
        <x:v>Vigil</x:v>
      </x:c>
      <x:c r="E565" s="14" t="n">
        <x:v>77</x:v>
      </x:c>
      <x:c r="F565" s="14" t="str">
        <x:v>Vigil</x:v>
      </x:c>
      <x:c r="G565" s="14" t="str">
        <x:v>tt11846996</x:v>
      </x:c>
      <x:c r="H565" s="14" t="n">
        <x:v>2021</x:v>
      </x:c>
      <x:c r="I565" s="14" t="n">
        <x:v>2023</x:v>
      </x:c>
      <x:c r="J565" s="14" t="str">
        <x:v>Earlier-Production Carry-In Cohort</x:v>
      </x:c>
      <x:c r="K565" s="14" t="n">
        <x:v>2021</x:v>
      </x:c>
      <x:c r="L565" s="14" t="str">
        <x:v>Used in 2023 annual analysis</x:v>
      </x:c>
      <x:c r="M565" s="15" t="n">
        <x:v>70</x:v>
      </x:c>
      <x:c r="N565" s="14" t="str">
        <x:v>Rosa Escoda</x:v>
      </x:c>
      <x:c r="O565" s="14" t="str">
        <x:v>nm8142076</x:v>
      </x:c>
      <x:c r="P565" s="14" t="str">
        <x:v>Saskia</x:v>
      </x:c>
      <x:c r="Q565" s="15" t="n">
        <x:v>1</x:v>
      </x:c>
      <x:c r="R565" s="14" t="str">
        <x:v>2023</x:v>
      </x:c>
      <x:c r="S565" s="14" t="n">
        <x:v>2023</x:v>
      </x:c>
      <x:c r="T565" s="14" t="n">
        <x:v>2023</x:v>
      </x:c>
      <x:c r="U565" s="14" t="str">
        <x:v>Post-2021 casting excluded</x:v>
      </x:c>
      <x:c r="V565" s="14" t="str">
        <x:v>Earliest supplied year is 2023, later than the 2021 study year.</x:v>
      </x:c>
      <x:c r="W565" s="14"/>
      <x:c r="X565" s="14" t="str">
        <x:v>Included</x:v>
      </x:c>
      <x:c r="Y565" s="14"/>
      <x:c r="Z565" s="14" t="str">
        <x:v>Vigil.docx</x:v>
      </x:c>
      <x:c r="AA56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HYPERLINK("https://en.wikipedia.org/wiki/Vigil","Open source")</x:f>
        <x:v>HYPERLINK is not implemented. linkLocation=https://en.wikipedia.org/wiki/Vigil, friendlyName=Open source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13</x:v>
      </x:c>
      <x:c r="BP565" s="14" t="str">
        <x:v>Maximum eligible IMDb cast-credit total (13), shared by 2 performer(s); not independently verified as a 2021-only episode total.</x:v>
      </x:c>
      <x:c r="BQ565" s="14" t="str">
        <x:v>Medium</x:v>
      </x:c>
      <x:c r="BR565" s="15" t="n">
        <x:v>1</x:v>
      </x:c>
      <x:c r="BS565" s="16" t="n">
        <x:v>0.07692307692307693</x:v>
      </x:c>
      <x:c r="BT565" s="14" t="str">
        <x:v>One episode</x:v>
      </x:c>
      <x:c r="BU565" s="14" t="str">
        <x:v>Medium</x:v>
      </x:c>
      <x:c r="BV565" s="14" t="str">
        <x:v>Derived from supplied IMDb episode count and the documented production-total proxy.</x:v>
      </x:c>
      <x:c r="BW565" s="14" t="str">
        <x:v>Unable to determine</x:v>
      </x:c>
      <x:c r="BX565" s="14" t="str">
        <x:v>Supplied cast data establishes the credit and episode presence but does not establish narrative prominence.</x:v>
      </x:c>
      <x:c r="BY565" s="14" t="str">
        <x:v>Supplied IMDb cast-list workbook</x:v>
      </x:c>
      <x:c r="BZ565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tt11846996|nm6376796|nader waheed</x:v>
      </x:c>
      <x:c r="B566" s="14" t="str">
        <x:v>05</x:v>
      </x:c>
      <x:c r="C566" s="14" t="str">
        <x:v>2021_IMDb_Cast_Lists_Batch_05(1).xlsx</x:v>
      </x:c>
      <x:c r="D566" s="14" t="str">
        <x:v>Vigil</x:v>
      </x:c>
      <x:c r="E566" s="14" t="n">
        <x:v>78</x:v>
      </x:c>
      <x:c r="F566" s="14" t="str">
        <x:v>Vigil</x:v>
      </x:c>
      <x:c r="G566" s="14" t="str">
        <x:v>tt11846996</x:v>
      </x:c>
      <x:c r="H566" s="14" t="n">
        <x:v>2021</x:v>
      </x:c>
      <x:c r="I566" s="14" t="n">
        <x:v>2023</x:v>
      </x:c>
      <x:c r="J566" s="14" t="str">
        <x:v>Earlier-Production Carry-In Cohort</x:v>
      </x:c>
      <x:c r="K566" s="14" t="n">
        <x:v>2021</x:v>
      </x:c>
      <x:c r="L566" s="14" t="str">
        <x:v>Used in 2023 annual analysis</x:v>
      </x:c>
      <x:c r="M566" s="15" t="n">
        <x:v>71</x:v>
      </x:c>
      <x:c r="N566" s="14" t="str">
        <x:v>Armin Karima</x:v>
      </x:c>
      <x:c r="O566" s="14" t="str">
        <x:v>nm6376796</x:v>
      </x:c>
      <x:c r="P566" s="14" t="str">
        <x:v>Nader Waheed</x:v>
      </x:c>
      <x:c r="Q566" s="15" t="n">
        <x:v>1</x:v>
      </x:c>
      <x:c r="R566" s="14" t="str">
        <x:v>2023</x:v>
      </x:c>
      <x:c r="S566" s="14" t="n">
        <x:v>2023</x:v>
      </x:c>
      <x:c r="T566" s="14" t="n">
        <x:v>2023</x:v>
      </x:c>
      <x:c r="U566" s="14" t="str">
        <x:v>Post-2021 casting excluded</x:v>
      </x:c>
      <x:c r="V566" s="14" t="str">
        <x:v>Earliest supplied year is 2023, later than the 2021 study year.</x:v>
      </x:c>
      <x:c r="W566" s="14"/>
      <x:c r="X566" s="14" t="str">
        <x:v>Included</x:v>
      </x:c>
      <x:c r="Y566" s="14"/>
      <x:c r="Z566" s="14" t="str">
        <x:v>Vigil.docx</x:v>
      </x:c>
      <x:c r="AA56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HYPERLINK("https://en.wikipedia.org/wiki/Vigil","Open source")</x:f>
        <x:v>HYPERLINK is not implemented. linkLocation=https://en.wikipedia.org/wiki/Vigil, friendlyName=Open source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13</x:v>
      </x:c>
      <x:c r="BP566" s="14" t="str">
        <x:v>Maximum eligible IMDb cast-credit total (13), shared by 2 performer(s); not independently verified as a 2021-only episode total.</x:v>
      </x:c>
      <x:c r="BQ566" s="14" t="str">
        <x:v>Medium</x:v>
      </x:c>
      <x:c r="BR566" s="15" t="n">
        <x:v>1</x:v>
      </x:c>
      <x:c r="BS566" s="16" t="n">
        <x:v>0.07692307692307693</x:v>
      </x:c>
      <x:c r="BT566" s="14" t="str">
        <x:v>One episode</x:v>
      </x:c>
      <x:c r="BU566" s="14" t="str">
        <x:v>Medium</x:v>
      </x:c>
      <x:c r="BV566" s="14" t="str">
        <x:v>Derived from supplied IMDb episode count and the documented production-total proxy.</x:v>
      </x:c>
      <x:c r="BW566" s="14" t="str">
        <x:v>Unable to determine</x:v>
      </x:c>
      <x:c r="BX566" s="14" t="str">
        <x:v>Supplied cast data establishes the credit and episode presence but does not establish narrative prominence.</x:v>
      </x:c>
      <x:c r="BY566" s="14" t="str">
        <x:v>Supplied IMDb cast-list workbook</x:v>
      </x:c>
      <x:c r="BZ566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tt11846996|nm9396575|hafsa</x:v>
      </x:c>
      <x:c r="B567" s="14" t="str">
        <x:v>05</x:v>
      </x:c>
      <x:c r="C567" s="14" t="str">
        <x:v>2021_IMDb_Cast_Lists_Batch_05(1).xlsx</x:v>
      </x:c>
      <x:c r="D567" s="14" t="str">
        <x:v>Vigil</x:v>
      </x:c>
      <x:c r="E567" s="14" t="n">
        <x:v>79</x:v>
      </x:c>
      <x:c r="F567" s="14" t="str">
        <x:v>Vigil</x:v>
      </x:c>
      <x:c r="G567" s="14" t="str">
        <x:v>tt11846996</x:v>
      </x:c>
      <x:c r="H567" s="14" t="n">
        <x:v>2021</x:v>
      </x:c>
      <x:c r="I567" s="14" t="n">
        <x:v>2023</x:v>
      </x:c>
      <x:c r="J567" s="14" t="str">
        <x:v>Earlier-Production Carry-In Cohort</x:v>
      </x:c>
      <x:c r="K567" s="14" t="n">
        <x:v>2021</x:v>
      </x:c>
      <x:c r="L567" s="14" t="str">
        <x:v>Used in 2023 annual analysis</x:v>
      </x:c>
      <x:c r="M567" s="15" t="n">
        <x:v>72</x:v>
      </x:c>
      <x:c r="N567" s="14" t="str">
        <x:v>Inaam Al Battat</x:v>
      </x:c>
      <x:c r="O567" s="14" t="str">
        <x:v>nm9396575</x:v>
      </x:c>
      <x:c r="P567" s="14" t="str">
        <x:v>Hafsa</x:v>
      </x:c>
      <x:c r="Q567" s="15" t="n">
        <x:v>1</x:v>
      </x:c>
      <x:c r="R567" s="14" t="str">
        <x:v>2023</x:v>
      </x:c>
      <x:c r="S567" s="14" t="n">
        <x:v>2023</x:v>
      </x:c>
      <x:c r="T567" s="14" t="n">
        <x:v>2023</x:v>
      </x:c>
      <x:c r="U567" s="14" t="str">
        <x:v>Post-2021 casting excluded</x:v>
      </x:c>
      <x:c r="V567" s="14" t="str">
        <x:v>Earliest supplied year is 2023, later than the 2021 study year.</x:v>
      </x:c>
      <x:c r="W567" s="14"/>
      <x:c r="X567" s="14" t="str">
        <x:v>Included</x:v>
      </x:c>
      <x:c r="Y567" s="14"/>
      <x:c r="Z567" s="14" t="str">
        <x:v>Vigil.docx</x:v>
      </x:c>
      <x:c r="AA56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HYPERLINK("https://en.wikipedia.org/wiki/Vigil","Open source")</x:f>
        <x:v>HYPERLINK is not implemented. linkLocation=https://en.wikipedia.org/wiki/Vigil, friendlyName=Open source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13</x:v>
      </x:c>
      <x:c r="BP567" s="14" t="str">
        <x:v>Maximum eligible IMDb cast-credit total (13), shared by 2 performer(s); not independently verified as a 2021-only episode total.</x:v>
      </x:c>
      <x:c r="BQ567" s="14" t="str">
        <x:v>Medium</x:v>
      </x:c>
      <x:c r="BR567" s="15" t="n">
        <x:v>1</x:v>
      </x:c>
      <x:c r="BS567" s="16" t="n">
        <x:v>0.07692307692307693</x:v>
      </x:c>
      <x:c r="BT567" s="14" t="str">
        <x:v>One episode</x:v>
      </x:c>
      <x:c r="BU567" s="14" t="str">
        <x:v>Medium</x:v>
      </x:c>
      <x:c r="BV567" s="14" t="str">
        <x:v>Derived from supplied IMDb episode count and the documented production-total proxy.</x:v>
      </x:c>
      <x:c r="BW567" s="14" t="str">
        <x:v>Unable to determine</x:v>
      </x:c>
      <x:c r="BX567" s="14" t="str">
        <x:v>Supplied cast data establishes the credit and episode presence but does not establish narrative prominence.</x:v>
      </x:c>
      <x:c r="BY567" s="14" t="str">
        <x:v>Supplied IMDb cast-list workbook</x:v>
      </x:c>
      <x:c r="BZ567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tt11846996|nm4976347|laura</x:v>
      </x:c>
      <x:c r="B568" s="14" t="str">
        <x:v>05</x:v>
      </x:c>
      <x:c r="C568" s="14" t="str">
        <x:v>2021_IMDb_Cast_Lists_Batch_05(1).xlsx</x:v>
      </x:c>
      <x:c r="D568" s="14" t="str">
        <x:v>Vigil</x:v>
      </x:c>
      <x:c r="E568" s="14" t="n">
        <x:v>80</x:v>
      </x:c>
      <x:c r="F568" s="14" t="str">
        <x:v>Vigil</x:v>
      </x:c>
      <x:c r="G568" s="14" t="str">
        <x:v>tt11846996</x:v>
      </x:c>
      <x:c r="H568" s="14" t="n">
        <x:v>2021</x:v>
      </x:c>
      <x:c r="I568" s="14" t="n">
        <x:v>2023</x:v>
      </x:c>
      <x:c r="J568" s="14" t="str">
        <x:v>Earlier-Production Carry-In Cohort</x:v>
      </x:c>
      <x:c r="K568" s="14" t="n">
        <x:v>2021</x:v>
      </x:c>
      <x:c r="L568" s="14" t="str">
        <x:v>Used in 2023 annual analysis</x:v>
      </x:c>
      <x:c r="M568" s="15" t="n">
        <x:v>73</x:v>
      </x:c>
      <x:c r="N568" s="14" t="str">
        <x:v>Keira Lucchesi</x:v>
      </x:c>
      <x:c r="O568" s="14" t="str">
        <x:v>nm4976347</x:v>
      </x:c>
      <x:c r="P568" s="14" t="str">
        <x:v>Laura</x:v>
      </x:c>
      <x:c r="Q568" s="15" t="n">
        <x:v>1</x:v>
      </x:c>
      <x:c r="R568" s="14" t="str">
        <x:v>2023</x:v>
      </x:c>
      <x:c r="S568" s="14" t="n">
        <x:v>2023</x:v>
      </x:c>
      <x:c r="T568" s="14" t="n">
        <x:v>2023</x:v>
      </x:c>
      <x:c r="U568" s="14" t="str">
        <x:v>Post-2021 casting excluded</x:v>
      </x:c>
      <x:c r="V568" s="14" t="str">
        <x:v>Earliest supplied year is 2023, later than the 2021 study year.</x:v>
      </x:c>
      <x:c r="W568" s="14"/>
      <x:c r="X568" s="14" t="str">
        <x:v>Included</x:v>
      </x:c>
      <x:c r="Y568" s="14"/>
      <x:c r="Z568" s="14" t="str">
        <x:v>Vigil.docx</x:v>
      </x:c>
      <x:c r="AA56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HYPERLINK("https://en.wikipedia.org/wiki/Vigil","Open source")</x:f>
        <x:v>HYPERLINK is not implemented. linkLocation=https://en.wikipedia.org/wiki/Vigil, friendlyName=Open source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13</x:v>
      </x:c>
      <x:c r="BP568" s="14" t="str">
        <x:v>Maximum eligible IMDb cast-credit total (13), shared by 2 performer(s); not independently verified as a 2021-only episode total.</x:v>
      </x:c>
      <x:c r="BQ568" s="14" t="str">
        <x:v>Medium</x:v>
      </x:c>
      <x:c r="BR568" s="15" t="n">
        <x:v>1</x:v>
      </x:c>
      <x:c r="BS568" s="16" t="n">
        <x:v>0.07692307692307693</x:v>
      </x:c>
      <x:c r="BT568" s="14" t="str">
        <x:v>One episode</x:v>
      </x:c>
      <x:c r="BU568" s="14" t="str">
        <x:v>Medium</x:v>
      </x:c>
      <x:c r="BV568" s="14" t="str">
        <x:v>Derived from supplied IMDb episode count and the documented production-total proxy.</x:v>
      </x:c>
      <x:c r="BW568" s="14" t="str">
        <x:v>Unable to determine</x:v>
      </x:c>
      <x:c r="BX568" s="14" t="str">
        <x:v>Supplied cast data establishes the credit and episode presence but does not establish narrative prominence.</x:v>
      </x:c>
      <x:c r="BY568" s="14" t="str">
        <x:v>Supplied IMDb cast-list workbook</x:v>
      </x:c>
      <x:c r="BZ568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tt11846996|nm5718050|walker</x:v>
      </x:c>
      <x:c r="B569" s="14" t="str">
        <x:v>05</x:v>
      </x:c>
      <x:c r="C569" s="14" t="str">
        <x:v>2021_IMDb_Cast_Lists_Batch_05(1).xlsx</x:v>
      </x:c>
      <x:c r="D569" s="14" t="str">
        <x:v>Vigil</x:v>
      </x:c>
      <x:c r="E569" s="14" t="n">
        <x:v>81</x:v>
      </x:c>
      <x:c r="F569" s="14" t="str">
        <x:v>Vigil</x:v>
      </x:c>
      <x:c r="G569" s="14" t="str">
        <x:v>tt11846996</x:v>
      </x:c>
      <x:c r="H569" s="14" t="n">
        <x:v>2021</x:v>
      </x:c>
      <x:c r="I569" s="14" t="n">
        <x:v>2023</x:v>
      </x:c>
      <x:c r="J569" s="14" t="str">
        <x:v>Earlier-Production Carry-In Cohort</x:v>
      </x:c>
      <x:c r="K569" s="14" t="n">
        <x:v>2021</x:v>
      </x:c>
      <x:c r="L569" s="14" t="str">
        <x:v>Used in 2023 annual analysis</x:v>
      </x:c>
      <x:c r="M569" s="15" t="n">
        <x:v>74</x:v>
      </x:c>
      <x:c r="N569" s="14" t="str">
        <x:v>Edmund Wiseman</x:v>
      </x:c>
      <x:c r="O569" s="14" t="str">
        <x:v>nm5718050</x:v>
      </x:c>
      <x:c r="P569" s="14" t="str">
        <x:v>Walker</x:v>
      </x:c>
      <x:c r="Q569" s="15" t="n">
        <x:v>1</x:v>
      </x:c>
      <x:c r="R569" s="14" t="str">
        <x:v>2023</x:v>
      </x:c>
      <x:c r="S569" s="14" t="n">
        <x:v>2023</x:v>
      </x:c>
      <x:c r="T569" s="14" t="n">
        <x:v>2023</x:v>
      </x:c>
      <x:c r="U569" s="14" t="str">
        <x:v>Post-2021 casting excluded</x:v>
      </x:c>
      <x:c r="V569" s="14" t="str">
        <x:v>Earliest supplied year is 2023, later than the 2021 study year.</x:v>
      </x:c>
      <x:c r="W569" s="14"/>
      <x:c r="X569" s="14" t="str">
        <x:v>Included</x:v>
      </x:c>
      <x:c r="Y569" s="14"/>
      <x:c r="Z569" s="14" t="str">
        <x:v>Vigil.docx</x:v>
      </x:c>
      <x:c r="AA56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BBC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HYPERLINK("https://en.wikipedia.org/wiki/Vigil","Open source")</x:f>
        <x:v>HYPERLINK is not implemented. linkLocation=https://en.wikipedia.org/wiki/Vigil, friendlyName=Open source</x:v>
      </x:c>
      <x:c r="AN569" s="14" t="str">
        <x:v>BBC public-service commission</x:v>
      </x:c>
      <x:c r="AO569" s="14" t="str">
        <x:v>Yes</x:v>
      </x:c>
      <x:c r="AP569" s="14" t="str">
        <x:v>Direct BBC public-service scope</x:v>
      </x:c>
      <x:c r="AQ569" s="14" t="str">
        <x:v>Yes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13</x:v>
      </x:c>
      <x:c r="BP569" s="14" t="str">
        <x:v>Maximum eligible IMDb cast-credit total (13), shared by 2 performer(s); not independently verified as a 2021-only episode total.</x:v>
      </x:c>
      <x:c r="BQ569" s="14" t="str">
        <x:v>Medium</x:v>
      </x:c>
      <x:c r="BR569" s="15" t="n">
        <x:v>1</x:v>
      </x:c>
      <x:c r="BS569" s="16" t="n">
        <x:v>0.07692307692307693</x:v>
      </x:c>
      <x:c r="BT569" s="14" t="str">
        <x:v>One episode</x:v>
      </x:c>
      <x:c r="BU569" s="14" t="str">
        <x:v>Medium</x:v>
      </x:c>
      <x:c r="BV569" s="14" t="str">
        <x:v>Derived from supplied IMDb episode count and the documented production-total proxy.</x:v>
      </x:c>
      <x:c r="BW569" s="14" t="str">
        <x:v>Unable to determine</x:v>
      </x:c>
      <x:c r="BX569" s="14" t="str">
        <x:v>Supplied cast data establishes the credit and episode presence but does not establish narrative prominence.</x:v>
      </x:c>
      <x:c r="BY569" s="14" t="str">
        <x:v>Supplied IMDb cast-list workbook</x:v>
      </x:c>
      <x:c r="BZ569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tt11846996|nm1674214|layla</x:v>
      </x:c>
      <x:c r="B570" s="14" t="str">
        <x:v>05</x:v>
      </x:c>
      <x:c r="C570" s="14" t="str">
        <x:v>2021_IMDb_Cast_Lists_Batch_05(1).xlsx</x:v>
      </x:c>
      <x:c r="D570" s="14" t="str">
        <x:v>Vigil</x:v>
      </x:c>
      <x:c r="E570" s="14" t="n">
        <x:v>82</x:v>
      </x:c>
      <x:c r="F570" s="14" t="str">
        <x:v>Vigil</x:v>
      </x:c>
      <x:c r="G570" s="14" t="str">
        <x:v>tt11846996</x:v>
      </x:c>
      <x:c r="H570" s="14" t="n">
        <x:v>2021</x:v>
      </x:c>
      <x:c r="I570" s="14" t="n">
        <x:v>2023</x:v>
      </x:c>
      <x:c r="J570" s="14" t="str">
        <x:v>Earlier-Production Carry-In Cohort</x:v>
      </x:c>
      <x:c r="K570" s="14" t="n">
        <x:v>2021</x:v>
      </x:c>
      <x:c r="L570" s="14" t="str">
        <x:v>Used in 2023 annual analysis</x:v>
      </x:c>
      <x:c r="M570" s="15" t="n">
        <x:v>75</x:v>
      </x:c>
      <x:c r="N570" s="14" t="str">
        <x:v>Jumaan Zizzari</x:v>
      </x:c>
      <x:c r="O570" s="14" t="str">
        <x:v>nm1674214</x:v>
      </x:c>
      <x:c r="P570" s="14" t="str">
        <x:v>Layla</x:v>
      </x:c>
      <x:c r="Q570" s="15" t="n">
        <x:v>1</x:v>
      </x:c>
      <x:c r="R570" s="14" t="str">
        <x:v>2023</x:v>
      </x:c>
      <x:c r="S570" s="14" t="n">
        <x:v>2023</x:v>
      </x:c>
      <x:c r="T570" s="14" t="n">
        <x:v>2023</x:v>
      </x:c>
      <x:c r="U570" s="14" t="str">
        <x:v>Post-2021 casting excluded</x:v>
      </x:c>
      <x:c r="V570" s="14" t="str">
        <x:v>Earliest supplied year is 2023, later than the 2021 study year.</x:v>
      </x:c>
      <x:c r="W570" s="14"/>
      <x:c r="X570" s="14" t="str">
        <x:v>Included</x:v>
      </x:c>
      <x:c r="Y570" s="14"/>
      <x:c r="Z570" s="14" t="str">
        <x:v>Vigil.docx</x:v>
      </x:c>
      <x:c r="AA57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BBC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HYPERLINK("https://en.wikipedia.org/wiki/Vigil","Open source")</x:f>
        <x:v>HYPERLINK is not implemented. linkLocation=https://en.wikipedia.org/wiki/Vigil, friendlyName=Open source</x:v>
      </x:c>
      <x:c r="AN570" s="14" t="str">
        <x:v>BBC public-service commission</x:v>
      </x:c>
      <x:c r="AO570" s="14" t="str">
        <x:v>Yes</x:v>
      </x:c>
      <x:c r="AP570" s="14" t="str">
        <x:v>Direct BBC public-service scope</x:v>
      </x:c>
      <x:c r="AQ570" s="14" t="str">
        <x:v>Yes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13</x:v>
      </x:c>
      <x:c r="BP570" s="14" t="str">
        <x:v>Maximum eligible IMDb cast-credit total (13), shared by 2 performer(s); not independently verified as a 2021-only episode total.</x:v>
      </x:c>
      <x:c r="BQ570" s="14" t="str">
        <x:v>Medium</x:v>
      </x:c>
      <x:c r="BR570" s="15" t="n">
        <x:v>1</x:v>
      </x:c>
      <x:c r="BS570" s="16" t="n">
        <x:v>0.07692307692307693</x:v>
      </x:c>
      <x:c r="BT570" s="14" t="str">
        <x:v>One episode</x:v>
      </x:c>
      <x:c r="BU570" s="14" t="str">
        <x:v>Medium</x:v>
      </x:c>
      <x:c r="BV570" s="14" t="str">
        <x:v>Derived from supplied IMDb episode count and the documented production-total proxy.</x:v>
      </x:c>
      <x:c r="BW570" s="14" t="str">
        <x:v>Unable to determine</x:v>
      </x:c>
      <x:c r="BX570" s="14" t="str">
        <x:v>Supplied cast data establishes the credit and episode presence but does not establish narrative prominence.</x:v>
      </x:c>
      <x:c r="BY570" s="14" t="str">
        <x:v>Supplied IMDb cast-list workbook</x:v>
      </x:c>
      <x:c r="BZ570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tt11846996|nm0266012|judge</x:v>
      </x:c>
      <x:c r="B571" s="14" t="str">
        <x:v>05</x:v>
      </x:c>
      <x:c r="C571" s="14" t="str">
        <x:v>2021_IMDb_Cast_Lists_Batch_05(1).xlsx</x:v>
      </x:c>
      <x:c r="D571" s="14" t="str">
        <x:v>Vigil</x:v>
      </x:c>
      <x:c r="E571" s="14" t="n">
        <x:v>83</x:v>
      </x:c>
      <x:c r="F571" s="14" t="str">
        <x:v>Vigil</x:v>
      </x:c>
      <x:c r="G571" s="14" t="str">
        <x:v>tt11846996</x:v>
      </x:c>
      <x:c r="H571" s="14" t="n">
        <x:v>2021</x:v>
      </x:c>
      <x:c r="I571" s="14" t="n">
        <x:v>2023</x:v>
      </x:c>
      <x:c r="J571" s="14" t="str">
        <x:v>Earlier-Production Carry-In Cohort</x:v>
      </x:c>
      <x:c r="K571" s="14" t="n">
        <x:v>2021</x:v>
      </x:c>
      <x:c r="L571" s="14" t="str">
        <x:v>Used in 2023 annual analysis</x:v>
      </x:c>
      <x:c r="M571" s="15" t="n">
        <x:v>76</x:v>
      </x:c>
      <x:c r="N571" s="14" t="str">
        <x:v>Kern Falconer</x:v>
      </x:c>
      <x:c r="O571" s="14" t="str">
        <x:v>nm0266012</x:v>
      </x:c>
      <x:c r="P571" s="14" t="str">
        <x:v>Judge</x:v>
      </x:c>
      <x:c r="Q571" s="15" t="n">
        <x:v>1</x:v>
      </x:c>
      <x:c r="R571" s="14" t="str">
        <x:v>2023</x:v>
      </x:c>
      <x:c r="S571" s="14" t="n">
        <x:v>2023</x:v>
      </x:c>
      <x:c r="T571" s="14" t="n">
        <x:v>2023</x:v>
      </x:c>
      <x:c r="U571" s="14" t="str">
        <x:v>Post-2021 casting excluded</x:v>
      </x:c>
      <x:c r="V571" s="14" t="str">
        <x:v>Earliest supplied year is 2023, later than the 2021 study year.</x:v>
      </x:c>
      <x:c r="W571" s="14"/>
      <x:c r="X571" s="14" t="str">
        <x:v>Included</x:v>
      </x:c>
      <x:c r="Y571" s="14"/>
      <x:c r="Z571" s="14" t="str">
        <x:v>Vigil.docx</x:v>
      </x:c>
      <x:c r="AA57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BBC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7" t="e">
        <x:f>HYPERLINK("https://en.wikipedia.org/wiki/Vigil","Open source")</x:f>
        <x:v>HYPERLINK is not implemented. linkLocation=https://en.wikipedia.org/wiki/Vigil, friendlyName=Open source</x:v>
      </x:c>
      <x:c r="AN571" s="14" t="str">
        <x:v>BBC public-service commission</x:v>
      </x:c>
      <x:c r="AO571" s="14" t="str">
        <x:v>Yes</x:v>
      </x:c>
      <x:c r="AP571" s="14" t="str">
        <x:v>Direct BBC public-service scope</x:v>
      </x:c>
      <x:c r="AQ571" s="14" t="str">
        <x:v>Yes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13</x:v>
      </x:c>
      <x:c r="BP571" s="14" t="str">
        <x:v>Maximum eligible IMDb cast-credit total (13), shared by 2 performer(s); not independently verified as a 2021-only episode total.</x:v>
      </x:c>
      <x:c r="BQ571" s="14" t="str">
        <x:v>Medium</x:v>
      </x:c>
      <x:c r="BR571" s="15" t="n">
        <x:v>1</x:v>
      </x:c>
      <x:c r="BS571" s="16" t="n">
        <x:v>0.07692307692307693</x:v>
      </x:c>
      <x:c r="BT571" s="14" t="str">
        <x:v>One episode</x:v>
      </x:c>
      <x:c r="BU571" s="14" t="str">
        <x:v>Medium</x:v>
      </x:c>
      <x:c r="BV571" s="14" t="str">
        <x:v>Derived from supplied IMDb episode count and the documented production-total proxy.</x:v>
      </x:c>
      <x:c r="BW571" s="14" t="str">
        <x:v>Unable to determine</x:v>
      </x:c>
      <x:c r="BX571" s="14" t="str">
        <x:v>Supplied cast data establishes the credit and episode presence but does not establish narrative prominence.</x:v>
      </x:c>
      <x:c r="BY571" s="14" t="str">
        <x:v>Supplied IMDb cast-list workbook</x:v>
      </x:c>
      <x:c r="BZ571" s="17" t="e">
        <x:f>HYPERLINK("https://www.imdb.com/title/tt11846996/fullcredits/","Open source")</x:f>
        <x:v>HYPERLINK is not implemented. linkLocation=https://www.imdb.com/title/tt11846996/fullcredits/,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08abbb0d288d4e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2024 first-appearance carry-forward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1024 canonical records retained for the 2024 annual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tt28625003|nm10630807|celia</x:v>
      </x:c>
      <x:c r="B6" s="14" t="str">
        <x:v>01</x:v>
      </x:c>
      <x:c r="C6" s="14" t="str">
        <x:v>2023_IMDb_Cast_Lists_Batch_01(2).xlsx</x:v>
      </x:c>
      <x:c r="D6" s="14" t="str">
        <x:v>Alice &amp; Jack</x:v>
      </x:c>
      <x:c r="E6" s="14" t="n">
        <x:v>13</x:v>
      </x:c>
      <x:c r="F6" s="14" t="str">
        <x:v>Alice &amp; Jack</x:v>
      </x:c>
      <x:c r="G6" s="14" t="str">
        <x:v>tt28625003</x:v>
      </x:c>
      <x:c r="H6" s="14" t="n">
        <x:v>2023</x:v>
      </x:c>
      <x:c r="I6" s="14" t="n">
        <x:v>2023</x:v>
      </x:c>
      <x:c r="J6" s="14" t="str">
        <x:v>Future Carry-Forward Cohort</x:v>
      </x:c>
      <x:c r="K6" s="14"/>
      <x:c r="L6" s="14" t="str">
        <x:v>Not inherited</x:v>
      </x:c>
      <x:c r="M6" s="15" t="n">
        <x:v>6</x:v>
      </x:c>
      <x:c r="N6" s="14" t="str">
        <x:v>Millie Ashford</x:v>
      </x:c>
      <x:c r="O6" s="14" t="str">
        <x:v>nm10630807</x:v>
      </x:c>
      <x:c r="P6" s="14" t="str">
        <x:v>Celia</x:v>
      </x:c>
      <x:c r="Q6" s="15" t="n">
        <x:v>3</x:v>
      </x:c>
      <x:c r="R6" s="14" t="str">
        <x:v>2024</x:v>
      </x:c>
      <x:c r="S6" s="14" t="n">
        <x:v>2024</x:v>
      </x:c>
      <x:c r="T6" s="14" t="n">
        <x:v>2024</x:v>
      </x:c>
      <x:c r="U6" s="14" t="str">
        <x:v>Explicit source first year retained</x:v>
      </x:c>
      <x:c r="V6" s="14" t="str">
        <x:v>Earliest supplied year is 2024.</x:v>
      </x:c>
      <x:c r="W6" s="14"/>
      <x:c r="X6" s="14" t="str">
        <x:v>Carried forward to 2024</x:v>
      </x:c>
      <x:c r="Y6" s="14"/>
      <x:c r="Z6" s="14" t="str">
        <x:v>Alice &amp; Jack.docx</x:v>
      </x:c>
      <x:c r="AA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Channel 4 / E4</x:v>
      </x:c>
      <x:c r="AI6" s="14" t="str">
        <x:v>Qualifying UK co-commission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qualifying uk co-commission.</x:v>
      </x:c>
      <x:c r="AM6" s="17" t="e">
        <x:f>HYPERLINK("https://en.wikipedia.org/wiki/Alice_&amp;_Jack","Open source")</x:f>
        <x:v>HYPERLINK is not implemented. linkLocation=https://en.wikipedia.org/wiki/Alice_&amp;_Jack, friendlyName=Open source</x:v>
      </x:c>
      <x:c r="AN6" s="14" t="str">
        <x:v>No qualifying BBC relationship</x:v>
      </x:c>
      <x:c r="AO6" s="14" t="str">
        <x:v>No</x:v>
      </x:c>
      <x:c r="AP6" s="14" t="str">
        <x:v>Out of scope</x:v>
      </x:c>
      <x:c r="AQ6" s="14" t="str">
        <x:v>No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6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3</x:v>
      </x:c>
      <x:c r="BS6" s="16" t="n">
        <x:v>0.5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tt28625003|nm2024420|clinic receptionist</x:v>
      </x:c>
      <x:c r="B7" s="14" t="str">
        <x:v>01</x:v>
      </x:c>
      <x:c r="C7" s="14" t="str">
        <x:v>2023_IMDb_Cast_Lists_Batch_01(2).xlsx</x:v>
      </x:c>
      <x:c r="D7" s="14" t="str">
        <x:v>Alice &amp; Jack</x:v>
      </x:c>
      <x:c r="E7" s="14" t="n">
        <x:v>15</x:v>
      </x:c>
      <x:c r="F7" s="14" t="str">
        <x:v>Alice &amp; Jack</x:v>
      </x:c>
      <x:c r="G7" s="14" t="str">
        <x:v>tt28625003</x:v>
      </x:c>
      <x:c r="H7" s="14" t="n">
        <x:v>2023</x:v>
      </x:c>
      <x:c r="I7" s="14" t="n">
        <x:v>2023</x:v>
      </x:c>
      <x:c r="J7" s="14" t="str">
        <x:v>Future Carry-Forward Cohort</x:v>
      </x:c>
      <x:c r="K7" s="14"/>
      <x:c r="L7" s="14" t="str">
        <x:v>Not inherited</x:v>
      </x:c>
      <x:c r="M7" s="15" t="n">
        <x:v>8</x:v>
      </x:c>
      <x:c r="N7" s="14" t="str">
        <x:v>Zoë Aldrich</x:v>
      </x:c>
      <x:c r="O7" s="14" t="str">
        <x:v>nm2024420</x:v>
      </x:c>
      <x:c r="P7" s="14" t="str">
        <x:v>Clinic Receptionist</x:v>
      </x:c>
      <x:c r="Q7" s="15" t="n">
        <x:v>2</x:v>
      </x:c>
      <x:c r="R7" s="14" t="str">
        <x:v>2024</x:v>
      </x:c>
      <x:c r="S7" s="14" t="n">
        <x:v>2024</x:v>
      </x:c>
      <x:c r="T7" s="14" t="n">
        <x:v>2024</x:v>
      </x:c>
      <x:c r="U7" s="14" t="str">
        <x:v>Explicit source first year retained</x:v>
      </x:c>
      <x:c r="V7" s="14" t="str">
        <x:v>Earliest supplied year is 2024.</x:v>
      </x:c>
      <x:c r="W7" s="14"/>
      <x:c r="X7" s="14" t="str">
        <x:v>Carried forward to 2024</x:v>
      </x:c>
      <x:c r="Y7" s="14"/>
      <x:c r="Z7" s="14" t="str">
        <x:v>Alice &amp; Jack.docx</x:v>
      </x:c>
      <x:c r="AA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Channel 4 / E4</x:v>
      </x:c>
      <x:c r="AI7" s="14" t="str">
        <x:v>Qualifying UK co-commission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qualifying uk co-commission.</x:v>
      </x:c>
      <x:c r="AM7" s="17" t="e">
        <x:f>HYPERLINK("https://en.wikipedia.org/wiki/Alice_&amp;_Jack","Open source")</x:f>
        <x:v>HYPERLINK is not implemented. linkLocation=https://en.wikipedia.org/wiki/Alice_&amp;_Jack, friendlyName=Open source</x:v>
      </x:c>
      <x:c r="AN7" s="14" t="str">
        <x:v>No qualifying BBC relationship</x:v>
      </x:c>
      <x:c r="AO7" s="14" t="str">
        <x:v>No</x:v>
      </x:c>
      <x:c r="AP7" s="14" t="str">
        <x:v>Out of scope</x:v>
      </x:c>
      <x:c r="AQ7" s="14" t="str">
        <x:v>No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6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2</x:v>
      </x:c>
      <x:c r="BS7" s="16" t="n">
        <x:v>0.3333333333333333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tt28625003|nm0123417|dr. pell</x:v>
      </x:c>
      <x:c r="B8" s="14" t="str">
        <x:v>01</x:v>
      </x:c>
      <x:c r="C8" s="14" t="str">
        <x:v>2023_IMDb_Cast_Lists_Batch_01(2).xlsx</x:v>
      </x:c>
      <x:c r="D8" s="14" t="str">
        <x:v>Alice &amp; Jack</x:v>
      </x:c>
      <x:c r="E8" s="14" t="n">
        <x:v>16</x:v>
      </x:c>
      <x:c r="F8" s="14" t="str">
        <x:v>Alice &amp; Jack</x:v>
      </x:c>
      <x:c r="G8" s="14" t="str">
        <x:v>tt28625003</x:v>
      </x:c>
      <x:c r="H8" s="14" t="n">
        <x:v>2023</x:v>
      </x:c>
      <x:c r="I8" s="14" t="n">
        <x:v>2023</x:v>
      </x:c>
      <x:c r="J8" s="14" t="str">
        <x:v>Future Carry-Forward Cohort</x:v>
      </x:c>
      <x:c r="K8" s="14"/>
      <x:c r="L8" s="14" t="str">
        <x:v>Not inherited</x:v>
      </x:c>
      <x:c r="M8" s="15" t="n">
        <x:v>9</x:v>
      </x:c>
      <x:c r="N8" s="14" t="str">
        <x:v>Clare Burt</x:v>
      </x:c>
      <x:c r="O8" s="14" t="str">
        <x:v>nm0123417</x:v>
      </x:c>
      <x:c r="P8" s="14" t="str">
        <x:v>Dr. Pell</x:v>
      </x:c>
      <x:c r="Q8" s="15" t="n">
        <x:v>2</x:v>
      </x:c>
      <x:c r="R8" s="14" t="str">
        <x:v>2024</x:v>
      </x:c>
      <x:c r="S8" s="14" t="n">
        <x:v>2024</x:v>
      </x:c>
      <x:c r="T8" s="14" t="n">
        <x:v>2024</x:v>
      </x:c>
      <x:c r="U8" s="14" t="str">
        <x:v>Explicit source first year retained</x:v>
      </x:c>
      <x:c r="V8" s="14" t="str">
        <x:v>Earliest supplied year is 2024.</x:v>
      </x:c>
      <x:c r="W8" s="14"/>
      <x:c r="X8" s="14" t="str">
        <x:v>Carried forward to 2024</x:v>
      </x:c>
      <x:c r="Y8" s="14"/>
      <x:c r="Z8" s="14" t="str">
        <x:v>Alice &amp; Jack.docx</x:v>
      </x:c>
      <x:c r="AA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Channel 4 / E4</x:v>
      </x:c>
      <x:c r="AI8" s="14" t="str">
        <x:v>Qualifying UK co-commission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qualifying uk co-commission.</x:v>
      </x:c>
      <x:c r="AM8" s="17" t="e">
        <x:f>HYPERLINK("https://en.wikipedia.org/wiki/Alice_&amp;_Jack","Open source")</x:f>
        <x:v>HYPERLINK is not implemented. linkLocation=https://en.wikipedia.org/wiki/Alice_&amp;_Jack, friendlyName=Open source</x:v>
      </x:c>
      <x:c r="AN8" s="14" t="str">
        <x:v>No qualifying BBC relationship</x:v>
      </x:c>
      <x:c r="AO8" s="14" t="str">
        <x:v>No</x:v>
      </x:c>
      <x:c r="AP8" s="14" t="str">
        <x:v>Out of scope</x:v>
      </x:c>
      <x:c r="AQ8" s="14" t="str">
        <x:v>No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6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2</x:v>
      </x:c>
      <x:c r="BS8" s="16" t="n">
        <x:v>0.3333333333333333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tt28625003|nm15131528|young celia</x:v>
      </x:c>
      <x:c r="B9" s="14" t="str">
        <x:v>01</x:v>
      </x:c>
      <x:c r="C9" s="14" t="str">
        <x:v>2023_IMDb_Cast_Lists_Batch_01(2).xlsx</x:v>
      </x:c>
      <x:c r="D9" s="14" t="str">
        <x:v>Alice &amp; Jack</x:v>
      </x:c>
      <x:c r="E9" s="14" t="n">
        <x:v>17</x:v>
      </x:c>
      <x:c r="F9" s="14" t="str">
        <x:v>Alice &amp; Jack</x:v>
      </x:c>
      <x:c r="G9" s="14" t="str">
        <x:v>tt28625003</x:v>
      </x:c>
      <x:c r="H9" s="14" t="n">
        <x:v>2023</x:v>
      </x:c>
      <x:c r="I9" s="14" t="n">
        <x:v>2023</x:v>
      </x:c>
      <x:c r="J9" s="14" t="str">
        <x:v>Future Carry-Forward Cohort</x:v>
      </x:c>
      <x:c r="K9" s="14"/>
      <x:c r="L9" s="14" t="str">
        <x:v>Not inherited</x:v>
      </x:c>
      <x:c r="M9" s="15" t="n">
        <x:v>10</x:v>
      </x:c>
      <x:c r="N9" s="14" t="str">
        <x:v>Ruby Cain</x:v>
      </x:c>
      <x:c r="O9" s="14" t="str">
        <x:v>nm15131528</x:v>
      </x:c>
      <x:c r="P9" s="14" t="str">
        <x:v>Young Celia</x:v>
      </x:c>
      <x:c r="Q9" s="15" t="n">
        <x:v>2</x:v>
      </x:c>
      <x:c r="R9" s="14" t="str">
        <x:v>2024</x:v>
      </x:c>
      <x:c r="S9" s="14" t="n">
        <x:v>2024</x:v>
      </x:c>
      <x:c r="T9" s="14" t="n">
        <x:v>2024</x:v>
      </x:c>
      <x:c r="U9" s="14" t="str">
        <x:v>Explicit source first year retained</x:v>
      </x:c>
      <x:c r="V9" s="14" t="str">
        <x:v>Earliest supplied year is 2024.</x:v>
      </x:c>
      <x:c r="W9" s="14"/>
      <x:c r="X9" s="14" t="str">
        <x:v>Carried forward to 2024</x:v>
      </x:c>
      <x:c r="Y9" s="14"/>
      <x:c r="Z9" s="14" t="str">
        <x:v>Alice &amp; Jack.docx</x:v>
      </x:c>
      <x:c r="AA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Channel 4 / E4</x:v>
      </x:c>
      <x:c r="AI9" s="14" t="str">
        <x:v>Qualifying UK co-commission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qualifying uk co-commission.</x:v>
      </x:c>
      <x:c r="AM9" s="17" t="e">
        <x:f>HYPERLINK("https://en.wikipedia.org/wiki/Alice_&amp;_Jack","Open source")</x:f>
        <x:v>HYPERLINK is not implemented. linkLocation=https://en.wikipedia.org/wiki/Alice_&amp;_Jack, friendlyName=Open source</x:v>
      </x:c>
      <x:c r="AN9" s="14" t="str">
        <x:v>No qualifying BBC relationship</x:v>
      </x:c>
      <x:c r="AO9" s="14" t="str">
        <x:v>No</x:v>
      </x:c>
      <x:c r="AP9" s="14" t="str">
        <x:v>Out of scope</x:v>
      </x:c>
      <x:c r="AQ9" s="14" t="str">
        <x:v>No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6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2</x:v>
      </x:c>
      <x:c r="BS9" s="16" t="n">
        <x:v>0.3333333333333333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tt28625003|nm4578564|mark</x:v>
      </x:c>
      <x:c r="B10" s="14" t="str">
        <x:v>01</x:v>
      </x:c>
      <x:c r="C10" s="14" t="str">
        <x:v>2023_IMDb_Cast_Lists_Batch_01(2).xlsx</x:v>
      </x:c>
      <x:c r="D10" s="14" t="str">
        <x:v>Alice &amp; Jack</x:v>
      </x:c>
      <x:c r="E10" s="14" t="n">
        <x:v>18</x:v>
      </x:c>
      <x:c r="F10" s="14" t="str">
        <x:v>Alice &amp; Jack</x:v>
      </x:c>
      <x:c r="G10" s="14" t="str">
        <x:v>tt28625003</x:v>
      </x:c>
      <x:c r="H10" s="14" t="n">
        <x:v>2023</x:v>
      </x:c>
      <x:c r="I10" s="14" t="n">
        <x:v>2023</x:v>
      </x:c>
      <x:c r="J10" s="14" t="str">
        <x:v>Future Carry-Forward Cohort</x:v>
      </x:c>
      <x:c r="K10" s="14"/>
      <x:c r="L10" s="14" t="str">
        <x:v>Not inherited</x:v>
      </x:c>
      <x:c r="M10" s="15" t="n">
        <x:v>11</x:v>
      </x:c>
      <x:c r="N10" s="14" t="str">
        <x:v>Ben Dilloway</x:v>
      </x:c>
      <x:c r="O10" s="14" t="str">
        <x:v>nm4578564</x:v>
      </x:c>
      <x:c r="P10" s="14" t="str">
        <x:v>Mark</x:v>
      </x:c>
      <x:c r="Q10" s="15" t="n">
        <x:v>2</x:v>
      </x:c>
      <x:c r="R10" s="14" t="str">
        <x:v>2024</x:v>
      </x:c>
      <x:c r="S10" s="14" t="n">
        <x:v>2024</x:v>
      </x:c>
      <x:c r="T10" s="14" t="n">
        <x:v>2024</x:v>
      </x:c>
      <x:c r="U10" s="14" t="str">
        <x:v>Explicit source first year retained</x:v>
      </x:c>
      <x:c r="V10" s="14" t="str">
        <x:v>Earliest supplied year is 2024.</x:v>
      </x:c>
      <x:c r="W10" s="14"/>
      <x:c r="X10" s="14" t="str">
        <x:v>Carried forward to 2024</x:v>
      </x:c>
      <x:c r="Y10" s="14"/>
      <x:c r="Z10" s="14" t="str">
        <x:v>Alice &amp; Jack.docx</x:v>
      </x:c>
      <x:c r="AA1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Channel 4 / E4</x:v>
      </x:c>
      <x:c r="AI10" s="14" t="str">
        <x:v>Qualifying UK co-commission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qualifying uk co-commission.</x:v>
      </x:c>
      <x:c r="AM10" s="17" t="e">
        <x:f>HYPERLINK("https://en.wikipedia.org/wiki/Alice_&amp;_Jack","Open source")</x:f>
        <x:v>HYPERLINK is not implemented. linkLocation=https://en.wikipedia.org/wiki/Alice_&amp;_Jack, friendlyName=Open source</x:v>
      </x:c>
      <x:c r="AN10" s="14" t="str">
        <x:v>No qualifying BBC relationship</x:v>
      </x:c>
      <x:c r="AO10" s="14" t="str">
        <x:v>No</x:v>
      </x:c>
      <x:c r="AP10" s="14" t="str">
        <x:v>Out of scope</x:v>
      </x:c>
      <x:c r="AQ10" s="14" t="str">
        <x:v>No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6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2</x:v>
      </x:c>
      <x:c r="BS10" s="16" t="n">
        <x:v>0.3333333333333333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tt28625003|nm6880955|rachel</x:v>
      </x:c>
      <x:c r="B11" s="14" t="str">
        <x:v>01</x:v>
      </x:c>
      <x:c r="C11" s="14" t="str">
        <x:v>2023_IMDb_Cast_Lists_Batch_01(2).xlsx</x:v>
      </x:c>
      <x:c r="D11" s="14" t="str">
        <x:v>Alice &amp; Jack</x:v>
      </x:c>
      <x:c r="E11" s="14" t="n">
        <x:v>21</x:v>
      </x:c>
      <x:c r="F11" s="14" t="str">
        <x:v>Alice &amp; Jack</x:v>
      </x:c>
      <x:c r="G11" s="14" t="str">
        <x:v>tt28625003</x:v>
      </x:c>
      <x:c r="H11" s="14" t="n">
        <x:v>2023</x:v>
      </x:c>
      <x:c r="I11" s="14" t="n">
        <x:v>2023</x:v>
      </x:c>
      <x:c r="J11" s="14" t="str">
        <x:v>Future Carry-Forward Cohort</x:v>
      </x:c>
      <x:c r="K11" s="14"/>
      <x:c r="L11" s="14" t="str">
        <x:v>Not inherited</x:v>
      </x:c>
      <x:c r="M11" s="15" t="n">
        <x:v>14</x:v>
      </x:c>
      <x:c r="N11" s="14" t="str">
        <x:v>Thalissa Teixeira</x:v>
      </x:c>
      <x:c r="O11" s="14" t="str">
        <x:v>nm6880955</x:v>
      </x:c>
      <x:c r="P11" s="14" t="str">
        <x:v>Rachel</x:v>
      </x:c>
      <x:c r="Q11" s="15" t="n">
        <x:v>2</x:v>
      </x:c>
      <x:c r="R11" s="14" t="str">
        <x:v>2024</x:v>
      </x:c>
      <x:c r="S11" s="14" t="n">
        <x:v>2024</x:v>
      </x:c>
      <x:c r="T11" s="14" t="n">
        <x:v>2024</x:v>
      </x:c>
      <x:c r="U11" s="14" t="str">
        <x:v>Explicit source first year retained</x:v>
      </x:c>
      <x:c r="V11" s="14" t="str">
        <x:v>Earliest supplied year is 2024.</x:v>
      </x:c>
      <x:c r="W11" s="14"/>
      <x:c r="X11" s="14" t="str">
        <x:v>Carried forward to 2024</x:v>
      </x:c>
      <x:c r="Y11" s="14"/>
      <x:c r="Z11" s="14" t="str">
        <x:v>Alice &amp; Jack.docx</x:v>
      </x:c>
      <x:c r="AA1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Channel 4 / E4</x:v>
      </x:c>
      <x:c r="AI11" s="14" t="str">
        <x:v>Qualifying UK co-commission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qualifying uk co-commission.</x:v>
      </x:c>
      <x:c r="AM11" s="17" t="e">
        <x:f>HYPERLINK("https://en.wikipedia.org/wiki/Alice_&amp;_Jack","Open source")</x:f>
        <x:v>HYPERLINK is not implemented. linkLocation=https://en.wikipedia.org/wiki/Alice_&amp;_Jack, friendlyName=Open source</x:v>
      </x:c>
      <x:c r="AN11" s="14" t="str">
        <x:v>No qualifying BBC relationship</x:v>
      </x:c>
      <x:c r="AO11" s="14" t="str">
        <x:v>No</x:v>
      </x:c>
      <x:c r="AP11" s="14" t="str">
        <x:v>Out of scope</x:v>
      </x:c>
      <x:c r="AQ11" s="14" t="str">
        <x:v>No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6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2</x:v>
      </x:c>
      <x:c r="BS11" s="16" t="n">
        <x:v>0.3333333333333333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tt28625003|nm7536570|lab scientist</x:v>
      </x:c>
      <x:c r="B12" s="14" t="str">
        <x:v>01</x:v>
      </x:c>
      <x:c r="C12" s="14" t="str">
        <x:v>2023_IMDb_Cast_Lists_Batch_01(2).xlsx</x:v>
      </x:c>
      <x:c r="D12" s="14" t="str">
        <x:v>Alice &amp; Jack</x:v>
      </x:c>
      <x:c r="E12" s="14" t="n">
        <x:v>22</x:v>
      </x:c>
      <x:c r="F12" s="14" t="str">
        <x:v>Alice &amp; Jack</x:v>
      </x:c>
      <x:c r="G12" s="14" t="str">
        <x:v>tt28625003</x:v>
      </x:c>
      <x:c r="H12" s="14" t="n">
        <x:v>2023</x:v>
      </x:c>
      <x:c r="I12" s="14" t="n">
        <x:v>2023</x:v>
      </x:c>
      <x:c r="J12" s="14" t="str">
        <x:v>Future Carry-Forward Cohort</x:v>
      </x:c>
      <x:c r="K12" s="14"/>
      <x:c r="L12" s="14" t="str">
        <x:v>Not inherited</x:v>
      </x:c>
      <x:c r="M12" s="15" t="n">
        <x:v>15</x:v>
      </x:c>
      <x:c r="N12" s="14" t="str">
        <x:v>Michael Southgate</x:v>
      </x:c>
      <x:c r="O12" s="14" t="str">
        <x:v>nm7536570</x:v>
      </x:c>
      <x:c r="P12" s="14" t="str">
        <x:v>Lab Scientist</x:v>
      </x:c>
      <x:c r="Q12" s="15" t="n">
        <x:v>2</x:v>
      </x:c>
      <x:c r="R12" s="14" t="str">
        <x:v>2024</x:v>
      </x:c>
      <x:c r="S12" s="14" t="n">
        <x:v>2024</x:v>
      </x:c>
      <x:c r="T12" s="14" t="n">
        <x:v>2024</x:v>
      </x:c>
      <x:c r="U12" s="14" t="str">
        <x:v>Explicit source first year retained</x:v>
      </x:c>
      <x:c r="V12" s="14" t="str">
        <x:v>Earliest supplied year is 2024.</x:v>
      </x:c>
      <x:c r="W12" s="14"/>
      <x:c r="X12" s="14" t="str">
        <x:v>Carried forward to 2024</x:v>
      </x:c>
      <x:c r="Y12" s="14"/>
      <x:c r="Z12" s="14" t="str">
        <x:v>Alice &amp; Jack.docx</x:v>
      </x:c>
      <x:c r="AA1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Channel 4 / E4</x:v>
      </x:c>
      <x:c r="AI12" s="14" t="str">
        <x:v>Qualifying UK co-commission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qualifying uk co-commission.</x:v>
      </x:c>
      <x:c r="AM12" s="17" t="e">
        <x:f>HYPERLINK("https://en.wikipedia.org/wiki/Alice_&amp;_Jack","Open source")</x:f>
        <x:v>HYPERLINK is not implemented. linkLocation=https://en.wikipedia.org/wiki/Alice_&amp;_Jack, friendlyName=Open source</x:v>
      </x:c>
      <x:c r="AN12" s="14" t="str">
        <x:v>No qualifying BBC relationship</x:v>
      </x:c>
      <x:c r="AO12" s="14" t="str">
        <x:v>No</x:v>
      </x:c>
      <x:c r="AP12" s="14" t="str">
        <x:v>Out of scope</x:v>
      </x:c>
      <x:c r="AQ12" s="14" t="str">
        <x:v>No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6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2</x:v>
      </x:c>
      <x:c r="BS12" s="16" t="n">
        <x:v>0.3333333333333333</x:v>
      </x:c>
      <x:c r="BT12" s="14" t="str">
        <x:v>Minority of episodes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tt28625003|nm0131671|randall</x:v>
      </x:c>
      <x:c r="B13" s="14" t="str">
        <x:v>01</x:v>
      </x:c>
      <x:c r="C13" s="14" t="str">
        <x:v>2023_IMDb_Cast_Lists_Batch_01(2).xlsx</x:v>
      </x:c>
      <x:c r="D13" s="14" t="str">
        <x:v>Alice &amp; Jack</x:v>
      </x:c>
      <x:c r="E13" s="14" t="n">
        <x:v>23</x:v>
      </x:c>
      <x:c r="F13" s="14" t="str">
        <x:v>Alice &amp; Jack</x:v>
      </x:c>
      <x:c r="G13" s="14" t="str">
        <x:v>tt28625003</x:v>
      </x:c>
      <x:c r="H13" s="14" t="n">
        <x:v>2023</x:v>
      </x:c>
      <x:c r="I13" s="14" t="n">
        <x:v>2023</x:v>
      </x:c>
      <x:c r="J13" s="14" t="str">
        <x:v>Future Carry-Forward Cohort</x:v>
      </x:c>
      <x:c r="K13" s="14"/>
      <x:c r="L13" s="14" t="str">
        <x:v>Not inherited</x:v>
      </x:c>
      <x:c r="M13" s="15" t="n">
        <x:v>16</x:v>
      </x:c>
      <x:c r="N13" s="14" t="str">
        <x:v>Mark Cameron</x:v>
      </x:c>
      <x:c r="O13" s="14" t="str">
        <x:v>nm0131671</x:v>
      </x:c>
      <x:c r="P13" s="14" t="str">
        <x:v>Randall</x:v>
      </x:c>
      <x:c r="Q13" s="15" t="n">
        <x:v>1</x:v>
      </x:c>
      <x:c r="R13" s="14" t="str">
        <x:v>2024</x:v>
      </x:c>
      <x:c r="S13" s="14" t="n">
        <x:v>2024</x:v>
      </x:c>
      <x:c r="T13" s="14" t="n">
        <x:v>2024</x:v>
      </x:c>
      <x:c r="U13" s="14" t="str">
        <x:v>Explicit source first year retained</x:v>
      </x:c>
      <x:c r="V13" s="14" t="str">
        <x:v>Earliest supplied year is 2024.</x:v>
      </x:c>
      <x:c r="W13" s="14"/>
      <x:c r="X13" s="14" t="str">
        <x:v>Carried forward to 2024</x:v>
      </x:c>
      <x:c r="Y13" s="14"/>
      <x:c r="Z13" s="14" t="str">
        <x:v>Alice &amp; Jack.docx</x:v>
      </x:c>
      <x:c r="AA1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Channel 4 / E4</x:v>
      </x:c>
      <x:c r="AI13" s="14" t="str">
        <x:v>Qualifying UK co-commission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qualifying uk co-commission.</x:v>
      </x:c>
      <x:c r="AM13" s="17" t="e">
        <x:f>HYPERLINK("https://en.wikipedia.org/wiki/Alice_&amp;_Jack","Open source")</x:f>
        <x:v>HYPERLINK is not implemented. linkLocation=https://en.wikipedia.org/wiki/Alice_&amp;_Jack, friendlyName=Open source</x:v>
      </x:c>
      <x:c r="AN13" s="14" t="str">
        <x:v>No qualifying BBC relationship</x:v>
      </x:c>
      <x:c r="AO13" s="14" t="str">
        <x:v>No</x:v>
      </x:c>
      <x:c r="AP13" s="14" t="str">
        <x:v>Out of scope</x:v>
      </x:c>
      <x:c r="AQ13" s="14" t="str">
        <x:v>No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6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0.16666666666666666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tt28625003|nm0183042|vicar</x:v>
      </x:c>
      <x:c r="B14" s="14" t="str">
        <x:v>01</x:v>
      </x:c>
      <x:c r="C14" s="14" t="str">
        <x:v>2023_IMDb_Cast_Lists_Batch_01(2).xlsx</x:v>
      </x:c>
      <x:c r="D14" s="14" t="str">
        <x:v>Alice &amp; Jack</x:v>
      </x:c>
      <x:c r="E14" s="14" t="n">
        <x:v>25</x:v>
      </x:c>
      <x:c r="F14" s="14" t="str">
        <x:v>Alice &amp; Jack</x:v>
      </x:c>
      <x:c r="G14" s="14" t="str">
        <x:v>tt28625003</x:v>
      </x:c>
      <x:c r="H14" s="14" t="n">
        <x:v>2023</x:v>
      </x:c>
      <x:c r="I14" s="14" t="n">
        <x:v>2023</x:v>
      </x:c>
      <x:c r="J14" s="14" t="str">
        <x:v>Future Carry-Forward Cohort</x:v>
      </x:c>
      <x:c r="K14" s="14"/>
      <x:c r="L14" s="14" t="str">
        <x:v>Not inherited</x:v>
      </x:c>
      <x:c r="M14" s="15" t="n">
        <x:v>18</x:v>
      </x:c>
      <x:c r="N14" s="14" t="str">
        <x:v>Matthew Cottle</x:v>
      </x:c>
      <x:c r="O14" s="14" t="str">
        <x:v>nm0183042</x:v>
      </x:c>
      <x:c r="P14" s="14" t="str">
        <x:v>Vicar</x:v>
      </x:c>
      <x:c r="Q14" s="15" t="n">
        <x:v>1</x:v>
      </x:c>
      <x:c r="R14" s="14" t="str">
        <x:v>2024</x:v>
      </x:c>
      <x:c r="S14" s="14" t="n">
        <x:v>2024</x:v>
      </x:c>
      <x:c r="T14" s="14" t="n">
        <x:v>2024</x:v>
      </x:c>
      <x:c r="U14" s="14" t="str">
        <x:v>Explicit source first year retained</x:v>
      </x:c>
      <x:c r="V14" s="14" t="str">
        <x:v>Earliest supplied year is 2024.</x:v>
      </x:c>
      <x:c r="W14" s="14"/>
      <x:c r="X14" s="14" t="str">
        <x:v>Carried forward to 2024</x:v>
      </x:c>
      <x:c r="Y14" s="14"/>
      <x:c r="Z14" s="14" t="str">
        <x:v>Alice &amp; Jack.docx</x:v>
      </x:c>
      <x:c r="AA1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Channel 4 / E4</x:v>
      </x:c>
      <x:c r="AI14" s="14" t="str">
        <x:v>Qualifying UK co-commission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qualifying uk co-commission.</x:v>
      </x:c>
      <x:c r="AM14" s="17" t="e">
        <x:f>HYPERLINK("https://en.wikipedia.org/wiki/Alice_&amp;_Jack","Open source")</x:f>
        <x:v>HYPERLINK is not implemented. linkLocation=https://en.wikipedia.org/wiki/Alice_&amp;_Jack, friendlyName=Open source</x:v>
      </x:c>
      <x:c r="AN14" s="14" t="str">
        <x:v>No qualifying BBC relationship</x:v>
      </x:c>
      <x:c r="AO14" s="14" t="str">
        <x:v>No</x:v>
      </x:c>
      <x:c r="AP14" s="14" t="str">
        <x:v>Out of scope</x:v>
      </x:c>
      <x:c r="AQ14" s="14" t="str">
        <x:v>No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6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0.16666666666666666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tt28625003|nm3193407|hospital porter</x:v>
      </x:c>
      <x:c r="B15" s="14" t="str">
        <x:v>01</x:v>
      </x:c>
      <x:c r="C15" s="14" t="str">
        <x:v>2023_IMDb_Cast_Lists_Batch_01(2).xlsx</x:v>
      </x:c>
      <x:c r="D15" s="14" t="str">
        <x:v>Alice &amp; Jack</x:v>
      </x:c>
      <x:c r="E15" s="14" t="n">
        <x:v>26</x:v>
      </x:c>
      <x:c r="F15" s="14" t="str">
        <x:v>Alice &amp; Jack</x:v>
      </x:c>
      <x:c r="G15" s="14" t="str">
        <x:v>tt28625003</x:v>
      </x:c>
      <x:c r="H15" s="14" t="n">
        <x:v>2023</x:v>
      </x:c>
      <x:c r="I15" s="14" t="n">
        <x:v>2023</x:v>
      </x:c>
      <x:c r="J15" s="14" t="str">
        <x:v>Future Carry-Forward Cohort</x:v>
      </x:c>
      <x:c r="K15" s="14"/>
      <x:c r="L15" s="14" t="str">
        <x:v>Not inherited</x:v>
      </x:c>
      <x:c r="M15" s="15" t="n">
        <x:v>19</x:v>
      </x:c>
      <x:c r="N15" s="14" t="str">
        <x:v>Ben C. Adams</x:v>
      </x:c>
      <x:c r="O15" s="14" t="str">
        <x:v>nm3193407</x:v>
      </x:c>
      <x:c r="P15" s="14" t="str">
        <x:v>Hospital Porter</x:v>
      </x:c>
      <x:c r="Q15" s="15" t="n">
        <x:v>1</x:v>
      </x:c>
      <x:c r="R15" s="14" t="str">
        <x:v>2024</x:v>
      </x:c>
      <x:c r="S15" s="14" t="n">
        <x:v>2024</x:v>
      </x:c>
      <x:c r="T15" s="14" t="n">
        <x:v>2024</x:v>
      </x:c>
      <x:c r="U15" s="14" t="str">
        <x:v>Explicit source first year retained</x:v>
      </x:c>
      <x:c r="V15" s="14" t="str">
        <x:v>Earliest supplied year is 2024.</x:v>
      </x:c>
      <x:c r="W15" s="14"/>
      <x:c r="X15" s="14" t="str">
        <x:v>Carried forward to 2024</x:v>
      </x:c>
      <x:c r="Y15" s="14" t="str">
        <x:v>(as Ben Adams)</x:v>
      </x:c>
      <x:c r="Z15" s="14" t="str">
        <x:v>Alice &amp; Jack.docx</x:v>
      </x:c>
      <x:c r="AA1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Channel 4 / E4</x:v>
      </x:c>
      <x:c r="AI15" s="14" t="str">
        <x:v>Qualifying UK co-commission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qualifying uk co-commission.</x:v>
      </x:c>
      <x:c r="AM15" s="17" t="e">
        <x:f>HYPERLINK("https://en.wikipedia.org/wiki/Alice_&amp;_Jack","Open source")</x:f>
        <x:v>HYPERLINK is not implemented. linkLocation=https://en.wikipedia.org/wiki/Alice_&amp;_Jack, friendlyName=Open source</x:v>
      </x:c>
      <x:c r="AN15" s="14" t="str">
        <x:v>No qualifying BBC relationship</x:v>
      </x:c>
      <x:c r="AO15" s="14" t="str">
        <x:v>No</x:v>
      </x:c>
      <x:c r="AP15" s="14" t="str">
        <x:v>Out of scope</x:v>
      </x:c>
      <x:c r="AQ15" s="14" t="str">
        <x:v>No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6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0.16666666666666666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tt28625003|nm4556190|danny</x:v>
      </x:c>
      <x:c r="B16" s="14" t="str">
        <x:v>01</x:v>
      </x:c>
      <x:c r="C16" s="14" t="str">
        <x:v>2023_IMDb_Cast_Lists_Batch_01(2).xlsx</x:v>
      </x:c>
      <x:c r="D16" s="14" t="str">
        <x:v>Alice &amp; Jack</x:v>
      </x:c>
      <x:c r="E16" s="14" t="n">
        <x:v>27</x:v>
      </x:c>
      <x:c r="F16" s="14" t="str">
        <x:v>Alice &amp; Jack</x:v>
      </x:c>
      <x:c r="G16" s="14" t="str">
        <x:v>tt28625003</x:v>
      </x:c>
      <x:c r="H16" s="14" t="n">
        <x:v>2023</x:v>
      </x:c>
      <x:c r="I16" s="14" t="n">
        <x:v>2023</x:v>
      </x:c>
      <x:c r="J16" s="14" t="str">
        <x:v>Future Carry-Forward Cohort</x:v>
      </x:c>
      <x:c r="K16" s="14"/>
      <x:c r="L16" s="14" t="str">
        <x:v>Not inherited</x:v>
      </x:c>
      <x:c r="M16" s="15" t="n">
        <x:v>20</x:v>
      </x:c>
      <x:c r="N16" s="14" t="str">
        <x:v>Tommy McDonnell</x:v>
      </x:c>
      <x:c r="O16" s="14" t="str">
        <x:v>nm4556190</x:v>
      </x:c>
      <x:c r="P16" s="14" t="str">
        <x:v>Danny</x:v>
      </x:c>
      <x:c r="Q16" s="15" t="n">
        <x:v>1</x:v>
      </x:c>
      <x:c r="R16" s="14" t="str">
        <x:v>2024</x:v>
      </x:c>
      <x:c r="S16" s="14" t="n">
        <x:v>2024</x:v>
      </x:c>
      <x:c r="T16" s="14" t="n">
        <x:v>2024</x:v>
      </x:c>
      <x:c r="U16" s="14" t="str">
        <x:v>Explicit source first year retained</x:v>
      </x:c>
      <x:c r="V16" s="14" t="str">
        <x:v>Earliest supplied year is 2024.</x:v>
      </x:c>
      <x:c r="W16" s="14"/>
      <x:c r="X16" s="14" t="str">
        <x:v>Carried forward to 2024</x:v>
      </x:c>
      <x:c r="Y16" s="14"/>
      <x:c r="Z16" s="14" t="str">
        <x:v>Alice &amp; Jack.docx</x:v>
      </x:c>
      <x:c r="AA1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Channel 4 / E4</x:v>
      </x:c>
      <x:c r="AI16" s="14" t="str">
        <x:v>Qualifying UK co-commission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qualifying uk co-commission.</x:v>
      </x:c>
      <x:c r="AM16" s="17" t="e">
        <x:f>HYPERLINK("https://en.wikipedia.org/wiki/Alice_&amp;_Jack","Open source")</x:f>
        <x:v>HYPERLINK is not implemented. linkLocation=https://en.wikipedia.org/wiki/Alice_&amp;_Jack, friendlyName=Open source</x:v>
      </x:c>
      <x:c r="AN16" s="14" t="str">
        <x:v>No qualifying BBC relationship</x:v>
      </x:c>
      <x:c r="AO16" s="14" t="str">
        <x:v>No</x:v>
      </x:c>
      <x:c r="AP16" s="14" t="str">
        <x:v>Out of scope</x:v>
      </x:c>
      <x:c r="AQ16" s="14" t="str">
        <x:v>No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6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0.16666666666666666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tt28625003|nm7609448|hospital porter</x:v>
      </x:c>
      <x:c r="B17" s="14" t="str">
        <x:v>01</x:v>
      </x:c>
      <x:c r="C17" s="14" t="str">
        <x:v>2023_IMDb_Cast_Lists_Batch_01(2).xlsx</x:v>
      </x:c>
      <x:c r="D17" s="14" t="str">
        <x:v>Alice &amp; Jack</x:v>
      </x:c>
      <x:c r="E17" s="14" t="n">
        <x:v>28</x:v>
      </x:c>
      <x:c r="F17" s="14" t="str">
        <x:v>Alice &amp; Jack</x:v>
      </x:c>
      <x:c r="G17" s="14" t="str">
        <x:v>tt28625003</x:v>
      </x:c>
      <x:c r="H17" s="14" t="n">
        <x:v>2023</x:v>
      </x:c>
      <x:c r="I17" s="14" t="n">
        <x:v>2023</x:v>
      </x:c>
      <x:c r="J17" s="14" t="str">
        <x:v>Future Carry-Forward Cohort</x:v>
      </x:c>
      <x:c r="K17" s="14"/>
      <x:c r="L17" s="14" t="str">
        <x:v>Not inherited</x:v>
      </x:c>
      <x:c r="M17" s="15" t="n">
        <x:v>21</x:v>
      </x:c>
      <x:c r="N17" s="14" t="str">
        <x:v>Jon Alagoa</x:v>
      </x:c>
      <x:c r="O17" s="14" t="str">
        <x:v>nm7609448</x:v>
      </x:c>
      <x:c r="P17" s="14" t="str">
        <x:v>Hospital Porter</x:v>
      </x:c>
      <x:c r="Q17" s="15" t="n">
        <x:v>1</x:v>
      </x:c>
      <x:c r="R17" s="14" t="str">
        <x:v>2024</x:v>
      </x:c>
      <x:c r="S17" s="14" t="n">
        <x:v>2024</x:v>
      </x:c>
      <x:c r="T17" s="14" t="n">
        <x:v>2024</x:v>
      </x:c>
      <x:c r="U17" s="14" t="str">
        <x:v>Explicit source first year retained</x:v>
      </x:c>
      <x:c r="V17" s="14" t="str">
        <x:v>Earliest supplied year is 2024.</x:v>
      </x:c>
      <x:c r="W17" s="14"/>
      <x:c r="X17" s="14" t="str">
        <x:v>Carried forward to 2024</x:v>
      </x:c>
      <x:c r="Y17" s="14"/>
      <x:c r="Z17" s="14" t="str">
        <x:v>Alice &amp; Jack.docx</x:v>
      </x:c>
      <x:c r="AA1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Channel 4 / E4</x:v>
      </x:c>
      <x:c r="AI17" s="14" t="str">
        <x:v>Qualifying UK co-commission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qualifying uk co-commission.</x:v>
      </x:c>
      <x:c r="AM17" s="17" t="e">
        <x:f>HYPERLINK("https://en.wikipedia.org/wiki/Alice_&amp;_Jack","Open source")</x:f>
        <x:v>HYPERLINK is not implemented. linkLocation=https://en.wikipedia.org/wiki/Alice_&amp;_Jack, friendlyName=Open source</x:v>
      </x:c>
      <x:c r="AN17" s="14" t="str">
        <x:v>No qualifying BBC relationship</x:v>
      </x:c>
      <x:c r="AO17" s="14" t="str">
        <x:v>No</x:v>
      </x:c>
      <x:c r="AP17" s="14" t="str">
        <x:v>Out of scope</x:v>
      </x:c>
      <x:c r="AQ17" s="14" t="str">
        <x:v>No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6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0.16666666666666666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tt28625003|nm5928630|caro</x:v>
      </x:c>
      <x:c r="B18" s="14" t="str">
        <x:v>01</x:v>
      </x:c>
      <x:c r="C18" s="14" t="str">
        <x:v>2023_IMDb_Cast_Lists_Batch_01(2).xlsx</x:v>
      </x:c>
      <x:c r="D18" s="14" t="str">
        <x:v>Alice &amp; Jack</x:v>
      </x:c>
      <x:c r="E18" s="14" t="n">
        <x:v>29</x:v>
      </x:c>
      <x:c r="F18" s="14" t="str">
        <x:v>Alice &amp; Jack</x:v>
      </x:c>
      <x:c r="G18" s="14" t="str">
        <x:v>tt28625003</x:v>
      </x:c>
      <x:c r="H18" s="14" t="n">
        <x:v>2023</x:v>
      </x:c>
      <x:c r="I18" s="14" t="n">
        <x:v>2023</x:v>
      </x:c>
      <x:c r="J18" s="14" t="str">
        <x:v>Future Carry-Forward Cohort</x:v>
      </x:c>
      <x:c r="K18" s="14"/>
      <x:c r="L18" s="14" t="str">
        <x:v>Not inherited</x:v>
      </x:c>
      <x:c r="M18" s="15" t="n">
        <x:v>22</x:v>
      </x:c>
      <x:c r="N18" s="14" t="str">
        <x:v>Sian Goff</x:v>
      </x:c>
      <x:c r="O18" s="14" t="str">
        <x:v>nm5928630</x:v>
      </x:c>
      <x:c r="P18" s="14" t="str">
        <x:v>Caro</x:v>
      </x:c>
      <x:c r="Q18" s="15" t="n">
        <x:v>1</x:v>
      </x:c>
      <x:c r="R18" s="14" t="str">
        <x:v>2024</x:v>
      </x:c>
      <x:c r="S18" s="14" t="n">
        <x:v>2024</x:v>
      </x:c>
      <x:c r="T18" s="14" t="n">
        <x:v>2024</x:v>
      </x:c>
      <x:c r="U18" s="14" t="str">
        <x:v>Explicit source first year retained</x:v>
      </x:c>
      <x:c r="V18" s="14" t="str">
        <x:v>Earliest supplied year is 2024.</x:v>
      </x:c>
      <x:c r="W18" s="14"/>
      <x:c r="X18" s="14" t="str">
        <x:v>Carried forward to 2024</x:v>
      </x:c>
      <x:c r="Y18" s="14"/>
      <x:c r="Z18" s="14" t="str">
        <x:v>Alice &amp; Jack.docx</x:v>
      </x:c>
      <x:c r="AA1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Channel 4 / E4</x:v>
      </x:c>
      <x:c r="AI18" s="14" t="str">
        <x:v>Qualifying UK co-commission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qualifying uk co-commission.</x:v>
      </x:c>
      <x:c r="AM18" s="17" t="e">
        <x:f>HYPERLINK("https://en.wikipedia.org/wiki/Alice_&amp;_Jack","Open source")</x:f>
        <x:v>HYPERLINK is not implemented. linkLocation=https://en.wikipedia.org/wiki/Alice_&amp;_Jack, friendlyName=Open source</x:v>
      </x:c>
      <x:c r="AN18" s="14" t="str">
        <x:v>No qualifying BBC relationship</x:v>
      </x:c>
      <x:c r="AO18" s="14" t="str">
        <x:v>No</x:v>
      </x:c>
      <x:c r="AP18" s="14" t="str">
        <x:v>Out of scope</x:v>
      </x:c>
      <x:c r="AQ18" s="14" t="str">
        <x:v>No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6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0.16666666666666666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tt28625003|nm1054648|dr. feldshue</x:v>
      </x:c>
      <x:c r="B19" s="14" t="str">
        <x:v>01</x:v>
      </x:c>
      <x:c r="C19" s="14" t="str">
        <x:v>2023_IMDb_Cast_Lists_Batch_01(2).xlsx</x:v>
      </x:c>
      <x:c r="D19" s="14" t="str">
        <x:v>Alice &amp; Jack</x:v>
      </x:c>
      <x:c r="E19" s="14" t="n">
        <x:v>30</x:v>
      </x:c>
      <x:c r="F19" s="14" t="str">
        <x:v>Alice &amp; Jack</x:v>
      </x:c>
      <x:c r="G19" s="14" t="str">
        <x:v>tt28625003</x:v>
      </x:c>
      <x:c r="H19" s="14" t="n">
        <x:v>2023</x:v>
      </x:c>
      <x:c r="I19" s="14" t="n">
        <x:v>2023</x:v>
      </x:c>
      <x:c r="J19" s="14" t="str">
        <x:v>Future Carry-Forward Cohort</x:v>
      </x:c>
      <x:c r="K19" s="14"/>
      <x:c r="L19" s="14" t="str">
        <x:v>Not inherited</x:v>
      </x:c>
      <x:c r="M19" s="15" t="n">
        <x:v>23</x:v>
      </x:c>
      <x:c r="N19" s="14" t="str">
        <x:v>Amanda Lawrence</x:v>
      </x:c>
      <x:c r="O19" s="14" t="str">
        <x:v>nm1054648</x:v>
      </x:c>
      <x:c r="P19" s="14" t="str">
        <x:v>Dr. Feldshue</x:v>
      </x:c>
      <x:c r="Q19" s="15" t="n">
        <x:v>1</x:v>
      </x:c>
      <x:c r="R19" s="14" t="str">
        <x:v>2024</x:v>
      </x:c>
      <x:c r="S19" s="14" t="n">
        <x:v>2024</x:v>
      </x:c>
      <x:c r="T19" s="14" t="n">
        <x:v>2024</x:v>
      </x:c>
      <x:c r="U19" s="14" t="str">
        <x:v>Explicit source first year retained</x:v>
      </x:c>
      <x:c r="V19" s="14" t="str">
        <x:v>Earliest supplied year is 2024.</x:v>
      </x:c>
      <x:c r="W19" s="14"/>
      <x:c r="X19" s="14" t="str">
        <x:v>Carried forward to 2024</x:v>
      </x:c>
      <x:c r="Y19" s="14"/>
      <x:c r="Z19" s="14" t="str">
        <x:v>Alice &amp; Jack.docx</x:v>
      </x:c>
      <x:c r="AA1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Channel 4 / E4</x:v>
      </x:c>
      <x:c r="AI19" s="14" t="str">
        <x:v>Qualifying UK co-commission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qualifying uk co-commission.</x:v>
      </x:c>
      <x:c r="AM19" s="17" t="e">
        <x:f>HYPERLINK("https://en.wikipedia.org/wiki/Alice_&amp;_Jack","Open source")</x:f>
        <x:v>HYPERLINK is not implemented. linkLocation=https://en.wikipedia.org/wiki/Alice_&amp;_Jack, friendlyName=Open source</x:v>
      </x:c>
      <x:c r="AN19" s="14" t="str">
        <x:v>No qualifying BBC relationship</x:v>
      </x:c>
      <x:c r="AO19" s="14" t="str">
        <x:v>No</x:v>
      </x:c>
      <x:c r="AP19" s="14" t="str">
        <x:v>Out of scope</x:v>
      </x:c>
      <x:c r="AQ19" s="14" t="str">
        <x:v>No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6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0.16666666666666666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tt28625003|nm1815278|hospital porter</x:v>
      </x:c>
      <x:c r="B20" s="14" t="str">
        <x:v>01</x:v>
      </x:c>
      <x:c r="C20" s="14" t="str">
        <x:v>2023_IMDb_Cast_Lists_Batch_01(2).xlsx</x:v>
      </x:c>
      <x:c r="D20" s="14" t="str">
        <x:v>Alice &amp; Jack</x:v>
      </x:c>
      <x:c r="E20" s="14" t="n">
        <x:v>31</x:v>
      </x:c>
      <x:c r="F20" s="14" t="str">
        <x:v>Alice &amp; Jack</x:v>
      </x:c>
      <x:c r="G20" s="14" t="str">
        <x:v>tt28625003</x:v>
      </x:c>
      <x:c r="H20" s="14" t="n">
        <x:v>2023</x:v>
      </x:c>
      <x:c r="I20" s="14" t="n">
        <x:v>2023</x:v>
      </x:c>
      <x:c r="J20" s="14" t="str">
        <x:v>Future Carry-Forward Cohort</x:v>
      </x:c>
      <x:c r="K20" s="14"/>
      <x:c r="L20" s="14" t="str">
        <x:v>Not inherited</x:v>
      </x:c>
      <x:c r="M20" s="15" t="n">
        <x:v>24</x:v>
      </x:c>
      <x:c r="N20" s="14" t="str">
        <x:v>Jack Bence</x:v>
      </x:c>
      <x:c r="O20" s="14" t="str">
        <x:v>nm1815278</x:v>
      </x:c>
      <x:c r="P20" s="14" t="str">
        <x:v>Hospital Porter</x:v>
      </x:c>
      <x:c r="Q20" s="15" t="n">
        <x:v>1</x:v>
      </x:c>
      <x:c r="R20" s="14" t="str">
        <x:v>2024</x:v>
      </x:c>
      <x:c r="S20" s="14" t="n">
        <x:v>2024</x:v>
      </x:c>
      <x:c r="T20" s="14" t="n">
        <x:v>2024</x:v>
      </x:c>
      <x:c r="U20" s="14" t="str">
        <x:v>Explicit source first year retained</x:v>
      </x:c>
      <x:c r="V20" s="14" t="str">
        <x:v>Earliest supplied year is 2024.</x:v>
      </x:c>
      <x:c r="W20" s="14"/>
      <x:c r="X20" s="14" t="str">
        <x:v>Carried forward to 2024</x:v>
      </x:c>
      <x:c r="Y20" s="14"/>
      <x:c r="Z20" s="14" t="str">
        <x:v>Alice &amp; Jack.docx</x:v>
      </x:c>
      <x:c r="AA2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Channel 4 / E4</x:v>
      </x:c>
      <x:c r="AI20" s="14" t="str">
        <x:v>Qualifying UK co-commission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qualifying uk co-commission.</x:v>
      </x:c>
      <x:c r="AM20" s="17" t="e">
        <x:f>HYPERLINK("https://en.wikipedia.org/wiki/Alice_&amp;_Jack","Open source")</x:f>
        <x:v>HYPERLINK is not implemented. linkLocation=https://en.wikipedia.org/wiki/Alice_&amp;_Jack, friendlyName=Open source</x:v>
      </x:c>
      <x:c r="AN20" s="14" t="str">
        <x:v>No qualifying BBC relationship</x:v>
      </x:c>
      <x:c r="AO20" s="14" t="str">
        <x:v>No</x:v>
      </x:c>
      <x:c r="AP20" s="14" t="str">
        <x:v>Out of scope</x:v>
      </x:c>
      <x:c r="AQ20" s="14" t="str">
        <x:v>No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6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0.16666666666666666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tt28625003|nm2471942|balfey</x:v>
      </x:c>
      <x:c r="B21" s="14" t="str">
        <x:v>01</x:v>
      </x:c>
      <x:c r="C21" s="14" t="str">
        <x:v>2023_IMDb_Cast_Lists_Batch_01(2).xlsx</x:v>
      </x:c>
      <x:c r="D21" s="14" t="str">
        <x:v>Alice &amp; Jack</x:v>
      </x:c>
      <x:c r="E21" s="14" t="n">
        <x:v>32</x:v>
      </x:c>
      <x:c r="F21" s="14" t="str">
        <x:v>Alice &amp; Jack</x:v>
      </x:c>
      <x:c r="G21" s="14" t="str">
        <x:v>tt28625003</x:v>
      </x:c>
      <x:c r="H21" s="14" t="n">
        <x:v>2023</x:v>
      </x:c>
      <x:c r="I21" s="14" t="n">
        <x:v>2023</x:v>
      </x:c>
      <x:c r="J21" s="14" t="str">
        <x:v>Future Carry-Forward Cohort</x:v>
      </x:c>
      <x:c r="K21" s="14"/>
      <x:c r="L21" s="14" t="str">
        <x:v>Not inherited</x:v>
      </x:c>
      <x:c r="M21" s="15" t="n">
        <x:v>25</x:v>
      </x:c>
      <x:c r="N21" s="14" t="str">
        <x:v>Derek Horsham</x:v>
      </x:c>
      <x:c r="O21" s="14" t="str">
        <x:v>nm2471942</x:v>
      </x:c>
      <x:c r="P21" s="14" t="str">
        <x:v>Balfey</x:v>
      </x:c>
      <x:c r="Q21" s="15" t="n">
        <x:v>1</x:v>
      </x:c>
      <x:c r="R21" s="14" t="str">
        <x:v>2024</x:v>
      </x:c>
      <x:c r="S21" s="14" t="n">
        <x:v>2024</x:v>
      </x:c>
      <x:c r="T21" s="14" t="n">
        <x:v>2024</x:v>
      </x:c>
      <x:c r="U21" s="14" t="str">
        <x:v>Explicit source first year retained</x:v>
      </x:c>
      <x:c r="V21" s="14" t="str">
        <x:v>Earliest supplied year is 2024.</x:v>
      </x:c>
      <x:c r="W21" s="14"/>
      <x:c r="X21" s="14" t="str">
        <x:v>Carried forward to 2024</x:v>
      </x:c>
      <x:c r="Y21" s="14"/>
      <x:c r="Z21" s="14" t="str">
        <x:v>Alice &amp; Jack.docx</x:v>
      </x:c>
      <x:c r="AA2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Channel 4 / E4</x:v>
      </x:c>
      <x:c r="AI21" s="14" t="str">
        <x:v>Qualifying UK co-commission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qualifying uk co-commission.</x:v>
      </x:c>
      <x:c r="AM21" s="17" t="e">
        <x:f>HYPERLINK("https://en.wikipedia.org/wiki/Alice_&amp;_Jack","Open source")</x:f>
        <x:v>HYPERLINK is not implemented. linkLocation=https://en.wikipedia.org/wiki/Alice_&amp;_Jack, friendlyName=Open source</x:v>
      </x:c>
      <x:c r="AN21" s="14" t="str">
        <x:v>No qualifying BBC relationship</x:v>
      </x:c>
      <x:c r="AO21" s="14" t="str">
        <x:v>No</x:v>
      </x:c>
      <x:c r="AP21" s="14" t="str">
        <x:v>Out of scope</x:v>
      </x:c>
      <x:c r="AQ21" s="14" t="str">
        <x:v>No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6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0.16666666666666666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tt28625003|nm15131529|toddler celia</x:v>
      </x:c>
      <x:c r="B22" s="14" t="str">
        <x:v>01</x:v>
      </x:c>
      <x:c r="C22" s="14" t="str">
        <x:v>2023_IMDb_Cast_Lists_Batch_01(2).xlsx</x:v>
      </x:c>
      <x:c r="D22" s="14" t="str">
        <x:v>Alice &amp; Jack</x:v>
      </x:c>
      <x:c r="E22" s="14" t="n">
        <x:v>33</x:v>
      </x:c>
      <x:c r="F22" s="14" t="str">
        <x:v>Alice &amp; Jack</x:v>
      </x:c>
      <x:c r="G22" s="14" t="str">
        <x:v>tt28625003</x:v>
      </x:c>
      <x:c r="H22" s="14" t="n">
        <x:v>2023</x:v>
      </x:c>
      <x:c r="I22" s="14" t="n">
        <x:v>2023</x:v>
      </x:c>
      <x:c r="J22" s="14" t="str">
        <x:v>Future Carry-Forward Cohort</x:v>
      </x:c>
      <x:c r="K22" s="14"/>
      <x:c r="L22" s="14" t="str">
        <x:v>Not inherited</x:v>
      </x:c>
      <x:c r="M22" s="15" t="n">
        <x:v>26</x:v>
      </x:c>
      <x:c r="N22" s="14" t="str">
        <x:v>Emmeline Martin</x:v>
      </x:c>
      <x:c r="O22" s="14" t="str">
        <x:v>nm15131529</x:v>
      </x:c>
      <x:c r="P22" s="14" t="str">
        <x:v>Toddler Celia</x:v>
      </x:c>
      <x:c r="Q22" s="15" t="n">
        <x:v>1</x:v>
      </x:c>
      <x:c r="R22" s="14" t="str">
        <x:v>2024</x:v>
      </x:c>
      <x:c r="S22" s="14" t="n">
        <x:v>2024</x:v>
      </x:c>
      <x:c r="T22" s="14" t="n">
        <x:v>2024</x:v>
      </x:c>
      <x:c r="U22" s="14" t="str">
        <x:v>Explicit source first year retained</x:v>
      </x:c>
      <x:c r="V22" s="14" t="str">
        <x:v>Earliest supplied year is 2024.</x:v>
      </x:c>
      <x:c r="W22" s="14"/>
      <x:c r="X22" s="14" t="str">
        <x:v>Carried forward to 2024</x:v>
      </x:c>
      <x:c r="Y22" s="14"/>
      <x:c r="Z22" s="14" t="str">
        <x:v>Alice &amp; Jack.docx</x:v>
      </x:c>
      <x:c r="AA2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Channel 4 / E4</x:v>
      </x:c>
      <x:c r="AI22" s="14" t="str">
        <x:v>Qualifying UK co-commission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qualifying uk co-commission.</x:v>
      </x:c>
      <x:c r="AM22" s="17" t="e">
        <x:f>HYPERLINK("https://en.wikipedia.org/wiki/Alice_&amp;_Jack","Open source")</x:f>
        <x:v>HYPERLINK is not implemented. linkLocation=https://en.wikipedia.org/wiki/Alice_&amp;_Jack, friendlyName=Open source</x:v>
      </x:c>
      <x:c r="AN22" s="14" t="str">
        <x:v>No qualifying BBC relationship</x:v>
      </x:c>
      <x:c r="AO22" s="14" t="str">
        <x:v>No</x:v>
      </x:c>
      <x:c r="AP22" s="14" t="str">
        <x:v>Out of scope</x:v>
      </x:c>
      <x:c r="AQ22" s="14" t="str">
        <x:v>No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6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0.16666666666666666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tt28625003|nm8284688|emil</x:v>
      </x:c>
      <x:c r="B23" s="14" t="str">
        <x:v>01</x:v>
      </x:c>
      <x:c r="C23" s="14" t="str">
        <x:v>2023_IMDb_Cast_Lists_Batch_01(2).xlsx</x:v>
      </x:c>
      <x:c r="D23" s="14" t="str">
        <x:v>Alice &amp; Jack</x:v>
      </x:c>
      <x:c r="E23" s="14" t="n">
        <x:v>34</x:v>
      </x:c>
      <x:c r="F23" s="14" t="str">
        <x:v>Alice &amp; Jack</x:v>
      </x:c>
      <x:c r="G23" s="14" t="str">
        <x:v>tt28625003</x:v>
      </x:c>
      <x:c r="H23" s="14" t="n">
        <x:v>2023</x:v>
      </x:c>
      <x:c r="I23" s="14" t="n">
        <x:v>2023</x:v>
      </x:c>
      <x:c r="J23" s="14" t="str">
        <x:v>Future Carry-Forward Cohort</x:v>
      </x:c>
      <x:c r="K23" s="14"/>
      <x:c r="L23" s="14" t="str">
        <x:v>Not inherited</x:v>
      </x:c>
      <x:c r="M23" s="15" t="n">
        <x:v>27</x:v>
      </x:c>
      <x:c r="N23" s="14" t="str">
        <x:v>Freddy Sawyer</x:v>
      </x:c>
      <x:c r="O23" s="14" t="str">
        <x:v>nm8284688</x:v>
      </x:c>
      <x:c r="P23" s="14" t="str">
        <x:v>Emil</x:v>
      </x:c>
      <x:c r="Q23" s="15" t="n">
        <x:v>1</x:v>
      </x:c>
      <x:c r="R23" s="14" t="str">
        <x:v>2024</x:v>
      </x:c>
      <x:c r="S23" s="14" t="n">
        <x:v>2024</x:v>
      </x:c>
      <x:c r="T23" s="14" t="n">
        <x:v>2024</x:v>
      </x:c>
      <x:c r="U23" s="14" t="str">
        <x:v>Explicit source first year retained</x:v>
      </x:c>
      <x:c r="V23" s="14" t="str">
        <x:v>Earliest supplied year is 2024.</x:v>
      </x:c>
      <x:c r="W23" s="14"/>
      <x:c r="X23" s="14" t="str">
        <x:v>Carried forward to 2024</x:v>
      </x:c>
      <x:c r="Y23" s="14"/>
      <x:c r="Z23" s="14" t="str">
        <x:v>Alice &amp; Jack.docx</x:v>
      </x:c>
      <x:c r="AA2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Channel 4 / E4</x:v>
      </x:c>
      <x:c r="AI23" s="14" t="str">
        <x:v>Qualifying UK co-commission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qualifying uk co-commission.</x:v>
      </x:c>
      <x:c r="AM23" s="17" t="e">
        <x:f>HYPERLINK("https://en.wikipedia.org/wiki/Alice_&amp;_Jack","Open source")</x:f>
        <x:v>HYPERLINK is not implemented. linkLocation=https://en.wikipedia.org/wiki/Alice_&amp;_Jack, friendlyName=Open source</x:v>
      </x:c>
      <x:c r="AN23" s="14" t="str">
        <x:v>No qualifying BBC relationship</x:v>
      </x:c>
      <x:c r="AO23" s="14" t="str">
        <x:v>No</x:v>
      </x:c>
      <x:c r="AP23" s="14" t="str">
        <x:v>Out of scope</x:v>
      </x:c>
      <x:c r="AQ23" s="14" t="str">
        <x:v>No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6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0.16666666666666666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tt28625003|nm11040076|visitor</x:v>
      </x:c>
      <x:c r="B24" s="14" t="str">
        <x:v>01</x:v>
      </x:c>
      <x:c r="C24" s="14" t="str">
        <x:v>2023_IMDb_Cast_Lists_Batch_01(2).xlsx</x:v>
      </x:c>
      <x:c r="D24" s="14" t="str">
        <x:v>Alice &amp; Jack</x:v>
      </x:c>
      <x:c r="E24" s="14" t="n">
        <x:v>35</x:v>
      </x:c>
      <x:c r="F24" s="14" t="str">
        <x:v>Alice &amp; Jack</x:v>
      </x:c>
      <x:c r="G24" s="14" t="str">
        <x:v>tt28625003</x:v>
      </x:c>
      <x:c r="H24" s="14" t="n">
        <x:v>2023</x:v>
      </x:c>
      <x:c r="I24" s="14" t="n">
        <x:v>2023</x:v>
      </x:c>
      <x:c r="J24" s="14" t="str">
        <x:v>Future Carry-Forward Cohort</x:v>
      </x:c>
      <x:c r="K24" s="14"/>
      <x:c r="L24" s="14" t="str">
        <x:v>Not inherited</x:v>
      </x:c>
      <x:c r="M24" s="15" t="n">
        <x:v>28</x:v>
      </x:c>
      <x:c r="N24" s="14" t="str">
        <x:v>Rachel Barnwell</x:v>
      </x:c>
      <x:c r="O24" s="14" t="str">
        <x:v>nm11040076</x:v>
      </x:c>
      <x:c r="P24" s="14" t="str">
        <x:v>Visitor</x:v>
      </x:c>
      <x:c r="Q24" s="15" t="n">
        <x:v>1</x:v>
      </x:c>
      <x:c r="R24" s="14" t="str">
        <x:v>2024</x:v>
      </x:c>
      <x:c r="S24" s="14" t="n">
        <x:v>2024</x:v>
      </x:c>
      <x:c r="T24" s="14" t="n">
        <x:v>2024</x:v>
      </x:c>
      <x:c r="U24" s="14" t="str">
        <x:v>Explicit source first year retained</x:v>
      </x:c>
      <x:c r="V24" s="14" t="str">
        <x:v>Earliest supplied year is 2024.</x:v>
      </x:c>
      <x:c r="W24" s="14"/>
      <x:c r="X24" s="14" t="str">
        <x:v>Carried forward to 2024</x:v>
      </x:c>
      <x:c r="Y24" s="14"/>
      <x:c r="Z24" s="14" t="str">
        <x:v>Alice &amp; Jack.docx</x:v>
      </x:c>
      <x:c r="AA2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Channel 4 / E4</x:v>
      </x:c>
      <x:c r="AI24" s="14" t="str">
        <x:v>Qualifying UK co-commission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qualifying uk co-commission.</x:v>
      </x:c>
      <x:c r="AM24" s="17" t="e">
        <x:f>HYPERLINK("https://en.wikipedia.org/wiki/Alice_&amp;_Jack","Open source")</x:f>
        <x:v>HYPERLINK is not implemented. linkLocation=https://en.wikipedia.org/wiki/Alice_&amp;_Jack, friendlyName=Open source</x:v>
      </x:c>
      <x:c r="AN24" s="14" t="str">
        <x:v>No qualifying BBC relationship</x:v>
      </x:c>
      <x:c r="AO24" s="14" t="str">
        <x:v>No</x:v>
      </x:c>
      <x:c r="AP24" s="14" t="str">
        <x:v>Out of scope</x:v>
      </x:c>
      <x:c r="AQ24" s="14" t="str">
        <x:v>No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6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0.16666666666666666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tt28625003|nm3303356|dance teacher</x:v>
      </x:c>
      <x:c r="B25" s="14" t="str">
        <x:v>01</x:v>
      </x:c>
      <x:c r="C25" s="14" t="str">
        <x:v>2023_IMDb_Cast_Lists_Batch_01(2).xlsx</x:v>
      </x:c>
      <x:c r="D25" s="14" t="str">
        <x:v>Alice &amp; Jack</x:v>
      </x:c>
      <x:c r="E25" s="14" t="n">
        <x:v>36</x:v>
      </x:c>
      <x:c r="F25" s="14" t="str">
        <x:v>Alice &amp; Jack</x:v>
      </x:c>
      <x:c r="G25" s="14" t="str">
        <x:v>tt28625003</x:v>
      </x:c>
      <x:c r="H25" s="14" t="n">
        <x:v>2023</x:v>
      </x:c>
      <x:c r="I25" s="14" t="n">
        <x:v>2023</x:v>
      </x:c>
      <x:c r="J25" s="14" t="str">
        <x:v>Future Carry-Forward Cohort</x:v>
      </x:c>
      <x:c r="K25" s="14"/>
      <x:c r="L25" s="14" t="str">
        <x:v>Not inherited</x:v>
      </x:c>
      <x:c r="M25" s="15" t="n">
        <x:v>29</x:v>
      </x:c>
      <x:c r="N25" s="14" t="str">
        <x:v>Carolyn Defrin</x:v>
      </x:c>
      <x:c r="O25" s="14" t="str">
        <x:v>nm3303356</x:v>
      </x:c>
      <x:c r="P25" s="14" t="str">
        <x:v>Dance Teacher</x:v>
      </x:c>
      <x:c r="Q25" s="15" t="n">
        <x:v>1</x:v>
      </x:c>
      <x:c r="R25" s="14" t="str">
        <x:v>2024</x:v>
      </x:c>
      <x:c r="S25" s="14" t="n">
        <x:v>2024</x:v>
      </x:c>
      <x:c r="T25" s="14" t="n">
        <x:v>2024</x:v>
      </x:c>
      <x:c r="U25" s="14" t="str">
        <x:v>Explicit source first year retained</x:v>
      </x:c>
      <x:c r="V25" s="14" t="str">
        <x:v>Earliest supplied year is 2024.</x:v>
      </x:c>
      <x:c r="W25" s="14"/>
      <x:c r="X25" s="14" t="str">
        <x:v>Carried forward to 2024</x:v>
      </x:c>
      <x:c r="Y25" s="14"/>
      <x:c r="Z25" s="14" t="str">
        <x:v>Alice &amp; Jack.docx</x:v>
      </x:c>
      <x:c r="AA2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Channel 4 / E4</x:v>
      </x:c>
      <x:c r="AI25" s="14" t="str">
        <x:v>Qualifying UK co-commission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qualifying uk co-commission.</x:v>
      </x:c>
      <x:c r="AM25" s="17" t="e">
        <x:f>HYPERLINK("https://en.wikipedia.org/wiki/Alice_&amp;_Jack","Open source")</x:f>
        <x:v>HYPERLINK is not implemented. linkLocation=https://en.wikipedia.org/wiki/Alice_&amp;_Jack, friendlyName=Open source</x:v>
      </x:c>
      <x:c r="AN25" s="14" t="str">
        <x:v>No qualifying BBC relationship</x:v>
      </x:c>
      <x:c r="AO25" s="14" t="str">
        <x:v>No</x:v>
      </x:c>
      <x:c r="AP25" s="14" t="str">
        <x:v>Out of scope</x:v>
      </x:c>
      <x:c r="AQ25" s="14" t="str">
        <x:v>No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6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0.16666666666666666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tt28625003|nm13782082|reya</x:v>
      </x:c>
      <x:c r="B26" s="14" t="str">
        <x:v>01</x:v>
      </x:c>
      <x:c r="C26" s="14" t="str">
        <x:v>2023_IMDb_Cast_Lists_Batch_01(2).xlsx</x:v>
      </x:c>
      <x:c r="D26" s="14" t="str">
        <x:v>Alice &amp; Jack</x:v>
      </x:c>
      <x:c r="E26" s="14" t="n">
        <x:v>37</x:v>
      </x:c>
      <x:c r="F26" s="14" t="str">
        <x:v>Alice &amp; Jack</x:v>
      </x:c>
      <x:c r="G26" s="14" t="str">
        <x:v>tt28625003</x:v>
      </x:c>
      <x:c r="H26" s="14" t="n">
        <x:v>2023</x:v>
      </x:c>
      <x:c r="I26" s="14" t="n">
        <x:v>2023</x:v>
      </x:c>
      <x:c r="J26" s="14" t="str">
        <x:v>Future Carry-Forward Cohort</x:v>
      </x:c>
      <x:c r="K26" s="14"/>
      <x:c r="L26" s="14" t="str">
        <x:v>Not inherited</x:v>
      </x:c>
      <x:c r="M26" s="15" t="n">
        <x:v>30</x:v>
      </x:c>
      <x:c r="N26" s="14" t="str">
        <x:v>Bairavi Manoharan</x:v>
      </x:c>
      <x:c r="O26" s="14" t="str">
        <x:v>nm13782082</x:v>
      </x:c>
      <x:c r="P26" s="14" t="str">
        <x:v>Reya</x:v>
      </x:c>
      <x:c r="Q26" s="15" t="n">
        <x:v>1</x:v>
      </x:c>
      <x:c r="R26" s="14" t="str">
        <x:v>2024</x:v>
      </x:c>
      <x:c r="S26" s="14" t="n">
        <x:v>2024</x:v>
      </x:c>
      <x:c r="T26" s="14" t="n">
        <x:v>2024</x:v>
      </x:c>
      <x:c r="U26" s="14" t="str">
        <x:v>Explicit source first year retained</x:v>
      </x:c>
      <x:c r="V26" s="14" t="str">
        <x:v>Earliest supplied year is 2024.</x:v>
      </x:c>
      <x:c r="W26" s="14"/>
      <x:c r="X26" s="14" t="str">
        <x:v>Carried forward to 2024</x:v>
      </x:c>
      <x:c r="Y26" s="14"/>
      <x:c r="Z26" s="14" t="str">
        <x:v>Alice &amp; Jack.docx</x:v>
      </x:c>
      <x:c r="AA2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Channel 4 / E4</x:v>
      </x:c>
      <x:c r="AI26" s="14" t="str">
        <x:v>Qualifying UK co-commission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qualifying uk co-commission.</x:v>
      </x:c>
      <x:c r="AM26" s="17" t="e">
        <x:f>HYPERLINK("https://en.wikipedia.org/wiki/Alice_&amp;_Jack","Open source")</x:f>
        <x:v>HYPERLINK is not implemented. linkLocation=https://en.wikipedia.org/wiki/Alice_&amp;_Jack, friendlyName=Open source</x:v>
      </x:c>
      <x:c r="AN26" s="14" t="str">
        <x:v>No qualifying BBC relationship</x:v>
      </x:c>
      <x:c r="AO26" s="14" t="str">
        <x:v>No</x:v>
      </x:c>
      <x:c r="AP26" s="14" t="str">
        <x:v>Out of scope</x:v>
      </x:c>
      <x:c r="AQ26" s="14" t="str">
        <x:v>No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6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0.16666666666666666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tt28625003|nm4852123|reporter</x:v>
      </x:c>
      <x:c r="B27" s="14" t="str">
        <x:v>01</x:v>
      </x:c>
      <x:c r="C27" s="14" t="str">
        <x:v>2023_IMDb_Cast_Lists_Batch_01(2).xlsx</x:v>
      </x:c>
      <x:c r="D27" s="14" t="str">
        <x:v>Alice &amp; Jack</x:v>
      </x:c>
      <x:c r="E27" s="14" t="n">
        <x:v>38</x:v>
      </x:c>
      <x:c r="F27" s="14" t="str">
        <x:v>Alice &amp; Jack</x:v>
      </x:c>
      <x:c r="G27" s="14" t="str">
        <x:v>tt28625003</x:v>
      </x:c>
      <x:c r="H27" s="14" t="n">
        <x:v>2023</x:v>
      </x:c>
      <x:c r="I27" s="14" t="n">
        <x:v>2023</x:v>
      </x:c>
      <x:c r="J27" s="14" t="str">
        <x:v>Future Carry-Forward Cohort</x:v>
      </x:c>
      <x:c r="K27" s="14"/>
      <x:c r="L27" s="14" t="str">
        <x:v>Not inherited</x:v>
      </x:c>
      <x:c r="M27" s="15" t="n">
        <x:v>31</x:v>
      </x:c>
      <x:c r="N27" s="14" t="str">
        <x:v>Sam Naz</x:v>
      </x:c>
      <x:c r="O27" s="14" t="str">
        <x:v>nm4852123</x:v>
      </x:c>
      <x:c r="P27" s="14" t="str">
        <x:v>Reporter</x:v>
      </x:c>
      <x:c r="Q27" s="15" t="n">
        <x:v>1</x:v>
      </x:c>
      <x:c r="R27" s="14" t="str">
        <x:v>2024</x:v>
      </x:c>
      <x:c r="S27" s="14" t="n">
        <x:v>2024</x:v>
      </x:c>
      <x:c r="T27" s="14" t="n">
        <x:v>2024</x:v>
      </x:c>
      <x:c r="U27" s="14" t="str">
        <x:v>Explicit source first year retained</x:v>
      </x:c>
      <x:c r="V27" s="14" t="str">
        <x:v>Earliest supplied year is 2024.</x:v>
      </x:c>
      <x:c r="W27" s="14"/>
      <x:c r="X27" s="14" t="str">
        <x:v>Carried forward to 2024</x:v>
      </x:c>
      <x:c r="Y27" s="14"/>
      <x:c r="Z27" s="14" t="str">
        <x:v>Alice &amp; Jack.docx</x:v>
      </x:c>
      <x:c r="AA2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Channel 4 / E4</x:v>
      </x:c>
      <x:c r="AI27" s="14" t="str">
        <x:v>Qualifying UK co-commission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qualifying uk co-commission.</x:v>
      </x:c>
      <x:c r="AM27" s="17" t="e">
        <x:f>HYPERLINK("https://en.wikipedia.org/wiki/Alice_&amp;_Jack","Open source")</x:f>
        <x:v>HYPERLINK is not implemented. linkLocation=https://en.wikipedia.org/wiki/Alice_&amp;_Jack, friendlyName=Open source</x:v>
      </x:c>
      <x:c r="AN27" s="14" t="str">
        <x:v>No qualifying BBC relationship</x:v>
      </x:c>
      <x:c r="AO27" s="14" t="str">
        <x:v>No</x:v>
      </x:c>
      <x:c r="AP27" s="14" t="str">
        <x:v>Out of scope</x:v>
      </x:c>
      <x:c r="AQ27" s="14" t="str">
        <x:v>No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6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0.16666666666666666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tt28625003|nm6269985|hospital visitor</x:v>
      </x:c>
      <x:c r="B28" s="14" t="str">
        <x:v>01</x:v>
      </x:c>
      <x:c r="C28" s="14" t="str">
        <x:v>2023_IMDb_Cast_Lists_Batch_01(2).xlsx</x:v>
      </x:c>
      <x:c r="D28" s="14" t="str">
        <x:v>Alice &amp; Jack</x:v>
      </x:c>
      <x:c r="E28" s="14" t="n">
        <x:v>39</x:v>
      </x:c>
      <x:c r="F28" s="14" t="str">
        <x:v>Alice &amp; Jack</x:v>
      </x:c>
      <x:c r="G28" s="14" t="str">
        <x:v>tt28625003</x:v>
      </x:c>
      <x:c r="H28" s="14" t="n">
        <x:v>2023</x:v>
      </x:c>
      <x:c r="I28" s="14" t="n">
        <x:v>2023</x:v>
      </x:c>
      <x:c r="J28" s="14" t="str">
        <x:v>Future Carry-Forward Cohort</x:v>
      </x:c>
      <x:c r="K28" s="14"/>
      <x:c r="L28" s="14" t="str">
        <x:v>Not inherited</x:v>
      </x:c>
      <x:c r="M28" s="15" t="n">
        <x:v>32</x:v>
      </x:c>
      <x:c r="N28" s="14" t="str">
        <x:v>Tom Chapman</x:v>
      </x:c>
      <x:c r="O28" s="14" t="str">
        <x:v>nm6269985</x:v>
      </x:c>
      <x:c r="P28" s="14" t="str">
        <x:v>Hospital Visitor</x:v>
      </x:c>
      <x:c r="Q28" s="15" t="n">
        <x:v>1</x:v>
      </x:c>
      <x:c r="R28" s="14" t="str">
        <x:v>2024</x:v>
      </x:c>
      <x:c r="S28" s="14" t="n">
        <x:v>2024</x:v>
      </x:c>
      <x:c r="T28" s="14" t="n">
        <x:v>2024</x:v>
      </x:c>
      <x:c r="U28" s="14" t="str">
        <x:v>Explicit source first year retained</x:v>
      </x:c>
      <x:c r="V28" s="14" t="str">
        <x:v>Earliest supplied year is 2024.</x:v>
      </x:c>
      <x:c r="W28" s="14"/>
      <x:c r="X28" s="14" t="str">
        <x:v>Carried forward to 2024</x:v>
      </x:c>
      <x:c r="Y28" s="14"/>
      <x:c r="Z28" s="14" t="str">
        <x:v>Alice &amp; Jack.docx</x:v>
      </x:c>
      <x:c r="AA2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Channel 4 / E4</x:v>
      </x:c>
      <x:c r="AI28" s="14" t="str">
        <x:v>Qualifying UK co-commission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qualifying uk co-commission.</x:v>
      </x:c>
      <x:c r="AM28" s="17" t="e">
        <x:f>HYPERLINK("https://en.wikipedia.org/wiki/Alice_&amp;_Jack","Open source")</x:f>
        <x:v>HYPERLINK is not implemented. linkLocation=https://en.wikipedia.org/wiki/Alice_&amp;_Jack, friendlyName=Open source</x:v>
      </x:c>
      <x:c r="AN28" s="14" t="str">
        <x:v>No qualifying BBC relationship</x:v>
      </x:c>
      <x:c r="AO28" s="14" t="str">
        <x:v>No</x:v>
      </x:c>
      <x:c r="AP28" s="14" t="str">
        <x:v>Out of scope</x:v>
      </x:c>
      <x:c r="AQ28" s="14" t="str">
        <x:v>No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6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0.16666666666666666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tt28625003|nm3149963|pamela</x:v>
      </x:c>
      <x:c r="B29" s="14" t="str">
        <x:v>01</x:v>
      </x:c>
      <x:c r="C29" s="14" t="str">
        <x:v>2023_IMDb_Cast_Lists_Batch_01(2).xlsx</x:v>
      </x:c>
      <x:c r="D29" s="14" t="str">
        <x:v>Alice &amp; Jack</x:v>
      </x:c>
      <x:c r="E29" s="14" t="n">
        <x:v>40</x:v>
      </x:c>
      <x:c r="F29" s="14" t="str">
        <x:v>Alice &amp; Jack</x:v>
      </x:c>
      <x:c r="G29" s="14" t="str">
        <x:v>tt28625003</x:v>
      </x:c>
      <x:c r="H29" s="14" t="n">
        <x:v>2023</x:v>
      </x:c>
      <x:c r="I29" s="14" t="n">
        <x:v>2023</x:v>
      </x:c>
      <x:c r="J29" s="14" t="str">
        <x:v>Future Carry-Forward Cohort</x:v>
      </x:c>
      <x:c r="K29" s="14"/>
      <x:c r="L29" s="14" t="str">
        <x:v>Not inherited</x:v>
      </x:c>
      <x:c r="M29" s="15" t="n">
        <x:v>33</x:v>
      </x:c>
      <x:c r="N29" s="14" t="str">
        <x:v>Tessa Parr</x:v>
      </x:c>
      <x:c r="O29" s="14" t="str">
        <x:v>nm3149963</x:v>
      </x:c>
      <x:c r="P29" s="14" t="str">
        <x:v>Pamela</x:v>
      </x:c>
      <x:c r="Q29" s="15" t="n">
        <x:v>1</x:v>
      </x:c>
      <x:c r="R29" s="14" t="str">
        <x:v>2024</x:v>
      </x:c>
      <x:c r="S29" s="14" t="n">
        <x:v>2024</x:v>
      </x:c>
      <x:c r="T29" s="14" t="n">
        <x:v>2024</x:v>
      </x:c>
      <x:c r="U29" s="14" t="str">
        <x:v>Explicit source first year retained</x:v>
      </x:c>
      <x:c r="V29" s="14" t="str">
        <x:v>Earliest supplied year is 2024.</x:v>
      </x:c>
      <x:c r="W29" s="14"/>
      <x:c r="X29" s="14" t="str">
        <x:v>Carried forward to 2024</x:v>
      </x:c>
      <x:c r="Y29" s="14"/>
      <x:c r="Z29" s="14" t="str">
        <x:v>Alice &amp; Jack.docx</x:v>
      </x:c>
      <x:c r="AA2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Channel 4 / E4</x:v>
      </x:c>
      <x:c r="AI29" s="14" t="str">
        <x:v>Qualifying UK co-commission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qualifying uk co-commission.</x:v>
      </x:c>
      <x:c r="AM29" s="17" t="e">
        <x:f>HYPERLINK("https://en.wikipedia.org/wiki/Alice_&amp;_Jack","Open source")</x:f>
        <x:v>HYPERLINK is not implemented. linkLocation=https://en.wikipedia.org/wiki/Alice_&amp;_Jack, friendlyName=Open source</x:v>
      </x:c>
      <x:c r="AN29" s="14" t="str">
        <x:v>No qualifying BBC relationship</x:v>
      </x:c>
      <x:c r="AO29" s="14" t="str">
        <x:v>No</x:v>
      </x:c>
      <x:c r="AP29" s="14" t="str">
        <x:v>Out of scope</x:v>
      </x:c>
      <x:c r="AQ29" s="14" t="str">
        <x:v>No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6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0.16666666666666666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tt28625003|nm5219992|nurse</x:v>
      </x:c>
      <x:c r="B30" s="14" t="str">
        <x:v>01</x:v>
      </x:c>
      <x:c r="C30" s="14" t="str">
        <x:v>2023_IMDb_Cast_Lists_Batch_01(2).xlsx</x:v>
      </x:c>
      <x:c r="D30" s="14" t="str">
        <x:v>Alice &amp; Jack</x:v>
      </x:c>
      <x:c r="E30" s="14" t="n">
        <x:v>41</x:v>
      </x:c>
      <x:c r="F30" s="14" t="str">
        <x:v>Alice &amp; Jack</x:v>
      </x:c>
      <x:c r="G30" s="14" t="str">
        <x:v>tt28625003</x:v>
      </x:c>
      <x:c r="H30" s="14" t="n">
        <x:v>2023</x:v>
      </x:c>
      <x:c r="I30" s="14" t="n">
        <x:v>2023</x:v>
      </x:c>
      <x:c r="J30" s="14" t="str">
        <x:v>Future Carry-Forward Cohort</x:v>
      </x:c>
      <x:c r="K30" s="14"/>
      <x:c r="L30" s="14" t="str">
        <x:v>Not inherited</x:v>
      </x:c>
      <x:c r="M30" s="15" t="n">
        <x:v>34</x:v>
      </x:c>
      <x:c r="N30" s="14" t="str">
        <x:v>Alana Ramsey</x:v>
      </x:c>
      <x:c r="O30" s="14" t="str">
        <x:v>nm5219992</x:v>
      </x:c>
      <x:c r="P30" s="14" t="str">
        <x:v>Nurse</x:v>
      </x:c>
      <x:c r="Q30" s="15" t="n">
        <x:v>1</x:v>
      </x:c>
      <x:c r="R30" s="14" t="str">
        <x:v>2024</x:v>
      </x:c>
      <x:c r="S30" s="14" t="n">
        <x:v>2024</x:v>
      </x:c>
      <x:c r="T30" s="14" t="n">
        <x:v>2024</x:v>
      </x:c>
      <x:c r="U30" s="14" t="str">
        <x:v>Explicit source first year retained</x:v>
      </x:c>
      <x:c r="V30" s="14" t="str">
        <x:v>Earliest supplied year is 2024.</x:v>
      </x:c>
      <x:c r="W30" s="14"/>
      <x:c r="X30" s="14" t="str">
        <x:v>Carried forward to 2024</x:v>
      </x:c>
      <x:c r="Y30" s="14"/>
      <x:c r="Z30" s="14" t="str">
        <x:v>Alice &amp; Jack.docx</x:v>
      </x:c>
      <x:c r="AA3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Channel 4 / E4</x:v>
      </x:c>
      <x:c r="AI30" s="14" t="str">
        <x:v>Qualifying UK co-commission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qualifying uk co-commission.</x:v>
      </x:c>
      <x:c r="AM30" s="17" t="e">
        <x:f>HYPERLINK("https://en.wikipedia.org/wiki/Alice_&amp;_Jack","Open source")</x:f>
        <x:v>HYPERLINK is not implemented. linkLocation=https://en.wikipedia.org/wiki/Alice_&amp;_Jack, friendlyName=Open source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6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0.16666666666666666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tt28625003|nm6451743|malgiolio</x:v>
      </x:c>
      <x:c r="B31" s="14" t="str">
        <x:v>01</x:v>
      </x:c>
      <x:c r="C31" s="14" t="str">
        <x:v>2023_IMDb_Cast_Lists_Batch_01(2).xlsx</x:v>
      </x:c>
      <x:c r="D31" s="14" t="str">
        <x:v>Alice &amp; Jack</x:v>
      </x:c>
      <x:c r="E31" s="14" t="n">
        <x:v>42</x:v>
      </x:c>
      <x:c r="F31" s="14" t="str">
        <x:v>Alice &amp; Jack</x:v>
      </x:c>
      <x:c r="G31" s="14" t="str">
        <x:v>tt28625003</x:v>
      </x:c>
      <x:c r="H31" s="14" t="n">
        <x:v>2023</x:v>
      </x:c>
      <x:c r="I31" s="14" t="n">
        <x:v>2023</x:v>
      </x:c>
      <x:c r="J31" s="14" t="str">
        <x:v>Future Carry-Forward Cohort</x:v>
      </x:c>
      <x:c r="K31" s="14"/>
      <x:c r="L31" s="14" t="str">
        <x:v>Not inherited</x:v>
      </x:c>
      <x:c r="M31" s="15" t="n">
        <x:v>35</x:v>
      </x:c>
      <x:c r="N31" s="14" t="str">
        <x:v>Jasmine Naziha Jones</x:v>
      </x:c>
      <x:c r="O31" s="14" t="str">
        <x:v>nm6451743</x:v>
      </x:c>
      <x:c r="P31" s="14" t="str">
        <x:v>Malgiolio</x:v>
      </x:c>
      <x:c r="Q31" s="15" t="n">
        <x:v>1</x:v>
      </x:c>
      <x:c r="R31" s="14" t="str">
        <x:v>2024</x:v>
      </x:c>
      <x:c r="S31" s="14" t="n">
        <x:v>2024</x:v>
      </x:c>
      <x:c r="T31" s="14" t="n">
        <x:v>2024</x:v>
      </x:c>
      <x:c r="U31" s="14" t="str">
        <x:v>Explicit source first year retained</x:v>
      </x:c>
      <x:c r="V31" s="14" t="str">
        <x:v>Earliest supplied year is 2024.</x:v>
      </x:c>
      <x:c r="W31" s="14"/>
      <x:c r="X31" s="14" t="str">
        <x:v>Carried forward to 2024</x:v>
      </x:c>
      <x:c r="Y31" s="14" t="str">
        <x:v>(as Jasmine Naziah Jones)</x:v>
      </x:c>
      <x:c r="Z31" s="14" t="str">
        <x:v>Alice &amp; Jack.docx</x:v>
      </x:c>
      <x:c r="AA3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Channel 4 / E4</x:v>
      </x:c>
      <x:c r="AI31" s="14" t="str">
        <x:v>Qualifying UK co-commission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qualifying uk co-commission.</x:v>
      </x:c>
      <x:c r="AM31" s="17" t="e">
        <x:f>HYPERLINK("https://en.wikipedia.org/wiki/Alice_&amp;_Jack","Open source")</x:f>
        <x:v>HYPERLINK is not implemented. linkLocation=https://en.wikipedia.org/wiki/Alice_&amp;_Jack, friendlyName=Open source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6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0.16666666666666666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tt28625003|nm15131531|baby celia</x:v>
      </x:c>
      <x:c r="B32" s="14" t="str">
        <x:v>01</x:v>
      </x:c>
      <x:c r="C32" s="14" t="str">
        <x:v>2023_IMDb_Cast_Lists_Batch_01(2).xlsx</x:v>
      </x:c>
      <x:c r="D32" s="14" t="str">
        <x:v>Alice &amp; Jack</x:v>
      </x:c>
      <x:c r="E32" s="14" t="n">
        <x:v>43</x:v>
      </x:c>
      <x:c r="F32" s="14" t="str">
        <x:v>Alice &amp; Jack</x:v>
      </x:c>
      <x:c r="G32" s="14" t="str">
        <x:v>tt28625003</x:v>
      </x:c>
      <x:c r="H32" s="14" t="n">
        <x:v>2023</x:v>
      </x:c>
      <x:c r="I32" s="14" t="n">
        <x:v>2023</x:v>
      </x:c>
      <x:c r="J32" s="14" t="str">
        <x:v>Future Carry-Forward Cohort</x:v>
      </x:c>
      <x:c r="K32" s="14"/>
      <x:c r="L32" s="14" t="str">
        <x:v>Not inherited</x:v>
      </x:c>
      <x:c r="M32" s="15" t="n">
        <x:v>36</x:v>
      </x:c>
      <x:c r="N32" s="14" t="str">
        <x:v>Alanna Keller-Colgan</x:v>
      </x:c>
      <x:c r="O32" s="14" t="str">
        <x:v>nm15131531</x:v>
      </x:c>
      <x:c r="P32" s="14" t="str">
        <x:v>Baby Celia</x:v>
      </x:c>
      <x:c r="Q32" s="15" t="n">
        <x:v>1</x:v>
      </x:c>
      <x:c r="R32" s="14" t="str">
        <x:v>2024</x:v>
      </x:c>
      <x:c r="S32" s="14" t="n">
        <x:v>2024</x:v>
      </x:c>
      <x:c r="T32" s="14" t="n">
        <x:v>2024</x:v>
      </x:c>
      <x:c r="U32" s="14" t="str">
        <x:v>Explicit source first year retained</x:v>
      </x:c>
      <x:c r="V32" s="14" t="str">
        <x:v>Earliest supplied year is 2024.</x:v>
      </x:c>
      <x:c r="W32" s="14"/>
      <x:c r="X32" s="14" t="str">
        <x:v>Carried forward to 2024</x:v>
      </x:c>
      <x:c r="Y32" s="14"/>
      <x:c r="Z32" s="14" t="str">
        <x:v>Alice &amp; Jack.docx</x:v>
      </x:c>
      <x:c r="AA3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Channel 4 / E4</x:v>
      </x:c>
      <x:c r="AI32" s="14" t="str">
        <x:v>Qualifying UK co-commission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qualifying uk co-commission.</x:v>
      </x:c>
      <x:c r="AM32" s="17" t="e">
        <x:f>HYPERLINK("https://en.wikipedia.org/wiki/Alice_&amp;_Jack","Open source")</x:f>
        <x:v>HYPERLINK is not implemented. linkLocation=https://en.wikipedia.org/wiki/Alice_&amp;_Jack, friendlyName=Open source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6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0.16666666666666666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tt21161156|nm0205749|richard baxter</x:v>
      </x:c>
      <x:c r="B33" s="14" t="str">
        <x:v>01</x:v>
      </x:c>
      <x:c r="C33" s="14" t="str">
        <x:v>2023_IMDb_Cast_Lists_Batch_01(2).xlsx</x:v>
      </x:c>
      <x:c r="D33" s="14" t="str">
        <x:v>Beyond Paradise</x:v>
      </x:c>
      <x:c r="E33" s="14" t="n">
        <x:v>24</x:v>
      </x:c>
      <x:c r="F33" s="14" t="str">
        <x:v>Beyond Paradise</x:v>
      </x:c>
      <x:c r="G33" s="14" t="str">
        <x:v>tt21161156</x:v>
      </x:c>
      <x:c r="H33" s="14" t="n">
        <x:v>2023</x:v>
      </x:c>
      <x:c r="I33" s="14" t="n">
        <x:v>2023</x:v>
      </x:c>
      <x:c r="J33" s="14" t="str">
        <x:v>Future Carry-Forward Cohort</x:v>
      </x:c>
      <x:c r="K33" s="14"/>
      <x:c r="L33" s="14" t="str">
        <x:v>Not inherited</x:v>
      </x:c>
      <x:c r="M33" s="15" t="n">
        <x:v>17</x:v>
      </x:c>
      <x:c r="N33" s="14" t="str">
        <x:v>Peter Davison</x:v>
      </x:c>
      <x:c r="O33" s="14" t="str">
        <x:v>nm0205749</x:v>
      </x:c>
      <x:c r="P33" s="14" t="str">
        <x:v>Richard Baxter</x:v>
      </x:c>
      <x:c r="Q33" s="15" t="n">
        <x:v>3</x:v>
      </x:c>
      <x:c r="R33" s="14" t="str">
        <x:v>2024</x:v>
      </x:c>
      <x:c r="S33" s="14" t="n">
        <x:v>2024</x:v>
      </x:c>
      <x:c r="T33" s="14" t="n">
        <x:v>2024</x:v>
      </x:c>
      <x:c r="U33" s="14" t="str">
        <x:v>Explicit source first year retained</x:v>
      </x:c>
      <x:c r="V33" s="14" t="str">
        <x:v>Earliest supplied year is 2024.</x:v>
      </x:c>
      <x:c r="W33" s="14"/>
      <x:c r="X33" s="14" t="str">
        <x:v>Carried forward to 2024</x:v>
      </x:c>
      <x:c r="Y33" s="14"/>
      <x:c r="Z33" s="14" t="str">
        <x:v>Beyond Paradise.docx</x:v>
      </x:c>
      <x:c r="AA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HYPERLINK("https://en.wikipedia.org/wiki/Beyond_Paradise","Open source")</x:f>
        <x:v>HYPERLINK is not implemented. linkLocation=https://en.wikipedia.org/wiki/Beyond_Paradise,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27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3</x:v>
      </x:c>
      <x:c r="BS33" s="16" t="n">
        <x:v>0.1111111111111111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tt21161156|nm1599744|reverend kate</x:v>
      </x:c>
      <x:c r="B34" s="14" t="str">
        <x:v>01</x:v>
      </x:c>
      <x:c r="C34" s="14" t="str">
        <x:v>2023_IMDb_Cast_Lists_Batch_01(2).xlsx</x:v>
      </x:c>
      <x:c r="D34" s="14" t="str">
        <x:v>Beyond Paradise</x:v>
      </x:c>
      <x:c r="E34" s="14" t="n">
        <x:v>29</x:v>
      </x:c>
      <x:c r="F34" s="14" t="str">
        <x:v>Beyond Paradise</x:v>
      </x:c>
      <x:c r="G34" s="14" t="str">
        <x:v>tt21161156</x:v>
      </x:c>
      <x:c r="H34" s="14" t="n">
        <x:v>2023</x:v>
      </x:c>
      <x:c r="I34" s="14" t="n">
        <x:v>2023</x:v>
      </x:c>
      <x:c r="J34" s="14" t="str">
        <x:v>Future Carry-Forward Cohort</x:v>
      </x:c>
      <x:c r="K34" s="14"/>
      <x:c r="L34" s="14" t="str">
        <x:v>Not inherited</x:v>
      </x:c>
      <x:c r="M34" s="15" t="n">
        <x:v>22</x:v>
      </x:c>
      <x:c r="N34" s="14" t="str">
        <x:v>Chizzy Akudolu</x:v>
      </x:c>
      <x:c r="O34" s="14" t="str">
        <x:v>nm1599744</x:v>
      </x:c>
      <x:c r="P34" s="14" t="str">
        <x:v>Reverend Kate</x:v>
      </x:c>
      <x:c r="Q34" s="15" t="n">
        <x:v>2</x:v>
      </x:c>
      <x:c r="R34" s="14" t="str">
        <x:v>2024–2025</x:v>
      </x:c>
      <x:c r="S34" s="14" t="n">
        <x:v>2024</x:v>
      </x:c>
      <x:c r="T34" s="14" t="n">
        <x:v>2024</x:v>
      </x:c>
      <x:c r="U34" s="14" t="str">
        <x:v>Explicit source first year retained</x:v>
      </x:c>
      <x:c r="V34" s="14" t="str">
        <x:v>Earliest supplied year is 2024.</x:v>
      </x:c>
      <x:c r="W34" s="14"/>
      <x:c r="X34" s="14" t="str">
        <x:v>Carried forward to 2024</x:v>
      </x:c>
      <x:c r="Y34" s="14"/>
      <x:c r="Z34" s="14" t="str">
        <x:v>Beyond Paradise.docx</x:v>
      </x:c>
      <x:c r="AA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HYPERLINK("https://en.wikipedia.org/wiki/Beyond_Paradise","Open source")</x:f>
        <x:v>HYPERLINK is not implemented. linkLocation=https://en.wikipedia.org/wiki/Beyond_Paradise,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27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2</x:v>
      </x:c>
      <x:c r="BS34" s="16" t="n">
        <x:v>0.07407407407407407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tt21161156|nm0372423|bob holland</x:v>
      </x:c>
      <x:c r="B35" s="14" t="str">
        <x:v>01</x:v>
      </x:c>
      <x:c r="C35" s="14" t="str">
        <x:v>2023_IMDb_Cast_Lists_Batch_01(2).xlsx</x:v>
      </x:c>
      <x:c r="D35" s="14" t="str">
        <x:v>Beyond Paradise</x:v>
      </x:c>
      <x:c r="E35" s="14" t="n">
        <x:v>34</x:v>
      </x:c>
      <x:c r="F35" s="14" t="str">
        <x:v>Beyond Paradise</x:v>
      </x:c>
      <x:c r="G35" s="14" t="str">
        <x:v>tt21161156</x:v>
      </x:c>
      <x:c r="H35" s="14" t="n">
        <x:v>2023</x:v>
      </x:c>
      <x:c r="I35" s="14" t="n">
        <x:v>2023</x:v>
      </x:c>
      <x:c r="J35" s="14" t="str">
        <x:v>Future Carry-Forward Cohort</x:v>
      </x:c>
      <x:c r="K35" s="14"/>
      <x:c r="L35" s="14" t="str">
        <x:v>Not inherited</x:v>
      </x:c>
      <x:c r="M35" s="15" t="n">
        <x:v>27</x:v>
      </x:c>
      <x:c r="N35" s="14" t="str">
        <x:v>Mark Heap</x:v>
      </x:c>
      <x:c r="O35" s="14" t="str">
        <x:v>nm0372423</x:v>
      </x:c>
      <x:c r="P35" s="14" t="str">
        <x:v>Bob Holland</x:v>
      </x:c>
      <x:c r="Q35" s="15" t="n">
        <x:v>1</x:v>
      </x:c>
      <x:c r="R35" s="14" t="str">
        <x:v>2024</x:v>
      </x:c>
      <x:c r="S35" s="14" t="n">
        <x:v>2024</x:v>
      </x:c>
      <x:c r="T35" s="14" t="n">
        <x:v>2024</x:v>
      </x:c>
      <x:c r="U35" s="14" t="str">
        <x:v>Explicit source first year retained</x:v>
      </x:c>
      <x:c r="V35" s="14" t="str">
        <x:v>Earliest supplied year is 2024.</x:v>
      </x:c>
      <x:c r="W35" s="14"/>
      <x:c r="X35" s="14" t="str">
        <x:v>Carried forward to 2024</x:v>
      </x:c>
      <x:c r="Y35" s="14"/>
      <x:c r="Z35" s="14" t="str">
        <x:v>Beyond Paradise.docx</x:v>
      </x:c>
      <x:c r="AA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HYPERLINK("https://en.wikipedia.org/wiki/Beyond_Paradise","Open source")</x:f>
        <x:v>HYPERLINK is not implemented. linkLocation=https://en.wikipedia.org/wiki/Beyond_Paradise,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27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0.037037037037037035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tt21161156|nm0681949|rebecca thompson</x:v>
      </x:c>
      <x:c r="B36" s="14" t="str">
        <x:v>01</x:v>
      </x:c>
      <x:c r="C36" s="14" t="str">
        <x:v>2023_IMDb_Cast_Lists_Batch_01(2).xlsx</x:v>
      </x:c>
      <x:c r="D36" s="14" t="str">
        <x:v>Beyond Paradise</x:v>
      </x:c>
      <x:c r="E36" s="14" t="n">
        <x:v>35</x:v>
      </x:c>
      <x:c r="F36" s="14" t="str">
        <x:v>Beyond Paradise</x:v>
      </x:c>
      <x:c r="G36" s="14" t="str">
        <x:v>tt21161156</x:v>
      </x:c>
      <x:c r="H36" s="14" t="n">
        <x:v>2023</x:v>
      </x:c>
      <x:c r="I36" s="14" t="n">
        <x:v>2023</x:v>
      </x:c>
      <x:c r="J36" s="14" t="str">
        <x:v>Future Carry-Forward Cohort</x:v>
      </x:c>
      <x:c r="K36" s="14"/>
      <x:c r="L36" s="14" t="str">
        <x:v>Not inherited</x:v>
      </x:c>
      <x:c r="M36" s="15" t="n">
        <x:v>28</x:v>
      </x:c>
      <x:c r="N36" s="14" t="str">
        <x:v>Carolyn Pickles</x:v>
      </x:c>
      <x:c r="O36" s="14" t="str">
        <x:v>nm0681949</x:v>
      </x:c>
      <x:c r="P36" s="14" t="str">
        <x:v>Rebecca Thompson</x:v>
      </x:c>
      <x:c r="Q36" s="15" t="n">
        <x:v>1</x:v>
      </x:c>
      <x:c r="R36" s="14" t="str">
        <x:v>2024</x:v>
      </x:c>
      <x:c r="S36" s="14" t="n">
        <x:v>2024</x:v>
      </x:c>
      <x:c r="T36" s="14" t="n">
        <x:v>2024</x:v>
      </x:c>
      <x:c r="U36" s="14" t="str">
        <x:v>Explicit source first year retained</x:v>
      </x:c>
      <x:c r="V36" s="14" t="str">
        <x:v>Earliest supplied year is 2024.</x:v>
      </x:c>
      <x:c r="W36" s="14"/>
      <x:c r="X36" s="14" t="str">
        <x:v>Carried forward to 2024</x:v>
      </x:c>
      <x:c r="Y36" s="14"/>
      <x:c r="Z36" s="14" t="str">
        <x:v>Beyond Paradise.docx</x:v>
      </x:c>
      <x:c r="AA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HYPERLINK("https://en.wikipedia.org/wiki/Beyond_Paradise","Open source")</x:f>
        <x:v>HYPERLINK is not implemented. linkLocation=https://en.wikipedia.org/wiki/Beyond_Paradise,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27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0.037037037037037035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tt21161156|nm0712575|douglas bevan</x:v>
      </x:c>
      <x:c r="B37" s="14" t="str">
        <x:v>01</x:v>
      </x:c>
      <x:c r="C37" s="14" t="str">
        <x:v>2023_IMDb_Cast_Lists_Batch_01(2).xlsx</x:v>
      </x:c>
      <x:c r="D37" s="14" t="str">
        <x:v>Beyond Paradise</x:v>
      </x:c>
      <x:c r="E37" s="14" t="n">
        <x:v>36</x:v>
      </x:c>
      <x:c r="F37" s="14" t="str">
        <x:v>Beyond Paradise</x:v>
      </x:c>
      <x:c r="G37" s="14" t="str">
        <x:v>tt21161156</x:v>
      </x:c>
      <x:c r="H37" s="14" t="n">
        <x:v>2023</x:v>
      </x:c>
      <x:c r="I37" s="14" t="n">
        <x:v>2023</x:v>
      </x:c>
      <x:c r="J37" s="14" t="str">
        <x:v>Future Carry-Forward Cohort</x:v>
      </x:c>
      <x:c r="K37" s="14"/>
      <x:c r="L37" s="14" t="str">
        <x:v>Not inherited</x:v>
      </x:c>
      <x:c r="M37" s="15" t="n">
        <x:v>29</x:v>
      </x:c>
      <x:c r="N37" s="14" t="str">
        <x:v>Jeff Rawle</x:v>
      </x:c>
      <x:c r="O37" s="14" t="str">
        <x:v>nm0712575</x:v>
      </x:c>
      <x:c r="P37" s="14" t="str">
        <x:v>Douglas Bevan</x:v>
      </x:c>
      <x:c r="Q37" s="15" t="n">
        <x:v>1</x:v>
      </x:c>
      <x:c r="R37" s="14" t="str">
        <x:v>2024</x:v>
      </x:c>
      <x:c r="S37" s="14" t="n">
        <x:v>2024</x:v>
      </x:c>
      <x:c r="T37" s="14" t="n">
        <x:v>2024</x:v>
      </x:c>
      <x:c r="U37" s="14" t="str">
        <x:v>Explicit source first year retained</x:v>
      </x:c>
      <x:c r="V37" s="14" t="str">
        <x:v>Earliest supplied year is 2024.</x:v>
      </x:c>
      <x:c r="W37" s="14"/>
      <x:c r="X37" s="14" t="str">
        <x:v>Carried forward to 2024</x:v>
      </x:c>
      <x:c r="Y37" s="14"/>
      <x:c r="Z37" s="14" t="str">
        <x:v>Beyond Paradise.docx</x:v>
      </x:c>
      <x:c r="AA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HYPERLINK("https://en.wikipedia.org/wiki/Beyond_Paradise","Open source")</x:f>
        <x:v>HYPERLINK is not implemented. linkLocation=https://en.wikipedia.org/wiki/Beyond_Paradise,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27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0.037037037037037035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tt21161156|nm0103367|noah culpepper</x:v>
      </x:c>
      <x:c r="B38" s="14" t="str">
        <x:v>01</x:v>
      </x:c>
      <x:c r="C38" s="14" t="str">
        <x:v>2023_IMDb_Cast_Lists_Batch_01(2).xlsx</x:v>
      </x:c>
      <x:c r="D38" s="14" t="str">
        <x:v>Beyond Paradise</x:v>
      </x:c>
      <x:c r="E38" s="14" t="n">
        <x:v>37</x:v>
      </x:c>
      <x:c r="F38" s="14" t="str">
        <x:v>Beyond Paradise</x:v>
      </x:c>
      <x:c r="G38" s="14" t="str">
        <x:v>tt21161156</x:v>
      </x:c>
      <x:c r="H38" s="14" t="n">
        <x:v>2023</x:v>
      </x:c>
      <x:c r="I38" s="14" t="n">
        <x:v>2023</x:v>
      </x:c>
      <x:c r="J38" s="14" t="str">
        <x:v>Future Carry-Forward Cohort</x:v>
      </x:c>
      <x:c r="K38" s="14"/>
      <x:c r="L38" s="14" t="str">
        <x:v>Not inherited</x:v>
      </x:c>
      <x:c r="M38" s="15" t="n">
        <x:v>30</x:v>
      </x:c>
      <x:c r="N38" s="14" t="str">
        <x:v>Paul Bradley</x:v>
      </x:c>
      <x:c r="O38" s="14" t="str">
        <x:v>nm0103367</x:v>
      </x:c>
      <x:c r="P38" s="14" t="str">
        <x:v>Noah Culpepper</x:v>
      </x:c>
      <x:c r="Q38" s="15" t="n">
        <x:v>1</x:v>
      </x:c>
      <x:c r="R38" s="14" t="str">
        <x:v>2024</x:v>
      </x:c>
      <x:c r="S38" s="14" t="n">
        <x:v>2024</x:v>
      </x:c>
      <x:c r="T38" s="14" t="n">
        <x:v>2024</x:v>
      </x:c>
      <x:c r="U38" s="14" t="str">
        <x:v>Explicit source first year retained</x:v>
      </x:c>
      <x:c r="V38" s="14" t="str">
        <x:v>Earliest supplied year is 2024.</x:v>
      </x:c>
      <x:c r="W38" s="14"/>
      <x:c r="X38" s="14" t="str">
        <x:v>Carried forward to 2024</x:v>
      </x:c>
      <x:c r="Y38" s="14"/>
      <x:c r="Z38" s="14" t="str">
        <x:v>Beyond Paradise.docx</x:v>
      </x:c>
      <x:c r="AA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HYPERLINK("https://en.wikipedia.org/wiki/Beyond_Paradise","Open source")</x:f>
        <x:v>HYPERLINK is not implemented. linkLocation=https://en.wikipedia.org/wiki/Beyond_Paradise,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27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0.037037037037037035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tt21161156|nm8214006|father michael</x:v>
      </x:c>
      <x:c r="B39" s="14" t="str">
        <x:v>01</x:v>
      </x:c>
      <x:c r="C39" s="14" t="str">
        <x:v>2023_IMDb_Cast_Lists_Batch_01(2).xlsx</x:v>
      </x:c>
      <x:c r="D39" s="14" t="str">
        <x:v>Beyond Paradise</x:v>
      </x:c>
      <x:c r="E39" s="14" t="n">
        <x:v>38</x:v>
      </x:c>
      <x:c r="F39" s="14" t="str">
        <x:v>Beyond Paradise</x:v>
      </x:c>
      <x:c r="G39" s="14" t="str">
        <x:v>tt21161156</x:v>
      </x:c>
      <x:c r="H39" s="14" t="n">
        <x:v>2023</x:v>
      </x:c>
      <x:c r="I39" s="14" t="n">
        <x:v>2023</x:v>
      </x:c>
      <x:c r="J39" s="14" t="str">
        <x:v>Future Carry-Forward Cohort</x:v>
      </x:c>
      <x:c r="K39" s="14"/>
      <x:c r="L39" s="14" t="str">
        <x:v>Not inherited</x:v>
      </x:c>
      <x:c r="M39" s="15" t="n">
        <x:v>31</x:v>
      </x:c>
      <x:c r="N39" s="14" t="str">
        <x:v>Joe Barnes</x:v>
      </x:c>
      <x:c r="O39" s="14" t="str">
        <x:v>nm8214006</x:v>
      </x:c>
      <x:c r="P39" s="14" t="str">
        <x:v>Father Michael</x:v>
      </x:c>
      <x:c r="Q39" s="15" t="n">
        <x:v>1</x:v>
      </x:c>
      <x:c r="R39" s="14" t="str">
        <x:v>2024</x:v>
      </x:c>
      <x:c r="S39" s="14" t="n">
        <x:v>2024</x:v>
      </x:c>
      <x:c r="T39" s="14" t="n">
        <x:v>2024</x:v>
      </x:c>
      <x:c r="U39" s="14" t="str">
        <x:v>Explicit source first year retained</x:v>
      </x:c>
      <x:c r="V39" s="14" t="str">
        <x:v>Earliest supplied year is 2024.</x:v>
      </x:c>
      <x:c r="W39" s="14"/>
      <x:c r="X39" s="14" t="str">
        <x:v>Carried forward to 2024</x:v>
      </x:c>
      <x:c r="Y39" s="14"/>
      <x:c r="Z39" s="14" t="str">
        <x:v>Beyond Paradise.docx</x:v>
      </x:c>
      <x:c r="AA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HYPERLINK("https://en.wikipedia.org/wiki/Beyond_Paradise","Open source")</x:f>
        <x:v>HYPERLINK is not implemented. linkLocation=https://en.wikipedia.org/wiki/Beyond_Paradise,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27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0.037037037037037035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tt21161156|nm3613746|maisie morgan</x:v>
      </x:c>
      <x:c r="B40" s="14" t="str">
        <x:v>01</x:v>
      </x:c>
      <x:c r="C40" s="14" t="str">
        <x:v>2023_IMDb_Cast_Lists_Batch_01(2).xlsx</x:v>
      </x:c>
      <x:c r="D40" s="14" t="str">
        <x:v>Beyond Paradise</x:v>
      </x:c>
      <x:c r="E40" s="14" t="n">
        <x:v>39</x:v>
      </x:c>
      <x:c r="F40" s="14" t="str">
        <x:v>Beyond Paradise</x:v>
      </x:c>
      <x:c r="G40" s="14" t="str">
        <x:v>tt21161156</x:v>
      </x:c>
      <x:c r="H40" s="14" t="n">
        <x:v>2023</x:v>
      </x:c>
      <x:c r="I40" s="14" t="n">
        <x:v>2023</x:v>
      </x:c>
      <x:c r="J40" s="14" t="str">
        <x:v>Future Carry-Forward Cohort</x:v>
      </x:c>
      <x:c r="K40" s="14"/>
      <x:c r="L40" s="14" t="str">
        <x:v>Not inherited</x:v>
      </x:c>
      <x:c r="M40" s="15" t="n">
        <x:v>32</x:v>
      </x:c>
      <x:c r="N40" s="14" t="str">
        <x:v>Jenny Coverack</x:v>
      </x:c>
      <x:c r="O40" s="14" t="str">
        <x:v>nm3613746</x:v>
      </x:c>
      <x:c r="P40" s="14" t="str">
        <x:v>Maisie Morgan</x:v>
      </x:c>
      <x:c r="Q40" s="15" t="n">
        <x:v>1</x:v>
      </x:c>
      <x:c r="R40" s="14" t="str">
        <x:v>2024</x:v>
      </x:c>
      <x:c r="S40" s="14" t="n">
        <x:v>2024</x:v>
      </x:c>
      <x:c r="T40" s="14" t="n">
        <x:v>2024</x:v>
      </x:c>
      <x:c r="U40" s="14" t="str">
        <x:v>Explicit source first year retained</x:v>
      </x:c>
      <x:c r="V40" s="14" t="str">
        <x:v>Earliest supplied year is 2024.</x:v>
      </x:c>
      <x:c r="W40" s="14"/>
      <x:c r="X40" s="14" t="str">
        <x:v>Carried forward to 2024</x:v>
      </x:c>
      <x:c r="Y40" s="14"/>
      <x:c r="Z40" s="14" t="str">
        <x:v>Beyond Paradise.docx</x:v>
      </x:c>
      <x:c r="AA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HYPERLINK("https://en.wikipedia.org/wiki/Beyond_Paradise","Open source")</x:f>
        <x:v>HYPERLINK is not implemented. linkLocation=https://en.wikipedia.org/wiki/Beyond_Paradise,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27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0.037037037037037035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tt21161156|nm0408550|niamh kirby</x:v>
      </x:c>
      <x:c r="B41" s="14" t="str">
        <x:v>01</x:v>
      </x:c>
      <x:c r="C41" s="14" t="str">
        <x:v>2023_IMDb_Cast_Lists_Batch_01(2).xlsx</x:v>
      </x:c>
      <x:c r="D41" s="14" t="str">
        <x:v>Beyond Paradise</x:v>
      </x:c>
      <x:c r="E41" s="14" t="n">
        <x:v>50</x:v>
      </x:c>
      <x:c r="F41" s="14" t="str">
        <x:v>Beyond Paradise</x:v>
      </x:c>
      <x:c r="G41" s="14" t="str">
        <x:v>tt21161156</x:v>
      </x:c>
      <x:c r="H41" s="14" t="n">
        <x:v>2023</x:v>
      </x:c>
      <x:c r="I41" s="14" t="n">
        <x:v>2023</x:v>
      </x:c>
      <x:c r="J41" s="14" t="str">
        <x:v>Future Carry-Forward Cohort</x:v>
      </x:c>
      <x:c r="K41" s="14"/>
      <x:c r="L41" s="14" t="str">
        <x:v>Not inherited</x:v>
      </x:c>
      <x:c r="M41" s="15" t="n">
        <x:v>43</x:v>
      </x:c>
      <x:c r="N41" s="14" t="str">
        <x:v>Seeta Indrani</x:v>
      </x:c>
      <x:c r="O41" s="14" t="str">
        <x:v>nm0408550</x:v>
      </x:c>
      <x:c r="P41" s="14" t="str">
        <x:v>Niamh Kirby</x:v>
      </x:c>
      <x:c r="Q41" s="15" t="n">
        <x:v>1</x:v>
      </x:c>
      <x:c r="R41" s="14" t="str">
        <x:v>2024</x:v>
      </x:c>
      <x:c r="S41" s="14" t="n">
        <x:v>2024</x:v>
      </x:c>
      <x:c r="T41" s="14" t="n">
        <x:v>2024</x:v>
      </x:c>
      <x:c r="U41" s="14" t="str">
        <x:v>Explicit source first year retained</x:v>
      </x:c>
      <x:c r="V41" s="14" t="str">
        <x:v>Earliest supplied year is 2024.</x:v>
      </x:c>
      <x:c r="W41" s="14"/>
      <x:c r="X41" s="14" t="str">
        <x:v>Carried forward to 2024</x:v>
      </x:c>
      <x:c r="Y41" s="14"/>
      <x:c r="Z41" s="14" t="str">
        <x:v>Beyond Paradise.docx</x:v>
      </x:c>
      <x:c r="AA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HYPERLINK("https://en.wikipedia.org/wiki/Beyond_Paradise","Open source")</x:f>
        <x:v>HYPERLINK is not implemented. linkLocation=https://en.wikipedia.org/wiki/Beyond_Paradise,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27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0.037037037037037035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tt21161156|nm4303058|billy morgan</x:v>
      </x:c>
      <x:c r="B42" s="14" t="str">
        <x:v>01</x:v>
      </x:c>
      <x:c r="C42" s="14" t="str">
        <x:v>2023_IMDb_Cast_Lists_Batch_01(2).xlsx</x:v>
      </x:c>
      <x:c r="D42" s="14" t="str">
        <x:v>Beyond Paradise</x:v>
      </x:c>
      <x:c r="E42" s="14" t="n">
        <x:v>51</x:v>
      </x:c>
      <x:c r="F42" s="14" t="str">
        <x:v>Beyond Paradise</x:v>
      </x:c>
      <x:c r="G42" s="14" t="str">
        <x:v>tt21161156</x:v>
      </x:c>
      <x:c r="H42" s="14" t="n">
        <x:v>2023</x:v>
      </x:c>
      <x:c r="I42" s="14" t="n">
        <x:v>2023</x:v>
      </x:c>
      <x:c r="J42" s="14" t="str">
        <x:v>Future Carry-Forward Cohort</x:v>
      </x:c>
      <x:c r="K42" s="14"/>
      <x:c r="L42" s="14" t="str">
        <x:v>Not inherited</x:v>
      </x:c>
      <x:c r="M42" s="15" t="n">
        <x:v>44</x:v>
      </x:c>
      <x:c r="N42" s="14" t="str">
        <x:v>Harry Long</x:v>
      </x:c>
      <x:c r="O42" s="14" t="str">
        <x:v>nm4303058</x:v>
      </x:c>
      <x:c r="P42" s="14" t="str">
        <x:v>Billy Morgan</x:v>
      </x:c>
      <x:c r="Q42" s="15" t="n">
        <x:v>1</x:v>
      </x:c>
      <x:c r="R42" s="14" t="str">
        <x:v>2024</x:v>
      </x:c>
      <x:c r="S42" s="14" t="n">
        <x:v>2024</x:v>
      </x:c>
      <x:c r="T42" s="14" t="n">
        <x:v>2024</x:v>
      </x:c>
      <x:c r="U42" s="14" t="str">
        <x:v>Explicit source first year retained</x:v>
      </x:c>
      <x:c r="V42" s="14" t="str">
        <x:v>Earliest supplied year is 2024.</x:v>
      </x:c>
      <x:c r="W42" s="14"/>
      <x:c r="X42" s="14" t="str">
        <x:v>Carried forward to 2024</x:v>
      </x:c>
      <x:c r="Y42" s="14"/>
      <x:c r="Z42" s="14" t="str">
        <x:v>Beyond Paradise.docx</x:v>
      </x:c>
      <x:c r="AA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HYPERLINK("https://en.wikipedia.org/wiki/Beyond_Paradise","Open source")</x:f>
        <x:v>HYPERLINK is not implemented. linkLocation=https://en.wikipedia.org/wiki/Beyond_Paradise,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27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0.037037037037037035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tt21161156|nm3739275|colin bensted</x:v>
      </x:c>
      <x:c r="B43" s="14" t="str">
        <x:v>01</x:v>
      </x:c>
      <x:c r="C43" s="14" t="str">
        <x:v>2023_IMDb_Cast_Lists_Batch_01(2).xlsx</x:v>
      </x:c>
      <x:c r="D43" s="14" t="str">
        <x:v>Beyond Paradise</x:v>
      </x:c>
      <x:c r="E43" s="14" t="n">
        <x:v>52</x:v>
      </x:c>
      <x:c r="F43" s="14" t="str">
        <x:v>Beyond Paradise</x:v>
      </x:c>
      <x:c r="G43" s="14" t="str">
        <x:v>tt21161156</x:v>
      </x:c>
      <x:c r="H43" s="14" t="n">
        <x:v>2023</x:v>
      </x:c>
      <x:c r="I43" s="14" t="n">
        <x:v>2023</x:v>
      </x:c>
      <x:c r="J43" s="14" t="str">
        <x:v>Future Carry-Forward Cohort</x:v>
      </x:c>
      <x:c r="K43" s="14"/>
      <x:c r="L43" s="14" t="str">
        <x:v>Not inherited</x:v>
      </x:c>
      <x:c r="M43" s="15" t="n">
        <x:v>45</x:v>
      </x:c>
      <x:c r="N43" s="14" t="str">
        <x:v>Seann Walsh</x:v>
      </x:c>
      <x:c r="O43" s="14" t="str">
        <x:v>nm3739275</x:v>
      </x:c>
      <x:c r="P43" s="14" t="str">
        <x:v>Colin Bensted</x:v>
      </x:c>
      <x:c r="Q43" s="15" t="n">
        <x:v>1</x:v>
      </x:c>
      <x:c r="R43" s="14" t="str">
        <x:v>2024</x:v>
      </x:c>
      <x:c r="S43" s="14" t="n">
        <x:v>2024</x:v>
      </x:c>
      <x:c r="T43" s="14" t="n">
        <x:v>2024</x:v>
      </x:c>
      <x:c r="U43" s="14" t="str">
        <x:v>Explicit source first year retained</x:v>
      </x:c>
      <x:c r="V43" s="14" t="str">
        <x:v>Earliest supplied year is 2024.</x:v>
      </x:c>
      <x:c r="W43" s="14"/>
      <x:c r="X43" s="14" t="str">
        <x:v>Carried forward to 2024</x:v>
      </x:c>
      <x:c r="Y43" s="14"/>
      <x:c r="Z43" s="14" t="str">
        <x:v>Beyond Paradise.docx</x:v>
      </x:c>
      <x:c r="AA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HYPERLINK("https://en.wikipedia.org/wiki/Beyond_Paradise","Open source")</x:f>
        <x:v>HYPERLINK is not implemented. linkLocation=https://en.wikipedia.org/wiki/Beyond_Paradise,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27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0.037037037037037035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tt21161156|nm7313770|mark wisdom</x:v>
      </x:c>
      <x:c r="B44" s="14" t="str">
        <x:v>01</x:v>
      </x:c>
      <x:c r="C44" s="14" t="str">
        <x:v>2023_IMDb_Cast_Lists_Batch_01(2).xlsx</x:v>
      </x:c>
      <x:c r="D44" s="14" t="str">
        <x:v>Beyond Paradise</x:v>
      </x:c>
      <x:c r="E44" s="14" t="n">
        <x:v>53</x:v>
      </x:c>
      <x:c r="F44" s="14" t="str">
        <x:v>Beyond Paradise</x:v>
      </x:c>
      <x:c r="G44" s="14" t="str">
        <x:v>tt21161156</x:v>
      </x:c>
      <x:c r="H44" s="14" t="n">
        <x:v>2023</x:v>
      </x:c>
      <x:c r="I44" s="14" t="n">
        <x:v>2023</x:v>
      </x:c>
      <x:c r="J44" s="14" t="str">
        <x:v>Future Carry-Forward Cohort</x:v>
      </x:c>
      <x:c r="K44" s="14"/>
      <x:c r="L44" s="14" t="str">
        <x:v>Not inherited</x:v>
      </x:c>
      <x:c r="M44" s="15" t="n">
        <x:v>46</x:v>
      </x:c>
      <x:c r="N44" s="14" t="str">
        <x:v>Dewi Wykes</x:v>
      </x:c>
      <x:c r="O44" s="14" t="str">
        <x:v>nm7313770</x:v>
      </x:c>
      <x:c r="P44" s="14" t="str">
        <x:v>Mark Wisdom</x:v>
      </x:c>
      <x:c r="Q44" s="15" t="n">
        <x:v>1</x:v>
      </x:c>
      <x:c r="R44" s="14" t="str">
        <x:v>2024</x:v>
      </x:c>
      <x:c r="S44" s="14" t="n">
        <x:v>2024</x:v>
      </x:c>
      <x:c r="T44" s="14" t="n">
        <x:v>2024</x:v>
      </x:c>
      <x:c r="U44" s="14" t="str">
        <x:v>Explicit source first year retained</x:v>
      </x:c>
      <x:c r="V44" s="14" t="str">
        <x:v>Earliest supplied year is 2024.</x:v>
      </x:c>
      <x:c r="W44" s="14"/>
      <x:c r="X44" s="14" t="str">
        <x:v>Carried forward to 2024</x:v>
      </x:c>
      <x:c r="Y44" s="14"/>
      <x:c r="Z44" s="14" t="str">
        <x:v>Beyond Paradise.docx</x:v>
      </x:c>
      <x:c r="AA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HYPERLINK("https://en.wikipedia.org/wiki/Beyond_Paradise","Open source")</x:f>
        <x:v>HYPERLINK is not implemented. linkLocation=https://en.wikipedia.org/wiki/Beyond_Paradise,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27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0.037037037037037035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tt21161156|nm11272992|roddy</x:v>
      </x:c>
      <x:c r="B45" s="14" t="str">
        <x:v>01</x:v>
      </x:c>
      <x:c r="C45" s="14" t="str">
        <x:v>2023_IMDb_Cast_Lists_Batch_01(2).xlsx</x:v>
      </x:c>
      <x:c r="D45" s="14" t="str">
        <x:v>Beyond Paradise</x:v>
      </x:c>
      <x:c r="E45" s="14" t="n">
        <x:v>54</x:v>
      </x:c>
      <x:c r="F45" s="14" t="str">
        <x:v>Beyond Paradise</x:v>
      </x:c>
      <x:c r="G45" s="14" t="str">
        <x:v>tt21161156</x:v>
      </x:c>
      <x:c r="H45" s="14" t="n">
        <x:v>2023</x:v>
      </x:c>
      <x:c r="I45" s="14" t="n">
        <x:v>2023</x:v>
      </x:c>
      <x:c r="J45" s="14" t="str">
        <x:v>Future Carry-Forward Cohort</x:v>
      </x:c>
      <x:c r="K45" s="14"/>
      <x:c r="L45" s="14" t="str">
        <x:v>Not inherited</x:v>
      </x:c>
      <x:c r="M45" s="15" t="n">
        <x:v>47</x:v>
      </x:c>
      <x:c r="N45" s="14" t="str">
        <x:v>David Olaniregun</x:v>
      </x:c>
      <x:c r="O45" s="14" t="str">
        <x:v>nm11272992</x:v>
      </x:c>
      <x:c r="P45" s="14" t="str">
        <x:v>Roddy</x:v>
      </x:c>
      <x:c r="Q45" s="15" t="n">
        <x:v>1</x:v>
      </x:c>
      <x:c r="R45" s="14" t="str">
        <x:v>2024</x:v>
      </x:c>
      <x:c r="S45" s="14" t="n">
        <x:v>2024</x:v>
      </x:c>
      <x:c r="T45" s="14" t="n">
        <x:v>2024</x:v>
      </x:c>
      <x:c r="U45" s="14" t="str">
        <x:v>Explicit source first year retained</x:v>
      </x:c>
      <x:c r="V45" s="14" t="str">
        <x:v>Earliest supplied year is 2024.</x:v>
      </x:c>
      <x:c r="W45" s="14"/>
      <x:c r="X45" s="14" t="str">
        <x:v>Carried forward to 2024</x:v>
      </x:c>
      <x:c r="Y45" s="14"/>
      <x:c r="Z45" s="14" t="str">
        <x:v>Beyond Paradise.docx</x:v>
      </x:c>
      <x:c r="AA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HYPERLINK("https://en.wikipedia.org/wiki/Beyond_Paradise","Open source")</x:f>
        <x:v>HYPERLINK is not implemented. linkLocation=https://en.wikipedia.org/wiki/Beyond_Paradise,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27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0.037037037037037035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tt21161156|nm1360837|adam morgan</x:v>
      </x:c>
      <x:c r="B46" s="14" t="str">
        <x:v>01</x:v>
      </x:c>
      <x:c r="C46" s="14" t="str">
        <x:v>2023_IMDb_Cast_Lists_Batch_01(2).xlsx</x:v>
      </x:c>
      <x:c r="D46" s="14" t="str">
        <x:v>Beyond Paradise</x:v>
      </x:c>
      <x:c r="E46" s="14" t="n">
        <x:v>60</x:v>
      </x:c>
      <x:c r="F46" s="14" t="str">
        <x:v>Beyond Paradise</x:v>
      </x:c>
      <x:c r="G46" s="14" t="str">
        <x:v>tt21161156</x:v>
      </x:c>
      <x:c r="H46" s="14" t="n">
        <x:v>2023</x:v>
      </x:c>
      <x:c r="I46" s="14" t="n">
        <x:v>2023</x:v>
      </x:c>
      <x:c r="J46" s="14" t="str">
        <x:v>Future Carry-Forward Cohort</x:v>
      </x:c>
      <x:c r="K46" s="14"/>
      <x:c r="L46" s="14" t="str">
        <x:v>Not inherited</x:v>
      </x:c>
      <x:c r="M46" s="15" t="n">
        <x:v>53</x:v>
      </x:c>
      <x:c r="N46" s="14" t="str">
        <x:v>Dan Renton Skinner</x:v>
      </x:c>
      <x:c r="O46" s="14" t="str">
        <x:v>nm1360837</x:v>
      </x:c>
      <x:c r="P46" s="14" t="str">
        <x:v>Adam Morgan</x:v>
      </x:c>
      <x:c r="Q46" s="15" t="n">
        <x:v>1</x:v>
      </x:c>
      <x:c r="R46" s="14" t="str">
        <x:v>2024</x:v>
      </x:c>
      <x:c r="S46" s="14" t="n">
        <x:v>2024</x:v>
      </x:c>
      <x:c r="T46" s="14" t="n">
        <x:v>2024</x:v>
      </x:c>
      <x:c r="U46" s="14" t="str">
        <x:v>Explicit source first year retained</x:v>
      </x:c>
      <x:c r="V46" s="14" t="str">
        <x:v>Earliest supplied year is 2024.</x:v>
      </x:c>
      <x:c r="W46" s="14"/>
      <x:c r="X46" s="14" t="str">
        <x:v>Carried forward to 2024</x:v>
      </x:c>
      <x:c r="Y46" s="14" t="str">
        <x:v>(as Dan Skinner)</x:v>
      </x:c>
      <x:c r="Z46" s="14" t="str">
        <x:v>Beyond Paradise.docx</x:v>
      </x:c>
      <x:c r="AA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HYPERLINK("https://en.wikipedia.org/wiki/Beyond_Paradise","Open source")</x:f>
        <x:v>HYPERLINK is not implemented. linkLocation=https://en.wikipedia.org/wiki/Beyond_Paradise,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27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0.037037037037037035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tt21161156|nm0012233|linda holland</x:v>
      </x:c>
      <x:c r="B47" s="14" t="str">
        <x:v>01</x:v>
      </x:c>
      <x:c r="C47" s="14" t="str">
        <x:v>2023_IMDb_Cast_Lists_Batch_01(2).xlsx</x:v>
      </x:c>
      <x:c r="D47" s="14" t="str">
        <x:v>Beyond Paradise</x:v>
      </x:c>
      <x:c r="E47" s="14" t="n">
        <x:v>61</x:v>
      </x:c>
      <x:c r="F47" s="14" t="str">
        <x:v>Beyond Paradise</x:v>
      </x:c>
      <x:c r="G47" s="14" t="str">
        <x:v>tt21161156</x:v>
      </x:c>
      <x:c r="H47" s="14" t="n">
        <x:v>2023</x:v>
      </x:c>
      <x:c r="I47" s="14" t="n">
        <x:v>2023</x:v>
      </x:c>
      <x:c r="J47" s="14" t="str">
        <x:v>Future Carry-Forward Cohort</x:v>
      </x:c>
      <x:c r="K47" s="14"/>
      <x:c r="L47" s="14" t="str">
        <x:v>Not inherited</x:v>
      </x:c>
      <x:c r="M47" s="15" t="n">
        <x:v>54</x:v>
      </x:c>
      <x:c r="N47" s="14" t="str">
        <x:v>Rosalind Adler</x:v>
      </x:c>
      <x:c r="O47" s="14" t="str">
        <x:v>nm0012233</x:v>
      </x:c>
      <x:c r="P47" s="14" t="str">
        <x:v>Linda Holland</x:v>
      </x:c>
      <x:c r="Q47" s="15" t="n">
        <x:v>1</x:v>
      </x:c>
      <x:c r="R47" s="14" t="str">
        <x:v>2024</x:v>
      </x:c>
      <x:c r="S47" s="14" t="n">
        <x:v>2024</x:v>
      </x:c>
      <x:c r="T47" s="14" t="n">
        <x:v>2024</x:v>
      </x:c>
      <x:c r="U47" s="14" t="str">
        <x:v>Explicit source first year retained</x:v>
      </x:c>
      <x:c r="V47" s="14" t="str">
        <x:v>Earliest supplied year is 2024.</x:v>
      </x:c>
      <x:c r="W47" s="14"/>
      <x:c r="X47" s="14" t="str">
        <x:v>Carried forward to 2024</x:v>
      </x:c>
      <x:c r="Y47" s="14"/>
      <x:c r="Z47" s="14" t="str">
        <x:v>Beyond Paradise.docx</x:v>
      </x:c>
      <x:c r="AA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HYPERLINK("https://en.wikipedia.org/wiki/Beyond_Paradise","Open source")</x:f>
        <x:v>HYPERLINK is not implemented. linkLocation=https://en.wikipedia.org/wiki/Beyond_Paradise,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27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0.037037037037037035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tt21161156|nm4309809|fiona bensted</x:v>
      </x:c>
      <x:c r="B48" s="14" t="str">
        <x:v>01</x:v>
      </x:c>
      <x:c r="C48" s="14" t="str">
        <x:v>2023_IMDb_Cast_Lists_Batch_01(2).xlsx</x:v>
      </x:c>
      <x:c r="D48" s="14" t="str">
        <x:v>Beyond Paradise</x:v>
      </x:c>
      <x:c r="E48" s="14" t="n">
        <x:v>67</x:v>
      </x:c>
      <x:c r="F48" s="14" t="str">
        <x:v>Beyond Paradise</x:v>
      </x:c>
      <x:c r="G48" s="14" t="str">
        <x:v>tt21161156</x:v>
      </x:c>
      <x:c r="H48" s="14" t="n">
        <x:v>2023</x:v>
      </x:c>
      <x:c r="I48" s="14" t="n">
        <x:v>2023</x:v>
      </x:c>
      <x:c r="J48" s="14" t="str">
        <x:v>Future Carry-Forward Cohort</x:v>
      </x:c>
      <x:c r="K48" s="14"/>
      <x:c r="L48" s="14" t="str">
        <x:v>Not inherited</x:v>
      </x:c>
      <x:c r="M48" s="15" t="n">
        <x:v>60</x:v>
      </x:c>
      <x:c r="N48" s="14" t="str">
        <x:v>Tamla Kari</x:v>
      </x:c>
      <x:c r="O48" s="14" t="str">
        <x:v>nm4309809</x:v>
      </x:c>
      <x:c r="P48" s="14" t="str">
        <x:v>Fiona Bensted</x:v>
      </x:c>
      <x:c r="Q48" s="15" t="n">
        <x:v>1</x:v>
      </x:c>
      <x:c r="R48" s="14" t="str">
        <x:v>2024</x:v>
      </x:c>
      <x:c r="S48" s="14" t="n">
        <x:v>2024</x:v>
      </x:c>
      <x:c r="T48" s="14" t="n">
        <x:v>2024</x:v>
      </x:c>
      <x:c r="U48" s="14" t="str">
        <x:v>Explicit source first year retained</x:v>
      </x:c>
      <x:c r="V48" s="14" t="str">
        <x:v>Earliest supplied year is 2024.</x:v>
      </x:c>
      <x:c r="W48" s="14"/>
      <x:c r="X48" s="14" t="str">
        <x:v>Carried forward to 2024</x:v>
      </x:c>
      <x:c r="Y48" s="14"/>
      <x:c r="Z48" s="14" t="str">
        <x:v>Beyond Paradise.docx</x:v>
      </x:c>
      <x:c r="AA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HYPERLINK("https://en.wikipedia.org/wiki/Beyond_Paradise","Open source")</x:f>
        <x:v>HYPERLINK is not implemented. linkLocation=https://en.wikipedia.org/wiki/Beyond_Paradise,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27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0.037037037037037035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tt21161156|nm2057992|kate potts</x:v>
      </x:c>
      <x:c r="B49" s="14" t="str">
        <x:v>01</x:v>
      </x:c>
      <x:c r="C49" s="14" t="str">
        <x:v>2023_IMDb_Cast_Lists_Batch_01(2).xlsx</x:v>
      </x:c>
      <x:c r="D49" s="14" t="str">
        <x:v>Beyond Paradise</x:v>
      </x:c>
      <x:c r="E49" s="14" t="n">
        <x:v>68</x:v>
      </x:c>
      <x:c r="F49" s="14" t="str">
        <x:v>Beyond Paradise</x:v>
      </x:c>
      <x:c r="G49" s="14" t="str">
        <x:v>tt21161156</x:v>
      </x:c>
      <x:c r="H49" s="14" t="n">
        <x:v>2023</x:v>
      </x:c>
      <x:c r="I49" s="14" t="n">
        <x:v>2023</x:v>
      </x:c>
      <x:c r="J49" s="14" t="str">
        <x:v>Future Carry-Forward Cohort</x:v>
      </x:c>
      <x:c r="K49" s="14"/>
      <x:c r="L49" s="14" t="str">
        <x:v>Not inherited</x:v>
      </x:c>
      <x:c r="M49" s="15" t="n">
        <x:v>61</x:v>
      </x:c>
      <x:c r="N49" s="14" t="str">
        <x:v>Abi Clarke</x:v>
      </x:c>
      <x:c r="O49" s="14" t="str">
        <x:v>nm2057992</x:v>
      </x:c>
      <x:c r="P49" s="14" t="str">
        <x:v>Kate Potts</x:v>
      </x:c>
      <x:c r="Q49" s="15" t="n">
        <x:v>1</x:v>
      </x:c>
      <x:c r="R49" s="14" t="str">
        <x:v>2024</x:v>
      </x:c>
      <x:c r="S49" s="14" t="n">
        <x:v>2024</x:v>
      </x:c>
      <x:c r="T49" s="14" t="n">
        <x:v>2024</x:v>
      </x:c>
      <x:c r="U49" s="14" t="str">
        <x:v>Explicit source first year retained</x:v>
      </x:c>
      <x:c r="V49" s="14" t="str">
        <x:v>Earliest supplied year is 2024.</x:v>
      </x:c>
      <x:c r="W49" s="14"/>
      <x:c r="X49" s="14" t="str">
        <x:v>Carried forward to 2024</x:v>
      </x:c>
      <x:c r="Y49" s="14"/>
      <x:c r="Z49" s="14" t="str">
        <x:v>Beyond Paradise.docx</x:v>
      </x:c>
      <x:c r="AA4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BBC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HYPERLINK("https://en.wikipedia.org/wiki/Beyond_Paradise","Open source")</x:f>
        <x:v>HYPERLINK is not implemented. linkLocation=https://en.wikipedia.org/wiki/Beyond_Paradise, friendlyName=Open source</x:v>
      </x:c>
      <x:c r="AN49" s="14" t="str">
        <x:v>BBC public-service commission</x:v>
      </x:c>
      <x:c r="AO49" s="14" t="str">
        <x:v>Yes</x:v>
      </x:c>
      <x:c r="AP49" s="14" t="str">
        <x:v>Direct BBC public-service scope</x:v>
      </x:c>
      <x:c r="AQ49" s="14" t="str">
        <x:v>Yes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27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1</x:v>
      </x:c>
      <x:c r="BS49" s="16" t="n">
        <x:v>0.037037037037037035</x:v>
      </x:c>
      <x:c r="BT49" s="14" t="str">
        <x:v>One episode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tt21161156|nm7963853|sam morgan</x:v>
      </x:c>
      <x:c r="B50" s="14" t="str">
        <x:v>01</x:v>
      </x:c>
      <x:c r="C50" s="14" t="str">
        <x:v>2023_IMDb_Cast_Lists_Batch_01(2).xlsx</x:v>
      </x:c>
      <x:c r="D50" s="14" t="str">
        <x:v>Beyond Paradise</x:v>
      </x:c>
      <x:c r="E50" s="14" t="n">
        <x:v>69</x:v>
      </x:c>
      <x:c r="F50" s="14" t="str">
        <x:v>Beyond Paradise</x:v>
      </x:c>
      <x:c r="G50" s="14" t="str">
        <x:v>tt21161156</x:v>
      </x:c>
      <x:c r="H50" s="14" t="n">
        <x:v>2023</x:v>
      </x:c>
      <x:c r="I50" s="14" t="n">
        <x:v>2023</x:v>
      </x:c>
      <x:c r="J50" s="14" t="str">
        <x:v>Future Carry-Forward Cohort</x:v>
      </x:c>
      <x:c r="K50" s="14"/>
      <x:c r="L50" s="14" t="str">
        <x:v>Not inherited</x:v>
      </x:c>
      <x:c r="M50" s="15" t="n">
        <x:v>62</x:v>
      </x:c>
      <x:c r="N50" s="14" t="str">
        <x:v>Louis Martin</x:v>
      </x:c>
      <x:c r="O50" s="14" t="str">
        <x:v>nm7963853</x:v>
      </x:c>
      <x:c r="P50" s="14" t="str">
        <x:v>Sam Morgan</x:v>
      </x:c>
      <x:c r="Q50" s="15" t="n">
        <x:v>1</x:v>
      </x:c>
      <x:c r="R50" s="14" t="str">
        <x:v>2024</x:v>
      </x:c>
      <x:c r="S50" s="14" t="n">
        <x:v>2024</x:v>
      </x:c>
      <x:c r="T50" s="14" t="n">
        <x:v>2024</x:v>
      </x:c>
      <x:c r="U50" s="14" t="str">
        <x:v>Explicit source first year retained</x:v>
      </x:c>
      <x:c r="V50" s="14" t="str">
        <x:v>Earliest supplied year is 2024.</x:v>
      </x:c>
      <x:c r="W50" s="14"/>
      <x:c r="X50" s="14" t="str">
        <x:v>Carried forward to 2024</x:v>
      </x:c>
      <x:c r="Y50" s="14"/>
      <x:c r="Z50" s="14" t="str">
        <x:v>Beyond Paradise.docx</x:v>
      </x:c>
      <x:c r="AA5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HYPERLINK("https://en.wikipedia.org/wiki/Beyond_Paradise","Open source")</x:f>
        <x:v>HYPERLINK is not implemented. linkLocation=https://en.wikipedia.org/wiki/Beyond_Paradise, friendlyName=Open source</x:v>
      </x:c>
      <x:c r="AN50" s="14" t="str">
        <x:v>BBC public-service commission</x:v>
      </x:c>
      <x:c r="AO50" s="14" t="str">
        <x:v>Yes</x:v>
      </x:c>
      <x:c r="AP50" s="14" t="str">
        <x:v>Direct BBC public-service scope</x:v>
      </x:c>
      <x:c r="AQ50" s="14" t="str">
        <x:v>Yes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27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1</x:v>
      </x:c>
      <x:c r="BS50" s="16" t="n">
        <x:v>0.037037037037037035</x:v>
      </x:c>
      <x:c r="BT50" s="14" t="str">
        <x:v>One episode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tt21161156|nm0916073|jaime martins</x:v>
      </x:c>
      <x:c r="B51" s="14" t="str">
        <x:v>01</x:v>
      </x:c>
      <x:c r="C51" s="14" t="str">
        <x:v>2023_IMDb_Cast_Lists_Batch_01(2).xlsx</x:v>
      </x:c>
      <x:c r="D51" s="14" t="str">
        <x:v>Beyond Paradise</x:v>
      </x:c>
      <x:c r="E51" s="14" t="n">
        <x:v>75</x:v>
      </x:c>
      <x:c r="F51" s="14" t="str">
        <x:v>Beyond Paradise</x:v>
      </x:c>
      <x:c r="G51" s="14" t="str">
        <x:v>tt21161156</x:v>
      </x:c>
      <x:c r="H51" s="14" t="n">
        <x:v>2023</x:v>
      </x:c>
      <x:c r="I51" s="14" t="n">
        <x:v>2023</x:v>
      </x:c>
      <x:c r="J51" s="14" t="str">
        <x:v>Future Carry-Forward Cohort</x:v>
      </x:c>
      <x:c r="K51" s="14"/>
      <x:c r="L51" s="14" t="str">
        <x:v>Not inherited</x:v>
      </x:c>
      <x:c r="M51" s="15" t="n">
        <x:v>68</x:v>
      </x:c>
      <x:c r="N51" s="14" t="str">
        <x:v>Danny Webb</x:v>
      </x:c>
      <x:c r="O51" s="14" t="str">
        <x:v>nm0916073</x:v>
      </x:c>
      <x:c r="P51" s="14" t="str">
        <x:v>Jaime Martins</x:v>
      </x:c>
      <x:c r="Q51" s="15" t="n">
        <x:v>1</x:v>
      </x:c>
      <x:c r="R51" s="14" t="str">
        <x:v>2024</x:v>
      </x:c>
      <x:c r="S51" s="14" t="n">
        <x:v>2024</x:v>
      </x:c>
      <x:c r="T51" s="14" t="n">
        <x:v>2024</x:v>
      </x:c>
      <x:c r="U51" s="14" t="str">
        <x:v>Explicit source first year retained</x:v>
      </x:c>
      <x:c r="V51" s="14" t="str">
        <x:v>Earliest supplied year is 2024.</x:v>
      </x:c>
      <x:c r="W51" s="14"/>
      <x:c r="X51" s="14" t="str">
        <x:v>Carried forward to 2024</x:v>
      </x:c>
      <x:c r="Y51" s="14"/>
      <x:c r="Z51" s="14" t="str">
        <x:v>Beyond Paradise.docx</x:v>
      </x:c>
      <x:c r="AA5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BBC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HYPERLINK("https://en.wikipedia.org/wiki/Beyond_Paradise","Open source")</x:f>
        <x:v>HYPERLINK is not implemented. linkLocation=https://en.wikipedia.org/wiki/Beyond_Paradise, friendlyName=Open source</x:v>
      </x:c>
      <x:c r="AN51" s="14" t="str">
        <x:v>BBC public-service commission</x:v>
      </x:c>
      <x:c r="AO51" s="14" t="str">
        <x:v>Yes</x:v>
      </x:c>
      <x:c r="AP51" s="14" t="str">
        <x:v>Direct BBC public-service scope</x:v>
      </x:c>
      <x:c r="AQ51" s="14" t="str">
        <x:v>Yes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27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0.037037037037037035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tt21161156|nm1750924|george harris</x:v>
      </x:c>
      <x:c r="B52" s="14" t="str">
        <x:v>01</x:v>
      </x:c>
      <x:c r="C52" s="14" t="str">
        <x:v>2023_IMDb_Cast_Lists_Batch_01(2).xlsx</x:v>
      </x:c>
      <x:c r="D52" s="14" t="str">
        <x:v>Beyond Paradise</x:v>
      </x:c>
      <x:c r="E52" s="14" t="n">
        <x:v>76</x:v>
      </x:c>
      <x:c r="F52" s="14" t="str">
        <x:v>Beyond Paradise</x:v>
      </x:c>
      <x:c r="G52" s="14" t="str">
        <x:v>tt21161156</x:v>
      </x:c>
      <x:c r="H52" s="14" t="n">
        <x:v>2023</x:v>
      </x:c>
      <x:c r="I52" s="14" t="n">
        <x:v>2023</x:v>
      </x:c>
      <x:c r="J52" s="14" t="str">
        <x:v>Future Carry-Forward Cohort</x:v>
      </x:c>
      <x:c r="K52" s="14"/>
      <x:c r="L52" s="14" t="str">
        <x:v>Not inherited</x:v>
      </x:c>
      <x:c r="M52" s="15" t="n">
        <x:v>69</x:v>
      </x:c>
      <x:c r="N52" s="14" t="str">
        <x:v>Peter Landi</x:v>
      </x:c>
      <x:c r="O52" s="14" t="str">
        <x:v>nm1750924</x:v>
      </x:c>
      <x:c r="P52" s="14" t="str">
        <x:v>George Harris</x:v>
      </x:c>
      <x:c r="Q52" s="15" t="n">
        <x:v>1</x:v>
      </x:c>
      <x:c r="R52" s="14" t="str">
        <x:v>2024</x:v>
      </x:c>
      <x:c r="S52" s="14" t="n">
        <x:v>2024</x:v>
      </x:c>
      <x:c r="T52" s="14" t="n">
        <x:v>2024</x:v>
      </x:c>
      <x:c r="U52" s="14" t="str">
        <x:v>Explicit source first year retained</x:v>
      </x:c>
      <x:c r="V52" s="14" t="str">
        <x:v>Earliest supplied year is 2024.</x:v>
      </x:c>
      <x:c r="W52" s="14"/>
      <x:c r="X52" s="14" t="str">
        <x:v>Carried forward to 2024</x:v>
      </x:c>
      <x:c r="Y52" s="14"/>
      <x:c r="Z52" s="14" t="str">
        <x:v>Beyond Paradise.docx</x:v>
      </x:c>
      <x:c r="AA5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BBC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HYPERLINK("https://en.wikipedia.org/wiki/Beyond_Paradise","Open source")</x:f>
        <x:v>HYPERLINK is not implemented. linkLocation=https://en.wikipedia.org/wiki/Beyond_Paradise, friendlyName=Open source</x:v>
      </x:c>
      <x:c r="AN52" s="14" t="str">
        <x:v>BBC public-service commission</x:v>
      </x:c>
      <x:c r="AO52" s="14" t="str">
        <x:v>Yes</x:v>
      </x:c>
      <x:c r="AP52" s="14" t="str">
        <x:v>Direct BBC public-service scope</x:v>
      </x:c>
      <x:c r="AQ52" s="14" t="str">
        <x:v>Yes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27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0.037037037037037035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tt21161156|nm0283912|paul yellen</x:v>
      </x:c>
      <x:c r="B53" s="14" t="str">
        <x:v>01</x:v>
      </x:c>
      <x:c r="C53" s="14" t="str">
        <x:v>2023_IMDb_Cast_Lists_Batch_01(2).xlsx</x:v>
      </x:c>
      <x:c r="D53" s="14" t="str">
        <x:v>Beyond Paradise</x:v>
      </x:c>
      <x:c r="E53" s="14" t="n">
        <x:v>81</x:v>
      </x:c>
      <x:c r="F53" s="14" t="str">
        <x:v>Beyond Paradise</x:v>
      </x:c>
      <x:c r="G53" s="14" t="str">
        <x:v>tt21161156</x:v>
      </x:c>
      <x:c r="H53" s="14" t="n">
        <x:v>2023</x:v>
      </x:c>
      <x:c r="I53" s="14" t="n">
        <x:v>2023</x:v>
      </x:c>
      <x:c r="J53" s="14" t="str">
        <x:v>Future Carry-Forward Cohort</x:v>
      </x:c>
      <x:c r="K53" s="14"/>
      <x:c r="L53" s="14" t="str">
        <x:v>Not inherited</x:v>
      </x:c>
      <x:c r="M53" s="15" t="n">
        <x:v>74</x:v>
      </x:c>
      <x:c r="N53" s="14" t="str">
        <x:v>Adam Fogerty</x:v>
      </x:c>
      <x:c r="O53" s="14" t="str">
        <x:v>nm0283912</x:v>
      </x:c>
      <x:c r="P53" s="14" t="str">
        <x:v>Paul Yellen</x:v>
      </x:c>
      <x:c r="Q53" s="15" t="n">
        <x:v>1</x:v>
      </x:c>
      <x:c r="R53" s="14" t="str">
        <x:v>2024</x:v>
      </x:c>
      <x:c r="S53" s="14" t="n">
        <x:v>2024</x:v>
      </x:c>
      <x:c r="T53" s="14" t="n">
        <x:v>2024</x:v>
      </x:c>
      <x:c r="U53" s="14" t="str">
        <x:v>Explicit source first year retained</x:v>
      </x:c>
      <x:c r="V53" s="14" t="str">
        <x:v>Earliest supplied year is 2024.</x:v>
      </x:c>
      <x:c r="W53" s="14"/>
      <x:c r="X53" s="14" t="str">
        <x:v>Carried forward to 2024</x:v>
      </x:c>
      <x:c r="Y53" s="14"/>
      <x:c r="Z53" s="14" t="str">
        <x:v>Beyond Paradise.docx</x:v>
      </x:c>
      <x:c r="AA5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BBC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HYPERLINK("https://en.wikipedia.org/wiki/Beyond_Paradise","Open source")</x:f>
        <x:v>HYPERLINK is not implemented. linkLocation=https://en.wikipedia.org/wiki/Beyond_Paradise, friendlyName=Open source</x:v>
      </x:c>
      <x:c r="AN53" s="14" t="str">
        <x:v>BBC public-service commission</x:v>
      </x:c>
      <x:c r="AO53" s="14" t="str">
        <x:v>Yes</x:v>
      </x:c>
      <x:c r="AP53" s="14" t="str">
        <x:v>Direct BBC public-service scope</x:v>
      </x:c>
      <x:c r="AQ53" s="14" t="str">
        <x:v>Yes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27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0.037037037037037035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tt21161156|nm0084107|mike moss</x:v>
      </x:c>
      <x:c r="B54" s="14" t="str">
        <x:v>01</x:v>
      </x:c>
      <x:c r="C54" s="14" t="str">
        <x:v>2023_IMDb_Cast_Lists_Batch_01(2).xlsx</x:v>
      </x:c>
      <x:c r="D54" s="14" t="str">
        <x:v>Beyond Paradise</x:v>
      </x:c>
      <x:c r="E54" s="14" t="n">
        <x:v>86</x:v>
      </x:c>
      <x:c r="F54" s="14" t="str">
        <x:v>Beyond Paradise</x:v>
      </x:c>
      <x:c r="G54" s="14" t="str">
        <x:v>tt21161156</x:v>
      </x:c>
      <x:c r="H54" s="14" t="n">
        <x:v>2023</x:v>
      </x:c>
      <x:c r="I54" s="14" t="n">
        <x:v>2023</x:v>
      </x:c>
      <x:c r="J54" s="14" t="str">
        <x:v>Future Carry-Forward Cohort</x:v>
      </x:c>
      <x:c r="K54" s="14"/>
      <x:c r="L54" s="14" t="str">
        <x:v>Not inherited</x:v>
      </x:c>
      <x:c r="M54" s="15" t="n">
        <x:v>79</x:v>
      </x:c>
      <x:c r="N54" s="14" t="str">
        <x:v>Kevin Bishop</x:v>
      </x:c>
      <x:c r="O54" s="14" t="str">
        <x:v>nm0084107</x:v>
      </x:c>
      <x:c r="P54" s="14" t="str">
        <x:v>Mike Moss</x:v>
      </x:c>
      <x:c r="Q54" s="15" t="n">
        <x:v>1</x:v>
      </x:c>
      <x:c r="R54" s="14" t="str">
        <x:v>2024</x:v>
      </x:c>
      <x:c r="S54" s="14" t="n">
        <x:v>2024</x:v>
      </x:c>
      <x:c r="T54" s="14" t="n">
        <x:v>2024</x:v>
      </x:c>
      <x:c r="U54" s="14" t="str">
        <x:v>Explicit source first year retained</x:v>
      </x:c>
      <x:c r="V54" s="14" t="str">
        <x:v>Earliest supplied year is 2024.</x:v>
      </x:c>
      <x:c r="W54" s="14"/>
      <x:c r="X54" s="14" t="str">
        <x:v>Carried forward to 2024</x:v>
      </x:c>
      <x:c r="Y54" s="14"/>
      <x:c r="Z54" s="14" t="str">
        <x:v>Beyond Paradise.docx</x:v>
      </x:c>
      <x:c r="AA5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BBC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HYPERLINK("https://en.wikipedia.org/wiki/Beyond_Paradise","Open source")</x:f>
        <x:v>HYPERLINK is not implemented. linkLocation=https://en.wikipedia.org/wiki/Beyond_Paradise, friendlyName=Open source</x:v>
      </x:c>
      <x:c r="AN54" s="14" t="str">
        <x:v>BBC public-service commission</x:v>
      </x:c>
      <x:c r="AO54" s="14" t="str">
        <x:v>Yes</x:v>
      </x:c>
      <x:c r="AP54" s="14" t="str">
        <x:v>Direct BBC public-service scope</x:v>
      </x:c>
      <x:c r="AQ54" s="14" t="str">
        <x:v>Yes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27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0.037037037037037035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tt21161156|nm2418097|vivienne bishfield</x:v>
      </x:c>
      <x:c r="B55" s="14" t="str">
        <x:v>01</x:v>
      </x:c>
      <x:c r="C55" s="14" t="str">
        <x:v>2023_IMDb_Cast_Lists_Batch_01(2).xlsx</x:v>
      </x:c>
      <x:c r="D55" s="14" t="str">
        <x:v>Beyond Paradise</x:v>
      </x:c>
      <x:c r="E55" s="14" t="n">
        <x:v>87</x:v>
      </x:c>
      <x:c r="F55" s="14" t="str">
        <x:v>Beyond Paradise</x:v>
      </x:c>
      <x:c r="G55" s="14" t="str">
        <x:v>tt21161156</x:v>
      </x:c>
      <x:c r="H55" s="14" t="n">
        <x:v>2023</x:v>
      </x:c>
      <x:c r="I55" s="14" t="n">
        <x:v>2023</x:v>
      </x:c>
      <x:c r="J55" s="14" t="str">
        <x:v>Future Carry-Forward Cohort</x:v>
      </x:c>
      <x:c r="K55" s="14"/>
      <x:c r="L55" s="14" t="str">
        <x:v>Not inherited</x:v>
      </x:c>
      <x:c r="M55" s="15" t="n">
        <x:v>80</x:v>
      </x:c>
      <x:c r="N55" s="14" t="str">
        <x:v>Anna Crilly</x:v>
      </x:c>
      <x:c r="O55" s="14" t="str">
        <x:v>nm2418097</x:v>
      </x:c>
      <x:c r="P55" s="14" t="str">
        <x:v>Vivienne Bishfield</x:v>
      </x:c>
      <x:c r="Q55" s="15" t="n">
        <x:v>1</x:v>
      </x:c>
      <x:c r="R55" s="14" t="str">
        <x:v>2024</x:v>
      </x:c>
      <x:c r="S55" s="14" t="n">
        <x:v>2024</x:v>
      </x:c>
      <x:c r="T55" s="14" t="n">
        <x:v>2024</x:v>
      </x:c>
      <x:c r="U55" s="14" t="str">
        <x:v>Explicit source first year retained</x:v>
      </x:c>
      <x:c r="V55" s="14" t="str">
        <x:v>Earliest supplied year is 2024.</x:v>
      </x:c>
      <x:c r="W55" s="14"/>
      <x:c r="X55" s="14" t="str">
        <x:v>Carried forward to 2024</x:v>
      </x:c>
      <x:c r="Y55" s="14"/>
      <x:c r="Z55" s="14" t="str">
        <x:v>Beyond Paradise.docx</x:v>
      </x:c>
      <x:c r="AA5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BBC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HYPERLINK("https://en.wikipedia.org/wiki/Beyond_Paradise","Open source")</x:f>
        <x:v>HYPERLINK is not implemented. linkLocation=https://en.wikipedia.org/wiki/Beyond_Paradise, friendlyName=Open source</x:v>
      </x:c>
      <x:c r="AN55" s="14" t="str">
        <x:v>BBC public-service commission</x:v>
      </x:c>
      <x:c r="AO55" s="14" t="str">
        <x:v>Yes</x:v>
      </x:c>
      <x:c r="AP55" s="14" t="str">
        <x:v>Direct BBC public-service scope</x:v>
      </x:c>
      <x:c r="AQ55" s="14" t="str">
        <x:v>Yes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27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0.037037037037037035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tt21161156|nm2631544|claire moss</x:v>
      </x:c>
      <x:c r="B56" s="14" t="str">
        <x:v>01</x:v>
      </x:c>
      <x:c r="C56" s="14" t="str">
        <x:v>2023_IMDb_Cast_Lists_Batch_01(2).xlsx</x:v>
      </x:c>
      <x:c r="D56" s="14" t="str">
        <x:v>Beyond Paradise</x:v>
      </x:c>
      <x:c r="E56" s="14" t="n">
        <x:v>102</x:v>
      </x:c>
      <x:c r="F56" s="14" t="str">
        <x:v>Beyond Paradise</x:v>
      </x:c>
      <x:c r="G56" s="14" t="str">
        <x:v>tt21161156</x:v>
      </x:c>
      <x:c r="H56" s="14" t="n">
        <x:v>2023</x:v>
      </x:c>
      <x:c r="I56" s="14" t="n">
        <x:v>2023</x:v>
      </x:c>
      <x:c r="J56" s="14" t="str">
        <x:v>Future Carry-Forward Cohort</x:v>
      </x:c>
      <x:c r="K56" s="14"/>
      <x:c r="L56" s="14" t="str">
        <x:v>Not inherited</x:v>
      </x:c>
      <x:c r="M56" s="15" t="n">
        <x:v>95</x:v>
      </x:c>
      <x:c r="N56" s="14" t="str">
        <x:v>Cariad Lloyd</x:v>
      </x:c>
      <x:c r="O56" s="14" t="str">
        <x:v>nm2631544</x:v>
      </x:c>
      <x:c r="P56" s="14" t="str">
        <x:v>Claire Moss</x:v>
      </x:c>
      <x:c r="Q56" s="15" t="n">
        <x:v>1</x:v>
      </x:c>
      <x:c r="R56" s="14" t="str">
        <x:v>2024</x:v>
      </x:c>
      <x:c r="S56" s="14" t="n">
        <x:v>2024</x:v>
      </x:c>
      <x:c r="T56" s="14" t="n">
        <x:v>2024</x:v>
      </x:c>
      <x:c r="U56" s="14" t="str">
        <x:v>Explicit source first year retained</x:v>
      </x:c>
      <x:c r="V56" s="14" t="str">
        <x:v>Earliest supplied year is 2024.</x:v>
      </x:c>
      <x:c r="W56" s="14"/>
      <x:c r="X56" s="14" t="str">
        <x:v>Carried forward to 2024</x:v>
      </x:c>
      <x:c r="Y56" s="14"/>
      <x:c r="Z56" s="14" t="str">
        <x:v>Beyond Paradise.docx</x:v>
      </x:c>
      <x:c r="AA5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BBC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HYPERLINK("https://en.wikipedia.org/wiki/Beyond_Paradise","Open source")</x:f>
        <x:v>HYPERLINK is not implemented. linkLocation=https://en.wikipedia.org/wiki/Beyond_Paradise, friendlyName=Open source</x:v>
      </x:c>
      <x:c r="AN56" s="14" t="str">
        <x:v>BBC public-service commission</x:v>
      </x:c>
      <x:c r="AO56" s="14" t="str">
        <x:v>Yes</x:v>
      </x:c>
      <x:c r="AP56" s="14" t="str">
        <x:v>Direct BBC public-service scope</x:v>
      </x:c>
      <x:c r="AQ56" s="14" t="str">
        <x:v>Yes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27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0.037037037037037035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tt21161156|nm5811763|sandy reynolds</x:v>
      </x:c>
      <x:c r="B57" s="14" t="str">
        <x:v>01</x:v>
      </x:c>
      <x:c r="C57" s="14" t="str">
        <x:v>2023_IMDb_Cast_Lists_Batch_01(2).xlsx</x:v>
      </x:c>
      <x:c r="D57" s="14" t="str">
        <x:v>Beyond Paradise</x:v>
      </x:c>
      <x:c r="E57" s="14" t="n">
        <x:v>103</x:v>
      </x:c>
      <x:c r="F57" s="14" t="str">
        <x:v>Beyond Paradise</x:v>
      </x:c>
      <x:c r="G57" s="14" t="str">
        <x:v>tt21161156</x:v>
      </x:c>
      <x:c r="H57" s="14" t="n">
        <x:v>2023</x:v>
      </x:c>
      <x:c r="I57" s="14" t="n">
        <x:v>2023</x:v>
      </x:c>
      <x:c r="J57" s="14" t="str">
        <x:v>Future Carry-Forward Cohort</x:v>
      </x:c>
      <x:c r="K57" s="14"/>
      <x:c r="L57" s="14" t="str">
        <x:v>Not inherited</x:v>
      </x:c>
      <x:c r="M57" s="15" t="n">
        <x:v>96</x:v>
      </x:c>
      <x:c r="N57" s="14" t="str">
        <x:v>Jayde Adams</x:v>
      </x:c>
      <x:c r="O57" s="14" t="str">
        <x:v>nm5811763</x:v>
      </x:c>
      <x:c r="P57" s="14" t="str">
        <x:v>Sandy Reynolds</x:v>
      </x:c>
      <x:c r="Q57" s="15" t="n">
        <x:v>1</x:v>
      </x:c>
      <x:c r="R57" s="14" t="str">
        <x:v>2024</x:v>
      </x:c>
      <x:c r="S57" s="14" t="n">
        <x:v>2024</x:v>
      </x:c>
      <x:c r="T57" s="14" t="n">
        <x:v>2024</x:v>
      </x:c>
      <x:c r="U57" s="14" t="str">
        <x:v>Explicit source first year retained</x:v>
      </x:c>
      <x:c r="V57" s="14" t="str">
        <x:v>Earliest supplied year is 2024.</x:v>
      </x:c>
      <x:c r="W57" s="14"/>
      <x:c r="X57" s="14" t="str">
        <x:v>Carried forward to 2024</x:v>
      </x:c>
      <x:c r="Y57" s="14"/>
      <x:c r="Z57" s="14" t="str">
        <x:v>Beyond Paradise.docx</x:v>
      </x:c>
      <x:c r="AA5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BBC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HYPERLINK("https://en.wikipedia.org/wiki/Beyond_Paradise","Open source")</x:f>
        <x:v>HYPERLINK is not implemented. linkLocation=https://en.wikipedia.org/wiki/Beyond_Paradise, friendlyName=Open source</x:v>
      </x:c>
      <x:c r="AN57" s="14" t="str">
        <x:v>BBC public-service commission</x:v>
      </x:c>
      <x:c r="AO57" s="14" t="str">
        <x:v>Yes</x:v>
      </x:c>
      <x:c r="AP57" s="14" t="str">
        <x:v>Direct BBC public-service scope</x:v>
      </x:c>
      <x:c r="AQ57" s="14" t="str">
        <x:v>Yes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27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0.037037037037037035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tt21161156|nm7603289|jaiden</x:v>
      </x:c>
      <x:c r="B58" s="14" t="str">
        <x:v>01</x:v>
      </x:c>
      <x:c r="C58" s="14" t="str">
        <x:v>2023_IMDb_Cast_Lists_Batch_01(2).xlsx</x:v>
      </x:c>
      <x:c r="D58" s="14" t="str">
        <x:v>Beyond Paradise</x:v>
      </x:c>
      <x:c r="E58" s="14" t="n">
        <x:v>104</x:v>
      </x:c>
      <x:c r="F58" s="14" t="str">
        <x:v>Beyond Paradise</x:v>
      </x:c>
      <x:c r="G58" s="14" t="str">
        <x:v>tt21161156</x:v>
      </x:c>
      <x:c r="H58" s="14" t="n">
        <x:v>2023</x:v>
      </x:c>
      <x:c r="I58" s="14" t="n">
        <x:v>2023</x:v>
      </x:c>
      <x:c r="J58" s="14" t="str">
        <x:v>Future Carry-Forward Cohort</x:v>
      </x:c>
      <x:c r="K58" s="14"/>
      <x:c r="L58" s="14" t="str">
        <x:v>Not inherited</x:v>
      </x:c>
      <x:c r="M58" s="15" t="n">
        <x:v>97</x:v>
      </x:c>
      <x:c r="N58" s="14" t="str">
        <x:v>Austin Taylor</x:v>
      </x:c>
      <x:c r="O58" s="14" t="str">
        <x:v>nm7603289</x:v>
      </x:c>
      <x:c r="P58" s="14" t="str">
        <x:v>Jaiden</x:v>
      </x:c>
      <x:c r="Q58" s="15" t="n">
        <x:v>1</x:v>
      </x:c>
      <x:c r="R58" s="14" t="str">
        <x:v>2024</x:v>
      </x:c>
      <x:c r="S58" s="14" t="n">
        <x:v>2024</x:v>
      </x:c>
      <x:c r="T58" s="14" t="n">
        <x:v>2024</x:v>
      </x:c>
      <x:c r="U58" s="14" t="str">
        <x:v>Explicit source first year retained</x:v>
      </x:c>
      <x:c r="V58" s="14" t="str">
        <x:v>Earliest supplied year is 2024.</x:v>
      </x:c>
      <x:c r="W58" s="14"/>
      <x:c r="X58" s="14" t="str">
        <x:v>Carried forward to 2024</x:v>
      </x:c>
      <x:c r="Y58" s="14"/>
      <x:c r="Z58" s="14" t="str">
        <x:v>Beyond Paradise.docx</x:v>
      </x:c>
      <x:c r="AA5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BBC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HYPERLINK("https://en.wikipedia.org/wiki/Beyond_Paradise","Open source")</x:f>
        <x:v>HYPERLINK is not implemented. linkLocation=https://en.wikipedia.org/wiki/Beyond_Paradise, friendlyName=Open source</x:v>
      </x:c>
      <x:c r="AN58" s="14" t="str">
        <x:v>BBC public-service commission</x:v>
      </x:c>
      <x:c r="AO58" s="14" t="str">
        <x:v>Yes</x:v>
      </x:c>
      <x:c r="AP58" s="14" t="str">
        <x:v>Direct BBC public-service scope</x:v>
      </x:c>
      <x:c r="AQ58" s="14" t="str">
        <x:v>Yes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27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0.037037037037037035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tt21161156|nm14004811|kieran fish</x:v>
      </x:c>
      <x:c r="B59" s="14" t="str">
        <x:v>01</x:v>
      </x:c>
      <x:c r="C59" s="14" t="str">
        <x:v>2023_IMDb_Cast_Lists_Batch_01(2).xlsx</x:v>
      </x:c>
      <x:c r="D59" s="14" t="str">
        <x:v>Beyond Paradise</x:v>
      </x:c>
      <x:c r="E59" s="14" t="n">
        <x:v>105</x:v>
      </x:c>
      <x:c r="F59" s="14" t="str">
        <x:v>Beyond Paradise</x:v>
      </x:c>
      <x:c r="G59" s="14" t="str">
        <x:v>tt21161156</x:v>
      </x:c>
      <x:c r="H59" s="14" t="n">
        <x:v>2023</x:v>
      </x:c>
      <x:c r="I59" s="14" t="n">
        <x:v>2023</x:v>
      </x:c>
      <x:c r="J59" s="14" t="str">
        <x:v>Future Carry-Forward Cohort</x:v>
      </x:c>
      <x:c r="K59" s="14"/>
      <x:c r="L59" s="14" t="str">
        <x:v>Not inherited</x:v>
      </x:c>
      <x:c r="M59" s="15" t="n">
        <x:v>98</x:v>
      </x:c>
      <x:c r="N59" s="14" t="str">
        <x:v>Dane Williams</x:v>
      </x:c>
      <x:c r="O59" s="14" t="str">
        <x:v>nm14004811</x:v>
      </x:c>
      <x:c r="P59" s="14" t="str">
        <x:v>Kieran Fish</x:v>
      </x:c>
      <x:c r="Q59" s="15" t="n">
        <x:v>1</x:v>
      </x:c>
      <x:c r="R59" s="14" t="str">
        <x:v>2024</x:v>
      </x:c>
      <x:c r="S59" s="14" t="n">
        <x:v>2024</x:v>
      </x:c>
      <x:c r="T59" s="14" t="n">
        <x:v>2024</x:v>
      </x:c>
      <x:c r="U59" s="14" t="str">
        <x:v>Explicit source first year retained</x:v>
      </x:c>
      <x:c r="V59" s="14" t="str">
        <x:v>Earliest supplied year is 2024.</x:v>
      </x:c>
      <x:c r="W59" s="14"/>
      <x:c r="X59" s="14" t="str">
        <x:v>Carried forward to 2024</x:v>
      </x:c>
      <x:c r="Y59" s="14"/>
      <x:c r="Z59" s="14" t="str">
        <x:v>Beyond Paradise.docx</x:v>
      </x:c>
      <x:c r="AA5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BBC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HYPERLINK("https://en.wikipedia.org/wiki/Beyond_Paradise","Open source")</x:f>
        <x:v>HYPERLINK is not implemented. linkLocation=https://en.wikipedia.org/wiki/Beyond_Paradise, friendlyName=Open source</x:v>
      </x:c>
      <x:c r="AN59" s="14" t="str">
        <x:v>BBC public-service commission</x:v>
      </x:c>
      <x:c r="AO59" s="14" t="str">
        <x:v>Yes</x:v>
      </x:c>
      <x:c r="AP59" s="14" t="str">
        <x:v>Direct BBC public-service scope</x:v>
      </x:c>
      <x:c r="AQ59" s="14" t="str">
        <x:v>Yes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27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0.037037037037037035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tt21161156|nm0276133|marion goddard</x:v>
      </x:c>
      <x:c r="B60" s="14" t="str">
        <x:v>01</x:v>
      </x:c>
      <x:c r="C60" s="14" t="str">
        <x:v>2023_IMDb_Cast_Lists_Batch_01(2).xlsx</x:v>
      </x:c>
      <x:c r="D60" s="14" t="str">
        <x:v>Beyond Paradise</x:v>
      </x:c>
      <x:c r="E60" s="14" t="n">
        <x:v>115</x:v>
      </x:c>
      <x:c r="F60" s="14" t="str">
        <x:v>Beyond Paradise</x:v>
      </x:c>
      <x:c r="G60" s="14" t="str">
        <x:v>tt21161156</x:v>
      </x:c>
      <x:c r="H60" s="14" t="n">
        <x:v>2023</x:v>
      </x:c>
      <x:c r="I60" s="14" t="n">
        <x:v>2023</x:v>
      </x:c>
      <x:c r="J60" s="14" t="str">
        <x:v>Future Carry-Forward Cohort</x:v>
      </x:c>
      <x:c r="K60" s="14"/>
      <x:c r="L60" s="14" t="str">
        <x:v>Not inherited</x:v>
      </x:c>
      <x:c r="M60" s="15" t="n">
        <x:v>108</x:v>
      </x:c>
      <x:c r="N60" s="14" t="str">
        <x:v>Emma Fielding</x:v>
      </x:c>
      <x:c r="O60" s="14" t="str">
        <x:v>nm0276133</x:v>
      </x:c>
      <x:c r="P60" s="14" t="str">
        <x:v>Marion Goddard</x:v>
      </x:c>
      <x:c r="Q60" s="15" t="n">
        <x:v>1</x:v>
      </x:c>
      <x:c r="R60" s="14" t="str">
        <x:v>2024</x:v>
      </x:c>
      <x:c r="S60" s="14" t="n">
        <x:v>2024</x:v>
      </x:c>
      <x:c r="T60" s="14" t="n">
        <x:v>2024</x:v>
      </x:c>
      <x:c r="U60" s="14" t="str">
        <x:v>Explicit source first year retained</x:v>
      </x:c>
      <x:c r="V60" s="14" t="str">
        <x:v>Earliest supplied year is 2024.</x:v>
      </x:c>
      <x:c r="W60" s="14"/>
      <x:c r="X60" s="14" t="str">
        <x:v>Carried forward to 2024</x:v>
      </x:c>
      <x:c r="Y60" s="14"/>
      <x:c r="Z60" s="14" t="str">
        <x:v>Beyond Paradise.docx</x:v>
      </x:c>
      <x:c r="AA6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BBC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HYPERLINK("https://en.wikipedia.org/wiki/Beyond_Paradise","Open source")</x:f>
        <x:v>HYPERLINK is not implemented. linkLocation=https://en.wikipedia.org/wiki/Beyond_Paradise, friendlyName=Open source</x:v>
      </x:c>
      <x:c r="AN60" s="14" t="str">
        <x:v>BBC public-service commission</x:v>
      </x:c>
      <x:c r="AO60" s="14" t="str">
        <x:v>Yes</x:v>
      </x:c>
      <x:c r="AP60" s="14" t="str">
        <x:v>Direct BBC public-service scope</x:v>
      </x:c>
      <x:c r="AQ60" s="14" t="str">
        <x:v>Yes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27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0.037037037037037035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tt21161156|nm1757718|harry bishfield</x:v>
      </x:c>
      <x:c r="B61" s="14" t="str">
        <x:v>01</x:v>
      </x:c>
      <x:c r="C61" s="14" t="str">
        <x:v>2023_IMDb_Cast_Lists_Batch_01(2).xlsx</x:v>
      </x:c>
      <x:c r="D61" s="14" t="str">
        <x:v>Beyond Paradise</x:v>
      </x:c>
      <x:c r="E61" s="14" t="n">
        <x:v>116</x:v>
      </x:c>
      <x:c r="F61" s="14" t="str">
        <x:v>Beyond Paradise</x:v>
      </x:c>
      <x:c r="G61" s="14" t="str">
        <x:v>tt21161156</x:v>
      </x:c>
      <x:c r="H61" s="14" t="n">
        <x:v>2023</x:v>
      </x:c>
      <x:c r="I61" s="14" t="n">
        <x:v>2023</x:v>
      </x:c>
      <x:c r="J61" s="14" t="str">
        <x:v>Future Carry-Forward Cohort</x:v>
      </x:c>
      <x:c r="K61" s="14"/>
      <x:c r="L61" s="14" t="str">
        <x:v>Not inherited</x:v>
      </x:c>
      <x:c r="M61" s="15" t="n">
        <x:v>109</x:v>
      </x:c>
      <x:c r="N61" s="14" t="str">
        <x:v>Richard Glover</x:v>
      </x:c>
      <x:c r="O61" s="14" t="str">
        <x:v>nm1757718</x:v>
      </x:c>
      <x:c r="P61" s="14" t="str">
        <x:v>Harry Bishfield</x:v>
      </x:c>
      <x:c r="Q61" s="15" t="n">
        <x:v>1</x:v>
      </x:c>
      <x:c r="R61" s="14" t="str">
        <x:v>2024</x:v>
      </x:c>
      <x:c r="S61" s="14" t="n">
        <x:v>2024</x:v>
      </x:c>
      <x:c r="T61" s="14" t="n">
        <x:v>2024</x:v>
      </x:c>
      <x:c r="U61" s="14" t="str">
        <x:v>Explicit source first year retained</x:v>
      </x:c>
      <x:c r="V61" s="14" t="str">
        <x:v>Earliest supplied year is 2024.</x:v>
      </x:c>
      <x:c r="W61" s="14"/>
      <x:c r="X61" s="14" t="str">
        <x:v>Carried forward to 2024</x:v>
      </x:c>
      <x:c r="Y61" s="14"/>
      <x:c r="Z61" s="14" t="str">
        <x:v>Beyond Paradise.docx</x:v>
      </x:c>
      <x:c r="AA6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BBC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HYPERLINK("https://en.wikipedia.org/wiki/Beyond_Paradise","Open source")</x:f>
        <x:v>HYPERLINK is not implemented. linkLocation=https://en.wikipedia.org/wiki/Beyond_Paradise, friendlyName=Open source</x:v>
      </x:c>
      <x:c r="AN61" s="14" t="str">
        <x:v>BBC public-service commission</x:v>
      </x:c>
      <x:c r="AO61" s="14" t="str">
        <x:v>Yes</x:v>
      </x:c>
      <x:c r="AP61" s="14" t="str">
        <x:v>Direct BBC public-service scope</x:v>
      </x:c>
      <x:c r="AQ61" s="14" t="str">
        <x:v>Yes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27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0.037037037037037035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tt21161156|nm5592770|belle</x:v>
      </x:c>
      <x:c r="B62" s="14" t="str">
        <x:v>01</x:v>
      </x:c>
      <x:c r="C62" s="14" t="str">
        <x:v>2023_IMDb_Cast_Lists_Batch_01(2).xlsx</x:v>
      </x:c>
      <x:c r="D62" s="14" t="str">
        <x:v>Beyond Paradise</x:v>
      </x:c>
      <x:c r="E62" s="14" t="n">
        <x:v>117</x:v>
      </x:c>
      <x:c r="F62" s="14" t="str">
        <x:v>Beyond Paradise</x:v>
      </x:c>
      <x:c r="G62" s="14" t="str">
        <x:v>tt21161156</x:v>
      </x:c>
      <x:c r="H62" s="14" t="n">
        <x:v>2023</x:v>
      </x:c>
      <x:c r="I62" s="14" t="n">
        <x:v>2023</x:v>
      </x:c>
      <x:c r="J62" s="14" t="str">
        <x:v>Future Carry-Forward Cohort</x:v>
      </x:c>
      <x:c r="K62" s="14"/>
      <x:c r="L62" s="14" t="str">
        <x:v>Not inherited</x:v>
      </x:c>
      <x:c r="M62" s="15" t="n">
        <x:v>110</x:v>
      </x:c>
      <x:c r="N62" s="14" t="str">
        <x:v>Emily Lloyd-Saini</x:v>
      </x:c>
      <x:c r="O62" s="14" t="str">
        <x:v>nm5592770</x:v>
      </x:c>
      <x:c r="P62" s="14" t="str">
        <x:v>Belle</x:v>
      </x:c>
      <x:c r="Q62" s="15" t="n">
        <x:v>1</x:v>
      </x:c>
      <x:c r="R62" s="14" t="str">
        <x:v>2024</x:v>
      </x:c>
      <x:c r="S62" s="14" t="n">
        <x:v>2024</x:v>
      </x:c>
      <x:c r="T62" s="14" t="n">
        <x:v>2024</x:v>
      </x:c>
      <x:c r="U62" s="14" t="str">
        <x:v>Explicit source first year retained</x:v>
      </x:c>
      <x:c r="V62" s="14" t="str">
        <x:v>Earliest supplied year is 2024.</x:v>
      </x:c>
      <x:c r="W62" s="14"/>
      <x:c r="X62" s="14" t="str">
        <x:v>Carried forward to 2024</x:v>
      </x:c>
      <x:c r="Y62" s="14"/>
      <x:c r="Z62" s="14" t="str">
        <x:v>Beyond Paradise.docx</x:v>
      </x:c>
      <x:c r="AA6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BBC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HYPERLINK("https://en.wikipedia.org/wiki/Beyond_Paradise","Open source")</x:f>
        <x:v>HYPERLINK is not implemented. linkLocation=https://en.wikipedia.org/wiki/Beyond_Paradise, friendlyName=Open source</x:v>
      </x:c>
      <x:c r="AN62" s="14" t="str">
        <x:v>BBC public-service commission</x:v>
      </x:c>
      <x:c r="AO62" s="14" t="str">
        <x:v>Yes</x:v>
      </x:c>
      <x:c r="AP62" s="14" t="str">
        <x:v>Direct BBC public-service scope</x:v>
      </x:c>
      <x:c r="AQ62" s="14" t="str">
        <x:v>Yes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27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0.037037037037037035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tt21161156|nm10245390|james blackwell (paramedic)</x:v>
      </x:c>
      <x:c r="B63" s="14" t="str">
        <x:v>01</x:v>
      </x:c>
      <x:c r="C63" s="14" t="str">
        <x:v>2023_IMDb_Cast_Lists_Batch_01(2).xlsx</x:v>
      </x:c>
      <x:c r="D63" s="14" t="str">
        <x:v>Beyond Paradise</x:v>
      </x:c>
      <x:c r="E63" s="14" t="n">
        <x:v>118</x:v>
      </x:c>
      <x:c r="F63" s="14" t="str">
        <x:v>Beyond Paradise</x:v>
      </x:c>
      <x:c r="G63" s="14" t="str">
        <x:v>tt21161156</x:v>
      </x:c>
      <x:c r="H63" s="14" t="n">
        <x:v>2023</x:v>
      </x:c>
      <x:c r="I63" s="14" t="n">
        <x:v>2023</x:v>
      </x:c>
      <x:c r="J63" s="14" t="str">
        <x:v>Future Carry-Forward Cohort</x:v>
      </x:c>
      <x:c r="K63" s="14"/>
      <x:c r="L63" s="14" t="str">
        <x:v>Not inherited</x:v>
      </x:c>
      <x:c r="M63" s="15" t="n">
        <x:v>111</x:v>
      </x:c>
      <x:c r="N63" s="14" t="str">
        <x:v>Hassan Maarfi</x:v>
      </x:c>
      <x:c r="O63" s="14" t="str">
        <x:v>nm10245390</x:v>
      </x:c>
      <x:c r="P63" s="14" t="str">
        <x:v>James Blackwell (Paramedic)</x:v>
      </x:c>
      <x:c r="Q63" s="15" t="n">
        <x:v>1</x:v>
      </x:c>
      <x:c r="R63" s="14" t="str">
        <x:v>2024</x:v>
      </x:c>
      <x:c r="S63" s="14" t="n">
        <x:v>2024</x:v>
      </x:c>
      <x:c r="T63" s="14" t="n">
        <x:v>2024</x:v>
      </x:c>
      <x:c r="U63" s="14" t="str">
        <x:v>Explicit source first year retained</x:v>
      </x:c>
      <x:c r="V63" s="14" t="str">
        <x:v>Earliest supplied year is 2024.</x:v>
      </x:c>
      <x:c r="W63" s="14"/>
      <x:c r="X63" s="14" t="str">
        <x:v>Carried forward to 2024</x:v>
      </x:c>
      <x:c r="Y63" s="14"/>
      <x:c r="Z63" s="14" t="str">
        <x:v>Beyond Paradise.docx</x:v>
      </x:c>
      <x:c r="AA6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BBC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HYPERLINK("https://en.wikipedia.org/wiki/Beyond_Paradise","Open source")</x:f>
        <x:v>HYPERLINK is not implemented. linkLocation=https://en.wikipedia.org/wiki/Beyond_Paradise, friendlyName=Open source</x:v>
      </x:c>
      <x:c r="AN63" s="14" t="str">
        <x:v>BBC public-service commission</x:v>
      </x:c>
      <x:c r="AO63" s="14" t="str">
        <x:v>Yes</x:v>
      </x:c>
      <x:c r="AP63" s="14" t="str">
        <x:v>Direct BBC public-service scope</x:v>
      </x:c>
      <x:c r="AQ63" s="14" t="str">
        <x:v>Yes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27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0.037037037037037035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tt21161156|nm0940245|father brian</x:v>
      </x:c>
      <x:c r="B64" s="14" t="str">
        <x:v>01</x:v>
      </x:c>
      <x:c r="C64" s="14" t="str">
        <x:v>2023_IMDb_Cast_Lists_Batch_01(2).xlsx</x:v>
      </x:c>
      <x:c r="D64" s="14" t="str">
        <x:v>Beyond Paradise</x:v>
      </x:c>
      <x:c r="E64" s="14" t="n">
        <x:v>129</x:v>
      </x:c>
      <x:c r="F64" s="14" t="str">
        <x:v>Beyond Paradise</x:v>
      </x:c>
      <x:c r="G64" s="14" t="str">
        <x:v>tt21161156</x:v>
      </x:c>
      <x:c r="H64" s="14" t="n">
        <x:v>2023</x:v>
      </x:c>
      <x:c r="I64" s="14" t="n">
        <x:v>2023</x:v>
      </x:c>
      <x:c r="J64" s="14" t="str">
        <x:v>Future Carry-Forward Cohort</x:v>
      </x:c>
      <x:c r="K64" s="14"/>
      <x:c r="L64" s="14" t="str">
        <x:v>Not inherited</x:v>
      </x:c>
      <x:c r="M64" s="15" t="n">
        <x:v>122</x:v>
      </x:c>
      <x:c r="N64" s="14" t="str">
        <x:v>Nicholas Woodeson</x:v>
      </x:c>
      <x:c r="O64" s="14" t="str">
        <x:v>nm0940245</x:v>
      </x:c>
      <x:c r="P64" s="14" t="str">
        <x:v>Father Brian</x:v>
      </x:c>
      <x:c r="Q64" s="15" t="n">
        <x:v>1</x:v>
      </x:c>
      <x:c r="R64" s="14" t="str">
        <x:v>2024</x:v>
      </x:c>
      <x:c r="S64" s="14" t="n">
        <x:v>2024</x:v>
      </x:c>
      <x:c r="T64" s="14" t="n">
        <x:v>2024</x:v>
      </x:c>
      <x:c r="U64" s="14" t="str">
        <x:v>Explicit source first year retained</x:v>
      </x:c>
      <x:c r="V64" s="14" t="str">
        <x:v>Earliest supplied year is 2024.</x:v>
      </x:c>
      <x:c r="W64" s="14"/>
      <x:c r="X64" s="14" t="str">
        <x:v>Carried forward to 2024</x:v>
      </x:c>
      <x:c r="Y64" s="14"/>
      <x:c r="Z64" s="14" t="str">
        <x:v>Beyond Paradise.docx</x:v>
      </x:c>
      <x:c r="AA6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BBC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HYPERLINK("https://en.wikipedia.org/wiki/Beyond_Paradise","Open source")</x:f>
        <x:v>HYPERLINK is not implemented. linkLocation=https://en.wikipedia.org/wiki/Beyond_Paradise, friendlyName=Open source</x:v>
      </x:c>
      <x:c r="AN64" s="14" t="str">
        <x:v>BBC public-service commission</x:v>
      </x:c>
      <x:c r="AO64" s="14" t="str">
        <x:v>Yes</x:v>
      </x:c>
      <x:c r="AP64" s="14" t="str">
        <x:v>Direct BBC public-service scope</x:v>
      </x:c>
      <x:c r="AQ64" s="14" t="str">
        <x:v>Yes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27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0.037037037037037035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tt21161156|nm0267256|ella woods</x:v>
      </x:c>
      <x:c r="B65" s="14" t="str">
        <x:v>01</x:v>
      </x:c>
      <x:c r="C65" s="14" t="str">
        <x:v>2023_IMDb_Cast_Lists_Batch_01(2).xlsx</x:v>
      </x:c>
      <x:c r="D65" s="14" t="str">
        <x:v>Beyond Paradise</x:v>
      </x:c>
      <x:c r="E65" s="14" t="n">
        <x:v>130</x:v>
      </x:c>
      <x:c r="F65" s="14" t="str">
        <x:v>Beyond Paradise</x:v>
      </x:c>
      <x:c r="G65" s="14" t="str">
        <x:v>tt21161156</x:v>
      </x:c>
      <x:c r="H65" s="14" t="n">
        <x:v>2023</x:v>
      </x:c>
      <x:c r="I65" s="14" t="n">
        <x:v>2023</x:v>
      </x:c>
      <x:c r="J65" s="14" t="str">
        <x:v>Future Carry-Forward Cohort</x:v>
      </x:c>
      <x:c r="K65" s="14"/>
      <x:c r="L65" s="14" t="str">
        <x:v>Not inherited</x:v>
      </x:c>
      <x:c r="M65" s="15" t="n">
        <x:v>123</x:v>
      </x:c>
      <x:c r="N65" s="14" t="str">
        <x:v>Souad Faress</x:v>
      </x:c>
      <x:c r="O65" s="14" t="str">
        <x:v>nm0267256</x:v>
      </x:c>
      <x:c r="P65" s="14" t="str">
        <x:v>Ella Woods</x:v>
      </x:c>
      <x:c r="Q65" s="15" t="n">
        <x:v>1</x:v>
      </x:c>
      <x:c r="R65" s="14" t="str">
        <x:v>2024</x:v>
      </x:c>
      <x:c r="S65" s="14" t="n">
        <x:v>2024</x:v>
      </x:c>
      <x:c r="T65" s="14" t="n">
        <x:v>2024</x:v>
      </x:c>
      <x:c r="U65" s="14" t="str">
        <x:v>Explicit source first year retained</x:v>
      </x:c>
      <x:c r="V65" s="14" t="str">
        <x:v>Earliest supplied year is 2024.</x:v>
      </x:c>
      <x:c r="W65" s="14"/>
      <x:c r="X65" s="14" t="str">
        <x:v>Carried forward to 2024</x:v>
      </x:c>
      <x:c r="Y65" s="14"/>
      <x:c r="Z65" s="14" t="str">
        <x:v>Beyond Paradise.docx</x:v>
      </x:c>
      <x:c r="AA6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BBC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HYPERLINK("https://en.wikipedia.org/wiki/Beyond_Paradise","Open source")</x:f>
        <x:v>HYPERLINK is not implemented. linkLocation=https://en.wikipedia.org/wiki/Beyond_Paradise, friendlyName=Open source</x:v>
      </x:c>
      <x:c r="AN65" s="14" t="str">
        <x:v>BBC public-service commission</x:v>
      </x:c>
      <x:c r="AO65" s="14" t="str">
        <x:v>Yes</x:v>
      </x:c>
      <x:c r="AP65" s="14" t="str">
        <x:v>Direct BBC public-service scope</x:v>
      </x:c>
      <x:c r="AQ65" s="14" t="str">
        <x:v>Yes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27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0.037037037037037035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tt21161156|nm0004112|patrick kirby</x:v>
      </x:c>
      <x:c r="B66" s="14" t="str">
        <x:v>01</x:v>
      </x:c>
      <x:c r="C66" s="14" t="str">
        <x:v>2023_IMDb_Cast_Lists_Batch_01(2).xlsx</x:v>
      </x:c>
      <x:c r="D66" s="14" t="str">
        <x:v>Beyond Paradise</x:v>
      </x:c>
      <x:c r="E66" s="14" t="n">
        <x:v>131</x:v>
      </x:c>
      <x:c r="F66" s="14" t="str">
        <x:v>Beyond Paradise</x:v>
      </x:c>
      <x:c r="G66" s="14" t="str">
        <x:v>tt21161156</x:v>
      </x:c>
      <x:c r="H66" s="14" t="n">
        <x:v>2023</x:v>
      </x:c>
      <x:c r="I66" s="14" t="n">
        <x:v>2023</x:v>
      </x:c>
      <x:c r="J66" s="14" t="str">
        <x:v>Future Carry-Forward Cohort</x:v>
      </x:c>
      <x:c r="K66" s="14"/>
      <x:c r="L66" s="14" t="str">
        <x:v>Not inherited</x:v>
      </x:c>
      <x:c r="M66" s="15" t="n">
        <x:v>124</x:v>
      </x:c>
      <x:c r="N66" s="14" t="str">
        <x:v>Mark Frost</x:v>
      </x:c>
      <x:c r="O66" s="14" t="str">
        <x:v>nm0004112</x:v>
      </x:c>
      <x:c r="P66" s="14" t="str">
        <x:v>Patrick Kirby</x:v>
      </x:c>
      <x:c r="Q66" s="15" t="n">
        <x:v>1</x:v>
      </x:c>
      <x:c r="R66" s="14" t="str">
        <x:v>2024</x:v>
      </x:c>
      <x:c r="S66" s="14" t="n">
        <x:v>2024</x:v>
      </x:c>
      <x:c r="T66" s="14" t="n">
        <x:v>2024</x:v>
      </x:c>
      <x:c r="U66" s="14" t="str">
        <x:v>Explicit source first year retained</x:v>
      </x:c>
      <x:c r="V66" s="14" t="str">
        <x:v>Earliest supplied year is 2024.</x:v>
      </x:c>
      <x:c r="W66" s="14"/>
      <x:c r="X66" s="14" t="str">
        <x:v>Carried forward to 2024</x:v>
      </x:c>
      <x:c r="Y66" s="14"/>
      <x:c r="Z66" s="14" t="str">
        <x:v>Beyond Paradise.docx</x:v>
      </x:c>
      <x:c r="AA6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BBC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HYPERLINK("https://en.wikipedia.org/wiki/Beyond_Paradise","Open source")</x:f>
        <x:v>HYPERLINK is not implemented. linkLocation=https://en.wikipedia.org/wiki/Beyond_Paradise, friendlyName=Open source</x:v>
      </x:c>
      <x:c r="AN66" s="14" t="str">
        <x:v>BBC public-service commission</x:v>
      </x:c>
      <x:c r="AO66" s="14" t="str">
        <x:v>Yes</x:v>
      </x:c>
      <x:c r="AP66" s="14" t="str">
        <x:v>Direct BBC public-service scope</x:v>
      </x:c>
      <x:c r="AQ66" s="14" t="str">
        <x:v>Yes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27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0.037037037037037035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tt21161156|nm0832695|old harry</x:v>
      </x:c>
      <x:c r="B67" s="14" t="str">
        <x:v>01</x:v>
      </x:c>
      <x:c r="C67" s="14" t="str">
        <x:v>2023_IMDb_Cast_Lists_Batch_01(2).xlsx</x:v>
      </x:c>
      <x:c r="D67" s="14" t="str">
        <x:v>Beyond Paradise</x:v>
      </x:c>
      <x:c r="E67" s="14" t="n">
        <x:v>149</x:v>
      </x:c>
      <x:c r="F67" s="14" t="str">
        <x:v>Beyond Paradise</x:v>
      </x:c>
      <x:c r="G67" s="14" t="str">
        <x:v>tt21161156</x:v>
      </x:c>
      <x:c r="H67" s="14" t="n">
        <x:v>2023</x:v>
      </x:c>
      <x:c r="I67" s="14" t="n">
        <x:v>2023</x:v>
      </x:c>
      <x:c r="J67" s="14" t="str">
        <x:v>Future Carry-Forward Cohort</x:v>
      </x:c>
      <x:c r="K67" s="14"/>
      <x:c r="L67" s="14" t="str">
        <x:v>Not inherited</x:v>
      </x:c>
      <x:c r="M67" s="15" t="n">
        <x:v>142</x:v>
      </x:c>
      <x:c r="N67" s="14" t="str">
        <x:v>Malcolm Storry</x:v>
      </x:c>
      <x:c r="O67" s="14" t="str">
        <x:v>nm0832695</x:v>
      </x:c>
      <x:c r="P67" s="14" t="str">
        <x:v>Old Harry</x:v>
      </x:c>
      <x:c r="Q67" s="15" t="n">
        <x:v>1</x:v>
      </x:c>
      <x:c r="R67" s="14" t="str">
        <x:v>2024</x:v>
      </x:c>
      <x:c r="S67" s="14" t="n">
        <x:v>2024</x:v>
      </x:c>
      <x:c r="T67" s="14" t="n">
        <x:v>2024</x:v>
      </x:c>
      <x:c r="U67" s="14" t="str">
        <x:v>Explicit source first year retained</x:v>
      </x:c>
      <x:c r="V67" s="14" t="str">
        <x:v>Earliest supplied year is 2024.</x:v>
      </x:c>
      <x:c r="W67" s="14"/>
      <x:c r="X67" s="14" t="str">
        <x:v>Carried forward to 2024</x:v>
      </x:c>
      <x:c r="Y67" s="14"/>
      <x:c r="Z67" s="14" t="str">
        <x:v>Beyond Paradise.docx</x:v>
      </x:c>
      <x:c r="AA6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BBC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HYPERLINK("https://en.wikipedia.org/wiki/Beyond_Paradise","Open source")</x:f>
        <x:v>HYPERLINK is not implemented. linkLocation=https://en.wikipedia.org/wiki/Beyond_Paradise, friendlyName=Open source</x:v>
      </x:c>
      <x:c r="AN67" s="14" t="str">
        <x:v>BBC public-service commission</x:v>
      </x:c>
      <x:c r="AO67" s="14" t="str">
        <x:v>Yes</x:v>
      </x:c>
      <x:c r="AP67" s="14" t="str">
        <x:v>Direct BBC public-service scope</x:v>
      </x:c>
      <x:c r="AQ67" s="14" t="str">
        <x:v>Yes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27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0.037037037037037035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tt21161156|nm3157438|sandra morgan</x:v>
      </x:c>
      <x:c r="B68" s="14" t="str">
        <x:v>01</x:v>
      </x:c>
      <x:c r="C68" s="14" t="str">
        <x:v>2023_IMDb_Cast_Lists_Batch_01(2).xlsx</x:v>
      </x:c>
      <x:c r="D68" s="14" t="str">
        <x:v>Beyond Paradise</x:v>
      </x:c>
      <x:c r="E68" s="14" t="n">
        <x:v>150</x:v>
      </x:c>
      <x:c r="F68" s="14" t="str">
        <x:v>Beyond Paradise</x:v>
      </x:c>
      <x:c r="G68" s="14" t="str">
        <x:v>tt21161156</x:v>
      </x:c>
      <x:c r="H68" s="14" t="n">
        <x:v>2023</x:v>
      </x:c>
      <x:c r="I68" s="14" t="n">
        <x:v>2023</x:v>
      </x:c>
      <x:c r="J68" s="14" t="str">
        <x:v>Future Carry-Forward Cohort</x:v>
      </x:c>
      <x:c r="K68" s="14"/>
      <x:c r="L68" s="14" t="str">
        <x:v>Not inherited</x:v>
      </x:c>
      <x:c r="M68" s="15" t="n">
        <x:v>143</x:v>
      </x:c>
      <x:c r="N68" s="14" t="str">
        <x:v>Gem Carmella</x:v>
      </x:c>
      <x:c r="O68" s="14" t="str">
        <x:v>nm3157438</x:v>
      </x:c>
      <x:c r="P68" s="14" t="str">
        <x:v>Sandra Morgan</x:v>
      </x:c>
      <x:c r="Q68" s="15" t="n">
        <x:v>1</x:v>
      </x:c>
      <x:c r="R68" s="14" t="str">
        <x:v>2024</x:v>
      </x:c>
      <x:c r="S68" s="14" t="n">
        <x:v>2024</x:v>
      </x:c>
      <x:c r="T68" s="14" t="n">
        <x:v>2024</x:v>
      </x:c>
      <x:c r="U68" s="14" t="str">
        <x:v>Explicit source first year retained</x:v>
      </x:c>
      <x:c r="V68" s="14" t="str">
        <x:v>Earliest supplied year is 2024.</x:v>
      </x:c>
      <x:c r="W68" s="14"/>
      <x:c r="X68" s="14" t="str">
        <x:v>Carried forward to 2024</x:v>
      </x:c>
      <x:c r="Y68" s="14"/>
      <x:c r="Z68" s="14" t="str">
        <x:v>Beyond Paradise.docx</x:v>
      </x:c>
      <x:c r="AA6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BBC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HYPERLINK("https://en.wikipedia.org/wiki/Beyond_Paradise","Open source")</x:f>
        <x:v>HYPERLINK is not implemented. linkLocation=https://en.wikipedia.org/wiki/Beyond_Paradise, friendlyName=Open source</x:v>
      </x:c>
      <x:c r="AN68" s="14" t="str">
        <x:v>BBC public-service commission</x:v>
      </x:c>
      <x:c r="AO68" s="14" t="str">
        <x:v>Yes</x:v>
      </x:c>
      <x:c r="AP68" s="14" t="str">
        <x:v>Direct BBC public-service scope</x:v>
      </x:c>
      <x:c r="AQ68" s="14" t="str">
        <x:v>Yes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27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0.037037037037037035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tt21161156|nm2003845|quinn</x:v>
      </x:c>
      <x:c r="B69" s="14" t="str">
        <x:v>01</x:v>
      </x:c>
      <x:c r="C69" s="14" t="str">
        <x:v>2023_IMDb_Cast_Lists_Batch_01(2).xlsx</x:v>
      </x:c>
      <x:c r="D69" s="14" t="str">
        <x:v>Beyond Paradise</x:v>
      </x:c>
      <x:c r="E69" s="14" t="n">
        <x:v>151</x:v>
      </x:c>
      <x:c r="F69" s="14" t="str">
        <x:v>Beyond Paradise</x:v>
      </x:c>
      <x:c r="G69" s="14" t="str">
        <x:v>tt21161156</x:v>
      </x:c>
      <x:c r="H69" s="14" t="n">
        <x:v>2023</x:v>
      </x:c>
      <x:c r="I69" s="14" t="n">
        <x:v>2023</x:v>
      </x:c>
      <x:c r="J69" s="14" t="str">
        <x:v>Future Carry-Forward Cohort</x:v>
      </x:c>
      <x:c r="K69" s="14"/>
      <x:c r="L69" s="14" t="str">
        <x:v>Not inherited</x:v>
      </x:c>
      <x:c r="M69" s="15" t="n">
        <x:v>144</x:v>
      </x:c>
      <x:c r="N69" s="14" t="str">
        <x:v>Charlie Baker</x:v>
      </x:c>
      <x:c r="O69" s="14" t="str">
        <x:v>nm2003845</x:v>
      </x:c>
      <x:c r="P69" s="14" t="str">
        <x:v>Quinn</x:v>
      </x:c>
      <x:c r="Q69" s="15" t="n">
        <x:v>1</x:v>
      </x:c>
      <x:c r="R69" s="14" t="str">
        <x:v>2024</x:v>
      </x:c>
      <x:c r="S69" s="14" t="n">
        <x:v>2024</x:v>
      </x:c>
      <x:c r="T69" s="14" t="n">
        <x:v>2024</x:v>
      </x:c>
      <x:c r="U69" s="14" t="str">
        <x:v>Explicit source first year retained</x:v>
      </x:c>
      <x:c r="V69" s="14" t="str">
        <x:v>Earliest supplied year is 2024.</x:v>
      </x:c>
      <x:c r="W69" s="14"/>
      <x:c r="X69" s="14" t="str">
        <x:v>Carried forward to 2024</x:v>
      </x:c>
      <x:c r="Y69" s="14"/>
      <x:c r="Z69" s="14" t="str">
        <x:v>Beyond Paradise.docx</x:v>
      </x:c>
      <x:c r="AA6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BBC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HYPERLINK("https://en.wikipedia.org/wiki/Beyond_Paradise","Open source")</x:f>
        <x:v>HYPERLINK is not implemented. linkLocation=https://en.wikipedia.org/wiki/Beyond_Paradise, friendlyName=Open source</x:v>
      </x:c>
      <x:c r="AN69" s="14" t="str">
        <x:v>BBC public-service commission</x:v>
      </x:c>
      <x:c r="AO69" s="14" t="str">
        <x:v>Yes</x:v>
      </x:c>
      <x:c r="AP69" s="14" t="str">
        <x:v>Direct BBC public-service scope</x:v>
      </x:c>
      <x:c r="AQ69" s="14" t="str">
        <x:v>Yes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27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</x:v>
      </x:c>
      <x:c r="BS69" s="16" t="n">
        <x:v>0.037037037037037035</x:v>
      </x:c>
      <x:c r="BT69" s="14" t="str">
        <x:v>One episode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tt21161156|nm16084000|paris connor</x:v>
      </x:c>
      <x:c r="B70" s="14" t="str">
        <x:v>01</x:v>
      </x:c>
      <x:c r="C70" s="14" t="str">
        <x:v>2023_IMDb_Cast_Lists_Batch_01(2).xlsx</x:v>
      </x:c>
      <x:c r="D70" s="14" t="str">
        <x:v>Beyond Paradise</x:v>
      </x:c>
      <x:c r="E70" s="14" t="n">
        <x:v>152</x:v>
      </x:c>
      <x:c r="F70" s="14" t="str">
        <x:v>Beyond Paradise</x:v>
      </x:c>
      <x:c r="G70" s="14" t="str">
        <x:v>tt21161156</x:v>
      </x:c>
      <x:c r="H70" s="14" t="n">
        <x:v>2023</x:v>
      </x:c>
      <x:c r="I70" s="14" t="n">
        <x:v>2023</x:v>
      </x:c>
      <x:c r="J70" s="14" t="str">
        <x:v>Future Carry-Forward Cohort</x:v>
      </x:c>
      <x:c r="K70" s="14"/>
      <x:c r="L70" s="14" t="str">
        <x:v>Not inherited</x:v>
      </x:c>
      <x:c r="M70" s="15" t="n">
        <x:v>145</x:v>
      </x:c>
      <x:c r="N70" s="14" t="str">
        <x:v>Georgia Mann</x:v>
      </x:c>
      <x:c r="O70" s="14" t="str">
        <x:v>nm16084000</x:v>
      </x:c>
      <x:c r="P70" s="14" t="str">
        <x:v>Paris Connor</x:v>
      </x:c>
      <x:c r="Q70" s="15" t="n">
        <x:v>1</x:v>
      </x:c>
      <x:c r="R70" s="14" t="str">
        <x:v>2024</x:v>
      </x:c>
      <x:c r="S70" s="14" t="n">
        <x:v>2024</x:v>
      </x:c>
      <x:c r="T70" s="14" t="n">
        <x:v>2024</x:v>
      </x:c>
      <x:c r="U70" s="14" t="str">
        <x:v>Explicit source first year retained</x:v>
      </x:c>
      <x:c r="V70" s="14" t="str">
        <x:v>Earliest supplied year is 2024.</x:v>
      </x:c>
      <x:c r="W70" s="14"/>
      <x:c r="X70" s="14" t="str">
        <x:v>Carried forward to 2024</x:v>
      </x:c>
      <x:c r="Y70" s="14"/>
      <x:c r="Z70" s="14" t="str">
        <x:v>Beyond Paradise.docx</x:v>
      </x:c>
      <x:c r="AA7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BBC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HYPERLINK("https://en.wikipedia.org/wiki/Beyond_Paradise","Open source")</x:f>
        <x:v>HYPERLINK is not implemented. linkLocation=https://en.wikipedia.org/wiki/Beyond_Paradise, friendlyName=Open source</x:v>
      </x:c>
      <x:c r="AN70" s="14" t="str">
        <x:v>BBC public-service commission</x:v>
      </x:c>
      <x:c r="AO70" s="14" t="str">
        <x:v>Yes</x:v>
      </x:c>
      <x:c r="AP70" s="14" t="str">
        <x:v>Direct BBC public-service scope</x:v>
      </x:c>
      <x:c r="AQ70" s="14" t="str">
        <x:v>Yes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27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1</x:v>
      </x:c>
      <x:c r="BS70" s="16" t="n">
        <x:v>0.037037037037037035</x:v>
      </x:c>
      <x:c r="BT70" s="14" t="str">
        <x:v>One episode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tt21161156|nm1368647|marcus dhillon</x:v>
      </x:c>
      <x:c r="B71" s="14" t="str">
        <x:v>01</x:v>
      </x:c>
      <x:c r="C71" s="14" t="str">
        <x:v>2023_IMDb_Cast_Lists_Batch_01(2).xlsx</x:v>
      </x:c>
      <x:c r="D71" s="14" t="str">
        <x:v>Beyond Paradise</x:v>
      </x:c>
      <x:c r="E71" s="14" t="n">
        <x:v>161</x:v>
      </x:c>
      <x:c r="F71" s="14" t="str">
        <x:v>Beyond Paradise</x:v>
      </x:c>
      <x:c r="G71" s="14" t="str">
        <x:v>tt21161156</x:v>
      </x:c>
      <x:c r="H71" s="14" t="n">
        <x:v>2023</x:v>
      </x:c>
      <x:c r="I71" s="14" t="n">
        <x:v>2023</x:v>
      </x:c>
      <x:c r="J71" s="14" t="str">
        <x:v>Future Carry-Forward Cohort</x:v>
      </x:c>
      <x:c r="K71" s="14"/>
      <x:c r="L71" s="14" t="str">
        <x:v>Not inherited</x:v>
      </x:c>
      <x:c r="M71" s="15" t="n">
        <x:v>154</x:v>
      </x:c>
      <x:c r="N71" s="14" t="str">
        <x:v>Simon Nagra</x:v>
      </x:c>
      <x:c r="O71" s="14" t="str">
        <x:v>nm1368647</x:v>
      </x:c>
      <x:c r="P71" s="14" t="str">
        <x:v>Marcus Dhillon</x:v>
      </x:c>
      <x:c r="Q71" s="15" t="n">
        <x:v>1</x:v>
      </x:c>
      <x:c r="R71" s="14" t="str">
        <x:v>2024</x:v>
      </x:c>
      <x:c r="S71" s="14" t="n">
        <x:v>2024</x:v>
      </x:c>
      <x:c r="T71" s="14" t="n">
        <x:v>2024</x:v>
      </x:c>
      <x:c r="U71" s="14" t="str">
        <x:v>Explicit source first year retained</x:v>
      </x:c>
      <x:c r="V71" s="14" t="str">
        <x:v>Earliest supplied year is 2024.</x:v>
      </x:c>
      <x:c r="W71" s="14"/>
      <x:c r="X71" s="14" t="str">
        <x:v>Carried forward to 2024</x:v>
      </x:c>
      <x:c r="Y71" s="14"/>
      <x:c r="Z71" s="14" t="str">
        <x:v>Beyond Paradise.docx</x:v>
      </x:c>
      <x:c r="AA7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BBC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HYPERLINK("https://en.wikipedia.org/wiki/Beyond_Paradise","Open source")</x:f>
        <x:v>HYPERLINK is not implemented. linkLocation=https://en.wikipedia.org/wiki/Beyond_Paradise, friendlyName=Open source</x:v>
      </x:c>
      <x:c r="AN71" s="14" t="str">
        <x:v>BBC public-service commission</x:v>
      </x:c>
      <x:c r="AO71" s="14" t="str">
        <x:v>Yes</x:v>
      </x:c>
      <x:c r="AP71" s="14" t="str">
        <x:v>Direct BBC public-service scope</x:v>
      </x:c>
      <x:c r="AQ71" s="14" t="str">
        <x:v>Yes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27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1</x:v>
      </x:c>
      <x:c r="BS71" s="16" t="n">
        <x:v>0.037037037037037035</x:v>
      </x:c>
      <x:c r="BT71" s="14" t="str">
        <x:v>One episode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tt21161156|nm0916884|polly deakins</x:v>
      </x:c>
      <x:c r="B72" s="14" t="str">
        <x:v>01</x:v>
      </x:c>
      <x:c r="C72" s="14" t="str">
        <x:v>2023_IMDb_Cast_Lists_Batch_01(2).xlsx</x:v>
      </x:c>
      <x:c r="D72" s="14" t="str">
        <x:v>Beyond Paradise</x:v>
      </x:c>
      <x:c r="E72" s="14" t="n">
        <x:v>162</x:v>
      </x:c>
      <x:c r="F72" s="14" t="str">
        <x:v>Beyond Paradise</x:v>
      </x:c>
      <x:c r="G72" s="14" t="str">
        <x:v>tt21161156</x:v>
      </x:c>
      <x:c r="H72" s="14" t="n">
        <x:v>2023</x:v>
      </x:c>
      <x:c r="I72" s="14" t="n">
        <x:v>2023</x:v>
      </x:c>
      <x:c r="J72" s="14" t="str">
        <x:v>Future Carry-Forward Cohort</x:v>
      </x:c>
      <x:c r="K72" s="14"/>
      <x:c r="L72" s="14" t="str">
        <x:v>Not inherited</x:v>
      </x:c>
      <x:c r="M72" s="15" t="n">
        <x:v>155</x:v>
      </x:c>
      <x:c r="N72" s="14" t="str">
        <x:v>Flip Webster</x:v>
      </x:c>
      <x:c r="O72" s="14" t="str">
        <x:v>nm0916884</x:v>
      </x:c>
      <x:c r="P72" s="14" t="str">
        <x:v>Polly Deakins</x:v>
      </x:c>
      <x:c r="Q72" s="15" t="n">
        <x:v>1</x:v>
      </x:c>
      <x:c r="R72" s="14" t="str">
        <x:v>2024</x:v>
      </x:c>
      <x:c r="S72" s="14" t="n">
        <x:v>2024</x:v>
      </x:c>
      <x:c r="T72" s="14" t="n">
        <x:v>2024</x:v>
      </x:c>
      <x:c r="U72" s="14" t="str">
        <x:v>Explicit source first year retained</x:v>
      </x:c>
      <x:c r="V72" s="14" t="str">
        <x:v>Earliest supplied year is 2024.</x:v>
      </x:c>
      <x:c r="W72" s="14"/>
      <x:c r="X72" s="14" t="str">
        <x:v>Carried forward to 2024</x:v>
      </x:c>
      <x:c r="Y72" s="14"/>
      <x:c r="Z72" s="14" t="str">
        <x:v>Beyond Paradise.docx</x:v>
      </x:c>
      <x:c r="AA7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BBC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HYPERLINK("https://en.wikipedia.org/wiki/Beyond_Paradise","Open source")</x:f>
        <x:v>HYPERLINK is not implemented. linkLocation=https://en.wikipedia.org/wiki/Beyond_Paradise, friendlyName=Open source</x:v>
      </x:c>
      <x:c r="AN72" s="14" t="str">
        <x:v>BBC public-service commission</x:v>
      </x:c>
      <x:c r="AO72" s="14" t="str">
        <x:v>Yes</x:v>
      </x:c>
      <x:c r="AP72" s="14" t="str">
        <x:v>Direct BBC public-service scope</x:v>
      </x:c>
      <x:c r="AQ72" s="14" t="str">
        <x:v>Yes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27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1</x:v>
      </x:c>
      <x:c r="BS72" s="16" t="n">
        <x:v>0.037037037037037035</x:v>
      </x:c>
      <x:c r="BT72" s="14" t="str">
        <x:v>One episode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tt21161156|nm12179260|marie</x:v>
      </x:c>
      <x:c r="B73" s="14" t="str">
        <x:v>01</x:v>
      </x:c>
      <x:c r="C73" s="14" t="str">
        <x:v>2023_IMDb_Cast_Lists_Batch_01(2).xlsx</x:v>
      </x:c>
      <x:c r="D73" s="14" t="str">
        <x:v>Beyond Paradise</x:v>
      </x:c>
      <x:c r="E73" s="14" t="n">
        <x:v>163</x:v>
      </x:c>
      <x:c r="F73" s="14" t="str">
        <x:v>Beyond Paradise</x:v>
      </x:c>
      <x:c r="G73" s="14" t="str">
        <x:v>tt21161156</x:v>
      </x:c>
      <x:c r="H73" s="14" t="n">
        <x:v>2023</x:v>
      </x:c>
      <x:c r="I73" s="14" t="n">
        <x:v>2023</x:v>
      </x:c>
      <x:c r="J73" s="14" t="str">
        <x:v>Future Carry-Forward Cohort</x:v>
      </x:c>
      <x:c r="K73" s="14"/>
      <x:c r="L73" s="14" t="str">
        <x:v>Not inherited</x:v>
      </x:c>
      <x:c r="M73" s="15" t="n">
        <x:v>156</x:v>
      </x:c>
      <x:c r="N73" s="14" t="str">
        <x:v>Kat Dulfer</x:v>
      </x:c>
      <x:c r="O73" s="14" t="str">
        <x:v>nm12179260</x:v>
      </x:c>
      <x:c r="P73" s="14" t="str">
        <x:v>Marie</x:v>
      </x:c>
      <x:c r="Q73" s="15" t="n">
        <x:v>1</x:v>
      </x:c>
      <x:c r="R73" s="14" t="str">
        <x:v>2024</x:v>
      </x:c>
      <x:c r="S73" s="14" t="n">
        <x:v>2024</x:v>
      </x:c>
      <x:c r="T73" s="14" t="n">
        <x:v>2024</x:v>
      </x:c>
      <x:c r="U73" s="14" t="str">
        <x:v>Explicit source first year retained</x:v>
      </x:c>
      <x:c r="V73" s="14" t="str">
        <x:v>Earliest supplied year is 2024.</x:v>
      </x:c>
      <x:c r="W73" s="14"/>
      <x:c r="X73" s="14" t="str">
        <x:v>Carried forward to 2024</x:v>
      </x:c>
      <x:c r="Y73" s="14"/>
      <x:c r="Z73" s="14" t="str">
        <x:v>Beyond Paradise.docx</x:v>
      </x:c>
      <x:c r="AA7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BBC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HYPERLINK("https://en.wikipedia.org/wiki/Beyond_Paradise","Open source")</x:f>
        <x:v>HYPERLINK is not implemented. linkLocation=https://en.wikipedia.org/wiki/Beyond_Paradise, friendlyName=Open source</x:v>
      </x:c>
      <x:c r="AN73" s="14" t="str">
        <x:v>BBC public-service commission</x:v>
      </x:c>
      <x:c r="AO73" s="14" t="str">
        <x:v>Yes</x:v>
      </x:c>
      <x:c r="AP73" s="14" t="str">
        <x:v>Direct BBC public-service scope</x:v>
      </x:c>
      <x:c r="AQ73" s="14" t="str">
        <x:v>Yes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27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1</x:v>
      </x:c>
      <x:c r="BS73" s="16" t="n">
        <x:v>0.037037037037037035</x:v>
      </x:c>
      <x:c r="BT73" s="14" t="str">
        <x:v>One episode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tt21161156|nm0189850|penny</x:v>
      </x:c>
      <x:c r="B74" s="14" t="str">
        <x:v>01</x:v>
      </x:c>
      <x:c r="C74" s="14" t="str">
        <x:v>2023_IMDb_Cast_Lists_Batch_01(2).xlsx</x:v>
      </x:c>
      <x:c r="D74" s="14" t="str">
        <x:v>Beyond Paradise</x:v>
      </x:c>
      <x:c r="E74" s="14" t="n">
        <x:v>173</x:v>
      </x:c>
      <x:c r="F74" s="14" t="str">
        <x:v>Beyond Paradise</x:v>
      </x:c>
      <x:c r="G74" s="14" t="str">
        <x:v>tt21161156</x:v>
      </x:c>
      <x:c r="H74" s="14" t="n">
        <x:v>2023</x:v>
      </x:c>
      <x:c r="I74" s="14" t="n">
        <x:v>2023</x:v>
      </x:c>
      <x:c r="J74" s="14" t="str">
        <x:v>Future Carry-Forward Cohort</x:v>
      </x:c>
      <x:c r="K74" s="14"/>
      <x:c r="L74" s="14" t="str">
        <x:v>Not inherited</x:v>
      </x:c>
      <x:c r="M74" s="15" t="n">
        <x:v>166</x:v>
      </x:c>
      <x:c r="N74" s="14" t="str">
        <x:v>Liz Crowther</x:v>
      </x:c>
      <x:c r="O74" s="14" t="str">
        <x:v>nm0189850</x:v>
      </x:c>
      <x:c r="P74" s="14" t="str">
        <x:v>Penny</x:v>
      </x:c>
      <x:c r="Q74" s="15" t="n">
        <x:v>1</x:v>
      </x:c>
      <x:c r="R74" s="14" t="str">
        <x:v>2024</x:v>
      </x:c>
      <x:c r="S74" s="14" t="n">
        <x:v>2024</x:v>
      </x:c>
      <x:c r="T74" s="14" t="n">
        <x:v>2024</x:v>
      </x:c>
      <x:c r="U74" s="14" t="str">
        <x:v>Explicit source first year retained</x:v>
      </x:c>
      <x:c r="V74" s="14" t="str">
        <x:v>Earliest supplied year is 2024.</x:v>
      </x:c>
      <x:c r="W74" s="14"/>
      <x:c r="X74" s="14" t="str">
        <x:v>Carried forward to 2024</x:v>
      </x:c>
      <x:c r="Y74" s="14"/>
      <x:c r="Z74" s="14" t="str">
        <x:v>Beyond Paradise.docx</x:v>
      </x:c>
      <x:c r="AA7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BBC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HYPERLINK("https://en.wikipedia.org/wiki/Beyond_Paradise","Open source")</x:f>
        <x:v>HYPERLINK is not implemented. linkLocation=https://en.wikipedia.org/wiki/Beyond_Paradise, friendlyName=Open source</x:v>
      </x:c>
      <x:c r="AN74" s="14" t="str">
        <x:v>BBC public-service commission</x:v>
      </x:c>
      <x:c r="AO74" s="14" t="str">
        <x:v>Yes</x:v>
      </x:c>
      <x:c r="AP74" s="14" t="str">
        <x:v>Direct BBC public-service scope</x:v>
      </x:c>
      <x:c r="AQ74" s="14" t="str">
        <x:v>Yes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27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0.037037037037037035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tt21161156|nm1543264|jenny</x:v>
      </x:c>
      <x:c r="B75" s="14" t="str">
        <x:v>01</x:v>
      </x:c>
      <x:c r="C75" s="14" t="str">
        <x:v>2023_IMDb_Cast_Lists_Batch_01(2).xlsx</x:v>
      </x:c>
      <x:c r="D75" s="14" t="str">
        <x:v>Beyond Paradise</x:v>
      </x:c>
      <x:c r="E75" s="14" t="n">
        <x:v>181</x:v>
      </x:c>
      <x:c r="F75" s="14" t="str">
        <x:v>Beyond Paradise</x:v>
      </x:c>
      <x:c r="G75" s="14" t="str">
        <x:v>tt21161156</x:v>
      </x:c>
      <x:c r="H75" s="14" t="n">
        <x:v>2023</x:v>
      </x:c>
      <x:c r="I75" s="14" t="n">
        <x:v>2023</x:v>
      </x:c>
      <x:c r="J75" s="14" t="str">
        <x:v>Future Carry-Forward Cohort</x:v>
      </x:c>
      <x:c r="K75" s="14"/>
      <x:c r="L75" s="14" t="str">
        <x:v>Not inherited</x:v>
      </x:c>
      <x:c r="M75" s="15" t="n">
        <x:v>174</x:v>
      </x:c>
      <x:c r="N75" s="14" t="str">
        <x:v>Jasmine Hyde</x:v>
      </x:c>
      <x:c r="O75" s="14" t="str">
        <x:v>nm1543264</x:v>
      </x:c>
      <x:c r="P75" s="14" t="str">
        <x:v>Jenny</x:v>
      </x:c>
      <x:c r="Q75" s="15" t="n">
        <x:v>1</x:v>
      </x:c>
      <x:c r="R75" s="14" t="str">
        <x:v>2024</x:v>
      </x:c>
      <x:c r="S75" s="14" t="n">
        <x:v>2024</x:v>
      </x:c>
      <x:c r="T75" s="14" t="n">
        <x:v>2024</x:v>
      </x:c>
      <x:c r="U75" s="14" t="str">
        <x:v>Explicit source first year retained</x:v>
      </x:c>
      <x:c r="V75" s="14" t="str">
        <x:v>Earliest supplied year is 2024.</x:v>
      </x:c>
      <x:c r="W75" s="14"/>
      <x:c r="X75" s="14" t="str">
        <x:v>Carried forward to 2024</x:v>
      </x:c>
      <x:c r="Y75" s="14"/>
      <x:c r="Z75" s="14" t="str">
        <x:v>Beyond Paradise.docx</x:v>
      </x:c>
      <x:c r="AA7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BBC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HYPERLINK("https://en.wikipedia.org/wiki/Beyond_Paradise","Open source")</x:f>
        <x:v>HYPERLINK is not implemented. linkLocation=https://en.wikipedia.org/wiki/Beyond_Paradise, friendlyName=Open source</x:v>
      </x:c>
      <x:c r="AN75" s="14" t="str">
        <x:v>BBC public-service commission</x:v>
      </x:c>
      <x:c r="AO75" s="14" t="str">
        <x:v>Yes</x:v>
      </x:c>
      <x:c r="AP75" s="14" t="str">
        <x:v>Direct BBC public-service scope</x:v>
      </x:c>
      <x:c r="AQ75" s="14" t="str">
        <x:v>Yes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27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0.037037037037037035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tt21161156|nm0389001|maud bernberg</x:v>
      </x:c>
      <x:c r="B76" s="14" t="str">
        <x:v>01</x:v>
      </x:c>
      <x:c r="C76" s="14" t="str">
        <x:v>2023_IMDb_Cast_Lists_Batch_01(2).xlsx</x:v>
      </x:c>
      <x:c r="D76" s="14" t="str">
        <x:v>Beyond Paradise</x:v>
      </x:c>
      <x:c r="E76" s="14" t="n">
        <x:v>182</x:v>
      </x:c>
      <x:c r="F76" s="14" t="str">
        <x:v>Beyond Paradise</x:v>
      </x:c>
      <x:c r="G76" s="14" t="str">
        <x:v>tt21161156</x:v>
      </x:c>
      <x:c r="H76" s="14" t="n">
        <x:v>2023</x:v>
      </x:c>
      <x:c r="I76" s="14" t="n">
        <x:v>2023</x:v>
      </x:c>
      <x:c r="J76" s="14" t="str">
        <x:v>Future Carry-Forward Cohort</x:v>
      </x:c>
      <x:c r="K76" s="14"/>
      <x:c r="L76" s="14" t="str">
        <x:v>Not inherited</x:v>
      </x:c>
      <x:c r="M76" s="15" t="n">
        <x:v>175</x:v>
      </x:c>
      <x:c r="N76" s="14" t="str">
        <x:v>Leila Hoffman</x:v>
      </x:c>
      <x:c r="O76" s="14" t="str">
        <x:v>nm0389001</x:v>
      </x:c>
      <x:c r="P76" s="14" t="str">
        <x:v>Maud Bernberg</x:v>
      </x:c>
      <x:c r="Q76" s="15" t="n">
        <x:v>1</x:v>
      </x:c>
      <x:c r="R76" s="14" t="str">
        <x:v>2024</x:v>
      </x:c>
      <x:c r="S76" s="14" t="n">
        <x:v>2024</x:v>
      </x:c>
      <x:c r="T76" s="14" t="n">
        <x:v>2024</x:v>
      </x:c>
      <x:c r="U76" s="14" t="str">
        <x:v>Explicit source first year retained</x:v>
      </x:c>
      <x:c r="V76" s="14" t="str">
        <x:v>Earliest supplied year is 2024.</x:v>
      </x:c>
      <x:c r="W76" s="14"/>
      <x:c r="X76" s="14" t="str">
        <x:v>Carried forward to 2024</x:v>
      </x:c>
      <x:c r="Y76" s="14"/>
      <x:c r="Z76" s="14" t="str">
        <x:v>Beyond Paradise.docx</x:v>
      </x:c>
      <x:c r="AA7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BBC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HYPERLINK("https://en.wikipedia.org/wiki/Beyond_Paradise","Open source")</x:f>
        <x:v>HYPERLINK is not implemented. linkLocation=https://en.wikipedia.org/wiki/Beyond_Paradise, friendlyName=Open source</x:v>
      </x:c>
      <x:c r="AN76" s="14" t="str">
        <x:v>BBC public-service commission</x:v>
      </x:c>
      <x:c r="AO76" s="14" t="str">
        <x:v>Yes</x:v>
      </x:c>
      <x:c r="AP76" s="14" t="str">
        <x:v>Direct BBC public-service scope</x:v>
      </x:c>
      <x:c r="AQ76" s="14" t="str">
        <x:v>Yes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27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0.037037037037037035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tt21161156|nm5254639|pc billy blake</x:v>
      </x:c>
      <x:c r="B77" s="14" t="str">
        <x:v>01</x:v>
      </x:c>
      <x:c r="C77" s="14" t="str">
        <x:v>2023_IMDb_Cast_Lists_Batch_01(2).xlsx</x:v>
      </x:c>
      <x:c r="D77" s="14" t="str">
        <x:v>Beyond Paradise</x:v>
      </x:c>
      <x:c r="E77" s="14" t="n">
        <x:v>188</x:v>
      </x:c>
      <x:c r="F77" s="14" t="str">
        <x:v>Beyond Paradise</x:v>
      </x:c>
      <x:c r="G77" s="14" t="str">
        <x:v>tt21161156</x:v>
      </x:c>
      <x:c r="H77" s="14" t="n">
        <x:v>2023</x:v>
      </x:c>
      <x:c r="I77" s="14" t="n">
        <x:v>2023</x:v>
      </x:c>
      <x:c r="J77" s="14" t="str">
        <x:v>Future Carry-Forward Cohort</x:v>
      </x:c>
      <x:c r="K77" s="14"/>
      <x:c r="L77" s="14" t="str">
        <x:v>Not inherited</x:v>
      </x:c>
      <x:c r="M77" s="15" t="n">
        <x:v>181</x:v>
      </x:c>
      <x:c r="N77" s="14" t="str">
        <x:v>Sunil Patel</x:v>
      </x:c>
      <x:c r="O77" s="14" t="str">
        <x:v>nm5254639</x:v>
      </x:c>
      <x:c r="P77" s="14" t="str">
        <x:v>PC Billy Blake</x:v>
      </x:c>
      <x:c r="Q77" s="15" t="n">
        <x:v>1</x:v>
      </x:c>
      <x:c r="R77" s="14" t="str">
        <x:v>2024</x:v>
      </x:c>
      <x:c r="S77" s="14" t="n">
        <x:v>2024</x:v>
      </x:c>
      <x:c r="T77" s="14" t="n">
        <x:v>2024</x:v>
      </x:c>
      <x:c r="U77" s="14" t="str">
        <x:v>Explicit source first year retained</x:v>
      </x:c>
      <x:c r="V77" s="14" t="str">
        <x:v>Earliest supplied year is 2024.</x:v>
      </x:c>
      <x:c r="W77" s="14"/>
      <x:c r="X77" s="14" t="str">
        <x:v>Carried forward to 2024</x:v>
      </x:c>
      <x:c r="Y77" s="14"/>
      <x:c r="Z77" s="14" t="str">
        <x:v>Beyond Paradise.docx</x:v>
      </x:c>
      <x:c r="AA7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BBC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HYPERLINK("https://en.wikipedia.org/wiki/Beyond_Paradise","Open source")</x:f>
        <x:v>HYPERLINK is not implemented. linkLocation=https://en.wikipedia.org/wiki/Beyond_Paradise, friendlyName=Open source</x:v>
      </x:c>
      <x:c r="AN77" s="14" t="str">
        <x:v>BBC public-service commission</x:v>
      </x:c>
      <x:c r="AO77" s="14" t="str">
        <x:v>Yes</x:v>
      </x:c>
      <x:c r="AP77" s="14" t="str">
        <x:v>Direct BBC public-service scope</x:v>
      </x:c>
      <x:c r="AQ77" s="14" t="str">
        <x:v>Yes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27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0.037037037037037035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tt21161156|nm12302681|ben</x:v>
      </x:c>
      <x:c r="B78" s="14" t="str">
        <x:v>01</x:v>
      </x:c>
      <x:c r="C78" s="14" t="str">
        <x:v>2023_IMDb_Cast_Lists_Batch_01(2).xlsx</x:v>
      </x:c>
      <x:c r="D78" s="14" t="str">
        <x:v>Beyond Paradise</x:v>
      </x:c>
      <x:c r="E78" s="14" t="n">
        <x:v>189</x:v>
      </x:c>
      <x:c r="F78" s="14" t="str">
        <x:v>Beyond Paradise</x:v>
      </x:c>
      <x:c r="G78" s="14" t="str">
        <x:v>tt21161156</x:v>
      </x:c>
      <x:c r="H78" s="14" t="n">
        <x:v>2023</x:v>
      </x:c>
      <x:c r="I78" s="14" t="n">
        <x:v>2023</x:v>
      </x:c>
      <x:c r="J78" s="14" t="str">
        <x:v>Future Carry-Forward Cohort</x:v>
      </x:c>
      <x:c r="K78" s="14"/>
      <x:c r="L78" s="14" t="str">
        <x:v>Not inherited</x:v>
      </x:c>
      <x:c r="M78" s="15" t="n">
        <x:v>182</x:v>
      </x:c>
      <x:c r="N78" s="14" t="str">
        <x:v>Sami Amber</x:v>
      </x:c>
      <x:c r="O78" s="14" t="str">
        <x:v>nm12302681</x:v>
      </x:c>
      <x:c r="P78" s="14" t="str">
        <x:v>Ben</x:v>
      </x:c>
      <x:c r="Q78" s="15" t="n">
        <x:v>1</x:v>
      </x:c>
      <x:c r="R78" s="14" t="str">
        <x:v>2024</x:v>
      </x:c>
      <x:c r="S78" s="14" t="n">
        <x:v>2024</x:v>
      </x:c>
      <x:c r="T78" s="14" t="n">
        <x:v>2024</x:v>
      </x:c>
      <x:c r="U78" s="14" t="str">
        <x:v>Explicit source first year retained</x:v>
      </x:c>
      <x:c r="V78" s="14" t="str">
        <x:v>Earliest supplied year is 2024.</x:v>
      </x:c>
      <x:c r="W78" s="14"/>
      <x:c r="X78" s="14" t="str">
        <x:v>Carried forward to 2024</x:v>
      </x:c>
      <x:c r="Y78" s="14"/>
      <x:c r="Z78" s="14" t="str">
        <x:v>Beyond Paradise.docx</x:v>
      </x:c>
      <x:c r="AA7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BBC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HYPERLINK("https://en.wikipedia.org/wiki/Beyond_Paradise","Open source")</x:f>
        <x:v>HYPERLINK is not implemented. linkLocation=https://en.wikipedia.org/wiki/Beyond_Paradise, friendlyName=Open source</x:v>
      </x:c>
      <x:c r="AN78" s="14" t="str">
        <x:v>BBC public-service commission</x:v>
      </x:c>
      <x:c r="AO78" s="14" t="str">
        <x:v>Yes</x:v>
      </x:c>
      <x:c r="AP78" s="14" t="str">
        <x:v>Direct BBC public-service scope</x:v>
      </x:c>
      <x:c r="AQ78" s="14" t="str">
        <x:v>Yes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27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0.037037037037037035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tt21161156|nm16862375|church choir</x:v>
      </x:c>
      <x:c r="B79" s="14" t="str">
        <x:v>01</x:v>
      </x:c>
      <x:c r="C79" s="14" t="str">
        <x:v>2023_IMDb_Cast_Lists_Batch_01(2).xlsx</x:v>
      </x:c>
      <x:c r="D79" s="14" t="str">
        <x:v>Beyond Paradise</x:v>
      </x:c>
      <x:c r="E79" s="14" t="n">
        <x:v>191</x:v>
      </x:c>
      <x:c r="F79" s="14" t="str">
        <x:v>Beyond Paradise</x:v>
      </x:c>
      <x:c r="G79" s="14" t="str">
        <x:v>tt21161156</x:v>
      </x:c>
      <x:c r="H79" s="14" t="n">
        <x:v>2023</x:v>
      </x:c>
      <x:c r="I79" s="14" t="n">
        <x:v>2023</x:v>
      </x:c>
      <x:c r="J79" s="14" t="str">
        <x:v>Future Carry-Forward Cohort</x:v>
      </x:c>
      <x:c r="K79" s="14"/>
      <x:c r="L79" s="14" t="str">
        <x:v>Not inherited</x:v>
      </x:c>
      <x:c r="M79" s="15" t="n">
        <x:v>184</x:v>
      </x:c>
      <x:c r="N79" s="14" t="str">
        <x:v>Brunel Primary Academy Choir</x:v>
      </x:c>
      <x:c r="O79" s="14" t="str">
        <x:v>nm16862375</x:v>
      </x:c>
      <x:c r="P79" s="14" t="str">
        <x:v>Church Choir</x:v>
      </x:c>
      <x:c r="Q79" s="15" t="n">
        <x:v>1</x:v>
      </x:c>
      <x:c r="R79" s="14" t="str">
        <x:v>2024</x:v>
      </x:c>
      <x:c r="S79" s="14" t="n">
        <x:v>2024</x:v>
      </x:c>
      <x:c r="T79" s="14" t="n">
        <x:v>2024</x:v>
      </x:c>
      <x:c r="U79" s="14" t="str">
        <x:v>Explicit source first year retained</x:v>
      </x:c>
      <x:c r="V79" s="14" t="str">
        <x:v>Earliest supplied year is 2024.</x:v>
      </x:c>
      <x:c r="W79" s="14"/>
      <x:c r="X79" s="14" t="str">
        <x:v>Carried forward to 2024</x:v>
      </x:c>
      <x:c r="Y79" s="14"/>
      <x:c r="Z79" s="14" t="str">
        <x:v>Beyond Paradise.docx</x:v>
      </x:c>
      <x:c r="AA7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BBC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HYPERLINK("https://en.wikipedia.org/wiki/Beyond_Paradise","Open source")</x:f>
        <x:v>HYPERLINK is not implemented. linkLocation=https://en.wikipedia.org/wiki/Beyond_Paradise, friendlyName=Open source</x:v>
      </x:c>
      <x:c r="AN79" s="14" t="str">
        <x:v>BBC public-service commission</x:v>
      </x:c>
      <x:c r="AO79" s="14" t="str">
        <x:v>Yes</x:v>
      </x:c>
      <x:c r="AP79" s="14" t="str">
        <x:v>Direct BBC public-service scope</x:v>
      </x:c>
      <x:c r="AQ79" s="14" t="str">
        <x:v>Yes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27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0.037037037037037035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tt14466018|nm8984706|shane bradley</x:v>
      </x:c>
      <x:c r="B80" s="14" t="str">
        <x:v>01</x:v>
      </x:c>
      <x:c r="C80" s="14" t="str">
        <x:v>2023_IMDb_Cast_Lists_Batch_01(2).xlsx</x:v>
      </x:c>
      <x:c r="D80" s="14" t="str">
        <x:v>Blue Lights</x:v>
      </x:c>
      <x:c r="E80" s="14" t="n">
        <x:v>16</x:v>
      </x:c>
      <x:c r="F80" s="14" t="str">
        <x:v>Blue Lights</x:v>
      </x:c>
      <x:c r="G80" s="14" t="str">
        <x:v>tt14466018</x:v>
      </x:c>
      <x:c r="H80" s="14" t="n">
        <x:v>2023</x:v>
      </x:c>
      <x:c r="I80" s="14" t="n">
        <x:v>2023</x:v>
      </x:c>
      <x:c r="J80" s="14" t="str">
        <x:v>Future Carry-Forward Cohort</x:v>
      </x:c>
      <x:c r="K80" s="14"/>
      <x:c r="L80" s="14" t="str">
        <x:v>Not inherited</x:v>
      </x:c>
      <x:c r="M80" s="15" t="n">
        <x:v>9</x:v>
      </x:c>
      <x:c r="N80" s="14" t="str">
        <x:v>Frank Blake</x:v>
      </x:c>
      <x:c r="O80" s="14" t="str">
        <x:v>nm8984706</x:v>
      </x:c>
      <x:c r="P80" s="14" t="str">
        <x:v>Shane Bradley</x:v>
      </x:c>
      <x:c r="Q80" s="15" t="n">
        <x:v>13</x:v>
      </x:c>
      <x:c r="R80" s="14" t="str">
        <x:v>2024–2026</x:v>
      </x:c>
      <x:c r="S80" s="14" t="n">
        <x:v>2024</x:v>
      </x:c>
      <x:c r="T80" s="14" t="n">
        <x:v>2024</x:v>
      </x:c>
      <x:c r="U80" s="14" t="str">
        <x:v>Explicit source first year retained</x:v>
      </x:c>
      <x:c r="V80" s="14" t="str">
        <x:v>Earliest supplied year is 2024.</x:v>
      </x:c>
      <x:c r="W80" s="14"/>
      <x:c r="X80" s="14" t="str">
        <x:v>Carried forward to 2024</x:v>
      </x:c>
      <x:c r="Y80" s="14"/>
      <x:c r="Z80" s="14" t="str">
        <x:v>Blue Lights.docx</x:v>
      </x:c>
      <x:c r="AA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BBC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HYPERLINK("https://en.wikipedia.org/wiki/Blue_Light","Open source")</x:f>
        <x:v>HYPERLINK is not implemented. linkLocation=https://en.wikipedia.org/wiki/Blue_Light, friendlyName=Open source</x:v>
      </x:c>
      <x:c r="AN80" s="14" t="str">
        <x:v>BBC public-service commission</x:v>
      </x:c>
      <x:c r="AO80" s="14" t="str">
        <x:v>Yes</x:v>
      </x:c>
      <x:c r="AP80" s="14" t="str">
        <x:v>Direct BBC public-service scope</x:v>
      </x:c>
      <x:c r="AQ80" s="14" t="str">
        <x:v>Yes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19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13</x:v>
      </x:c>
      <x:c r="BS80" s="16" t="n">
        <x:v>0.6842105263157895</x:v>
      </x:c>
      <x:c r="BT80" s="14" t="str">
        <x:v>Majority of episodes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tt14466018|nm5339108|lee thompson</x:v>
      </x:c>
      <x:c r="B81" s="14" t="str">
        <x:v>01</x:v>
      </x:c>
      <x:c r="C81" s="14" t="str">
        <x:v>2023_IMDb_Cast_Lists_Batch_01(2).xlsx</x:v>
      </x:c>
      <x:c r="D81" s="14" t="str">
        <x:v>Blue Lights</x:v>
      </x:c>
      <x:c r="E81" s="14" t="n">
        <x:v>24</x:v>
      </x:c>
      <x:c r="F81" s="14" t="str">
        <x:v>Blue Lights</x:v>
      </x:c>
      <x:c r="G81" s="14" t="str">
        <x:v>tt14466018</x:v>
      </x:c>
      <x:c r="H81" s="14" t="n">
        <x:v>2023</x:v>
      </x:c>
      <x:c r="I81" s="14" t="n">
        <x:v>2023</x:v>
      </x:c>
      <x:c r="J81" s="14" t="str">
        <x:v>Future Carry-Forward Cohort</x:v>
      </x:c>
      <x:c r="K81" s="14"/>
      <x:c r="L81" s="14" t="str">
        <x:v>Not inherited</x:v>
      </x:c>
      <x:c r="M81" s="15" t="n">
        <x:v>17</x:v>
      </x:c>
      <x:c r="N81" s="14" t="str">
        <x:v>Seamus O'Hara</x:v>
      </x:c>
      <x:c r="O81" s="14" t="str">
        <x:v>nm5339108</x:v>
      </x:c>
      <x:c r="P81" s="14" t="str">
        <x:v>Lee Thompson</x:v>
      </x:c>
      <x:c r="Q81" s="15" t="n">
        <x:v>8</x:v>
      </x:c>
      <x:c r="R81" s="14" t="str">
        <x:v>2024–2026</x:v>
      </x:c>
      <x:c r="S81" s="14" t="n">
        <x:v>2024</x:v>
      </x:c>
      <x:c r="T81" s="14" t="n">
        <x:v>2024</x:v>
      </x:c>
      <x:c r="U81" s="14" t="str">
        <x:v>Explicit source first year retained</x:v>
      </x:c>
      <x:c r="V81" s="14" t="str">
        <x:v>Earliest supplied year is 2024.</x:v>
      </x:c>
      <x:c r="W81" s="14"/>
      <x:c r="X81" s="14" t="str">
        <x:v>Carried forward to 2024</x:v>
      </x:c>
      <x:c r="Y81" s="14"/>
      <x:c r="Z81" s="14" t="str">
        <x:v>Blue Lights.docx</x:v>
      </x:c>
      <x:c r="AA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BBC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HYPERLINK("https://en.wikipedia.org/wiki/Blue_Light","Open source")</x:f>
        <x:v>HYPERLINK is not implemented. linkLocation=https://en.wikipedia.org/wiki/Blue_Light, friendlyName=Open source</x:v>
      </x:c>
      <x:c r="AN81" s="14" t="str">
        <x:v>BBC public-service commission</x:v>
      </x:c>
      <x:c r="AO81" s="14" t="str">
        <x:v>Yes</x:v>
      </x:c>
      <x:c r="AP81" s="14" t="str">
        <x:v>Direct BBC public-service scope</x:v>
      </x:c>
      <x:c r="AQ81" s="14" t="str">
        <x:v>Yes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19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8</x:v>
      </x:c>
      <x:c r="BS81" s="16" t="n">
        <x:v>0.42105263157894735</x:v>
      </x:c>
      <x:c r="BT81" s="14" t="str">
        <x:v>Minority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tt14466018|nm14083787|henry thompson</x:v>
      </x:c>
      <x:c r="B82" s="14" t="str">
        <x:v>01</x:v>
      </x:c>
      <x:c r="C82" s="14" t="str">
        <x:v>2023_IMDb_Cast_Lists_Batch_01(2).xlsx</x:v>
      </x:c>
      <x:c r="D82" s="14" t="str">
        <x:v>Blue Lights</x:v>
      </x:c>
      <x:c r="E82" s="14" t="n">
        <x:v>29</x:v>
      </x:c>
      <x:c r="F82" s="14" t="str">
        <x:v>Blue Lights</x:v>
      </x:c>
      <x:c r="G82" s="14" t="str">
        <x:v>tt14466018</x:v>
      </x:c>
      <x:c r="H82" s="14" t="n">
        <x:v>2023</x:v>
      </x:c>
      <x:c r="I82" s="14" t="n">
        <x:v>2023</x:v>
      </x:c>
      <x:c r="J82" s="14" t="str">
        <x:v>Future Carry-Forward Cohort</x:v>
      </x:c>
      <x:c r="K82" s="14"/>
      <x:c r="L82" s="14" t="str">
        <x:v>Not inherited</x:v>
      </x:c>
      <x:c r="M82" s="15" t="n">
        <x:v>22</x:v>
      </x:c>
      <x:c r="N82" s="14" t="str">
        <x:v>Alfie Lawless</x:v>
      </x:c>
      <x:c r="O82" s="14" t="str">
        <x:v>nm14083787</x:v>
      </x:c>
      <x:c r="P82" s="14" t="str">
        <x:v>Henry Thompson</x:v>
      </x:c>
      <x:c r="Q82" s="15" t="n">
        <x:v>6</x:v>
      </x:c>
      <x:c r="R82" s="14" t="str">
        <x:v>2024</x:v>
      </x:c>
      <x:c r="S82" s="14" t="n">
        <x:v>2024</x:v>
      </x:c>
      <x:c r="T82" s="14" t="n">
        <x:v>2024</x:v>
      </x:c>
      <x:c r="U82" s="14" t="str">
        <x:v>Explicit source first year retained</x:v>
      </x:c>
      <x:c r="V82" s="14" t="str">
        <x:v>Earliest supplied year is 2024.</x:v>
      </x:c>
      <x:c r="W82" s="14"/>
      <x:c r="X82" s="14" t="str">
        <x:v>Carried forward to 2024</x:v>
      </x:c>
      <x:c r="Y82" s="14"/>
      <x:c r="Z82" s="14" t="str">
        <x:v>Blue Lights.docx</x:v>
      </x:c>
      <x:c r="AA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BBC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HYPERLINK("https://en.wikipedia.org/wiki/Blue_Light","Open source")</x:f>
        <x:v>HYPERLINK is not implemented. linkLocation=https://en.wikipedia.org/wiki/Blue_Light, friendlyName=Open source</x:v>
      </x:c>
      <x:c r="AN82" s="14" t="str">
        <x:v>BBC public-service commission</x:v>
      </x:c>
      <x:c r="AO82" s="14" t="str">
        <x:v>Yes</x:v>
      </x:c>
      <x:c r="AP82" s="14" t="str">
        <x:v>Direct BBC public-service scope</x:v>
      </x:c>
      <x:c r="AQ82" s="14" t="str">
        <x:v>Yes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19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6</x:v>
      </x:c>
      <x:c r="BS82" s="16" t="n">
        <x:v>0.3157894736842105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tt14466018|nm6210727|craig mcquarrie</x:v>
      </x:c>
      <x:c r="B83" s="14" t="str">
        <x:v>01</x:v>
      </x:c>
      <x:c r="C83" s="14" t="str">
        <x:v>2023_IMDb_Cast_Lists_Batch_01(2).xlsx</x:v>
      </x:c>
      <x:c r="D83" s="14" t="str">
        <x:v>Blue Lights</x:v>
      </x:c>
      <x:c r="E83" s="14" t="n">
        <x:v>34</x:v>
      </x:c>
      <x:c r="F83" s="14" t="str">
        <x:v>Blue Lights</x:v>
      </x:c>
      <x:c r="G83" s="14" t="str">
        <x:v>tt14466018</x:v>
      </x:c>
      <x:c r="H83" s="14" t="n">
        <x:v>2023</x:v>
      </x:c>
      <x:c r="I83" s="14" t="n">
        <x:v>2023</x:v>
      </x:c>
      <x:c r="J83" s="14" t="str">
        <x:v>Future Carry-Forward Cohort</x:v>
      </x:c>
      <x:c r="K83" s="14"/>
      <x:c r="L83" s="14" t="str">
        <x:v>Not inherited</x:v>
      </x:c>
      <x:c r="M83" s="15" t="n">
        <x:v>27</x:v>
      </x:c>
      <x:c r="N83" s="14" t="str">
        <x:v>Craig McGinlay</x:v>
      </x:c>
      <x:c r="O83" s="14" t="str">
        <x:v>nm6210727</x:v>
      </x:c>
      <x:c r="P83" s="14" t="str">
        <x:v>Craig McQuarrie</x:v>
      </x:c>
      <x:c r="Q83" s="15" t="n">
        <x:v>6</x:v>
      </x:c>
      <x:c r="R83" s="14" t="str">
        <x:v>2024</x:v>
      </x:c>
      <x:c r="S83" s="14" t="n">
        <x:v>2024</x:v>
      </x:c>
      <x:c r="T83" s="14" t="n">
        <x:v>2024</x:v>
      </x:c>
      <x:c r="U83" s="14" t="str">
        <x:v>Explicit source first year retained</x:v>
      </x:c>
      <x:c r="V83" s="14" t="str">
        <x:v>Earliest supplied year is 2024.</x:v>
      </x:c>
      <x:c r="W83" s="14"/>
      <x:c r="X83" s="14" t="str">
        <x:v>Carried forward to 2024</x:v>
      </x:c>
      <x:c r="Y83" s="14"/>
      <x:c r="Z83" s="14" t="str">
        <x:v>Blue Lights.docx</x:v>
      </x:c>
      <x:c r="AA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BBC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HYPERLINK("https://en.wikipedia.org/wiki/Blue_Light","Open source")</x:f>
        <x:v>HYPERLINK is not implemented. linkLocation=https://en.wikipedia.org/wiki/Blue_Light, friendlyName=Open source</x:v>
      </x:c>
      <x:c r="AN83" s="14" t="str">
        <x:v>BBC public-service commission</x:v>
      </x:c>
      <x:c r="AO83" s="14" t="str">
        <x:v>Yes</x:v>
      </x:c>
      <x:c r="AP83" s="14" t="str">
        <x:v>Direct BBC public-service scope</x:v>
      </x:c>
      <x:c r="AQ83" s="14" t="str">
        <x:v>Yes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19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6</x:v>
      </x:c>
      <x:c r="BS83" s="16" t="n">
        <x:v>0.3157894736842105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tt14466018|nm4881749|margaret 'mags' thompson</x:v>
      </x:c>
      <x:c r="B84" s="14" t="str">
        <x:v>01</x:v>
      </x:c>
      <x:c r="C84" s="14" t="str">
        <x:v>2023_IMDb_Cast_Lists_Batch_01(2).xlsx</x:v>
      </x:c>
      <x:c r="D84" s="14" t="str">
        <x:v>Blue Lights</x:v>
      </x:c>
      <x:c r="E84" s="14" t="n">
        <x:v>36</x:v>
      </x:c>
      <x:c r="F84" s="14" t="str">
        <x:v>Blue Lights</x:v>
      </x:c>
      <x:c r="G84" s="14" t="str">
        <x:v>tt14466018</x:v>
      </x:c>
      <x:c r="H84" s="14" t="n">
        <x:v>2023</x:v>
      </x:c>
      <x:c r="I84" s="14" t="n">
        <x:v>2023</x:v>
      </x:c>
      <x:c r="J84" s="14" t="str">
        <x:v>Future Carry-Forward Cohort</x:v>
      </x:c>
      <x:c r="K84" s="14"/>
      <x:c r="L84" s="14" t="str">
        <x:v>Not inherited</x:v>
      </x:c>
      <x:c r="M84" s="15" t="n">
        <x:v>29</x:v>
      </x:c>
      <x:c r="N84" s="14" t="str">
        <x:v>Seána Kerslake</x:v>
      </x:c>
      <x:c r="O84" s="14" t="str">
        <x:v>nm4881749</x:v>
      </x:c>
      <x:c r="P84" s="14" t="str">
        <x:v>Margaret 'Mags' Thompson</x:v>
      </x:c>
      <x:c r="Q84" s="15" t="n">
        <x:v>6</x:v>
      </x:c>
      <x:c r="R84" s="14" t="str">
        <x:v>2024</x:v>
      </x:c>
      <x:c r="S84" s="14" t="n">
        <x:v>2024</x:v>
      </x:c>
      <x:c r="T84" s="14" t="n">
        <x:v>2024</x:v>
      </x:c>
      <x:c r="U84" s="14" t="str">
        <x:v>Explicit source first year retained</x:v>
      </x:c>
      <x:c r="V84" s="14" t="str">
        <x:v>Earliest supplied year is 2024.</x:v>
      </x:c>
      <x:c r="W84" s="14"/>
      <x:c r="X84" s="14" t="str">
        <x:v>Carried forward to 2024</x:v>
      </x:c>
      <x:c r="Y84" s="14"/>
      <x:c r="Z84" s="14" t="str">
        <x:v>Blue Lights.docx</x:v>
      </x:c>
      <x:c r="AA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BBC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HYPERLINK("https://en.wikipedia.org/wiki/Blue_Light","Open source")</x:f>
        <x:v>HYPERLINK is not implemented. linkLocation=https://en.wikipedia.org/wiki/Blue_Light, friendlyName=Open source</x:v>
      </x:c>
      <x:c r="AN84" s="14" t="str">
        <x:v>BBC public-service commission</x:v>
      </x:c>
      <x:c r="AO84" s="14" t="str">
        <x:v>Yes</x:v>
      </x:c>
      <x:c r="AP84" s="14" t="str">
        <x:v>Direct BBC public-service scope</x:v>
      </x:c>
      <x:c r="AQ84" s="14" t="str">
        <x:v>Yes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19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6</x:v>
      </x:c>
      <x:c r="BS84" s="16" t="n">
        <x:v>0.3157894736842105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tt14466018|nm0330107|robert 'rab' mckendry</x:v>
      </x:c>
      <x:c r="B85" s="14" t="str">
        <x:v>01</x:v>
      </x:c>
      <x:c r="C85" s="14" t="str">
        <x:v>2023_IMDb_Cast_Lists_Batch_01(2).xlsx</x:v>
      </x:c>
      <x:c r="D85" s="14" t="str">
        <x:v>Blue Lights</x:v>
      </x:c>
      <x:c r="E85" s="14" t="n">
        <x:v>37</x:v>
      </x:c>
      <x:c r="F85" s="14" t="str">
        <x:v>Blue Lights</x:v>
      </x:c>
      <x:c r="G85" s="14" t="str">
        <x:v>tt14466018</x:v>
      </x:c>
      <x:c r="H85" s="14" t="n">
        <x:v>2023</x:v>
      </x:c>
      <x:c r="I85" s="14" t="n">
        <x:v>2023</x:v>
      </x:c>
      <x:c r="J85" s="14" t="str">
        <x:v>Future Carry-Forward Cohort</x:v>
      </x:c>
      <x:c r="K85" s="14"/>
      <x:c r="L85" s="14" t="str">
        <x:v>Not inherited</x:v>
      </x:c>
      <x:c r="M85" s="15" t="n">
        <x:v>30</x:v>
      </x:c>
      <x:c r="N85" s="14" t="str">
        <x:v>Dan Gordon</x:v>
      </x:c>
      <x:c r="O85" s="14" t="str">
        <x:v>nm0330107</x:v>
      </x:c>
      <x:c r="P85" s="14" t="str">
        <x:v>Robert 'Rab' McKendry</x:v>
      </x:c>
      <x:c r="Q85" s="15" t="n">
        <x:v>6</x:v>
      </x:c>
      <x:c r="R85" s="14" t="str">
        <x:v>2024</x:v>
      </x:c>
      <x:c r="S85" s="14" t="n">
        <x:v>2024</x:v>
      </x:c>
      <x:c r="T85" s="14" t="n">
        <x:v>2024</x:v>
      </x:c>
      <x:c r="U85" s="14" t="str">
        <x:v>Explicit source first year retained</x:v>
      </x:c>
      <x:c r="V85" s="14" t="str">
        <x:v>Earliest supplied year is 2024.</x:v>
      </x:c>
      <x:c r="W85" s="14"/>
      <x:c r="X85" s="14" t="str">
        <x:v>Carried forward to 2024</x:v>
      </x:c>
      <x:c r="Y85" s="14"/>
      <x:c r="Z85" s="14" t="str">
        <x:v>Blue Lights.docx</x:v>
      </x:c>
      <x:c r="AA8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BBC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HYPERLINK("https://en.wikipedia.org/wiki/Blue_Light","Open source")</x:f>
        <x:v>HYPERLINK is not implemented. linkLocation=https://en.wikipedia.org/wiki/Blue_Light, friendlyName=Open source</x:v>
      </x:c>
      <x:c r="AN85" s="14" t="str">
        <x:v>BBC public-service commission</x:v>
      </x:c>
      <x:c r="AO85" s="14" t="str">
        <x:v>Yes</x:v>
      </x:c>
      <x:c r="AP85" s="14" t="str">
        <x:v>Direct BBC public-service scope</x:v>
      </x:c>
      <x:c r="AQ85" s="14" t="str">
        <x:v>Yes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19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6</x:v>
      </x:c>
      <x:c r="BS85" s="16" t="n">
        <x:v>0.3157894736842105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tt14466018|nm0860054|robin graham</x:v>
      </x:c>
      <x:c r="B86" s="14" t="str">
        <x:v>01</x:v>
      </x:c>
      <x:c r="C86" s="14" t="str">
        <x:v>2023_IMDb_Cast_Lists_Batch_01(2).xlsx</x:v>
      </x:c>
      <x:c r="D86" s="14" t="str">
        <x:v>Blue Lights</x:v>
      </x:c>
      <x:c r="E86" s="14" t="n">
        <x:v>45</x:v>
      </x:c>
      <x:c r="F86" s="14" t="str">
        <x:v>Blue Lights</x:v>
      </x:c>
      <x:c r="G86" s="14" t="str">
        <x:v>tt14466018</x:v>
      </x:c>
      <x:c r="H86" s="14" t="n">
        <x:v>2023</x:v>
      </x:c>
      <x:c r="I86" s="14" t="n">
        <x:v>2023</x:v>
      </x:c>
      <x:c r="J86" s="14" t="str">
        <x:v>Future Carry-Forward Cohort</x:v>
      </x:c>
      <x:c r="K86" s="14"/>
      <x:c r="L86" s="14" t="str">
        <x:v>Not inherited</x:v>
      </x:c>
      <x:c r="M86" s="15" t="n">
        <x:v>38</x:v>
      </x:c>
      <x:c r="N86" s="14" t="str">
        <x:v>Derek Thompson</x:v>
      </x:c>
      <x:c r="O86" s="14" t="str">
        <x:v>nm0860054</x:v>
      </x:c>
      <x:c r="P86" s="14" t="str">
        <x:v>Robin Graham</x:v>
      </x:c>
      <x:c r="Q86" s="15" t="n">
        <x:v>5</x:v>
      </x:c>
      <x:c r="R86" s="14" t="str">
        <x:v>2024</x:v>
      </x:c>
      <x:c r="S86" s="14" t="n">
        <x:v>2024</x:v>
      </x:c>
      <x:c r="T86" s="14" t="n">
        <x:v>2024</x:v>
      </x:c>
      <x:c r="U86" s="14" t="str">
        <x:v>Explicit source first year retained</x:v>
      </x:c>
      <x:c r="V86" s="14" t="str">
        <x:v>Earliest supplied year is 2024.</x:v>
      </x:c>
      <x:c r="W86" s="14"/>
      <x:c r="X86" s="14" t="str">
        <x:v>Carried forward to 2024</x:v>
      </x:c>
      <x:c r="Y86" s="14"/>
      <x:c r="Z86" s="14" t="str">
        <x:v>Blue Lights.docx</x:v>
      </x:c>
      <x:c r="AA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BBC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HYPERLINK("https://en.wikipedia.org/wiki/Blue_Light","Open source")</x:f>
        <x:v>HYPERLINK is not implemented. linkLocation=https://en.wikipedia.org/wiki/Blue_Light, friendlyName=Open source</x:v>
      </x:c>
      <x:c r="AN86" s="14" t="str">
        <x:v>BBC public-service commission</x:v>
      </x:c>
      <x:c r="AO86" s="14" t="str">
        <x:v>Yes</x:v>
      </x:c>
      <x:c r="AP86" s="14" t="str">
        <x:v>Direct BBC public-service scope</x:v>
      </x:c>
      <x:c r="AQ86" s="14" t="str">
        <x:v>Yes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19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5</x:v>
      </x:c>
      <x:c r="BS86" s="16" t="n">
        <x:v>0.2631578947368421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tt14466018|nm1782283|john desai</x:v>
      </x:c>
      <x:c r="B87" s="14" t="str">
        <x:v>01</x:v>
      </x:c>
      <x:c r="C87" s="14" t="str">
        <x:v>2023_IMDb_Cast_Lists_Batch_01(2).xlsx</x:v>
      </x:c>
      <x:c r="D87" s="14" t="str">
        <x:v>Blue Lights</x:v>
      </x:c>
      <x:c r="E87" s="14" t="n">
        <x:v>50</x:v>
      </x:c>
      <x:c r="F87" s="14" t="str">
        <x:v>Blue Lights</x:v>
      </x:c>
      <x:c r="G87" s="14" t="str">
        <x:v>tt14466018</x:v>
      </x:c>
      <x:c r="H87" s="14" t="n">
        <x:v>2023</x:v>
      </x:c>
      <x:c r="I87" s="14" t="n">
        <x:v>2023</x:v>
      </x:c>
      <x:c r="J87" s="14" t="str">
        <x:v>Future Carry-Forward Cohort</x:v>
      </x:c>
      <x:c r="K87" s="14"/>
      <x:c r="L87" s="14" t="str">
        <x:v>Not inherited</x:v>
      </x:c>
      <x:c r="M87" s="15" t="n">
        <x:v>43</x:v>
      </x:c>
      <x:c r="N87" s="14" t="str">
        <x:v>John Nayagam</x:v>
      </x:c>
      <x:c r="O87" s="14" t="str">
        <x:v>nm1782283</x:v>
      </x:c>
      <x:c r="P87" s="14" t="str">
        <x:v>John Desai</x:v>
      </x:c>
      <x:c r="Q87" s="15" t="n">
        <x:v>4</x:v>
      </x:c>
      <x:c r="R87" s="14" t="str">
        <x:v>2024</x:v>
      </x:c>
      <x:c r="S87" s="14" t="n">
        <x:v>2024</x:v>
      </x:c>
      <x:c r="T87" s="14" t="n">
        <x:v>2024</x:v>
      </x:c>
      <x:c r="U87" s="14" t="str">
        <x:v>Explicit source first year retained</x:v>
      </x:c>
      <x:c r="V87" s="14" t="str">
        <x:v>Earliest supplied year is 2024.</x:v>
      </x:c>
      <x:c r="W87" s="14"/>
      <x:c r="X87" s="14" t="str">
        <x:v>Carried forward to 2024</x:v>
      </x:c>
      <x:c r="Y87" s="14"/>
      <x:c r="Z87" s="14" t="str">
        <x:v>Blue Lights.docx</x:v>
      </x:c>
      <x:c r="AA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BBC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HYPERLINK("https://en.wikipedia.org/wiki/Blue_Light","Open source")</x:f>
        <x:v>HYPERLINK is not implemented. linkLocation=https://en.wikipedia.org/wiki/Blue_Light, friendlyName=Open source</x:v>
      </x:c>
      <x:c r="AN87" s="14" t="str">
        <x:v>BBC public-service commission</x:v>
      </x:c>
      <x:c r="AO87" s="14" t="str">
        <x:v>Yes</x:v>
      </x:c>
      <x:c r="AP87" s="14" t="str">
        <x:v>Direct BBC public-service scope</x:v>
      </x:c>
      <x:c r="AQ87" s="14" t="str">
        <x:v>Yes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19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4</x:v>
      </x:c>
      <x:c r="BS87" s="16" t="n">
        <x:v>0.21052631578947367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tt14466018|nm1721126|keith wylie</x:v>
      </x:c>
      <x:c r="B88" s="14" t="str">
        <x:v>01</x:v>
      </x:c>
      <x:c r="C88" s="14" t="str">
        <x:v>2023_IMDb_Cast_Lists_Batch_01(2).xlsx</x:v>
      </x:c>
      <x:c r="D88" s="14" t="str">
        <x:v>Blue Lights</x:v>
      </x:c>
      <x:c r="E88" s="14" t="n">
        <x:v>51</x:v>
      </x:c>
      <x:c r="F88" s="14" t="str">
        <x:v>Blue Lights</x:v>
      </x:c>
      <x:c r="G88" s="14" t="str">
        <x:v>tt14466018</x:v>
      </x:c>
      <x:c r="H88" s="14" t="n">
        <x:v>2023</x:v>
      </x:c>
      <x:c r="I88" s="14" t="n">
        <x:v>2023</x:v>
      </x:c>
      <x:c r="J88" s="14" t="str">
        <x:v>Future Carry-Forward Cohort</x:v>
      </x:c>
      <x:c r="K88" s="14"/>
      <x:c r="L88" s="14" t="str">
        <x:v>Not inherited</x:v>
      </x:c>
      <x:c r="M88" s="15" t="n">
        <x:v>44</x:v>
      </x:c>
      <x:c r="N88" s="14" t="str">
        <x:v>Adam Best</x:v>
      </x:c>
      <x:c r="O88" s="14" t="str">
        <x:v>nm1721126</x:v>
      </x:c>
      <x:c r="P88" s="14" t="str">
        <x:v>Keith Wylie</x:v>
      </x:c>
      <x:c r="Q88" s="15" t="n">
        <x:v>4</x:v>
      </x:c>
      <x:c r="R88" s="14" t="str">
        <x:v>2024</x:v>
      </x:c>
      <x:c r="S88" s="14" t="n">
        <x:v>2024</x:v>
      </x:c>
      <x:c r="T88" s="14" t="n">
        <x:v>2024</x:v>
      </x:c>
      <x:c r="U88" s="14" t="str">
        <x:v>Explicit source first year retained</x:v>
      </x:c>
      <x:c r="V88" s="14" t="str">
        <x:v>Earliest supplied year is 2024.</x:v>
      </x:c>
      <x:c r="W88" s="14"/>
      <x:c r="X88" s="14" t="str">
        <x:v>Carried forward to 2024</x:v>
      </x:c>
      <x:c r="Y88" s="14"/>
      <x:c r="Z88" s="14" t="str">
        <x:v>Blue Lights.docx</x:v>
      </x:c>
      <x:c r="AA8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BBC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HYPERLINK("https://en.wikipedia.org/wiki/Blue_Light","Open source")</x:f>
        <x:v>HYPERLINK is not implemented. linkLocation=https://en.wikipedia.org/wiki/Blue_Light, friendlyName=Open source</x:v>
      </x:c>
      <x:c r="AN88" s="14" t="str">
        <x:v>BBC public-service commission</x:v>
      </x:c>
      <x:c r="AO88" s="14" t="str">
        <x:v>Yes</x:v>
      </x:c>
      <x:c r="AP88" s="14" t="str">
        <x:v>Direct BBC public-service scope</x:v>
      </x:c>
      <x:c r="AQ88" s="14" t="str">
        <x:v>Yes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19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4</x:v>
      </x:c>
      <x:c r="BS88" s="16" t="n">
        <x:v>0.21052631578947367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tt14466018|nm5499134|dci marshall / damien marshall</x:v>
      </x:c>
      <x:c r="B89" s="14" t="str">
        <x:v>01</x:v>
      </x:c>
      <x:c r="C89" s="14" t="str">
        <x:v>2023_IMDb_Cast_Lists_Batch_01(2).xlsx</x:v>
      </x:c>
      <x:c r="D89" s="14" t="str">
        <x:v>Blue Lights</x:v>
      </x:c>
      <x:c r="E89" s="14" t="n">
        <x:v>53</x:v>
      </x:c>
      <x:c r="F89" s="14" t="str">
        <x:v>Blue Lights</x:v>
      </x:c>
      <x:c r="G89" s="14" t="str">
        <x:v>tt14466018</x:v>
      </x:c>
      <x:c r="H89" s="14" t="n">
        <x:v>2023</x:v>
      </x:c>
      <x:c r="I89" s="14" t="n">
        <x:v>2023</x:v>
      </x:c>
      <x:c r="J89" s="14" t="str">
        <x:v>Future Carry-Forward Cohort</x:v>
      </x:c>
      <x:c r="K89" s="14"/>
      <x:c r="L89" s="14" t="str">
        <x:v>Not inherited</x:v>
      </x:c>
      <x:c r="M89" s="15" t="n">
        <x:v>46</x:v>
      </x:c>
      <x:c r="N89" s="14" t="str">
        <x:v>Julian Moore-Cook</x:v>
      </x:c>
      <x:c r="O89" s="14" t="str">
        <x:v>nm5499134</x:v>
      </x:c>
      <x:c r="P89" s="14" t="str">
        <x:v>DCI Marshall / Damien Marshall</x:v>
      </x:c>
      <x:c r="Q89" s="15" t="n">
        <x:v>3</x:v>
      </x:c>
      <x:c r="R89" s="14" t="str">
        <x:v>2024–2025</x:v>
      </x:c>
      <x:c r="S89" s="14" t="n">
        <x:v>2024</x:v>
      </x:c>
      <x:c r="T89" s="14" t="n">
        <x:v>2024</x:v>
      </x:c>
      <x:c r="U89" s="14" t="str">
        <x:v>Explicit source first year retained</x:v>
      </x:c>
      <x:c r="V89" s="14" t="str">
        <x:v>Earliest supplied year is 2024.</x:v>
      </x:c>
      <x:c r="W89" s="14"/>
      <x:c r="X89" s="14" t="str">
        <x:v>Carried forward to 2024</x:v>
      </x:c>
      <x:c r="Y89" s="14"/>
      <x:c r="Z89" s="14" t="str">
        <x:v>Blue Lights.docx</x:v>
      </x:c>
      <x:c r="AA8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BBC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HYPERLINK("https://en.wikipedia.org/wiki/Blue_Light","Open source")</x:f>
        <x:v>HYPERLINK is not implemented. linkLocation=https://en.wikipedia.org/wiki/Blue_Light, friendlyName=Open source</x:v>
      </x:c>
      <x:c r="AN89" s="14" t="str">
        <x:v>BBC public-service commission</x:v>
      </x:c>
      <x:c r="AO89" s="14" t="str">
        <x:v>Yes</x:v>
      </x:c>
      <x:c r="AP89" s="14" t="str">
        <x:v>Direct BBC public-service scope</x:v>
      </x:c>
      <x:c r="AQ89" s="14" t="str">
        <x:v>Yes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19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3</x:v>
      </x:c>
      <x:c r="BS89" s="16" t="n">
        <x:v>0.15789473684210525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tt14466018|nm0283642|davy hamill</x:v>
      </x:c>
      <x:c r="B90" s="14" t="str">
        <x:v>01</x:v>
      </x:c>
      <x:c r="C90" s="14" t="str">
        <x:v>2023_IMDb_Cast_Lists_Batch_01(2).xlsx</x:v>
      </x:c>
      <x:c r="D90" s="14" t="str">
        <x:v>Blue Lights</x:v>
      </x:c>
      <x:c r="E90" s="14" t="n">
        <x:v>57</x:v>
      </x:c>
      <x:c r="F90" s="14" t="str">
        <x:v>Blue Lights</x:v>
      </x:c>
      <x:c r="G90" s="14" t="str">
        <x:v>tt14466018</x:v>
      </x:c>
      <x:c r="H90" s="14" t="n">
        <x:v>2023</x:v>
      </x:c>
      <x:c r="I90" s="14" t="n">
        <x:v>2023</x:v>
      </x:c>
      <x:c r="J90" s="14" t="str">
        <x:v>Future Carry-Forward Cohort</x:v>
      </x:c>
      <x:c r="K90" s="14"/>
      <x:c r="L90" s="14" t="str">
        <x:v>Not inherited</x:v>
      </x:c>
      <x:c r="M90" s="15" t="n">
        <x:v>50</x:v>
      </x:c>
      <x:c r="N90" s="14" t="str">
        <x:v>Tony Flynn</x:v>
      </x:c>
      <x:c r="O90" s="14" t="str">
        <x:v>nm0283642</x:v>
      </x:c>
      <x:c r="P90" s="14" t="str">
        <x:v>Davy Hamill</x:v>
      </x:c>
      <x:c r="Q90" s="15" t="n">
        <x:v>3</x:v>
      </x:c>
      <x:c r="R90" s="14" t="str">
        <x:v>2024</x:v>
      </x:c>
      <x:c r="S90" s="14" t="n">
        <x:v>2024</x:v>
      </x:c>
      <x:c r="T90" s="14" t="n">
        <x:v>2024</x:v>
      </x:c>
      <x:c r="U90" s="14" t="str">
        <x:v>Explicit source first year retained</x:v>
      </x:c>
      <x:c r="V90" s="14" t="str">
        <x:v>Earliest supplied year is 2024.</x:v>
      </x:c>
      <x:c r="W90" s="14"/>
      <x:c r="X90" s="14" t="str">
        <x:v>Carried forward to 2024</x:v>
      </x:c>
      <x:c r="Y90" s="14"/>
      <x:c r="Z90" s="14" t="str">
        <x:v>Blue Lights.docx</x:v>
      </x:c>
      <x:c r="AA9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BBC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HYPERLINK("https://en.wikipedia.org/wiki/Blue_Light","Open source")</x:f>
        <x:v>HYPERLINK is not implemented. linkLocation=https://en.wikipedia.org/wiki/Blue_Light, friendlyName=Open source</x:v>
      </x:c>
      <x:c r="AN90" s="14" t="str">
        <x:v>BBC public-service commission</x:v>
      </x:c>
      <x:c r="AO90" s="14" t="str">
        <x:v>Yes</x:v>
      </x:c>
      <x:c r="AP90" s="14" t="str">
        <x:v>Direct BBC public-service scope</x:v>
      </x:c>
      <x:c r="AQ90" s="14" t="str">
        <x:v>Yes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19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3</x:v>
      </x:c>
      <x:c r="BS90" s="16" t="n">
        <x:v>0.15789473684210525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tt14466018|nm5202101|brendan</x:v>
      </x:c>
      <x:c r="B91" s="14" t="str">
        <x:v>01</x:v>
      </x:c>
      <x:c r="C91" s="14" t="str">
        <x:v>2023_IMDb_Cast_Lists_Batch_01(2).xlsx</x:v>
      </x:c>
      <x:c r="D91" s="14" t="str">
        <x:v>Blue Lights</x:v>
      </x:c>
      <x:c r="E91" s="14" t="n">
        <x:v>58</x:v>
      </x:c>
      <x:c r="F91" s="14" t="str">
        <x:v>Blue Lights</x:v>
      </x:c>
      <x:c r="G91" s="14" t="str">
        <x:v>tt14466018</x:v>
      </x:c>
      <x:c r="H91" s="14" t="n">
        <x:v>2023</x:v>
      </x:c>
      <x:c r="I91" s="14" t="n">
        <x:v>2023</x:v>
      </x:c>
      <x:c r="J91" s="14" t="str">
        <x:v>Future Carry-Forward Cohort</x:v>
      </x:c>
      <x:c r="K91" s="14"/>
      <x:c r="L91" s="14" t="str">
        <x:v>Not inherited</x:v>
      </x:c>
      <x:c r="M91" s="15" t="n">
        <x:v>51</x:v>
      </x:c>
      <x:c r="N91" s="14" t="str">
        <x:v>Dave Elliot</x:v>
      </x:c>
      <x:c r="O91" s="14" t="str">
        <x:v>nm5202101</x:v>
      </x:c>
      <x:c r="P91" s="14" t="str">
        <x:v>Brendan</x:v>
      </x:c>
      <x:c r="Q91" s="15" t="n">
        <x:v>3</x:v>
      </x:c>
      <x:c r="R91" s="14" t="str">
        <x:v>2024–2025</x:v>
      </x:c>
      <x:c r="S91" s="14" t="n">
        <x:v>2024</x:v>
      </x:c>
      <x:c r="T91" s="14" t="n">
        <x:v>2024</x:v>
      </x:c>
      <x:c r="U91" s="14" t="str">
        <x:v>Explicit source first year retained</x:v>
      </x:c>
      <x:c r="V91" s="14" t="str">
        <x:v>Earliest supplied year is 2024.</x:v>
      </x:c>
      <x:c r="W91" s="14"/>
      <x:c r="X91" s="14" t="str">
        <x:v>Carried forward to 2024</x:v>
      </x:c>
      <x:c r="Y91" s="14"/>
      <x:c r="Z91" s="14" t="str">
        <x:v>Blue Lights.docx</x:v>
      </x:c>
      <x:c r="AA9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BBC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HYPERLINK("https://en.wikipedia.org/wiki/Blue_Light","Open source")</x:f>
        <x:v>HYPERLINK is not implemented. linkLocation=https://en.wikipedia.org/wiki/Blue_Light, friendlyName=Open source</x:v>
      </x:c>
      <x:c r="AN91" s="14" t="str">
        <x:v>BBC public-service commission</x:v>
      </x:c>
      <x:c r="AO91" s="14" t="str">
        <x:v>Yes</x:v>
      </x:c>
      <x:c r="AP91" s="14" t="str">
        <x:v>Direct BBC public-service scope</x:v>
      </x:c>
      <x:c r="AQ91" s="14" t="str">
        <x:v>Yes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19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3</x:v>
      </x:c>
      <x:c r="BS91" s="16" t="n">
        <x:v>0.15789473684210525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tt14466018|nm9169923|waitress</x:v>
      </x:c>
      <x:c r="B92" s="14" t="str">
        <x:v>01</x:v>
      </x:c>
      <x:c r="C92" s="14" t="str">
        <x:v>2023_IMDb_Cast_Lists_Batch_01(2).xlsx</x:v>
      </x:c>
      <x:c r="D92" s="14" t="str">
        <x:v>Blue Lights</x:v>
      </x:c>
      <x:c r="E92" s="14" t="n">
        <x:v>62</x:v>
      </x:c>
      <x:c r="F92" s="14" t="str">
        <x:v>Blue Lights</x:v>
      </x:c>
      <x:c r="G92" s="14" t="str">
        <x:v>tt14466018</x:v>
      </x:c>
      <x:c r="H92" s="14" t="n">
        <x:v>2023</x:v>
      </x:c>
      <x:c r="I92" s="14" t="n">
        <x:v>2023</x:v>
      </x:c>
      <x:c r="J92" s="14" t="str">
        <x:v>Future Carry-Forward Cohort</x:v>
      </x:c>
      <x:c r="K92" s="14"/>
      <x:c r="L92" s="14" t="str">
        <x:v>Not inherited</x:v>
      </x:c>
      <x:c r="M92" s="15" t="n">
        <x:v>55</x:v>
      </x:c>
      <x:c r="N92" s="14" t="str">
        <x:v>Mary Jordan</x:v>
      </x:c>
      <x:c r="O92" s="14" t="str">
        <x:v>nm9169923</x:v>
      </x:c>
      <x:c r="P92" s="14" t="str">
        <x:v>Waitress</x:v>
      </x:c>
      <x:c r="Q92" s="15" t="n">
        <x:v>2</x:v>
      </x:c>
      <x:c r="R92" s="14" t="str">
        <x:v>2024</x:v>
      </x:c>
      <x:c r="S92" s="14" t="n">
        <x:v>2024</x:v>
      </x:c>
      <x:c r="T92" s="14" t="n">
        <x:v>2024</x:v>
      </x:c>
      <x:c r="U92" s="14" t="str">
        <x:v>Explicit source first year retained</x:v>
      </x:c>
      <x:c r="V92" s="14" t="str">
        <x:v>Earliest supplied year is 2024.</x:v>
      </x:c>
      <x:c r="W92" s="14"/>
      <x:c r="X92" s="14" t="str">
        <x:v>Carried forward to 2024</x:v>
      </x:c>
      <x:c r="Y92" s="14"/>
      <x:c r="Z92" s="14" t="str">
        <x:v>Blue Lights.docx</x:v>
      </x:c>
      <x:c r="AA9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BBC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HYPERLINK("https://en.wikipedia.org/wiki/Blue_Light","Open source")</x:f>
        <x:v>HYPERLINK is not implemented. linkLocation=https://en.wikipedia.org/wiki/Blue_Light, friendlyName=Open source</x:v>
      </x:c>
      <x:c r="AN92" s="14" t="str">
        <x:v>BBC public-service commission</x:v>
      </x:c>
      <x:c r="AO92" s="14" t="str">
        <x:v>Yes</x:v>
      </x:c>
      <x:c r="AP92" s="14" t="str">
        <x:v>Direct BBC public-service scope</x:v>
      </x:c>
      <x:c r="AQ92" s="14" t="str">
        <x:v>Yes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19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2</x:v>
      </x:c>
      <x:c r="BS92" s="16" t="n">
        <x:v>0.10526315789473684</x:v>
      </x:c>
      <x:c r="BT92" s="14" t="str">
        <x:v>Minority of episodes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tt14466018|nm16066614|stacey</x:v>
      </x:c>
      <x:c r="B93" s="14" t="str">
        <x:v>01</x:v>
      </x:c>
      <x:c r="C93" s="14" t="str">
        <x:v>2023_IMDb_Cast_Lists_Batch_01(2).xlsx</x:v>
      </x:c>
      <x:c r="D93" s="14" t="str">
        <x:v>Blue Lights</x:v>
      </x:c>
      <x:c r="E93" s="14" t="n">
        <x:v>64</x:v>
      </x:c>
      <x:c r="F93" s="14" t="str">
        <x:v>Blue Lights</x:v>
      </x:c>
      <x:c r="G93" s="14" t="str">
        <x:v>tt14466018</x:v>
      </x:c>
      <x:c r="H93" s="14" t="n">
        <x:v>2023</x:v>
      </x:c>
      <x:c r="I93" s="14" t="n">
        <x:v>2023</x:v>
      </x:c>
      <x:c r="J93" s="14" t="str">
        <x:v>Future Carry-Forward Cohort</x:v>
      </x:c>
      <x:c r="K93" s="14"/>
      <x:c r="L93" s="14" t="str">
        <x:v>Not inherited</x:v>
      </x:c>
      <x:c r="M93" s="15" t="n">
        <x:v>57</x:v>
      </x:c>
      <x:c r="N93" s="14" t="str">
        <x:v>Kelsea Knox</x:v>
      </x:c>
      <x:c r="O93" s="14" t="str">
        <x:v>nm16066614</x:v>
      </x:c>
      <x:c r="P93" s="14" t="str">
        <x:v>Stacey</x:v>
      </x:c>
      <x:c r="Q93" s="15" t="n">
        <x:v>2</x:v>
      </x:c>
      <x:c r="R93" s="14" t="str">
        <x:v>2024</x:v>
      </x:c>
      <x:c r="S93" s="14" t="n">
        <x:v>2024</x:v>
      </x:c>
      <x:c r="T93" s="14" t="n">
        <x:v>2024</x:v>
      </x:c>
      <x:c r="U93" s="14" t="str">
        <x:v>Explicit source first year retained</x:v>
      </x:c>
      <x:c r="V93" s="14" t="str">
        <x:v>Earliest supplied year is 2024.</x:v>
      </x:c>
      <x:c r="W93" s="14"/>
      <x:c r="X93" s="14" t="str">
        <x:v>Carried forward to 2024</x:v>
      </x:c>
      <x:c r="Y93" s="14"/>
      <x:c r="Z93" s="14" t="str">
        <x:v>Blue Lights.docx</x:v>
      </x:c>
      <x:c r="AA9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BBC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HYPERLINK("https://en.wikipedia.org/wiki/Blue_Light","Open source")</x:f>
        <x:v>HYPERLINK is not implemented. linkLocation=https://en.wikipedia.org/wiki/Blue_Light, friendlyName=Open source</x:v>
      </x:c>
      <x:c r="AN93" s="14" t="str">
        <x:v>BBC public-service commission</x:v>
      </x:c>
      <x:c r="AO93" s="14" t="str">
        <x:v>Yes</x:v>
      </x:c>
      <x:c r="AP93" s="14" t="str">
        <x:v>Direct BBC public-service scope</x:v>
      </x:c>
      <x:c r="AQ93" s="14" t="str">
        <x:v>Yes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19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2</x:v>
      </x:c>
      <x:c r="BS93" s="16" t="n">
        <x:v>0.10526315789473684</x:v>
      </x:c>
      <x:c r="BT93" s="14" t="str">
        <x:v>Minority of episodes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tt14466018|nm16066384|sandy / sandy mcknight</x:v>
      </x:c>
      <x:c r="B94" s="14" t="str">
        <x:v>01</x:v>
      </x:c>
      <x:c r="C94" s="14" t="str">
        <x:v>2023_IMDb_Cast_Lists_Batch_01(2).xlsx</x:v>
      </x:c>
      <x:c r="D94" s="14" t="str">
        <x:v>Blue Lights</x:v>
      </x:c>
      <x:c r="E94" s="14" t="n">
        <x:v>65</x:v>
      </x:c>
      <x:c r="F94" s="14" t="str">
        <x:v>Blue Lights</x:v>
      </x:c>
      <x:c r="G94" s="14" t="str">
        <x:v>tt14466018</x:v>
      </x:c>
      <x:c r="H94" s="14" t="n">
        <x:v>2023</x:v>
      </x:c>
      <x:c r="I94" s="14" t="n">
        <x:v>2023</x:v>
      </x:c>
      <x:c r="J94" s="14" t="str">
        <x:v>Future Carry-Forward Cohort</x:v>
      </x:c>
      <x:c r="K94" s="14"/>
      <x:c r="L94" s="14" t="str">
        <x:v>Not inherited</x:v>
      </x:c>
      <x:c r="M94" s="15" t="n">
        <x:v>58</x:v>
      </x:c>
      <x:c r="N94" s="14" t="str">
        <x:v>Jack McBride-Marshall</x:v>
      </x:c>
      <x:c r="O94" s="14" t="str">
        <x:v>nm16066384</x:v>
      </x:c>
      <x:c r="P94" s="14" t="str">
        <x:v>Sandy / Sandy McKnight</x:v>
      </x:c>
      <x:c r="Q94" s="15" t="n">
        <x:v>2</x:v>
      </x:c>
      <x:c r="R94" s="14" t="str">
        <x:v>2024–2025</x:v>
      </x:c>
      <x:c r="S94" s="14" t="n">
        <x:v>2024</x:v>
      </x:c>
      <x:c r="T94" s="14" t="n">
        <x:v>2024</x:v>
      </x:c>
      <x:c r="U94" s="14" t="str">
        <x:v>Explicit source first year retained</x:v>
      </x:c>
      <x:c r="V94" s="14" t="str">
        <x:v>Earliest supplied year is 2024.</x:v>
      </x:c>
      <x:c r="W94" s="14"/>
      <x:c r="X94" s="14" t="str">
        <x:v>Carried forward to 2024</x:v>
      </x:c>
      <x:c r="Y94" s="14"/>
      <x:c r="Z94" s="14" t="str">
        <x:v>Blue Lights.docx</x:v>
      </x:c>
      <x:c r="AA9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BBC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HYPERLINK("https://en.wikipedia.org/wiki/Blue_Light","Open source")</x:f>
        <x:v>HYPERLINK is not implemented. linkLocation=https://en.wikipedia.org/wiki/Blue_Light, friendlyName=Open source</x:v>
      </x:c>
      <x:c r="AN94" s="14" t="str">
        <x:v>BBC public-service commission</x:v>
      </x:c>
      <x:c r="AO94" s="14" t="str">
        <x:v>Yes</x:v>
      </x:c>
      <x:c r="AP94" s="14" t="str">
        <x:v>Direct BBC public-service scope</x:v>
      </x:c>
      <x:c r="AQ94" s="14" t="str">
        <x:v>Yes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19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2</x:v>
      </x:c>
      <x:c r="BS94" s="16" t="n">
        <x:v>0.10526315789473684</x:v>
      </x:c>
      <x:c r="BT94" s="14" t="str">
        <x:v>Minority of episodes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tt14466018|nm0180965|jim 'dixie' dixon</x:v>
      </x:c>
      <x:c r="B95" s="14" t="str">
        <x:v>01</x:v>
      </x:c>
      <x:c r="C95" s="14" t="str">
        <x:v>2023_IMDb_Cast_Lists_Batch_01(2).xlsx</x:v>
      </x:c>
      <x:c r="D95" s="14" t="str">
        <x:v>Blue Lights</x:v>
      </x:c>
      <x:c r="E95" s="14" t="n">
        <x:v>67</x:v>
      </x:c>
      <x:c r="F95" s="14" t="str">
        <x:v>Blue Lights</x:v>
      </x:c>
      <x:c r="G95" s="14" t="str">
        <x:v>tt14466018</x:v>
      </x:c>
      <x:c r="H95" s="14" t="n">
        <x:v>2023</x:v>
      </x:c>
      <x:c r="I95" s="14" t="n">
        <x:v>2023</x:v>
      </x:c>
      <x:c r="J95" s="14" t="str">
        <x:v>Future Carry-Forward Cohort</x:v>
      </x:c>
      <x:c r="K95" s="14"/>
      <x:c r="L95" s="14" t="str">
        <x:v>Not inherited</x:v>
      </x:c>
      <x:c r="M95" s="15" t="n">
        <x:v>60</x:v>
      </x:c>
      <x:c r="N95" s="14" t="str">
        <x:v>Chris Corrigan</x:v>
      </x:c>
      <x:c r="O95" s="14" t="str">
        <x:v>nm0180965</x:v>
      </x:c>
      <x:c r="P95" s="14" t="str">
        <x:v>Jim 'Dixie' Dixon</x:v>
      </x:c>
      <x:c r="Q95" s="15" t="n">
        <x:v>2</x:v>
      </x:c>
      <x:c r="R95" s="14" t="str">
        <x:v>2024</x:v>
      </x:c>
      <x:c r="S95" s="14" t="n">
        <x:v>2024</x:v>
      </x:c>
      <x:c r="T95" s="14" t="n">
        <x:v>2024</x:v>
      </x:c>
      <x:c r="U95" s="14" t="str">
        <x:v>Explicit source first year retained</x:v>
      </x:c>
      <x:c r="V95" s="14" t="str">
        <x:v>Earliest supplied year is 2024.</x:v>
      </x:c>
      <x:c r="W95" s="14"/>
      <x:c r="X95" s="14" t="str">
        <x:v>Carried forward to 2024</x:v>
      </x:c>
      <x:c r="Y95" s="14"/>
      <x:c r="Z95" s="14" t="str">
        <x:v>Blue Lights.docx</x:v>
      </x:c>
      <x:c r="AA9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BBC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HYPERLINK("https://en.wikipedia.org/wiki/Blue_Light","Open source")</x:f>
        <x:v>HYPERLINK is not implemented. linkLocation=https://en.wikipedia.org/wiki/Blue_Light, friendlyName=Open source</x:v>
      </x:c>
      <x:c r="AN95" s="14" t="str">
        <x:v>BBC public-service commission</x:v>
      </x:c>
      <x:c r="AO95" s="14" t="str">
        <x:v>Yes</x:v>
      </x:c>
      <x:c r="AP95" s="14" t="str">
        <x:v>Direct BBC public-service scope</x:v>
      </x:c>
      <x:c r="AQ95" s="14" t="str">
        <x:v>Yes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19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2</x:v>
      </x:c>
      <x:c r="BS95" s="16" t="n">
        <x:v>0.10526315789473684</x:v>
      </x:c>
      <x:c r="BT95" s="14" t="str">
        <x:v>Minority of episodes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tt14466018|nm0601004|eileen</x:v>
      </x:c>
      <x:c r="B96" s="14" t="str">
        <x:v>01</x:v>
      </x:c>
      <x:c r="C96" s="14" t="str">
        <x:v>2023_IMDb_Cast_Lists_Batch_01(2).xlsx</x:v>
      </x:c>
      <x:c r="D96" s="14" t="str">
        <x:v>Blue Lights</x:v>
      </x:c>
      <x:c r="E96" s="14" t="n">
        <x:v>70</x:v>
      </x:c>
      <x:c r="F96" s="14" t="str">
        <x:v>Blue Lights</x:v>
      </x:c>
      <x:c r="G96" s="14" t="str">
        <x:v>tt14466018</x:v>
      </x:c>
      <x:c r="H96" s="14" t="n">
        <x:v>2023</x:v>
      </x:c>
      <x:c r="I96" s="14" t="n">
        <x:v>2023</x:v>
      </x:c>
      <x:c r="J96" s="14" t="str">
        <x:v>Future Carry-Forward Cohort</x:v>
      </x:c>
      <x:c r="K96" s="14"/>
      <x:c r="L96" s="14" t="str">
        <x:v>Not inherited</x:v>
      </x:c>
      <x:c r="M96" s="15" t="n">
        <x:v>63</x:v>
      </x:c>
      <x:c r="N96" s="14" t="str">
        <x:v>Carol Moore</x:v>
      </x:c>
      <x:c r="O96" s="14" t="str">
        <x:v>nm0601004</x:v>
      </x:c>
      <x:c r="P96" s="14" t="str">
        <x:v>Eileen</x:v>
      </x:c>
      <x:c r="Q96" s="15" t="n">
        <x:v>2</x:v>
      </x:c>
      <x:c r="R96" s="14" t="str">
        <x:v>2024</x:v>
      </x:c>
      <x:c r="S96" s="14" t="n">
        <x:v>2024</x:v>
      </x:c>
      <x:c r="T96" s="14" t="n">
        <x:v>2024</x:v>
      </x:c>
      <x:c r="U96" s="14" t="str">
        <x:v>Explicit source first year retained</x:v>
      </x:c>
      <x:c r="V96" s="14" t="str">
        <x:v>Earliest supplied year is 2024.</x:v>
      </x:c>
      <x:c r="W96" s="14"/>
      <x:c r="X96" s="14" t="str">
        <x:v>Carried forward to 2024</x:v>
      </x:c>
      <x:c r="Y96" s="14"/>
      <x:c r="Z96" s="14" t="str">
        <x:v>Blue Lights.docx</x:v>
      </x:c>
      <x:c r="AA9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BBC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HYPERLINK("https://en.wikipedia.org/wiki/Blue_Light","Open source")</x:f>
        <x:v>HYPERLINK is not implemented. linkLocation=https://en.wikipedia.org/wiki/Blue_Light, friendlyName=Open source</x:v>
      </x:c>
      <x:c r="AN96" s="14" t="str">
        <x:v>BBC public-service commission</x:v>
      </x:c>
      <x:c r="AO96" s="14" t="str">
        <x:v>Yes</x:v>
      </x:c>
      <x:c r="AP96" s="14" t="str">
        <x:v>Direct BBC public-service scope</x:v>
      </x:c>
      <x:c r="AQ96" s="14" t="str">
        <x:v>Yes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19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2</x:v>
      </x:c>
      <x:c r="BS96" s="16" t="n">
        <x:v>0.10526315789473684</x:v>
      </x:c>
      <x:c r="BT96" s="14" t="str">
        <x:v>Minority of episodes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tt14466018|nm12229353|news reporter</x:v>
      </x:c>
      <x:c r="B97" s="14" t="str">
        <x:v>01</x:v>
      </x:c>
      <x:c r="C97" s="14" t="str">
        <x:v>2023_IMDb_Cast_Lists_Batch_01(2).xlsx</x:v>
      </x:c>
      <x:c r="D97" s="14" t="str">
        <x:v>Blue Lights</x:v>
      </x:c>
      <x:c r="E97" s="14" t="n">
        <x:v>76</x:v>
      </x:c>
      <x:c r="F97" s="14" t="str">
        <x:v>Blue Lights</x:v>
      </x:c>
      <x:c r="G97" s="14" t="str">
        <x:v>tt14466018</x:v>
      </x:c>
      <x:c r="H97" s="14" t="n">
        <x:v>2023</x:v>
      </x:c>
      <x:c r="I97" s="14" t="n">
        <x:v>2023</x:v>
      </x:c>
      <x:c r="J97" s="14" t="str">
        <x:v>Future Carry-Forward Cohort</x:v>
      </x:c>
      <x:c r="K97" s="14"/>
      <x:c r="L97" s="14" t="str">
        <x:v>Not inherited</x:v>
      </x:c>
      <x:c r="M97" s="15" t="n">
        <x:v>69</x:v>
      </x:c>
      <x:c r="N97" s="14" t="str">
        <x:v>Stephen Walker</x:v>
      </x:c>
      <x:c r="O97" s="14" t="str">
        <x:v>nm12229353</x:v>
      </x:c>
      <x:c r="P97" s="14" t="str">
        <x:v>News Reporter</x:v>
      </x:c>
      <x:c r="Q97" s="15" t="n">
        <x:v>2</x:v>
      </x:c>
      <x:c r="R97" s="14" t="str">
        <x:v>2024–2025</x:v>
      </x:c>
      <x:c r="S97" s="14" t="n">
        <x:v>2024</x:v>
      </x:c>
      <x:c r="T97" s="14" t="n">
        <x:v>2024</x:v>
      </x:c>
      <x:c r="U97" s="14" t="str">
        <x:v>Explicit source first year retained</x:v>
      </x:c>
      <x:c r="V97" s="14" t="str">
        <x:v>Earliest supplied year is 2024.</x:v>
      </x:c>
      <x:c r="W97" s="14"/>
      <x:c r="X97" s="14" t="str">
        <x:v>Carried forward to 2024</x:v>
      </x:c>
      <x:c r="Y97" s="14"/>
      <x:c r="Z97" s="14" t="str">
        <x:v>Blue Lights.docx</x:v>
      </x:c>
      <x:c r="AA9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BBC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HYPERLINK("https://en.wikipedia.org/wiki/Blue_Light","Open source")</x:f>
        <x:v>HYPERLINK is not implemented. linkLocation=https://en.wikipedia.org/wiki/Blue_Light, friendlyName=Open source</x:v>
      </x:c>
      <x:c r="AN97" s="14" t="str">
        <x:v>BBC public-service commission</x:v>
      </x:c>
      <x:c r="AO97" s="14" t="str">
        <x:v>Yes</x:v>
      </x:c>
      <x:c r="AP97" s="14" t="str">
        <x:v>Direct BBC public-service scope</x:v>
      </x:c>
      <x:c r="AQ97" s="14" t="str">
        <x:v>Yes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19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2</x:v>
      </x:c>
      <x:c r="BS97" s="16" t="n">
        <x:v>0.10526315789473684</x:v>
      </x:c>
      <x:c r="BT97" s="14" t="str">
        <x:v>Minority of episodes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tt14466018|nm13998624|natalie</x:v>
      </x:c>
      <x:c r="B98" s="14" t="str">
        <x:v>01</x:v>
      </x:c>
      <x:c r="C98" s="14" t="str">
        <x:v>2023_IMDb_Cast_Lists_Batch_01(2).xlsx</x:v>
      </x:c>
      <x:c r="D98" s="14" t="str">
        <x:v>Blue Lights</x:v>
      </x:c>
      <x:c r="E98" s="14" t="n">
        <x:v>84</x:v>
      </x:c>
      <x:c r="F98" s="14" t="str">
        <x:v>Blue Lights</x:v>
      </x:c>
      <x:c r="G98" s="14" t="str">
        <x:v>tt14466018</x:v>
      </x:c>
      <x:c r="H98" s="14" t="n">
        <x:v>2023</x:v>
      </x:c>
      <x:c r="I98" s="14" t="n">
        <x:v>2023</x:v>
      </x:c>
      <x:c r="J98" s="14" t="str">
        <x:v>Future Carry-Forward Cohort</x:v>
      </x:c>
      <x:c r="K98" s="14"/>
      <x:c r="L98" s="14" t="str">
        <x:v>Not inherited</x:v>
      </x:c>
      <x:c r="M98" s="15" t="n">
        <x:v>77</x:v>
      </x:c>
      <x:c r="N98" s="14" t="str">
        <x:v>Aoife Boyle</x:v>
      </x:c>
      <x:c r="O98" s="14" t="str">
        <x:v>nm13998624</x:v>
      </x:c>
      <x:c r="P98" s="14" t="str">
        <x:v>Natalie</x:v>
      </x:c>
      <x:c r="Q98" s="15" t="n">
        <x:v>1</x:v>
      </x:c>
      <x:c r="R98" s="14" t="str">
        <x:v>2024</x:v>
      </x:c>
      <x:c r="S98" s="14" t="n">
        <x:v>2024</x:v>
      </x:c>
      <x:c r="T98" s="14" t="n">
        <x:v>2024</x:v>
      </x:c>
      <x:c r="U98" s="14" t="str">
        <x:v>Explicit source first year retained</x:v>
      </x:c>
      <x:c r="V98" s="14" t="str">
        <x:v>Earliest supplied year is 2024.</x:v>
      </x:c>
      <x:c r="W98" s="14"/>
      <x:c r="X98" s="14" t="str">
        <x:v>Carried forward to 2024</x:v>
      </x:c>
      <x:c r="Y98" s="14"/>
      <x:c r="Z98" s="14" t="str">
        <x:v>Blue Lights.docx</x:v>
      </x:c>
      <x:c r="AA9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BBC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HYPERLINK("https://en.wikipedia.org/wiki/Blue_Light","Open source")</x:f>
        <x:v>HYPERLINK is not implemented. linkLocation=https://en.wikipedia.org/wiki/Blue_Light, friendlyName=Open source</x:v>
      </x:c>
      <x:c r="AN98" s="14" t="str">
        <x:v>BBC public-service commission</x:v>
      </x:c>
      <x:c r="AO98" s="14" t="str">
        <x:v>Yes</x:v>
      </x:c>
      <x:c r="AP98" s="14" t="str">
        <x:v>Direct BBC public-service scope</x:v>
      </x:c>
      <x:c r="AQ98" s="14" t="str">
        <x:v>Yes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19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0.05263157894736842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tt14466018|nm4335246|rory</x:v>
      </x:c>
      <x:c r="B99" s="14" t="str">
        <x:v>01</x:v>
      </x:c>
      <x:c r="C99" s="14" t="str">
        <x:v>2023_IMDb_Cast_Lists_Batch_01(2).xlsx</x:v>
      </x:c>
      <x:c r="D99" s="14" t="str">
        <x:v>Blue Lights</x:v>
      </x:c>
      <x:c r="E99" s="14" t="n">
        <x:v>87</x:v>
      </x:c>
      <x:c r="F99" s="14" t="str">
        <x:v>Blue Lights</x:v>
      </x:c>
      <x:c r="G99" s="14" t="str">
        <x:v>tt14466018</x:v>
      </x:c>
      <x:c r="H99" s="14" t="n">
        <x:v>2023</x:v>
      </x:c>
      <x:c r="I99" s="14" t="n">
        <x:v>2023</x:v>
      </x:c>
      <x:c r="J99" s="14" t="str">
        <x:v>Future Carry-Forward Cohort</x:v>
      </x:c>
      <x:c r="K99" s="14"/>
      <x:c r="L99" s="14" t="str">
        <x:v>Not inherited</x:v>
      </x:c>
      <x:c r="M99" s="15" t="n">
        <x:v>80</x:v>
      </x:c>
      <x:c r="N99" s="14" t="str">
        <x:v>Faolan Morgan</x:v>
      </x:c>
      <x:c r="O99" s="14" t="str">
        <x:v>nm4335246</x:v>
      </x:c>
      <x:c r="P99" s="14" t="str">
        <x:v>Rory</x:v>
      </x:c>
      <x:c r="Q99" s="15" t="n">
        <x:v>1</x:v>
      </x:c>
      <x:c r="R99" s="14" t="str">
        <x:v>2024</x:v>
      </x:c>
      <x:c r="S99" s="14" t="n">
        <x:v>2024</x:v>
      </x:c>
      <x:c r="T99" s="14" t="n">
        <x:v>2024</x:v>
      </x:c>
      <x:c r="U99" s="14" t="str">
        <x:v>Explicit source first year retained</x:v>
      </x:c>
      <x:c r="V99" s="14" t="str">
        <x:v>Earliest supplied year is 2024.</x:v>
      </x:c>
      <x:c r="W99" s="14"/>
      <x:c r="X99" s="14" t="str">
        <x:v>Carried forward to 2024</x:v>
      </x:c>
      <x:c r="Y99" s="14"/>
      <x:c r="Z99" s="14" t="str">
        <x:v>Blue Lights.docx</x:v>
      </x:c>
      <x:c r="AA9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BBC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HYPERLINK("https://en.wikipedia.org/wiki/Blue_Light","Open source")</x:f>
        <x:v>HYPERLINK is not implemented. linkLocation=https://en.wikipedia.org/wiki/Blue_Light, friendlyName=Open source</x:v>
      </x:c>
      <x:c r="AN99" s="14" t="str">
        <x:v>BBC public-service commission</x:v>
      </x:c>
      <x:c r="AO99" s="14" t="str">
        <x:v>Yes</x:v>
      </x:c>
      <x:c r="AP99" s="14" t="str">
        <x:v>Direct BBC public-service scope</x:v>
      </x:c>
      <x:c r="AQ99" s="14" t="str">
        <x:v>Yes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19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0.05263157894736842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tt14466018|nm2192867|eamonn mcsweeney</x:v>
      </x:c>
      <x:c r="B100" s="14" t="str">
        <x:v>01</x:v>
      </x:c>
      <x:c r="C100" s="14" t="str">
        <x:v>2023_IMDb_Cast_Lists_Batch_01(2).xlsx</x:v>
      </x:c>
      <x:c r="D100" s="14" t="str">
        <x:v>Blue Lights</x:v>
      </x:c>
      <x:c r="E100" s="14" t="n">
        <x:v>89</x:v>
      </x:c>
      <x:c r="F100" s="14" t="str">
        <x:v>Blue Lights</x:v>
      </x:c>
      <x:c r="G100" s="14" t="str">
        <x:v>tt14466018</x:v>
      </x:c>
      <x:c r="H100" s="14" t="n">
        <x:v>2023</x:v>
      </x:c>
      <x:c r="I100" s="14" t="n">
        <x:v>2023</x:v>
      </x:c>
      <x:c r="J100" s="14" t="str">
        <x:v>Future Carry-Forward Cohort</x:v>
      </x:c>
      <x:c r="K100" s="14"/>
      <x:c r="L100" s="14" t="str">
        <x:v>Not inherited</x:v>
      </x:c>
      <x:c r="M100" s="15" t="n">
        <x:v>82</x:v>
      </x:c>
      <x:c r="N100" s="14" t="str">
        <x:v>Ciaran Flynn</x:v>
      </x:c>
      <x:c r="O100" s="14" t="str">
        <x:v>nm2192867</x:v>
      </x:c>
      <x:c r="P100" s="14" t="str">
        <x:v>Eamonn McSweeney</x:v>
      </x:c>
      <x:c r="Q100" s="15" t="n">
        <x:v>1</x:v>
      </x:c>
      <x:c r="R100" s="14" t="str">
        <x:v>2024</x:v>
      </x:c>
      <x:c r="S100" s="14" t="n">
        <x:v>2024</x:v>
      </x:c>
      <x:c r="T100" s="14" t="n">
        <x:v>2024</x:v>
      </x:c>
      <x:c r="U100" s="14" t="str">
        <x:v>Explicit source first year retained</x:v>
      </x:c>
      <x:c r="V100" s="14" t="str">
        <x:v>Earliest supplied year is 2024.</x:v>
      </x:c>
      <x:c r="W100" s="14"/>
      <x:c r="X100" s="14" t="str">
        <x:v>Carried forward to 2024</x:v>
      </x:c>
      <x:c r="Y100" s="14"/>
      <x:c r="Z100" s="14" t="str">
        <x:v>Blue Lights.docx</x:v>
      </x:c>
      <x:c r="AA10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BBC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HYPERLINK("https://en.wikipedia.org/wiki/Blue_Light","Open source")</x:f>
        <x:v>HYPERLINK is not implemented. linkLocation=https://en.wikipedia.org/wiki/Blue_Light, friendlyName=Open source</x:v>
      </x:c>
      <x:c r="AN100" s="14" t="str">
        <x:v>BBC public-service commission</x:v>
      </x:c>
      <x:c r="AO100" s="14" t="str">
        <x:v>Yes</x:v>
      </x:c>
      <x:c r="AP100" s="14" t="str">
        <x:v>Direct BBC public-service scope</x:v>
      </x:c>
      <x:c r="AQ100" s="14" t="str">
        <x:v>Yes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19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0.05263157894736842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tt14466018|nm4781279|emma</x:v>
      </x:c>
      <x:c r="B101" s="14" t="str">
        <x:v>01</x:v>
      </x:c>
      <x:c r="C101" s="14" t="str">
        <x:v>2023_IMDb_Cast_Lists_Batch_01(2).xlsx</x:v>
      </x:c>
      <x:c r="D101" s="14" t="str">
        <x:v>Blue Lights</x:v>
      </x:c>
      <x:c r="E101" s="14" t="n">
        <x:v>91</x:v>
      </x:c>
      <x:c r="F101" s="14" t="str">
        <x:v>Blue Lights</x:v>
      </x:c>
      <x:c r="G101" s="14" t="str">
        <x:v>tt14466018</x:v>
      </x:c>
      <x:c r="H101" s="14" t="n">
        <x:v>2023</x:v>
      </x:c>
      <x:c r="I101" s="14" t="n">
        <x:v>2023</x:v>
      </x:c>
      <x:c r="J101" s="14" t="str">
        <x:v>Future Carry-Forward Cohort</x:v>
      </x:c>
      <x:c r="K101" s="14"/>
      <x:c r="L101" s="14" t="str">
        <x:v>Not inherited</x:v>
      </x:c>
      <x:c r="M101" s="15" t="n">
        <x:v>84</x:v>
      </x:c>
      <x:c r="N101" s="14" t="str">
        <x:v>Mary Lindsay</x:v>
      </x:c>
      <x:c r="O101" s="14" t="str">
        <x:v>nm4781279</x:v>
      </x:c>
      <x:c r="P101" s="14" t="str">
        <x:v>Emma</x:v>
      </x:c>
      <x:c r="Q101" s="15" t="n">
        <x:v>1</x:v>
      </x:c>
      <x:c r="R101" s="14" t="str">
        <x:v>2024</x:v>
      </x:c>
      <x:c r="S101" s="14" t="n">
        <x:v>2024</x:v>
      </x:c>
      <x:c r="T101" s="14" t="n">
        <x:v>2024</x:v>
      </x:c>
      <x:c r="U101" s="14" t="str">
        <x:v>Explicit source first year retained</x:v>
      </x:c>
      <x:c r="V101" s="14" t="str">
        <x:v>Earliest supplied year is 2024.</x:v>
      </x:c>
      <x:c r="W101" s="14"/>
      <x:c r="X101" s="14" t="str">
        <x:v>Carried forward to 2024</x:v>
      </x:c>
      <x:c r="Y101" s="14"/>
      <x:c r="Z101" s="14" t="str">
        <x:v>Blue Lights.docx</x:v>
      </x:c>
      <x:c r="AA10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BBC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HYPERLINK("https://en.wikipedia.org/wiki/Blue_Light","Open source")</x:f>
        <x:v>HYPERLINK is not implemented. linkLocation=https://en.wikipedia.org/wiki/Blue_Light, friendlyName=Open source</x:v>
      </x:c>
      <x:c r="AN101" s="14" t="str">
        <x:v>BBC public-service commission</x:v>
      </x:c>
      <x:c r="AO101" s="14" t="str">
        <x:v>Yes</x:v>
      </x:c>
      <x:c r="AP101" s="14" t="str">
        <x:v>Direct BBC public-service scope</x:v>
      </x:c>
      <x:c r="AQ101" s="14" t="str">
        <x:v>Yes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19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0.05263157894736842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tt14466018|nm10689622|marilyn white</x:v>
      </x:c>
      <x:c r="B102" s="14" t="str">
        <x:v>01</x:v>
      </x:c>
      <x:c r="C102" s="14" t="str">
        <x:v>2023_IMDb_Cast_Lists_Batch_01(2).xlsx</x:v>
      </x:c>
      <x:c r="D102" s="14" t="str">
        <x:v>Blue Lights</x:v>
      </x:c>
      <x:c r="E102" s="14" t="n">
        <x:v>93</x:v>
      </x:c>
      <x:c r="F102" s="14" t="str">
        <x:v>Blue Lights</x:v>
      </x:c>
      <x:c r="G102" s="14" t="str">
        <x:v>tt14466018</x:v>
      </x:c>
      <x:c r="H102" s="14" t="n">
        <x:v>2023</x:v>
      </x:c>
      <x:c r="I102" s="14" t="n">
        <x:v>2023</x:v>
      </x:c>
      <x:c r="J102" s="14" t="str">
        <x:v>Future Carry-Forward Cohort</x:v>
      </x:c>
      <x:c r="K102" s="14"/>
      <x:c r="L102" s="14" t="str">
        <x:v>Not inherited</x:v>
      </x:c>
      <x:c r="M102" s="15" t="n">
        <x:v>86</x:v>
      </x:c>
      <x:c r="N102" s="14" t="str">
        <x:v>Nicky Harley</x:v>
      </x:c>
      <x:c r="O102" s="14" t="str">
        <x:v>nm10689622</x:v>
      </x:c>
      <x:c r="P102" s="14" t="str">
        <x:v>Marilyn White</x:v>
      </x:c>
      <x:c r="Q102" s="15" t="n">
        <x:v>1</x:v>
      </x:c>
      <x:c r="R102" s="14" t="str">
        <x:v>2024</x:v>
      </x:c>
      <x:c r="S102" s="14" t="n">
        <x:v>2024</x:v>
      </x:c>
      <x:c r="T102" s="14" t="n">
        <x:v>2024</x:v>
      </x:c>
      <x:c r="U102" s="14" t="str">
        <x:v>Explicit source first year retained</x:v>
      </x:c>
      <x:c r="V102" s="14" t="str">
        <x:v>Earliest supplied year is 2024.</x:v>
      </x:c>
      <x:c r="W102" s="14"/>
      <x:c r="X102" s="14" t="str">
        <x:v>Carried forward to 2024</x:v>
      </x:c>
      <x:c r="Y102" s="14"/>
      <x:c r="Z102" s="14" t="str">
        <x:v>Blue Lights.docx</x:v>
      </x:c>
      <x:c r="AA10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BBC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HYPERLINK("https://en.wikipedia.org/wiki/Blue_Light","Open source")</x:f>
        <x:v>HYPERLINK is not implemented. linkLocation=https://en.wikipedia.org/wiki/Blue_Light, friendlyName=Open source</x:v>
      </x:c>
      <x:c r="AN102" s="14" t="str">
        <x:v>BBC public-service commission</x:v>
      </x:c>
      <x:c r="AO102" s="14" t="str">
        <x:v>Yes</x:v>
      </x:c>
      <x:c r="AP102" s="14" t="str">
        <x:v>Direct BBC public-service scope</x:v>
      </x:c>
      <x:c r="AQ102" s="14" t="str">
        <x:v>Yes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19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0.05263157894736842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tt14466018|nm7030266|tom lowry</x:v>
      </x:c>
      <x:c r="B103" s="14" t="str">
        <x:v>01</x:v>
      </x:c>
      <x:c r="C103" s="14" t="str">
        <x:v>2023_IMDb_Cast_Lists_Batch_01(2).xlsx</x:v>
      </x:c>
      <x:c r="D103" s="14" t="str">
        <x:v>Blue Lights</x:v>
      </x:c>
      <x:c r="E103" s="14" t="n">
        <x:v>99</x:v>
      </x:c>
      <x:c r="F103" s="14" t="str">
        <x:v>Blue Lights</x:v>
      </x:c>
      <x:c r="G103" s="14" t="str">
        <x:v>tt14466018</x:v>
      </x:c>
      <x:c r="H103" s="14" t="n">
        <x:v>2023</x:v>
      </x:c>
      <x:c r="I103" s="14" t="n">
        <x:v>2023</x:v>
      </x:c>
      <x:c r="J103" s="14" t="str">
        <x:v>Future Carry-Forward Cohort</x:v>
      </x:c>
      <x:c r="K103" s="14"/>
      <x:c r="L103" s="14" t="str">
        <x:v>Not inherited</x:v>
      </x:c>
      <x:c r="M103" s="15" t="n">
        <x:v>92</x:v>
      </x:c>
      <x:c r="N103" s="14" t="str">
        <x:v>Thomas Finnegan</x:v>
      </x:c>
      <x:c r="O103" s="14" t="str">
        <x:v>nm7030266</x:v>
      </x:c>
      <x:c r="P103" s="14" t="str">
        <x:v>Tom Lowry</x:v>
      </x:c>
      <x:c r="Q103" s="15" t="n">
        <x:v>1</x:v>
      </x:c>
      <x:c r="R103" s="14" t="str">
        <x:v>2024</x:v>
      </x:c>
      <x:c r="S103" s="14" t="n">
        <x:v>2024</x:v>
      </x:c>
      <x:c r="T103" s="14" t="n">
        <x:v>2024</x:v>
      </x:c>
      <x:c r="U103" s="14" t="str">
        <x:v>Explicit source first year retained</x:v>
      </x:c>
      <x:c r="V103" s="14" t="str">
        <x:v>Earliest supplied year is 2024.</x:v>
      </x:c>
      <x:c r="W103" s="14"/>
      <x:c r="X103" s="14" t="str">
        <x:v>Carried forward to 2024</x:v>
      </x:c>
      <x:c r="Y103" s="14"/>
      <x:c r="Z103" s="14" t="str">
        <x:v>Blue Lights.docx</x:v>
      </x:c>
      <x:c r="AA10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HYPERLINK("https://en.wikipedia.org/wiki/Blue_Light","Open source")</x:f>
        <x:v>HYPERLINK is not implemented. linkLocation=https://en.wikipedia.org/wiki/Blue_Light,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19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0.05263157894736842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tt14466018|nm8773879|janette</x:v>
      </x:c>
      <x:c r="B104" s="14" t="str">
        <x:v>01</x:v>
      </x:c>
      <x:c r="C104" s="14" t="str">
        <x:v>2023_IMDb_Cast_Lists_Batch_01(2).xlsx</x:v>
      </x:c>
      <x:c r="D104" s="14" t="str">
        <x:v>Blue Lights</x:v>
      </x:c>
      <x:c r="E104" s="14" t="n">
        <x:v>102</x:v>
      </x:c>
      <x:c r="F104" s="14" t="str">
        <x:v>Blue Lights</x:v>
      </x:c>
      <x:c r="G104" s="14" t="str">
        <x:v>tt14466018</x:v>
      </x:c>
      <x:c r="H104" s="14" t="n">
        <x:v>2023</x:v>
      </x:c>
      <x:c r="I104" s="14" t="n">
        <x:v>2023</x:v>
      </x:c>
      <x:c r="J104" s="14" t="str">
        <x:v>Future Carry-Forward Cohort</x:v>
      </x:c>
      <x:c r="K104" s="14"/>
      <x:c r="L104" s="14" t="str">
        <x:v>Not inherited</x:v>
      </x:c>
      <x:c r="M104" s="15" t="n">
        <x:v>95</x:v>
      </x:c>
      <x:c r="N104" s="14" t="str">
        <x:v>Rosie Barry</x:v>
      </x:c>
      <x:c r="O104" s="14" t="str">
        <x:v>nm8773879</x:v>
      </x:c>
      <x:c r="P104" s="14" t="str">
        <x:v>Janette</x:v>
      </x:c>
      <x:c r="Q104" s="15" t="n">
        <x:v>1</x:v>
      </x:c>
      <x:c r="R104" s="14" t="str">
        <x:v>2024</x:v>
      </x:c>
      <x:c r="S104" s="14" t="n">
        <x:v>2024</x:v>
      </x:c>
      <x:c r="T104" s="14" t="n">
        <x:v>2024</x:v>
      </x:c>
      <x:c r="U104" s="14" t="str">
        <x:v>Explicit source first year retained</x:v>
      </x:c>
      <x:c r="V104" s="14" t="str">
        <x:v>Earliest supplied year is 2024.</x:v>
      </x:c>
      <x:c r="W104" s="14"/>
      <x:c r="X104" s="14" t="str">
        <x:v>Carried forward to 2024</x:v>
      </x:c>
      <x:c r="Y104" s="14"/>
      <x:c r="Z104" s="14" t="str">
        <x:v>Blue Lights.docx</x:v>
      </x:c>
      <x:c r="AA10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HYPERLINK("https://en.wikipedia.org/wiki/Blue_Light","Open source")</x:f>
        <x:v>HYPERLINK is not implemented. linkLocation=https://en.wikipedia.org/wiki/Blue_Light,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19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0.05263157894736842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tt14466018|nm5520210|training officer</x:v>
      </x:c>
      <x:c r="B105" s="14" t="str">
        <x:v>01</x:v>
      </x:c>
      <x:c r="C105" s="14" t="str">
        <x:v>2023_IMDb_Cast_Lists_Batch_01(2).xlsx</x:v>
      </x:c>
      <x:c r="D105" s="14" t="str">
        <x:v>Blue Lights</x:v>
      </x:c>
      <x:c r="E105" s="14" t="n">
        <x:v>106</x:v>
      </x:c>
      <x:c r="F105" s="14" t="str">
        <x:v>Blue Lights</x:v>
      </x:c>
      <x:c r="G105" s="14" t="str">
        <x:v>tt14466018</x:v>
      </x:c>
      <x:c r="H105" s="14" t="n">
        <x:v>2023</x:v>
      </x:c>
      <x:c r="I105" s="14" t="n">
        <x:v>2023</x:v>
      </x:c>
      <x:c r="J105" s="14" t="str">
        <x:v>Future Carry-Forward Cohort</x:v>
      </x:c>
      <x:c r="K105" s="14"/>
      <x:c r="L105" s="14" t="str">
        <x:v>Not inherited</x:v>
      </x:c>
      <x:c r="M105" s="15" t="n">
        <x:v>99</x:v>
      </x:c>
      <x:c r="N105" s="14" t="str">
        <x:v>David Marken</x:v>
      </x:c>
      <x:c r="O105" s="14" t="str">
        <x:v>nm5520210</x:v>
      </x:c>
      <x:c r="P105" s="14" t="str">
        <x:v>Training Officer</x:v>
      </x:c>
      <x:c r="Q105" s="15" t="n">
        <x:v>1</x:v>
      </x:c>
      <x:c r="R105" s="14" t="str">
        <x:v>2024</x:v>
      </x:c>
      <x:c r="S105" s="14" t="n">
        <x:v>2024</x:v>
      </x:c>
      <x:c r="T105" s="14" t="n">
        <x:v>2024</x:v>
      </x:c>
      <x:c r="U105" s="14" t="str">
        <x:v>Explicit source first year retained</x:v>
      </x:c>
      <x:c r="V105" s="14" t="str">
        <x:v>Earliest supplied year is 2024.</x:v>
      </x:c>
      <x:c r="W105" s="14"/>
      <x:c r="X105" s="14" t="str">
        <x:v>Carried forward to 2024</x:v>
      </x:c>
      <x:c r="Y105" s="14"/>
      <x:c r="Z105" s="14" t="str">
        <x:v>Blue Lights.docx</x:v>
      </x:c>
      <x:c r="AA10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HYPERLINK("https://en.wikipedia.org/wiki/Blue_Light","Open source")</x:f>
        <x:v>HYPERLINK is not implemented. linkLocation=https://en.wikipedia.org/wiki/Blue_Light,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19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0.05263157894736842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tt14466018|nm7264962|gavin</x:v>
      </x:c>
      <x:c r="B106" s="14" t="str">
        <x:v>01</x:v>
      </x:c>
      <x:c r="C106" s="14" t="str">
        <x:v>2023_IMDb_Cast_Lists_Batch_01(2).xlsx</x:v>
      </x:c>
      <x:c r="D106" s="14" t="str">
        <x:v>Blue Lights</x:v>
      </x:c>
      <x:c r="E106" s="14" t="n">
        <x:v>114</x:v>
      </x:c>
      <x:c r="F106" s="14" t="str">
        <x:v>Blue Lights</x:v>
      </x:c>
      <x:c r="G106" s="14" t="str">
        <x:v>tt14466018</x:v>
      </x:c>
      <x:c r="H106" s="14" t="n">
        <x:v>2023</x:v>
      </x:c>
      <x:c r="I106" s="14" t="n">
        <x:v>2023</x:v>
      </x:c>
      <x:c r="J106" s="14" t="str">
        <x:v>Future Carry-Forward Cohort</x:v>
      </x:c>
      <x:c r="K106" s="14"/>
      <x:c r="L106" s="14" t="str">
        <x:v>Not inherited</x:v>
      </x:c>
      <x:c r="M106" s="15" t="n">
        <x:v>107</x:v>
      </x:c>
      <x:c r="N106" s="14" t="str">
        <x:v>Ryan Dylan</x:v>
      </x:c>
      <x:c r="O106" s="14" t="str">
        <x:v>nm7264962</x:v>
      </x:c>
      <x:c r="P106" s="14" t="str">
        <x:v>Gavin</x:v>
      </x:c>
      <x:c r="Q106" s="15" t="n">
        <x:v>1</x:v>
      </x:c>
      <x:c r="R106" s="14" t="str">
        <x:v>2024</x:v>
      </x:c>
      <x:c r="S106" s="14" t="n">
        <x:v>2024</x:v>
      </x:c>
      <x:c r="T106" s="14" t="n">
        <x:v>2024</x:v>
      </x:c>
      <x:c r="U106" s="14" t="str">
        <x:v>Explicit source first year retained</x:v>
      </x:c>
      <x:c r="V106" s="14" t="str">
        <x:v>Earliest supplied year is 2024.</x:v>
      </x:c>
      <x:c r="W106" s="14"/>
      <x:c r="X106" s="14" t="str">
        <x:v>Carried forward to 2024</x:v>
      </x:c>
      <x:c r="Y106" s="14" t="str">
        <x:v>(as Ryan Early)</x:v>
      </x:c>
      <x:c r="Z106" s="14" t="str">
        <x:v>Blue Lights.docx</x:v>
      </x:c>
      <x:c r="AA10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HYPERLINK("https://en.wikipedia.org/wiki/Blue_Light","Open source")</x:f>
        <x:v>HYPERLINK is not implemented. linkLocation=https://en.wikipedia.org/wiki/Blue_Light,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19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0.05263157894736842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tt14466018|nm3941625|chris young</x:v>
      </x:c>
      <x:c r="B107" s="14" t="str">
        <x:v>01</x:v>
      </x:c>
      <x:c r="C107" s="14" t="str">
        <x:v>2023_IMDb_Cast_Lists_Batch_01(2).xlsx</x:v>
      </x:c>
      <x:c r="D107" s="14" t="str">
        <x:v>Blue Lights</x:v>
      </x:c>
      <x:c r="E107" s="14" t="n">
        <x:v>115</x:v>
      </x:c>
      <x:c r="F107" s="14" t="str">
        <x:v>Blue Lights</x:v>
      </x:c>
      <x:c r="G107" s="14" t="str">
        <x:v>tt14466018</x:v>
      </x:c>
      <x:c r="H107" s="14" t="n">
        <x:v>2023</x:v>
      </x:c>
      <x:c r="I107" s="14" t="n">
        <x:v>2023</x:v>
      </x:c>
      <x:c r="J107" s="14" t="str">
        <x:v>Future Carry-Forward Cohort</x:v>
      </x:c>
      <x:c r="K107" s="14"/>
      <x:c r="L107" s="14" t="str">
        <x:v>Not inherited</x:v>
      </x:c>
      <x:c r="M107" s="15" t="n">
        <x:v>108</x:v>
      </x:c>
      <x:c r="N107" s="14" t="str">
        <x:v>Chris Robinson</x:v>
      </x:c>
      <x:c r="O107" s="14" t="str">
        <x:v>nm3941625</x:v>
      </x:c>
      <x:c r="P107" s="14" t="str">
        <x:v>Chris Young</x:v>
      </x:c>
      <x:c r="Q107" s="15" t="n">
        <x:v>1</x:v>
      </x:c>
      <x:c r="R107" s="14" t="str">
        <x:v>2024</x:v>
      </x:c>
      <x:c r="S107" s="14" t="n">
        <x:v>2024</x:v>
      </x:c>
      <x:c r="T107" s="14" t="n">
        <x:v>2024</x:v>
      </x:c>
      <x:c r="U107" s="14" t="str">
        <x:v>Explicit source first year retained</x:v>
      </x:c>
      <x:c r="V107" s="14" t="str">
        <x:v>Earliest supplied year is 2024.</x:v>
      </x:c>
      <x:c r="W107" s="14"/>
      <x:c r="X107" s="14" t="str">
        <x:v>Carried forward to 2024</x:v>
      </x:c>
      <x:c r="Y107" s="14"/>
      <x:c r="Z107" s="14" t="str">
        <x:v>Blue Lights.docx</x:v>
      </x:c>
      <x:c r="AA10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HYPERLINK("https://en.wikipedia.org/wiki/Blue_Light","Open source")</x:f>
        <x:v>HYPERLINK is not implemented. linkLocation=https://en.wikipedia.org/wiki/Blue_Light,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19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0.05263157894736842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tt14466018|nm0385576|sally kyle</x:v>
      </x:c>
      <x:c r="B108" s="14" t="str">
        <x:v>01</x:v>
      </x:c>
      <x:c r="C108" s="14" t="str">
        <x:v>2023_IMDb_Cast_Lists_Batch_01(2).xlsx</x:v>
      </x:c>
      <x:c r="D108" s="14" t="str">
        <x:v>Blue Lights</x:v>
      </x:c>
      <x:c r="E108" s="14" t="n">
        <x:v>121</x:v>
      </x:c>
      <x:c r="F108" s="14" t="str">
        <x:v>Blue Lights</x:v>
      </x:c>
      <x:c r="G108" s="14" t="str">
        <x:v>tt14466018</x:v>
      </x:c>
      <x:c r="H108" s="14" t="n">
        <x:v>2023</x:v>
      </x:c>
      <x:c r="I108" s="14" t="n">
        <x:v>2023</x:v>
      </x:c>
      <x:c r="J108" s="14" t="str">
        <x:v>Future Carry-Forward Cohort</x:v>
      </x:c>
      <x:c r="K108" s="14"/>
      <x:c r="L108" s="14" t="str">
        <x:v>Not inherited</x:v>
      </x:c>
      <x:c r="M108" s="15" t="n">
        <x:v>114</x:v>
      </x:c>
      <x:c r="N108" s="14" t="str">
        <x:v>Catriona Hinds</x:v>
      </x:c>
      <x:c r="O108" s="14" t="str">
        <x:v>nm0385576</x:v>
      </x:c>
      <x:c r="P108" s="14" t="str">
        <x:v>Sally Kyle</x:v>
      </x:c>
      <x:c r="Q108" s="15" t="n">
        <x:v>1</x:v>
      </x:c>
      <x:c r="R108" s="14" t="str">
        <x:v>2024</x:v>
      </x:c>
      <x:c r="S108" s="14" t="n">
        <x:v>2024</x:v>
      </x:c>
      <x:c r="T108" s="14" t="n">
        <x:v>2024</x:v>
      </x:c>
      <x:c r="U108" s="14" t="str">
        <x:v>Explicit source first year retained</x:v>
      </x:c>
      <x:c r="V108" s="14" t="str">
        <x:v>Earliest supplied year is 2024.</x:v>
      </x:c>
      <x:c r="W108" s="14"/>
      <x:c r="X108" s="14" t="str">
        <x:v>Carried forward to 2024</x:v>
      </x:c>
      <x:c r="Y108" s="14"/>
      <x:c r="Z108" s="14" t="str">
        <x:v>Blue Lights.docx</x:v>
      </x:c>
      <x:c r="AA10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HYPERLINK("https://en.wikipedia.org/wiki/Blue_Light","Open source")</x:f>
        <x:v>HYPERLINK is not implemented. linkLocation=https://en.wikipedia.org/wiki/Blue_Light,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19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0.05263157894736842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tt14466018|nm8422043|chisel</x:v>
      </x:c>
      <x:c r="B109" s="14" t="str">
        <x:v>01</x:v>
      </x:c>
      <x:c r="C109" s="14" t="str">
        <x:v>2023_IMDb_Cast_Lists_Batch_01(2).xlsx</x:v>
      </x:c>
      <x:c r="D109" s="14" t="str">
        <x:v>Blue Lights</x:v>
      </x:c>
      <x:c r="E109" s="14" t="n">
        <x:v>126</x:v>
      </x:c>
      <x:c r="F109" s="14" t="str">
        <x:v>Blue Lights</x:v>
      </x:c>
      <x:c r="G109" s="14" t="str">
        <x:v>tt14466018</x:v>
      </x:c>
      <x:c r="H109" s="14" t="n">
        <x:v>2023</x:v>
      </x:c>
      <x:c r="I109" s="14" t="n">
        <x:v>2023</x:v>
      </x:c>
      <x:c r="J109" s="14" t="str">
        <x:v>Future Carry-Forward Cohort</x:v>
      </x:c>
      <x:c r="K109" s="14"/>
      <x:c r="L109" s="14" t="str">
        <x:v>Not inherited</x:v>
      </x:c>
      <x:c r="M109" s="15" t="n">
        <x:v>119</x:v>
      </x:c>
      <x:c r="N109" s="14" t="str">
        <x:v>Thomas Purdy</x:v>
      </x:c>
      <x:c r="O109" s="14" t="str">
        <x:v>nm8422043</x:v>
      </x:c>
      <x:c r="P109" s="14" t="str">
        <x:v>Chisel</x:v>
      </x:c>
      <x:c r="Q109" s="15" t="n">
        <x:v>1</x:v>
      </x:c>
      <x:c r="R109" s="14" t="str">
        <x:v>2024</x:v>
      </x:c>
      <x:c r="S109" s="14" t="n">
        <x:v>2024</x:v>
      </x:c>
      <x:c r="T109" s="14" t="n">
        <x:v>2024</x:v>
      </x:c>
      <x:c r="U109" s="14" t="str">
        <x:v>Explicit source first year retained</x:v>
      </x:c>
      <x:c r="V109" s="14" t="str">
        <x:v>Earliest supplied year is 2024.</x:v>
      </x:c>
      <x:c r="W109" s="14"/>
      <x:c r="X109" s="14" t="str">
        <x:v>Carried forward to 2024</x:v>
      </x:c>
      <x:c r="Y109" s="14"/>
      <x:c r="Z109" s="14" t="str">
        <x:v>Blue Lights.docx</x:v>
      </x:c>
      <x:c r="AA10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HYPERLINK("https://en.wikipedia.org/wiki/Blue_Light","Open source")</x:f>
        <x:v>HYPERLINK is not implemented. linkLocation=https://en.wikipedia.org/wiki/Blue_Light,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19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0.05263157894736842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tt14466018|nm13322602|shelly</x:v>
      </x:c>
      <x:c r="B110" s="14" t="str">
        <x:v>01</x:v>
      </x:c>
      <x:c r="C110" s="14" t="str">
        <x:v>2023_IMDb_Cast_Lists_Batch_01(2).xlsx</x:v>
      </x:c>
      <x:c r="D110" s="14" t="str">
        <x:v>Blue Lights</x:v>
      </x:c>
      <x:c r="E110" s="14" t="n">
        <x:v>138</x:v>
      </x:c>
      <x:c r="F110" s="14" t="str">
        <x:v>Blue Lights</x:v>
      </x:c>
      <x:c r="G110" s="14" t="str">
        <x:v>tt14466018</x:v>
      </x:c>
      <x:c r="H110" s="14" t="n">
        <x:v>2023</x:v>
      </x:c>
      <x:c r="I110" s="14" t="n">
        <x:v>2023</x:v>
      </x:c>
      <x:c r="J110" s="14" t="str">
        <x:v>Future Carry-Forward Cohort</x:v>
      </x:c>
      <x:c r="K110" s="14"/>
      <x:c r="L110" s="14" t="str">
        <x:v>Not inherited</x:v>
      </x:c>
      <x:c r="M110" s="15" t="n">
        <x:v>131</x:v>
      </x:c>
      <x:c r="N110" s="14" t="str">
        <x:v>Grace Thompson</x:v>
      </x:c>
      <x:c r="O110" s="14" t="str">
        <x:v>nm13322602</x:v>
      </x:c>
      <x:c r="P110" s="14" t="str">
        <x:v>Shelly</x:v>
      </x:c>
      <x:c r="Q110" s="15" t="n">
        <x:v>1</x:v>
      </x:c>
      <x:c r="R110" s="14" t="str">
        <x:v>2024</x:v>
      </x:c>
      <x:c r="S110" s="14" t="n">
        <x:v>2024</x:v>
      </x:c>
      <x:c r="T110" s="14" t="n">
        <x:v>2024</x:v>
      </x:c>
      <x:c r="U110" s="14" t="str">
        <x:v>Explicit source first year retained</x:v>
      </x:c>
      <x:c r="V110" s="14" t="str">
        <x:v>Earliest supplied year is 2024.</x:v>
      </x:c>
      <x:c r="W110" s="14"/>
      <x:c r="X110" s="14" t="str">
        <x:v>Carried forward to 2024</x:v>
      </x:c>
      <x:c r="Y110" s="14"/>
      <x:c r="Z110" s="14" t="str">
        <x:v>Blue Lights.docx</x:v>
      </x:c>
      <x:c r="AA11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HYPERLINK("https://en.wikipedia.org/wiki/Blue_Light","Open source")</x:f>
        <x:v>HYPERLINK is not implemented. linkLocation=https://en.wikipedia.org/wiki/Blue_Light,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19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0.05263157894736842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tt14466018|nm6467841|c.i.d.</x:v>
      </x:c>
      <x:c r="B111" s="14" t="str">
        <x:v>01</x:v>
      </x:c>
      <x:c r="C111" s="14" t="str">
        <x:v>2023_IMDb_Cast_Lists_Batch_01(2).xlsx</x:v>
      </x:c>
      <x:c r="D111" s="14" t="str">
        <x:v>Blue Lights</x:v>
      </x:c>
      <x:c r="E111" s="14" t="n">
        <x:v>140</x:v>
      </x:c>
      <x:c r="F111" s="14" t="str">
        <x:v>Blue Lights</x:v>
      </x:c>
      <x:c r="G111" s="14" t="str">
        <x:v>tt14466018</x:v>
      </x:c>
      <x:c r="H111" s="14" t="n">
        <x:v>2023</x:v>
      </x:c>
      <x:c r="I111" s="14" t="n">
        <x:v>2023</x:v>
      </x:c>
      <x:c r="J111" s="14" t="str">
        <x:v>Future Carry-Forward Cohort</x:v>
      </x:c>
      <x:c r="K111" s="14"/>
      <x:c r="L111" s="14" t="str">
        <x:v>Not inherited</x:v>
      </x:c>
      <x:c r="M111" s="15" t="n">
        <x:v>133</x:v>
      </x:c>
      <x:c r="N111" s="14" t="str">
        <x:v>Conor O'Donnell</x:v>
      </x:c>
      <x:c r="O111" s="14" t="str">
        <x:v>nm6467841</x:v>
      </x:c>
      <x:c r="P111" s="14" t="str">
        <x:v>C.I.D.</x:v>
      </x:c>
      <x:c r="Q111" s="15" t="n">
        <x:v>1</x:v>
      </x:c>
      <x:c r="R111" s="14" t="str">
        <x:v>2024</x:v>
      </x:c>
      <x:c r="S111" s="14" t="n">
        <x:v>2024</x:v>
      </x:c>
      <x:c r="T111" s="14" t="n">
        <x:v>2024</x:v>
      </x:c>
      <x:c r="U111" s="14" t="str">
        <x:v>Explicit source first year retained</x:v>
      </x:c>
      <x:c r="V111" s="14" t="str">
        <x:v>Earliest supplied year is 2024.</x:v>
      </x:c>
      <x:c r="W111" s="14"/>
      <x:c r="X111" s="14" t="str">
        <x:v>Carried forward to 2024</x:v>
      </x:c>
      <x:c r="Y111" s="14"/>
      <x:c r="Z111" s="14" t="str">
        <x:v>Blue Lights.docx</x:v>
      </x:c>
      <x:c r="AA11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HYPERLINK("https://en.wikipedia.org/wiki/Blue_Light","Open source")</x:f>
        <x:v>HYPERLINK is not implemented. linkLocation=https://en.wikipedia.org/wiki/Blue_Light,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19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0.05263157894736842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tt14466018|nm12962402|band</x:v>
      </x:c>
      <x:c r="B112" s="14" t="str">
        <x:v>01</x:v>
      </x:c>
      <x:c r="C112" s="14" t="str">
        <x:v>2023_IMDb_Cast_Lists_Batch_01(2).xlsx</x:v>
      </x:c>
      <x:c r="D112" s="14" t="str">
        <x:v>Blue Lights</x:v>
      </x:c>
      <x:c r="E112" s="14" t="n">
        <x:v>141</x:v>
      </x:c>
      <x:c r="F112" s="14" t="str">
        <x:v>Blue Lights</x:v>
      </x:c>
      <x:c r="G112" s="14" t="str">
        <x:v>tt14466018</x:v>
      </x:c>
      <x:c r="H112" s="14" t="n">
        <x:v>2023</x:v>
      </x:c>
      <x:c r="I112" s="14" t="n">
        <x:v>2023</x:v>
      </x:c>
      <x:c r="J112" s="14" t="str">
        <x:v>Future Carry-Forward Cohort</x:v>
      </x:c>
      <x:c r="K112" s="14"/>
      <x:c r="L112" s="14" t="str">
        <x:v>Not inherited</x:v>
      </x:c>
      <x:c r="M112" s="15" t="n">
        <x:v>134</x:v>
      </x:c>
      <x:c r="N112" s="14" t="str">
        <x:v>Dea Matrona</x:v>
      </x:c>
      <x:c r="O112" s="14" t="str">
        <x:v>nm12962402</x:v>
      </x:c>
      <x:c r="P112" s="14" t="str">
        <x:v>Band</x:v>
      </x:c>
      <x:c r="Q112" s="15" t="n">
        <x:v>1</x:v>
      </x:c>
      <x:c r="R112" s="14" t="str">
        <x:v>2024</x:v>
      </x:c>
      <x:c r="S112" s="14" t="n">
        <x:v>2024</x:v>
      </x:c>
      <x:c r="T112" s="14" t="n">
        <x:v>2024</x:v>
      </x:c>
      <x:c r="U112" s="14" t="str">
        <x:v>Explicit source first year retained</x:v>
      </x:c>
      <x:c r="V112" s="14" t="str">
        <x:v>Earliest supplied year is 2024.</x:v>
      </x:c>
      <x:c r="W112" s="14"/>
      <x:c r="X112" s="14" t="str">
        <x:v>Carried forward to 2024</x:v>
      </x:c>
      <x:c r="Y112" s="14"/>
      <x:c r="Z112" s="14" t="str">
        <x:v>Blue Lights.docx</x:v>
      </x:c>
      <x:c r="AA11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HYPERLINK("https://en.wikipedia.org/wiki/Blue_Light","Open source")</x:f>
        <x:v>HYPERLINK is not implemented. linkLocation=https://en.wikipedia.org/wiki/Blue_Light, friendlyName=Open source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19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0.05263157894736842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tt14466018|nm7633470|nightclub girl</x:v>
      </x:c>
      <x:c r="B113" s="14" t="str">
        <x:v>01</x:v>
      </x:c>
      <x:c r="C113" s="14" t="str">
        <x:v>2023_IMDb_Cast_Lists_Batch_01(2).xlsx</x:v>
      </x:c>
      <x:c r="D113" s="14" t="str">
        <x:v>Blue Lights</x:v>
      </x:c>
      <x:c r="E113" s="14" t="n">
        <x:v>144</x:v>
      </x:c>
      <x:c r="F113" s="14" t="str">
        <x:v>Blue Lights</x:v>
      </x:c>
      <x:c r="G113" s="14" t="str">
        <x:v>tt14466018</x:v>
      </x:c>
      <x:c r="H113" s="14" t="n">
        <x:v>2023</x:v>
      </x:c>
      <x:c r="I113" s="14" t="n">
        <x:v>2023</x:v>
      </x:c>
      <x:c r="J113" s="14" t="str">
        <x:v>Future Carry-Forward Cohort</x:v>
      </x:c>
      <x:c r="K113" s="14"/>
      <x:c r="L113" s="14" t="str">
        <x:v>Not inherited</x:v>
      </x:c>
      <x:c r="M113" s="15" t="n">
        <x:v>137</x:v>
      </x:c>
      <x:c r="N113" s="14" t="str">
        <x:v>Sheena Kelly</x:v>
      </x:c>
      <x:c r="O113" s="14" t="str">
        <x:v>nm7633470</x:v>
      </x:c>
      <x:c r="P113" s="14" t="str">
        <x:v>Nightclub Girl</x:v>
      </x:c>
      <x:c r="Q113" s="15" t="n">
        <x:v>1</x:v>
      </x:c>
      <x:c r="R113" s="14" t="str">
        <x:v>2024</x:v>
      </x:c>
      <x:c r="S113" s="14" t="n">
        <x:v>2024</x:v>
      </x:c>
      <x:c r="T113" s="14" t="n">
        <x:v>2024</x:v>
      </x:c>
      <x:c r="U113" s="14" t="str">
        <x:v>Explicit source first year retained</x:v>
      </x:c>
      <x:c r="V113" s="14" t="str">
        <x:v>Earliest supplied year is 2024.</x:v>
      </x:c>
      <x:c r="W113" s="14"/>
      <x:c r="X113" s="14" t="str">
        <x:v>Carried forward to 2024</x:v>
      </x:c>
      <x:c r="Y113" s="14"/>
      <x:c r="Z113" s="14" t="str">
        <x:v>Blue Lights.docx</x:v>
      </x:c>
      <x:c r="AA11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HYPERLINK("https://en.wikipedia.org/wiki/Blue_Light","Open source")</x:f>
        <x:v>HYPERLINK is not implemented. linkLocation=https://en.wikipedia.org/wiki/Blue_Light, friendlyName=Open source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19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0.05263157894736842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tt19889996|nm5427486|maude</x:v>
      </x:c>
      <x:c r="B114" s="14" t="str">
        <x:v>02</x:v>
      </x:c>
      <x:c r="C114" s="14" t="str">
        <x:v>2023_IMDb_Cast_Lists_Batch_02(2).xlsx</x:v>
      </x:c>
      <x:c r="D114" s="14" t="str">
        <x:v>Everyone Else Burns</x:v>
      </x:c>
      <x:c r="E114" s="14" t="n">
        <x:v>20</x:v>
      </x:c>
      <x:c r="F114" s="14" t="str">
        <x:v>Everyone Else Burns</x:v>
      </x:c>
      <x:c r="G114" s="14" t="str">
        <x:v>tt19889996</x:v>
      </x:c>
      <x:c r="H114" s="14" t="n">
        <x:v>2023</x:v>
      </x:c>
      <x:c r="I114" s="14" t="n">
        <x:v>2023</x:v>
      </x:c>
      <x:c r="J114" s="14" t="str">
        <x:v>Future Carry-Forward Cohort</x:v>
      </x:c>
      <x:c r="K114" s="14"/>
      <x:c r="L114" s="14" t="str">
        <x:v>Not inherited</x:v>
      </x:c>
      <x:c r="M114" s="15" t="n">
        <x:v>13</x:v>
      </x:c>
      <x:c r="N114" s="14" t="str">
        <x:v>Sian Clifford</x:v>
      </x:c>
      <x:c r="O114" s="14" t="str">
        <x:v>nm5427486</x:v>
      </x:c>
      <x:c r="P114" s="14" t="str">
        <x:v>Maude</x:v>
      </x:c>
      <x:c r="Q114" s="15" t="n">
        <x:v>6</x:v>
      </x:c>
      <x:c r="R114" s="14" t="str">
        <x:v>2024</x:v>
      </x:c>
      <x:c r="S114" s="14" t="n">
        <x:v>2024</x:v>
      </x:c>
      <x:c r="T114" s="14" t="n">
        <x:v>2024</x:v>
      </x:c>
      <x:c r="U114" s="14" t="str">
        <x:v>Explicit source first year retained</x:v>
      </x:c>
      <x:c r="V114" s="14" t="str">
        <x:v>Earliest supplied year is 2024.</x:v>
      </x:c>
      <x:c r="W114" s="14"/>
      <x:c r="X114" s="14" t="str">
        <x:v>Carried forward to 2024</x:v>
      </x:c>
      <x:c r="Y114" s="14"/>
      <x:c r="Z114" s="14" t="str">
        <x:v>Everyone Else Burns.docx</x:v>
      </x:c>
      <x:c r="AA11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Channel 4 / E4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12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6</x:v>
      </x:c>
      <x:c r="BS114" s="16" t="n">
        <x:v>0.5</x:v>
      </x:c>
      <x:c r="BT114" s="14" t="str">
        <x:v>Minority of episodes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tt19889996|nm4413019|jebediah</x:v>
      </x:c>
      <x:c r="B115" s="14" t="str">
        <x:v>02</x:v>
      </x:c>
      <x:c r="C115" s="14" t="str">
        <x:v>2023_IMDb_Cast_Lists_Batch_02(2).xlsx</x:v>
      </x:c>
      <x:c r="D115" s="14" t="str">
        <x:v>Everyone Else Burns</x:v>
      </x:c>
      <x:c r="E115" s="14" t="n">
        <x:v>21</x:v>
      </x:c>
      <x:c r="F115" s="14" t="str">
        <x:v>Everyone Else Burns</x:v>
      </x:c>
      <x:c r="G115" s="14" t="str">
        <x:v>tt19889996</x:v>
      </x:c>
      <x:c r="H115" s="14" t="n">
        <x:v>2023</x:v>
      </x:c>
      <x:c r="I115" s="14" t="n">
        <x:v>2023</x:v>
      </x:c>
      <x:c r="J115" s="14" t="str">
        <x:v>Future Carry-Forward Cohort</x:v>
      </x:c>
      <x:c r="K115" s="14"/>
      <x:c r="L115" s="14" t="str">
        <x:v>Not inherited</x:v>
      </x:c>
      <x:c r="M115" s="15" t="n">
        <x:v>14</x:v>
      </x:c>
      <x:c r="N115" s="14" t="str">
        <x:v>Paddy Young</x:v>
      </x:c>
      <x:c r="O115" s="14" t="str">
        <x:v>nm4413019</x:v>
      </x:c>
      <x:c r="P115" s="14" t="str">
        <x:v>Jebediah</x:v>
      </x:c>
      <x:c r="Q115" s="15" t="n">
        <x:v>6</x:v>
      </x:c>
      <x:c r="R115" s="14" t="str">
        <x:v>2024</x:v>
      </x:c>
      <x:c r="S115" s="14" t="n">
        <x:v>2024</x:v>
      </x:c>
      <x:c r="T115" s="14" t="n">
        <x:v>2024</x:v>
      </x:c>
      <x:c r="U115" s="14" t="str">
        <x:v>Explicit source first year retained</x:v>
      </x:c>
      <x:c r="V115" s="14" t="str">
        <x:v>Earliest supplied year is 2024.</x:v>
      </x:c>
      <x:c r="W115" s="14"/>
      <x:c r="X115" s="14" t="str">
        <x:v>Carried forward to 2024</x:v>
      </x:c>
      <x:c r="Y115" s="14"/>
      <x:c r="Z115" s="14" t="str">
        <x:v>Everyone Else Burns.docx</x:v>
      </x:c>
      <x:c r="AA11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Channel 4 / E4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12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6</x:v>
      </x:c>
      <x:c r="BS115" s="16" t="n">
        <x:v>0.5</x:v>
      </x:c>
      <x:c r="BT115" s="14" t="str">
        <x:v>Minority of episodes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tt19889996|nm16182240|church ordinand</x:v>
      </x:c>
      <x:c r="B116" s="14" t="str">
        <x:v>02</x:v>
      </x:c>
      <x:c r="C116" s="14" t="str">
        <x:v>2023_IMDb_Cast_Lists_Batch_02(2).xlsx</x:v>
      </x:c>
      <x:c r="D116" s="14" t="str">
        <x:v>Everyone Else Burns</x:v>
      </x:c>
      <x:c r="E116" s="14" t="n">
        <x:v>22</x:v>
      </x:c>
      <x:c r="F116" s="14" t="str">
        <x:v>Everyone Else Burns</x:v>
      </x:c>
      <x:c r="G116" s="14" t="str">
        <x:v>tt19889996</x:v>
      </x:c>
      <x:c r="H116" s="14" t="n">
        <x:v>2023</x:v>
      </x:c>
      <x:c r="I116" s="14" t="n">
        <x:v>2023</x:v>
      </x:c>
      <x:c r="J116" s="14" t="str">
        <x:v>Future Carry-Forward Cohort</x:v>
      </x:c>
      <x:c r="K116" s="14"/>
      <x:c r="L116" s="14" t="str">
        <x:v>Not inherited</x:v>
      </x:c>
      <x:c r="M116" s="15" t="n">
        <x:v>15</x:v>
      </x:c>
      <x:c r="N116" s="14" t="str">
        <x:v>Jessica Grundle</x:v>
      </x:c>
      <x:c r="O116" s="14" t="str">
        <x:v>nm16182240</x:v>
      </x:c>
      <x:c r="P116" s="14" t="str">
        <x:v>Church Ordinand</x:v>
      </x:c>
      <x:c r="Q116" s="15" t="n">
        <x:v>6</x:v>
      </x:c>
      <x:c r="R116" s="14" t="str">
        <x:v>2024</x:v>
      </x:c>
      <x:c r="S116" s="14" t="n">
        <x:v>2024</x:v>
      </x:c>
      <x:c r="T116" s="14" t="n">
        <x:v>2024</x:v>
      </x:c>
      <x:c r="U116" s="14" t="str">
        <x:v>Explicit source first year retained</x:v>
      </x:c>
      <x:c r="V116" s="14" t="str">
        <x:v>Earliest supplied year is 2024.</x:v>
      </x:c>
      <x:c r="W116" s="14"/>
      <x:c r="X116" s="14" t="str">
        <x:v>Carried forward to 2024</x:v>
      </x:c>
      <x:c r="Y116" s="14"/>
      <x:c r="Z116" s="14" t="str">
        <x:v>Everyone Else Burns.docx</x:v>
      </x:c>
      <x:c r="AA11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Channel 4 / E4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12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6</x:v>
      </x:c>
      <x:c r="BS116" s="16" t="n">
        <x:v>0.5</x:v>
      </x:c>
      <x:c r="BT116" s="14" t="str">
        <x:v>Minority of episodes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tt19889996|nm3364487|heather</x:v>
      </x:c>
      <x:c r="B117" s="14" t="str">
        <x:v>02</x:v>
      </x:c>
      <x:c r="C117" s="14" t="str">
        <x:v>2023_IMDb_Cast_Lists_Batch_02(2).xlsx</x:v>
      </x:c>
      <x:c r="D117" s="14" t="str">
        <x:v>Everyone Else Burns</x:v>
      </x:c>
      <x:c r="E117" s="14" t="n">
        <x:v>23</x:v>
      </x:c>
      <x:c r="F117" s="14" t="str">
        <x:v>Everyone Else Burns</x:v>
      </x:c>
      <x:c r="G117" s="14" t="str">
        <x:v>tt19889996</x:v>
      </x:c>
      <x:c r="H117" s="14" t="n">
        <x:v>2023</x:v>
      </x:c>
      <x:c r="I117" s="14" t="n">
        <x:v>2023</x:v>
      </x:c>
      <x:c r="J117" s="14" t="str">
        <x:v>Future Carry-Forward Cohort</x:v>
      </x:c>
      <x:c r="K117" s="14"/>
      <x:c r="L117" s="14" t="str">
        <x:v>Not inherited</x:v>
      </x:c>
      <x:c r="M117" s="15" t="n">
        <x:v>16</x:v>
      </x:c>
      <x:c r="N117" s="14" t="str">
        <x:v>Olivia Marcus</x:v>
      </x:c>
      <x:c r="O117" s="14" t="str">
        <x:v>nm3364487</x:v>
      </x:c>
      <x:c r="P117" s="14" t="str">
        <x:v>Heather</x:v>
      </x:c>
      <x:c r="Q117" s="15" t="n">
        <x:v>5</x:v>
      </x:c>
      <x:c r="R117" s="14" t="str">
        <x:v>2024</x:v>
      </x:c>
      <x:c r="S117" s="14" t="n">
        <x:v>2024</x:v>
      </x:c>
      <x:c r="T117" s="14" t="n">
        <x:v>2024</x:v>
      </x:c>
      <x:c r="U117" s="14" t="str">
        <x:v>Explicit source first year retained</x:v>
      </x:c>
      <x:c r="V117" s="14" t="str">
        <x:v>Earliest supplied year is 2024.</x:v>
      </x:c>
      <x:c r="W117" s="14"/>
      <x:c r="X117" s="14" t="str">
        <x:v>Carried forward to 2024</x:v>
      </x:c>
      <x:c r="Y117" s="14"/>
      <x:c r="Z117" s="14" t="str">
        <x:v>Everyone Else Burns.docx</x:v>
      </x:c>
      <x:c r="AA11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Channel 4 / E4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12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5</x:v>
      </x:c>
      <x:c r="BS117" s="16" t="n">
        <x:v>0.4166666666666667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tt19889996|nm11109927|dillon</x:v>
      </x:c>
      <x:c r="B118" s="14" t="str">
        <x:v>02</x:v>
      </x:c>
      <x:c r="C118" s="14" t="str">
        <x:v>2023_IMDb_Cast_Lists_Batch_02(2).xlsx</x:v>
      </x:c>
      <x:c r="D118" s="14" t="str">
        <x:v>Everyone Else Burns</x:v>
      </x:c>
      <x:c r="E118" s="14" t="n">
        <x:v>25</x:v>
      </x:c>
      <x:c r="F118" s="14" t="str">
        <x:v>Everyone Else Burns</x:v>
      </x:c>
      <x:c r="G118" s="14" t="str">
        <x:v>tt19889996</x:v>
      </x:c>
      <x:c r="H118" s="14" t="n">
        <x:v>2023</x:v>
      </x:c>
      <x:c r="I118" s="14" t="n">
        <x:v>2023</x:v>
      </x:c>
      <x:c r="J118" s="14" t="str">
        <x:v>Future Carry-Forward Cohort</x:v>
      </x:c>
      <x:c r="K118" s="14"/>
      <x:c r="L118" s="14" t="str">
        <x:v>Not inherited</x:v>
      </x:c>
      <x:c r="M118" s="15" t="n">
        <x:v>18</x:v>
      </x:c>
      <x:c r="N118" s="14" t="str">
        <x:v>Dillon Mapletoft</x:v>
      </x:c>
      <x:c r="O118" s="14" t="str">
        <x:v>nm11109927</x:v>
      </x:c>
      <x:c r="P118" s="14" t="str">
        <x:v>Dillon</x:v>
      </x:c>
      <x:c r="Q118" s="15" t="n">
        <x:v>3</x:v>
      </x:c>
      <x:c r="R118" s="14" t="str">
        <x:v>2024</x:v>
      </x:c>
      <x:c r="S118" s="14" t="n">
        <x:v>2024</x:v>
      </x:c>
      <x:c r="T118" s="14" t="n">
        <x:v>2024</x:v>
      </x:c>
      <x:c r="U118" s="14" t="str">
        <x:v>Explicit source first year retained</x:v>
      </x:c>
      <x:c r="V118" s="14" t="str">
        <x:v>Earliest supplied year is 2024.</x:v>
      </x:c>
      <x:c r="W118" s="14"/>
      <x:c r="X118" s="14" t="str">
        <x:v>Carried forward to 2024</x:v>
      </x:c>
      <x:c r="Y118" s="14"/>
      <x:c r="Z118" s="14" t="str">
        <x:v>Everyone Else Burns.docx</x:v>
      </x:c>
      <x:c r="AA118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Channel 4 / E4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12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3</x:v>
      </x:c>
      <x:c r="BS118" s="16" t="n">
        <x:v>0.25</x:v>
      </x:c>
      <x:c r="BT118" s="14" t="str">
        <x:v>Minority of episodes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tt19889996|nm13628330|oli / oliver</x:v>
      </x:c>
      <x:c r="B119" s="14" t="str">
        <x:v>02</x:v>
      </x:c>
      <x:c r="C119" s="14" t="str">
        <x:v>2023_IMDb_Cast_Lists_Batch_02(2).xlsx</x:v>
      </x:c>
      <x:c r="D119" s="14" t="str">
        <x:v>Everyone Else Burns</x:v>
      </x:c>
      <x:c r="E119" s="14" t="n">
        <x:v>27</x:v>
      </x:c>
      <x:c r="F119" s="14" t="str">
        <x:v>Everyone Else Burns</x:v>
      </x:c>
      <x:c r="G119" s="14" t="str">
        <x:v>tt19889996</x:v>
      </x:c>
      <x:c r="H119" s="14" t="n">
        <x:v>2023</x:v>
      </x:c>
      <x:c r="I119" s="14" t="n">
        <x:v>2023</x:v>
      </x:c>
      <x:c r="J119" s="14" t="str">
        <x:v>Future Carry-Forward Cohort</x:v>
      </x:c>
      <x:c r="K119" s="14"/>
      <x:c r="L119" s="14" t="str">
        <x:v>Not inherited</x:v>
      </x:c>
      <x:c r="M119" s="15" t="n">
        <x:v>20</x:v>
      </x:c>
      <x:c r="N119" s="14" t="str">
        <x:v>Oliver Taylor</x:v>
      </x:c>
      <x:c r="O119" s="14" t="str">
        <x:v>nm13628330</x:v>
      </x:c>
      <x:c r="P119" s="14" t="str">
        <x:v>Oli / Oliver</x:v>
      </x:c>
      <x:c r="Q119" s="15" t="n">
        <x:v>2</x:v>
      </x:c>
      <x:c r="R119" s="14" t="str">
        <x:v>2024</x:v>
      </x:c>
      <x:c r="S119" s="14" t="n">
        <x:v>2024</x:v>
      </x:c>
      <x:c r="T119" s="14" t="n">
        <x:v>2024</x:v>
      </x:c>
      <x:c r="U119" s="14" t="str">
        <x:v>Explicit source first year retained</x:v>
      </x:c>
      <x:c r="V119" s="14" t="str">
        <x:v>Earliest supplied year is 2024.</x:v>
      </x:c>
      <x:c r="W119" s="14"/>
      <x:c r="X119" s="14" t="str">
        <x:v>Carried forward to 2024</x:v>
      </x:c>
      <x:c r="Y119" s="14"/>
      <x:c r="Z119" s="14" t="str">
        <x:v>Everyone Else Burns.docx</x:v>
      </x:c>
      <x:c r="AA119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Channel 4 / E4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12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2</x:v>
      </x:c>
      <x:c r="BS119" s="16" t="n">
        <x:v>0.16666666666666666</x:v>
      </x:c>
      <x:c r="BT119" s="14" t="str">
        <x:v>Minority of episodes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tt19889996|nm14321417|ordinand / wedding ordinand</x:v>
      </x:c>
      <x:c r="B120" s="14" t="str">
        <x:v>02</x:v>
      </x:c>
      <x:c r="C120" s="14" t="str">
        <x:v>2023_IMDb_Cast_Lists_Batch_02(2).xlsx</x:v>
      </x:c>
      <x:c r="D120" s="14" t="str">
        <x:v>Everyone Else Burns</x:v>
      </x:c>
      <x:c r="E120" s="14" t="n">
        <x:v>28</x:v>
      </x:c>
      <x:c r="F120" s="14" t="str">
        <x:v>Everyone Else Burns</x:v>
      </x:c>
      <x:c r="G120" s="14" t="str">
        <x:v>tt19889996</x:v>
      </x:c>
      <x:c r="H120" s="14" t="n">
        <x:v>2023</x:v>
      </x:c>
      <x:c r="I120" s="14" t="n">
        <x:v>2023</x:v>
      </x:c>
      <x:c r="J120" s="14" t="str">
        <x:v>Future Carry-Forward Cohort</x:v>
      </x:c>
      <x:c r="K120" s="14"/>
      <x:c r="L120" s="14" t="str">
        <x:v>Not inherited</x:v>
      </x:c>
      <x:c r="M120" s="15" t="n">
        <x:v>21</x:v>
      </x:c>
      <x:c r="N120" s="14" t="str">
        <x:v>Ravi Multani</x:v>
      </x:c>
      <x:c r="O120" s="14" t="str">
        <x:v>nm14321417</x:v>
      </x:c>
      <x:c r="P120" s="14" t="str">
        <x:v>Ordinand / Wedding Ordinand</x:v>
      </x:c>
      <x:c r="Q120" s="15" t="n">
        <x:v>2</x:v>
      </x:c>
      <x:c r="R120" s="14" t="str">
        <x:v>2024</x:v>
      </x:c>
      <x:c r="S120" s="14" t="n">
        <x:v>2024</x:v>
      </x:c>
      <x:c r="T120" s="14" t="n">
        <x:v>2024</x:v>
      </x:c>
      <x:c r="U120" s="14" t="str">
        <x:v>Explicit source first year retained</x:v>
      </x:c>
      <x:c r="V120" s="14" t="str">
        <x:v>Earliest supplied year is 2024.</x:v>
      </x:c>
      <x:c r="W120" s="14"/>
      <x:c r="X120" s="14" t="str">
        <x:v>Carried forward to 2024</x:v>
      </x:c>
      <x:c r="Y120" s="14"/>
      <x:c r="Z120" s="14" t="str">
        <x:v>Everyone Else Burns.docx</x:v>
      </x:c>
      <x:c r="AA120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Channel 4 / E4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12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2</x:v>
      </x:c>
      <x:c r="BS120" s="16" t="n">
        <x:v>0.16666666666666666</x:v>
      </x:c>
      <x:c r="BT120" s="14" t="str">
        <x:v>Minority of episodes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tt19889996|nm7224652|elder</x:v>
      </x:c>
      <x:c r="B121" s="14" t="str">
        <x:v>02</x:v>
      </x:c>
      <x:c r="C121" s="14" t="str">
        <x:v>2023_IMDb_Cast_Lists_Batch_02(2).xlsx</x:v>
      </x:c>
      <x:c r="D121" s="14" t="str">
        <x:v>Everyone Else Burns</x:v>
      </x:c>
      <x:c r="E121" s="14" t="n">
        <x:v>30</x:v>
      </x:c>
      <x:c r="F121" s="14" t="str">
        <x:v>Everyone Else Burns</x:v>
      </x:c>
      <x:c r="G121" s="14" t="str">
        <x:v>tt19889996</x:v>
      </x:c>
      <x:c r="H121" s="14" t="n">
        <x:v>2023</x:v>
      </x:c>
      <x:c r="I121" s="14" t="n">
        <x:v>2023</x:v>
      </x:c>
      <x:c r="J121" s="14" t="str">
        <x:v>Future Carry-Forward Cohort</x:v>
      </x:c>
      <x:c r="K121" s="14"/>
      <x:c r="L121" s="14" t="str">
        <x:v>Not inherited</x:v>
      </x:c>
      <x:c r="M121" s="15" t="n">
        <x:v>23</x:v>
      </x:c>
      <x:c r="N121" s="14" t="str">
        <x:v>Bill Blackwood</x:v>
      </x:c>
      <x:c r="O121" s="14" t="str">
        <x:v>nm7224652</x:v>
      </x:c>
      <x:c r="P121" s="14" t="str">
        <x:v>Elder</x:v>
      </x:c>
      <x:c r="Q121" s="15" t="n">
        <x:v>1</x:v>
      </x:c>
      <x:c r="R121" s="14" t="str">
        <x:v>2024</x:v>
      </x:c>
      <x:c r="S121" s="14" t="n">
        <x:v>2024</x:v>
      </x:c>
      <x:c r="T121" s="14" t="n">
        <x:v>2024</x:v>
      </x:c>
      <x:c r="U121" s="14" t="str">
        <x:v>Explicit source first year retained</x:v>
      </x:c>
      <x:c r="V121" s="14" t="str">
        <x:v>Earliest supplied year is 2024.</x:v>
      </x:c>
      <x:c r="W121" s="14"/>
      <x:c r="X121" s="14" t="str">
        <x:v>Carried forward to 2024</x:v>
      </x:c>
      <x:c r="Y121" s="14"/>
      <x:c r="Z121" s="14" t="str">
        <x:v>Everyone Else Burns.docx</x:v>
      </x:c>
      <x:c r="AA121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1" s="14" t="str">
        <x:v>Existing established-register match</x:v>
      </x:c>
      <x:c r="AC121" s="14" t="str">
        <x:v>Physical disability</x:v>
      </x:c>
      <x:c r="AD121" s="14" t="str">
        <x:v>Existing register classification: Physical disability</x:v>
      </x:c>
      <x:c r="AE121" s="14" t="str">
        <x:v>Established_Disability_Category_Register V1.2.xlsx</x:v>
      </x:c>
      <x:c r="AF121" s="14"/>
      <x:c r="AG121" s="14" t="str">
        <x:v>Established user-supplied classification retained for deduplication; evidence was not re-researched in this batch.</x:v>
      </x:c>
      <x:c r="AH121" s="14" t="str">
        <x:v>Channel 4 / E4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Exact IMDb performer ID match</x:v>
      </x:c>
      <x:c r="BC121" s="14" t="str">
        <x:v>nm7224652</x:v>
      </x:c>
      <x:c r="BD121" s="14" t="str">
        <x:v>Bill Blackwood</x:v>
      </x:c>
      <x:c r="BE121" s="14" t="str">
        <x:v>Physical disability</x:v>
      </x:c>
      <x:c r="BF121" s="14" t="str">
        <x:v>Yes</x:v>
      </x:c>
      <x:c r="BG121" s="14" t="str">
        <x:v>Physical disability</x:v>
      </x:c>
      <x:c r="BH121" s="14" t="str">
        <x:v>No</x:v>
      </x:c>
      <x:c r="BI121" s="14" t="str">
        <x:v>User-supplied established classification</x:v>
      </x:c>
      <x:c r="BJ121" s="14" t="str">
        <x:v>04_Physical_disability.csv</x:v>
      </x:c>
      <x:c r="BK121" s="14"/>
      <x:c r="BL121" s="14" t="str">
        <x:v>Matched</x:v>
      </x:c>
      <x:c r="BM121" s="14" t="str">
        <x:v>Final supplied register</x:v>
      </x:c>
      <x:c r="BN121" s="14"/>
      <x:c r="BO121" s="14" t="n">
        <x:v>12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0.08333333333333333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tt19889996|nm3466109|ray</x:v>
      </x:c>
      <x:c r="B122" s="14" t="str">
        <x:v>02</x:v>
      </x:c>
      <x:c r="C122" s="14" t="str">
        <x:v>2023_IMDb_Cast_Lists_Batch_02(2).xlsx</x:v>
      </x:c>
      <x:c r="D122" s="14" t="str">
        <x:v>Everyone Else Burns</x:v>
      </x:c>
      <x:c r="E122" s="14" t="n">
        <x:v>33</x:v>
      </x:c>
      <x:c r="F122" s="14" t="str">
        <x:v>Everyone Else Burns</x:v>
      </x:c>
      <x:c r="G122" s="14" t="str">
        <x:v>tt19889996</x:v>
      </x:c>
      <x:c r="H122" s="14" t="n">
        <x:v>2023</x:v>
      </x:c>
      <x:c r="I122" s="14" t="n">
        <x:v>2023</x:v>
      </x:c>
      <x:c r="J122" s="14" t="str">
        <x:v>Future Carry-Forward Cohort</x:v>
      </x:c>
      <x:c r="K122" s="14"/>
      <x:c r="L122" s="14" t="str">
        <x:v>Not inherited</x:v>
      </x:c>
      <x:c r="M122" s="15" t="n">
        <x:v>26</x:v>
      </x:c>
      <x:c r="N122" s="14" t="str">
        <x:v>Ray Badran</x:v>
      </x:c>
      <x:c r="O122" s="14" t="str">
        <x:v>nm3466109</x:v>
      </x:c>
      <x:c r="P122" s="14" t="str">
        <x:v>Ray</x:v>
      </x:c>
      <x:c r="Q122" s="15" t="n">
        <x:v>1</x:v>
      </x:c>
      <x:c r="R122" s="14" t="str">
        <x:v>2024</x:v>
      </x:c>
      <x:c r="S122" s="14" t="n">
        <x:v>2024</x:v>
      </x:c>
      <x:c r="T122" s="14" t="n">
        <x:v>2024</x:v>
      </x:c>
      <x:c r="U122" s="14" t="str">
        <x:v>Explicit source first year retained</x:v>
      </x:c>
      <x:c r="V122" s="14" t="str">
        <x:v>Earliest supplied year is 2024.</x:v>
      </x:c>
      <x:c r="W122" s="14"/>
      <x:c r="X122" s="14" t="str">
        <x:v>Carried forward to 2024</x:v>
      </x:c>
      <x:c r="Y122" s="14"/>
      <x:c r="Z122" s="14" t="str">
        <x:v>Everyone Else Burns.docx</x:v>
      </x:c>
      <x:c r="AA122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Channel 4 / E4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12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0.08333333333333333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tt19889996|nm14259953|matt</x:v>
      </x:c>
      <x:c r="B123" s="14" t="str">
        <x:v>02</x:v>
      </x:c>
      <x:c r="C123" s="14" t="str">
        <x:v>2023_IMDb_Cast_Lists_Batch_02(2).xlsx</x:v>
      </x:c>
      <x:c r="D123" s="14" t="str">
        <x:v>Everyone Else Burns</x:v>
      </x:c>
      <x:c r="E123" s="14" t="n">
        <x:v>34</x:v>
      </x:c>
      <x:c r="F123" s="14" t="str">
        <x:v>Everyone Else Burns</x:v>
      </x:c>
      <x:c r="G123" s="14" t="str">
        <x:v>tt19889996</x:v>
      </x:c>
      <x:c r="H123" s="14" t="n">
        <x:v>2023</x:v>
      </x:c>
      <x:c r="I123" s="14" t="n">
        <x:v>2023</x:v>
      </x:c>
      <x:c r="J123" s="14" t="str">
        <x:v>Future Carry-Forward Cohort</x:v>
      </x:c>
      <x:c r="K123" s="14"/>
      <x:c r="L123" s="14" t="str">
        <x:v>Not inherited</x:v>
      </x:c>
      <x:c r="M123" s="15" t="n">
        <x:v>27</x:v>
      </x:c>
      <x:c r="N123" s="14" t="str">
        <x:v>Harry Egan</x:v>
      </x:c>
      <x:c r="O123" s="14" t="str">
        <x:v>nm14259953</x:v>
      </x:c>
      <x:c r="P123" s="14" t="str">
        <x:v>Matt</x:v>
      </x:c>
      <x:c r="Q123" s="15" t="n">
        <x:v>1</x:v>
      </x:c>
      <x:c r="R123" s="14" t="str">
        <x:v>2024</x:v>
      </x:c>
      <x:c r="S123" s="14" t="n">
        <x:v>2024</x:v>
      </x:c>
      <x:c r="T123" s="14" t="n">
        <x:v>2024</x:v>
      </x:c>
      <x:c r="U123" s="14" t="str">
        <x:v>Explicit source first year retained</x:v>
      </x:c>
      <x:c r="V123" s="14" t="str">
        <x:v>Earliest supplied year is 2024.</x:v>
      </x:c>
      <x:c r="W123" s="14"/>
      <x:c r="X123" s="14" t="str">
        <x:v>Carried forward to 2024</x:v>
      </x:c>
      <x:c r="Y123" s="14"/>
      <x:c r="Z123" s="14" t="str">
        <x:v>Everyone Else Burns.docx</x:v>
      </x:c>
      <x:c r="AA123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Channel 4 / E4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12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0.08333333333333333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tt19889996|nm14276189|ele</x:v>
      </x:c>
      <x:c r="B124" s="14" t="str">
        <x:v>02</x:v>
      </x:c>
      <x:c r="C124" s="14" t="str">
        <x:v>2023_IMDb_Cast_Lists_Batch_02(2).xlsx</x:v>
      </x:c>
      <x:c r="D124" s="14" t="str">
        <x:v>Everyone Else Burns</x:v>
      </x:c>
      <x:c r="E124" s="14" t="n">
        <x:v>37</x:v>
      </x:c>
      <x:c r="F124" s="14" t="str">
        <x:v>Everyone Else Burns</x:v>
      </x:c>
      <x:c r="G124" s="14" t="str">
        <x:v>tt19889996</x:v>
      </x:c>
      <x:c r="H124" s="14" t="n">
        <x:v>2023</x:v>
      </x:c>
      <x:c r="I124" s="14" t="n">
        <x:v>2023</x:v>
      </x:c>
      <x:c r="J124" s="14" t="str">
        <x:v>Future Carry-Forward Cohort</x:v>
      </x:c>
      <x:c r="K124" s="14"/>
      <x:c r="L124" s="14" t="str">
        <x:v>Not inherited</x:v>
      </x:c>
      <x:c r="M124" s="15" t="n">
        <x:v>30</x:v>
      </x:c>
      <x:c r="N124" s="14" t="str">
        <x:v>Ele McKenzie</x:v>
      </x:c>
      <x:c r="O124" s="14" t="str">
        <x:v>nm14276189</x:v>
      </x:c>
      <x:c r="P124" s="14" t="str">
        <x:v>Ele</x:v>
      </x:c>
      <x:c r="Q124" s="15" t="n">
        <x:v>1</x:v>
      </x:c>
      <x:c r="R124" s="14" t="str">
        <x:v>2024</x:v>
      </x:c>
      <x:c r="S124" s="14" t="n">
        <x:v>2024</x:v>
      </x:c>
      <x:c r="T124" s="14" t="n">
        <x:v>2024</x:v>
      </x:c>
      <x:c r="U124" s="14" t="str">
        <x:v>Explicit source first year retained</x:v>
      </x:c>
      <x:c r="V124" s="14" t="str">
        <x:v>Earliest supplied year is 2024.</x:v>
      </x:c>
      <x:c r="W124" s="14"/>
      <x:c r="X124" s="14" t="str">
        <x:v>Carried forward to 2024</x:v>
      </x:c>
      <x:c r="Y124" s="14"/>
      <x:c r="Z124" s="14" t="str">
        <x:v>Everyone Else Burns.docx</x:v>
      </x:c>
      <x:c r="AA12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Channel 4 / E4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12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0.08333333333333333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tt19889996|nm4867891|joe</x:v>
      </x:c>
      <x:c r="B125" s="14" t="str">
        <x:v>02</x:v>
      </x:c>
      <x:c r="C125" s="14" t="str">
        <x:v>2023_IMDb_Cast_Lists_Batch_02(2).xlsx</x:v>
      </x:c>
      <x:c r="D125" s="14" t="str">
        <x:v>Everyone Else Burns</x:v>
      </x:c>
      <x:c r="E125" s="14" t="n">
        <x:v>40</x:v>
      </x:c>
      <x:c r="F125" s="14" t="str">
        <x:v>Everyone Else Burns</x:v>
      </x:c>
      <x:c r="G125" s="14" t="str">
        <x:v>tt19889996</x:v>
      </x:c>
      <x:c r="H125" s="14" t="n">
        <x:v>2023</x:v>
      </x:c>
      <x:c r="I125" s="14" t="n">
        <x:v>2023</x:v>
      </x:c>
      <x:c r="J125" s="14" t="str">
        <x:v>Future Carry-Forward Cohort</x:v>
      </x:c>
      <x:c r="K125" s="14"/>
      <x:c r="L125" s="14" t="str">
        <x:v>Not inherited</x:v>
      </x:c>
      <x:c r="M125" s="15" t="n">
        <x:v>33</x:v>
      </x:c>
      <x:c r="N125" s="14" t="str">
        <x:v>Dixon Weinor</x:v>
      </x:c>
      <x:c r="O125" s="14" t="str">
        <x:v>nm4867891</x:v>
      </x:c>
      <x:c r="P125" s="14" t="str">
        <x:v>Joe</x:v>
      </x:c>
      <x:c r="Q125" s="15" t="n">
        <x:v>1</x:v>
      </x:c>
      <x:c r="R125" s="14" t="str">
        <x:v>2024</x:v>
      </x:c>
      <x:c r="S125" s="14" t="n">
        <x:v>2024</x:v>
      </x:c>
      <x:c r="T125" s="14" t="n">
        <x:v>2024</x:v>
      </x:c>
      <x:c r="U125" s="14" t="str">
        <x:v>Explicit source first year retained</x:v>
      </x:c>
      <x:c r="V125" s="14" t="str">
        <x:v>Earliest supplied year is 2024.</x:v>
      </x:c>
      <x:c r="W125" s="14"/>
      <x:c r="X125" s="14" t="str">
        <x:v>Carried forward to 2024</x:v>
      </x:c>
      <x:c r="Y125" s="14"/>
      <x:c r="Z125" s="14" t="str">
        <x:v>Everyone Else Burns.docx</x:v>
      </x:c>
      <x:c r="AA12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Channel 4 / E4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12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0.08333333333333333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tt19889996|nm4702139|wedding guest</x:v>
      </x:c>
      <x:c r="B126" s="14" t="str">
        <x:v>02</x:v>
      </x:c>
      <x:c r="C126" s="14" t="str">
        <x:v>2023_IMDb_Cast_Lists_Batch_02(2).xlsx</x:v>
      </x:c>
      <x:c r="D126" s="14" t="str">
        <x:v>Everyone Else Burns</x:v>
      </x:c>
      <x:c r="E126" s="14" t="n">
        <x:v>41</x:v>
      </x:c>
      <x:c r="F126" s="14" t="str">
        <x:v>Everyone Else Burns</x:v>
      </x:c>
      <x:c r="G126" s="14" t="str">
        <x:v>tt19889996</x:v>
      </x:c>
      <x:c r="H126" s="14" t="n">
        <x:v>2023</x:v>
      </x:c>
      <x:c r="I126" s="14" t="n">
        <x:v>2023</x:v>
      </x:c>
      <x:c r="J126" s="14" t="str">
        <x:v>Future Carry-Forward Cohort</x:v>
      </x:c>
      <x:c r="K126" s="14"/>
      <x:c r="L126" s="14" t="str">
        <x:v>Not inherited</x:v>
      </x:c>
      <x:c r="M126" s="15" t="n">
        <x:v>34</x:v>
      </x:c>
      <x:c r="N126" s="14" t="str">
        <x:v>Gemma Lawman</x:v>
      </x:c>
      <x:c r="O126" s="14" t="str">
        <x:v>nm4702139</x:v>
      </x:c>
      <x:c r="P126" s="14" t="str">
        <x:v>Wedding Guest</x:v>
      </x:c>
      <x:c r="Q126" s="15" t="n">
        <x:v>1</x:v>
      </x:c>
      <x:c r="R126" s="14" t="str">
        <x:v>2024</x:v>
      </x:c>
      <x:c r="S126" s="14" t="n">
        <x:v>2024</x:v>
      </x:c>
      <x:c r="T126" s="14" t="n">
        <x:v>2024</x:v>
      </x:c>
      <x:c r="U126" s="14" t="str">
        <x:v>Explicit source first year retained</x:v>
      </x:c>
      <x:c r="V126" s="14" t="str">
        <x:v>Earliest supplied year is 2024.</x:v>
      </x:c>
      <x:c r="W126" s="14"/>
      <x:c r="X126" s="14" t="str">
        <x:v>Carried forward to 2024</x:v>
      </x:c>
      <x:c r="Y126" s="14"/>
      <x:c r="Z126" s="14" t="str">
        <x:v>Everyone Else Burns.docx</x:v>
      </x:c>
      <x:c r="AA12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Channel 4 / E4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12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0.08333333333333333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tt19889996|nm14221276|dj</x:v>
      </x:c>
      <x:c r="B127" s="14" t="str">
        <x:v>02</x:v>
      </x:c>
      <x:c r="C127" s="14" t="str">
        <x:v>2023_IMDb_Cast_Lists_Batch_02(2).xlsx</x:v>
      </x:c>
      <x:c r="D127" s="14" t="str">
        <x:v>Everyone Else Burns</x:v>
      </x:c>
      <x:c r="E127" s="14" t="n">
        <x:v>42</x:v>
      </x:c>
      <x:c r="F127" s="14" t="str">
        <x:v>Everyone Else Burns</x:v>
      </x:c>
      <x:c r="G127" s="14" t="str">
        <x:v>tt19889996</x:v>
      </x:c>
      <x:c r="H127" s="14" t="n">
        <x:v>2023</x:v>
      </x:c>
      <x:c r="I127" s="14" t="n">
        <x:v>2023</x:v>
      </x:c>
      <x:c r="J127" s="14" t="str">
        <x:v>Future Carry-Forward Cohort</x:v>
      </x:c>
      <x:c r="K127" s="14"/>
      <x:c r="L127" s="14" t="str">
        <x:v>Not inherited</x:v>
      </x:c>
      <x:c r="M127" s="15" t="n">
        <x:v>35</x:v>
      </x:c>
      <x:c r="N127" s="14" t="str">
        <x:v>Kayne Lewis</x:v>
      </x:c>
      <x:c r="O127" s="14" t="str">
        <x:v>nm14221276</x:v>
      </x:c>
      <x:c r="P127" s="14" t="str">
        <x:v>Dj</x:v>
      </x:c>
      <x:c r="Q127" s="15" t="n">
        <x:v>1</x:v>
      </x:c>
      <x:c r="R127" s="14" t="str">
        <x:v>2024</x:v>
      </x:c>
      <x:c r="S127" s="14" t="n">
        <x:v>2024</x:v>
      </x:c>
      <x:c r="T127" s="14" t="n">
        <x:v>2024</x:v>
      </x:c>
      <x:c r="U127" s="14" t="str">
        <x:v>Explicit source first year retained</x:v>
      </x:c>
      <x:c r="V127" s="14" t="str">
        <x:v>Earliest supplied year is 2024.</x:v>
      </x:c>
      <x:c r="W127" s="14"/>
      <x:c r="X127" s="14" t="str">
        <x:v>Carried forward to 2024</x:v>
      </x:c>
      <x:c r="Y127" s="14"/>
      <x:c r="Z127" s="14" t="str">
        <x:v>Everyone Else Burns.docx</x:v>
      </x:c>
      <x:c r="AA12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Channel 4 / E4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12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0.08333333333333333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tt26346233|nm7425552|frankie johnson</x:v>
      </x:c>
      <x:c r="B128" s="14" t="str">
        <x:v>04</x:v>
      </x:c>
      <x:c r="C128" s="14" t="str">
        <x:v>2023_IMDb_Cast_Lists_Batch_04(2).xlsx</x:v>
      </x:c>
      <x:c r="D128" s="14" t="str">
        <x:v>The Good Ship Murder</x:v>
      </x:c>
      <x:c r="E128" s="14" t="n">
        <x:v>12</x:v>
      </x:c>
      <x:c r="F128" s="14" t="str">
        <x:v>The Good Ship Murder</x:v>
      </x:c>
      <x:c r="G128" s="14" t="str">
        <x:v>tt26346233</x:v>
      </x:c>
      <x:c r="H128" s="14" t="n">
        <x:v>2023</x:v>
      </x:c>
      <x:c r="I128" s="14" t="n">
        <x:v>2023</x:v>
      </x:c>
      <x:c r="J128" s="14" t="str">
        <x:v>Future Carry-Forward Cohort</x:v>
      </x:c>
      <x:c r="K128" s="14"/>
      <x:c r="L128" s="14" t="str">
        <x:v>Not inherited</x:v>
      </x:c>
      <x:c r="M128" s="15" t="n">
        <x:v>5</x:v>
      </x:c>
      <x:c r="N128" s="14" t="str">
        <x:v>Kiza Deen</x:v>
      </x:c>
      <x:c r="O128" s="14" t="str">
        <x:v>nm7425552</x:v>
      </x:c>
      <x:c r="P128" s="14" t="str">
        <x:v>Frankie Johnson</x:v>
      </x:c>
      <x:c r="Q128" s="15" t="n">
        <x:v>16</x:v>
      </x:c>
      <x:c r="R128" s="14" t="str">
        <x:v>2024–2026</x:v>
      </x:c>
      <x:c r="S128" s="14" t="n">
        <x:v>2024</x:v>
      </x:c>
      <x:c r="T128" s="14" t="n">
        <x:v>2024</x:v>
      </x:c>
      <x:c r="U128" s="14" t="str">
        <x:v>Explicit source first year retained</x:v>
      </x:c>
      <x:c r="V128" s="14" t="str">
        <x:v>Earliest supplied year is 2024.</x:v>
      </x:c>
      <x:c r="W128" s="14"/>
      <x:c r="X128" s="14" t="str">
        <x:v>Carried forward to 2024</x:v>
      </x:c>
      <x:c r="Y128" s="14"/>
      <x:c r="Z128" s="14" t="str">
        <x:v>The Good Ship Murder.docx</x:v>
      </x:c>
      <x:c r="AA12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Channel 5 / 5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24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16</x:v>
      </x:c>
      <x:c r="BS128" s="16" t="n">
        <x:v>0.6666666666666666</x:v>
      </x:c>
      <x:c r="BT128" s="14" t="str">
        <x:v>Majority of episodes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tt26346233|nm0057586|captain richard marlowe</x:v>
      </x:c>
      <x:c r="B129" s="14" t="str">
        <x:v>04</x:v>
      </x:c>
      <x:c r="C129" s="14" t="str">
        <x:v>2023_IMDb_Cast_Lists_Batch_04(2).xlsx</x:v>
      </x:c>
      <x:c r="D129" s="14" t="str">
        <x:v>The Good Ship Murder</x:v>
      </x:c>
      <x:c r="E129" s="14" t="n">
        <x:v>16</x:v>
      </x:c>
      <x:c r="F129" s="14" t="str">
        <x:v>The Good Ship Murder</x:v>
      </x:c>
      <x:c r="G129" s="14" t="str">
        <x:v>tt26346233</x:v>
      </x:c>
      <x:c r="H129" s="14" t="n">
        <x:v>2023</x:v>
      </x:c>
      <x:c r="I129" s="14" t="n">
        <x:v>2023</x:v>
      </x:c>
      <x:c r="J129" s="14" t="str">
        <x:v>Future Carry-Forward Cohort</x:v>
      </x:c>
      <x:c r="K129" s="14"/>
      <x:c r="L129" s="14" t="str">
        <x:v>Not inherited</x:v>
      </x:c>
      <x:c r="M129" s="15" t="n">
        <x:v>9</x:v>
      </x:c>
      <x:c r="N129" s="14" t="str">
        <x:v>James Barriscale</x:v>
      </x:c>
      <x:c r="O129" s="14" t="str">
        <x:v>nm0057586</x:v>
      </x:c>
      <x:c r="P129" s="14" t="str">
        <x:v>Captain Richard Marlowe</x:v>
      </x:c>
      <x:c r="Q129" s="15" t="n">
        <x:v>8</x:v>
      </x:c>
      <x:c r="R129" s="14" t="str">
        <x:v>2024–2026</x:v>
      </x:c>
      <x:c r="S129" s="14" t="n">
        <x:v>2024</x:v>
      </x:c>
      <x:c r="T129" s="14" t="n">
        <x:v>2024</x:v>
      </x:c>
      <x:c r="U129" s="14" t="str">
        <x:v>Explicit source first year retained</x:v>
      </x:c>
      <x:c r="V129" s="14" t="str">
        <x:v>Earliest supplied year is 2024.</x:v>
      </x:c>
      <x:c r="W129" s="14"/>
      <x:c r="X129" s="14" t="str">
        <x:v>Carried forward to 2024</x:v>
      </x:c>
      <x:c r="Y129" s="14"/>
      <x:c r="Z129" s="14" t="str">
        <x:v>The Good Ship Murder.docx</x:v>
      </x:c>
      <x:c r="AA12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Channel 5 / 5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24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8</x:v>
      </x:c>
      <x:c r="BS129" s="16" t="n">
        <x:v>0.3333333333333333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tt26346233|nm4794919|dt. nika kovacic</x:v>
      </x:c>
      <x:c r="B130" s="14" t="str">
        <x:v>04</x:v>
      </x:c>
      <x:c r="C130" s="14" t="str">
        <x:v>2023_IMDb_Cast_Lists_Batch_04(2).xlsx</x:v>
      </x:c>
      <x:c r="D130" s="14" t="str">
        <x:v>The Good Ship Murder</x:v>
      </x:c>
      <x:c r="E130" s="14" t="n">
        <x:v>40</x:v>
      </x:c>
      <x:c r="F130" s="14" t="str">
        <x:v>The Good Ship Murder</x:v>
      </x:c>
      <x:c r="G130" s="14" t="str">
        <x:v>tt26346233</x:v>
      </x:c>
      <x:c r="H130" s="14" t="n">
        <x:v>2023</x:v>
      </x:c>
      <x:c r="I130" s="14" t="n">
        <x:v>2023</x:v>
      </x:c>
      <x:c r="J130" s="14" t="str">
        <x:v>Future Carry-Forward Cohort</x:v>
      </x:c>
      <x:c r="K130" s="14"/>
      <x:c r="L130" s="14" t="str">
        <x:v>Not inherited</x:v>
      </x:c>
      <x:c r="M130" s="15" t="n">
        <x:v>33</x:v>
      </x:c>
      <x:c r="N130" s="14" t="str">
        <x:v>Antonella Axisa</x:v>
      </x:c>
      <x:c r="O130" s="14" t="str">
        <x:v>nm4794919</x:v>
      </x:c>
      <x:c r="P130" s="14" t="str">
        <x:v>Dt. Nika Kovacic</x:v>
      </x:c>
      <x:c r="Q130" s="15" t="n">
        <x:v>1</x:v>
      </x:c>
      <x:c r="R130" s="14" t="str">
        <x:v>2024</x:v>
      </x:c>
      <x:c r="S130" s="14" t="n">
        <x:v>2024</x:v>
      </x:c>
      <x:c r="T130" s="14" t="n">
        <x:v>2024</x:v>
      </x:c>
      <x:c r="U130" s="14" t="str">
        <x:v>Explicit source first year retained</x:v>
      </x:c>
      <x:c r="V130" s="14" t="str">
        <x:v>Earliest supplied year is 2024.</x:v>
      </x:c>
      <x:c r="W130" s="14"/>
      <x:c r="X130" s="14" t="str">
        <x:v>Carried forward to 2024</x:v>
      </x:c>
      <x:c r="Y130" s="14"/>
      <x:c r="Z130" s="14" t="str">
        <x:v>The Good Ship Murder.docx</x:v>
      </x:c>
      <x:c r="AA13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Channel 5 / 5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24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0.041666666666666664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tt26346233|nm8906921|luka</x:v>
      </x:c>
      <x:c r="B131" s="14" t="str">
        <x:v>04</x:v>
      </x:c>
      <x:c r="C131" s="14" t="str">
        <x:v>2023_IMDb_Cast_Lists_Batch_04(2).xlsx</x:v>
      </x:c>
      <x:c r="D131" s="14" t="str">
        <x:v>The Good Ship Murder</x:v>
      </x:c>
      <x:c r="E131" s="14" t="n">
        <x:v>56</x:v>
      </x:c>
      <x:c r="F131" s="14" t="str">
        <x:v>The Good Ship Murder</x:v>
      </x:c>
      <x:c r="G131" s="14" t="str">
        <x:v>tt26346233</x:v>
      </x:c>
      <x:c r="H131" s="14" t="n">
        <x:v>2023</x:v>
      </x:c>
      <x:c r="I131" s="14" t="n">
        <x:v>2023</x:v>
      </x:c>
      <x:c r="J131" s="14" t="str">
        <x:v>Future Carry-Forward Cohort</x:v>
      </x:c>
      <x:c r="K131" s="14"/>
      <x:c r="L131" s="14" t="str">
        <x:v>Not inherited</x:v>
      </x:c>
      <x:c r="M131" s="15" t="n">
        <x:v>49</x:v>
      </x:c>
      <x:c r="N131" s="14" t="str">
        <x:v>Joe Depasquale</x:v>
      </x:c>
      <x:c r="O131" s="14" t="str">
        <x:v>nm8906921</x:v>
      </x:c>
      <x:c r="P131" s="14" t="str">
        <x:v>Luka</x:v>
      </x:c>
      <x:c r="Q131" s="15" t="n">
        <x:v>1</x:v>
      </x:c>
      <x:c r="R131" s="14" t="str">
        <x:v>2024</x:v>
      </x:c>
      <x:c r="S131" s="14" t="n">
        <x:v>2024</x:v>
      </x:c>
      <x:c r="T131" s="14" t="n">
        <x:v>2024</x:v>
      </x:c>
      <x:c r="U131" s="14" t="str">
        <x:v>Explicit source first year retained</x:v>
      </x:c>
      <x:c r="V131" s="14" t="str">
        <x:v>Earliest supplied year is 2024.</x:v>
      </x:c>
      <x:c r="W131" s="14"/>
      <x:c r="X131" s="14" t="str">
        <x:v>Carried forward to 2024</x:v>
      </x:c>
      <x:c r="Y131" s="14"/>
      <x:c r="Z131" s="14" t="str">
        <x:v>The Good Ship Murder.docx</x:v>
      </x:c>
      <x:c r="AA13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Channel 5 / 5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24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0.041666666666666664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tt26346233|nm6677131|giorgio belay</x:v>
      </x:c>
      <x:c r="B132" s="14" t="str">
        <x:v>04</x:v>
      </x:c>
      <x:c r="C132" s="14" t="str">
        <x:v>2023_IMDb_Cast_Lists_Batch_04(2).xlsx</x:v>
      </x:c>
      <x:c r="D132" s="14" t="str">
        <x:v>The Good Ship Murder</x:v>
      </x:c>
      <x:c r="E132" s="14" t="n">
        <x:v>75</x:v>
      </x:c>
      <x:c r="F132" s="14" t="str">
        <x:v>The Good Ship Murder</x:v>
      </x:c>
      <x:c r="G132" s="14" t="str">
        <x:v>tt26346233</x:v>
      </x:c>
      <x:c r="H132" s="14" t="n">
        <x:v>2023</x:v>
      </x:c>
      <x:c r="I132" s="14" t="n">
        <x:v>2023</x:v>
      </x:c>
      <x:c r="J132" s="14" t="str">
        <x:v>Future Carry-Forward Cohort</x:v>
      </x:c>
      <x:c r="K132" s="14"/>
      <x:c r="L132" s="14" t="str">
        <x:v>Not inherited</x:v>
      </x:c>
      <x:c r="M132" s="15" t="n">
        <x:v>68</x:v>
      </x:c>
      <x:c r="N132" s="14" t="str">
        <x:v>Philipp Mogilnitskiy</x:v>
      </x:c>
      <x:c r="O132" s="14" t="str">
        <x:v>nm6677131</x:v>
      </x:c>
      <x:c r="P132" s="14" t="str">
        <x:v>Giorgio Belay</x:v>
      </x:c>
      <x:c r="Q132" s="15" t="n">
        <x:v>1</x:v>
      </x:c>
      <x:c r="R132" s="14" t="str">
        <x:v>2024</x:v>
      </x:c>
      <x:c r="S132" s="14" t="n">
        <x:v>2024</x:v>
      </x:c>
      <x:c r="T132" s="14" t="n">
        <x:v>2024</x:v>
      </x:c>
      <x:c r="U132" s="14" t="str">
        <x:v>Explicit source first year retained</x:v>
      </x:c>
      <x:c r="V132" s="14" t="str">
        <x:v>Earliest supplied year is 2024.</x:v>
      </x:c>
      <x:c r="W132" s="14"/>
      <x:c r="X132" s="14" t="str">
        <x:v>Carried forward to 2024</x:v>
      </x:c>
      <x:c r="Y132" s="14"/>
      <x:c r="Z132" s="14" t="str">
        <x:v>The Good Ship Murder.docx</x:v>
      </x:c>
      <x:c r="AA13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Channel 5 / 5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24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0.041666666666666664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tt26346233|nm0661713|buddy elveden</x:v>
      </x:c>
      <x:c r="B133" s="14" t="str">
        <x:v>04</x:v>
      </x:c>
      <x:c r="C133" s="14" t="str">
        <x:v>2023_IMDb_Cast_Lists_Batch_04(2).xlsx</x:v>
      </x:c>
      <x:c r="D133" s="14" t="str">
        <x:v>The Good Ship Murder</x:v>
      </x:c>
      <x:c r="E133" s="14" t="n">
        <x:v>98</x:v>
      </x:c>
      <x:c r="F133" s="14" t="str">
        <x:v>The Good Ship Murder</x:v>
      </x:c>
      <x:c r="G133" s="14" t="str">
        <x:v>tt26346233</x:v>
      </x:c>
      <x:c r="H133" s="14" t="n">
        <x:v>2023</x:v>
      </x:c>
      <x:c r="I133" s="14" t="n">
        <x:v>2023</x:v>
      </x:c>
      <x:c r="J133" s="14" t="str">
        <x:v>Future Carry-Forward Cohort</x:v>
      </x:c>
      <x:c r="K133" s="14"/>
      <x:c r="L133" s="14" t="str">
        <x:v>Not inherited</x:v>
      </x:c>
      <x:c r="M133" s="15" t="n">
        <x:v>91</x:v>
      </x:c>
      <x:c r="N133" s="14" t="str">
        <x:v>Cliff Parisi</x:v>
      </x:c>
      <x:c r="O133" s="14" t="str">
        <x:v>nm0661713</x:v>
      </x:c>
      <x:c r="P133" s="14" t="str">
        <x:v>Buddy Elveden</x:v>
      </x:c>
      <x:c r="Q133" s="15" t="n">
        <x:v>1</x:v>
      </x:c>
      <x:c r="R133" s="14" t="str">
        <x:v>2024</x:v>
      </x:c>
      <x:c r="S133" s="14" t="n">
        <x:v>2024</x:v>
      </x:c>
      <x:c r="T133" s="14" t="n">
        <x:v>2024</x:v>
      </x:c>
      <x:c r="U133" s="14" t="str">
        <x:v>Explicit source first year retained</x:v>
      </x:c>
      <x:c r="V133" s="14" t="str">
        <x:v>Earliest supplied year is 2024.</x:v>
      </x:c>
      <x:c r="W133" s="14"/>
      <x:c r="X133" s="14" t="str">
        <x:v>Carried forward to 2024</x:v>
      </x:c>
      <x:c r="Y133" s="14"/>
      <x:c r="Z133" s="14" t="str">
        <x:v>The Good Ship Murder.docx</x:v>
      </x:c>
      <x:c r="AA13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Channel 5 / 5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24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0.041666666666666664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tt26346233|nm0705370|karen mccallister</x:v>
      </x:c>
      <x:c r="B134" s="14" t="str">
        <x:v>04</x:v>
      </x:c>
      <x:c r="C134" s="14" t="str">
        <x:v>2023_IMDb_Cast_Lists_Batch_04(2).xlsx</x:v>
      </x:c>
      <x:c r="D134" s="14" t="str">
        <x:v>The Good Ship Murder</x:v>
      </x:c>
      <x:c r="E134" s="14" t="n">
        <x:v>119</x:v>
      </x:c>
      <x:c r="F134" s="14" t="str">
        <x:v>The Good Ship Murder</x:v>
      </x:c>
      <x:c r="G134" s="14" t="str">
        <x:v>tt26346233</x:v>
      </x:c>
      <x:c r="H134" s="14" t="n">
        <x:v>2023</x:v>
      </x:c>
      <x:c r="I134" s="14" t="n">
        <x:v>2023</x:v>
      </x:c>
      <x:c r="J134" s="14" t="str">
        <x:v>Future Carry-Forward Cohort</x:v>
      </x:c>
      <x:c r="K134" s="14"/>
      <x:c r="L134" s="14" t="str">
        <x:v>Not inherited</x:v>
      </x:c>
      <x:c r="M134" s="15" t="n">
        <x:v>112</x:v>
      </x:c>
      <x:c r="N134" s="14" t="str">
        <x:v>Naomi Radcliffe</x:v>
      </x:c>
      <x:c r="O134" s="14" t="str">
        <x:v>nm0705370</x:v>
      </x:c>
      <x:c r="P134" s="14" t="str">
        <x:v>Karen McCallister</x:v>
      </x:c>
      <x:c r="Q134" s="15" t="n">
        <x:v>1</x:v>
      </x:c>
      <x:c r="R134" s="14" t="str">
        <x:v>2024</x:v>
      </x:c>
      <x:c r="S134" s="14" t="n">
        <x:v>2024</x:v>
      </x:c>
      <x:c r="T134" s="14" t="n">
        <x:v>2024</x:v>
      </x:c>
      <x:c r="U134" s="14" t="str">
        <x:v>Explicit source first year retained</x:v>
      </x:c>
      <x:c r="V134" s="14" t="str">
        <x:v>Earliest supplied year is 2024.</x:v>
      </x:c>
      <x:c r="W134" s="14"/>
      <x:c r="X134" s="14" t="str">
        <x:v>Carried forward to 2024</x:v>
      </x:c>
      <x:c r="Y134" s="14"/>
      <x:c r="Z134" s="14" t="str">
        <x:v>The Good Ship Murder.docx</x:v>
      </x:c>
      <x:c r="AA13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Channel 5 / 5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24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0.041666666666666664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tt26346233|nm8466316|joni mcclane</x:v>
      </x:c>
      <x:c r="B135" s="14" t="str">
        <x:v>04</x:v>
      </x:c>
      <x:c r="C135" s="14" t="str">
        <x:v>2023_IMDb_Cast_Lists_Batch_04(2).xlsx</x:v>
      </x:c>
      <x:c r="D135" s="14" t="str">
        <x:v>The Good Ship Murder</x:v>
      </x:c>
      <x:c r="E135" s="14" t="n">
        <x:v>135</x:v>
      </x:c>
      <x:c r="F135" s="14" t="str">
        <x:v>The Good Ship Murder</x:v>
      </x:c>
      <x:c r="G135" s="14" t="str">
        <x:v>tt26346233</x:v>
      </x:c>
      <x:c r="H135" s="14" t="n">
        <x:v>2023</x:v>
      </x:c>
      <x:c r="I135" s="14" t="n">
        <x:v>2023</x:v>
      </x:c>
      <x:c r="J135" s="14" t="str">
        <x:v>Future Carry-Forward Cohort</x:v>
      </x:c>
      <x:c r="K135" s="14"/>
      <x:c r="L135" s="14" t="str">
        <x:v>Not inherited</x:v>
      </x:c>
      <x:c r="M135" s="15" t="n">
        <x:v>128</x:v>
      </x:c>
      <x:c r="N135" s="14" t="str">
        <x:v>Emily Stott</x:v>
      </x:c>
      <x:c r="O135" s="14" t="str">
        <x:v>nm8466316</x:v>
      </x:c>
      <x:c r="P135" s="14" t="str">
        <x:v>Joni McClane</x:v>
      </x:c>
      <x:c r="Q135" s="15" t="n">
        <x:v>1</x:v>
      </x:c>
      <x:c r="R135" s="14" t="str">
        <x:v>2024</x:v>
      </x:c>
      <x:c r="S135" s="14" t="n">
        <x:v>2024</x:v>
      </x:c>
      <x:c r="T135" s="14" t="n">
        <x:v>2024</x:v>
      </x:c>
      <x:c r="U135" s="14" t="str">
        <x:v>Explicit source first year retained</x:v>
      </x:c>
      <x:c r="V135" s="14" t="str">
        <x:v>Earliest supplied year is 2024.</x:v>
      </x:c>
      <x:c r="W135" s="14"/>
      <x:c r="X135" s="14" t="str">
        <x:v>Carried forward to 2024</x:v>
      </x:c>
      <x:c r="Y135" s="14"/>
      <x:c r="Z135" s="14" t="str">
        <x:v>The Good Ship Murder.docx</x:v>
      </x:c>
      <x:c r="AA13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Channel 5 / 5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24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0.041666666666666664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tt26346233|nm15201776|libby mcclane</x:v>
      </x:c>
      <x:c r="B136" s="14" t="str">
        <x:v>04</x:v>
      </x:c>
      <x:c r="C136" s="14" t="str">
        <x:v>2023_IMDb_Cast_Lists_Batch_04(2).xlsx</x:v>
      </x:c>
      <x:c r="D136" s="14" t="str">
        <x:v>The Good Ship Murder</x:v>
      </x:c>
      <x:c r="E136" s="14" t="n">
        <x:v>146</x:v>
      </x:c>
      <x:c r="F136" s="14" t="str">
        <x:v>The Good Ship Murder</x:v>
      </x:c>
      <x:c r="G136" s="14" t="str">
        <x:v>tt26346233</x:v>
      </x:c>
      <x:c r="H136" s="14" t="n">
        <x:v>2023</x:v>
      </x:c>
      <x:c r="I136" s="14" t="n">
        <x:v>2023</x:v>
      </x:c>
      <x:c r="J136" s="14" t="str">
        <x:v>Future Carry-Forward Cohort</x:v>
      </x:c>
      <x:c r="K136" s="14"/>
      <x:c r="L136" s="14" t="str">
        <x:v>Not inherited</x:v>
      </x:c>
      <x:c r="M136" s="15" t="n">
        <x:v>139</x:v>
      </x:c>
      <x:c r="N136" s="14" t="str">
        <x:v>Victoria Schranz</x:v>
      </x:c>
      <x:c r="O136" s="14" t="str">
        <x:v>nm15201776</x:v>
      </x:c>
      <x:c r="P136" s="14" t="str">
        <x:v>Libby McClane</x:v>
      </x:c>
      <x:c r="Q136" s="15" t="n">
        <x:v>1</x:v>
      </x:c>
      <x:c r="R136" s="14" t="str">
        <x:v>2024</x:v>
      </x:c>
      <x:c r="S136" s="14" t="n">
        <x:v>2024</x:v>
      </x:c>
      <x:c r="T136" s="14" t="n">
        <x:v>2024</x:v>
      </x:c>
      <x:c r="U136" s="14" t="str">
        <x:v>Explicit source first year retained</x:v>
      </x:c>
      <x:c r="V136" s="14" t="str">
        <x:v>Earliest supplied year is 2024.</x:v>
      </x:c>
      <x:c r="W136" s="14"/>
      <x:c r="X136" s="14" t="str">
        <x:v>Carried forward to 2024</x:v>
      </x:c>
      <x:c r="Y136" s="14"/>
      <x:c r="Z136" s="14" t="str">
        <x:v>The Good Ship Murder.docx</x:v>
      </x:c>
      <x:c r="AA13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Channel 5 / 5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24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0.041666666666666664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tt18953164|nm0507535|brett</x:v>
      </x:c>
      <x:c r="B137" s="14" t="str">
        <x:v>01</x:v>
      </x:c>
      <x:c r="C137" s="14" t="str">
        <x:v>2022_IMDb_Cast_Lists_Batch_01(1).xlsx</x:v>
      </x:c>
      <x:c r="D137" s="14" t="str">
        <x:v>Avoidance</x:v>
      </x:c>
      <x:c r="E137" s="14" t="n">
        <x:v>13</x:v>
      </x:c>
      <x:c r="F137" s="14" t="str">
        <x:v>Avoidance</x:v>
      </x:c>
      <x:c r="G137" s="14" t="str">
        <x:v>tt18953164</x:v>
      </x:c>
      <x:c r="H137" s="14" t="n">
        <x:v>2022</x:v>
      </x:c>
      <x:c r="I137" s="14" t="n">
        <x:v>2023</x:v>
      </x:c>
      <x:c r="J137" s="14" t="str">
        <x:v>Future Carry-Forward Cohort</x:v>
      </x:c>
      <x:c r="K137" s="14" t="n">
        <x:v>2022</x:v>
      </x:c>
      <x:c r="L137" s="14" t="str">
        <x:v>Not inherited</x:v>
      </x:c>
      <x:c r="M137" s="15" t="n">
        <x:v>6</x:v>
      </x:c>
      <x:c r="N137" s="14" t="str">
        <x:v>Matthew Lewis</x:v>
      </x:c>
      <x:c r="O137" s="14" t="str">
        <x:v>nm0507535</x:v>
      </x:c>
      <x:c r="P137" s="14" t="str">
        <x:v>Brett</x:v>
      </x:c>
      <x:c r="Q137" s="15" t="n">
        <x:v>6</x:v>
      </x:c>
      <x:c r="R137" s="14" t="str">
        <x:v>2024</x:v>
      </x:c>
      <x:c r="S137" s="14" t="n">
        <x:v>2024</x:v>
      </x:c>
      <x:c r="T137" s="14" t="n">
        <x:v>2024</x:v>
      </x:c>
      <x:c r="U137" s="14" t="str">
        <x:v>Explicit source first year retained</x:v>
      </x:c>
      <x:c r="V137" s="14" t="str">
        <x:v>Earliest supplied year is 2024.</x:v>
      </x:c>
      <x:c r="W137" s="14"/>
      <x:c r="X137" s="14" t="str">
        <x:v>Carried forward to 2024</x:v>
      </x:c>
      <x:c r="Y137" s="14"/>
      <x:c r="Z137" s="14" t="str">
        <x:v>Avoidance.docx</x:v>
      </x:c>
      <x:c r="AA13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BBC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HYPERLINK("https://en.wikipedia.org/wiki/Avoidance","Open source")</x:f>
        <x:v>HYPERLINK is not implemented. linkLocation=https://en.wikipedia.org/wiki/Avoidance, friendlyName=Open source</x:v>
      </x:c>
      <x:c r="AN137" s="14" t="str">
        <x:v>BBC public-service commission</x:v>
      </x:c>
      <x:c r="AO137" s="14" t="str">
        <x:v>Yes</x:v>
      </x:c>
      <x:c r="AP137" s="14" t="str">
        <x:v>Direct BBC public-service scope</x:v>
      </x:c>
      <x:c r="AQ137" s="14" t="str">
        <x:v>Yes</x:v>
      </x:c>
      <x:c r="AR137" s="14" t="str">
        <x:v>Resolved from master register</x:v>
      </x:c>
      <x:c r="AS137" s="14" t="str">
        <x:v>No established-register match</x:v>
      </x:c>
      <x:c r="AT137" s="14"/>
      <x:c r="AU137" s="14"/>
      <x:c r="AV137" s="14" t="str">
        <x:v>No established apparent-disability match</x:v>
      </x:c>
      <x:c r="AW137" s="14"/>
      <x:c r="AX137" s="14" t="str">
        <x:v>No</x:v>
      </x:c>
      <x:c r="AY137" s="14" t="str">
        <x:v>Unmatched</x:v>
      </x:c>
      <x:c r="AZ137" s="14" t="str">
        <x:v>Final supplied register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12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6</x:v>
      </x:c>
      <x:c r="BS137" s="16" t="n">
        <x:v>0.5</x:v>
      </x:c>
      <x:c r="BT137" s="14" t="str">
        <x:v>Minority of episodes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tt18953164|nm3201406|megan</x:v>
      </x:c>
      <x:c r="B138" s="14" t="str">
        <x:v>01</x:v>
      </x:c>
      <x:c r="C138" s="14" t="str">
        <x:v>2022_IMDb_Cast_Lists_Batch_01(1).xlsx</x:v>
      </x:c>
      <x:c r="D138" s="14" t="str">
        <x:v>Avoidance</x:v>
      </x:c>
      <x:c r="E138" s="14" t="n">
        <x:v>14</x:v>
      </x:c>
      <x:c r="F138" s="14" t="str">
        <x:v>Avoidance</x:v>
      </x:c>
      <x:c r="G138" s="14" t="str">
        <x:v>tt18953164</x:v>
      </x:c>
      <x:c r="H138" s="14" t="n">
        <x:v>2022</x:v>
      </x:c>
      <x:c r="I138" s="14" t="n">
        <x:v>2023</x:v>
      </x:c>
      <x:c r="J138" s="14" t="str">
        <x:v>Future Carry-Forward Cohort</x:v>
      </x:c>
      <x:c r="K138" s="14" t="n">
        <x:v>2022</x:v>
      </x:c>
      <x:c r="L138" s="14" t="str">
        <x:v>Not inherited</x:v>
      </x:c>
      <x:c r="M138" s="15" t="n">
        <x:v>7</x:v>
      </x:c>
      <x:c r="N138" s="14" t="str">
        <x:v>Aisling Bea</x:v>
      </x:c>
      <x:c r="O138" s="14" t="str">
        <x:v>nm3201406</x:v>
      </x:c>
      <x:c r="P138" s="14" t="str">
        <x:v>Megan</x:v>
      </x:c>
      <x:c r="Q138" s="15" t="n">
        <x:v>5</x:v>
      </x:c>
      <x:c r="R138" s="14" t="str">
        <x:v>2024</x:v>
      </x:c>
      <x:c r="S138" s="14" t="n">
        <x:v>2024</x:v>
      </x:c>
      <x:c r="T138" s="14" t="n">
        <x:v>2024</x:v>
      </x:c>
      <x:c r="U138" s="14" t="str">
        <x:v>Explicit source first year retained</x:v>
      </x:c>
      <x:c r="V138" s="14" t="str">
        <x:v>Earliest supplied year is 2024.</x:v>
      </x:c>
      <x:c r="W138" s="14"/>
      <x:c r="X138" s="14" t="str">
        <x:v>Carried forward to 2024</x:v>
      </x:c>
      <x:c r="Y138" s="14"/>
      <x:c r="Z138" s="14" t="str">
        <x:v>Avoidance.docx</x:v>
      </x:c>
      <x:c r="AA13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BBC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HYPERLINK("https://en.wikipedia.org/wiki/Avoidance","Open source")</x:f>
        <x:v>HYPERLINK is not implemented. linkLocation=https://en.wikipedia.org/wiki/Avoidance, friendlyName=Open source</x:v>
      </x:c>
      <x:c r="AN138" s="14" t="str">
        <x:v>BBC public-service commission</x:v>
      </x:c>
      <x:c r="AO138" s="14" t="str">
        <x:v>Yes</x:v>
      </x:c>
      <x:c r="AP138" s="14" t="str">
        <x:v>Direct BBC public-service scope</x:v>
      </x:c>
      <x:c r="AQ138" s="14" t="str">
        <x:v>Yes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12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5</x:v>
      </x:c>
      <x:c r="BS138" s="16" t="n">
        <x:v>0.4166666666666667</x:v>
      </x:c>
      <x:c r="BT138" s="14" t="str">
        <x:v>Minority of episodes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tt18953164|nm11888100|sam</x:v>
      </x:c>
      <x:c r="B139" s="14" t="str">
        <x:v>01</x:v>
      </x:c>
      <x:c r="C139" s="14" t="str">
        <x:v>2022_IMDb_Cast_Lists_Batch_01(1).xlsx</x:v>
      </x:c>
      <x:c r="D139" s="14" t="str">
        <x:v>Avoidance</x:v>
      </x:c>
      <x:c r="E139" s="14" t="n">
        <x:v>15</x:v>
      </x:c>
      <x:c r="F139" s="14" t="str">
        <x:v>Avoidance</x:v>
      </x:c>
      <x:c r="G139" s="14" t="str">
        <x:v>tt18953164</x:v>
      </x:c>
      <x:c r="H139" s="14" t="n">
        <x:v>2022</x:v>
      </x:c>
      <x:c r="I139" s="14" t="n">
        <x:v>2023</x:v>
      </x:c>
      <x:c r="J139" s="14" t="str">
        <x:v>Future Carry-Forward Cohort</x:v>
      </x:c>
      <x:c r="K139" s="14" t="n">
        <x:v>2022</x:v>
      </x:c>
      <x:c r="L139" s="14" t="str">
        <x:v>Not inherited</x:v>
      </x:c>
      <x:c r="M139" s="15" t="n">
        <x:v>8</x:v>
      </x:c>
      <x:c r="N139" s="14" t="str">
        <x:v>Olive Tennant</x:v>
      </x:c>
      <x:c r="O139" s="14" t="str">
        <x:v>nm11888100</x:v>
      </x:c>
      <x:c r="P139" s="14" t="str">
        <x:v>Sam</x:v>
      </x:c>
      <x:c r="Q139" s="15" t="n">
        <x:v>5</x:v>
      </x:c>
      <x:c r="R139" s="14" t="str">
        <x:v>2024</x:v>
      </x:c>
      <x:c r="S139" s="14" t="n">
        <x:v>2024</x:v>
      </x:c>
      <x:c r="T139" s="14" t="n">
        <x:v>2024</x:v>
      </x:c>
      <x:c r="U139" s="14" t="str">
        <x:v>Explicit source first year retained</x:v>
      </x:c>
      <x:c r="V139" s="14" t="str">
        <x:v>Earliest supplied year is 2024.</x:v>
      </x:c>
      <x:c r="W139" s="14"/>
      <x:c r="X139" s="14" t="str">
        <x:v>Carried forward to 2024</x:v>
      </x:c>
      <x:c r="Y139" s="14"/>
      <x:c r="Z139" s="14" t="str">
        <x:v>Avoidance.docx</x:v>
      </x:c>
      <x:c r="AA13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BBC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HYPERLINK("https://en.wikipedia.org/wiki/Avoidance","Open source")</x:f>
        <x:v>HYPERLINK is not implemented. linkLocation=https://en.wikipedia.org/wiki/Avoidance, friendlyName=Open source</x:v>
      </x:c>
      <x:c r="AN139" s="14" t="str">
        <x:v>BBC public-service commission</x:v>
      </x:c>
      <x:c r="AO139" s="14" t="str">
        <x:v>Yes</x:v>
      </x:c>
      <x:c r="AP139" s="14" t="str">
        <x:v>Direct BBC public-service scope</x:v>
      </x:c>
      <x:c r="AQ139" s="14" t="str">
        <x:v>Yes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12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5</x:v>
      </x:c>
      <x:c r="BS139" s="16" t="n">
        <x:v>0.4166666666666667</x:v>
      </x:c>
      <x:c r="BT139" s="14" t="str">
        <x:v>Minority of episodes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tt18953164|nm2180432|kirsty</x:v>
      </x:c>
      <x:c r="B140" s="14" t="str">
        <x:v>01</x:v>
      </x:c>
      <x:c r="C140" s="14" t="str">
        <x:v>2022_IMDb_Cast_Lists_Batch_01(1).xlsx</x:v>
      </x:c>
      <x:c r="D140" s="14" t="str">
        <x:v>Avoidance</x:v>
      </x:c>
      <x:c r="E140" s="14" t="n">
        <x:v>17</x:v>
      </x:c>
      <x:c r="F140" s="14" t="str">
        <x:v>Avoidance</x:v>
      </x:c>
      <x:c r="G140" s="14" t="str">
        <x:v>tt18953164</x:v>
      </x:c>
      <x:c r="H140" s="14" t="n">
        <x:v>2022</x:v>
      </x:c>
      <x:c r="I140" s="14" t="n">
        <x:v>2023</x:v>
      </x:c>
      <x:c r="J140" s="14" t="str">
        <x:v>Future Carry-Forward Cohort</x:v>
      </x:c>
      <x:c r="K140" s="14" t="n">
        <x:v>2022</x:v>
      </x:c>
      <x:c r="L140" s="14" t="str">
        <x:v>Not inherited</x:v>
      </x:c>
      <x:c r="M140" s="15" t="n">
        <x:v>10</x:v>
      </x:c>
      <x:c r="N140" s="14" t="str">
        <x:v>Samantha Baines</x:v>
      </x:c>
      <x:c r="O140" s="14" t="str">
        <x:v>nm2180432</x:v>
      </x:c>
      <x:c r="P140" s="14" t="str">
        <x:v>Kirsty</x:v>
      </x:c>
      <x:c r="Q140" s="15" t="n">
        <x:v>2</x:v>
      </x:c>
      <x:c r="R140" s="14" t="str">
        <x:v>2024</x:v>
      </x:c>
      <x:c r="S140" s="14" t="n">
        <x:v>2024</x:v>
      </x:c>
      <x:c r="T140" s="14" t="n">
        <x:v>2024</x:v>
      </x:c>
      <x:c r="U140" s="14" t="str">
        <x:v>Explicit source first year retained</x:v>
      </x:c>
      <x:c r="V140" s="14" t="str">
        <x:v>Earliest supplied year is 2024.</x:v>
      </x:c>
      <x:c r="W140" s="14"/>
      <x:c r="X140" s="14" t="str">
        <x:v>Carried forward to 2024</x:v>
      </x:c>
      <x:c r="Y140" s="14"/>
      <x:c r="Z140" s="14" t="str">
        <x:v>Avoidance.docx</x:v>
      </x:c>
      <x:c r="AA14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BBC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HYPERLINK("https://en.wikipedia.org/wiki/Avoidance","Open source")</x:f>
        <x:v>HYPERLINK is not implemented. linkLocation=https://en.wikipedia.org/wiki/Avoidance, friendlyName=Open source</x:v>
      </x:c>
      <x:c r="AN140" s="14" t="str">
        <x:v>BBC public-service commission</x:v>
      </x:c>
      <x:c r="AO140" s="14" t="str">
        <x:v>Yes</x:v>
      </x:c>
      <x:c r="AP140" s="14" t="str">
        <x:v>Direct BBC public-service scope</x:v>
      </x:c>
      <x:c r="AQ140" s="14" t="str">
        <x:v>Yes</x:v>
      </x:c>
      <x:c r="AR140" s="14" t="str">
        <x:v>Resolved from master register</x:v>
      </x:c>
      <x:c r="AS140" s="14" t="str">
        <x:v>Exact IMDb performer ID match</x:v>
      </x:c>
      <x:c r="AT140" s="14" t="str">
        <x:v>nm2180432</x:v>
      </x:c>
      <x:c r="AU140" s="14" t="str">
        <x:v>Deaf, deaf or hard of hearing</x:v>
      </x:c>
      <x:c r="AV140" s="14" t="str">
        <x:v>Yes</x:v>
      </x:c>
      <x:c r="AW140" s="14" t="str">
        <x:v>Deaf, deaf or hard of hearing</x:v>
      </x:c>
      <x:c r="AX140" s="14" t="str">
        <x:v>No</x:v>
      </x:c>
      <x:c r="AY140" s="14" t="str">
        <x:v>Matched</x:v>
      </x:c>
      <x:c r="AZ140" s="14" t="str">
        <x:v>Final supplied register</x:v>
      </x:c>
      <x:c r="BA140" s="14"/>
      <x:c r="BB140" s="14" t="str">
        <x:v>Exact IMDb performer ID match</x:v>
      </x:c>
      <x:c r="BC140" s="14" t="str">
        <x:v>nm2180432</x:v>
      </x:c>
      <x:c r="BD140" s="14" t="str">
        <x:v>Samantha Baines</x:v>
      </x:c>
      <x:c r="BE140" s="14" t="str">
        <x:v>Deaf, deaf or hard of hearing</x:v>
      </x:c>
      <x:c r="BF140" s="14" t="str">
        <x:v>Yes</x:v>
      </x:c>
      <x:c r="BG140" s="14" t="str">
        <x:v>Deaf, deaf or hard of hearing</x:v>
      </x:c>
      <x:c r="BH140" s="14" t="str">
        <x:v>No</x:v>
      </x:c>
      <x:c r="BI140" s="14" t="str">
        <x:v>User-supplied established classification</x:v>
      </x:c>
      <x:c r="BJ140" s="14" t="str">
        <x:v>New IMDB Data.csv</x:v>
      </x:c>
      <x:c r="BK140" s="14"/>
      <x:c r="BL140" s="14" t="str">
        <x:v>Matched</x:v>
      </x:c>
      <x:c r="BM140" s="14" t="str">
        <x:v>Final supplied register</x:v>
      </x:c>
      <x:c r="BN140" s="14"/>
      <x:c r="BO140" s="14" t="n">
        <x:v>12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2</x:v>
      </x:c>
      <x:c r="BS140" s="16" t="n">
        <x:v>0.16666666666666666</x:v>
      </x:c>
      <x:c r="BT140" s="14" t="str">
        <x:v>Minority of episodes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tt18953164|nm3327974|leila</x:v>
      </x:c>
      <x:c r="B141" s="14" t="str">
        <x:v>01</x:v>
      </x:c>
      <x:c r="C141" s="14" t="str">
        <x:v>2022_IMDb_Cast_Lists_Batch_01(1).xlsx</x:v>
      </x:c>
      <x:c r="D141" s="14" t="str">
        <x:v>Avoidance</x:v>
      </x:c>
      <x:c r="E141" s="14" t="n">
        <x:v>21</x:v>
      </x:c>
      <x:c r="F141" s="14" t="str">
        <x:v>Avoidance</x:v>
      </x:c>
      <x:c r="G141" s="14" t="str">
        <x:v>tt18953164</x:v>
      </x:c>
      <x:c r="H141" s="14" t="n">
        <x:v>2022</x:v>
      </x:c>
      <x:c r="I141" s="14" t="n">
        <x:v>2023</x:v>
      </x:c>
      <x:c r="J141" s="14" t="str">
        <x:v>Future Carry-Forward Cohort</x:v>
      </x:c>
      <x:c r="K141" s="14" t="n">
        <x:v>2022</x:v>
      </x:c>
      <x:c r="L141" s="14" t="str">
        <x:v>Not inherited</x:v>
      </x:c>
      <x:c r="M141" s="15" t="n">
        <x:v>14</x:v>
      </x:c>
      <x:c r="N141" s="14" t="str">
        <x:v>Louise Ford</x:v>
      </x:c>
      <x:c r="O141" s="14" t="str">
        <x:v>nm3327974</x:v>
      </x:c>
      <x:c r="P141" s="14" t="str">
        <x:v>Leila</x:v>
      </x:c>
      <x:c r="Q141" s="15" t="n">
        <x:v>2</x:v>
      </x:c>
      <x:c r="R141" s="14" t="str">
        <x:v>2024</x:v>
      </x:c>
      <x:c r="S141" s="14" t="n">
        <x:v>2024</x:v>
      </x:c>
      <x:c r="T141" s="14" t="n">
        <x:v>2024</x:v>
      </x:c>
      <x:c r="U141" s="14" t="str">
        <x:v>Explicit source first year retained</x:v>
      </x:c>
      <x:c r="V141" s="14" t="str">
        <x:v>Earliest supplied year is 2024.</x:v>
      </x:c>
      <x:c r="W141" s="14"/>
      <x:c r="X141" s="14" t="str">
        <x:v>Carried forward to 2024</x:v>
      </x:c>
      <x:c r="Y141" s="14"/>
      <x:c r="Z141" s="14" t="str">
        <x:v>Avoidance.docx</x:v>
      </x:c>
      <x:c r="AA14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BBC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HYPERLINK("https://en.wikipedia.org/wiki/Avoidance","Open source")</x:f>
        <x:v>HYPERLINK is not implemented. linkLocation=https://en.wikipedia.org/wiki/Avoidance, friendlyName=Open source</x:v>
      </x:c>
      <x:c r="AN141" s="14" t="str">
        <x:v>BBC public-service commission</x:v>
      </x:c>
      <x:c r="AO141" s="14" t="str">
        <x:v>Yes</x:v>
      </x:c>
      <x:c r="AP141" s="14" t="str">
        <x:v>Direct BBC public-service scope</x:v>
      </x:c>
      <x:c r="AQ141" s="14" t="str">
        <x:v>Yes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12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2</x:v>
      </x:c>
      <x:c r="BS141" s="16" t="n">
        <x:v>0.16666666666666666</x:v>
      </x:c>
      <x:c r="BT141" s="14" t="str">
        <x:v>Minority of episodes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tt18953164|nm3353432|josie</x:v>
      </x:c>
      <x:c r="B142" s="14" t="str">
        <x:v>01</x:v>
      </x:c>
      <x:c r="C142" s="14" t="str">
        <x:v>2022_IMDb_Cast_Lists_Batch_01(1).xlsx</x:v>
      </x:c>
      <x:c r="D142" s="14" t="str">
        <x:v>Avoidance</x:v>
      </x:c>
      <x:c r="E142" s="14" t="n">
        <x:v>22</x:v>
      </x:c>
      <x:c r="F142" s="14" t="str">
        <x:v>Avoidance</x:v>
      </x:c>
      <x:c r="G142" s="14" t="str">
        <x:v>tt18953164</x:v>
      </x:c>
      <x:c r="H142" s="14" t="n">
        <x:v>2022</x:v>
      </x:c>
      <x:c r="I142" s="14" t="n">
        <x:v>2023</x:v>
      </x:c>
      <x:c r="J142" s="14" t="str">
        <x:v>Future Carry-Forward Cohort</x:v>
      </x:c>
      <x:c r="K142" s="14" t="n">
        <x:v>2022</x:v>
      </x:c>
      <x:c r="L142" s="14" t="str">
        <x:v>Not inherited</x:v>
      </x:c>
      <x:c r="M142" s="15" t="n">
        <x:v>15</x:v>
      </x:c>
      <x:c r="N142" s="14" t="str">
        <x:v>Jessica Ransom</x:v>
      </x:c>
      <x:c r="O142" s="14" t="str">
        <x:v>nm3353432</x:v>
      </x:c>
      <x:c r="P142" s="14" t="str">
        <x:v>Josie</x:v>
      </x:c>
      <x:c r="Q142" s="15" t="n">
        <x:v>2</x:v>
      </x:c>
      <x:c r="R142" s="14" t="str">
        <x:v>2024</x:v>
      </x:c>
      <x:c r="S142" s="14" t="n">
        <x:v>2024</x:v>
      </x:c>
      <x:c r="T142" s="14" t="n">
        <x:v>2024</x:v>
      </x:c>
      <x:c r="U142" s="14" t="str">
        <x:v>Explicit source first year retained</x:v>
      </x:c>
      <x:c r="V142" s="14" t="str">
        <x:v>Earliest supplied year is 2024.</x:v>
      </x:c>
      <x:c r="W142" s="14"/>
      <x:c r="X142" s="14" t="str">
        <x:v>Carried forward to 2024</x:v>
      </x:c>
      <x:c r="Y142" s="14"/>
      <x:c r="Z142" s="14" t="str">
        <x:v>Avoidance.docx</x:v>
      </x:c>
      <x:c r="AA14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BBC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HYPERLINK("https://en.wikipedia.org/wiki/Avoidance","Open source")</x:f>
        <x:v>HYPERLINK is not implemented. linkLocation=https://en.wikipedia.org/wiki/Avoidance, friendlyName=Open source</x:v>
      </x:c>
      <x:c r="AN142" s="14" t="str">
        <x:v>BBC public-service commission</x:v>
      </x:c>
      <x:c r="AO142" s="14" t="str">
        <x:v>Yes</x:v>
      </x:c>
      <x:c r="AP142" s="14" t="str">
        <x:v>Direct BBC public-service scope</x:v>
      </x:c>
      <x:c r="AQ142" s="14" t="str">
        <x:v>Yes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12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2</x:v>
      </x:c>
      <x:c r="BS142" s="16" t="n">
        <x:v>0.16666666666666666</x:v>
      </x:c>
      <x:c r="BT142" s="14" t="str">
        <x:v>Minority of episodes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tt18953164|nm4591704|tim</x:v>
      </x:c>
      <x:c r="B143" s="14" t="str">
        <x:v>01</x:v>
      </x:c>
      <x:c r="C143" s="14" t="str">
        <x:v>2022_IMDb_Cast_Lists_Batch_01(1).xlsx</x:v>
      </x:c>
      <x:c r="D143" s="14" t="str">
        <x:v>Avoidance</x:v>
      </x:c>
      <x:c r="E143" s="14" t="n">
        <x:v>24</x:v>
      </x:c>
      <x:c r="F143" s="14" t="str">
        <x:v>Avoidance</x:v>
      </x:c>
      <x:c r="G143" s="14" t="str">
        <x:v>tt18953164</x:v>
      </x:c>
      <x:c r="H143" s="14" t="n">
        <x:v>2022</x:v>
      </x:c>
      <x:c r="I143" s="14" t="n">
        <x:v>2023</x:v>
      </x:c>
      <x:c r="J143" s="14" t="str">
        <x:v>Future Carry-Forward Cohort</x:v>
      </x:c>
      <x:c r="K143" s="14" t="n">
        <x:v>2022</x:v>
      </x:c>
      <x:c r="L143" s="14" t="str">
        <x:v>Not inherited</x:v>
      </x:c>
      <x:c r="M143" s="15" t="n">
        <x:v>17</x:v>
      </x:c>
      <x:c r="N143" s="14" t="str">
        <x:v>Ed Kear</x:v>
      </x:c>
      <x:c r="O143" s="14" t="str">
        <x:v>nm4591704</x:v>
      </x:c>
      <x:c r="P143" s="14" t="str">
        <x:v>Tim</x:v>
      </x:c>
      <x:c r="Q143" s="15" t="n">
        <x:v>2</x:v>
      </x:c>
      <x:c r="R143" s="14" t="str">
        <x:v>2024</x:v>
      </x:c>
      <x:c r="S143" s="14" t="n">
        <x:v>2024</x:v>
      </x:c>
      <x:c r="T143" s="14" t="n">
        <x:v>2024</x:v>
      </x:c>
      <x:c r="U143" s="14" t="str">
        <x:v>Explicit source first year retained</x:v>
      </x:c>
      <x:c r="V143" s="14" t="str">
        <x:v>Earliest supplied year is 2024.</x:v>
      </x:c>
      <x:c r="W143" s="14"/>
      <x:c r="X143" s="14" t="str">
        <x:v>Carried forward to 2024</x:v>
      </x:c>
      <x:c r="Y143" s="14"/>
      <x:c r="Z143" s="14" t="str">
        <x:v>Avoidance.docx</x:v>
      </x:c>
      <x:c r="AA14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BBC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HYPERLINK("https://en.wikipedia.org/wiki/Avoidance","Open source")</x:f>
        <x:v>HYPERLINK is not implemented. linkLocation=https://en.wikipedia.org/wiki/Avoidance, friendlyName=Open source</x:v>
      </x:c>
      <x:c r="AN143" s="14" t="str">
        <x:v>BBC public-service commission</x:v>
      </x:c>
      <x:c r="AO143" s="14" t="str">
        <x:v>Yes</x:v>
      </x:c>
      <x:c r="AP143" s="14" t="str">
        <x:v>Direct BBC public-service scope</x:v>
      </x:c>
      <x:c r="AQ143" s="14" t="str">
        <x:v>Yes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12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2</x:v>
      </x:c>
      <x:c r="BS143" s="16" t="n">
        <x:v>0.16666666666666666</x:v>
      </x:c>
      <x:c r="BT143" s="14" t="str">
        <x:v>Minority of episodes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tt18953164|nm6873741|sensei</x:v>
      </x:c>
      <x:c r="B144" s="14" t="str">
        <x:v>01</x:v>
      </x:c>
      <x:c r="C144" s="14" t="str">
        <x:v>2022_IMDb_Cast_Lists_Batch_01(1).xlsx</x:v>
      </x:c>
      <x:c r="D144" s="14" t="str">
        <x:v>Avoidance</x:v>
      </x:c>
      <x:c r="E144" s="14" t="n">
        <x:v>25</x:v>
      </x:c>
      <x:c r="F144" s="14" t="str">
        <x:v>Avoidance</x:v>
      </x:c>
      <x:c r="G144" s="14" t="str">
        <x:v>tt18953164</x:v>
      </x:c>
      <x:c r="H144" s="14" t="n">
        <x:v>2022</x:v>
      </x:c>
      <x:c r="I144" s="14" t="n">
        <x:v>2023</x:v>
      </x:c>
      <x:c r="J144" s="14" t="str">
        <x:v>Future Carry-Forward Cohort</x:v>
      </x:c>
      <x:c r="K144" s="14" t="n">
        <x:v>2022</x:v>
      </x:c>
      <x:c r="L144" s="14" t="str">
        <x:v>Not inherited</x:v>
      </x:c>
      <x:c r="M144" s="15" t="n">
        <x:v>18</x:v>
      </x:c>
      <x:c r="N144" s="14" t="str">
        <x:v>Jordan Brookes</x:v>
      </x:c>
      <x:c r="O144" s="14" t="str">
        <x:v>nm6873741</x:v>
      </x:c>
      <x:c r="P144" s="14" t="str">
        <x:v>Sensei</x:v>
      </x:c>
      <x:c r="Q144" s="15" t="n">
        <x:v>2</x:v>
      </x:c>
      <x:c r="R144" s="14" t="str">
        <x:v>2024</x:v>
      </x:c>
      <x:c r="S144" s="14" t="n">
        <x:v>2024</x:v>
      </x:c>
      <x:c r="T144" s="14" t="n">
        <x:v>2024</x:v>
      </x:c>
      <x:c r="U144" s="14" t="str">
        <x:v>Explicit source first year retained</x:v>
      </x:c>
      <x:c r="V144" s="14" t="str">
        <x:v>Earliest supplied year is 2024.</x:v>
      </x:c>
      <x:c r="W144" s="14"/>
      <x:c r="X144" s="14" t="str">
        <x:v>Carried forward to 2024</x:v>
      </x:c>
      <x:c r="Y144" s="14"/>
      <x:c r="Z144" s="14" t="str">
        <x:v>Avoidance.docx</x:v>
      </x:c>
      <x:c r="AA14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BBC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HYPERLINK("https://en.wikipedia.org/wiki/Avoidance","Open source")</x:f>
        <x:v>HYPERLINK is not implemented. linkLocation=https://en.wikipedia.org/wiki/Avoidance, friendlyName=Open source</x:v>
      </x:c>
      <x:c r="AN144" s="14" t="str">
        <x:v>BBC public-service commission</x:v>
      </x:c>
      <x:c r="AO144" s="14" t="str">
        <x:v>Yes</x:v>
      </x:c>
      <x:c r="AP144" s="14" t="str">
        <x:v>Direct BBC public-service scope</x:v>
      </x:c>
      <x:c r="AQ144" s="14" t="str">
        <x:v>Yes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12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2</x:v>
      </x:c>
      <x:c r="BS144" s="16" t="n">
        <x:v>0.16666666666666666</x:v>
      </x:c>
      <x:c r="BT144" s="14" t="str">
        <x:v>Minority of episodes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tt18953164|nm15946971|yolanda</x:v>
      </x:c>
      <x:c r="B145" s="14" t="str">
        <x:v>01</x:v>
      </x:c>
      <x:c r="C145" s="14" t="str">
        <x:v>2022_IMDb_Cast_Lists_Batch_01(1).xlsx</x:v>
      </x:c>
      <x:c r="D145" s="14" t="str">
        <x:v>Avoidance</x:v>
      </x:c>
      <x:c r="E145" s="14" t="n">
        <x:v>26</x:v>
      </x:c>
      <x:c r="F145" s="14" t="str">
        <x:v>Avoidance</x:v>
      </x:c>
      <x:c r="G145" s="14" t="str">
        <x:v>tt18953164</x:v>
      </x:c>
      <x:c r="H145" s="14" t="n">
        <x:v>2022</x:v>
      </x:c>
      <x:c r="I145" s="14" t="n">
        <x:v>2023</x:v>
      </x:c>
      <x:c r="J145" s="14" t="str">
        <x:v>Future Carry-Forward Cohort</x:v>
      </x:c>
      <x:c r="K145" s="14" t="n">
        <x:v>2022</x:v>
      </x:c>
      <x:c r="L145" s="14" t="str">
        <x:v>Not inherited</x:v>
      </x:c>
      <x:c r="M145" s="15" t="n">
        <x:v>19</x:v>
      </x:c>
      <x:c r="N145" s="14" t="str">
        <x:v>Shila Bentley</x:v>
      </x:c>
      <x:c r="O145" s="14" t="str">
        <x:v>nm15946971</x:v>
      </x:c>
      <x:c r="P145" s="14" t="str">
        <x:v>Yolanda</x:v>
      </x:c>
      <x:c r="Q145" s="15" t="n">
        <x:v>2</x:v>
      </x:c>
      <x:c r="R145" s="14" t="str">
        <x:v>2024</x:v>
      </x:c>
      <x:c r="S145" s="14" t="n">
        <x:v>2024</x:v>
      </x:c>
      <x:c r="T145" s="14" t="n">
        <x:v>2024</x:v>
      </x:c>
      <x:c r="U145" s="14" t="str">
        <x:v>Explicit source first year retained</x:v>
      </x:c>
      <x:c r="V145" s="14" t="str">
        <x:v>Earliest supplied year is 2024.</x:v>
      </x:c>
      <x:c r="W145" s="14"/>
      <x:c r="X145" s="14" t="str">
        <x:v>Carried forward to 2024</x:v>
      </x:c>
      <x:c r="Y145" s="14"/>
      <x:c r="Z145" s="14" t="str">
        <x:v>Avoidance.docx</x:v>
      </x:c>
      <x:c r="AA14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BBC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HYPERLINK("https://en.wikipedia.org/wiki/Avoidance","Open source")</x:f>
        <x:v>HYPERLINK is not implemented. linkLocation=https://en.wikipedia.org/wiki/Avoidance, friendlyName=Open source</x:v>
      </x:c>
      <x:c r="AN145" s="14" t="str">
        <x:v>BBC public-service commission</x:v>
      </x:c>
      <x:c r="AO145" s="14" t="str">
        <x:v>Yes</x:v>
      </x:c>
      <x:c r="AP145" s="14" t="str">
        <x:v>Direct BBC public-service scope</x:v>
      </x:c>
      <x:c r="AQ145" s="14" t="str">
        <x:v>Yes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12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2</x:v>
      </x:c>
      <x:c r="BS145" s="16" t="n">
        <x:v>0.16666666666666666</x:v>
      </x:c>
      <x:c r="BT145" s="14" t="str">
        <x:v>Minority of episodes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tt18953164|nm5616264|cameron</x:v>
      </x:c>
      <x:c r="B146" s="14" t="str">
        <x:v>01</x:v>
      </x:c>
      <x:c r="C146" s="14" t="str">
        <x:v>2022_IMDb_Cast_Lists_Batch_01(1).xlsx</x:v>
      </x:c>
      <x:c r="D146" s="14" t="str">
        <x:v>Avoidance</x:v>
      </x:c>
      <x:c r="E146" s="14" t="n">
        <x:v>27</x:v>
      </x:c>
      <x:c r="F146" s="14" t="str">
        <x:v>Avoidance</x:v>
      </x:c>
      <x:c r="G146" s="14" t="str">
        <x:v>tt18953164</x:v>
      </x:c>
      <x:c r="H146" s="14" t="n">
        <x:v>2022</x:v>
      </x:c>
      <x:c r="I146" s="14" t="n">
        <x:v>2023</x:v>
      </x:c>
      <x:c r="J146" s="14" t="str">
        <x:v>Future Carry-Forward Cohort</x:v>
      </x:c>
      <x:c r="K146" s="14" t="n">
        <x:v>2022</x:v>
      </x:c>
      <x:c r="L146" s="14" t="str">
        <x:v>Not inherited</x:v>
      </x:c>
      <x:c r="M146" s="15" t="n">
        <x:v>20</x:v>
      </x:c>
      <x:c r="N146" s="14" t="str">
        <x:v>Luke McQueen</x:v>
      </x:c>
      <x:c r="O146" s="14" t="str">
        <x:v>nm5616264</x:v>
      </x:c>
      <x:c r="P146" s="14" t="str">
        <x:v>Cameron</x:v>
      </x:c>
      <x:c r="Q146" s="15" t="n">
        <x:v>2</x:v>
      </x:c>
      <x:c r="R146" s="14" t="str">
        <x:v>2024</x:v>
      </x:c>
      <x:c r="S146" s="14" t="n">
        <x:v>2024</x:v>
      </x:c>
      <x:c r="T146" s="14" t="n">
        <x:v>2024</x:v>
      </x:c>
      <x:c r="U146" s="14" t="str">
        <x:v>Explicit source first year retained</x:v>
      </x:c>
      <x:c r="V146" s="14" t="str">
        <x:v>Earliest supplied year is 2024.</x:v>
      </x:c>
      <x:c r="W146" s="14"/>
      <x:c r="X146" s="14" t="str">
        <x:v>Carried forward to 2024</x:v>
      </x:c>
      <x:c r="Y146" s="14"/>
      <x:c r="Z146" s="14" t="str">
        <x:v>Avoidance.docx</x:v>
      </x:c>
      <x:c r="AA14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BBC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HYPERLINK("https://en.wikipedia.org/wiki/Avoidance","Open source")</x:f>
        <x:v>HYPERLINK is not implemented. linkLocation=https://en.wikipedia.org/wiki/Avoidance, friendlyName=Open source</x:v>
      </x:c>
      <x:c r="AN146" s="14" t="str">
        <x:v>BBC public-service commission</x:v>
      </x:c>
      <x:c r="AO146" s="14" t="str">
        <x:v>Yes</x:v>
      </x:c>
      <x:c r="AP146" s="14" t="str">
        <x:v>Direct BBC public-service scope</x:v>
      </x:c>
      <x:c r="AQ146" s="14" t="str">
        <x:v>Yes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12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2</x:v>
      </x:c>
      <x:c r="BS146" s="16" t="n">
        <x:v>0.16666666666666666</x:v>
      </x:c>
      <x:c r="BT146" s="14" t="str">
        <x:v>Minority of episodes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tt18953164|nm1274921|hotel receptionist / hospital receptionist</x:v>
      </x:c>
      <x:c r="B147" s="14" t="str">
        <x:v>01</x:v>
      </x:c>
      <x:c r="C147" s="14" t="str">
        <x:v>2022_IMDb_Cast_Lists_Batch_01(1).xlsx</x:v>
      </x:c>
      <x:c r="D147" s="14" t="str">
        <x:v>Avoidance</x:v>
      </x:c>
      <x:c r="E147" s="14" t="n">
        <x:v>28</x:v>
      </x:c>
      <x:c r="F147" s="14" t="str">
        <x:v>Avoidance</x:v>
      </x:c>
      <x:c r="G147" s="14" t="str">
        <x:v>tt18953164</x:v>
      </x:c>
      <x:c r="H147" s="14" t="n">
        <x:v>2022</x:v>
      </x:c>
      <x:c r="I147" s="14" t="n">
        <x:v>2023</x:v>
      </x:c>
      <x:c r="J147" s="14" t="str">
        <x:v>Future Carry-Forward Cohort</x:v>
      </x:c>
      <x:c r="K147" s="14" t="n">
        <x:v>2022</x:v>
      </x:c>
      <x:c r="L147" s="14" t="str">
        <x:v>Not inherited</x:v>
      </x:c>
      <x:c r="M147" s="15" t="n">
        <x:v>21</x:v>
      </x:c>
      <x:c r="N147" s="14" t="str">
        <x:v>Portia Booroff</x:v>
      </x:c>
      <x:c r="O147" s="14" t="str">
        <x:v>nm1274921</x:v>
      </x:c>
      <x:c r="P147" s="14" t="str">
        <x:v>Hotel Receptionist / Hospital Receptionist</x:v>
      </x:c>
      <x:c r="Q147" s="15" t="n">
        <x:v>2</x:v>
      </x:c>
      <x:c r="R147" s="14" t="str">
        <x:v>2024</x:v>
      </x:c>
      <x:c r="S147" s="14" t="n">
        <x:v>2024</x:v>
      </x:c>
      <x:c r="T147" s="14" t="n">
        <x:v>2024</x:v>
      </x:c>
      <x:c r="U147" s="14" t="str">
        <x:v>Explicit source first year retained</x:v>
      </x:c>
      <x:c r="V147" s="14" t="str">
        <x:v>Earliest supplied year is 2024.</x:v>
      </x:c>
      <x:c r="W147" s="14"/>
      <x:c r="X147" s="14" t="str">
        <x:v>Carried forward to 2024</x:v>
      </x:c>
      <x:c r="Y147" s="14"/>
      <x:c r="Z147" s="14" t="str">
        <x:v>Avoidance.docx</x:v>
      </x:c>
      <x:c r="AA14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BBC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HYPERLINK("https://en.wikipedia.org/wiki/Avoidance","Open source")</x:f>
        <x:v>HYPERLINK is not implemented. linkLocation=https://en.wikipedia.org/wiki/Avoidance, friendlyName=Open source</x:v>
      </x:c>
      <x:c r="AN147" s="14" t="str">
        <x:v>BBC public-service commission</x:v>
      </x:c>
      <x:c r="AO147" s="14" t="str">
        <x:v>Yes</x:v>
      </x:c>
      <x:c r="AP147" s="14" t="str">
        <x:v>Direct BBC public-service scope</x:v>
      </x:c>
      <x:c r="AQ147" s="14" t="str">
        <x:v>Yes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12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2</x:v>
      </x:c>
      <x:c r="BS147" s="16" t="n">
        <x:v>0.16666666666666666</x:v>
      </x:c>
      <x:c r="BT147" s="14" t="str">
        <x:v>Minority of episodes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tt18953164|nm9195817|benji</x:v>
      </x:c>
      <x:c r="B148" s="14" t="str">
        <x:v>01</x:v>
      </x:c>
      <x:c r="C148" s="14" t="str">
        <x:v>2022_IMDb_Cast_Lists_Batch_01(1).xlsx</x:v>
      </x:c>
      <x:c r="D148" s="14" t="str">
        <x:v>Avoidance</x:v>
      </x:c>
      <x:c r="E148" s="14" t="n">
        <x:v>29</x:v>
      </x:c>
      <x:c r="F148" s="14" t="str">
        <x:v>Avoidance</x:v>
      </x:c>
      <x:c r="G148" s="14" t="str">
        <x:v>tt18953164</x:v>
      </x:c>
      <x:c r="H148" s="14" t="n">
        <x:v>2022</x:v>
      </x:c>
      <x:c r="I148" s="14" t="n">
        <x:v>2023</x:v>
      </x:c>
      <x:c r="J148" s="14" t="str">
        <x:v>Future Carry-Forward Cohort</x:v>
      </x:c>
      <x:c r="K148" s="14" t="n">
        <x:v>2022</x:v>
      </x:c>
      <x:c r="L148" s="14" t="str">
        <x:v>Not inherited</x:v>
      </x:c>
      <x:c r="M148" s="15" t="n">
        <x:v>22</x:v>
      </x:c>
      <x:c r="N148" s="14" t="str">
        <x:v>Ed Jones</x:v>
      </x:c>
      <x:c r="O148" s="14" t="str">
        <x:v>nm9195817</x:v>
      </x:c>
      <x:c r="P148" s="14" t="str">
        <x:v>Benji</x:v>
      </x:c>
      <x:c r="Q148" s="15" t="n">
        <x:v>1</x:v>
      </x:c>
      <x:c r="R148" s="14" t="str">
        <x:v>2024</x:v>
      </x:c>
      <x:c r="S148" s="14" t="n">
        <x:v>2024</x:v>
      </x:c>
      <x:c r="T148" s="14" t="n">
        <x:v>2024</x:v>
      </x:c>
      <x:c r="U148" s="14" t="str">
        <x:v>Explicit source first year retained</x:v>
      </x:c>
      <x:c r="V148" s="14" t="str">
        <x:v>Earliest supplied year is 2024.</x:v>
      </x:c>
      <x:c r="W148" s="14"/>
      <x:c r="X148" s="14" t="str">
        <x:v>Carried forward to 2024</x:v>
      </x:c>
      <x:c r="Y148" s="14"/>
      <x:c r="Z148" s="14" t="str">
        <x:v>Avoidance.docx</x:v>
      </x:c>
      <x:c r="AA14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BBC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HYPERLINK("https://en.wikipedia.org/wiki/Avoidance","Open source")</x:f>
        <x:v>HYPERLINK is not implemented. linkLocation=https://en.wikipedia.org/wiki/Avoidance, friendlyName=Open source</x:v>
      </x:c>
      <x:c r="AN148" s="14" t="str">
        <x:v>BBC public-service commission</x:v>
      </x:c>
      <x:c r="AO148" s="14" t="str">
        <x:v>Yes</x:v>
      </x:c>
      <x:c r="AP148" s="14" t="str">
        <x:v>Direct BBC public-service scope</x:v>
      </x:c>
      <x:c r="AQ148" s="14" t="str">
        <x:v>Yes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12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0.08333333333333333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tt18953164|nm0090236|professor dorian gillespie</x:v>
      </x:c>
      <x:c r="B149" s="14" t="str">
        <x:v>01</x:v>
      </x:c>
      <x:c r="C149" s="14" t="str">
        <x:v>2022_IMDb_Cast_Lists_Batch_01(1).xlsx</x:v>
      </x:c>
      <x:c r="D149" s="14" t="str">
        <x:v>Avoidance</x:v>
      </x:c>
      <x:c r="E149" s="14" t="n">
        <x:v>30</x:v>
      </x:c>
      <x:c r="F149" s="14" t="str">
        <x:v>Avoidance</x:v>
      </x:c>
      <x:c r="G149" s="14" t="str">
        <x:v>tt18953164</x:v>
      </x:c>
      <x:c r="H149" s="14" t="n">
        <x:v>2022</x:v>
      </x:c>
      <x:c r="I149" s="14" t="n">
        <x:v>2023</x:v>
      </x:c>
      <x:c r="J149" s="14" t="str">
        <x:v>Future Carry-Forward Cohort</x:v>
      </x:c>
      <x:c r="K149" s="14" t="n">
        <x:v>2022</x:v>
      </x:c>
      <x:c r="L149" s="14" t="str">
        <x:v>Not inherited</x:v>
      </x:c>
      <x:c r="M149" s="15" t="n">
        <x:v>23</x:v>
      </x:c>
      <x:c r="N149" s="14" t="str">
        <x:v>Jacqueline Boatswain</x:v>
      </x:c>
      <x:c r="O149" s="14" t="str">
        <x:v>nm0090236</x:v>
      </x:c>
      <x:c r="P149" s="14" t="str">
        <x:v>Professor Dorian Gillespie</x:v>
      </x:c>
      <x:c r="Q149" s="15" t="n">
        <x:v>1</x:v>
      </x:c>
      <x:c r="R149" s="14" t="str">
        <x:v>2024</x:v>
      </x:c>
      <x:c r="S149" s="14" t="n">
        <x:v>2024</x:v>
      </x:c>
      <x:c r="T149" s="14" t="n">
        <x:v>2024</x:v>
      </x:c>
      <x:c r="U149" s="14" t="str">
        <x:v>Explicit source first year retained</x:v>
      </x:c>
      <x:c r="V149" s="14" t="str">
        <x:v>Earliest supplied year is 2024.</x:v>
      </x:c>
      <x:c r="W149" s="14"/>
      <x:c r="X149" s="14" t="str">
        <x:v>Carried forward to 2024</x:v>
      </x:c>
      <x:c r="Y149" s="14"/>
      <x:c r="Z149" s="14" t="str">
        <x:v>Avoidance.docx</x:v>
      </x:c>
      <x:c r="AA14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BBC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HYPERLINK("https://en.wikipedia.org/wiki/Avoidance","Open source")</x:f>
        <x:v>HYPERLINK is not implemented. linkLocation=https://en.wikipedia.org/wiki/Avoidance, friendlyName=Open source</x:v>
      </x:c>
      <x:c r="AN149" s="14" t="str">
        <x:v>BBC public-service commission</x:v>
      </x:c>
      <x:c r="AO149" s="14" t="str">
        <x:v>Yes</x:v>
      </x:c>
      <x:c r="AP149" s="14" t="str">
        <x:v>Direct BBC public-service scope</x:v>
      </x:c>
      <x:c r="AQ149" s="14" t="str">
        <x:v>Yes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12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0.08333333333333333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tt18953164|nm3162211|doctor</x:v>
      </x:c>
      <x:c r="B150" s="14" t="str">
        <x:v>01</x:v>
      </x:c>
      <x:c r="C150" s="14" t="str">
        <x:v>2022_IMDb_Cast_Lists_Batch_01(1).xlsx</x:v>
      </x:c>
      <x:c r="D150" s="14" t="str">
        <x:v>Avoidance</x:v>
      </x:c>
      <x:c r="E150" s="14" t="n">
        <x:v>38</x:v>
      </x:c>
      <x:c r="F150" s="14" t="str">
        <x:v>Avoidance</x:v>
      </x:c>
      <x:c r="G150" s="14" t="str">
        <x:v>tt18953164</x:v>
      </x:c>
      <x:c r="H150" s="14" t="n">
        <x:v>2022</x:v>
      </x:c>
      <x:c r="I150" s="14" t="n">
        <x:v>2023</x:v>
      </x:c>
      <x:c r="J150" s="14" t="str">
        <x:v>Future Carry-Forward Cohort</x:v>
      </x:c>
      <x:c r="K150" s="14" t="n">
        <x:v>2022</x:v>
      </x:c>
      <x:c r="L150" s="14" t="str">
        <x:v>Not inherited</x:v>
      </x:c>
      <x:c r="M150" s="15" t="n">
        <x:v>31</x:v>
      </x:c>
      <x:c r="N150" s="14" t="str">
        <x:v>Michael Spicer</x:v>
      </x:c>
      <x:c r="O150" s="14" t="str">
        <x:v>nm3162211</x:v>
      </x:c>
      <x:c r="P150" s="14" t="str">
        <x:v>Doctor</x:v>
      </x:c>
      <x:c r="Q150" s="15" t="n">
        <x:v>1</x:v>
      </x:c>
      <x:c r="R150" s="14" t="str">
        <x:v>2024</x:v>
      </x:c>
      <x:c r="S150" s="14" t="n">
        <x:v>2024</x:v>
      </x:c>
      <x:c r="T150" s="14" t="n">
        <x:v>2024</x:v>
      </x:c>
      <x:c r="U150" s="14" t="str">
        <x:v>Explicit source first year retained</x:v>
      </x:c>
      <x:c r="V150" s="14" t="str">
        <x:v>Earliest supplied year is 2024.</x:v>
      </x:c>
      <x:c r="W150" s="14"/>
      <x:c r="X150" s="14" t="str">
        <x:v>Carried forward to 2024</x:v>
      </x:c>
      <x:c r="Y150" s="14"/>
      <x:c r="Z150" s="14" t="str">
        <x:v>Avoidance.docx</x:v>
      </x:c>
      <x:c r="AA15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BBC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HYPERLINK("https://en.wikipedia.org/wiki/Avoidance","Open source")</x:f>
        <x:v>HYPERLINK is not implemented. linkLocation=https://en.wikipedia.org/wiki/Avoidance, friendlyName=Open source</x:v>
      </x:c>
      <x:c r="AN150" s="14" t="str">
        <x:v>BBC public-service commission</x:v>
      </x:c>
      <x:c r="AO150" s="14" t="str">
        <x:v>Yes</x:v>
      </x:c>
      <x:c r="AP150" s="14" t="str">
        <x:v>Direct BBC public-service scope</x:v>
      </x:c>
      <x:c r="AQ150" s="14" t="str">
        <x:v>Yes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12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0.08333333333333333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tt18953164|nm10773643|james</x:v>
      </x:c>
      <x:c r="B151" s="14" t="str">
        <x:v>01</x:v>
      </x:c>
      <x:c r="C151" s="14" t="str">
        <x:v>2022_IMDb_Cast_Lists_Batch_01(1).xlsx</x:v>
      </x:c>
      <x:c r="D151" s="14" t="str">
        <x:v>Avoidance</x:v>
      </x:c>
      <x:c r="E151" s="14" t="n">
        <x:v>40</x:v>
      </x:c>
      <x:c r="F151" s="14" t="str">
        <x:v>Avoidance</x:v>
      </x:c>
      <x:c r="G151" s="14" t="str">
        <x:v>tt18953164</x:v>
      </x:c>
      <x:c r="H151" s="14" t="n">
        <x:v>2022</x:v>
      </x:c>
      <x:c r="I151" s="14" t="n">
        <x:v>2023</x:v>
      </x:c>
      <x:c r="J151" s="14" t="str">
        <x:v>Future Carry-Forward Cohort</x:v>
      </x:c>
      <x:c r="K151" s="14" t="n">
        <x:v>2022</x:v>
      </x:c>
      <x:c r="L151" s="14" t="str">
        <x:v>Not inherited</x:v>
      </x:c>
      <x:c r="M151" s="15" t="n">
        <x:v>33</x:v>
      </x:c>
      <x:c r="N151" s="14" t="str">
        <x:v>Huge Davies</x:v>
      </x:c>
      <x:c r="O151" s="14" t="str">
        <x:v>nm10773643</x:v>
      </x:c>
      <x:c r="P151" s="14" t="str">
        <x:v>James</x:v>
      </x:c>
      <x:c r="Q151" s="15" t="n">
        <x:v>1</x:v>
      </x:c>
      <x:c r="R151" s="14" t="str">
        <x:v>2024</x:v>
      </x:c>
      <x:c r="S151" s="14" t="n">
        <x:v>2024</x:v>
      </x:c>
      <x:c r="T151" s="14" t="n">
        <x:v>2024</x:v>
      </x:c>
      <x:c r="U151" s="14" t="str">
        <x:v>Explicit source first year retained</x:v>
      </x:c>
      <x:c r="V151" s="14" t="str">
        <x:v>Earliest supplied year is 2024.</x:v>
      </x:c>
      <x:c r="W151" s="14"/>
      <x:c r="X151" s="14" t="str">
        <x:v>Carried forward to 2024</x:v>
      </x:c>
      <x:c r="Y151" s="14"/>
      <x:c r="Z151" s="14" t="str">
        <x:v>Avoidance.docx</x:v>
      </x:c>
      <x:c r="AA15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BBC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HYPERLINK("https://en.wikipedia.org/wiki/Avoidance","Open source")</x:f>
        <x:v>HYPERLINK is not implemented. linkLocation=https://en.wikipedia.org/wiki/Avoidance, friendlyName=Open source</x:v>
      </x:c>
      <x:c r="AN151" s="14" t="str">
        <x:v>BBC public-service commission</x:v>
      </x:c>
      <x:c r="AO151" s="14" t="str">
        <x:v>Yes</x:v>
      </x:c>
      <x:c r="AP151" s="14" t="str">
        <x:v>Direct BBC public-service scope</x:v>
      </x:c>
      <x:c r="AQ151" s="14" t="str">
        <x:v>Yes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12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0.08333333333333333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tt18953164|nm2710764|will</x:v>
      </x:c>
      <x:c r="B152" s="14" t="str">
        <x:v>01</x:v>
      </x:c>
      <x:c r="C152" s="14" t="str">
        <x:v>2022_IMDb_Cast_Lists_Batch_01(1).xlsx</x:v>
      </x:c>
      <x:c r="D152" s="14" t="str">
        <x:v>Avoidance</x:v>
      </x:c>
      <x:c r="E152" s="14" t="n">
        <x:v>44</x:v>
      </x:c>
      <x:c r="F152" s="14" t="str">
        <x:v>Avoidance</x:v>
      </x:c>
      <x:c r="G152" s="14" t="str">
        <x:v>tt18953164</x:v>
      </x:c>
      <x:c r="H152" s="14" t="n">
        <x:v>2022</x:v>
      </x:c>
      <x:c r="I152" s="14" t="n">
        <x:v>2023</x:v>
      </x:c>
      <x:c r="J152" s="14" t="str">
        <x:v>Future Carry-Forward Cohort</x:v>
      </x:c>
      <x:c r="K152" s="14" t="n">
        <x:v>2022</x:v>
      </x:c>
      <x:c r="L152" s="14" t="str">
        <x:v>Not inherited</x:v>
      </x:c>
      <x:c r="M152" s="15" t="n">
        <x:v>37</x:v>
      </x:c>
      <x:c r="N152" s="14" t="str">
        <x:v>Colin Hoult</x:v>
      </x:c>
      <x:c r="O152" s="14" t="str">
        <x:v>nm2710764</x:v>
      </x:c>
      <x:c r="P152" s="14" t="str">
        <x:v>Will</x:v>
      </x:c>
      <x:c r="Q152" s="15" t="n">
        <x:v>1</x:v>
      </x:c>
      <x:c r="R152" s="14" t="str">
        <x:v>2024</x:v>
      </x:c>
      <x:c r="S152" s="14" t="n">
        <x:v>2024</x:v>
      </x:c>
      <x:c r="T152" s="14" t="n">
        <x:v>2024</x:v>
      </x:c>
      <x:c r="U152" s="14" t="str">
        <x:v>Explicit source first year retained</x:v>
      </x:c>
      <x:c r="V152" s="14" t="str">
        <x:v>Earliest supplied year is 2024.</x:v>
      </x:c>
      <x:c r="W152" s="14"/>
      <x:c r="X152" s="14" t="str">
        <x:v>Carried forward to 2024</x:v>
      </x:c>
      <x:c r="Y152" s="14"/>
      <x:c r="Z152" s="14" t="str">
        <x:v>Avoidance.docx</x:v>
      </x:c>
      <x:c r="AA15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BBC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HYPERLINK("https://en.wikipedia.org/wiki/Avoidance","Open source")</x:f>
        <x:v>HYPERLINK is not implemented. linkLocation=https://en.wikipedia.org/wiki/Avoidance, friendlyName=Open source</x:v>
      </x:c>
      <x:c r="AN152" s="14" t="str">
        <x:v>BBC public-service commission</x:v>
      </x:c>
      <x:c r="AO152" s="14" t="str">
        <x:v>Yes</x:v>
      </x:c>
      <x:c r="AP152" s="14" t="str">
        <x:v>Direct BBC public-service scope</x:v>
      </x:c>
      <x:c r="AQ152" s="14" t="str">
        <x:v>Yes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12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0.08333333333333333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tt18953164|nm0081814|arthur</x:v>
      </x:c>
      <x:c r="B153" s="14" t="str">
        <x:v>01</x:v>
      </x:c>
      <x:c r="C153" s="14" t="str">
        <x:v>2022_IMDb_Cast_Lists_Batch_01(1).xlsx</x:v>
      </x:c>
      <x:c r="D153" s="14" t="str">
        <x:v>Avoidance</x:v>
      </x:c>
      <x:c r="E153" s="14" t="n">
        <x:v>45</x:v>
      </x:c>
      <x:c r="F153" s="14" t="str">
        <x:v>Avoidance</x:v>
      </x:c>
      <x:c r="G153" s="14" t="str">
        <x:v>tt18953164</x:v>
      </x:c>
      <x:c r="H153" s="14" t="n">
        <x:v>2022</x:v>
      </x:c>
      <x:c r="I153" s="14" t="n">
        <x:v>2023</x:v>
      </x:c>
      <x:c r="J153" s="14" t="str">
        <x:v>Future Carry-Forward Cohort</x:v>
      </x:c>
      <x:c r="K153" s="14" t="n">
        <x:v>2022</x:v>
      </x:c>
      <x:c r="L153" s="14" t="str">
        <x:v>Not inherited</x:v>
      </x:c>
      <x:c r="M153" s="15" t="n">
        <x:v>38</x:v>
      </x:c>
      <x:c r="N153" s="14" t="str">
        <x:v>John Biggins</x:v>
      </x:c>
      <x:c r="O153" s="14" t="str">
        <x:v>nm0081814</x:v>
      </x:c>
      <x:c r="P153" s="14" t="str">
        <x:v>Arthur</x:v>
      </x:c>
      <x:c r="Q153" s="15" t="n">
        <x:v>1</x:v>
      </x:c>
      <x:c r="R153" s="14" t="str">
        <x:v>2024</x:v>
      </x:c>
      <x:c r="S153" s="14" t="n">
        <x:v>2024</x:v>
      </x:c>
      <x:c r="T153" s="14" t="n">
        <x:v>2024</x:v>
      </x:c>
      <x:c r="U153" s="14" t="str">
        <x:v>Explicit source first year retained</x:v>
      </x:c>
      <x:c r="V153" s="14" t="str">
        <x:v>Earliest supplied year is 2024.</x:v>
      </x:c>
      <x:c r="W153" s="14"/>
      <x:c r="X153" s="14" t="str">
        <x:v>Carried forward to 2024</x:v>
      </x:c>
      <x:c r="Y153" s="14"/>
      <x:c r="Z153" s="14" t="str">
        <x:v>Avoidance.docx</x:v>
      </x:c>
      <x:c r="AA15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BBC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HYPERLINK("https://en.wikipedia.org/wiki/Avoidance","Open source")</x:f>
        <x:v>HYPERLINK is not implemented. linkLocation=https://en.wikipedia.org/wiki/Avoidance, friendlyName=Open source</x:v>
      </x:c>
      <x:c r="AN153" s="14" t="str">
        <x:v>BBC public-service commission</x:v>
      </x:c>
      <x:c r="AO153" s="14" t="str">
        <x:v>Yes</x:v>
      </x:c>
      <x:c r="AP153" s="14" t="str">
        <x:v>Direct BBC public-service scope</x:v>
      </x:c>
      <x:c r="AQ153" s="14" t="str">
        <x:v>Yes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12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0.08333333333333333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tt18953164|nm15570225|kunal</x:v>
      </x:c>
      <x:c r="B154" s="14" t="str">
        <x:v>01</x:v>
      </x:c>
      <x:c r="C154" s="14" t="str">
        <x:v>2022_IMDb_Cast_Lists_Batch_01(1).xlsx</x:v>
      </x:c>
      <x:c r="D154" s="14" t="str">
        <x:v>Avoidance</x:v>
      </x:c>
      <x:c r="E154" s="14" t="n">
        <x:v>46</x:v>
      </x:c>
      <x:c r="F154" s="14" t="str">
        <x:v>Avoidance</x:v>
      </x:c>
      <x:c r="G154" s="14" t="str">
        <x:v>tt18953164</x:v>
      </x:c>
      <x:c r="H154" s="14" t="n">
        <x:v>2022</x:v>
      </x:c>
      <x:c r="I154" s="14" t="n">
        <x:v>2023</x:v>
      </x:c>
      <x:c r="J154" s="14" t="str">
        <x:v>Future Carry-Forward Cohort</x:v>
      </x:c>
      <x:c r="K154" s="14" t="n">
        <x:v>2022</x:v>
      </x:c>
      <x:c r="L154" s="14" t="str">
        <x:v>Not inherited</x:v>
      </x:c>
      <x:c r="M154" s="15" t="n">
        <x:v>39</x:v>
      </x:c>
      <x:c r="N154" s="14" t="str">
        <x:v>Alex Ranganathan</x:v>
      </x:c>
      <x:c r="O154" s="14" t="str">
        <x:v>nm15570225</x:v>
      </x:c>
      <x:c r="P154" s="14" t="str">
        <x:v>Kunal</x:v>
      </x:c>
      <x:c r="Q154" s="15" t="n">
        <x:v>1</x:v>
      </x:c>
      <x:c r="R154" s="14" t="str">
        <x:v>2024</x:v>
      </x:c>
      <x:c r="S154" s="14" t="n">
        <x:v>2024</x:v>
      </x:c>
      <x:c r="T154" s="14" t="n">
        <x:v>2024</x:v>
      </x:c>
      <x:c r="U154" s="14" t="str">
        <x:v>Explicit source first year retained</x:v>
      </x:c>
      <x:c r="V154" s="14" t="str">
        <x:v>Earliest supplied year is 2024.</x:v>
      </x:c>
      <x:c r="W154" s="14"/>
      <x:c r="X154" s="14" t="str">
        <x:v>Carried forward to 2024</x:v>
      </x:c>
      <x:c r="Y154" s="14"/>
      <x:c r="Z154" s="14" t="str">
        <x:v>Avoidance.docx</x:v>
      </x:c>
      <x:c r="AA15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BBC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HYPERLINK("https://en.wikipedia.org/wiki/Avoidance","Open source")</x:f>
        <x:v>HYPERLINK is not implemented. linkLocation=https://en.wikipedia.org/wiki/Avoidance, friendlyName=Open source</x:v>
      </x:c>
      <x:c r="AN154" s="14" t="str">
        <x:v>BBC public-service commission</x:v>
      </x:c>
      <x:c r="AO154" s="14" t="str">
        <x:v>Yes</x:v>
      </x:c>
      <x:c r="AP154" s="14" t="str">
        <x:v>Direct BBC public-service scope</x:v>
      </x:c>
      <x:c r="AQ154" s="14" t="str">
        <x:v>Yes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12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0.08333333333333333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tt18953164|nm0928262|shirley</x:v>
      </x:c>
      <x:c r="B155" s="14" t="str">
        <x:v>01</x:v>
      </x:c>
      <x:c r="C155" s="14" t="str">
        <x:v>2022_IMDb_Cast_Lists_Batch_01(1).xlsx</x:v>
      </x:c>
      <x:c r="D155" s="14" t="str">
        <x:v>Avoidance</x:v>
      </x:c>
      <x:c r="E155" s="14" t="n">
        <x:v>47</x:v>
      </x:c>
      <x:c r="F155" s="14" t="str">
        <x:v>Avoidance</x:v>
      </x:c>
      <x:c r="G155" s="14" t="str">
        <x:v>tt18953164</x:v>
      </x:c>
      <x:c r="H155" s="14" t="n">
        <x:v>2022</x:v>
      </x:c>
      <x:c r="I155" s="14" t="n">
        <x:v>2023</x:v>
      </x:c>
      <x:c r="J155" s="14" t="str">
        <x:v>Future Carry-Forward Cohort</x:v>
      </x:c>
      <x:c r="K155" s="14" t="n">
        <x:v>2022</x:v>
      </x:c>
      <x:c r="L155" s="14" t="str">
        <x:v>Not inherited</x:v>
      </x:c>
      <x:c r="M155" s="15" t="n">
        <x:v>40</x:v>
      </x:c>
      <x:c r="N155" s="14" t="str">
        <x:v>Paula Wilcox</x:v>
      </x:c>
      <x:c r="O155" s="14" t="str">
        <x:v>nm0928262</x:v>
      </x:c>
      <x:c r="P155" s="14" t="str">
        <x:v>Shirley</x:v>
      </x:c>
      <x:c r="Q155" s="15" t="n">
        <x:v>1</x:v>
      </x:c>
      <x:c r="R155" s="14" t="str">
        <x:v>2024</x:v>
      </x:c>
      <x:c r="S155" s="14" t="n">
        <x:v>2024</x:v>
      </x:c>
      <x:c r="T155" s="14" t="n">
        <x:v>2024</x:v>
      </x:c>
      <x:c r="U155" s="14" t="str">
        <x:v>Explicit source first year retained</x:v>
      </x:c>
      <x:c r="V155" s="14" t="str">
        <x:v>Earliest supplied year is 2024.</x:v>
      </x:c>
      <x:c r="W155" s="14"/>
      <x:c r="X155" s="14" t="str">
        <x:v>Carried forward to 2024</x:v>
      </x:c>
      <x:c r="Y155" s="14"/>
      <x:c r="Z155" s="14" t="str">
        <x:v>Avoidance.docx</x:v>
      </x:c>
      <x:c r="AA15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BBC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HYPERLINK("https://en.wikipedia.org/wiki/Avoidance","Open source")</x:f>
        <x:v>HYPERLINK is not implemented. linkLocation=https://en.wikipedia.org/wiki/Avoidance, friendlyName=Open source</x:v>
      </x:c>
      <x:c r="AN155" s="14" t="str">
        <x:v>BBC public-service commission</x:v>
      </x:c>
      <x:c r="AO155" s="14" t="str">
        <x:v>Yes</x:v>
      </x:c>
      <x:c r="AP155" s="14" t="str">
        <x:v>Direct BBC public-service scope</x:v>
      </x:c>
      <x:c r="AQ155" s="14" t="str">
        <x:v>Yes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12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0.08333333333333333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tt18953164|nm2308646|tina</x:v>
      </x:c>
      <x:c r="B156" s="14" t="str">
        <x:v>01</x:v>
      </x:c>
      <x:c r="C156" s="14" t="str">
        <x:v>2022_IMDb_Cast_Lists_Batch_01(1).xlsx</x:v>
      </x:c>
      <x:c r="D156" s="14" t="str">
        <x:v>Avoidance</x:v>
      </x:c>
      <x:c r="E156" s="14" t="n">
        <x:v>48</x:v>
      </x:c>
      <x:c r="F156" s="14" t="str">
        <x:v>Avoidance</x:v>
      </x:c>
      <x:c r="G156" s="14" t="str">
        <x:v>tt18953164</x:v>
      </x:c>
      <x:c r="H156" s="14" t="n">
        <x:v>2022</x:v>
      </x:c>
      <x:c r="I156" s="14" t="n">
        <x:v>2023</x:v>
      </x:c>
      <x:c r="J156" s="14" t="str">
        <x:v>Future Carry-Forward Cohort</x:v>
      </x:c>
      <x:c r="K156" s="14" t="n">
        <x:v>2022</x:v>
      </x:c>
      <x:c r="L156" s="14" t="str">
        <x:v>Not inherited</x:v>
      </x:c>
      <x:c r="M156" s="15" t="n">
        <x:v>41</x:v>
      </x:c>
      <x:c r="N156" s="14" t="str">
        <x:v>Brona C. Titley</x:v>
      </x:c>
      <x:c r="O156" s="14" t="str">
        <x:v>nm2308646</x:v>
      </x:c>
      <x:c r="P156" s="14" t="str">
        <x:v>Tina</x:v>
      </x:c>
      <x:c r="Q156" s="15" t="n">
        <x:v>1</x:v>
      </x:c>
      <x:c r="R156" s="14" t="str">
        <x:v>2024</x:v>
      </x:c>
      <x:c r="S156" s="14" t="n">
        <x:v>2024</x:v>
      </x:c>
      <x:c r="T156" s="14" t="n">
        <x:v>2024</x:v>
      </x:c>
      <x:c r="U156" s="14" t="str">
        <x:v>Explicit source first year retained</x:v>
      </x:c>
      <x:c r="V156" s="14" t="str">
        <x:v>Earliest supplied year is 2024.</x:v>
      </x:c>
      <x:c r="W156" s="14"/>
      <x:c r="X156" s="14" t="str">
        <x:v>Carried forward to 2024</x:v>
      </x:c>
      <x:c r="Y156" s="14"/>
      <x:c r="Z156" s="14" t="str">
        <x:v>Avoidance.docx</x:v>
      </x:c>
      <x:c r="AA15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BBC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HYPERLINK("https://en.wikipedia.org/wiki/Avoidance","Open source")</x:f>
        <x:v>HYPERLINK is not implemented. linkLocation=https://en.wikipedia.org/wiki/Avoidance, friendlyName=Open source</x:v>
      </x:c>
      <x:c r="AN156" s="14" t="str">
        <x:v>BBC public-service commission</x:v>
      </x:c>
      <x:c r="AO156" s="14" t="str">
        <x:v>Yes</x:v>
      </x:c>
      <x:c r="AP156" s="14" t="str">
        <x:v>Direct BBC public-service scope</x:v>
      </x:c>
      <x:c r="AQ156" s="14" t="str">
        <x:v>Yes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12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0.08333333333333333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tt18953164|nm0413946|peter</x:v>
      </x:c>
      <x:c r="B157" s="14" t="str">
        <x:v>01</x:v>
      </x:c>
      <x:c r="C157" s="14" t="str">
        <x:v>2022_IMDb_Cast_Lists_Batch_01(1).xlsx</x:v>
      </x:c>
      <x:c r="D157" s="14" t="str">
        <x:v>Avoidance</x:v>
      </x:c>
      <x:c r="E157" s="14" t="n">
        <x:v>49</x:v>
      </x:c>
      <x:c r="F157" s="14" t="str">
        <x:v>Avoidance</x:v>
      </x:c>
      <x:c r="G157" s="14" t="str">
        <x:v>tt18953164</x:v>
      </x:c>
      <x:c r="H157" s="14" t="n">
        <x:v>2022</x:v>
      </x:c>
      <x:c r="I157" s="14" t="n">
        <x:v>2023</x:v>
      </x:c>
      <x:c r="J157" s="14" t="str">
        <x:v>Future Carry-Forward Cohort</x:v>
      </x:c>
      <x:c r="K157" s="14" t="n">
        <x:v>2022</x:v>
      </x:c>
      <x:c r="L157" s="14" t="str">
        <x:v>Not inherited</x:v>
      </x:c>
      <x:c r="M157" s="15" t="n">
        <x:v>42</x:v>
      </x:c>
      <x:c r="N157" s="14" t="str">
        <x:v>Philip Jackson</x:v>
      </x:c>
      <x:c r="O157" s="14" t="str">
        <x:v>nm0413946</x:v>
      </x:c>
      <x:c r="P157" s="14" t="str">
        <x:v>Peter</x:v>
      </x:c>
      <x:c r="Q157" s="15" t="n">
        <x:v>1</x:v>
      </x:c>
      <x:c r="R157" s="14" t="str">
        <x:v>2024</x:v>
      </x:c>
      <x:c r="S157" s="14" t="n">
        <x:v>2024</x:v>
      </x:c>
      <x:c r="T157" s="14" t="n">
        <x:v>2024</x:v>
      </x:c>
      <x:c r="U157" s="14" t="str">
        <x:v>Explicit source first year retained</x:v>
      </x:c>
      <x:c r="V157" s="14" t="str">
        <x:v>Earliest supplied year is 2024.</x:v>
      </x:c>
      <x:c r="W157" s="14"/>
      <x:c r="X157" s="14" t="str">
        <x:v>Carried forward to 2024</x:v>
      </x:c>
      <x:c r="Y157" s="14"/>
      <x:c r="Z157" s="14" t="str">
        <x:v>Avoidance.docx</x:v>
      </x:c>
      <x:c r="AA15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BBC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HYPERLINK("https://en.wikipedia.org/wiki/Avoidance","Open source")</x:f>
        <x:v>HYPERLINK is not implemented. linkLocation=https://en.wikipedia.org/wiki/Avoidance, friendlyName=Open source</x:v>
      </x:c>
      <x:c r="AN157" s="14" t="str">
        <x:v>BBC public-service commission</x:v>
      </x:c>
      <x:c r="AO157" s="14" t="str">
        <x:v>Yes</x:v>
      </x:c>
      <x:c r="AP157" s="14" t="str">
        <x:v>Direct BBC public-service scope</x:v>
      </x:c>
      <x:c r="AQ157" s="14" t="str">
        <x:v>Yes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12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0.08333333333333333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tt18953164|nm14700059|oscar</x:v>
      </x:c>
      <x:c r="B158" s="14" t="str">
        <x:v>01</x:v>
      </x:c>
      <x:c r="C158" s="14" t="str">
        <x:v>2022_IMDb_Cast_Lists_Batch_01(1).xlsx</x:v>
      </x:c>
      <x:c r="D158" s="14" t="str">
        <x:v>Avoidance</x:v>
      </x:c>
      <x:c r="E158" s="14" t="n">
        <x:v>50</x:v>
      </x:c>
      <x:c r="F158" s="14" t="str">
        <x:v>Avoidance</x:v>
      </x:c>
      <x:c r="G158" s="14" t="str">
        <x:v>tt18953164</x:v>
      </x:c>
      <x:c r="H158" s="14" t="n">
        <x:v>2022</x:v>
      </x:c>
      <x:c r="I158" s="14" t="n">
        <x:v>2023</x:v>
      </x:c>
      <x:c r="J158" s="14" t="str">
        <x:v>Future Carry-Forward Cohort</x:v>
      </x:c>
      <x:c r="K158" s="14" t="n">
        <x:v>2022</x:v>
      </x:c>
      <x:c r="L158" s="14" t="str">
        <x:v>Not inherited</x:v>
      </x:c>
      <x:c r="M158" s="15" t="n">
        <x:v>43</x:v>
      </x:c>
      <x:c r="N158" s="14" t="str">
        <x:v>Jax James</x:v>
      </x:c>
      <x:c r="O158" s="14" t="str">
        <x:v>nm14700059</x:v>
      </x:c>
      <x:c r="P158" s="14" t="str">
        <x:v>Oscar</x:v>
      </x:c>
      <x:c r="Q158" s="15" t="n">
        <x:v>1</x:v>
      </x:c>
      <x:c r="R158" s="14" t="str">
        <x:v>2024</x:v>
      </x:c>
      <x:c r="S158" s="14" t="n">
        <x:v>2024</x:v>
      </x:c>
      <x:c r="T158" s="14" t="n">
        <x:v>2024</x:v>
      </x:c>
      <x:c r="U158" s="14" t="str">
        <x:v>Explicit source first year retained</x:v>
      </x:c>
      <x:c r="V158" s="14" t="str">
        <x:v>Earliest supplied year is 2024.</x:v>
      </x:c>
      <x:c r="W158" s="14"/>
      <x:c r="X158" s="14" t="str">
        <x:v>Carried forward to 2024</x:v>
      </x:c>
      <x:c r="Y158" s="14" t="str">
        <x:v>(as Jaxson James)</x:v>
      </x:c>
      <x:c r="Z158" s="14" t="str">
        <x:v>Avoidance.docx</x:v>
      </x:c>
      <x:c r="AA15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BBC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HYPERLINK("https://en.wikipedia.org/wiki/Avoidance","Open source")</x:f>
        <x:v>HYPERLINK is not implemented. linkLocation=https://en.wikipedia.org/wiki/Avoidance, friendlyName=Open source</x:v>
      </x:c>
      <x:c r="AN158" s="14" t="str">
        <x:v>BBC public-service commission</x:v>
      </x:c>
      <x:c r="AO158" s="14" t="str">
        <x:v>Yes</x:v>
      </x:c>
      <x:c r="AP158" s="14" t="str">
        <x:v>Direct BBC public-service scope</x:v>
      </x:c>
      <x:c r="AQ158" s="14" t="str">
        <x:v>Yes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12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0.08333333333333333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tt18953164|nm9984808|kev</x:v>
      </x:c>
      <x:c r="B159" s="14" t="str">
        <x:v>01</x:v>
      </x:c>
      <x:c r="C159" s="14" t="str">
        <x:v>2022_IMDb_Cast_Lists_Batch_01(1).xlsx</x:v>
      </x:c>
      <x:c r="D159" s="14" t="str">
        <x:v>Avoidance</x:v>
      </x:c>
      <x:c r="E159" s="14" t="n">
        <x:v>51</x:v>
      </x:c>
      <x:c r="F159" s="14" t="str">
        <x:v>Avoidance</x:v>
      </x:c>
      <x:c r="G159" s="14" t="str">
        <x:v>tt18953164</x:v>
      </x:c>
      <x:c r="H159" s="14" t="n">
        <x:v>2022</x:v>
      </x:c>
      <x:c r="I159" s="14" t="n">
        <x:v>2023</x:v>
      </x:c>
      <x:c r="J159" s="14" t="str">
        <x:v>Future Carry-Forward Cohort</x:v>
      </x:c>
      <x:c r="K159" s="14" t="n">
        <x:v>2022</x:v>
      </x:c>
      <x:c r="L159" s="14" t="str">
        <x:v>Not inherited</x:v>
      </x:c>
      <x:c r="M159" s="15" t="n">
        <x:v>44</x:v>
      </x:c>
      <x:c r="N159" s="14" t="str">
        <x:v>Chris Cantrill</x:v>
      </x:c>
      <x:c r="O159" s="14" t="str">
        <x:v>nm9984808</x:v>
      </x:c>
      <x:c r="P159" s="14" t="str">
        <x:v>Kev</x:v>
      </x:c>
      <x:c r="Q159" s="15" t="n">
        <x:v>1</x:v>
      </x:c>
      <x:c r="R159" s="14" t="str">
        <x:v>2024</x:v>
      </x:c>
      <x:c r="S159" s="14" t="n">
        <x:v>2024</x:v>
      </x:c>
      <x:c r="T159" s="14" t="n">
        <x:v>2024</x:v>
      </x:c>
      <x:c r="U159" s="14" t="str">
        <x:v>Explicit source first year retained</x:v>
      </x:c>
      <x:c r="V159" s="14" t="str">
        <x:v>Earliest supplied year is 2024.</x:v>
      </x:c>
      <x:c r="W159" s="14"/>
      <x:c r="X159" s="14" t="str">
        <x:v>Carried forward to 2024</x:v>
      </x:c>
      <x:c r="Y159" s="14" t="str">
        <x:v>(as Christopher Cantrill)</x:v>
      </x:c>
      <x:c r="Z159" s="14" t="str">
        <x:v>Avoidance.docx</x:v>
      </x:c>
      <x:c r="AA15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BBC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HYPERLINK("https://en.wikipedia.org/wiki/Avoidance","Open source")</x:f>
        <x:v>HYPERLINK is not implemented. linkLocation=https://en.wikipedia.org/wiki/Avoidance, friendlyName=Open source</x:v>
      </x:c>
      <x:c r="AN159" s="14" t="str">
        <x:v>BBC public-service commission</x:v>
      </x:c>
      <x:c r="AO159" s="14" t="str">
        <x:v>Yes</x:v>
      </x:c>
      <x:c r="AP159" s="14" t="str">
        <x:v>Direct BBC public-service scope</x:v>
      </x:c>
      <x:c r="AQ159" s="14" t="str">
        <x:v>Yes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12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1</x:v>
      </x:c>
      <x:c r="BS159" s="16" t="n">
        <x:v>0.08333333333333333</x:v>
      </x:c>
      <x:c r="BT159" s="14" t="str">
        <x:v>One episode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tt18953164|nm15867461|shirley’s friend</x:v>
      </x:c>
      <x:c r="B160" s="14" t="str">
        <x:v>01</x:v>
      </x:c>
      <x:c r="C160" s="14" t="str">
        <x:v>2022_IMDb_Cast_Lists_Batch_01(1).xlsx</x:v>
      </x:c>
      <x:c r="D160" s="14" t="str">
        <x:v>Avoidance</x:v>
      </x:c>
      <x:c r="E160" s="14" t="n">
        <x:v>53</x:v>
      </x:c>
      <x:c r="F160" s="14" t="str">
        <x:v>Avoidance</x:v>
      </x:c>
      <x:c r="G160" s="14" t="str">
        <x:v>tt18953164</x:v>
      </x:c>
      <x:c r="H160" s="14" t="n">
        <x:v>2022</x:v>
      </x:c>
      <x:c r="I160" s="14" t="n">
        <x:v>2023</x:v>
      </x:c>
      <x:c r="J160" s="14" t="str">
        <x:v>Future Carry-Forward Cohort</x:v>
      </x:c>
      <x:c r="K160" s="14" t="n">
        <x:v>2022</x:v>
      </x:c>
      <x:c r="L160" s="14" t="str">
        <x:v>Not inherited</x:v>
      </x:c>
      <x:c r="M160" s="15" t="n">
        <x:v>46</x:v>
      </x:c>
      <x:c r="N160" s="14" t="str">
        <x:v>Joanne Gray</x:v>
      </x:c>
      <x:c r="O160" s="14" t="str">
        <x:v>nm15867461</x:v>
      </x:c>
      <x:c r="P160" s="14" t="str">
        <x:v>Shirley’s Friend</x:v>
      </x:c>
      <x:c r="Q160" s="15" t="n">
        <x:v>1</x:v>
      </x:c>
      <x:c r="R160" s="14" t="str">
        <x:v>2024</x:v>
      </x:c>
      <x:c r="S160" s="14" t="n">
        <x:v>2024</x:v>
      </x:c>
      <x:c r="T160" s="14" t="n">
        <x:v>2024</x:v>
      </x:c>
      <x:c r="U160" s="14" t="str">
        <x:v>Explicit source first year retained</x:v>
      </x:c>
      <x:c r="V160" s="14" t="str">
        <x:v>Earliest supplied year is 2024.</x:v>
      </x:c>
      <x:c r="W160" s="14"/>
      <x:c r="X160" s="14" t="str">
        <x:v>Carried forward to 2024</x:v>
      </x:c>
      <x:c r="Y160" s="14"/>
      <x:c r="Z160" s="14" t="str">
        <x:v>Avoidance.docx</x:v>
      </x:c>
      <x:c r="AA16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BBC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HYPERLINK("https://en.wikipedia.org/wiki/Avoidance","Open source")</x:f>
        <x:v>HYPERLINK is not implemented. linkLocation=https://en.wikipedia.org/wiki/Avoidance, friendlyName=Open source</x:v>
      </x:c>
      <x:c r="AN160" s="14" t="str">
        <x:v>BBC public-service commission</x:v>
      </x:c>
      <x:c r="AO160" s="14" t="str">
        <x:v>Yes</x:v>
      </x:c>
      <x:c r="AP160" s="14" t="str">
        <x:v>Direct BBC public-service scope</x:v>
      </x:c>
      <x:c r="AQ160" s="14" t="str">
        <x:v>Yes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12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1</x:v>
      </x:c>
      <x:c r="BS160" s="16" t="n">
        <x:v>0.08333333333333333</x:v>
      </x:c>
      <x:c r="BT160" s="14" t="str">
        <x:v>One episode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tt17501750|nm10695291|tiwa</x:v>
      </x:c>
      <x:c r="B161" s="14" t="str">
        <x:v>01</x:v>
      </x:c>
      <x:c r="C161" s="14" t="str">
        <x:v>2022_IMDb_Cast_Lists_Batch_01(1).xlsx</x:v>
      </x:c>
      <x:c r="D161" s="14" t="str">
        <x:v>Cheaters</x:v>
      </x:c>
      <x:c r="E161" s="14" t="n">
        <x:v>16</x:v>
      </x:c>
      <x:c r="F161" s="14" t="str">
        <x:v>Cheaters</x:v>
      </x:c>
      <x:c r="G161" s="14" t="str">
        <x:v>tt17501750</x:v>
      </x:c>
      <x:c r="H161" s="14" t="n">
        <x:v>2022</x:v>
      </x:c>
      <x:c r="I161" s="14" t="n">
        <x:v>2023</x:v>
      </x:c>
      <x:c r="J161" s="14" t="str">
        <x:v>Future Carry-Forward Cohort</x:v>
      </x:c>
      <x:c r="K161" s="14" t="n">
        <x:v>2022</x:v>
      </x:c>
      <x:c r="L161" s="14" t="str">
        <x:v>Not inherited</x:v>
      </x:c>
      <x:c r="M161" s="15" t="n">
        <x:v>9</x:v>
      </x:c>
      <x:c r="N161" s="14" t="str">
        <x:v>Olumide Olorunfemi</x:v>
      </x:c>
      <x:c r="O161" s="14" t="str">
        <x:v>nm10695291</x:v>
      </x:c>
      <x:c r="P161" s="14" t="str">
        <x:v>Tiwa</x:v>
      </x:c>
      <x:c r="Q161" s="15" t="n">
        <x:v>7</x:v>
      </x:c>
      <x:c r="R161" s="14" t="str">
        <x:v>2024</x:v>
      </x:c>
      <x:c r="S161" s="14" t="n">
        <x:v>2024</x:v>
      </x:c>
      <x:c r="T161" s="14" t="n">
        <x:v>2024</x:v>
      </x:c>
      <x:c r="U161" s="14" t="str">
        <x:v>Explicit source first year retained</x:v>
      </x:c>
      <x:c r="V161" s="14" t="str">
        <x:v>Earliest supplied year is 2024.</x:v>
      </x:c>
      <x:c r="W161" s="14"/>
      <x:c r="X161" s="14" t="str">
        <x:v>Carried forward to 2024</x:v>
      </x:c>
      <x:c r="Y161" s="14"/>
      <x:c r="Z161" s="14" t="str">
        <x:v>Cheaters.docx</x:v>
      </x:c>
      <x:c r="AA16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BBC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1" s="14" t="str">
        <x:v>BBC public-service commission</x:v>
      </x:c>
      <x:c r="AO161" s="14" t="str">
        <x:v>Yes</x:v>
      </x:c>
      <x:c r="AP161" s="14" t="str">
        <x:v>Direct BBC public-service scope</x:v>
      </x:c>
      <x:c r="AQ161" s="14" t="str">
        <x:v>Yes</x:v>
      </x:c>
      <x:c r="AR161" s="14" t="str">
        <x:v>Resolved from master register</x:v>
      </x:c>
      <x:c r="AS161" s="14" t="str">
        <x:v>No established-register match</x:v>
      </x:c>
      <x:c r="AT161" s="14"/>
      <x:c r="AU161" s="14"/>
      <x:c r="AV161" s="14" t="str">
        <x:v>No established apparent-disability match</x:v>
      </x:c>
      <x:c r="AW161" s="14"/>
      <x:c r="AX161" s="14" t="str">
        <x:v>No</x:v>
      </x:c>
      <x:c r="AY161" s="14" t="str">
        <x:v>Unmatched</x:v>
      </x:c>
      <x:c r="AZ161" s="14" t="str">
        <x:v>Final supplied register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26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7</x:v>
      </x:c>
      <x:c r="BS161" s="16" t="n">
        <x:v>0.2692307692307692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tt17501750|nm1376500|lars</x:v>
      </x:c>
      <x:c r="B162" s="14" t="str">
        <x:v>01</x:v>
      </x:c>
      <x:c r="C162" s="14" t="str">
        <x:v>2022_IMDb_Cast_Lists_Batch_01(1).xlsx</x:v>
      </x:c>
      <x:c r="D162" s="14" t="str">
        <x:v>Cheaters</x:v>
      </x:c>
      <x:c r="E162" s="14" t="n">
        <x:v>17</x:v>
      </x:c>
      <x:c r="F162" s="14" t="str">
        <x:v>Cheaters</x:v>
      </x:c>
      <x:c r="G162" s="14" t="str">
        <x:v>tt17501750</x:v>
      </x:c>
      <x:c r="H162" s="14" t="n">
        <x:v>2022</x:v>
      </x:c>
      <x:c r="I162" s="14" t="n">
        <x:v>2023</x:v>
      </x:c>
      <x:c r="J162" s="14" t="str">
        <x:v>Future Carry-Forward Cohort</x:v>
      </x:c>
      <x:c r="K162" s="14" t="n">
        <x:v>2022</x:v>
      </x:c>
      <x:c r="L162" s="14" t="str">
        <x:v>Not inherited</x:v>
      </x:c>
      <x:c r="M162" s="15" t="n">
        <x:v>10</x:v>
      </x:c>
      <x:c r="N162" s="14" t="str">
        <x:v>Ceallach Spellman</x:v>
      </x:c>
      <x:c r="O162" s="14" t="str">
        <x:v>nm1376500</x:v>
      </x:c>
      <x:c r="P162" s="14" t="str">
        <x:v>Lars</x:v>
      </x:c>
      <x:c r="Q162" s="15" t="n">
        <x:v>6</x:v>
      </x:c>
      <x:c r="R162" s="14" t="str">
        <x:v>2024</x:v>
      </x:c>
      <x:c r="S162" s="14" t="n">
        <x:v>2024</x:v>
      </x:c>
      <x:c r="T162" s="14" t="n">
        <x:v>2024</x:v>
      </x:c>
      <x:c r="U162" s="14" t="str">
        <x:v>Explicit source first year retained</x:v>
      </x:c>
      <x:c r="V162" s="14" t="str">
        <x:v>Earliest supplied year is 2024.</x:v>
      </x:c>
      <x:c r="W162" s="14"/>
      <x:c r="X162" s="14" t="str">
        <x:v>Carried forward to 2024</x:v>
      </x:c>
      <x:c r="Y162" s="14"/>
      <x:c r="Z162" s="14" t="str">
        <x:v>Cheaters.docx</x:v>
      </x:c>
      <x:c r="AA16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BBC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2" s="14" t="str">
        <x:v>BBC public-service commission</x:v>
      </x:c>
      <x:c r="AO162" s="14" t="str">
        <x:v>Yes</x:v>
      </x:c>
      <x:c r="AP162" s="14" t="str">
        <x:v>Direct BBC public-service scope</x:v>
      </x:c>
      <x:c r="AQ162" s="14" t="str">
        <x:v>Yes</x:v>
      </x:c>
      <x:c r="AR162" s="14" t="str">
        <x:v>Resolved from master register</x:v>
      </x:c>
      <x:c r="AS162" s="14" t="str">
        <x:v>No established-register match</x:v>
      </x:c>
      <x:c r="AT162" s="14"/>
      <x:c r="AU162" s="14"/>
      <x:c r="AV162" s="14" t="str">
        <x:v>No established apparent-disability match</x:v>
      </x:c>
      <x:c r="AW162" s="14"/>
      <x:c r="AX162" s="14" t="str">
        <x:v>No</x:v>
      </x:c>
      <x:c r="AY162" s="14" t="str">
        <x:v>Unmatched</x:v>
      </x:c>
      <x:c r="AZ162" s="14" t="str">
        <x:v>Final supplied register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26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6</x:v>
      </x:c>
      <x:c r="BS162" s="16" t="n">
        <x:v>0.23076923076923078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tt17501750|nm2547690|monica</x:v>
      </x:c>
      <x:c r="B163" s="14" t="str">
        <x:v>01</x:v>
      </x:c>
      <x:c r="C163" s="14" t="str">
        <x:v>2022_IMDb_Cast_Lists_Batch_01(1).xlsx</x:v>
      </x:c>
      <x:c r="D163" s="14" t="str">
        <x:v>Cheaters</x:v>
      </x:c>
      <x:c r="E163" s="14" t="n">
        <x:v>19</x:v>
      </x:c>
      <x:c r="F163" s="14" t="str">
        <x:v>Cheaters</x:v>
      </x:c>
      <x:c r="G163" s="14" t="str">
        <x:v>tt17501750</x:v>
      </x:c>
      <x:c r="H163" s="14" t="n">
        <x:v>2022</x:v>
      </x:c>
      <x:c r="I163" s="14" t="n">
        <x:v>2023</x:v>
      </x:c>
      <x:c r="J163" s="14" t="str">
        <x:v>Future Carry-Forward Cohort</x:v>
      </x:c>
      <x:c r="K163" s="14" t="n">
        <x:v>2022</x:v>
      </x:c>
      <x:c r="L163" s="14" t="str">
        <x:v>Not inherited</x:v>
      </x:c>
      <x:c r="M163" s="15" t="n">
        <x:v>12</x:v>
      </x:c>
      <x:c r="N163" s="14" t="str">
        <x:v>Margaret Cabourn-Smith</x:v>
      </x:c>
      <x:c r="O163" s="14" t="str">
        <x:v>nm2547690</x:v>
      </x:c>
      <x:c r="P163" s="14" t="str">
        <x:v>Monica</x:v>
      </x:c>
      <x:c r="Q163" s="15" t="n">
        <x:v>6</x:v>
      </x:c>
      <x:c r="R163" s="14" t="str">
        <x:v>2024</x:v>
      </x:c>
      <x:c r="S163" s="14" t="n">
        <x:v>2024</x:v>
      </x:c>
      <x:c r="T163" s="14" t="n">
        <x:v>2024</x:v>
      </x:c>
      <x:c r="U163" s="14" t="str">
        <x:v>Explicit source first year retained</x:v>
      </x:c>
      <x:c r="V163" s="14" t="str">
        <x:v>Earliest supplied year is 2024.</x:v>
      </x:c>
      <x:c r="W163" s="14"/>
      <x:c r="X163" s="14" t="str">
        <x:v>Carried forward to 2024</x:v>
      </x:c>
      <x:c r="Y163" s="14"/>
      <x:c r="Z163" s="14" t="str">
        <x:v>Cheaters.docx</x:v>
      </x:c>
      <x:c r="AA16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BBC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3" s="14" t="str">
        <x:v>BBC public-service commission</x:v>
      </x:c>
      <x:c r="AO163" s="14" t="str">
        <x:v>Yes</x:v>
      </x:c>
      <x:c r="AP163" s="14" t="str">
        <x:v>Direct BBC public-service scope</x:v>
      </x:c>
      <x:c r="AQ163" s="14" t="str">
        <x:v>Yes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26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6</x:v>
      </x:c>
      <x:c r="BS163" s="16" t="n">
        <x:v>0.23076923076923078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tt17501750|nm0998499|eddie</x:v>
      </x:c>
      <x:c r="B164" s="14" t="str">
        <x:v>01</x:v>
      </x:c>
      <x:c r="C164" s="14" t="str">
        <x:v>2022_IMDb_Cast_Lists_Batch_01(1).xlsx</x:v>
      </x:c>
      <x:c r="D164" s="14" t="str">
        <x:v>Cheaters</x:v>
      </x:c>
      <x:c r="E164" s="14" t="n">
        <x:v>21</x:v>
      </x:c>
      <x:c r="F164" s="14" t="str">
        <x:v>Cheaters</x:v>
      </x:c>
      <x:c r="G164" s="14" t="str">
        <x:v>tt17501750</x:v>
      </x:c>
      <x:c r="H164" s="14" t="n">
        <x:v>2022</x:v>
      </x:c>
      <x:c r="I164" s="14" t="n">
        <x:v>2023</x:v>
      </x:c>
      <x:c r="J164" s="14" t="str">
        <x:v>Future Carry-Forward Cohort</x:v>
      </x:c>
      <x:c r="K164" s="14" t="n">
        <x:v>2022</x:v>
      </x:c>
      <x:c r="L164" s="14" t="str">
        <x:v>Not inherited</x:v>
      </x:c>
      <x:c r="M164" s="15" t="n">
        <x:v>14</x:v>
      </x:c>
      <x:c r="N164" s="14" t="str">
        <x:v>Jason Thorpe</x:v>
      </x:c>
      <x:c r="O164" s="14" t="str">
        <x:v>nm0998499</x:v>
      </x:c>
      <x:c r="P164" s="14" t="str">
        <x:v>Eddie</x:v>
      </x:c>
      <x:c r="Q164" s="15" t="n">
        <x:v>5</x:v>
      </x:c>
      <x:c r="R164" s="14" t="str">
        <x:v>2024</x:v>
      </x:c>
      <x:c r="S164" s="14" t="n">
        <x:v>2024</x:v>
      </x:c>
      <x:c r="T164" s="14" t="n">
        <x:v>2024</x:v>
      </x:c>
      <x:c r="U164" s="14" t="str">
        <x:v>Explicit source first year retained</x:v>
      </x:c>
      <x:c r="V164" s="14" t="str">
        <x:v>Earliest supplied year is 2024.</x:v>
      </x:c>
      <x:c r="W164" s="14"/>
      <x:c r="X164" s="14" t="str">
        <x:v>Carried forward to 2024</x:v>
      </x:c>
      <x:c r="Y164" s="14"/>
      <x:c r="Z164" s="14" t="str">
        <x:v>Cheaters.docx</x:v>
      </x:c>
      <x:c r="AA16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BBC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4" s="14" t="str">
        <x:v>BBC public-service commission</x:v>
      </x:c>
      <x:c r="AO164" s="14" t="str">
        <x:v>Yes</x:v>
      </x:c>
      <x:c r="AP164" s="14" t="str">
        <x:v>Direct BBC public-service scope</x:v>
      </x:c>
      <x:c r="AQ164" s="14" t="str">
        <x:v>Yes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26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5</x:v>
      </x:c>
      <x:c r="BS164" s="16" t="n">
        <x:v>0.19230769230769232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tt17501750|nm7150152|jekka</x:v>
      </x:c>
      <x:c r="B165" s="14" t="str">
        <x:v>01</x:v>
      </x:c>
      <x:c r="C165" s="14" t="str">
        <x:v>2022_IMDb_Cast_Lists_Batch_01(1).xlsx</x:v>
      </x:c>
      <x:c r="D165" s="14" t="str">
        <x:v>Cheaters</x:v>
      </x:c>
      <x:c r="E165" s="14" t="n">
        <x:v>26</x:v>
      </x:c>
      <x:c r="F165" s="14" t="str">
        <x:v>Cheaters</x:v>
      </x:c>
      <x:c r="G165" s="14" t="str">
        <x:v>tt17501750</x:v>
      </x:c>
      <x:c r="H165" s="14" t="n">
        <x:v>2022</x:v>
      </x:c>
      <x:c r="I165" s="14" t="n">
        <x:v>2023</x:v>
      </x:c>
      <x:c r="J165" s="14" t="str">
        <x:v>Future Carry-Forward Cohort</x:v>
      </x:c>
      <x:c r="K165" s="14" t="n">
        <x:v>2022</x:v>
      </x:c>
      <x:c r="L165" s="14" t="str">
        <x:v>Not inherited</x:v>
      </x:c>
      <x:c r="M165" s="15" t="n">
        <x:v>19</x:v>
      </x:c>
      <x:c r="N165" s="14" t="str">
        <x:v>Abbie Murphy</x:v>
      </x:c>
      <x:c r="O165" s="14" t="str">
        <x:v>nm7150152</x:v>
      </x:c>
      <x:c r="P165" s="14" t="str">
        <x:v>Jekka</x:v>
      </x:c>
      <x:c r="Q165" s="15" t="n">
        <x:v>2</x:v>
      </x:c>
      <x:c r="R165" s="14" t="str">
        <x:v>2024</x:v>
      </x:c>
      <x:c r="S165" s="14" t="n">
        <x:v>2024</x:v>
      </x:c>
      <x:c r="T165" s="14" t="n">
        <x:v>2024</x:v>
      </x:c>
      <x:c r="U165" s="14" t="str">
        <x:v>Explicit source first year retained</x:v>
      </x:c>
      <x:c r="V165" s="14" t="str">
        <x:v>Earliest supplied year is 2024.</x:v>
      </x:c>
      <x:c r="W165" s="14"/>
      <x:c r="X165" s="14" t="str">
        <x:v>Carried forward to 2024</x:v>
      </x:c>
      <x:c r="Y165" s="14"/>
      <x:c r="Z165" s="14" t="str">
        <x:v>Cheaters.docx</x:v>
      </x:c>
      <x:c r="AA16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BBC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5" s="14" t="str">
        <x:v>BBC public-service commission</x:v>
      </x:c>
      <x:c r="AO165" s="14" t="str">
        <x:v>Yes</x:v>
      </x:c>
      <x:c r="AP165" s="14" t="str">
        <x:v>Direct BBC public-service scope</x:v>
      </x:c>
      <x:c r="AQ165" s="14" t="str">
        <x:v>Yes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26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0.07692307692307693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tt17501750|nm4273260|phoebe</x:v>
      </x:c>
      <x:c r="B166" s="14" t="str">
        <x:v>01</x:v>
      </x:c>
      <x:c r="C166" s="14" t="str">
        <x:v>2022_IMDb_Cast_Lists_Batch_01(1).xlsx</x:v>
      </x:c>
      <x:c r="D166" s="14" t="str">
        <x:v>Cheaters</x:v>
      </x:c>
      <x:c r="E166" s="14" t="n">
        <x:v>28</x:v>
      </x:c>
      <x:c r="F166" s="14" t="str">
        <x:v>Cheaters</x:v>
      </x:c>
      <x:c r="G166" s="14" t="str">
        <x:v>tt17501750</x:v>
      </x:c>
      <x:c r="H166" s="14" t="n">
        <x:v>2022</x:v>
      </x:c>
      <x:c r="I166" s="14" t="n">
        <x:v>2023</x:v>
      </x:c>
      <x:c r="J166" s="14" t="str">
        <x:v>Future Carry-Forward Cohort</x:v>
      </x:c>
      <x:c r="K166" s="14" t="n">
        <x:v>2022</x:v>
      </x:c>
      <x:c r="L166" s="14" t="str">
        <x:v>Not inherited</x:v>
      </x:c>
      <x:c r="M166" s="15" t="n">
        <x:v>21</x:v>
      </x:c>
      <x:c r="N166" s="14" t="str">
        <x:v>Janis Ahern</x:v>
      </x:c>
      <x:c r="O166" s="14" t="str">
        <x:v>nm4273260</x:v>
      </x:c>
      <x:c r="P166" s="14" t="str">
        <x:v>Phoebe</x:v>
      </x:c>
      <x:c r="Q166" s="15" t="n">
        <x:v>2</x:v>
      </x:c>
      <x:c r="R166" s="14" t="str">
        <x:v>2024</x:v>
      </x:c>
      <x:c r="S166" s="14" t="n">
        <x:v>2024</x:v>
      </x:c>
      <x:c r="T166" s="14" t="n">
        <x:v>2024</x:v>
      </x:c>
      <x:c r="U166" s="14" t="str">
        <x:v>Explicit source first year retained</x:v>
      </x:c>
      <x:c r="V166" s="14" t="str">
        <x:v>Earliest supplied year is 2024.</x:v>
      </x:c>
      <x:c r="W166" s="14"/>
      <x:c r="X166" s="14" t="str">
        <x:v>Carried forward to 2024</x:v>
      </x:c>
      <x:c r="Y166" s="14"/>
      <x:c r="Z166" s="14" t="str">
        <x:v>Cheaters.docx</x:v>
      </x:c>
      <x:c r="AA16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BBC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6" s="14" t="str">
        <x:v>BBC public-service commission</x:v>
      </x:c>
      <x:c r="AO166" s="14" t="str">
        <x:v>Yes</x:v>
      </x:c>
      <x:c r="AP166" s="14" t="str">
        <x:v>Direct BBC public-service scope</x:v>
      </x:c>
      <x:c r="AQ166" s="14" t="str">
        <x:v>Yes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26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0.07692307692307693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tt17501750|nm9539966|claire</x:v>
      </x:c>
      <x:c r="B167" s="14" t="str">
        <x:v>01</x:v>
      </x:c>
      <x:c r="C167" s="14" t="str">
        <x:v>2022_IMDb_Cast_Lists_Batch_01(1).xlsx</x:v>
      </x:c>
      <x:c r="D167" s="14" t="str">
        <x:v>Cheaters</x:v>
      </x:c>
      <x:c r="E167" s="14" t="n">
        <x:v>29</x:v>
      </x:c>
      <x:c r="F167" s="14" t="str">
        <x:v>Cheaters</x:v>
      </x:c>
      <x:c r="G167" s="14" t="str">
        <x:v>tt17501750</x:v>
      </x:c>
      <x:c r="H167" s="14" t="n">
        <x:v>2022</x:v>
      </x:c>
      <x:c r="I167" s="14" t="n">
        <x:v>2023</x:v>
      </x:c>
      <x:c r="J167" s="14" t="str">
        <x:v>Future Carry-Forward Cohort</x:v>
      </x:c>
      <x:c r="K167" s="14" t="n">
        <x:v>2022</x:v>
      </x:c>
      <x:c r="L167" s="14" t="str">
        <x:v>Not inherited</x:v>
      </x:c>
      <x:c r="M167" s="15" t="n">
        <x:v>22</x:v>
      </x:c>
      <x:c r="N167" s="14" t="str">
        <x:v>Precious Mustapha</x:v>
      </x:c>
      <x:c r="O167" s="14" t="str">
        <x:v>nm9539966</x:v>
      </x:c>
      <x:c r="P167" s="14" t="str">
        <x:v>Claire</x:v>
      </x:c>
      <x:c r="Q167" s="15" t="n">
        <x:v>2</x:v>
      </x:c>
      <x:c r="R167" s="14" t="str">
        <x:v>2024</x:v>
      </x:c>
      <x:c r="S167" s="14" t="n">
        <x:v>2024</x:v>
      </x:c>
      <x:c r="T167" s="14" t="n">
        <x:v>2024</x:v>
      </x:c>
      <x:c r="U167" s="14" t="str">
        <x:v>Explicit source first year retained</x:v>
      </x:c>
      <x:c r="V167" s="14" t="str">
        <x:v>Earliest supplied year is 2024.</x:v>
      </x:c>
      <x:c r="W167" s="14"/>
      <x:c r="X167" s="14" t="str">
        <x:v>Carried forward to 2024</x:v>
      </x:c>
      <x:c r="Y167" s="14"/>
      <x:c r="Z167" s="14" t="str">
        <x:v>Cheaters.docx</x:v>
      </x:c>
      <x:c r="AA16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BBC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7" s="14" t="str">
        <x:v>BBC public-service commission</x:v>
      </x:c>
      <x:c r="AO167" s="14" t="str">
        <x:v>Yes</x:v>
      </x:c>
      <x:c r="AP167" s="14" t="str">
        <x:v>Direct BBC public-service scope</x:v>
      </x:c>
      <x:c r="AQ167" s="14" t="str">
        <x:v>Yes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26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2</x:v>
      </x:c>
      <x:c r="BS167" s="16" t="n">
        <x:v>0.07692307692307693</x:v>
      </x:c>
      <x:c r="BT167" s="14" t="str">
        <x:v>Minority of episodes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tt17501750|nm7635404|amanda</x:v>
      </x:c>
      <x:c r="B168" s="14" t="str">
        <x:v>01</x:v>
      </x:c>
      <x:c r="C168" s="14" t="str">
        <x:v>2022_IMDb_Cast_Lists_Batch_01(1).xlsx</x:v>
      </x:c>
      <x:c r="D168" s="14" t="str">
        <x:v>Cheaters</x:v>
      </x:c>
      <x:c r="E168" s="14" t="n">
        <x:v>35</x:v>
      </x:c>
      <x:c r="F168" s="14" t="str">
        <x:v>Cheaters</x:v>
      </x:c>
      <x:c r="G168" s="14" t="str">
        <x:v>tt17501750</x:v>
      </x:c>
      <x:c r="H168" s="14" t="n">
        <x:v>2022</x:v>
      </x:c>
      <x:c r="I168" s="14" t="n">
        <x:v>2023</x:v>
      </x:c>
      <x:c r="J168" s="14" t="str">
        <x:v>Future Carry-Forward Cohort</x:v>
      </x:c>
      <x:c r="K168" s="14" t="n">
        <x:v>2022</x:v>
      </x:c>
      <x:c r="L168" s="14" t="str">
        <x:v>Not inherited</x:v>
      </x:c>
      <x:c r="M168" s="15" t="n">
        <x:v>28</x:v>
      </x:c>
      <x:c r="N168" s="14" t="str">
        <x:v>Alice Brittain</x:v>
      </x:c>
      <x:c r="O168" s="14" t="str">
        <x:v>nm7635404</x:v>
      </x:c>
      <x:c r="P168" s="14" t="str">
        <x:v>Amanda</x:v>
      </x:c>
      <x:c r="Q168" s="15" t="n">
        <x:v>1</x:v>
      </x:c>
      <x:c r="R168" s="14" t="str">
        <x:v>2024</x:v>
      </x:c>
      <x:c r="S168" s="14" t="n">
        <x:v>2024</x:v>
      </x:c>
      <x:c r="T168" s="14" t="n">
        <x:v>2024</x:v>
      </x:c>
      <x:c r="U168" s="14" t="str">
        <x:v>Explicit source first year retained</x:v>
      </x:c>
      <x:c r="V168" s="14" t="str">
        <x:v>Earliest supplied year is 2024.</x:v>
      </x:c>
      <x:c r="W168" s="14"/>
      <x:c r="X168" s="14" t="str">
        <x:v>Carried forward to 2024</x:v>
      </x:c>
      <x:c r="Y168" s="14"/>
      <x:c r="Z168" s="14" t="str">
        <x:v>Cheaters.docx</x:v>
      </x:c>
      <x:c r="AA16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BBC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8" s="14" t="str">
        <x:v>BBC public-service commission</x:v>
      </x:c>
      <x:c r="AO168" s="14" t="str">
        <x:v>Yes</x:v>
      </x:c>
      <x:c r="AP168" s="14" t="str">
        <x:v>Direct BBC public-service scope</x:v>
      </x:c>
      <x:c r="AQ168" s="14" t="str">
        <x:v>Yes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26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0.038461538461538464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tt17501750|nm10641585|peaky blinders bartender</x:v>
      </x:c>
      <x:c r="B169" s="14" t="str">
        <x:v>01</x:v>
      </x:c>
      <x:c r="C169" s="14" t="str">
        <x:v>2022_IMDb_Cast_Lists_Batch_01(1).xlsx</x:v>
      </x:c>
      <x:c r="D169" s="14" t="str">
        <x:v>Cheaters</x:v>
      </x:c>
      <x:c r="E169" s="14" t="n">
        <x:v>39</x:v>
      </x:c>
      <x:c r="F169" s="14" t="str">
        <x:v>Cheaters</x:v>
      </x:c>
      <x:c r="G169" s="14" t="str">
        <x:v>tt17501750</x:v>
      </x:c>
      <x:c r="H169" s="14" t="n">
        <x:v>2022</x:v>
      </x:c>
      <x:c r="I169" s="14" t="n">
        <x:v>2023</x:v>
      </x:c>
      <x:c r="J169" s="14" t="str">
        <x:v>Future Carry-Forward Cohort</x:v>
      </x:c>
      <x:c r="K169" s="14" t="n">
        <x:v>2022</x:v>
      </x:c>
      <x:c r="L169" s="14" t="str">
        <x:v>Not inherited</x:v>
      </x:c>
      <x:c r="M169" s="15" t="n">
        <x:v>32</x:v>
      </x:c>
      <x:c r="N169" s="14" t="str">
        <x:v>Sam Cordwell-Roberts</x:v>
      </x:c>
      <x:c r="O169" s="14" t="str">
        <x:v>nm10641585</x:v>
      </x:c>
      <x:c r="P169" s="14" t="str">
        <x:v>Peaky Blinders Bartender</x:v>
      </x:c>
      <x:c r="Q169" s="15" t="n">
        <x:v>1</x:v>
      </x:c>
      <x:c r="R169" s="14" t="str">
        <x:v>2024</x:v>
      </x:c>
      <x:c r="S169" s="14" t="n">
        <x:v>2024</x:v>
      </x:c>
      <x:c r="T169" s="14" t="n">
        <x:v>2024</x:v>
      </x:c>
      <x:c r="U169" s="14" t="str">
        <x:v>Explicit source first year retained</x:v>
      </x:c>
      <x:c r="V169" s="14" t="str">
        <x:v>Earliest supplied year is 2024.</x:v>
      </x:c>
      <x:c r="W169" s="14"/>
      <x:c r="X169" s="14" t="str">
        <x:v>Carried forward to 2024</x:v>
      </x:c>
      <x:c r="Y169" s="14"/>
      <x:c r="Z169" s="14" t="str">
        <x:v>Cheaters.docx</x:v>
      </x:c>
      <x:c r="AA16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BBC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9" s="14" t="str">
        <x:v>BBC public-service commission</x:v>
      </x:c>
      <x:c r="AO169" s="14" t="str">
        <x:v>Yes</x:v>
      </x:c>
      <x:c r="AP169" s="14" t="str">
        <x:v>Direct BBC public-service scope</x:v>
      </x:c>
      <x:c r="AQ169" s="14" t="str">
        <x:v>Yes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26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0.038461538461538464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tt17501750|nm3812385|rupa</x:v>
      </x:c>
      <x:c r="B170" s="14" t="str">
        <x:v>01</x:v>
      </x:c>
      <x:c r="C170" s="14" t="str">
        <x:v>2022_IMDb_Cast_Lists_Batch_01(1).xlsx</x:v>
      </x:c>
      <x:c r="D170" s="14" t="str">
        <x:v>Cheaters</x:v>
      </x:c>
      <x:c r="E170" s="14" t="n">
        <x:v>43</x:v>
      </x:c>
      <x:c r="F170" s="14" t="str">
        <x:v>Cheaters</x:v>
      </x:c>
      <x:c r="G170" s="14" t="str">
        <x:v>tt17501750</x:v>
      </x:c>
      <x:c r="H170" s="14" t="n">
        <x:v>2022</x:v>
      </x:c>
      <x:c r="I170" s="14" t="n">
        <x:v>2023</x:v>
      </x:c>
      <x:c r="J170" s="14" t="str">
        <x:v>Future Carry-Forward Cohort</x:v>
      </x:c>
      <x:c r="K170" s="14" t="n">
        <x:v>2022</x:v>
      </x:c>
      <x:c r="L170" s="14" t="str">
        <x:v>Not inherited</x:v>
      </x:c>
      <x:c r="M170" s="15" t="n">
        <x:v>36</x:v>
      </x:c>
      <x:c r="N170" s="14" t="str">
        <x:v>Manpreet Bambra</x:v>
      </x:c>
      <x:c r="O170" s="14" t="str">
        <x:v>nm3812385</x:v>
      </x:c>
      <x:c r="P170" s="14" t="str">
        <x:v>Rupa</x:v>
      </x:c>
      <x:c r="Q170" s="15" t="n">
        <x:v>1</x:v>
      </x:c>
      <x:c r="R170" s="14" t="str">
        <x:v>2024</x:v>
      </x:c>
      <x:c r="S170" s="14" t="n">
        <x:v>2024</x:v>
      </x:c>
      <x:c r="T170" s="14" t="n">
        <x:v>2024</x:v>
      </x:c>
      <x:c r="U170" s="14" t="str">
        <x:v>Explicit source first year retained</x:v>
      </x:c>
      <x:c r="V170" s="14" t="str">
        <x:v>Earliest supplied year is 2024.</x:v>
      </x:c>
      <x:c r="W170" s="14"/>
      <x:c r="X170" s="14" t="str">
        <x:v>Carried forward to 2024</x:v>
      </x:c>
      <x:c r="Y170" s="14"/>
      <x:c r="Z170" s="14" t="str">
        <x:v>Cheaters.docx</x:v>
      </x:c>
      <x:c r="AA17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BBC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0" s="14" t="str">
        <x:v>BBC public-service commission</x:v>
      </x:c>
      <x:c r="AO170" s="14" t="str">
        <x:v>Yes</x:v>
      </x:c>
      <x:c r="AP170" s="14" t="str">
        <x:v>Direct BBC public-service scope</x:v>
      </x:c>
      <x:c r="AQ170" s="14" t="str">
        <x:v>Yes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26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0.038461538461538464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tt17501750|nm14181785|alex</x:v>
      </x:c>
      <x:c r="B171" s="14" t="str">
        <x:v>01</x:v>
      </x:c>
      <x:c r="C171" s="14" t="str">
        <x:v>2022_IMDb_Cast_Lists_Batch_01(1).xlsx</x:v>
      </x:c>
      <x:c r="D171" s="14" t="str">
        <x:v>Cheaters</x:v>
      </x:c>
      <x:c r="E171" s="14" t="n">
        <x:v>44</x:v>
      </x:c>
      <x:c r="F171" s="14" t="str">
        <x:v>Cheaters</x:v>
      </x:c>
      <x:c r="G171" s="14" t="str">
        <x:v>tt17501750</x:v>
      </x:c>
      <x:c r="H171" s="14" t="n">
        <x:v>2022</x:v>
      </x:c>
      <x:c r="I171" s="14" t="n">
        <x:v>2023</x:v>
      </x:c>
      <x:c r="J171" s="14" t="str">
        <x:v>Future Carry-Forward Cohort</x:v>
      </x:c>
      <x:c r="K171" s="14" t="n">
        <x:v>2022</x:v>
      </x:c>
      <x:c r="L171" s="14" t="str">
        <x:v>Not inherited</x:v>
      </x:c>
      <x:c r="M171" s="15" t="n">
        <x:v>37</x:v>
      </x:c>
      <x:c r="N171" s="14" t="str">
        <x:v>Oliver Wickham</x:v>
      </x:c>
      <x:c r="O171" s="14" t="str">
        <x:v>nm14181785</x:v>
      </x:c>
      <x:c r="P171" s="14" t="str">
        <x:v>Alex</x:v>
      </x:c>
      <x:c r="Q171" s="15" t="n">
        <x:v>1</x:v>
      </x:c>
      <x:c r="R171" s="14" t="str">
        <x:v>2024</x:v>
      </x:c>
      <x:c r="S171" s="14" t="n">
        <x:v>2024</x:v>
      </x:c>
      <x:c r="T171" s="14" t="n">
        <x:v>2024</x:v>
      </x:c>
      <x:c r="U171" s="14" t="str">
        <x:v>Explicit source first year retained</x:v>
      </x:c>
      <x:c r="V171" s="14" t="str">
        <x:v>Earliest supplied year is 2024.</x:v>
      </x:c>
      <x:c r="W171" s="14"/>
      <x:c r="X171" s="14" t="str">
        <x:v>Carried forward to 2024</x:v>
      </x:c>
      <x:c r="Y171" s="14"/>
      <x:c r="Z171" s="14" t="str">
        <x:v>Cheaters.docx</x:v>
      </x:c>
      <x:c r="AA17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BBC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1" s="14" t="str">
        <x:v>BBC public-service commission</x:v>
      </x:c>
      <x:c r="AO171" s="14" t="str">
        <x:v>Yes</x:v>
      </x:c>
      <x:c r="AP171" s="14" t="str">
        <x:v>Direct BBC public-service scope</x:v>
      </x:c>
      <x:c r="AQ171" s="14" t="str">
        <x:v>Yes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26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0.038461538461538464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tt17501750|nm4806324|jason</x:v>
      </x:c>
      <x:c r="B172" s="14" t="str">
        <x:v>01</x:v>
      </x:c>
      <x:c r="C172" s="14" t="str">
        <x:v>2022_IMDb_Cast_Lists_Batch_01(1).xlsx</x:v>
      </x:c>
      <x:c r="D172" s="14" t="str">
        <x:v>Cheaters</x:v>
      </x:c>
      <x:c r="E172" s="14" t="n">
        <x:v>46</x:v>
      </x:c>
      <x:c r="F172" s="14" t="str">
        <x:v>Cheaters</x:v>
      </x:c>
      <x:c r="G172" s="14" t="str">
        <x:v>tt17501750</x:v>
      </x:c>
      <x:c r="H172" s="14" t="n">
        <x:v>2022</x:v>
      </x:c>
      <x:c r="I172" s="14" t="n">
        <x:v>2023</x:v>
      </x:c>
      <x:c r="J172" s="14" t="str">
        <x:v>Future Carry-Forward Cohort</x:v>
      </x:c>
      <x:c r="K172" s="14" t="n">
        <x:v>2022</x:v>
      </x:c>
      <x:c r="L172" s="14" t="str">
        <x:v>Not inherited</x:v>
      </x:c>
      <x:c r="M172" s="15" t="n">
        <x:v>39</x:v>
      </x:c>
      <x:c r="N172" s="14" t="str">
        <x:v>Robert Eades</x:v>
      </x:c>
      <x:c r="O172" s="14" t="str">
        <x:v>nm4806324</x:v>
      </x:c>
      <x:c r="P172" s="14" t="str">
        <x:v>Jason</x:v>
      </x:c>
      <x:c r="Q172" s="15" t="n">
        <x:v>1</x:v>
      </x:c>
      <x:c r="R172" s="14" t="str">
        <x:v>2024</x:v>
      </x:c>
      <x:c r="S172" s="14" t="n">
        <x:v>2024</x:v>
      </x:c>
      <x:c r="T172" s="14" t="n">
        <x:v>2024</x:v>
      </x:c>
      <x:c r="U172" s="14" t="str">
        <x:v>Explicit source first year retained</x:v>
      </x:c>
      <x:c r="V172" s="14" t="str">
        <x:v>Earliest supplied year is 2024.</x:v>
      </x:c>
      <x:c r="W172" s="14"/>
      <x:c r="X172" s="14" t="str">
        <x:v>Carried forward to 2024</x:v>
      </x:c>
      <x:c r="Y172" s="14"/>
      <x:c r="Z172" s="14" t="str">
        <x:v>Cheaters.docx</x:v>
      </x:c>
      <x:c r="AA17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BBC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2" s="14" t="str">
        <x:v>BBC public-service commission</x:v>
      </x:c>
      <x:c r="AO172" s="14" t="str">
        <x:v>Yes</x:v>
      </x:c>
      <x:c r="AP172" s="14" t="str">
        <x:v>Direct BBC public-service scope</x:v>
      </x:c>
      <x:c r="AQ172" s="14" t="str">
        <x:v>Yes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26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0.038461538461538464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tt17501750|nm8653965|zephyr</x:v>
      </x:c>
      <x:c r="B173" s="14" t="str">
        <x:v>01</x:v>
      </x:c>
      <x:c r="C173" s="14" t="str">
        <x:v>2022_IMDb_Cast_Lists_Batch_01(1).xlsx</x:v>
      </x:c>
      <x:c r="D173" s="14" t="str">
        <x:v>Cheaters</x:v>
      </x:c>
      <x:c r="E173" s="14" t="n">
        <x:v>47</x:v>
      </x:c>
      <x:c r="F173" s="14" t="str">
        <x:v>Cheaters</x:v>
      </x:c>
      <x:c r="G173" s="14" t="str">
        <x:v>tt17501750</x:v>
      </x:c>
      <x:c r="H173" s="14" t="n">
        <x:v>2022</x:v>
      </x:c>
      <x:c r="I173" s="14" t="n">
        <x:v>2023</x:v>
      </x:c>
      <x:c r="J173" s="14" t="str">
        <x:v>Future Carry-Forward Cohort</x:v>
      </x:c>
      <x:c r="K173" s="14" t="n">
        <x:v>2022</x:v>
      </x:c>
      <x:c r="L173" s="14" t="str">
        <x:v>Not inherited</x:v>
      </x:c>
      <x:c r="M173" s="15" t="n">
        <x:v>40</x:v>
      </x:c>
      <x:c r="N173" s="14" t="str">
        <x:v>Ell Potter</x:v>
      </x:c>
      <x:c r="O173" s="14" t="str">
        <x:v>nm8653965</x:v>
      </x:c>
      <x:c r="P173" s="14" t="str">
        <x:v>Zephyr</x:v>
      </x:c>
      <x:c r="Q173" s="15" t="n">
        <x:v>1</x:v>
      </x:c>
      <x:c r="R173" s="14" t="str">
        <x:v>2024</x:v>
      </x:c>
      <x:c r="S173" s="14" t="n">
        <x:v>2024</x:v>
      </x:c>
      <x:c r="T173" s="14" t="n">
        <x:v>2024</x:v>
      </x:c>
      <x:c r="U173" s="14" t="str">
        <x:v>Explicit source first year retained</x:v>
      </x:c>
      <x:c r="V173" s="14" t="str">
        <x:v>Earliest supplied year is 2024.</x:v>
      </x:c>
      <x:c r="W173" s="14"/>
      <x:c r="X173" s="14" t="str">
        <x:v>Carried forward to 2024</x:v>
      </x:c>
      <x:c r="Y173" s="14"/>
      <x:c r="Z173" s="14" t="str">
        <x:v>Cheaters.docx</x:v>
      </x:c>
      <x:c r="AA17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BBC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3" s="14" t="str">
        <x:v>BBC public-service commission</x:v>
      </x:c>
      <x:c r="AO173" s="14" t="str">
        <x:v>Yes</x:v>
      </x:c>
      <x:c r="AP173" s="14" t="str">
        <x:v>Direct BBC public-service scope</x:v>
      </x:c>
      <x:c r="AQ173" s="14" t="str">
        <x:v>Yes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26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0.038461538461538464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tt17501750|nm12918768|hanna</x:v>
      </x:c>
      <x:c r="B174" s="14" t="str">
        <x:v>01</x:v>
      </x:c>
      <x:c r="C174" s="14" t="str">
        <x:v>2022_IMDb_Cast_Lists_Batch_01(1).xlsx</x:v>
      </x:c>
      <x:c r="D174" s="14" t="str">
        <x:v>Cheaters</x:v>
      </x:c>
      <x:c r="E174" s="14" t="n">
        <x:v>49</x:v>
      </x:c>
      <x:c r="F174" s="14" t="str">
        <x:v>Cheaters</x:v>
      </x:c>
      <x:c r="G174" s="14" t="str">
        <x:v>tt17501750</x:v>
      </x:c>
      <x:c r="H174" s="14" t="n">
        <x:v>2022</x:v>
      </x:c>
      <x:c r="I174" s="14" t="n">
        <x:v>2023</x:v>
      </x:c>
      <x:c r="J174" s="14" t="str">
        <x:v>Future Carry-Forward Cohort</x:v>
      </x:c>
      <x:c r="K174" s="14" t="n">
        <x:v>2022</x:v>
      </x:c>
      <x:c r="L174" s="14" t="str">
        <x:v>Not inherited</x:v>
      </x:c>
      <x:c r="M174" s="15" t="n">
        <x:v>42</x:v>
      </x:c>
      <x:c r="N174" s="14" t="str">
        <x:v>Francesca Gilbert</x:v>
      </x:c>
      <x:c r="O174" s="14" t="str">
        <x:v>nm12918768</x:v>
      </x:c>
      <x:c r="P174" s="14" t="str">
        <x:v>Hanna</x:v>
      </x:c>
      <x:c r="Q174" s="15" t="n">
        <x:v>1</x:v>
      </x:c>
      <x:c r="R174" s="14" t="str">
        <x:v>2024</x:v>
      </x:c>
      <x:c r="S174" s="14" t="n">
        <x:v>2024</x:v>
      </x:c>
      <x:c r="T174" s="14" t="n">
        <x:v>2024</x:v>
      </x:c>
      <x:c r="U174" s="14" t="str">
        <x:v>Explicit source first year retained</x:v>
      </x:c>
      <x:c r="V174" s="14" t="str">
        <x:v>Earliest supplied year is 2024.</x:v>
      </x:c>
      <x:c r="W174" s="14"/>
      <x:c r="X174" s="14" t="str">
        <x:v>Carried forward to 2024</x:v>
      </x:c>
      <x:c r="Y174" s="14"/>
      <x:c r="Z174" s="14" t="str">
        <x:v>Cheaters.docx</x:v>
      </x:c>
      <x:c r="AA17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BBC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4" s="14" t="str">
        <x:v>BBC public-service commission</x:v>
      </x:c>
      <x:c r="AO174" s="14" t="str">
        <x:v>Yes</x:v>
      </x:c>
      <x:c r="AP174" s="14" t="str">
        <x:v>Direct BBC public-service scope</x:v>
      </x:c>
      <x:c r="AQ174" s="14" t="str">
        <x:v>Yes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26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0.038461538461538464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tt17501750|nm6901869|asma</x:v>
      </x:c>
      <x:c r="B175" s="14" t="str">
        <x:v>01</x:v>
      </x:c>
      <x:c r="C175" s="14" t="str">
        <x:v>2022_IMDb_Cast_Lists_Batch_01(1).xlsx</x:v>
      </x:c>
      <x:c r="D175" s="14" t="str">
        <x:v>Cheaters</x:v>
      </x:c>
      <x:c r="E175" s="14" t="n">
        <x:v>50</x:v>
      </x:c>
      <x:c r="F175" s="14" t="str">
        <x:v>Cheaters</x:v>
      </x:c>
      <x:c r="G175" s="14" t="str">
        <x:v>tt17501750</x:v>
      </x:c>
      <x:c r="H175" s="14" t="n">
        <x:v>2022</x:v>
      </x:c>
      <x:c r="I175" s="14" t="n">
        <x:v>2023</x:v>
      </x:c>
      <x:c r="J175" s="14" t="str">
        <x:v>Future Carry-Forward Cohort</x:v>
      </x:c>
      <x:c r="K175" s="14" t="n">
        <x:v>2022</x:v>
      </x:c>
      <x:c r="L175" s="14" t="str">
        <x:v>Not inherited</x:v>
      </x:c>
      <x:c r="M175" s="15" t="n">
        <x:v>43</x:v>
      </x:c>
      <x:c r="N175" s="14" t="str">
        <x:v>Isabel Adomakoh-Young</x:v>
      </x:c>
      <x:c r="O175" s="14" t="str">
        <x:v>nm6901869</x:v>
      </x:c>
      <x:c r="P175" s="14" t="str">
        <x:v>Asma</x:v>
      </x:c>
      <x:c r="Q175" s="15" t="n">
        <x:v>1</x:v>
      </x:c>
      <x:c r="R175" s="14" t="str">
        <x:v>2024</x:v>
      </x:c>
      <x:c r="S175" s="14" t="n">
        <x:v>2024</x:v>
      </x:c>
      <x:c r="T175" s="14" t="n">
        <x:v>2024</x:v>
      </x:c>
      <x:c r="U175" s="14" t="str">
        <x:v>Explicit source first year retained</x:v>
      </x:c>
      <x:c r="V175" s="14" t="str">
        <x:v>Earliest supplied year is 2024.</x:v>
      </x:c>
      <x:c r="W175" s="14"/>
      <x:c r="X175" s="14" t="str">
        <x:v>Carried forward to 2024</x:v>
      </x:c>
      <x:c r="Y175" s="14"/>
      <x:c r="Z175" s="14" t="str">
        <x:v>Cheaters.docx</x:v>
      </x:c>
      <x:c r="AA17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BBC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5" s="14" t="str">
        <x:v>BBC public-service commission</x:v>
      </x:c>
      <x:c r="AO175" s="14" t="str">
        <x:v>Yes</x:v>
      </x:c>
      <x:c r="AP175" s="14" t="str">
        <x:v>Direct BBC public-service scope</x:v>
      </x:c>
      <x:c r="AQ175" s="14" t="str">
        <x:v>Yes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26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0.038461538461538464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tt17501750|nm16085349|carley</x:v>
      </x:c>
      <x:c r="B176" s="14" t="str">
        <x:v>01</x:v>
      </x:c>
      <x:c r="C176" s="14" t="str">
        <x:v>2022_IMDb_Cast_Lists_Batch_01(1).xlsx</x:v>
      </x:c>
      <x:c r="D176" s="14" t="str">
        <x:v>Cheaters</x:v>
      </x:c>
      <x:c r="E176" s="14" t="n">
        <x:v>51</x:v>
      </x:c>
      <x:c r="F176" s="14" t="str">
        <x:v>Cheaters</x:v>
      </x:c>
      <x:c r="G176" s="14" t="str">
        <x:v>tt17501750</x:v>
      </x:c>
      <x:c r="H176" s="14" t="n">
        <x:v>2022</x:v>
      </x:c>
      <x:c r="I176" s="14" t="n">
        <x:v>2023</x:v>
      </x:c>
      <x:c r="J176" s="14" t="str">
        <x:v>Future Carry-Forward Cohort</x:v>
      </x:c>
      <x:c r="K176" s="14" t="n">
        <x:v>2022</x:v>
      </x:c>
      <x:c r="L176" s="14" t="str">
        <x:v>Not inherited</x:v>
      </x:c>
      <x:c r="M176" s="15" t="n">
        <x:v>44</x:v>
      </x:c>
      <x:c r="N176" s="14" t="str">
        <x:v>Allie Daniel</x:v>
      </x:c>
      <x:c r="O176" s="14" t="str">
        <x:v>nm16085349</x:v>
      </x:c>
      <x:c r="P176" s="14" t="str">
        <x:v>Carley</x:v>
      </x:c>
      <x:c r="Q176" s="15" t="n">
        <x:v>1</x:v>
      </x:c>
      <x:c r="R176" s="14" t="str">
        <x:v>2024</x:v>
      </x:c>
      <x:c r="S176" s="14" t="n">
        <x:v>2024</x:v>
      </x:c>
      <x:c r="T176" s="14" t="n">
        <x:v>2024</x:v>
      </x:c>
      <x:c r="U176" s="14" t="str">
        <x:v>Explicit source first year retained</x:v>
      </x:c>
      <x:c r="V176" s="14" t="str">
        <x:v>Earliest supplied year is 2024.</x:v>
      </x:c>
      <x:c r="W176" s="14"/>
      <x:c r="X176" s="14" t="str">
        <x:v>Carried forward to 2024</x:v>
      </x:c>
      <x:c r="Y176" s="14"/>
      <x:c r="Z176" s="14" t="str">
        <x:v>Cheaters.docx</x:v>
      </x:c>
      <x:c r="AA17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BBC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6" s="14" t="str">
        <x:v>BBC public-service commission</x:v>
      </x:c>
      <x:c r="AO176" s="14" t="str">
        <x:v>Yes</x:v>
      </x:c>
      <x:c r="AP176" s="14" t="str">
        <x:v>Direct BBC public-service scope</x:v>
      </x:c>
      <x:c r="AQ176" s="14" t="str">
        <x:v>Yes</x:v>
      </x:c>
      <x:c r="AR176" s="14" t="str">
        <x:v>Resolved from master register</x:v>
      </x:c>
      <x:c r="AS176" s="14" t="str">
        <x:v>No established-register match</x:v>
      </x:c>
      <x:c r="AT176" s="14"/>
      <x:c r="AU176" s="14"/>
      <x:c r="AV176" s="14" t="str">
        <x:v>No established apparent-disability match</x:v>
      </x:c>
      <x:c r="AW176" s="14"/>
      <x:c r="AX176" s="14" t="str">
        <x:v>No</x:v>
      </x:c>
      <x:c r="AY176" s="14" t="str">
        <x:v>Unmatched</x:v>
      </x:c>
      <x:c r="AZ176" s="14" t="str">
        <x:v>Final supplied register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26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0.038461538461538464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tt17501750|nm4263290|coach attendant</x:v>
      </x:c>
      <x:c r="B177" s="14" t="str">
        <x:v>01</x:v>
      </x:c>
      <x:c r="C177" s="14" t="str">
        <x:v>2022_IMDb_Cast_Lists_Batch_01(1).xlsx</x:v>
      </x:c>
      <x:c r="D177" s="14" t="str">
        <x:v>Cheaters</x:v>
      </x:c>
      <x:c r="E177" s="14" t="n">
        <x:v>52</x:v>
      </x:c>
      <x:c r="F177" s="14" t="str">
        <x:v>Cheaters</x:v>
      </x:c>
      <x:c r="G177" s="14" t="str">
        <x:v>tt17501750</x:v>
      </x:c>
      <x:c r="H177" s="14" t="n">
        <x:v>2022</x:v>
      </x:c>
      <x:c r="I177" s="14" t="n">
        <x:v>2023</x:v>
      </x:c>
      <x:c r="J177" s="14" t="str">
        <x:v>Future Carry-Forward Cohort</x:v>
      </x:c>
      <x:c r="K177" s="14" t="n">
        <x:v>2022</x:v>
      </x:c>
      <x:c r="L177" s="14" t="str">
        <x:v>Not inherited</x:v>
      </x:c>
      <x:c r="M177" s="15" t="n">
        <x:v>45</x:v>
      </x:c>
      <x:c r="N177" s="14" t="str">
        <x:v>Bonnie Adair</x:v>
      </x:c>
      <x:c r="O177" s="14" t="str">
        <x:v>nm4263290</x:v>
      </x:c>
      <x:c r="P177" s="14" t="str">
        <x:v>Coach Attendant</x:v>
      </x:c>
      <x:c r="Q177" s="15" t="n">
        <x:v>1</x:v>
      </x:c>
      <x:c r="R177" s="14" t="str">
        <x:v>2024</x:v>
      </x:c>
      <x:c r="S177" s="14" t="n">
        <x:v>2024</x:v>
      </x:c>
      <x:c r="T177" s="14" t="n">
        <x:v>2024</x:v>
      </x:c>
      <x:c r="U177" s="14" t="str">
        <x:v>Explicit source first year retained</x:v>
      </x:c>
      <x:c r="V177" s="14" t="str">
        <x:v>Earliest supplied year is 2024.</x:v>
      </x:c>
      <x:c r="W177" s="14"/>
      <x:c r="X177" s="14" t="str">
        <x:v>Carried forward to 2024</x:v>
      </x:c>
      <x:c r="Y177" s="14"/>
      <x:c r="Z177" s="14" t="str">
        <x:v>Cheaters.docx</x:v>
      </x:c>
      <x:c r="AA17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BBC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7" s="14" t="str">
        <x:v>BBC public-service commission</x:v>
      </x:c>
      <x:c r="AO177" s="14" t="str">
        <x:v>Yes</x:v>
      </x:c>
      <x:c r="AP177" s="14" t="str">
        <x:v>Direct BBC public-service scope</x:v>
      </x:c>
      <x:c r="AQ177" s="14" t="str">
        <x:v>Yes</x:v>
      </x:c>
      <x:c r="AR177" s="14" t="str">
        <x:v>Resolved from master register</x:v>
      </x:c>
      <x:c r="AS177" s="14" t="str">
        <x:v>No established-register match</x:v>
      </x:c>
      <x:c r="AT177" s="14"/>
      <x:c r="AU177" s="14"/>
      <x:c r="AV177" s="14" t="str">
        <x:v>No established apparent-disability match</x:v>
      </x:c>
      <x:c r="AW177" s="14"/>
      <x:c r="AX177" s="14" t="str">
        <x:v>No</x:v>
      </x:c>
      <x:c r="AY177" s="14" t="str">
        <x:v>Unmatched</x:v>
      </x:c>
      <x:c r="AZ177" s="14" t="str">
        <x:v>Final supplied register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26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0.038461538461538464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tt17501750|nm14224960|joe</x:v>
      </x:c>
      <x:c r="B178" s="14" t="str">
        <x:v>01</x:v>
      </x:c>
      <x:c r="C178" s="14" t="str">
        <x:v>2022_IMDb_Cast_Lists_Batch_01(1).xlsx</x:v>
      </x:c>
      <x:c r="D178" s="14" t="str">
        <x:v>Cheaters</x:v>
      </x:c>
      <x:c r="E178" s="14" t="n">
        <x:v>53</x:v>
      </x:c>
      <x:c r="F178" s="14" t="str">
        <x:v>Cheaters</x:v>
      </x:c>
      <x:c r="G178" s="14" t="str">
        <x:v>tt17501750</x:v>
      </x:c>
      <x:c r="H178" s="14" t="n">
        <x:v>2022</x:v>
      </x:c>
      <x:c r="I178" s="14" t="n">
        <x:v>2023</x:v>
      </x:c>
      <x:c r="J178" s="14" t="str">
        <x:v>Future Carry-Forward Cohort</x:v>
      </x:c>
      <x:c r="K178" s="14" t="n">
        <x:v>2022</x:v>
      </x:c>
      <x:c r="L178" s="14" t="str">
        <x:v>Not inherited</x:v>
      </x:c>
      <x:c r="M178" s="15" t="n">
        <x:v>46</x:v>
      </x:c>
      <x:c r="N178" s="14" t="str">
        <x:v>Felix Edwards</x:v>
      </x:c>
      <x:c r="O178" s="14" t="str">
        <x:v>nm14224960</x:v>
      </x:c>
      <x:c r="P178" s="14" t="str">
        <x:v>Joe</x:v>
      </x:c>
      <x:c r="Q178" s="15" t="n">
        <x:v>1</x:v>
      </x:c>
      <x:c r="R178" s="14" t="str">
        <x:v>2024</x:v>
      </x:c>
      <x:c r="S178" s="14" t="n">
        <x:v>2024</x:v>
      </x:c>
      <x:c r="T178" s="14" t="n">
        <x:v>2024</x:v>
      </x:c>
      <x:c r="U178" s="14" t="str">
        <x:v>Explicit source first year retained</x:v>
      </x:c>
      <x:c r="V178" s="14" t="str">
        <x:v>Earliest supplied year is 2024.</x:v>
      </x:c>
      <x:c r="W178" s="14"/>
      <x:c r="X178" s="14" t="str">
        <x:v>Carried forward to 2024</x:v>
      </x:c>
      <x:c r="Y178" s="14"/>
      <x:c r="Z178" s="14" t="str">
        <x:v>Cheaters.docx</x:v>
      </x:c>
      <x:c r="AA17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BBC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8" s="14" t="str">
        <x:v>BBC public-service commission</x:v>
      </x:c>
      <x:c r="AO178" s="14" t="str">
        <x:v>Yes</x:v>
      </x:c>
      <x:c r="AP178" s="14" t="str">
        <x:v>Direct BBC public-service scope</x:v>
      </x:c>
      <x:c r="AQ178" s="14" t="str">
        <x:v>Yes</x:v>
      </x:c>
      <x:c r="AR178" s="14" t="str">
        <x:v>Resolved from master register</x:v>
      </x:c>
      <x:c r="AS178" s="14" t="str">
        <x:v>No established-register match</x:v>
      </x:c>
      <x:c r="AT178" s="14"/>
      <x:c r="AU178" s="14"/>
      <x:c r="AV178" s="14" t="str">
        <x:v>No established apparent-disability match</x:v>
      </x:c>
      <x:c r="AW178" s="14"/>
      <x:c r="AX178" s="14" t="str">
        <x:v>No</x:v>
      </x:c>
      <x:c r="AY178" s="14" t="str">
        <x:v>Unmatched</x:v>
      </x:c>
      <x:c r="AZ178" s="14" t="str">
        <x:v>Final supplied register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26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0.038461538461538464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tt17501750|nm14132942|ned (waiter)</x:v>
      </x:c>
      <x:c r="B179" s="14" t="str">
        <x:v>01</x:v>
      </x:c>
      <x:c r="C179" s="14" t="str">
        <x:v>2022_IMDb_Cast_Lists_Batch_01(1).xlsx</x:v>
      </x:c>
      <x:c r="D179" s="14" t="str">
        <x:v>Cheaters</x:v>
      </x:c>
      <x:c r="E179" s="14" t="n">
        <x:v>54</x:v>
      </x:c>
      <x:c r="F179" s="14" t="str">
        <x:v>Cheaters</x:v>
      </x:c>
      <x:c r="G179" s="14" t="str">
        <x:v>tt17501750</x:v>
      </x:c>
      <x:c r="H179" s="14" t="n">
        <x:v>2022</x:v>
      </x:c>
      <x:c r="I179" s="14" t="n">
        <x:v>2023</x:v>
      </x:c>
      <x:c r="J179" s="14" t="str">
        <x:v>Future Carry-Forward Cohort</x:v>
      </x:c>
      <x:c r="K179" s="14" t="n">
        <x:v>2022</x:v>
      </x:c>
      <x:c r="L179" s="14" t="str">
        <x:v>Not inherited</x:v>
      </x:c>
      <x:c r="M179" s="15" t="n">
        <x:v>47</x:v>
      </x:c>
      <x:c r="N179" s="14" t="str">
        <x:v>Callum Cronin</x:v>
      </x:c>
      <x:c r="O179" s="14" t="str">
        <x:v>nm14132942</x:v>
      </x:c>
      <x:c r="P179" s="14" t="str">
        <x:v>Ned (Waiter)</x:v>
      </x:c>
      <x:c r="Q179" s="15" t="n">
        <x:v>1</x:v>
      </x:c>
      <x:c r="R179" s="14" t="str">
        <x:v>2024</x:v>
      </x:c>
      <x:c r="S179" s="14" t="n">
        <x:v>2024</x:v>
      </x:c>
      <x:c r="T179" s="14" t="n">
        <x:v>2024</x:v>
      </x:c>
      <x:c r="U179" s="14" t="str">
        <x:v>Explicit source first year retained</x:v>
      </x:c>
      <x:c r="V179" s="14" t="str">
        <x:v>Earliest supplied year is 2024.</x:v>
      </x:c>
      <x:c r="W179" s="14"/>
      <x:c r="X179" s="14" t="str">
        <x:v>Carried forward to 2024</x:v>
      </x:c>
      <x:c r="Y179" s="14"/>
      <x:c r="Z179" s="14" t="str">
        <x:v>Cheaters.docx</x:v>
      </x:c>
      <x:c r="AA17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BBC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9" s="14" t="str">
        <x:v>BBC public-service commission</x:v>
      </x:c>
      <x:c r="AO179" s="14" t="str">
        <x:v>Yes</x:v>
      </x:c>
      <x:c r="AP179" s="14" t="str">
        <x:v>Direct BBC public-service scope</x:v>
      </x:c>
      <x:c r="AQ179" s="14" t="str">
        <x:v>Yes</x:v>
      </x:c>
      <x:c r="AR179" s="14" t="str">
        <x:v>Resolved from master register</x:v>
      </x:c>
      <x:c r="AS179" s="14" t="str">
        <x:v>No established-register match</x:v>
      </x:c>
      <x:c r="AT179" s="14"/>
      <x:c r="AU179" s="14"/>
      <x:c r="AV179" s="14" t="str">
        <x:v>No established apparent-disability match</x:v>
      </x:c>
      <x:c r="AW179" s="14"/>
      <x:c r="AX179" s="14" t="str">
        <x:v>No</x:v>
      </x:c>
      <x:c r="AY179" s="14" t="str">
        <x:v>Unmatched</x:v>
      </x:c>
      <x:c r="AZ179" s="14" t="str">
        <x:v>Final supplied register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26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0.038461538461538464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tt17501750|nm18139532|boy in cinema</x:v>
      </x:c>
      <x:c r="B180" s="14" t="str">
        <x:v>01</x:v>
      </x:c>
      <x:c r="C180" s="14" t="str">
        <x:v>2022_IMDb_Cast_Lists_Batch_01(1).xlsx</x:v>
      </x:c>
      <x:c r="D180" s="14" t="str">
        <x:v>Cheaters</x:v>
      </x:c>
      <x:c r="E180" s="14" t="n">
        <x:v>56</x:v>
      </x:c>
      <x:c r="F180" s="14" t="str">
        <x:v>Cheaters</x:v>
      </x:c>
      <x:c r="G180" s="14" t="str">
        <x:v>tt17501750</x:v>
      </x:c>
      <x:c r="H180" s="14" t="n">
        <x:v>2022</x:v>
      </x:c>
      <x:c r="I180" s="14" t="n">
        <x:v>2023</x:v>
      </x:c>
      <x:c r="J180" s="14" t="str">
        <x:v>Future Carry-Forward Cohort</x:v>
      </x:c>
      <x:c r="K180" s="14" t="n">
        <x:v>2022</x:v>
      </x:c>
      <x:c r="L180" s="14" t="str">
        <x:v>Not inherited</x:v>
      </x:c>
      <x:c r="M180" s="15" t="n">
        <x:v>49</x:v>
      </x:c>
      <x:c r="N180" s="14" t="str">
        <x:v>Muhammad Abdur-Rahman Toheed</x:v>
      </x:c>
      <x:c r="O180" s="14" t="str">
        <x:v>nm18139532</x:v>
      </x:c>
      <x:c r="P180" s="14" t="str">
        <x:v>Boy in Cinema</x:v>
      </x:c>
      <x:c r="Q180" s="15" t="n">
        <x:v>1</x:v>
      </x:c>
      <x:c r="R180" s="14" t="str">
        <x:v>2024</x:v>
      </x:c>
      <x:c r="S180" s="14" t="n">
        <x:v>2024</x:v>
      </x:c>
      <x:c r="T180" s="14" t="n">
        <x:v>2024</x:v>
      </x:c>
      <x:c r="U180" s="14" t="str">
        <x:v>Explicit source first year retained</x:v>
      </x:c>
      <x:c r="V180" s="14" t="str">
        <x:v>Earliest supplied year is 2024.</x:v>
      </x:c>
      <x:c r="W180" s="14"/>
      <x:c r="X180" s="14" t="str">
        <x:v>Carried forward to 2024</x:v>
      </x:c>
      <x:c r="Y180" s="14"/>
      <x:c r="Z180" s="14" t="str">
        <x:v>Cheaters.docx</x:v>
      </x:c>
      <x:c r="AA18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BBC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80" s="14" t="str">
        <x:v>BBC public-service commission</x:v>
      </x:c>
      <x:c r="AO180" s="14" t="str">
        <x:v>Yes</x:v>
      </x:c>
      <x:c r="AP180" s="14" t="str">
        <x:v>Direct BBC public-service scope</x:v>
      </x:c>
      <x:c r="AQ180" s="14" t="str">
        <x:v>Yes</x:v>
      </x:c>
      <x:c r="AR180" s="14" t="str">
        <x:v>Resolved from master register</x:v>
      </x:c>
      <x:c r="AS180" s="14" t="str">
        <x:v>No established-register match</x:v>
      </x:c>
      <x:c r="AT180" s="14"/>
      <x:c r="AU180" s="14"/>
      <x:c r="AV180" s="14" t="str">
        <x:v>No established apparent-disability match</x:v>
      </x:c>
      <x:c r="AW180" s="14"/>
      <x:c r="AX180" s="14" t="str">
        <x:v>No</x:v>
      </x:c>
      <x:c r="AY180" s="14" t="str">
        <x:v>Unmatched</x:v>
      </x:c>
      <x:c r="AZ180" s="14" t="str">
        <x:v>Final supplied register</x:v>
      </x:c>
      <x:c r="BA180" s="14" t="str">
        <x:v>Absence from the register is not evidence that the performer is not disabled.</x:v>
      </x:c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26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0.038461538461538464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tt17501750|nm15673527|barman</x:v>
      </x:c>
      <x:c r="B181" s="14" t="str">
        <x:v>01</x:v>
      </x:c>
      <x:c r="C181" s="14" t="str">
        <x:v>2022_IMDb_Cast_Lists_Batch_01(1).xlsx</x:v>
      </x:c>
      <x:c r="D181" s="14" t="str">
        <x:v>Cheaters</x:v>
      </x:c>
      <x:c r="E181" s="14" t="n">
        <x:v>57</x:v>
      </x:c>
      <x:c r="F181" s="14" t="str">
        <x:v>Cheaters</x:v>
      </x:c>
      <x:c r="G181" s="14" t="str">
        <x:v>tt17501750</x:v>
      </x:c>
      <x:c r="H181" s="14" t="n">
        <x:v>2022</x:v>
      </x:c>
      <x:c r="I181" s="14" t="n">
        <x:v>2023</x:v>
      </x:c>
      <x:c r="J181" s="14" t="str">
        <x:v>Future Carry-Forward Cohort</x:v>
      </x:c>
      <x:c r="K181" s="14" t="n">
        <x:v>2022</x:v>
      </x:c>
      <x:c r="L181" s="14" t="str">
        <x:v>Not inherited</x:v>
      </x:c>
      <x:c r="M181" s="15" t="n">
        <x:v>50</x:v>
      </x:c>
      <x:c r="N181" s="14" t="str">
        <x:v>David Ruler</x:v>
      </x:c>
      <x:c r="O181" s="14" t="str">
        <x:v>nm15673527</x:v>
      </x:c>
      <x:c r="P181" s="14" t="str">
        <x:v>Barman</x:v>
      </x:c>
      <x:c r="Q181" s="15" t="n">
        <x:v>1</x:v>
      </x:c>
      <x:c r="R181" s="14" t="str">
        <x:v>2024</x:v>
      </x:c>
      <x:c r="S181" s="14" t="n">
        <x:v>2024</x:v>
      </x:c>
      <x:c r="T181" s="14" t="n">
        <x:v>2024</x:v>
      </x:c>
      <x:c r="U181" s="14" t="str">
        <x:v>Explicit source first year retained</x:v>
      </x:c>
      <x:c r="V181" s="14" t="str">
        <x:v>Earliest supplied year is 2024.</x:v>
      </x:c>
      <x:c r="W181" s="14"/>
      <x:c r="X181" s="14" t="str">
        <x:v>Carried forward to 2024</x:v>
      </x:c>
      <x:c r="Y181" s="14"/>
      <x:c r="Z181" s="14" t="str">
        <x:v>Cheaters.docx</x:v>
      </x:c>
      <x:c r="AA18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BBC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81" s="14" t="str">
        <x:v>BBC public-service commission</x:v>
      </x:c>
      <x:c r="AO181" s="14" t="str">
        <x:v>Yes</x:v>
      </x:c>
      <x:c r="AP181" s="14" t="str">
        <x:v>Direct BBC public-service scope</x:v>
      </x:c>
      <x:c r="AQ181" s="14" t="str">
        <x:v>Yes</x:v>
      </x:c>
      <x:c r="AR181" s="14" t="str">
        <x:v>Resolved from master register</x:v>
      </x:c>
      <x:c r="AS181" s="14" t="str">
        <x:v>No established-register match</x:v>
      </x:c>
      <x:c r="AT181" s="14"/>
      <x:c r="AU181" s="14"/>
      <x:c r="AV181" s="14" t="str">
        <x:v>No established apparent-disability match</x:v>
      </x:c>
      <x:c r="AW181" s="14"/>
      <x:c r="AX181" s="14" t="str">
        <x:v>No</x:v>
      </x:c>
      <x:c r="AY181" s="14" t="str">
        <x:v>Unmatched</x:v>
      </x:c>
      <x:c r="AZ181" s="14" t="str">
        <x:v>Final supplied register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26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0.038461538461538464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tt15536118|nm5938501|dc charlene ellis</x:v>
      </x:c>
      <x:c r="B182" s="14" t="str">
        <x:v>02</x:v>
      </x:c>
      <x:c r="C182" s="14" t="str">
        <x:v>2022_IMDb_Cast_Lists_Batch_02(1).xlsx</x:v>
      </x:c>
      <x:c r="D182" s="14" t="str">
        <x:v>DI Ray</x:v>
      </x:c>
      <x:c r="E182" s="14" t="n">
        <x:v>14</x:v>
      </x:c>
      <x:c r="F182" s="14" t="str">
        <x:v>DI Ray</x:v>
      </x:c>
      <x:c r="G182" s="14" t="str">
        <x:v>tt15536118</x:v>
      </x:c>
      <x:c r="H182" s="14" t="n">
        <x:v>2022</x:v>
      </x:c>
      <x:c r="I182" s="14" t="n">
        <x:v>2023</x:v>
      </x:c>
      <x:c r="J182" s="14" t="str">
        <x:v>Future Carry-Forward Cohort</x:v>
      </x:c>
      <x:c r="K182" s="14" t="n">
        <x:v>2022</x:v>
      </x:c>
      <x:c r="L182" s="14" t="str">
        <x:v>Not inherited</x:v>
      </x:c>
      <x:c r="M182" s="15" t="n">
        <x:v>7</x:v>
      </x:c>
      <x:c r="N182" s="14" t="str">
        <x:v>Witney White</x:v>
      </x:c>
      <x:c r="O182" s="14" t="str">
        <x:v>nm5938501</x:v>
      </x:c>
      <x:c r="P182" s="14" t="str">
        <x:v>DC Charlene Ellis</x:v>
      </x:c>
      <x:c r="Q182" s="15" t="n">
        <x:v>6</x:v>
      </x:c>
      <x:c r="R182" s="14" t="str">
        <x:v>2024</x:v>
      </x:c>
      <x:c r="S182" s="14" t="n">
        <x:v>2024</x:v>
      </x:c>
      <x:c r="T182" s="14" t="n">
        <x:v>2024</x:v>
      </x:c>
      <x:c r="U182" s="14" t="str">
        <x:v>Explicit source first year retained</x:v>
      </x:c>
      <x:c r="V182" s="14" t="str">
        <x:v>Earliest supplied year is 2024.</x:v>
      </x:c>
      <x:c r="W182" s="14"/>
      <x:c r="X182" s="14" t="str">
        <x:v>Carried forward to 2024</x:v>
      </x:c>
      <x:c r="Y182" s="14"/>
      <x:c r="Z182" s="14" t="str">
        <x:v>DI Ray.docx</x:v>
      </x:c>
      <x:c r="AA18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ITV / ITVX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HYPERLINK("https://en.wikipedia.org/wiki/DI_Ray","Open source")</x:f>
        <x:v>HYPERLINK is not implemented. linkLocation=https://en.wikipedia.org/wiki/DI_Ray, friendlyName=Open source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 t="str">
        <x:v>No established-register match</x:v>
      </x:c>
      <x:c r="AT182" s="14"/>
      <x:c r="AU182" s="14"/>
      <x:c r="AV182" s="14" t="str">
        <x:v>No established apparent-disability match</x:v>
      </x:c>
      <x:c r="AW182" s="14"/>
      <x:c r="AX182" s="14" t="str">
        <x:v>No</x:v>
      </x:c>
      <x:c r="AY182" s="14" t="str">
        <x:v>Unmatched</x:v>
      </x:c>
      <x:c r="AZ182" s="14" t="str">
        <x:v>Final supplied register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10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6</x:v>
      </x:c>
      <x:c r="BS182" s="16" t="n">
        <x:v>0.6</x:v>
      </x:c>
      <x:c r="BT182" s="14" t="str">
        <x:v>Majority of episodes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tt15536118|nm2523072|dave chapman</x:v>
      </x:c>
      <x:c r="B183" s="14" t="str">
        <x:v>02</x:v>
      </x:c>
      <x:c r="C183" s="14" t="str">
        <x:v>2022_IMDb_Cast_Lists_Batch_02(1).xlsx</x:v>
      </x:c>
      <x:c r="D183" s="14" t="str">
        <x:v>DI Ray</x:v>
      </x:c>
      <x:c r="E183" s="14" t="n">
        <x:v>15</x:v>
      </x:c>
      <x:c r="F183" s="14" t="str">
        <x:v>DI Ray</x:v>
      </x:c>
      <x:c r="G183" s="14" t="str">
        <x:v>tt15536118</x:v>
      </x:c>
      <x:c r="H183" s="14" t="n">
        <x:v>2022</x:v>
      </x:c>
      <x:c r="I183" s="14" t="n">
        <x:v>2023</x:v>
      </x:c>
      <x:c r="J183" s="14" t="str">
        <x:v>Future Carry-Forward Cohort</x:v>
      </x:c>
      <x:c r="K183" s="14" t="n">
        <x:v>2022</x:v>
      </x:c>
      <x:c r="L183" s="14" t="str">
        <x:v>Not inherited</x:v>
      </x:c>
      <x:c r="M183" s="15" t="n">
        <x:v>8</x:v>
      </x:c>
      <x:c r="N183" s="14" t="str">
        <x:v>Michael Socha</x:v>
      </x:c>
      <x:c r="O183" s="14" t="str">
        <x:v>nm2523072</x:v>
      </x:c>
      <x:c r="P183" s="14" t="str">
        <x:v>Dave Chapman</x:v>
      </x:c>
      <x:c r="Q183" s="15" t="n">
        <x:v>6</x:v>
      </x:c>
      <x:c r="R183" s="14" t="str">
        <x:v>2024</x:v>
      </x:c>
      <x:c r="S183" s="14" t="n">
        <x:v>2024</x:v>
      </x:c>
      <x:c r="T183" s="14" t="n">
        <x:v>2024</x:v>
      </x:c>
      <x:c r="U183" s="14" t="str">
        <x:v>Explicit source first year retained</x:v>
      </x:c>
      <x:c r="V183" s="14" t="str">
        <x:v>Earliest supplied year is 2024.</x:v>
      </x:c>
      <x:c r="W183" s="14"/>
      <x:c r="X183" s="14" t="str">
        <x:v>Carried forward to 2024</x:v>
      </x:c>
      <x:c r="Y183" s="14"/>
      <x:c r="Z183" s="14" t="str">
        <x:v>DI Ray.docx</x:v>
      </x:c>
      <x:c r="AA18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ITV / ITVX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HYPERLINK("https://en.wikipedia.org/wiki/DI_Ray","Open source")</x:f>
        <x:v>HYPERLINK is not implemented. linkLocation=https://en.wikipedia.org/wiki/DI_Ray, friendlyName=Open source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 t="str">
        <x:v>No established-register match</x:v>
      </x:c>
      <x:c r="AT183" s="14"/>
      <x:c r="AU183" s="14"/>
      <x:c r="AV183" s="14" t="str">
        <x:v>No established apparent-disability match</x:v>
      </x:c>
      <x:c r="AW183" s="14"/>
      <x:c r="AX183" s="14" t="str">
        <x:v>No</x:v>
      </x:c>
      <x:c r="AY183" s="14" t="str">
        <x:v>Unmatched</x:v>
      </x:c>
      <x:c r="AZ183" s="14" t="str">
        <x:v>Final supplied register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10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6</x:v>
      </x:c>
      <x:c r="BS183" s="16" t="n">
        <x:v>0.6</x:v>
      </x:c>
      <x:c r="BT183" s="14" t="str">
        <x:v>Majority of episodes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tt15536118|nm2120658|suzie chapman</x:v>
      </x:c>
      <x:c r="B184" s="14" t="str">
        <x:v>02</x:v>
      </x:c>
      <x:c r="C184" s="14" t="str">
        <x:v>2022_IMDb_Cast_Lists_Batch_02(1).xlsx</x:v>
      </x:c>
      <x:c r="D184" s="14" t="str">
        <x:v>DI Ray</x:v>
      </x:c>
      <x:c r="E184" s="14" t="n">
        <x:v>16</x:v>
      </x:c>
      <x:c r="F184" s="14" t="str">
        <x:v>DI Ray</x:v>
      </x:c>
      <x:c r="G184" s="14" t="str">
        <x:v>tt15536118</x:v>
      </x:c>
      <x:c r="H184" s="14" t="n">
        <x:v>2022</x:v>
      </x:c>
      <x:c r="I184" s="14" t="n">
        <x:v>2023</x:v>
      </x:c>
      <x:c r="J184" s="14" t="str">
        <x:v>Future Carry-Forward Cohort</x:v>
      </x:c>
      <x:c r="K184" s="14" t="n">
        <x:v>2022</x:v>
      </x:c>
      <x:c r="L184" s="14" t="str">
        <x:v>Not inherited</x:v>
      </x:c>
      <x:c r="M184" s="15" t="n">
        <x:v>9</x:v>
      </x:c>
      <x:c r="N184" s="14" t="str">
        <x:v>Lauren Drummond</x:v>
      </x:c>
      <x:c r="O184" s="14" t="str">
        <x:v>nm2120658</x:v>
      </x:c>
      <x:c r="P184" s="14" t="str">
        <x:v>Suzie Chapman</x:v>
      </x:c>
      <x:c r="Q184" s="15" t="n">
        <x:v>6</x:v>
      </x:c>
      <x:c r="R184" s="14" t="str">
        <x:v>2024</x:v>
      </x:c>
      <x:c r="S184" s="14" t="n">
        <x:v>2024</x:v>
      </x:c>
      <x:c r="T184" s="14" t="n">
        <x:v>2024</x:v>
      </x:c>
      <x:c r="U184" s="14" t="str">
        <x:v>Explicit source first year retained</x:v>
      </x:c>
      <x:c r="V184" s="14" t="str">
        <x:v>Earliest supplied year is 2024.</x:v>
      </x:c>
      <x:c r="W184" s="14"/>
      <x:c r="X184" s="14" t="str">
        <x:v>Carried forward to 2024</x:v>
      </x:c>
      <x:c r="Y184" s="14"/>
      <x:c r="Z184" s="14" t="str">
        <x:v>DI Ray.docx</x:v>
      </x:c>
      <x:c r="AA18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ITV / ITVX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HYPERLINK("https://en.wikipedia.org/wiki/DI_Ray","Open source")</x:f>
        <x:v>HYPERLINK is not implemented. linkLocation=https://en.wikipedia.org/wiki/DI_Ray, friendlyName=Open source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 t="str">
        <x:v>No established-register match</x:v>
      </x:c>
      <x:c r="AT184" s="14"/>
      <x:c r="AU184" s="14"/>
      <x:c r="AV184" s="14" t="str">
        <x:v>No established apparent-disability match</x:v>
      </x:c>
      <x:c r="AW184" s="14"/>
      <x:c r="AX184" s="14" t="str">
        <x:v>No</x:v>
      </x:c>
      <x:c r="AY184" s="14" t="str">
        <x:v>Unmatched</x:v>
      </x:c>
      <x:c r="AZ184" s="14" t="str">
        <x:v>Final supplied register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10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6</x:v>
      </x:c>
      <x:c r="BS184" s="16" t="n">
        <x:v>0.6</x:v>
      </x:c>
      <x:c r="BT184" s="14" t="str">
        <x:v>Majority of episodes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tt15536118|nm0049346|di patrick holden</x:v>
      </x:c>
      <x:c r="B185" s="14" t="str">
        <x:v>02</x:v>
      </x:c>
      <x:c r="C185" s="14" t="str">
        <x:v>2022_IMDb_Cast_Lists_Batch_02(1).xlsx</x:v>
      </x:c>
      <x:c r="D185" s="14" t="str">
        <x:v>DI Ray</x:v>
      </x:c>
      <x:c r="E185" s="14" t="n">
        <x:v>17</x:v>
      </x:c>
      <x:c r="F185" s="14" t="str">
        <x:v>DI Ray</x:v>
      </x:c>
      <x:c r="G185" s="14" t="str">
        <x:v>tt15536118</x:v>
      </x:c>
      <x:c r="H185" s="14" t="n">
        <x:v>2022</x:v>
      </x:c>
      <x:c r="I185" s="14" t="n">
        <x:v>2023</x:v>
      </x:c>
      <x:c r="J185" s="14" t="str">
        <x:v>Future Carry-Forward Cohort</x:v>
      </x:c>
      <x:c r="K185" s="14" t="n">
        <x:v>2022</x:v>
      </x:c>
      <x:c r="L185" s="14" t="str">
        <x:v>Not inherited</x:v>
      </x:c>
      <x:c r="M185" s="15" t="n">
        <x:v>10</x:v>
      </x:c>
      <x:c r="N185" s="14" t="str">
        <x:v>Patrick Baladi</x:v>
      </x:c>
      <x:c r="O185" s="14" t="str">
        <x:v>nm0049346</x:v>
      </x:c>
      <x:c r="P185" s="14" t="str">
        <x:v>DI Patrick Holden</x:v>
      </x:c>
      <x:c r="Q185" s="15" t="n">
        <x:v>5</x:v>
      </x:c>
      <x:c r="R185" s="14" t="str">
        <x:v>2024</x:v>
      </x:c>
      <x:c r="S185" s="14" t="n">
        <x:v>2024</x:v>
      </x:c>
      <x:c r="T185" s="14" t="n">
        <x:v>2024</x:v>
      </x:c>
      <x:c r="U185" s="14" t="str">
        <x:v>Explicit source first year retained</x:v>
      </x:c>
      <x:c r="V185" s="14" t="str">
        <x:v>Earliest supplied year is 2024.</x:v>
      </x:c>
      <x:c r="W185" s="14"/>
      <x:c r="X185" s="14" t="str">
        <x:v>Carried forward to 2024</x:v>
      </x:c>
      <x:c r="Y185" s="14"/>
      <x:c r="Z185" s="14" t="str">
        <x:v>DI Ray.docx</x:v>
      </x:c>
      <x:c r="AA18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ITV / ITVX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HYPERLINK("https://en.wikipedia.org/wiki/DI_Ray","Open source")</x:f>
        <x:v>HYPERLINK is not implemented. linkLocation=https://en.wikipedia.org/wiki/DI_Ray, friendlyName=Open source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 t="str">
        <x:v>No established-register match</x:v>
      </x:c>
      <x:c r="AT185" s="14"/>
      <x:c r="AU185" s="14"/>
      <x:c r="AV185" s="14" t="str">
        <x:v>No established apparent-disability match</x:v>
      </x:c>
      <x:c r="AW185" s="14"/>
      <x:c r="AX185" s="14" t="str">
        <x:v>No</x:v>
      </x:c>
      <x:c r="AY185" s="14" t="str">
        <x:v>Unmatched</x:v>
      </x:c>
      <x:c r="AZ185" s="14" t="str">
        <x:v>Final supplied register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10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5</x:v>
      </x:c>
      <x:c r="BS185" s="16" t="n">
        <x:v>0.5</x:v>
      </x:c>
      <x:c r="BT185" s="14" t="str">
        <x:v>Minority of episodes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tt15536118|nm6228755|hiroka mcgregor</x:v>
      </x:c>
      <x:c r="B186" s="14" t="str">
        <x:v>02</x:v>
      </x:c>
      <x:c r="C186" s="14" t="str">
        <x:v>2022_IMDb_Cast_Lists_Batch_02(1).xlsx</x:v>
      </x:c>
      <x:c r="D186" s="14" t="str">
        <x:v>DI Ray</x:v>
      </x:c>
      <x:c r="E186" s="14" t="n">
        <x:v>19</x:v>
      </x:c>
      <x:c r="F186" s="14" t="str">
        <x:v>DI Ray</x:v>
      </x:c>
      <x:c r="G186" s="14" t="str">
        <x:v>tt15536118</x:v>
      </x:c>
      <x:c r="H186" s="14" t="n">
        <x:v>2022</x:v>
      </x:c>
      <x:c r="I186" s="14" t="n">
        <x:v>2023</x:v>
      </x:c>
      <x:c r="J186" s="14" t="str">
        <x:v>Future Carry-Forward Cohort</x:v>
      </x:c>
      <x:c r="K186" s="14" t="n">
        <x:v>2022</x:v>
      </x:c>
      <x:c r="L186" s="14" t="str">
        <x:v>Not inherited</x:v>
      </x:c>
      <x:c r="M186" s="15" t="n">
        <x:v>12</x:v>
      </x:c>
      <x:c r="N186" s="14" t="str">
        <x:v>Naomi Yang</x:v>
      </x:c>
      <x:c r="O186" s="14" t="str">
        <x:v>nm6228755</x:v>
      </x:c>
      <x:c r="P186" s="14" t="str">
        <x:v>Hiroka McGregor</x:v>
      </x:c>
      <x:c r="Q186" s="15" t="n">
        <x:v>5</x:v>
      </x:c>
      <x:c r="R186" s="14" t="str">
        <x:v>2024</x:v>
      </x:c>
      <x:c r="S186" s="14" t="n">
        <x:v>2024</x:v>
      </x:c>
      <x:c r="T186" s="14" t="n">
        <x:v>2024</x:v>
      </x:c>
      <x:c r="U186" s="14" t="str">
        <x:v>Explicit source first year retained</x:v>
      </x:c>
      <x:c r="V186" s="14" t="str">
        <x:v>Earliest supplied year is 2024.</x:v>
      </x:c>
      <x:c r="W186" s="14"/>
      <x:c r="X186" s="14" t="str">
        <x:v>Carried forward to 2024</x:v>
      </x:c>
      <x:c r="Y186" s="14"/>
      <x:c r="Z186" s="14" t="str">
        <x:v>DI Ray.docx</x:v>
      </x:c>
      <x:c r="AA18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ITV / ITVX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HYPERLINK("https://en.wikipedia.org/wiki/DI_Ray","Open source")</x:f>
        <x:v>HYPERLINK is not implemented. linkLocation=https://en.wikipedia.org/wiki/DI_Ray, friendlyName=Open source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 t="str">
        <x:v>No established-register match</x:v>
      </x:c>
      <x:c r="AT186" s="14"/>
      <x:c r="AU186" s="14"/>
      <x:c r="AV186" s="14" t="str">
        <x:v>No established apparent-disability match</x:v>
      </x:c>
      <x:c r="AW186" s="14"/>
      <x:c r="AX186" s="14" t="str">
        <x:v>No</x:v>
      </x:c>
      <x:c r="AY186" s="14" t="str">
        <x:v>Unmatched</x:v>
      </x:c>
      <x:c r="AZ186" s="14" t="str">
        <x:v>Final supplied register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10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5</x:v>
      </x:c>
      <x:c r="BS186" s="16" t="n">
        <x:v>0.5</x:v>
      </x:c>
      <x:c r="BT186" s="14" t="str">
        <x:v>Minority of episodes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tt15536118|nm0474904|sharan mochani</x:v>
      </x:c>
      <x:c r="B187" s="14" t="str">
        <x:v>02</x:v>
      </x:c>
      <x:c r="C187" s="14" t="str">
        <x:v>2022_IMDb_Cast_Lists_Batch_02(1).xlsx</x:v>
      </x:c>
      <x:c r="D187" s="14" t="str">
        <x:v>DI Ray</x:v>
      </x:c>
      <x:c r="E187" s="14" t="n">
        <x:v>20</x:v>
      </x:c>
      <x:c r="F187" s="14" t="str">
        <x:v>DI Ray</x:v>
      </x:c>
      <x:c r="G187" s="14" t="str">
        <x:v>tt15536118</x:v>
      </x:c>
      <x:c r="H187" s="14" t="n">
        <x:v>2022</x:v>
      </x:c>
      <x:c r="I187" s="14" t="n">
        <x:v>2023</x:v>
      </x:c>
      <x:c r="J187" s="14" t="str">
        <x:v>Future Carry-Forward Cohort</x:v>
      </x:c>
      <x:c r="K187" s="14" t="n">
        <x:v>2022</x:v>
      </x:c>
      <x:c r="L187" s="14" t="str">
        <x:v>Not inherited</x:v>
      </x:c>
      <x:c r="M187" s="15" t="n">
        <x:v>13</x:v>
      </x:c>
      <x:c r="N187" s="14" t="str">
        <x:v>Syreeta Kumar</x:v>
      </x:c>
      <x:c r="O187" s="14" t="str">
        <x:v>nm0474904</x:v>
      </x:c>
      <x:c r="P187" s="14" t="str">
        <x:v>Sharan Mochani</x:v>
      </x:c>
      <x:c r="Q187" s="15" t="n">
        <x:v>5</x:v>
      </x:c>
      <x:c r="R187" s="14" t="str">
        <x:v>2024</x:v>
      </x:c>
      <x:c r="S187" s="14" t="n">
        <x:v>2024</x:v>
      </x:c>
      <x:c r="T187" s="14" t="n">
        <x:v>2024</x:v>
      </x:c>
      <x:c r="U187" s="14" t="str">
        <x:v>Explicit source first year retained</x:v>
      </x:c>
      <x:c r="V187" s="14" t="str">
        <x:v>Earliest supplied year is 2024.</x:v>
      </x:c>
      <x:c r="W187" s="14"/>
      <x:c r="X187" s="14" t="str">
        <x:v>Carried forward to 2024</x:v>
      </x:c>
      <x:c r="Y187" s="14"/>
      <x:c r="Z187" s="14" t="str">
        <x:v>DI Ray.docx</x:v>
      </x:c>
      <x:c r="AA18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ITV / ITVX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HYPERLINK("https://en.wikipedia.org/wiki/DI_Ray","Open source")</x:f>
        <x:v>HYPERLINK is not implemented. linkLocation=https://en.wikipedia.org/wiki/DI_Ray, friendlyName=Open source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 t="str">
        <x:v>No established-register match</x:v>
      </x:c>
      <x:c r="AT187" s="14"/>
      <x:c r="AU187" s="14"/>
      <x:c r="AV187" s="14" t="str">
        <x:v>No established apparent-disability match</x:v>
      </x:c>
      <x:c r="AW187" s="14"/>
      <x:c r="AX187" s="14" t="str">
        <x:v>No</x:v>
      </x:c>
      <x:c r="AY187" s="14" t="str">
        <x:v>Unmatched</x:v>
      </x:c>
      <x:c r="AZ187" s="14" t="str">
        <x:v>Final supplied register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10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5</x:v>
      </x:c>
      <x:c r="BS187" s="16" t="n">
        <x:v>0.5</x:v>
      </x:c>
      <x:c r="BT187" s="14" t="str">
        <x:v>Minority of episodes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tt15536118|nm14909645|ravinder mochani</x:v>
      </x:c>
      <x:c r="B188" s="14" t="str">
        <x:v>02</x:v>
      </x:c>
      <x:c r="C188" s="14" t="str">
        <x:v>2022_IMDb_Cast_Lists_Batch_02(1).xlsx</x:v>
      </x:c>
      <x:c r="D188" s="14" t="str">
        <x:v>DI Ray</x:v>
      </x:c>
      <x:c r="E188" s="14" t="n">
        <x:v>22</x:v>
      </x:c>
      <x:c r="F188" s="14" t="str">
        <x:v>DI Ray</x:v>
      </x:c>
      <x:c r="G188" s="14" t="str">
        <x:v>tt15536118</x:v>
      </x:c>
      <x:c r="H188" s="14" t="n">
        <x:v>2022</x:v>
      </x:c>
      <x:c r="I188" s="14" t="n">
        <x:v>2023</x:v>
      </x:c>
      <x:c r="J188" s="14" t="str">
        <x:v>Future Carry-Forward Cohort</x:v>
      </x:c>
      <x:c r="K188" s="14" t="n">
        <x:v>2022</x:v>
      </x:c>
      <x:c r="L188" s="14" t="str">
        <x:v>Not inherited</x:v>
      </x:c>
      <x:c r="M188" s="15" t="n">
        <x:v>15</x:v>
      </x:c>
      <x:c r="N188" s="14" t="str">
        <x:v>Taha Rahim</x:v>
      </x:c>
      <x:c r="O188" s="14" t="str">
        <x:v>nm14909645</x:v>
      </x:c>
      <x:c r="P188" s="14" t="str">
        <x:v>Ravinder Mochani</x:v>
      </x:c>
      <x:c r="Q188" s="15" t="n">
        <x:v>4</x:v>
      </x:c>
      <x:c r="R188" s="14" t="str">
        <x:v>2024</x:v>
      </x:c>
      <x:c r="S188" s="14" t="n">
        <x:v>2024</x:v>
      </x:c>
      <x:c r="T188" s="14" t="n">
        <x:v>2024</x:v>
      </x:c>
      <x:c r="U188" s="14" t="str">
        <x:v>Explicit source first year retained</x:v>
      </x:c>
      <x:c r="V188" s="14" t="str">
        <x:v>Earliest supplied year is 2024.</x:v>
      </x:c>
      <x:c r="W188" s="14"/>
      <x:c r="X188" s="14" t="str">
        <x:v>Carried forward to 2024</x:v>
      </x:c>
      <x:c r="Y188" s="14"/>
      <x:c r="Z188" s="14" t="str">
        <x:v>DI Ray.docx</x:v>
      </x:c>
      <x:c r="AA18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ITV / ITVX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HYPERLINK("https://en.wikipedia.org/wiki/DI_Ray","Open source")</x:f>
        <x:v>HYPERLINK is not implemented. linkLocation=https://en.wikipedia.org/wiki/DI_Ray, friendlyName=Open source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10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4</x:v>
      </x:c>
      <x:c r="BS188" s="16" t="n">
        <x:v>0.4</x:v>
      </x:c>
      <x:c r="BT188" s="14" t="str">
        <x:v>Minority of episodes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tt15536118|nm0324743|amara dhawan</x:v>
      </x:c>
      <x:c r="B189" s="14" t="str">
        <x:v>02</x:v>
      </x:c>
      <x:c r="C189" s="14" t="str">
        <x:v>2022_IMDb_Cast_Lists_Batch_02(1).xlsx</x:v>
      </x:c>
      <x:c r="D189" s="14" t="str">
        <x:v>DI Ray</x:v>
      </x:c>
      <x:c r="E189" s="14" t="n">
        <x:v>23</x:v>
      </x:c>
      <x:c r="F189" s="14" t="str">
        <x:v>DI Ray</x:v>
      </x:c>
      <x:c r="G189" s="14" t="str">
        <x:v>tt15536118</x:v>
      </x:c>
      <x:c r="H189" s="14" t="n">
        <x:v>2022</x:v>
      </x:c>
      <x:c r="I189" s="14" t="n">
        <x:v>2023</x:v>
      </x:c>
      <x:c r="J189" s="14" t="str">
        <x:v>Future Carry-Forward Cohort</x:v>
      </x:c>
      <x:c r="K189" s="14" t="n">
        <x:v>2022</x:v>
      </x:c>
      <x:c r="L189" s="14" t="str">
        <x:v>Not inherited</x:v>
      </x:c>
      <x:c r="M189" s="15" t="n">
        <x:v>16</x:v>
      </x:c>
      <x:c r="N189" s="14" t="str">
        <x:v>Dinita Gohil</x:v>
      </x:c>
      <x:c r="O189" s="14" t="str">
        <x:v>nm0324743</x:v>
      </x:c>
      <x:c r="P189" s="14" t="str">
        <x:v>Amara Dhawan</x:v>
      </x:c>
      <x:c r="Q189" s="15" t="n">
        <x:v>4</x:v>
      </x:c>
      <x:c r="R189" s="14" t="str">
        <x:v>2024</x:v>
      </x:c>
      <x:c r="S189" s="14" t="n">
        <x:v>2024</x:v>
      </x:c>
      <x:c r="T189" s="14" t="n">
        <x:v>2024</x:v>
      </x:c>
      <x:c r="U189" s="14" t="str">
        <x:v>Explicit source first year retained</x:v>
      </x:c>
      <x:c r="V189" s="14" t="str">
        <x:v>Earliest supplied year is 2024.</x:v>
      </x:c>
      <x:c r="W189" s="14"/>
      <x:c r="X189" s="14" t="str">
        <x:v>Carried forward to 2024</x:v>
      </x:c>
      <x:c r="Y189" s="14"/>
      <x:c r="Z189" s="14" t="str">
        <x:v>DI Ray.docx</x:v>
      </x:c>
      <x:c r="AA18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ITV / ITVX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HYPERLINK("https://en.wikipedia.org/wiki/DI_Ray","Open source")</x:f>
        <x:v>HYPERLINK is not implemented. linkLocation=https://en.wikipedia.org/wiki/DI_Ray, friendlyName=Open source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10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4</x:v>
      </x:c>
      <x:c r="BS189" s="16" t="n">
        <x:v>0.4</x:v>
      </x:c>
      <x:c r="BT189" s="14" t="str">
        <x:v>Minority of episodes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tt15536118|nm1152495|ethan henderson</x:v>
      </x:c>
      <x:c r="B190" s="14" t="str">
        <x:v>02</x:v>
      </x:c>
      <x:c r="C190" s="14" t="str">
        <x:v>2022_IMDb_Cast_Lists_Batch_02(1).xlsx</x:v>
      </x:c>
      <x:c r="D190" s="14" t="str">
        <x:v>DI Ray</x:v>
      </x:c>
      <x:c r="E190" s="14" t="n">
        <x:v>24</x:v>
      </x:c>
      <x:c r="F190" s="14" t="str">
        <x:v>DI Ray</x:v>
      </x:c>
      <x:c r="G190" s="14" t="str">
        <x:v>tt15536118</x:v>
      </x:c>
      <x:c r="H190" s="14" t="n">
        <x:v>2022</x:v>
      </x:c>
      <x:c r="I190" s="14" t="n">
        <x:v>2023</x:v>
      </x:c>
      <x:c r="J190" s="14" t="str">
        <x:v>Future Carry-Forward Cohort</x:v>
      </x:c>
      <x:c r="K190" s="14" t="n">
        <x:v>2022</x:v>
      </x:c>
      <x:c r="L190" s="14" t="str">
        <x:v>Not inherited</x:v>
      </x:c>
      <x:c r="M190" s="15" t="n">
        <x:v>17</x:v>
      </x:c>
      <x:c r="N190" s="14" t="str">
        <x:v>Cian Barry</x:v>
      </x:c>
      <x:c r="O190" s="14" t="str">
        <x:v>nm1152495</x:v>
      </x:c>
      <x:c r="P190" s="14" t="str">
        <x:v>Ethan Henderson</x:v>
      </x:c>
      <x:c r="Q190" s="15" t="n">
        <x:v>4</x:v>
      </x:c>
      <x:c r="R190" s="14" t="str">
        <x:v>2024</x:v>
      </x:c>
      <x:c r="S190" s="14" t="n">
        <x:v>2024</x:v>
      </x:c>
      <x:c r="T190" s="14" t="n">
        <x:v>2024</x:v>
      </x:c>
      <x:c r="U190" s="14" t="str">
        <x:v>Explicit source first year retained</x:v>
      </x:c>
      <x:c r="V190" s="14" t="str">
        <x:v>Earliest supplied year is 2024.</x:v>
      </x:c>
      <x:c r="W190" s="14"/>
      <x:c r="X190" s="14" t="str">
        <x:v>Carried forward to 2024</x:v>
      </x:c>
      <x:c r="Y190" s="14"/>
      <x:c r="Z190" s="14" t="str">
        <x:v>DI Ray.docx</x:v>
      </x:c>
      <x:c r="AA19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ITV / ITVX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HYPERLINK("https://en.wikipedia.org/wiki/DI_Ray","Open source")</x:f>
        <x:v>HYPERLINK is not implemented. linkLocation=https://en.wikipedia.org/wiki/DI_Ray, friendlyName=Open source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10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4</x:v>
      </x:c>
      <x:c r="BS190" s="16" t="n">
        <x:v>0.4</x:v>
      </x:c>
      <x:c r="BT190" s="14" t="str">
        <x:v>Minority of episodes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tt15536118|nm5700243|priya mochani</x:v>
      </x:c>
      <x:c r="B191" s="14" t="str">
        <x:v>02</x:v>
      </x:c>
      <x:c r="C191" s="14" t="str">
        <x:v>2022_IMDb_Cast_Lists_Batch_02(1).xlsx</x:v>
      </x:c>
      <x:c r="D191" s="14" t="str">
        <x:v>DI Ray</x:v>
      </x:c>
      <x:c r="E191" s="14" t="n">
        <x:v>26</x:v>
      </x:c>
      <x:c r="F191" s="14" t="str">
        <x:v>DI Ray</x:v>
      </x:c>
      <x:c r="G191" s="14" t="str">
        <x:v>tt15536118</x:v>
      </x:c>
      <x:c r="H191" s="14" t="n">
        <x:v>2022</x:v>
      </x:c>
      <x:c r="I191" s="14" t="n">
        <x:v>2023</x:v>
      </x:c>
      <x:c r="J191" s="14" t="str">
        <x:v>Future Carry-Forward Cohort</x:v>
      </x:c>
      <x:c r="K191" s="14" t="n">
        <x:v>2022</x:v>
      </x:c>
      <x:c r="L191" s="14" t="str">
        <x:v>Not inherited</x:v>
      </x:c>
      <x:c r="M191" s="15" t="n">
        <x:v>19</x:v>
      </x:c>
      <x:c r="N191" s="14" t="str">
        <x:v>Priyasasha Kumari</x:v>
      </x:c>
      <x:c r="O191" s="14" t="str">
        <x:v>nm5700243</x:v>
      </x:c>
      <x:c r="P191" s="14" t="str">
        <x:v>Priya Mochani</x:v>
      </x:c>
      <x:c r="Q191" s="15" t="n">
        <x:v>4</x:v>
      </x:c>
      <x:c r="R191" s="14" t="str">
        <x:v>2024</x:v>
      </x:c>
      <x:c r="S191" s="14" t="n">
        <x:v>2024</x:v>
      </x:c>
      <x:c r="T191" s="14" t="n">
        <x:v>2024</x:v>
      </x:c>
      <x:c r="U191" s="14" t="str">
        <x:v>Explicit source first year retained</x:v>
      </x:c>
      <x:c r="V191" s="14" t="str">
        <x:v>Earliest supplied year is 2024.</x:v>
      </x:c>
      <x:c r="W191" s="14"/>
      <x:c r="X191" s="14" t="str">
        <x:v>Carried forward to 2024</x:v>
      </x:c>
      <x:c r="Y191" s="14"/>
      <x:c r="Z191" s="14" t="str">
        <x:v>DI Ray.docx</x:v>
      </x:c>
      <x:c r="AA19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ITV / ITVX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HYPERLINK("https://en.wikipedia.org/wiki/DI_Ray","Open source")</x:f>
        <x:v>HYPERLINK is not implemented. linkLocation=https://en.wikipedia.org/wiki/DI_Ray, friendlyName=Open source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10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4</x:v>
      </x:c>
      <x:c r="BS191" s="16" t="n">
        <x:v>0.4</x:v>
      </x:c>
      <x:c r="BT191" s="14" t="str">
        <x:v>Minority of episodes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tt15536118|nm4309809|lucy chapman</x:v>
      </x:c>
      <x:c r="B192" s="14" t="str">
        <x:v>02</x:v>
      </x:c>
      <x:c r="C192" s="14" t="str">
        <x:v>2022_IMDb_Cast_Lists_Batch_02(1).xlsx</x:v>
      </x:c>
      <x:c r="D192" s="14" t="str">
        <x:v>DI Ray</x:v>
      </x:c>
      <x:c r="E192" s="14" t="n">
        <x:v>27</x:v>
      </x:c>
      <x:c r="F192" s="14" t="str">
        <x:v>DI Ray</x:v>
      </x:c>
      <x:c r="G192" s="14" t="str">
        <x:v>tt15536118</x:v>
      </x:c>
      <x:c r="H192" s="14" t="n">
        <x:v>2022</x:v>
      </x:c>
      <x:c r="I192" s="14" t="n">
        <x:v>2023</x:v>
      </x:c>
      <x:c r="J192" s="14" t="str">
        <x:v>Future Carry-Forward Cohort</x:v>
      </x:c>
      <x:c r="K192" s="14" t="n">
        <x:v>2022</x:v>
      </x:c>
      <x:c r="L192" s="14" t="str">
        <x:v>Not inherited</x:v>
      </x:c>
      <x:c r="M192" s="15" t="n">
        <x:v>20</x:v>
      </x:c>
      <x:c r="N192" s="14" t="str">
        <x:v>Tamla Kari</x:v>
      </x:c>
      <x:c r="O192" s="14" t="str">
        <x:v>nm4309809</x:v>
      </x:c>
      <x:c r="P192" s="14" t="str">
        <x:v>Lucy Chapman</x:v>
      </x:c>
      <x:c r="Q192" s="15" t="n">
        <x:v>4</x:v>
      </x:c>
      <x:c r="R192" s="14" t="str">
        <x:v>2024</x:v>
      </x:c>
      <x:c r="S192" s="14" t="n">
        <x:v>2024</x:v>
      </x:c>
      <x:c r="T192" s="14" t="n">
        <x:v>2024</x:v>
      </x:c>
      <x:c r="U192" s="14" t="str">
        <x:v>Explicit source first year retained</x:v>
      </x:c>
      <x:c r="V192" s="14" t="str">
        <x:v>Earliest supplied year is 2024.</x:v>
      </x:c>
      <x:c r="W192" s="14"/>
      <x:c r="X192" s="14" t="str">
        <x:v>Carried forward to 2024</x:v>
      </x:c>
      <x:c r="Y192" s="14"/>
      <x:c r="Z192" s="14" t="str">
        <x:v>DI Ray.docx</x:v>
      </x:c>
      <x:c r="AA19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ITV / ITVX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HYPERLINK("https://en.wikipedia.org/wiki/DI_Ray","Open source")</x:f>
        <x:v>HYPERLINK is not implemented. linkLocation=https://en.wikipedia.org/wiki/DI_Ray, friendlyName=Open source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10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4</x:v>
      </x:c>
      <x:c r="BS192" s="16" t="n">
        <x:v>0.4</x:v>
      </x:c>
      <x:c r="BT192" s="14" t="str">
        <x:v>Minority of episodes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tt15536118|nm11259127|amy chapman</x:v>
      </x:c>
      <x:c r="B193" s="14" t="str">
        <x:v>02</x:v>
      </x:c>
      <x:c r="C193" s="14" t="str">
        <x:v>2022_IMDb_Cast_Lists_Batch_02(1).xlsx</x:v>
      </x:c>
      <x:c r="D193" s="14" t="str">
        <x:v>DI Ray</x:v>
      </x:c>
      <x:c r="E193" s="14" t="n">
        <x:v>30</x:v>
      </x:c>
      <x:c r="F193" s="14" t="str">
        <x:v>DI Ray</x:v>
      </x:c>
      <x:c r="G193" s="14" t="str">
        <x:v>tt15536118</x:v>
      </x:c>
      <x:c r="H193" s="14" t="n">
        <x:v>2022</x:v>
      </x:c>
      <x:c r="I193" s="14" t="n">
        <x:v>2023</x:v>
      </x:c>
      <x:c r="J193" s="14" t="str">
        <x:v>Future Carry-Forward Cohort</x:v>
      </x:c>
      <x:c r="K193" s="14" t="n">
        <x:v>2022</x:v>
      </x:c>
      <x:c r="L193" s="14" t="str">
        <x:v>Not inherited</x:v>
      </x:c>
      <x:c r="M193" s="15" t="n">
        <x:v>23</x:v>
      </x:c>
      <x:c r="N193" s="14" t="str">
        <x:v>Heather Forster</x:v>
      </x:c>
      <x:c r="O193" s="14" t="str">
        <x:v>nm11259127</x:v>
      </x:c>
      <x:c r="P193" s="14" t="str">
        <x:v>Amy Chapman</x:v>
      </x:c>
      <x:c r="Q193" s="15" t="n">
        <x:v>3</x:v>
      </x:c>
      <x:c r="R193" s="14" t="str">
        <x:v>2024</x:v>
      </x:c>
      <x:c r="S193" s="14" t="n">
        <x:v>2024</x:v>
      </x:c>
      <x:c r="T193" s="14" t="n">
        <x:v>2024</x:v>
      </x:c>
      <x:c r="U193" s="14" t="str">
        <x:v>Explicit source first year retained</x:v>
      </x:c>
      <x:c r="V193" s="14" t="str">
        <x:v>Earliest supplied year is 2024.</x:v>
      </x:c>
      <x:c r="W193" s="14"/>
      <x:c r="X193" s="14" t="str">
        <x:v>Carried forward to 2024</x:v>
      </x:c>
      <x:c r="Y193" s="14"/>
      <x:c r="Z193" s="14" t="str">
        <x:v>DI Ray.docx</x:v>
      </x:c>
      <x:c r="AA19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ITV / ITVX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HYPERLINK("https://en.wikipedia.org/wiki/DI_Ray","Open source")</x:f>
        <x:v>HYPERLINK is not implemented. linkLocation=https://en.wikipedia.org/wiki/DI_Ray, friendlyName=Open source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10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3</x:v>
      </x:c>
      <x:c r="BS193" s="16" t="n">
        <x:v>0.3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tt15536118|nm7974920|ali</x:v>
      </x:c>
      <x:c r="B194" s="14" t="str">
        <x:v>02</x:v>
      </x:c>
      <x:c r="C194" s="14" t="str">
        <x:v>2022_IMDb_Cast_Lists_Batch_02(1).xlsx</x:v>
      </x:c>
      <x:c r="D194" s="14" t="str">
        <x:v>DI Ray</x:v>
      </x:c>
      <x:c r="E194" s="14" t="n">
        <x:v>31</x:v>
      </x:c>
      <x:c r="F194" s="14" t="str">
        <x:v>DI Ray</x:v>
      </x:c>
      <x:c r="G194" s="14" t="str">
        <x:v>tt15536118</x:v>
      </x:c>
      <x:c r="H194" s="14" t="n">
        <x:v>2022</x:v>
      </x:c>
      <x:c r="I194" s="14" t="n">
        <x:v>2023</x:v>
      </x:c>
      <x:c r="J194" s="14" t="str">
        <x:v>Future Carry-Forward Cohort</x:v>
      </x:c>
      <x:c r="K194" s="14" t="n">
        <x:v>2022</x:v>
      </x:c>
      <x:c r="L194" s="14" t="str">
        <x:v>Not inherited</x:v>
      </x:c>
      <x:c r="M194" s="15" t="n">
        <x:v>24</x:v>
      </x:c>
      <x:c r="N194" s="14" t="str">
        <x:v>Jonny Lavelle</x:v>
      </x:c>
      <x:c r="O194" s="14" t="str">
        <x:v>nm7974920</x:v>
      </x:c>
      <x:c r="P194" s="14" t="str">
        <x:v>Ali</x:v>
      </x:c>
      <x:c r="Q194" s="15" t="n">
        <x:v>3</x:v>
      </x:c>
      <x:c r="R194" s="14" t="str">
        <x:v>2024</x:v>
      </x:c>
      <x:c r="S194" s="14" t="n">
        <x:v>2024</x:v>
      </x:c>
      <x:c r="T194" s="14" t="n">
        <x:v>2024</x:v>
      </x:c>
      <x:c r="U194" s="14" t="str">
        <x:v>Explicit source first year retained</x:v>
      </x:c>
      <x:c r="V194" s="14" t="str">
        <x:v>Earliest supplied year is 2024.</x:v>
      </x:c>
      <x:c r="W194" s="14"/>
      <x:c r="X194" s="14" t="str">
        <x:v>Carried forward to 2024</x:v>
      </x:c>
      <x:c r="Y194" s="14"/>
      <x:c r="Z194" s="14" t="str">
        <x:v>DI Ray.docx</x:v>
      </x:c>
      <x:c r="AA19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ITV / ITVX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HYPERLINK("https://en.wikipedia.org/wiki/DI_Ray","Open source")</x:f>
        <x:v>HYPERLINK is not implemented. linkLocation=https://en.wikipedia.org/wiki/DI_Ray, friendlyName=Open source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10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3</x:v>
      </x:c>
      <x:c r="BS194" s="16" t="n">
        <x:v>0.3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tt15536118|nm12781683|sajna</x:v>
      </x:c>
      <x:c r="B195" s="14" t="str">
        <x:v>02</x:v>
      </x:c>
      <x:c r="C195" s="14" t="str">
        <x:v>2022_IMDb_Cast_Lists_Batch_02(1).xlsx</x:v>
      </x:c>
      <x:c r="D195" s="14" t="str">
        <x:v>DI Ray</x:v>
      </x:c>
      <x:c r="E195" s="14" t="n">
        <x:v>33</x:v>
      </x:c>
      <x:c r="F195" s="14" t="str">
        <x:v>DI Ray</x:v>
      </x:c>
      <x:c r="G195" s="14" t="str">
        <x:v>tt15536118</x:v>
      </x:c>
      <x:c r="H195" s="14" t="n">
        <x:v>2022</x:v>
      </x:c>
      <x:c r="I195" s="14" t="n">
        <x:v>2023</x:v>
      </x:c>
      <x:c r="J195" s="14" t="str">
        <x:v>Future Carry-Forward Cohort</x:v>
      </x:c>
      <x:c r="K195" s="14" t="n">
        <x:v>2022</x:v>
      </x:c>
      <x:c r="L195" s="14" t="str">
        <x:v>Not inherited</x:v>
      </x:c>
      <x:c r="M195" s="15" t="n">
        <x:v>26</x:v>
      </x:c>
      <x:c r="N195" s="14" t="str">
        <x:v>Aroop Shergill</x:v>
      </x:c>
      <x:c r="O195" s="14" t="str">
        <x:v>nm12781683</x:v>
      </x:c>
      <x:c r="P195" s="14" t="str">
        <x:v>Sajna</x:v>
      </x:c>
      <x:c r="Q195" s="15" t="n">
        <x:v>3</x:v>
      </x:c>
      <x:c r="R195" s="14" t="str">
        <x:v>2024</x:v>
      </x:c>
      <x:c r="S195" s="14" t="n">
        <x:v>2024</x:v>
      </x:c>
      <x:c r="T195" s="14" t="n">
        <x:v>2024</x:v>
      </x:c>
      <x:c r="U195" s="14" t="str">
        <x:v>Explicit source first year retained</x:v>
      </x:c>
      <x:c r="V195" s="14" t="str">
        <x:v>Earliest supplied year is 2024.</x:v>
      </x:c>
      <x:c r="W195" s="14"/>
      <x:c r="X195" s="14" t="str">
        <x:v>Carried forward to 2024</x:v>
      </x:c>
      <x:c r="Y195" s="14"/>
      <x:c r="Z195" s="14" t="str">
        <x:v>DI Ray.docx</x:v>
      </x:c>
      <x:c r="AA19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ITV / ITVX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HYPERLINK("https://en.wikipedia.org/wiki/DI_Ray","Open source")</x:f>
        <x:v>HYPERLINK is not implemented. linkLocation=https://en.wikipedia.org/wiki/DI_Ray, friendlyName=Open source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10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3</x:v>
      </x:c>
      <x:c r="BS195" s="16" t="n">
        <x:v>0.3</x:v>
      </x:c>
      <x:c r="BT195" s="14" t="str">
        <x:v>Minority of episodes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tt15536118|nm1931211|lou kirkby</x:v>
      </x:c>
      <x:c r="B196" s="14" t="str">
        <x:v>02</x:v>
      </x:c>
      <x:c r="C196" s="14" t="str">
        <x:v>2022_IMDb_Cast_Lists_Batch_02(1).xlsx</x:v>
      </x:c>
      <x:c r="D196" s="14" t="str">
        <x:v>DI Ray</x:v>
      </x:c>
      <x:c r="E196" s="14" t="n">
        <x:v>34</x:v>
      </x:c>
      <x:c r="F196" s="14" t="str">
        <x:v>DI Ray</x:v>
      </x:c>
      <x:c r="G196" s="14" t="str">
        <x:v>tt15536118</x:v>
      </x:c>
      <x:c r="H196" s="14" t="n">
        <x:v>2022</x:v>
      </x:c>
      <x:c r="I196" s="14" t="n">
        <x:v>2023</x:v>
      </x:c>
      <x:c r="J196" s="14" t="str">
        <x:v>Future Carry-Forward Cohort</x:v>
      </x:c>
      <x:c r="K196" s="14" t="n">
        <x:v>2022</x:v>
      </x:c>
      <x:c r="L196" s="14" t="str">
        <x:v>Not inherited</x:v>
      </x:c>
      <x:c r="M196" s="15" t="n">
        <x:v>27</x:v>
      </x:c>
      <x:c r="N196" s="14" t="str">
        <x:v>John Vernon</x:v>
      </x:c>
      <x:c r="O196" s="14" t="str">
        <x:v>nm1931211</x:v>
      </x:c>
      <x:c r="P196" s="14" t="str">
        <x:v>Lou Kirkby</x:v>
      </x:c>
      <x:c r="Q196" s="15" t="n">
        <x:v>3</x:v>
      </x:c>
      <x:c r="R196" s="14" t="str">
        <x:v>2024</x:v>
      </x:c>
      <x:c r="S196" s="14" t="n">
        <x:v>2024</x:v>
      </x:c>
      <x:c r="T196" s="14" t="n">
        <x:v>2024</x:v>
      </x:c>
      <x:c r="U196" s="14" t="str">
        <x:v>Explicit source first year retained</x:v>
      </x:c>
      <x:c r="V196" s="14" t="str">
        <x:v>Earliest supplied year is 2024.</x:v>
      </x:c>
      <x:c r="W196" s="14"/>
      <x:c r="X196" s="14" t="str">
        <x:v>Carried forward to 2024</x:v>
      </x:c>
      <x:c r="Y196" s="14"/>
      <x:c r="Z196" s="14" t="str">
        <x:v>DI Ray.docx</x:v>
      </x:c>
      <x:c r="AA19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ITV / ITVX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HYPERLINK("https://en.wikipedia.org/wiki/DI_Ray","Open source")</x:f>
        <x:v>HYPERLINK is not implemented. linkLocation=https://en.wikipedia.org/wiki/DI_Ray, friendlyName=Open source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10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3</x:v>
      </x:c>
      <x:c r="BS196" s="16" t="n">
        <x:v>0.3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tt15536118|nm14321417|ds peter perez</x:v>
      </x:c>
      <x:c r="B197" s="14" t="str">
        <x:v>02</x:v>
      </x:c>
      <x:c r="C197" s="14" t="str">
        <x:v>2022_IMDb_Cast_Lists_Batch_02(1).xlsx</x:v>
      </x:c>
      <x:c r="D197" s="14" t="str">
        <x:v>DI Ray</x:v>
      </x:c>
      <x:c r="E197" s="14" t="n">
        <x:v>35</x:v>
      </x:c>
      <x:c r="F197" s="14" t="str">
        <x:v>DI Ray</x:v>
      </x:c>
      <x:c r="G197" s="14" t="str">
        <x:v>tt15536118</x:v>
      </x:c>
      <x:c r="H197" s="14" t="n">
        <x:v>2022</x:v>
      </x:c>
      <x:c r="I197" s="14" t="n">
        <x:v>2023</x:v>
      </x:c>
      <x:c r="J197" s="14" t="str">
        <x:v>Future Carry-Forward Cohort</x:v>
      </x:c>
      <x:c r="K197" s="14" t="n">
        <x:v>2022</x:v>
      </x:c>
      <x:c r="L197" s="14" t="str">
        <x:v>Not inherited</x:v>
      </x:c>
      <x:c r="M197" s="15" t="n">
        <x:v>28</x:v>
      </x:c>
      <x:c r="N197" s="14" t="str">
        <x:v>Ravi Multani</x:v>
      </x:c>
      <x:c r="O197" s="14" t="str">
        <x:v>nm14321417</x:v>
      </x:c>
      <x:c r="P197" s="14" t="str">
        <x:v>DS Peter Perez</x:v>
      </x:c>
      <x:c r="Q197" s="15" t="n">
        <x:v>3</x:v>
      </x:c>
      <x:c r="R197" s="14" t="str">
        <x:v>2024</x:v>
      </x:c>
      <x:c r="S197" s="14" t="n">
        <x:v>2024</x:v>
      </x:c>
      <x:c r="T197" s="14" t="n">
        <x:v>2024</x:v>
      </x:c>
      <x:c r="U197" s="14" t="str">
        <x:v>Explicit source first year retained</x:v>
      </x:c>
      <x:c r="V197" s="14" t="str">
        <x:v>Earliest supplied year is 2024.</x:v>
      </x:c>
      <x:c r="W197" s="14"/>
      <x:c r="X197" s="14" t="str">
        <x:v>Carried forward to 2024</x:v>
      </x:c>
      <x:c r="Y197" s="14"/>
      <x:c r="Z197" s="14" t="str">
        <x:v>DI Ray.docx</x:v>
      </x:c>
      <x:c r="AA19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ITV / ITVX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HYPERLINK("https://en.wikipedia.org/wiki/DI_Ray","Open source")</x:f>
        <x:v>HYPERLINK is not implemented. linkLocation=https://en.wikipedia.org/wiki/DI_Ray, friendlyName=Open source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10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3</x:v>
      </x:c>
      <x:c r="BS197" s="16" t="n">
        <x:v>0.3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tt15536118|nm16746218|stevo miller</x:v>
      </x:c>
      <x:c r="B198" s="14" t="str">
        <x:v>02</x:v>
      </x:c>
      <x:c r="C198" s="14" t="str">
        <x:v>2022_IMDb_Cast_Lists_Batch_02(1).xlsx</x:v>
      </x:c>
      <x:c r="D198" s="14" t="str">
        <x:v>DI Ray</x:v>
      </x:c>
      <x:c r="E198" s="14" t="n">
        <x:v>36</x:v>
      </x:c>
      <x:c r="F198" s="14" t="str">
        <x:v>DI Ray</x:v>
      </x:c>
      <x:c r="G198" s="14" t="str">
        <x:v>tt15536118</x:v>
      </x:c>
      <x:c r="H198" s="14" t="n">
        <x:v>2022</x:v>
      </x:c>
      <x:c r="I198" s="14" t="n">
        <x:v>2023</x:v>
      </x:c>
      <x:c r="J198" s="14" t="str">
        <x:v>Future Carry-Forward Cohort</x:v>
      </x:c>
      <x:c r="K198" s="14" t="n">
        <x:v>2022</x:v>
      </x:c>
      <x:c r="L198" s="14" t="str">
        <x:v>Not inherited</x:v>
      </x:c>
      <x:c r="M198" s="15" t="n">
        <x:v>29</x:v>
      </x:c>
      <x:c r="N198" s="14" t="str">
        <x:v>Jamie Bell</x:v>
      </x:c>
      <x:c r="O198" s="14" t="str">
        <x:v>nm16746218</x:v>
      </x:c>
      <x:c r="P198" s="14" t="str">
        <x:v>Stevo Miller</x:v>
      </x:c>
      <x:c r="Q198" s="15" t="n">
        <x:v>3</x:v>
      </x:c>
      <x:c r="R198" s="14" t="str">
        <x:v>2024</x:v>
      </x:c>
      <x:c r="S198" s="14" t="n">
        <x:v>2024</x:v>
      </x:c>
      <x:c r="T198" s="14" t="n">
        <x:v>2024</x:v>
      </x:c>
      <x:c r="U198" s="14" t="str">
        <x:v>Explicit source first year retained</x:v>
      </x:c>
      <x:c r="V198" s="14" t="str">
        <x:v>Earliest supplied year is 2024.</x:v>
      </x:c>
      <x:c r="W198" s="14"/>
      <x:c r="X198" s="14" t="str">
        <x:v>Carried forward to 2024</x:v>
      </x:c>
      <x:c r="Y198" s="14"/>
      <x:c r="Z198" s="14" t="str">
        <x:v>DI Ray.docx</x:v>
      </x:c>
      <x:c r="AA19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ITV / ITVX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HYPERLINK("https://en.wikipedia.org/wiki/DI_Ray","Open source")</x:f>
        <x:v>HYPERLINK is not implemented. linkLocation=https://en.wikipedia.org/wiki/DI_Ray, friendlyName=Open source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10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3</x:v>
      </x:c>
      <x:c r="BS198" s="16" t="n">
        <x:v>0.3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tt15536118|nm0887991|frank chapman</x:v>
      </x:c>
      <x:c r="B199" s="14" t="str">
        <x:v>02</x:v>
      </x:c>
      <x:c r="C199" s="14" t="str">
        <x:v>2022_IMDb_Cast_Lists_Batch_02(1).xlsx</x:v>
      </x:c>
      <x:c r="D199" s="14" t="str">
        <x:v>DI Ray</x:v>
      </x:c>
      <x:c r="E199" s="14" t="n">
        <x:v>38</x:v>
      </x:c>
      <x:c r="F199" s="14" t="str">
        <x:v>DI Ray</x:v>
      </x:c>
      <x:c r="G199" s="14" t="str">
        <x:v>tt15536118</x:v>
      </x:c>
      <x:c r="H199" s="14" t="n">
        <x:v>2022</x:v>
      </x:c>
      <x:c r="I199" s="14" t="n">
        <x:v>2023</x:v>
      </x:c>
      <x:c r="J199" s="14" t="str">
        <x:v>Future Carry-Forward Cohort</x:v>
      </x:c>
      <x:c r="K199" s="14" t="n">
        <x:v>2022</x:v>
      </x:c>
      <x:c r="L199" s="14" t="str">
        <x:v>Not inherited</x:v>
      </x:c>
      <x:c r="M199" s="15" t="n">
        <x:v>31</x:v>
      </x:c>
      <x:c r="N199" s="14" t="str">
        <x:v>Tony Van Silva</x:v>
      </x:c>
      <x:c r="O199" s="14" t="str">
        <x:v>nm0887991</x:v>
      </x:c>
      <x:c r="P199" s="14" t="str">
        <x:v>Frank Chapman</x:v>
      </x:c>
      <x:c r="Q199" s="15" t="n">
        <x:v>2</x:v>
      </x:c>
      <x:c r="R199" s="14" t="str">
        <x:v>2024</x:v>
      </x:c>
      <x:c r="S199" s="14" t="n">
        <x:v>2024</x:v>
      </x:c>
      <x:c r="T199" s="14" t="n">
        <x:v>2024</x:v>
      </x:c>
      <x:c r="U199" s="14" t="str">
        <x:v>Explicit source first year retained</x:v>
      </x:c>
      <x:c r="V199" s="14" t="str">
        <x:v>Earliest supplied year is 2024.</x:v>
      </x:c>
      <x:c r="W199" s="14"/>
      <x:c r="X199" s="14" t="str">
        <x:v>Carried forward to 2024</x:v>
      </x:c>
      <x:c r="Y199" s="14"/>
      <x:c r="Z199" s="14" t="str">
        <x:v>DI Ray.docx</x:v>
      </x:c>
      <x:c r="AA19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ITV / ITVX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HYPERLINK("https://en.wikipedia.org/wiki/DI_Ray","Open source")</x:f>
        <x:v>HYPERLINK is not implemented. linkLocation=https://en.wikipedia.org/wiki/DI_Ray, friendlyName=Open source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10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2</x:v>
      </x:c>
      <x:c r="BS199" s="16" t="n">
        <x:v>0.2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tt15536118|nm2001466|second forensics officer / second forensic officer</x:v>
      </x:c>
      <x:c r="B200" s="14" t="str">
        <x:v>02</x:v>
      </x:c>
      <x:c r="C200" s="14" t="str">
        <x:v>2022_IMDb_Cast_Lists_Batch_02(1).xlsx</x:v>
      </x:c>
      <x:c r="D200" s="14" t="str">
        <x:v>DI Ray</x:v>
      </x:c>
      <x:c r="E200" s="14" t="n">
        <x:v>44</x:v>
      </x:c>
      <x:c r="F200" s="14" t="str">
        <x:v>DI Ray</x:v>
      </x:c>
      <x:c r="G200" s="14" t="str">
        <x:v>tt15536118</x:v>
      </x:c>
      <x:c r="H200" s="14" t="n">
        <x:v>2022</x:v>
      </x:c>
      <x:c r="I200" s="14" t="n">
        <x:v>2023</x:v>
      </x:c>
      <x:c r="J200" s="14" t="str">
        <x:v>Future Carry-Forward Cohort</x:v>
      </x:c>
      <x:c r="K200" s="14" t="n">
        <x:v>2022</x:v>
      </x:c>
      <x:c r="L200" s="14" t="str">
        <x:v>Not inherited</x:v>
      </x:c>
      <x:c r="M200" s="15" t="n">
        <x:v>37</x:v>
      </x:c>
      <x:c r="N200" s="14" t="str">
        <x:v>Debra Penny</x:v>
      </x:c>
      <x:c r="O200" s="14" t="str">
        <x:v>nm2001466</x:v>
      </x:c>
      <x:c r="P200" s="14" t="str">
        <x:v>Second Forensics Officer / Second Forensic Officer</x:v>
      </x:c>
      <x:c r="Q200" s="15" t="n">
        <x:v>2</x:v>
      </x:c>
      <x:c r="R200" s="14" t="str">
        <x:v>2024</x:v>
      </x:c>
      <x:c r="S200" s="14" t="n">
        <x:v>2024</x:v>
      </x:c>
      <x:c r="T200" s="14" t="n">
        <x:v>2024</x:v>
      </x:c>
      <x:c r="U200" s="14" t="str">
        <x:v>Explicit source first year retained</x:v>
      </x:c>
      <x:c r="V200" s="14" t="str">
        <x:v>Earliest supplied year is 2024.</x:v>
      </x:c>
      <x:c r="W200" s="14"/>
      <x:c r="X200" s="14" t="str">
        <x:v>Carried forward to 2024</x:v>
      </x:c>
      <x:c r="Y200" s="14"/>
      <x:c r="Z200" s="14" t="str">
        <x:v>DI Ray.docx</x:v>
      </x:c>
      <x:c r="AA20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ITV / ITVX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HYPERLINK("https://en.wikipedia.org/wiki/DI_Ray","Open source")</x:f>
        <x:v>HYPERLINK is not implemented. linkLocation=https://en.wikipedia.org/wiki/DI_Ray, friendlyName=Open source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10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2</x:v>
      </x:c>
      <x:c r="BS200" s="16" t="n">
        <x:v>0.2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tt15536118|nm10035237|joey chapman</x:v>
      </x:c>
      <x:c r="B201" s="14" t="str">
        <x:v>02</x:v>
      </x:c>
      <x:c r="C201" s="14" t="str">
        <x:v>2022_IMDb_Cast_Lists_Batch_02(1).xlsx</x:v>
      </x:c>
      <x:c r="D201" s="14" t="str">
        <x:v>DI Ray</x:v>
      </x:c>
      <x:c r="E201" s="14" t="n">
        <x:v>48</x:v>
      </x:c>
      <x:c r="F201" s="14" t="str">
        <x:v>DI Ray</x:v>
      </x:c>
      <x:c r="G201" s="14" t="str">
        <x:v>tt15536118</x:v>
      </x:c>
      <x:c r="H201" s="14" t="n">
        <x:v>2022</x:v>
      </x:c>
      <x:c r="I201" s="14" t="n">
        <x:v>2023</x:v>
      </x:c>
      <x:c r="J201" s="14" t="str">
        <x:v>Future Carry-Forward Cohort</x:v>
      </x:c>
      <x:c r="K201" s="14" t="n">
        <x:v>2022</x:v>
      </x:c>
      <x:c r="L201" s="14" t="str">
        <x:v>Not inherited</x:v>
      </x:c>
      <x:c r="M201" s="15" t="n">
        <x:v>41</x:v>
      </x:c>
      <x:c r="N201" s="14" t="str">
        <x:v>Kiera Thompson</x:v>
      </x:c>
      <x:c r="O201" s="14" t="str">
        <x:v>nm10035237</x:v>
      </x:c>
      <x:c r="P201" s="14" t="str">
        <x:v>Joey Chapman</x:v>
      </x:c>
      <x:c r="Q201" s="15" t="n">
        <x:v>2</x:v>
      </x:c>
      <x:c r="R201" s="14" t="str">
        <x:v>2024</x:v>
      </x:c>
      <x:c r="S201" s="14" t="n">
        <x:v>2024</x:v>
      </x:c>
      <x:c r="T201" s="14" t="n">
        <x:v>2024</x:v>
      </x:c>
      <x:c r="U201" s="14" t="str">
        <x:v>Explicit source first year retained</x:v>
      </x:c>
      <x:c r="V201" s="14" t="str">
        <x:v>Earliest supplied year is 2024.</x:v>
      </x:c>
      <x:c r="W201" s="14"/>
      <x:c r="X201" s="14" t="str">
        <x:v>Carried forward to 2024</x:v>
      </x:c>
      <x:c r="Y201" s="14"/>
      <x:c r="Z201" s="14" t="str">
        <x:v>DI Ray.docx</x:v>
      </x:c>
      <x:c r="AA20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ITV / ITVX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HYPERLINK("https://en.wikipedia.org/wiki/DI_Ray","Open source")</x:f>
        <x:v>HYPERLINK is not implemented. linkLocation=https://en.wikipedia.org/wiki/DI_Ray, friendlyName=Open source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10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2</x:v>
      </x:c>
      <x:c r="BS201" s="16" t="n">
        <x:v>0.2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tt15536118|nm1752079|claire doyle</x:v>
      </x:c>
      <x:c r="B202" s="14" t="str">
        <x:v>02</x:v>
      </x:c>
      <x:c r="C202" s="14" t="str">
        <x:v>2022_IMDb_Cast_Lists_Batch_02(1).xlsx</x:v>
      </x:c>
      <x:c r="D202" s="14" t="str">
        <x:v>DI Ray</x:v>
      </x:c>
      <x:c r="E202" s="14" t="n">
        <x:v>49</x:v>
      </x:c>
      <x:c r="F202" s="14" t="str">
        <x:v>DI Ray</x:v>
      </x:c>
      <x:c r="G202" s="14" t="str">
        <x:v>tt15536118</x:v>
      </x:c>
      <x:c r="H202" s="14" t="n">
        <x:v>2022</x:v>
      </x:c>
      <x:c r="I202" s="14" t="n">
        <x:v>2023</x:v>
      </x:c>
      <x:c r="J202" s="14" t="str">
        <x:v>Future Carry-Forward Cohort</x:v>
      </x:c>
      <x:c r="K202" s="14" t="n">
        <x:v>2022</x:v>
      </x:c>
      <x:c r="L202" s="14" t="str">
        <x:v>Not inherited</x:v>
      </x:c>
      <x:c r="M202" s="15" t="n">
        <x:v>42</x:v>
      </x:c>
      <x:c r="N202" s="14" t="str">
        <x:v>Angela Bull</x:v>
      </x:c>
      <x:c r="O202" s="14" t="str">
        <x:v>nm1752079</x:v>
      </x:c>
      <x:c r="P202" s="14" t="str">
        <x:v>Claire Doyle</x:v>
      </x:c>
      <x:c r="Q202" s="15" t="n">
        <x:v>2</x:v>
      </x:c>
      <x:c r="R202" s="14" t="str">
        <x:v>2024</x:v>
      </x:c>
      <x:c r="S202" s="14" t="n">
        <x:v>2024</x:v>
      </x:c>
      <x:c r="T202" s="14" t="n">
        <x:v>2024</x:v>
      </x:c>
      <x:c r="U202" s="14" t="str">
        <x:v>Explicit source first year retained</x:v>
      </x:c>
      <x:c r="V202" s="14" t="str">
        <x:v>Earliest supplied year is 2024.</x:v>
      </x:c>
      <x:c r="W202" s="14"/>
      <x:c r="X202" s="14" t="str">
        <x:v>Carried forward to 2024</x:v>
      </x:c>
      <x:c r="Y202" s="14"/>
      <x:c r="Z202" s="14" t="str">
        <x:v>DI Ray.docx</x:v>
      </x:c>
      <x:c r="AA20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ITV / ITVX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HYPERLINK("https://en.wikipedia.org/wiki/DI_Ray","Open source")</x:f>
        <x:v>HYPERLINK is not implemented. linkLocation=https://en.wikipedia.org/wiki/DI_Ray, friendlyName=Open source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 t="str">
        <x:v>No established-register match</x:v>
      </x:c>
      <x:c r="AT202" s="14"/>
      <x:c r="AU202" s="14"/>
      <x:c r="AV202" s="14" t="str">
        <x:v>No established apparent-disability match</x:v>
      </x:c>
      <x:c r="AW202" s="14"/>
      <x:c r="AX202" s="14" t="str">
        <x:v>No</x:v>
      </x:c>
      <x:c r="AY202" s="14" t="str">
        <x:v>Unmatched</x:v>
      </x:c>
      <x:c r="AZ202" s="14" t="str">
        <x:v>Final supplied register</x:v>
      </x:c>
      <x:c r="BA202" s="14" t="str">
        <x:v>Absence from the register is not evidence that the performer is not disabled.</x:v>
      </x:c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10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2</x:v>
      </x:c>
      <x:c r="BS202" s="16" t="n">
        <x:v>0.2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tt15536118|nm1544132|nick henderson</x:v>
      </x:c>
      <x:c r="B203" s="14" t="str">
        <x:v>02</x:v>
      </x:c>
      <x:c r="C203" s="14" t="str">
        <x:v>2022_IMDb_Cast_Lists_Batch_02(1).xlsx</x:v>
      </x:c>
      <x:c r="D203" s="14" t="str">
        <x:v>DI Ray</x:v>
      </x:c>
      <x:c r="E203" s="14" t="n">
        <x:v>54</x:v>
      </x:c>
      <x:c r="F203" s="14" t="str">
        <x:v>DI Ray</x:v>
      </x:c>
      <x:c r="G203" s="14" t="str">
        <x:v>tt15536118</x:v>
      </x:c>
      <x:c r="H203" s="14" t="n">
        <x:v>2022</x:v>
      </x:c>
      <x:c r="I203" s="14" t="n">
        <x:v>2023</x:v>
      </x:c>
      <x:c r="J203" s="14" t="str">
        <x:v>Future Carry-Forward Cohort</x:v>
      </x:c>
      <x:c r="K203" s="14" t="n">
        <x:v>2022</x:v>
      </x:c>
      <x:c r="L203" s="14" t="str">
        <x:v>Not inherited</x:v>
      </x:c>
      <x:c r="M203" s="15" t="n">
        <x:v>47</x:v>
      </x:c>
      <x:c r="N203" s="14" t="str">
        <x:v>James Daffern</x:v>
      </x:c>
      <x:c r="O203" s="14" t="str">
        <x:v>nm1544132</x:v>
      </x:c>
      <x:c r="P203" s="14" t="str">
        <x:v>Nick Henderson</x:v>
      </x:c>
      <x:c r="Q203" s="15" t="n">
        <x:v>2</x:v>
      </x:c>
      <x:c r="R203" s="14" t="str">
        <x:v>2024</x:v>
      </x:c>
      <x:c r="S203" s="14" t="n">
        <x:v>2024</x:v>
      </x:c>
      <x:c r="T203" s="14" t="n">
        <x:v>2024</x:v>
      </x:c>
      <x:c r="U203" s="14" t="str">
        <x:v>Explicit source first year retained</x:v>
      </x:c>
      <x:c r="V203" s="14" t="str">
        <x:v>Earliest supplied year is 2024.</x:v>
      </x:c>
      <x:c r="W203" s="14"/>
      <x:c r="X203" s="14" t="str">
        <x:v>Carried forward to 2024</x:v>
      </x:c>
      <x:c r="Y203" s="14"/>
      <x:c r="Z203" s="14" t="str">
        <x:v>DI Ray.docx</x:v>
      </x:c>
      <x:c r="AA20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ITV / ITVX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HYPERLINK("https://en.wikipedia.org/wiki/DI_Ray","Open source")</x:f>
        <x:v>HYPERLINK is not implemented. linkLocation=https://en.wikipedia.org/wiki/DI_Ray, friendlyName=Open source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10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2</x:v>
      </x:c>
      <x:c r="BS203" s="16" t="n">
        <x:v>0.2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tt15536118|nm10546812|degsy</x:v>
      </x:c>
      <x:c r="B204" s="14" t="str">
        <x:v>02</x:v>
      </x:c>
      <x:c r="C204" s="14" t="str">
        <x:v>2022_IMDb_Cast_Lists_Batch_02(1).xlsx</x:v>
      </x:c>
      <x:c r="D204" s="14" t="str">
        <x:v>DI Ray</x:v>
      </x:c>
      <x:c r="E204" s="14" t="n">
        <x:v>55</x:v>
      </x:c>
      <x:c r="F204" s="14" t="str">
        <x:v>DI Ray</x:v>
      </x:c>
      <x:c r="G204" s="14" t="str">
        <x:v>tt15536118</x:v>
      </x:c>
      <x:c r="H204" s="14" t="n">
        <x:v>2022</x:v>
      </x:c>
      <x:c r="I204" s="14" t="n">
        <x:v>2023</x:v>
      </x:c>
      <x:c r="J204" s="14" t="str">
        <x:v>Future Carry-Forward Cohort</x:v>
      </x:c>
      <x:c r="K204" s="14" t="n">
        <x:v>2022</x:v>
      </x:c>
      <x:c r="L204" s="14" t="str">
        <x:v>Not inherited</x:v>
      </x:c>
      <x:c r="M204" s="15" t="n">
        <x:v>48</x:v>
      </x:c>
      <x:c r="N204" s="14" t="str">
        <x:v>Jordan Pearson</x:v>
      </x:c>
      <x:c r="O204" s="14" t="str">
        <x:v>nm10546812</x:v>
      </x:c>
      <x:c r="P204" s="14" t="str">
        <x:v>Degsy</x:v>
      </x:c>
      <x:c r="Q204" s="15" t="n">
        <x:v>2</x:v>
      </x:c>
      <x:c r="R204" s="14" t="str">
        <x:v>2024</x:v>
      </x:c>
      <x:c r="S204" s="14" t="n">
        <x:v>2024</x:v>
      </x:c>
      <x:c r="T204" s="14" t="n">
        <x:v>2024</x:v>
      </x:c>
      <x:c r="U204" s="14" t="str">
        <x:v>Explicit source first year retained</x:v>
      </x:c>
      <x:c r="V204" s="14" t="str">
        <x:v>Earliest supplied year is 2024.</x:v>
      </x:c>
      <x:c r="W204" s="14"/>
      <x:c r="X204" s="14" t="str">
        <x:v>Carried forward to 2024</x:v>
      </x:c>
      <x:c r="Y204" s="14"/>
      <x:c r="Z204" s="14" t="str">
        <x:v>DI Ray.docx</x:v>
      </x:c>
      <x:c r="AA20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ITV / ITVX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HYPERLINK("https://en.wikipedia.org/wiki/DI_Ray","Open source")</x:f>
        <x:v>HYPERLINK is not implemented. linkLocation=https://en.wikipedia.org/wiki/DI_Ray, friendlyName=Open source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10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2</x:v>
      </x:c>
      <x:c r="BS204" s="16" t="n">
        <x:v>0.2</x:v>
      </x:c>
      <x:c r="BT204" s="14" t="str">
        <x:v>Minority of episodes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tt15536118|nm2472549|kulwant</x:v>
      </x:c>
      <x:c r="B205" s="14" t="str">
        <x:v>02</x:v>
      </x:c>
      <x:c r="C205" s="14" t="str">
        <x:v>2022_IMDb_Cast_Lists_Batch_02(1).xlsx</x:v>
      </x:c>
      <x:c r="D205" s="14" t="str">
        <x:v>DI Ray</x:v>
      </x:c>
      <x:c r="E205" s="14" t="n">
        <x:v>57</x:v>
      </x:c>
      <x:c r="F205" s="14" t="str">
        <x:v>DI Ray</x:v>
      </x:c>
      <x:c r="G205" s="14" t="str">
        <x:v>tt15536118</x:v>
      </x:c>
      <x:c r="H205" s="14" t="n">
        <x:v>2022</x:v>
      </x:c>
      <x:c r="I205" s="14" t="n">
        <x:v>2023</x:v>
      </x:c>
      <x:c r="J205" s="14" t="str">
        <x:v>Future Carry-Forward Cohort</x:v>
      </x:c>
      <x:c r="K205" s="14" t="n">
        <x:v>2022</x:v>
      </x:c>
      <x:c r="L205" s="14" t="str">
        <x:v>Not inherited</x:v>
      </x:c>
      <x:c r="M205" s="15" t="n">
        <x:v>50</x:v>
      </x:c>
      <x:c r="N205" s="14" t="str">
        <x:v>Johndeep More</x:v>
      </x:c>
      <x:c r="O205" s="14" t="str">
        <x:v>nm2472549</x:v>
      </x:c>
      <x:c r="P205" s="14" t="str">
        <x:v>Kulwant</x:v>
      </x:c>
      <x:c r="Q205" s="15" t="n">
        <x:v>2</x:v>
      </x:c>
      <x:c r="R205" s="14" t="str">
        <x:v>2024</x:v>
      </x:c>
      <x:c r="S205" s="14" t="n">
        <x:v>2024</x:v>
      </x:c>
      <x:c r="T205" s="14" t="n">
        <x:v>2024</x:v>
      </x:c>
      <x:c r="U205" s="14" t="str">
        <x:v>Explicit source first year retained</x:v>
      </x:c>
      <x:c r="V205" s="14" t="str">
        <x:v>Earliest supplied year is 2024.</x:v>
      </x:c>
      <x:c r="W205" s="14"/>
      <x:c r="X205" s="14" t="str">
        <x:v>Carried forward to 2024</x:v>
      </x:c>
      <x:c r="Y205" s="14"/>
      <x:c r="Z205" s="14" t="str">
        <x:v>DI Ray.docx</x:v>
      </x:c>
      <x:c r="AA20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ITV / ITVX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HYPERLINK("https://en.wikipedia.org/wiki/DI_Ray","Open source")</x:f>
        <x:v>HYPERLINK is not implemented. linkLocation=https://en.wikipedia.org/wiki/DI_Ray, friendlyName=Open source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10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2</x:v>
      </x:c>
      <x:c r="BS205" s="16" t="n">
        <x:v>0.2</x:v>
      </x:c>
      <x:c r="BT205" s="14" t="str">
        <x:v>Minority of episodes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tt15536118|nm8424791|dawn hughes</x:v>
      </x:c>
      <x:c r="B206" s="14" t="str">
        <x:v>02</x:v>
      </x:c>
      <x:c r="C206" s="14" t="str">
        <x:v>2022_IMDb_Cast_Lists_Batch_02(1).xlsx</x:v>
      </x:c>
      <x:c r="D206" s="14" t="str">
        <x:v>DI Ray</x:v>
      </x:c>
      <x:c r="E206" s="14" t="n">
        <x:v>59</x:v>
      </x:c>
      <x:c r="F206" s="14" t="str">
        <x:v>DI Ray</x:v>
      </x:c>
      <x:c r="G206" s="14" t="str">
        <x:v>tt15536118</x:v>
      </x:c>
      <x:c r="H206" s="14" t="n">
        <x:v>2022</x:v>
      </x:c>
      <x:c r="I206" s="14" t="n">
        <x:v>2023</x:v>
      </x:c>
      <x:c r="J206" s="14" t="str">
        <x:v>Future Carry-Forward Cohort</x:v>
      </x:c>
      <x:c r="K206" s="14" t="n">
        <x:v>2022</x:v>
      </x:c>
      <x:c r="L206" s="14" t="str">
        <x:v>Not inherited</x:v>
      </x:c>
      <x:c r="M206" s="15" t="n">
        <x:v>52</x:v>
      </x:c>
      <x:c r="N206" s="14" t="str">
        <x:v>Ella Dunlop</x:v>
      </x:c>
      <x:c r="O206" s="14" t="str">
        <x:v>nm8424791</x:v>
      </x:c>
      <x:c r="P206" s="14" t="str">
        <x:v>Dawn Hughes</x:v>
      </x:c>
      <x:c r="Q206" s="15" t="n">
        <x:v>2</x:v>
      </x:c>
      <x:c r="R206" s="14" t="str">
        <x:v>2024</x:v>
      </x:c>
      <x:c r="S206" s="14" t="n">
        <x:v>2024</x:v>
      </x:c>
      <x:c r="T206" s="14" t="n">
        <x:v>2024</x:v>
      </x:c>
      <x:c r="U206" s="14" t="str">
        <x:v>Explicit source first year retained</x:v>
      </x:c>
      <x:c r="V206" s="14" t="str">
        <x:v>Earliest supplied year is 2024.</x:v>
      </x:c>
      <x:c r="W206" s="14"/>
      <x:c r="X206" s="14" t="str">
        <x:v>Carried forward to 2024</x:v>
      </x:c>
      <x:c r="Y206" s="14"/>
      <x:c r="Z206" s="14" t="str">
        <x:v>DI Ray.docx</x:v>
      </x:c>
      <x:c r="AA20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ITV / ITVX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HYPERLINK("https://en.wikipedia.org/wiki/DI_Ray","Open source")</x:f>
        <x:v>HYPERLINK is not implemented. linkLocation=https://en.wikipedia.org/wiki/DI_Ray, friendlyName=Open source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10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2</x:v>
      </x:c>
      <x:c r="BS206" s="16" t="n">
        <x:v>0.2</x:v>
      </x:c>
      <x:c r="BT206" s="14" t="str">
        <x:v>Minority of episodes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tt15536118|nm11944218|child support worker</x:v>
      </x:c>
      <x:c r="B207" s="14" t="str">
        <x:v>02</x:v>
      </x:c>
      <x:c r="C207" s="14" t="str">
        <x:v>2022_IMDb_Cast_Lists_Batch_02(1).xlsx</x:v>
      </x:c>
      <x:c r="D207" s="14" t="str">
        <x:v>DI Ray</x:v>
      </x:c>
      <x:c r="E207" s="14" t="n">
        <x:v>60</x:v>
      </x:c>
      <x:c r="F207" s="14" t="str">
        <x:v>DI Ray</x:v>
      </x:c>
      <x:c r="G207" s="14" t="str">
        <x:v>tt15536118</x:v>
      </x:c>
      <x:c r="H207" s="14" t="n">
        <x:v>2022</x:v>
      </x:c>
      <x:c r="I207" s="14" t="n">
        <x:v>2023</x:v>
      </x:c>
      <x:c r="J207" s="14" t="str">
        <x:v>Future Carry-Forward Cohort</x:v>
      </x:c>
      <x:c r="K207" s="14" t="n">
        <x:v>2022</x:v>
      </x:c>
      <x:c r="L207" s="14" t="str">
        <x:v>Not inherited</x:v>
      </x:c>
      <x:c r="M207" s="15" t="n">
        <x:v>53</x:v>
      </x:c>
      <x:c r="N207" s="14" t="str">
        <x:v>Victoria Howell</x:v>
      </x:c>
      <x:c r="O207" s="14" t="str">
        <x:v>nm11944218</x:v>
      </x:c>
      <x:c r="P207" s="14" t="str">
        <x:v>Child Support Worker</x:v>
      </x:c>
      <x:c r="Q207" s="15" t="n">
        <x:v>2</x:v>
      </x:c>
      <x:c r="R207" s="14" t="str">
        <x:v>2024</x:v>
      </x:c>
      <x:c r="S207" s="14" t="n">
        <x:v>2024</x:v>
      </x:c>
      <x:c r="T207" s="14" t="n">
        <x:v>2024</x:v>
      </x:c>
      <x:c r="U207" s="14" t="str">
        <x:v>Explicit source first year retained</x:v>
      </x:c>
      <x:c r="V207" s="14" t="str">
        <x:v>Earliest supplied year is 2024.</x:v>
      </x:c>
      <x:c r="W207" s="14"/>
      <x:c r="X207" s="14" t="str">
        <x:v>Carried forward to 2024</x:v>
      </x:c>
      <x:c r="Y207" s="14"/>
      <x:c r="Z207" s="14" t="str">
        <x:v>DI Ray.docx</x:v>
      </x:c>
      <x:c r="AA20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ITV / ITVX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HYPERLINK("https://en.wikipedia.org/wiki/DI_Ray","Open source")</x:f>
        <x:v>HYPERLINK is not implemented. linkLocation=https://en.wikipedia.org/wiki/DI_Ray, friendlyName=Open source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10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2</x:v>
      </x:c>
      <x:c r="BS207" s="16" t="n">
        <x:v>0.2</x:v>
      </x:c>
      <x:c r="BT207" s="14" t="str">
        <x:v>Minority of episodes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tt15536118|nm1889376|lisa kirkby</x:v>
      </x:c>
      <x:c r="B208" s="14" t="str">
        <x:v>02</x:v>
      </x:c>
      <x:c r="C208" s="14" t="str">
        <x:v>2022_IMDb_Cast_Lists_Batch_02(1).xlsx</x:v>
      </x:c>
      <x:c r="D208" s="14" t="str">
        <x:v>DI Ray</x:v>
      </x:c>
      <x:c r="E208" s="14" t="n">
        <x:v>62</x:v>
      </x:c>
      <x:c r="F208" s="14" t="str">
        <x:v>DI Ray</x:v>
      </x:c>
      <x:c r="G208" s="14" t="str">
        <x:v>tt15536118</x:v>
      </x:c>
      <x:c r="H208" s="14" t="n">
        <x:v>2022</x:v>
      </x:c>
      <x:c r="I208" s="14" t="n">
        <x:v>2023</x:v>
      </x:c>
      <x:c r="J208" s="14" t="str">
        <x:v>Future Carry-Forward Cohort</x:v>
      </x:c>
      <x:c r="K208" s="14" t="n">
        <x:v>2022</x:v>
      </x:c>
      <x:c r="L208" s="14" t="str">
        <x:v>Not inherited</x:v>
      </x:c>
      <x:c r="M208" s="15" t="n">
        <x:v>55</x:v>
      </x:c>
      <x:c r="N208" s="14" t="str">
        <x:v>Heather Coombs</x:v>
      </x:c>
      <x:c r="O208" s="14" t="str">
        <x:v>nm1889376</x:v>
      </x:c>
      <x:c r="P208" s="14" t="str">
        <x:v>Lisa Kirkby</x:v>
      </x:c>
      <x:c r="Q208" s="15" t="n">
        <x:v>2</x:v>
      </x:c>
      <x:c r="R208" s="14" t="str">
        <x:v>2024</x:v>
      </x:c>
      <x:c r="S208" s="14" t="n">
        <x:v>2024</x:v>
      </x:c>
      <x:c r="T208" s="14" t="n">
        <x:v>2024</x:v>
      </x:c>
      <x:c r="U208" s="14" t="str">
        <x:v>Explicit source first year retained</x:v>
      </x:c>
      <x:c r="V208" s="14" t="str">
        <x:v>Earliest supplied year is 2024.</x:v>
      </x:c>
      <x:c r="W208" s="14"/>
      <x:c r="X208" s="14" t="str">
        <x:v>Carried forward to 2024</x:v>
      </x:c>
      <x:c r="Y208" s="14"/>
      <x:c r="Z208" s="14" t="str">
        <x:v>DI Ray.docx</x:v>
      </x:c>
      <x:c r="AA20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ITV / ITVX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HYPERLINK("https://en.wikipedia.org/wiki/DI_Ray","Open source")</x:f>
        <x:v>HYPERLINK is not implemented. linkLocation=https://en.wikipedia.org/wiki/DI_Ray, friendlyName=Open source</x:v>
      </x:c>
      <x:c r="AN208" s="14" t="str">
        <x:v>No qualifying BBC relationship</x:v>
      </x:c>
      <x:c r="AO208" s="14" t="str">
        <x:v>No</x:v>
      </x:c>
      <x:c r="AP208" s="14" t="str">
        <x:v>Out of scope</x:v>
      </x:c>
      <x:c r="AQ208" s="14" t="str">
        <x:v>No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10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2</x:v>
      </x:c>
      <x:c r="BS208" s="16" t="n">
        <x:v>0.2</x:v>
      </x:c>
      <x:c r="BT208" s="14" t="str">
        <x:v>Minority of episodes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tt15536118|nm11962099|ballistics officer</x:v>
      </x:c>
      <x:c r="B209" s="14" t="str">
        <x:v>02</x:v>
      </x:c>
      <x:c r="C209" s="14" t="str">
        <x:v>2022_IMDb_Cast_Lists_Batch_02(1).xlsx</x:v>
      </x:c>
      <x:c r="D209" s="14" t="str">
        <x:v>DI Ray</x:v>
      </x:c>
      <x:c r="E209" s="14" t="n">
        <x:v>63</x:v>
      </x:c>
      <x:c r="F209" s="14" t="str">
        <x:v>DI Ray</x:v>
      </x:c>
      <x:c r="G209" s="14" t="str">
        <x:v>tt15536118</x:v>
      </x:c>
      <x:c r="H209" s="14" t="n">
        <x:v>2022</x:v>
      </x:c>
      <x:c r="I209" s="14" t="n">
        <x:v>2023</x:v>
      </x:c>
      <x:c r="J209" s="14" t="str">
        <x:v>Future Carry-Forward Cohort</x:v>
      </x:c>
      <x:c r="K209" s="14" t="n">
        <x:v>2022</x:v>
      </x:c>
      <x:c r="L209" s="14" t="str">
        <x:v>Not inherited</x:v>
      </x:c>
      <x:c r="M209" s="15" t="n">
        <x:v>56</x:v>
      </x:c>
      <x:c r="N209" s="14" t="str">
        <x:v>Mustafa Chaudhry</x:v>
      </x:c>
      <x:c r="O209" s="14" t="str">
        <x:v>nm11962099</x:v>
      </x:c>
      <x:c r="P209" s="14" t="str">
        <x:v>Ballistics Officer</x:v>
      </x:c>
      <x:c r="Q209" s="15" t="n">
        <x:v>2</x:v>
      </x:c>
      <x:c r="R209" s="14" t="str">
        <x:v>2024</x:v>
      </x:c>
      <x:c r="S209" s="14" t="n">
        <x:v>2024</x:v>
      </x:c>
      <x:c r="T209" s="14" t="n">
        <x:v>2024</x:v>
      </x:c>
      <x:c r="U209" s="14" t="str">
        <x:v>Explicit source first year retained</x:v>
      </x:c>
      <x:c r="V209" s="14" t="str">
        <x:v>Earliest supplied year is 2024.</x:v>
      </x:c>
      <x:c r="W209" s="14"/>
      <x:c r="X209" s="14" t="str">
        <x:v>Carried forward to 2024</x:v>
      </x:c>
      <x:c r="Y209" s="14"/>
      <x:c r="Z209" s="14" t="str">
        <x:v>DI Ray.docx</x:v>
      </x:c>
      <x:c r="AA20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ITV / ITVX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HYPERLINK("https://en.wikipedia.org/wiki/DI_Ray","Open source")</x:f>
        <x:v>HYPERLINK is not implemented. linkLocation=https://en.wikipedia.org/wiki/DI_Ray, friendlyName=Open source</x:v>
      </x:c>
      <x:c r="AN209" s="14" t="str">
        <x:v>No qualifying BBC relationship</x:v>
      </x:c>
      <x:c r="AO209" s="14" t="str">
        <x:v>No</x:v>
      </x:c>
      <x:c r="AP209" s="14" t="str">
        <x:v>Out of scope</x:v>
      </x:c>
      <x:c r="AQ209" s="14" t="str">
        <x:v>No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10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2</x:v>
      </x:c>
      <x:c r="BS209" s="16" t="n">
        <x:v>0.2</x:v>
      </x:c>
      <x:c r="BT209" s="14" t="str">
        <x:v>Minority of episodes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tt15536118|nm5688094|shiv basra</x:v>
      </x:c>
      <x:c r="B210" s="14" t="str">
        <x:v>02</x:v>
      </x:c>
      <x:c r="C210" s="14" t="str">
        <x:v>2022_IMDb_Cast_Lists_Batch_02(1).xlsx</x:v>
      </x:c>
      <x:c r="D210" s="14" t="str">
        <x:v>DI Ray</x:v>
      </x:c>
      <x:c r="E210" s="14" t="n">
        <x:v>64</x:v>
      </x:c>
      <x:c r="F210" s="14" t="str">
        <x:v>DI Ray</x:v>
      </x:c>
      <x:c r="G210" s="14" t="str">
        <x:v>tt15536118</x:v>
      </x:c>
      <x:c r="H210" s="14" t="n">
        <x:v>2022</x:v>
      </x:c>
      <x:c r="I210" s="14" t="n">
        <x:v>2023</x:v>
      </x:c>
      <x:c r="J210" s="14" t="str">
        <x:v>Future Carry-Forward Cohort</x:v>
      </x:c>
      <x:c r="K210" s="14" t="n">
        <x:v>2022</x:v>
      </x:c>
      <x:c r="L210" s="14" t="str">
        <x:v>Not inherited</x:v>
      </x:c>
      <x:c r="M210" s="15" t="n">
        <x:v>57</x:v>
      </x:c>
      <x:c r="N210" s="14" t="str">
        <x:v>Manish Gandhi</x:v>
      </x:c>
      <x:c r="O210" s="14" t="str">
        <x:v>nm5688094</x:v>
      </x:c>
      <x:c r="P210" s="14" t="str">
        <x:v>Shiv Basra</x:v>
      </x:c>
      <x:c r="Q210" s="15" t="n">
        <x:v>2</x:v>
      </x:c>
      <x:c r="R210" s="14" t="str">
        <x:v>2024</x:v>
      </x:c>
      <x:c r="S210" s="14" t="n">
        <x:v>2024</x:v>
      </x:c>
      <x:c r="T210" s="14" t="n">
        <x:v>2024</x:v>
      </x:c>
      <x:c r="U210" s="14" t="str">
        <x:v>Explicit source first year retained</x:v>
      </x:c>
      <x:c r="V210" s="14" t="str">
        <x:v>Earliest supplied year is 2024.</x:v>
      </x:c>
      <x:c r="W210" s="14"/>
      <x:c r="X210" s="14" t="str">
        <x:v>Carried forward to 2024</x:v>
      </x:c>
      <x:c r="Y210" s="14"/>
      <x:c r="Z210" s="14" t="str">
        <x:v>DI Ray.docx</x:v>
      </x:c>
      <x:c r="AA21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ITV / ITVX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HYPERLINK("https://en.wikipedia.org/wiki/DI_Ray","Open source")</x:f>
        <x:v>HYPERLINK is not implemented. linkLocation=https://en.wikipedia.org/wiki/DI_Ray, friendlyName=Open source</x:v>
      </x:c>
      <x:c r="AN210" s="14" t="str">
        <x:v>No qualifying BBC relationship</x:v>
      </x:c>
      <x:c r="AO210" s="14" t="str">
        <x:v>No</x:v>
      </x:c>
      <x:c r="AP210" s="14" t="str">
        <x:v>Out of scope</x:v>
      </x:c>
      <x:c r="AQ210" s="14" t="str">
        <x:v>No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10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2</x:v>
      </x:c>
      <x:c r="BS210" s="16" t="n">
        <x:v>0.2</x:v>
      </x:c>
      <x:c r="BT210" s="14" t="str">
        <x:v>Minority of episodes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tt15536118|nm11791888|megan parks</x:v>
      </x:c>
      <x:c r="B211" s="14" t="str">
        <x:v>02</x:v>
      </x:c>
      <x:c r="C211" s="14" t="str">
        <x:v>2022_IMDb_Cast_Lists_Batch_02(1).xlsx</x:v>
      </x:c>
      <x:c r="D211" s="14" t="str">
        <x:v>DI Ray</x:v>
      </x:c>
      <x:c r="E211" s="14" t="n">
        <x:v>67</x:v>
      </x:c>
      <x:c r="F211" s="14" t="str">
        <x:v>DI Ray</x:v>
      </x:c>
      <x:c r="G211" s="14" t="str">
        <x:v>tt15536118</x:v>
      </x:c>
      <x:c r="H211" s="14" t="n">
        <x:v>2022</x:v>
      </x:c>
      <x:c r="I211" s="14" t="n">
        <x:v>2023</x:v>
      </x:c>
      <x:c r="J211" s="14" t="str">
        <x:v>Future Carry-Forward Cohort</x:v>
      </x:c>
      <x:c r="K211" s="14" t="n">
        <x:v>2022</x:v>
      </x:c>
      <x:c r="L211" s="14" t="str">
        <x:v>Not inherited</x:v>
      </x:c>
      <x:c r="M211" s="15" t="n">
        <x:v>60</x:v>
      </x:c>
      <x:c r="N211" s="14" t="str">
        <x:v>Phoebe Marshall</x:v>
      </x:c>
      <x:c r="O211" s="14" t="str">
        <x:v>nm11791888</x:v>
      </x:c>
      <x:c r="P211" s="14" t="str">
        <x:v>Megan Parks</x:v>
      </x:c>
      <x:c r="Q211" s="15" t="n">
        <x:v>1</x:v>
      </x:c>
      <x:c r="R211" s="14" t="str">
        <x:v>2024</x:v>
      </x:c>
      <x:c r="S211" s="14" t="n">
        <x:v>2024</x:v>
      </x:c>
      <x:c r="T211" s="14" t="n">
        <x:v>2024</x:v>
      </x:c>
      <x:c r="U211" s="14" t="str">
        <x:v>Explicit source first year retained</x:v>
      </x:c>
      <x:c r="V211" s="14" t="str">
        <x:v>Earliest supplied year is 2024.</x:v>
      </x:c>
      <x:c r="W211" s="14"/>
      <x:c r="X211" s="14" t="str">
        <x:v>Carried forward to 2024</x:v>
      </x:c>
      <x:c r="Y211" s="14"/>
      <x:c r="Z211" s="14" t="str">
        <x:v>DI Ray.docx</x:v>
      </x:c>
      <x:c r="AA21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ITV / ITVX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HYPERLINK("https://en.wikipedia.org/wiki/DI_Ray","Open source")</x:f>
        <x:v>HYPERLINK is not implemented. linkLocation=https://en.wikipedia.org/wiki/DI_Ray, friendlyName=Open source</x:v>
      </x:c>
      <x:c r="AN211" s="14" t="str">
        <x:v>No qualifying BBC relationship</x:v>
      </x:c>
      <x:c r="AO211" s="14" t="str">
        <x:v>No</x:v>
      </x:c>
      <x:c r="AP211" s="14" t="str">
        <x:v>Out of scope</x:v>
      </x:c>
      <x:c r="AQ211" s="14" t="str">
        <x:v>No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10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0.1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tt15536118|nm3542065|david brown</x:v>
      </x:c>
      <x:c r="B212" s="14" t="str">
        <x:v>02</x:v>
      </x:c>
      <x:c r="C212" s="14" t="str">
        <x:v>2022_IMDb_Cast_Lists_Batch_02(1).xlsx</x:v>
      </x:c>
      <x:c r="D212" s="14" t="str">
        <x:v>DI Ray</x:v>
      </x:c>
      <x:c r="E212" s="14" t="n">
        <x:v>73</x:v>
      </x:c>
      <x:c r="F212" s="14" t="str">
        <x:v>DI Ray</x:v>
      </x:c>
      <x:c r="G212" s="14" t="str">
        <x:v>tt15536118</x:v>
      </x:c>
      <x:c r="H212" s="14" t="n">
        <x:v>2022</x:v>
      </x:c>
      <x:c r="I212" s="14" t="n">
        <x:v>2023</x:v>
      </x:c>
      <x:c r="J212" s="14" t="str">
        <x:v>Future Carry-Forward Cohort</x:v>
      </x:c>
      <x:c r="K212" s="14" t="n">
        <x:v>2022</x:v>
      </x:c>
      <x:c r="L212" s="14" t="str">
        <x:v>Not inherited</x:v>
      </x:c>
      <x:c r="M212" s="15" t="n">
        <x:v>66</x:v>
      </x:c>
      <x:c r="N212" s="14" t="str">
        <x:v>Ian Attard</x:v>
      </x:c>
      <x:c r="O212" s="14" t="str">
        <x:v>nm3542065</x:v>
      </x:c>
      <x:c r="P212" s="14" t="str">
        <x:v>David Brown</x:v>
      </x:c>
      <x:c r="Q212" s="15" t="n">
        <x:v>1</x:v>
      </x:c>
      <x:c r="R212" s="14" t="str">
        <x:v>2024</x:v>
      </x:c>
      <x:c r="S212" s="14" t="n">
        <x:v>2024</x:v>
      </x:c>
      <x:c r="T212" s="14" t="n">
        <x:v>2024</x:v>
      </x:c>
      <x:c r="U212" s="14" t="str">
        <x:v>Explicit source first year retained</x:v>
      </x:c>
      <x:c r="V212" s="14" t="str">
        <x:v>Earliest supplied year is 2024.</x:v>
      </x:c>
      <x:c r="W212" s="14"/>
      <x:c r="X212" s="14" t="str">
        <x:v>Carried forward to 2024</x:v>
      </x:c>
      <x:c r="Y212" s="14"/>
      <x:c r="Z212" s="14" t="str">
        <x:v>DI Ray.docx</x:v>
      </x:c>
      <x:c r="AA21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ITV / ITVX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HYPERLINK("https://en.wikipedia.org/wiki/DI_Ray","Open source")</x:f>
        <x:v>HYPERLINK is not implemented. linkLocation=https://en.wikipedia.org/wiki/DI_Ray, friendlyName=Open source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10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1</x:v>
      </x:c>
      <x:c r="BS212" s="16" t="n">
        <x:v>0.1</x:v>
      </x:c>
      <x:c r="BT212" s="14" t="str">
        <x:v>One episode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tt15536118|nm14909104|reporter</x:v>
      </x:c>
      <x:c r="B213" s="14" t="str">
        <x:v>02</x:v>
      </x:c>
      <x:c r="C213" s="14" t="str">
        <x:v>2022_IMDb_Cast_Lists_Batch_02(1).xlsx</x:v>
      </x:c>
      <x:c r="D213" s="14" t="str">
        <x:v>DI Ray</x:v>
      </x:c>
      <x:c r="E213" s="14" t="n">
        <x:v>74</x:v>
      </x:c>
      <x:c r="F213" s="14" t="str">
        <x:v>DI Ray</x:v>
      </x:c>
      <x:c r="G213" s="14" t="str">
        <x:v>tt15536118</x:v>
      </x:c>
      <x:c r="H213" s="14" t="n">
        <x:v>2022</x:v>
      </x:c>
      <x:c r="I213" s="14" t="n">
        <x:v>2023</x:v>
      </x:c>
      <x:c r="J213" s="14" t="str">
        <x:v>Future Carry-Forward Cohort</x:v>
      </x:c>
      <x:c r="K213" s="14" t="n">
        <x:v>2022</x:v>
      </x:c>
      <x:c r="L213" s="14" t="str">
        <x:v>Not inherited</x:v>
      </x:c>
      <x:c r="M213" s="15" t="n">
        <x:v>67</x:v>
      </x:c>
      <x:c r="N213" s="14" t="str">
        <x:v>Valerie Antwi</x:v>
      </x:c>
      <x:c r="O213" s="14" t="str">
        <x:v>nm14909104</x:v>
      </x:c>
      <x:c r="P213" s="14" t="str">
        <x:v>Reporter</x:v>
      </x:c>
      <x:c r="Q213" s="15" t="n">
        <x:v>1</x:v>
      </x:c>
      <x:c r="R213" s="14" t="str">
        <x:v>2024</x:v>
      </x:c>
      <x:c r="S213" s="14" t="n">
        <x:v>2024</x:v>
      </x:c>
      <x:c r="T213" s="14" t="n">
        <x:v>2024</x:v>
      </x:c>
      <x:c r="U213" s="14" t="str">
        <x:v>Explicit source first year retained</x:v>
      </x:c>
      <x:c r="V213" s="14" t="str">
        <x:v>Earliest supplied year is 2024.</x:v>
      </x:c>
      <x:c r="W213" s="14"/>
      <x:c r="X213" s="14" t="str">
        <x:v>Carried forward to 2024</x:v>
      </x:c>
      <x:c r="Y213" s="14"/>
      <x:c r="Z213" s="14" t="str">
        <x:v>DI Ray.docx</x:v>
      </x:c>
      <x:c r="AA21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ITV / ITVX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HYPERLINK("https://en.wikipedia.org/wiki/DI_Ray","Open source")</x:f>
        <x:v>HYPERLINK is not implemented. linkLocation=https://en.wikipedia.org/wiki/DI_Ray, friendlyName=Open source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10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1</x:v>
      </x:c>
      <x:c r="BS213" s="16" t="n">
        <x:v>0.1</x:v>
      </x:c>
      <x:c r="BT213" s="14" t="str">
        <x:v>One episode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tt15536118|nm12447955|tyler</x:v>
      </x:c>
      <x:c r="B214" s="14" t="str">
        <x:v>02</x:v>
      </x:c>
      <x:c r="C214" s="14" t="str">
        <x:v>2022_IMDb_Cast_Lists_Batch_02(1).xlsx</x:v>
      </x:c>
      <x:c r="D214" s="14" t="str">
        <x:v>DI Ray</x:v>
      </x:c>
      <x:c r="E214" s="14" t="n">
        <x:v>77</x:v>
      </x:c>
      <x:c r="F214" s="14" t="str">
        <x:v>DI Ray</x:v>
      </x:c>
      <x:c r="G214" s="14" t="str">
        <x:v>tt15536118</x:v>
      </x:c>
      <x:c r="H214" s="14" t="n">
        <x:v>2022</x:v>
      </x:c>
      <x:c r="I214" s="14" t="n">
        <x:v>2023</x:v>
      </x:c>
      <x:c r="J214" s="14" t="str">
        <x:v>Future Carry-Forward Cohort</x:v>
      </x:c>
      <x:c r="K214" s="14" t="n">
        <x:v>2022</x:v>
      </x:c>
      <x:c r="L214" s="14" t="str">
        <x:v>Not inherited</x:v>
      </x:c>
      <x:c r="M214" s="15" t="n">
        <x:v>70</x:v>
      </x:c>
      <x:c r="N214" s="14" t="str">
        <x:v>Sam Pote</x:v>
      </x:c>
      <x:c r="O214" s="14" t="str">
        <x:v>nm12447955</x:v>
      </x:c>
      <x:c r="P214" s="14" t="str">
        <x:v>Tyler</x:v>
      </x:c>
      <x:c r="Q214" s="15" t="n">
        <x:v>1</x:v>
      </x:c>
      <x:c r="R214" s="14" t="str">
        <x:v>2024</x:v>
      </x:c>
      <x:c r="S214" s="14" t="n">
        <x:v>2024</x:v>
      </x:c>
      <x:c r="T214" s="14" t="n">
        <x:v>2024</x:v>
      </x:c>
      <x:c r="U214" s="14" t="str">
        <x:v>Explicit source first year retained</x:v>
      </x:c>
      <x:c r="V214" s="14" t="str">
        <x:v>Earliest supplied year is 2024.</x:v>
      </x:c>
      <x:c r="W214" s="14"/>
      <x:c r="X214" s="14" t="str">
        <x:v>Carried forward to 2024</x:v>
      </x:c>
      <x:c r="Y214" s="14"/>
      <x:c r="Z214" s="14" t="str">
        <x:v>DI Ray.docx</x:v>
      </x:c>
      <x:c r="AA21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ITV / ITVX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HYPERLINK("https://en.wikipedia.org/wiki/DI_Ray","Open source")</x:f>
        <x:v>HYPERLINK is not implemented. linkLocation=https://en.wikipedia.org/wiki/DI_Ray, friendlyName=Open source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10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0.1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tt15536118|nm5445372|soc officer</x:v>
      </x:c>
      <x:c r="B215" s="14" t="str">
        <x:v>02</x:v>
      </x:c>
      <x:c r="C215" s="14" t="str">
        <x:v>2022_IMDb_Cast_Lists_Batch_02(1).xlsx</x:v>
      </x:c>
      <x:c r="D215" s="14" t="str">
        <x:v>DI Ray</x:v>
      </x:c>
      <x:c r="E215" s="14" t="n">
        <x:v>78</x:v>
      </x:c>
      <x:c r="F215" s="14" t="str">
        <x:v>DI Ray</x:v>
      </x:c>
      <x:c r="G215" s="14" t="str">
        <x:v>tt15536118</x:v>
      </x:c>
      <x:c r="H215" s="14" t="n">
        <x:v>2022</x:v>
      </x:c>
      <x:c r="I215" s="14" t="n">
        <x:v>2023</x:v>
      </x:c>
      <x:c r="J215" s="14" t="str">
        <x:v>Future Carry-Forward Cohort</x:v>
      </x:c>
      <x:c r="K215" s="14" t="n">
        <x:v>2022</x:v>
      </x:c>
      <x:c r="L215" s="14" t="str">
        <x:v>Not inherited</x:v>
      </x:c>
      <x:c r="M215" s="15" t="n">
        <x:v>71</x:v>
      </x:c>
      <x:c r="N215" s="14" t="str">
        <x:v>Moe Idris</x:v>
      </x:c>
      <x:c r="O215" s="14" t="str">
        <x:v>nm5445372</x:v>
      </x:c>
      <x:c r="P215" s="14" t="str">
        <x:v>SOC Officer</x:v>
      </x:c>
      <x:c r="Q215" s="15" t="n">
        <x:v>1</x:v>
      </x:c>
      <x:c r="R215" s="14" t="str">
        <x:v>2024</x:v>
      </x:c>
      <x:c r="S215" s="14" t="n">
        <x:v>2024</x:v>
      </x:c>
      <x:c r="T215" s="14" t="n">
        <x:v>2024</x:v>
      </x:c>
      <x:c r="U215" s="14" t="str">
        <x:v>Explicit source first year retained</x:v>
      </x:c>
      <x:c r="V215" s="14" t="str">
        <x:v>Earliest supplied year is 2024.</x:v>
      </x:c>
      <x:c r="W215" s="14"/>
      <x:c r="X215" s="14" t="str">
        <x:v>Carried forward to 2024</x:v>
      </x:c>
      <x:c r="Y215" s="14"/>
      <x:c r="Z215" s="14" t="str">
        <x:v>DI Ray.docx</x:v>
      </x:c>
      <x:c r="AA21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ITV / ITVX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HYPERLINK("https://en.wikipedia.org/wiki/DI_Ray","Open source")</x:f>
        <x:v>HYPERLINK is not implemented. linkLocation=https://en.wikipedia.org/wiki/DI_Ray, friendlyName=Open source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10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0.1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tt15536118|nm16310786|shabnam</x:v>
      </x:c>
      <x:c r="B216" s="14" t="str">
        <x:v>02</x:v>
      </x:c>
      <x:c r="C216" s="14" t="str">
        <x:v>2022_IMDb_Cast_Lists_Batch_02(1).xlsx</x:v>
      </x:c>
      <x:c r="D216" s="14" t="str">
        <x:v>DI Ray</x:v>
      </x:c>
      <x:c r="E216" s="14" t="n">
        <x:v>79</x:v>
      </x:c>
      <x:c r="F216" s="14" t="str">
        <x:v>DI Ray</x:v>
      </x:c>
      <x:c r="G216" s="14" t="str">
        <x:v>tt15536118</x:v>
      </x:c>
      <x:c r="H216" s="14" t="n">
        <x:v>2022</x:v>
      </x:c>
      <x:c r="I216" s="14" t="n">
        <x:v>2023</x:v>
      </x:c>
      <x:c r="J216" s="14" t="str">
        <x:v>Future Carry-Forward Cohort</x:v>
      </x:c>
      <x:c r="K216" s="14" t="n">
        <x:v>2022</x:v>
      </x:c>
      <x:c r="L216" s="14" t="str">
        <x:v>Not inherited</x:v>
      </x:c>
      <x:c r="M216" s="15" t="n">
        <x:v>72</x:v>
      </x:c>
      <x:c r="N216" s="14" t="str">
        <x:v>Ayesha Fateh</x:v>
      </x:c>
      <x:c r="O216" s="14" t="str">
        <x:v>nm16310786</x:v>
      </x:c>
      <x:c r="P216" s="14" t="str">
        <x:v>Shabnam</x:v>
      </x:c>
      <x:c r="Q216" s="15" t="n">
        <x:v>1</x:v>
      </x:c>
      <x:c r="R216" s="14" t="str">
        <x:v>2024</x:v>
      </x:c>
      <x:c r="S216" s="14" t="n">
        <x:v>2024</x:v>
      </x:c>
      <x:c r="T216" s="14" t="n">
        <x:v>2024</x:v>
      </x:c>
      <x:c r="U216" s="14" t="str">
        <x:v>Explicit source first year retained</x:v>
      </x:c>
      <x:c r="V216" s="14" t="str">
        <x:v>Earliest supplied year is 2024.</x:v>
      </x:c>
      <x:c r="W216" s="14"/>
      <x:c r="X216" s="14" t="str">
        <x:v>Carried forward to 2024</x:v>
      </x:c>
      <x:c r="Y216" s="14"/>
      <x:c r="Z216" s="14" t="str">
        <x:v>DI Ray.docx</x:v>
      </x:c>
      <x:c r="AA21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ITV / ITVX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HYPERLINK("https://en.wikipedia.org/wiki/DI_Ray","Open source")</x:f>
        <x:v>HYPERLINK is not implemented. linkLocation=https://en.wikipedia.org/wiki/DI_Ray, friendlyName=Open source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10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1</x:v>
      </x:c>
      <x:c r="BS216" s="16" t="n">
        <x:v>0.1</x:v>
      </x:c>
      <x:c r="BT216" s="14" t="str">
        <x:v>One episode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tt15536118|nm0608438|hilary gamboll</x:v>
      </x:c>
      <x:c r="B217" s="14" t="str">
        <x:v>02</x:v>
      </x:c>
      <x:c r="C217" s="14" t="str">
        <x:v>2022_IMDb_Cast_Lists_Batch_02(1).xlsx</x:v>
      </x:c>
      <x:c r="D217" s="14" t="str">
        <x:v>DI Ray</x:v>
      </x:c>
      <x:c r="E217" s="14" t="n">
        <x:v>80</x:v>
      </x:c>
      <x:c r="F217" s="14" t="str">
        <x:v>DI Ray</x:v>
      </x:c>
      <x:c r="G217" s="14" t="str">
        <x:v>tt15536118</x:v>
      </x:c>
      <x:c r="H217" s="14" t="n">
        <x:v>2022</x:v>
      </x:c>
      <x:c r="I217" s="14" t="n">
        <x:v>2023</x:v>
      </x:c>
      <x:c r="J217" s="14" t="str">
        <x:v>Future Carry-Forward Cohort</x:v>
      </x:c>
      <x:c r="K217" s="14" t="n">
        <x:v>2022</x:v>
      </x:c>
      <x:c r="L217" s="14" t="str">
        <x:v>Not inherited</x:v>
      </x:c>
      <x:c r="M217" s="15" t="n">
        <x:v>73</x:v>
      </x:c>
      <x:c r="N217" s="14" t="str">
        <x:v>Victoria Moseley</x:v>
      </x:c>
      <x:c r="O217" s="14" t="str">
        <x:v>nm0608438</x:v>
      </x:c>
      <x:c r="P217" s="14" t="str">
        <x:v>Hilary Gamboll</x:v>
      </x:c>
      <x:c r="Q217" s="15" t="n">
        <x:v>1</x:v>
      </x:c>
      <x:c r="R217" s="14" t="str">
        <x:v>2024</x:v>
      </x:c>
      <x:c r="S217" s="14" t="n">
        <x:v>2024</x:v>
      </x:c>
      <x:c r="T217" s="14" t="n">
        <x:v>2024</x:v>
      </x:c>
      <x:c r="U217" s="14" t="str">
        <x:v>Explicit source first year retained</x:v>
      </x:c>
      <x:c r="V217" s="14" t="str">
        <x:v>Earliest supplied year is 2024.</x:v>
      </x:c>
      <x:c r="W217" s="14"/>
      <x:c r="X217" s="14" t="str">
        <x:v>Carried forward to 2024</x:v>
      </x:c>
      <x:c r="Y217" s="14"/>
      <x:c r="Z217" s="14" t="str">
        <x:v>DI Ray.docx</x:v>
      </x:c>
      <x:c r="AA21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ITV / ITVX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HYPERLINK("https://en.wikipedia.org/wiki/DI_Ray","Open source")</x:f>
        <x:v>HYPERLINK is not implemented. linkLocation=https://en.wikipedia.org/wiki/DI_Ray, friendlyName=Open source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10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1</x:v>
      </x:c>
      <x:c r="BS217" s="16" t="n">
        <x:v>0.1</x:v>
      </x:c>
      <x:c r="BT217" s="14" t="str">
        <x:v>One episode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tt15536118|nm9800695|receptionist</x:v>
      </x:c>
      <x:c r="B218" s="14" t="str">
        <x:v>02</x:v>
      </x:c>
      <x:c r="C218" s="14" t="str">
        <x:v>2022_IMDb_Cast_Lists_Batch_02(1).xlsx</x:v>
      </x:c>
      <x:c r="D218" s="14" t="str">
        <x:v>DI Ray</x:v>
      </x:c>
      <x:c r="E218" s="14" t="n">
        <x:v>83</x:v>
      </x:c>
      <x:c r="F218" s="14" t="str">
        <x:v>DI Ray</x:v>
      </x:c>
      <x:c r="G218" s="14" t="str">
        <x:v>tt15536118</x:v>
      </x:c>
      <x:c r="H218" s="14" t="n">
        <x:v>2022</x:v>
      </x:c>
      <x:c r="I218" s="14" t="n">
        <x:v>2023</x:v>
      </x:c>
      <x:c r="J218" s="14" t="str">
        <x:v>Future Carry-Forward Cohort</x:v>
      </x:c>
      <x:c r="K218" s="14" t="n">
        <x:v>2022</x:v>
      </x:c>
      <x:c r="L218" s="14" t="str">
        <x:v>Not inherited</x:v>
      </x:c>
      <x:c r="M218" s="15" t="n">
        <x:v>76</x:v>
      </x:c>
      <x:c r="N218" s="14" t="str">
        <x:v>Paige Round</x:v>
      </x:c>
      <x:c r="O218" s="14" t="str">
        <x:v>nm9800695</x:v>
      </x:c>
      <x:c r="P218" s="14" t="str">
        <x:v>Receptionist</x:v>
      </x:c>
      <x:c r="Q218" s="15" t="n">
        <x:v>1</x:v>
      </x:c>
      <x:c r="R218" s="14" t="str">
        <x:v>2024</x:v>
      </x:c>
      <x:c r="S218" s="14" t="n">
        <x:v>2024</x:v>
      </x:c>
      <x:c r="T218" s="14" t="n">
        <x:v>2024</x:v>
      </x:c>
      <x:c r="U218" s="14" t="str">
        <x:v>Explicit source first year retained</x:v>
      </x:c>
      <x:c r="V218" s="14" t="str">
        <x:v>Earliest supplied year is 2024.</x:v>
      </x:c>
      <x:c r="W218" s="14"/>
      <x:c r="X218" s="14" t="str">
        <x:v>Carried forward to 2024</x:v>
      </x:c>
      <x:c r="Y218" s="14"/>
      <x:c r="Z218" s="14" t="str">
        <x:v>DI Ray.docx</x:v>
      </x:c>
      <x:c r="AA21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ITV / ITVX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HYPERLINK("https://en.wikipedia.org/wiki/DI_Ray","Open source")</x:f>
        <x:v>HYPERLINK is not implemented. linkLocation=https://en.wikipedia.org/wiki/DI_Ray, friendlyName=Open source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10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0.1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tt15536118|nm1527365|pauline</x:v>
      </x:c>
      <x:c r="B219" s="14" t="str">
        <x:v>02</x:v>
      </x:c>
      <x:c r="C219" s="14" t="str">
        <x:v>2022_IMDb_Cast_Lists_Batch_02(1).xlsx</x:v>
      </x:c>
      <x:c r="D219" s="14" t="str">
        <x:v>DI Ray</x:v>
      </x:c>
      <x:c r="E219" s="14" t="n">
        <x:v>85</x:v>
      </x:c>
      <x:c r="F219" s="14" t="str">
        <x:v>DI Ray</x:v>
      </x:c>
      <x:c r="G219" s="14" t="str">
        <x:v>tt15536118</x:v>
      </x:c>
      <x:c r="H219" s="14" t="n">
        <x:v>2022</x:v>
      </x:c>
      <x:c r="I219" s="14" t="n">
        <x:v>2023</x:v>
      </x:c>
      <x:c r="J219" s="14" t="str">
        <x:v>Future Carry-Forward Cohort</x:v>
      </x:c>
      <x:c r="K219" s="14" t="n">
        <x:v>2022</x:v>
      </x:c>
      <x:c r="L219" s="14" t="str">
        <x:v>Not inherited</x:v>
      </x:c>
      <x:c r="M219" s="15" t="n">
        <x:v>78</x:v>
      </x:c>
      <x:c r="N219" s="14" t="str">
        <x:v>Dawn Butler</x:v>
      </x:c>
      <x:c r="O219" s="14" t="str">
        <x:v>nm1527365</x:v>
      </x:c>
      <x:c r="P219" s="14" t="str">
        <x:v>Pauline</x:v>
      </x:c>
      <x:c r="Q219" s="15" t="n">
        <x:v>1</x:v>
      </x:c>
      <x:c r="R219" s="14" t="str">
        <x:v>2024</x:v>
      </x:c>
      <x:c r="S219" s="14" t="n">
        <x:v>2024</x:v>
      </x:c>
      <x:c r="T219" s="14" t="n">
        <x:v>2024</x:v>
      </x:c>
      <x:c r="U219" s="14" t="str">
        <x:v>Explicit source first year retained</x:v>
      </x:c>
      <x:c r="V219" s="14" t="str">
        <x:v>Earliest supplied year is 2024.</x:v>
      </x:c>
      <x:c r="W219" s="14"/>
      <x:c r="X219" s="14" t="str">
        <x:v>Carried forward to 2024</x:v>
      </x:c>
      <x:c r="Y219" s="14"/>
      <x:c r="Z219" s="14" t="str">
        <x:v>DI Ray.docx</x:v>
      </x:c>
      <x:c r="AA21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ITV / ITVX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HYPERLINK("https://en.wikipedia.org/wiki/DI_Ray","Open source")</x:f>
        <x:v>HYPERLINK is not implemented. linkLocation=https://en.wikipedia.org/wiki/DI_Ray, friendlyName=Open source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10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0.1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tt15536118|nm7987240|journalist 1</x:v>
      </x:c>
      <x:c r="B220" s="14" t="str">
        <x:v>02</x:v>
      </x:c>
      <x:c r="C220" s="14" t="str">
        <x:v>2022_IMDb_Cast_Lists_Batch_02(1).xlsx</x:v>
      </x:c>
      <x:c r="D220" s="14" t="str">
        <x:v>DI Ray</x:v>
      </x:c>
      <x:c r="E220" s="14" t="n">
        <x:v>88</x:v>
      </x:c>
      <x:c r="F220" s="14" t="str">
        <x:v>DI Ray</x:v>
      </x:c>
      <x:c r="G220" s="14" t="str">
        <x:v>tt15536118</x:v>
      </x:c>
      <x:c r="H220" s="14" t="n">
        <x:v>2022</x:v>
      </x:c>
      <x:c r="I220" s="14" t="n">
        <x:v>2023</x:v>
      </x:c>
      <x:c r="J220" s="14" t="str">
        <x:v>Future Carry-Forward Cohort</x:v>
      </x:c>
      <x:c r="K220" s="14" t="n">
        <x:v>2022</x:v>
      </x:c>
      <x:c r="L220" s="14" t="str">
        <x:v>Not inherited</x:v>
      </x:c>
      <x:c r="M220" s="15" t="n">
        <x:v>81</x:v>
      </x:c>
      <x:c r="N220" s="14" t="str">
        <x:v>Lee Comley</x:v>
      </x:c>
      <x:c r="O220" s="14" t="str">
        <x:v>nm7987240</x:v>
      </x:c>
      <x:c r="P220" s="14" t="str">
        <x:v>Journalist 1</x:v>
      </x:c>
      <x:c r="Q220" s="15" t="n">
        <x:v>1</x:v>
      </x:c>
      <x:c r="R220" s="14" t="str">
        <x:v>2024</x:v>
      </x:c>
      <x:c r="S220" s="14" t="n">
        <x:v>2024</x:v>
      </x:c>
      <x:c r="T220" s="14" t="n">
        <x:v>2024</x:v>
      </x:c>
      <x:c r="U220" s="14" t="str">
        <x:v>Explicit source first year retained</x:v>
      </x:c>
      <x:c r="V220" s="14" t="str">
        <x:v>Earliest supplied year is 2024.</x:v>
      </x:c>
      <x:c r="W220" s="14"/>
      <x:c r="X220" s="14" t="str">
        <x:v>Carried forward to 2024</x:v>
      </x:c>
      <x:c r="Y220" s="14"/>
      <x:c r="Z220" s="14" t="str">
        <x:v>DI Ray.docx</x:v>
      </x:c>
      <x:c r="AA22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ITV / ITVX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HYPERLINK("https://en.wikipedia.org/wiki/DI_Ray","Open source")</x:f>
        <x:v>HYPERLINK is not implemented. linkLocation=https://en.wikipedia.org/wiki/DI_Ray, friendlyName=Open source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10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0.1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tt15536118|nm0679049|gym woman</x:v>
      </x:c>
      <x:c r="B221" s="14" t="str">
        <x:v>02</x:v>
      </x:c>
      <x:c r="C221" s="14" t="str">
        <x:v>2022_IMDb_Cast_Lists_Batch_02(1).xlsx</x:v>
      </x:c>
      <x:c r="D221" s="14" t="str">
        <x:v>DI Ray</x:v>
      </x:c>
      <x:c r="E221" s="14" t="n">
        <x:v>90</x:v>
      </x:c>
      <x:c r="F221" s="14" t="str">
        <x:v>DI Ray</x:v>
      </x:c>
      <x:c r="G221" s="14" t="str">
        <x:v>tt15536118</x:v>
      </x:c>
      <x:c r="H221" s="14" t="n">
        <x:v>2022</x:v>
      </x:c>
      <x:c r="I221" s="14" t="n">
        <x:v>2023</x:v>
      </x:c>
      <x:c r="J221" s="14" t="str">
        <x:v>Future Carry-Forward Cohort</x:v>
      </x:c>
      <x:c r="K221" s="14" t="n">
        <x:v>2022</x:v>
      </x:c>
      <x:c r="L221" s="14" t="str">
        <x:v>Not inherited</x:v>
      </x:c>
      <x:c r="M221" s="15" t="n">
        <x:v>83</x:v>
      </x:c>
      <x:c r="N221" s="14" t="str">
        <x:v>Rebecca Peyton</x:v>
      </x:c>
      <x:c r="O221" s="14" t="str">
        <x:v>nm0679049</x:v>
      </x:c>
      <x:c r="P221" s="14" t="str">
        <x:v>Gym Woman</x:v>
      </x:c>
      <x:c r="Q221" s="15" t="n">
        <x:v>1</x:v>
      </x:c>
      <x:c r="R221" s="14" t="str">
        <x:v>2024</x:v>
      </x:c>
      <x:c r="S221" s="14" t="n">
        <x:v>2024</x:v>
      </x:c>
      <x:c r="T221" s="14" t="n">
        <x:v>2024</x:v>
      </x:c>
      <x:c r="U221" s="14" t="str">
        <x:v>Explicit source first year retained</x:v>
      </x:c>
      <x:c r="V221" s="14" t="str">
        <x:v>Earliest supplied year is 2024.</x:v>
      </x:c>
      <x:c r="W221" s="14"/>
      <x:c r="X221" s="14" t="str">
        <x:v>Carried forward to 2024</x:v>
      </x:c>
      <x:c r="Y221" s="14"/>
      <x:c r="Z221" s="14" t="str">
        <x:v>DI Ray.docx</x:v>
      </x:c>
      <x:c r="AA22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ITV / ITVX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HYPERLINK("https://en.wikipedia.org/wiki/DI_Ray","Open source")</x:f>
        <x:v>HYPERLINK is not implemented. linkLocation=https://en.wikipedia.org/wiki/DI_Ray, friendlyName=Open source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10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0.1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tt15536118|nm0337073|journalist 2</x:v>
      </x:c>
      <x:c r="B222" s="14" t="str">
        <x:v>02</x:v>
      </x:c>
      <x:c r="C222" s="14" t="str">
        <x:v>2022_IMDb_Cast_Lists_Batch_02(1).xlsx</x:v>
      </x:c>
      <x:c r="D222" s="14" t="str">
        <x:v>DI Ray</x:v>
      </x:c>
      <x:c r="E222" s="14" t="n">
        <x:v>91</x:v>
      </x:c>
      <x:c r="F222" s="14" t="str">
        <x:v>DI Ray</x:v>
      </x:c>
      <x:c r="G222" s="14" t="str">
        <x:v>tt15536118</x:v>
      </x:c>
      <x:c r="H222" s="14" t="n">
        <x:v>2022</x:v>
      </x:c>
      <x:c r="I222" s="14" t="n">
        <x:v>2023</x:v>
      </x:c>
      <x:c r="J222" s="14" t="str">
        <x:v>Future Carry-Forward Cohort</x:v>
      </x:c>
      <x:c r="K222" s="14" t="n">
        <x:v>2022</x:v>
      </x:c>
      <x:c r="L222" s="14" t="str">
        <x:v>Not inherited</x:v>
      </x:c>
      <x:c r="M222" s="15" t="n">
        <x:v>84</x:v>
      </x:c>
      <x:c r="N222" s="14" t="str">
        <x:v>Adam Grayson</x:v>
      </x:c>
      <x:c r="O222" s="14" t="str">
        <x:v>nm0337073</x:v>
      </x:c>
      <x:c r="P222" s="14" t="str">
        <x:v>Journalist 2</x:v>
      </x:c>
      <x:c r="Q222" s="15" t="n">
        <x:v>1</x:v>
      </x:c>
      <x:c r="R222" s="14" t="str">
        <x:v>2024</x:v>
      </x:c>
      <x:c r="S222" s="14" t="n">
        <x:v>2024</x:v>
      </x:c>
      <x:c r="T222" s="14" t="n">
        <x:v>2024</x:v>
      </x:c>
      <x:c r="U222" s="14" t="str">
        <x:v>Explicit source first year retained</x:v>
      </x:c>
      <x:c r="V222" s="14" t="str">
        <x:v>Earliest supplied year is 2024.</x:v>
      </x:c>
      <x:c r="W222" s="14"/>
      <x:c r="X222" s="14" t="str">
        <x:v>Carried forward to 2024</x:v>
      </x:c>
      <x:c r="Y222" s="14"/>
      <x:c r="Z222" s="14" t="str">
        <x:v>DI Ray.docx</x:v>
      </x:c>
      <x:c r="AA22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ITV / ITVX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HYPERLINK("https://en.wikipedia.org/wiki/DI_Ray","Open source")</x:f>
        <x:v>HYPERLINK is not implemented. linkLocation=https://en.wikipedia.org/wiki/DI_Ray, friendlyName=Open source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10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0.1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tt15536118|nm1131223|mrs. parks</x:v>
      </x:c>
      <x:c r="B223" s="14" t="str">
        <x:v>02</x:v>
      </x:c>
      <x:c r="C223" s="14" t="str">
        <x:v>2022_IMDb_Cast_Lists_Batch_02(1).xlsx</x:v>
      </x:c>
      <x:c r="D223" s="14" t="str">
        <x:v>DI Ray</x:v>
      </x:c>
      <x:c r="E223" s="14" t="n">
        <x:v>92</x:v>
      </x:c>
      <x:c r="F223" s="14" t="str">
        <x:v>DI Ray</x:v>
      </x:c>
      <x:c r="G223" s="14" t="str">
        <x:v>tt15536118</x:v>
      </x:c>
      <x:c r="H223" s="14" t="n">
        <x:v>2022</x:v>
      </x:c>
      <x:c r="I223" s="14" t="n">
        <x:v>2023</x:v>
      </x:c>
      <x:c r="J223" s="14" t="str">
        <x:v>Future Carry-Forward Cohort</x:v>
      </x:c>
      <x:c r="K223" s="14" t="n">
        <x:v>2022</x:v>
      </x:c>
      <x:c r="L223" s="14" t="str">
        <x:v>Not inherited</x:v>
      </x:c>
      <x:c r="M223" s="15" t="n">
        <x:v>85</x:v>
      </x:c>
      <x:c r="N223" s="14" t="str">
        <x:v>Eiry Thomas</x:v>
      </x:c>
      <x:c r="O223" s="14" t="str">
        <x:v>nm1131223</x:v>
      </x:c>
      <x:c r="P223" s="14" t="str">
        <x:v>Mrs. Parks</x:v>
      </x:c>
      <x:c r="Q223" s="15" t="n">
        <x:v>1</x:v>
      </x:c>
      <x:c r="R223" s="14" t="str">
        <x:v>2024</x:v>
      </x:c>
      <x:c r="S223" s="14" t="n">
        <x:v>2024</x:v>
      </x:c>
      <x:c r="T223" s="14" t="n">
        <x:v>2024</x:v>
      </x:c>
      <x:c r="U223" s="14" t="str">
        <x:v>Explicit source first year retained</x:v>
      </x:c>
      <x:c r="V223" s="14" t="str">
        <x:v>Earliest supplied year is 2024.</x:v>
      </x:c>
      <x:c r="W223" s="14"/>
      <x:c r="X223" s="14" t="str">
        <x:v>Carried forward to 2024</x:v>
      </x:c>
      <x:c r="Y223" s="14"/>
      <x:c r="Z223" s="14" t="str">
        <x:v>DI Ray.docx</x:v>
      </x:c>
      <x:c r="AA22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HYPERLINK("https://en.wikipedia.org/wiki/DI_Ray","Open source")</x:f>
        <x:v>HYPERLINK is not implemented. linkLocation=https://en.wikipedia.org/wiki/DI_Ray,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10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1</x:v>
      </x:c>
      <x:c r="BS223" s="16" t="n">
        <x:v>0.1</x:v>
      </x:c>
      <x:c r="BT223" s="14" t="str">
        <x:v>One episode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tt15536118|nm0546104|donata marek</x:v>
      </x:c>
      <x:c r="B224" s="14" t="str">
        <x:v>02</x:v>
      </x:c>
      <x:c r="C224" s="14" t="str">
        <x:v>2022_IMDb_Cast_Lists_Batch_02(1).xlsx</x:v>
      </x:c>
      <x:c r="D224" s="14" t="str">
        <x:v>DI Ray</x:v>
      </x:c>
      <x:c r="E224" s="14" t="n">
        <x:v>93</x:v>
      </x:c>
      <x:c r="F224" s="14" t="str">
        <x:v>DI Ray</x:v>
      </x:c>
      <x:c r="G224" s="14" t="str">
        <x:v>tt15536118</x:v>
      </x:c>
      <x:c r="H224" s="14" t="n">
        <x:v>2022</x:v>
      </x:c>
      <x:c r="I224" s="14" t="n">
        <x:v>2023</x:v>
      </x:c>
      <x:c r="J224" s="14" t="str">
        <x:v>Future Carry-Forward Cohort</x:v>
      </x:c>
      <x:c r="K224" s="14" t="n">
        <x:v>2022</x:v>
      </x:c>
      <x:c r="L224" s="14" t="str">
        <x:v>Not inherited</x:v>
      </x:c>
      <x:c r="M224" s="15" t="n">
        <x:v>86</x:v>
      </x:c>
      <x:c r="N224" s="14" t="str">
        <x:v>Fiz Marcus</x:v>
      </x:c>
      <x:c r="O224" s="14" t="str">
        <x:v>nm0546104</x:v>
      </x:c>
      <x:c r="P224" s="14" t="str">
        <x:v>Donata Marek</x:v>
      </x:c>
      <x:c r="Q224" s="15" t="n">
        <x:v>1</x:v>
      </x:c>
      <x:c r="R224" s="14" t="str">
        <x:v>2024</x:v>
      </x:c>
      <x:c r="S224" s="14" t="n">
        <x:v>2024</x:v>
      </x:c>
      <x:c r="T224" s="14" t="n">
        <x:v>2024</x:v>
      </x:c>
      <x:c r="U224" s="14" t="str">
        <x:v>Explicit source first year retained</x:v>
      </x:c>
      <x:c r="V224" s="14" t="str">
        <x:v>Earliest supplied year is 2024.</x:v>
      </x:c>
      <x:c r="W224" s="14"/>
      <x:c r="X224" s="14" t="str">
        <x:v>Carried forward to 2024</x:v>
      </x:c>
      <x:c r="Y224" s="14"/>
      <x:c r="Z224" s="14" t="str">
        <x:v>DI Ray.docx</x:v>
      </x:c>
      <x:c r="AA22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HYPERLINK("https://en.wikipedia.org/wiki/DI_Ray","Open source")</x:f>
        <x:v>HYPERLINK is not implemented. linkLocation=https://en.wikipedia.org/wiki/DI_Ray,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10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1</x:v>
      </x:c>
      <x:c r="BS224" s="16" t="n">
        <x:v>0.1</x:v>
      </x:c>
      <x:c r="BT224" s="14" t="str">
        <x:v>One episode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tt15536118|nm2864120|journalist 3</x:v>
      </x:c>
      <x:c r="B225" s="14" t="str">
        <x:v>02</x:v>
      </x:c>
      <x:c r="C225" s="14" t="str">
        <x:v>2022_IMDb_Cast_Lists_Batch_02(1).xlsx</x:v>
      </x:c>
      <x:c r="D225" s="14" t="str">
        <x:v>DI Ray</x:v>
      </x:c>
      <x:c r="E225" s="14" t="n">
        <x:v>94</x:v>
      </x:c>
      <x:c r="F225" s="14" t="str">
        <x:v>DI Ray</x:v>
      </x:c>
      <x:c r="G225" s="14" t="str">
        <x:v>tt15536118</x:v>
      </x:c>
      <x:c r="H225" s="14" t="n">
        <x:v>2022</x:v>
      </x:c>
      <x:c r="I225" s="14" t="n">
        <x:v>2023</x:v>
      </x:c>
      <x:c r="J225" s="14" t="str">
        <x:v>Future Carry-Forward Cohort</x:v>
      </x:c>
      <x:c r="K225" s="14" t="n">
        <x:v>2022</x:v>
      </x:c>
      <x:c r="L225" s="14" t="str">
        <x:v>Not inherited</x:v>
      </x:c>
      <x:c r="M225" s="15" t="n">
        <x:v>87</x:v>
      </x:c>
      <x:c r="N225" s="14" t="str">
        <x:v>Neil Bromley</x:v>
      </x:c>
      <x:c r="O225" s="14" t="str">
        <x:v>nm2864120</x:v>
      </x:c>
      <x:c r="P225" s="14" t="str">
        <x:v>Journalist 3</x:v>
      </x:c>
      <x:c r="Q225" s="15" t="n">
        <x:v>1</x:v>
      </x:c>
      <x:c r="R225" s="14" t="str">
        <x:v>2024</x:v>
      </x:c>
      <x:c r="S225" s="14" t="n">
        <x:v>2024</x:v>
      </x:c>
      <x:c r="T225" s="14" t="n">
        <x:v>2024</x:v>
      </x:c>
      <x:c r="U225" s="14" t="str">
        <x:v>Explicit source first year retained</x:v>
      </x:c>
      <x:c r="V225" s="14" t="str">
        <x:v>Earliest supplied year is 2024.</x:v>
      </x:c>
      <x:c r="W225" s="14"/>
      <x:c r="X225" s="14" t="str">
        <x:v>Carried forward to 2024</x:v>
      </x:c>
      <x:c r="Y225" s="14"/>
      <x:c r="Z225" s="14" t="str">
        <x:v>DI Ray.docx</x:v>
      </x:c>
      <x:c r="AA22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HYPERLINK("https://en.wikipedia.org/wiki/DI_Ray","Open source")</x:f>
        <x:v>HYPERLINK is not implemented. linkLocation=https://en.wikipedia.org/wiki/DI_Ray,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10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1</x:v>
      </x:c>
      <x:c r="BS225" s="16" t="n">
        <x:v>0.1</x:v>
      </x:c>
      <x:c r="BT225" s="14" t="str">
        <x:v>One episode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tt15536118|nm1527332|rochelle</x:v>
      </x:c>
      <x:c r="B226" s="14" t="str">
        <x:v>02</x:v>
      </x:c>
      <x:c r="C226" s="14" t="str">
        <x:v>2022_IMDb_Cast_Lists_Batch_02(1).xlsx</x:v>
      </x:c>
      <x:c r="D226" s="14" t="str">
        <x:v>DI Ray</x:v>
      </x:c>
      <x:c r="E226" s="14" t="n">
        <x:v>95</x:v>
      </x:c>
      <x:c r="F226" s="14" t="str">
        <x:v>DI Ray</x:v>
      </x:c>
      <x:c r="G226" s="14" t="str">
        <x:v>tt15536118</x:v>
      </x:c>
      <x:c r="H226" s="14" t="n">
        <x:v>2022</x:v>
      </x:c>
      <x:c r="I226" s="14" t="n">
        <x:v>2023</x:v>
      </x:c>
      <x:c r="J226" s="14" t="str">
        <x:v>Future Carry-Forward Cohort</x:v>
      </x:c>
      <x:c r="K226" s="14" t="n">
        <x:v>2022</x:v>
      </x:c>
      <x:c r="L226" s="14" t="str">
        <x:v>Not inherited</x:v>
      </x:c>
      <x:c r="M226" s="15" t="n">
        <x:v>88</x:v>
      </x:c>
      <x:c r="N226" s="14" t="str">
        <x:v>Kay Bridgeman</x:v>
      </x:c>
      <x:c r="O226" s="14" t="str">
        <x:v>nm1527332</x:v>
      </x:c>
      <x:c r="P226" s="14" t="str">
        <x:v>Rochelle</x:v>
      </x:c>
      <x:c r="Q226" s="15" t="n">
        <x:v>1</x:v>
      </x:c>
      <x:c r="R226" s="14" t="str">
        <x:v>2024</x:v>
      </x:c>
      <x:c r="S226" s="14" t="n">
        <x:v>2024</x:v>
      </x:c>
      <x:c r="T226" s="14" t="n">
        <x:v>2024</x:v>
      </x:c>
      <x:c r="U226" s="14" t="str">
        <x:v>Explicit source first year retained</x:v>
      </x:c>
      <x:c r="V226" s="14" t="str">
        <x:v>Earliest supplied year is 2024.</x:v>
      </x:c>
      <x:c r="W226" s="14"/>
      <x:c r="X226" s="14" t="str">
        <x:v>Carried forward to 2024</x:v>
      </x:c>
      <x:c r="Y226" s="14"/>
      <x:c r="Z226" s="14" t="str">
        <x:v>DI Ray.docx</x:v>
      </x:c>
      <x:c r="AA22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HYPERLINK("https://en.wikipedia.org/wiki/DI_Ray","Open source")</x:f>
        <x:v>HYPERLINK is not implemented. linkLocation=https://en.wikipedia.org/wiki/DI_Ray,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10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1</x:v>
      </x:c>
      <x:c r="BS226" s="16" t="n">
        <x:v>0.1</x:v>
      </x:c>
      <x:c r="BT226" s="14" t="str">
        <x:v>One episode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tt15536118|nm12673444|jasmine dhawan</x:v>
      </x:c>
      <x:c r="B227" s="14" t="str">
        <x:v>02</x:v>
      </x:c>
      <x:c r="C227" s="14" t="str">
        <x:v>2022_IMDb_Cast_Lists_Batch_02(1).xlsx</x:v>
      </x:c>
      <x:c r="D227" s="14" t="str">
        <x:v>DI Ray</x:v>
      </x:c>
      <x:c r="E227" s="14" t="n">
        <x:v>96</x:v>
      </x:c>
      <x:c r="F227" s="14" t="str">
        <x:v>DI Ray</x:v>
      </x:c>
      <x:c r="G227" s="14" t="str">
        <x:v>tt15536118</x:v>
      </x:c>
      <x:c r="H227" s="14" t="n">
        <x:v>2022</x:v>
      </x:c>
      <x:c r="I227" s="14" t="n">
        <x:v>2023</x:v>
      </x:c>
      <x:c r="J227" s="14" t="str">
        <x:v>Future Carry-Forward Cohort</x:v>
      </x:c>
      <x:c r="K227" s="14" t="n">
        <x:v>2022</x:v>
      </x:c>
      <x:c r="L227" s="14" t="str">
        <x:v>Not inherited</x:v>
      </x:c>
      <x:c r="M227" s="15" t="n">
        <x:v>89</x:v>
      </x:c>
      <x:c r="N227" s="14" t="str">
        <x:v>Jiya Samra</x:v>
      </x:c>
      <x:c r="O227" s="14" t="str">
        <x:v>nm12673444</x:v>
      </x:c>
      <x:c r="P227" s="14" t="str">
        <x:v>Jasmine Dhawan</x:v>
      </x:c>
      <x:c r="Q227" s="15" t="n">
        <x:v>1</x:v>
      </x:c>
      <x:c r="R227" s="14" t="str">
        <x:v>2024</x:v>
      </x:c>
      <x:c r="S227" s="14" t="n">
        <x:v>2024</x:v>
      </x:c>
      <x:c r="T227" s="14" t="n">
        <x:v>2024</x:v>
      </x:c>
      <x:c r="U227" s="14" t="str">
        <x:v>Explicit source first year retained</x:v>
      </x:c>
      <x:c r="V227" s="14" t="str">
        <x:v>Earliest supplied year is 2024.</x:v>
      </x:c>
      <x:c r="W227" s="14"/>
      <x:c r="X227" s="14" t="str">
        <x:v>Carried forward to 2024</x:v>
      </x:c>
      <x:c r="Y227" s="14"/>
      <x:c r="Z227" s="14" t="str">
        <x:v>DI Ray.docx</x:v>
      </x:c>
      <x:c r="AA22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HYPERLINK("https://en.wikipedia.org/wiki/DI_Ray","Open source")</x:f>
        <x:v>HYPERLINK is not implemented. linkLocation=https://en.wikipedia.org/wiki/DI_Ray,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10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1</x:v>
      </x:c>
      <x:c r="BS227" s="16" t="n">
        <x:v>0.1</x:v>
      </x:c>
      <x:c r="BT227" s="14" t="str">
        <x:v>One episode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tt15536118|nm0234371|hardeep</x:v>
      </x:c>
      <x:c r="B228" s="14" t="str">
        <x:v>02</x:v>
      </x:c>
      <x:c r="C228" s="14" t="str">
        <x:v>2022_IMDb_Cast_Lists_Batch_02(1).xlsx</x:v>
      </x:c>
      <x:c r="D228" s="14" t="str">
        <x:v>DI Ray</x:v>
      </x:c>
      <x:c r="E228" s="14" t="n">
        <x:v>98</x:v>
      </x:c>
      <x:c r="F228" s="14" t="str">
        <x:v>DI Ray</x:v>
      </x:c>
      <x:c r="G228" s="14" t="str">
        <x:v>tt15536118</x:v>
      </x:c>
      <x:c r="H228" s="14" t="n">
        <x:v>2022</x:v>
      </x:c>
      <x:c r="I228" s="14" t="n">
        <x:v>2023</x:v>
      </x:c>
      <x:c r="J228" s="14" t="str">
        <x:v>Future Carry-Forward Cohort</x:v>
      </x:c>
      <x:c r="K228" s="14" t="n">
        <x:v>2022</x:v>
      </x:c>
      <x:c r="L228" s="14" t="str">
        <x:v>Not inherited</x:v>
      </x:c>
      <x:c r="M228" s="15" t="n">
        <x:v>91</x:v>
      </x:c>
      <x:c r="N228" s="14" t="str">
        <x:v>Kriss Dosanjh</x:v>
      </x:c>
      <x:c r="O228" s="14" t="str">
        <x:v>nm0234371</x:v>
      </x:c>
      <x:c r="P228" s="14" t="str">
        <x:v>Hardeep</x:v>
      </x:c>
      <x:c r="Q228" s="15" t="n">
        <x:v>1</x:v>
      </x:c>
      <x:c r="R228" s="14" t="str">
        <x:v>2024</x:v>
      </x:c>
      <x:c r="S228" s="14" t="n">
        <x:v>2024</x:v>
      </x:c>
      <x:c r="T228" s="14" t="n">
        <x:v>2024</x:v>
      </x:c>
      <x:c r="U228" s="14" t="str">
        <x:v>Explicit source first year retained</x:v>
      </x:c>
      <x:c r="V228" s="14" t="str">
        <x:v>Earliest supplied year is 2024.</x:v>
      </x:c>
      <x:c r="W228" s="14"/>
      <x:c r="X228" s="14" t="str">
        <x:v>Carried forward to 2024</x:v>
      </x:c>
      <x:c r="Y228" s="14"/>
      <x:c r="Z228" s="14" t="str">
        <x:v>DI Ray.docx</x:v>
      </x:c>
      <x:c r="AA22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HYPERLINK("https://en.wikipedia.org/wiki/DI_Ray","Open source")</x:f>
        <x:v>HYPERLINK is not implemented. linkLocation=https://en.wikipedia.org/wiki/DI_Ray,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10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1</x:v>
      </x:c>
      <x:c r="BS228" s="16" t="n">
        <x:v>0.1</x:v>
      </x:c>
      <x:c r="BT228" s="14" t="str">
        <x:v>One episode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tt15536118|nm9978507|darius</x:v>
      </x:c>
      <x:c r="B229" s="14" t="str">
        <x:v>02</x:v>
      </x:c>
      <x:c r="C229" s="14" t="str">
        <x:v>2022_IMDb_Cast_Lists_Batch_02(1).xlsx</x:v>
      </x:c>
      <x:c r="D229" s="14" t="str">
        <x:v>DI Ray</x:v>
      </x:c>
      <x:c r="E229" s="14" t="n">
        <x:v>99</x:v>
      </x:c>
      <x:c r="F229" s="14" t="str">
        <x:v>DI Ray</x:v>
      </x:c>
      <x:c r="G229" s="14" t="str">
        <x:v>tt15536118</x:v>
      </x:c>
      <x:c r="H229" s="14" t="n">
        <x:v>2022</x:v>
      </x:c>
      <x:c r="I229" s="14" t="n">
        <x:v>2023</x:v>
      </x:c>
      <x:c r="J229" s="14" t="str">
        <x:v>Future Carry-Forward Cohort</x:v>
      </x:c>
      <x:c r="K229" s="14" t="n">
        <x:v>2022</x:v>
      </x:c>
      <x:c r="L229" s="14" t="str">
        <x:v>Not inherited</x:v>
      </x:c>
      <x:c r="M229" s="15" t="n">
        <x:v>92</x:v>
      </x:c>
      <x:c r="N229" s="14" t="str">
        <x:v>Felix Garcia Guyer</x:v>
      </x:c>
      <x:c r="O229" s="14" t="str">
        <x:v>nm9978507</x:v>
      </x:c>
      <x:c r="P229" s="14" t="str">
        <x:v>Darius</x:v>
      </x:c>
      <x:c r="Q229" s="15" t="n">
        <x:v>1</x:v>
      </x:c>
      <x:c r="R229" s="14" t="str">
        <x:v>2024</x:v>
      </x:c>
      <x:c r="S229" s="14" t="n">
        <x:v>2024</x:v>
      </x:c>
      <x:c r="T229" s="14" t="n">
        <x:v>2024</x:v>
      </x:c>
      <x:c r="U229" s="14" t="str">
        <x:v>Explicit source first year retained</x:v>
      </x:c>
      <x:c r="V229" s="14" t="str">
        <x:v>Earliest supplied year is 2024.</x:v>
      </x:c>
      <x:c r="W229" s="14"/>
      <x:c r="X229" s="14" t="str">
        <x:v>Carried forward to 2024</x:v>
      </x:c>
      <x:c r="Y229" s="14"/>
      <x:c r="Z229" s="14" t="str">
        <x:v>DI Ray.docx</x:v>
      </x:c>
      <x:c r="AA22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HYPERLINK("https://en.wikipedia.org/wiki/DI_Ray","Open source")</x:f>
        <x:v>HYPERLINK is not implemented. linkLocation=https://en.wikipedia.org/wiki/DI_Ray, friendlyName=Open source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10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1</x:v>
      </x:c>
      <x:c r="BS229" s="16" t="n">
        <x:v>0.1</x:v>
      </x:c>
      <x:c r="BT229" s="14" t="str">
        <x:v>One episode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tt15536118|nm3077792|jay</x:v>
      </x:c>
      <x:c r="B230" s="14" t="str">
        <x:v>02</x:v>
      </x:c>
      <x:c r="C230" s="14" t="str">
        <x:v>2022_IMDb_Cast_Lists_Batch_02(1).xlsx</x:v>
      </x:c>
      <x:c r="D230" s="14" t="str">
        <x:v>DI Ray</x:v>
      </x:c>
      <x:c r="E230" s="14" t="n">
        <x:v>104</x:v>
      </x:c>
      <x:c r="F230" s="14" t="str">
        <x:v>DI Ray</x:v>
      </x:c>
      <x:c r="G230" s="14" t="str">
        <x:v>tt15536118</x:v>
      </x:c>
      <x:c r="H230" s="14" t="n">
        <x:v>2022</x:v>
      </x:c>
      <x:c r="I230" s="14" t="n">
        <x:v>2023</x:v>
      </x:c>
      <x:c r="J230" s="14" t="str">
        <x:v>Future Carry-Forward Cohort</x:v>
      </x:c>
      <x:c r="K230" s="14" t="n">
        <x:v>2022</x:v>
      </x:c>
      <x:c r="L230" s="14" t="str">
        <x:v>Not inherited</x:v>
      </x:c>
      <x:c r="M230" s="15" t="n">
        <x:v>97</x:v>
      </x:c>
      <x:c r="N230" s="14" t="str">
        <x:v>Zariah Bailey</x:v>
      </x:c>
      <x:c r="O230" s="14" t="str">
        <x:v>nm3077792</x:v>
      </x:c>
      <x:c r="P230" s="14" t="str">
        <x:v>Jay</x:v>
      </x:c>
      <x:c r="Q230" s="15" t="n">
        <x:v>1</x:v>
      </x:c>
      <x:c r="R230" s="14" t="str">
        <x:v>2024</x:v>
      </x:c>
      <x:c r="S230" s="14" t="n">
        <x:v>2024</x:v>
      </x:c>
      <x:c r="T230" s="14" t="n">
        <x:v>2024</x:v>
      </x:c>
      <x:c r="U230" s="14" t="str">
        <x:v>Explicit source first year retained</x:v>
      </x:c>
      <x:c r="V230" s="14" t="str">
        <x:v>Earliest supplied year is 2024.</x:v>
      </x:c>
      <x:c r="W230" s="14"/>
      <x:c r="X230" s="14" t="str">
        <x:v>Carried forward to 2024</x:v>
      </x:c>
      <x:c r="Y230" s="14"/>
      <x:c r="Z230" s="14" t="str">
        <x:v>DI Ray.docx</x:v>
      </x:c>
      <x:c r="AA23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ITV / ITVX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HYPERLINK("https://en.wikipedia.org/wiki/DI_Ray","Open source")</x:f>
        <x:v>HYPERLINK is not implemented. linkLocation=https://en.wikipedia.org/wiki/DI_Ray, friendlyName=Open source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10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1</x:v>
      </x:c>
      <x:c r="BS230" s="16" t="n">
        <x:v>0.1</x:v>
      </x:c>
      <x:c r="BT230" s="14" t="str">
        <x:v>One episode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tt15536118|nm5045528|ds owen brooks</x:v>
      </x:c>
      <x:c r="B231" s="14" t="str">
        <x:v>02</x:v>
      </x:c>
      <x:c r="C231" s="14" t="str">
        <x:v>2022_IMDb_Cast_Lists_Batch_02(1).xlsx</x:v>
      </x:c>
      <x:c r="D231" s="14" t="str">
        <x:v>DI Ray</x:v>
      </x:c>
      <x:c r="E231" s="14" t="n">
        <x:v>106</x:v>
      </x:c>
      <x:c r="F231" s="14" t="str">
        <x:v>DI Ray</x:v>
      </x:c>
      <x:c r="G231" s="14" t="str">
        <x:v>tt15536118</x:v>
      </x:c>
      <x:c r="H231" s="14" t="n">
        <x:v>2022</x:v>
      </x:c>
      <x:c r="I231" s="14" t="n">
        <x:v>2023</x:v>
      </x:c>
      <x:c r="J231" s="14" t="str">
        <x:v>Future Carry-Forward Cohort</x:v>
      </x:c>
      <x:c r="K231" s="14" t="n">
        <x:v>2022</x:v>
      </x:c>
      <x:c r="L231" s="14" t="str">
        <x:v>Not inherited</x:v>
      </x:c>
      <x:c r="M231" s="15" t="n">
        <x:v>99</x:v>
      </x:c>
      <x:c r="N231" s="14" t="str">
        <x:v>Ross Berkeley Simpson</x:v>
      </x:c>
      <x:c r="O231" s="14" t="str">
        <x:v>nm5045528</x:v>
      </x:c>
      <x:c r="P231" s="14" t="str">
        <x:v>DS Owen Brooks</x:v>
      </x:c>
      <x:c r="Q231" s="15" t="n">
        <x:v>1</x:v>
      </x:c>
      <x:c r="R231" s="14" t="str">
        <x:v>2024</x:v>
      </x:c>
      <x:c r="S231" s="14" t="n">
        <x:v>2024</x:v>
      </x:c>
      <x:c r="T231" s="14" t="n">
        <x:v>2024</x:v>
      </x:c>
      <x:c r="U231" s="14" t="str">
        <x:v>Explicit source first year retained</x:v>
      </x:c>
      <x:c r="V231" s="14" t="str">
        <x:v>Earliest supplied year is 2024.</x:v>
      </x:c>
      <x:c r="W231" s="14"/>
      <x:c r="X231" s="14" t="str">
        <x:v>Carried forward to 2024</x:v>
      </x:c>
      <x:c r="Y231" s="14"/>
      <x:c r="Z231" s="14" t="str">
        <x:v>DI Ray.docx</x:v>
      </x:c>
      <x:c r="AA23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ITV / ITVX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HYPERLINK("https://en.wikipedia.org/wiki/DI_Ray","Open source")</x:f>
        <x:v>HYPERLINK is not implemented. linkLocation=https://en.wikipedia.org/wiki/DI_Ray, friendlyName=Open source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10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1</x:v>
      </x:c>
      <x:c r="BS231" s="16" t="n">
        <x:v>0.1</x:v>
      </x:c>
      <x:c r="BT231" s="14" t="str">
        <x:v>One episode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tt15536118|nm0046183|liz</x:v>
      </x:c>
      <x:c r="B232" s="14" t="str">
        <x:v>02</x:v>
      </x:c>
      <x:c r="C232" s="14" t="str">
        <x:v>2022_IMDb_Cast_Lists_Batch_02(1).xlsx</x:v>
      </x:c>
      <x:c r="D232" s="14" t="str">
        <x:v>DI Ray</x:v>
      </x:c>
      <x:c r="E232" s="14" t="n">
        <x:v>107</x:v>
      </x:c>
      <x:c r="F232" s="14" t="str">
        <x:v>DI Ray</x:v>
      </x:c>
      <x:c r="G232" s="14" t="str">
        <x:v>tt15536118</x:v>
      </x:c>
      <x:c r="H232" s="14" t="n">
        <x:v>2022</x:v>
      </x:c>
      <x:c r="I232" s="14" t="n">
        <x:v>2023</x:v>
      </x:c>
      <x:c r="J232" s="14" t="str">
        <x:v>Future Carry-Forward Cohort</x:v>
      </x:c>
      <x:c r="K232" s="14" t="n">
        <x:v>2022</x:v>
      </x:c>
      <x:c r="L232" s="14" t="str">
        <x:v>Not inherited</x:v>
      </x:c>
      <x:c r="M232" s="15" t="n">
        <x:v>100</x:v>
      </x:c>
      <x:c r="N232" s="14" t="str">
        <x:v>Annette Badland</x:v>
      </x:c>
      <x:c r="O232" s="14" t="str">
        <x:v>nm0046183</x:v>
      </x:c>
      <x:c r="P232" s="14" t="str">
        <x:v>Liz</x:v>
      </x:c>
      <x:c r="Q232" s="15" t="n">
        <x:v>1</x:v>
      </x:c>
      <x:c r="R232" s="14" t="str">
        <x:v>2024</x:v>
      </x:c>
      <x:c r="S232" s="14" t="n">
        <x:v>2024</x:v>
      </x:c>
      <x:c r="T232" s="14" t="n">
        <x:v>2024</x:v>
      </x:c>
      <x:c r="U232" s="14" t="str">
        <x:v>Explicit source first year retained</x:v>
      </x:c>
      <x:c r="V232" s="14" t="str">
        <x:v>Earliest supplied year is 2024.</x:v>
      </x:c>
      <x:c r="W232" s="14"/>
      <x:c r="X232" s="14" t="str">
        <x:v>Carried forward to 2024</x:v>
      </x:c>
      <x:c r="Y232" s="14"/>
      <x:c r="Z232" s="14" t="str">
        <x:v>DI Ray.docx</x:v>
      </x:c>
      <x:c r="AA23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ITV / ITVX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HYPERLINK("https://en.wikipedia.org/wiki/DI_Ray","Open source")</x:f>
        <x:v>HYPERLINK is not implemented. linkLocation=https://en.wikipedia.org/wiki/DI_Ray, friendlyName=Open source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10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1</x:v>
      </x:c>
      <x:c r="BS232" s="16" t="n">
        <x:v>0.1</x:v>
      </x:c>
      <x:c r="BT232" s="14" t="str">
        <x:v>One episode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tt15536118|nm9682161|shop manager</x:v>
      </x:c>
      <x:c r="B233" s="14" t="str">
        <x:v>02</x:v>
      </x:c>
      <x:c r="C233" s="14" t="str">
        <x:v>2022_IMDb_Cast_Lists_Batch_02(1).xlsx</x:v>
      </x:c>
      <x:c r="D233" s="14" t="str">
        <x:v>DI Ray</x:v>
      </x:c>
      <x:c r="E233" s="14" t="n">
        <x:v>108</x:v>
      </x:c>
      <x:c r="F233" s="14" t="str">
        <x:v>DI Ray</x:v>
      </x:c>
      <x:c r="G233" s="14" t="str">
        <x:v>tt15536118</x:v>
      </x:c>
      <x:c r="H233" s="14" t="n">
        <x:v>2022</x:v>
      </x:c>
      <x:c r="I233" s="14" t="n">
        <x:v>2023</x:v>
      </x:c>
      <x:c r="J233" s="14" t="str">
        <x:v>Future Carry-Forward Cohort</x:v>
      </x:c>
      <x:c r="K233" s="14" t="n">
        <x:v>2022</x:v>
      </x:c>
      <x:c r="L233" s="14" t="str">
        <x:v>Not inherited</x:v>
      </x:c>
      <x:c r="M233" s="15" t="n">
        <x:v>101</x:v>
      </x:c>
      <x:c r="N233" s="14" t="str">
        <x:v>Louise Wilson</x:v>
      </x:c>
      <x:c r="O233" s="14" t="str">
        <x:v>nm9682161</x:v>
      </x:c>
      <x:c r="P233" s="14" t="str">
        <x:v>Shop Manager</x:v>
      </x:c>
      <x:c r="Q233" s="15" t="n">
        <x:v>1</x:v>
      </x:c>
      <x:c r="R233" s="14" t="str">
        <x:v>2024</x:v>
      </x:c>
      <x:c r="S233" s="14" t="n">
        <x:v>2024</x:v>
      </x:c>
      <x:c r="T233" s="14" t="n">
        <x:v>2024</x:v>
      </x:c>
      <x:c r="U233" s="14" t="str">
        <x:v>Explicit source first year retained</x:v>
      </x:c>
      <x:c r="V233" s="14" t="str">
        <x:v>Earliest supplied year is 2024.</x:v>
      </x:c>
      <x:c r="W233" s="14"/>
      <x:c r="X233" s="14" t="str">
        <x:v>Carried forward to 2024</x:v>
      </x:c>
      <x:c r="Y233" s="14"/>
      <x:c r="Z233" s="14" t="str">
        <x:v>DI Ray.docx</x:v>
      </x:c>
      <x:c r="AA23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ITV / ITVX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HYPERLINK("https://en.wikipedia.org/wiki/DI_Ray","Open source")</x:f>
        <x:v>HYPERLINK is not implemented. linkLocation=https://en.wikipedia.org/wiki/DI_Ray, friendlyName=Open source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10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1</x:v>
      </x:c>
      <x:c r="BS233" s="16" t="n">
        <x:v>0.1</x:v>
      </x:c>
      <x:c r="BT233" s="14" t="str">
        <x:v>One episode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tt15536118|nm6823770|aled</x:v>
      </x:c>
      <x:c r="B234" s="14" t="str">
        <x:v>02</x:v>
      </x:c>
      <x:c r="C234" s="14" t="str">
        <x:v>2022_IMDb_Cast_Lists_Batch_02(1).xlsx</x:v>
      </x:c>
      <x:c r="D234" s="14" t="str">
        <x:v>DI Ray</x:v>
      </x:c>
      <x:c r="E234" s="14" t="n">
        <x:v>109</x:v>
      </x:c>
      <x:c r="F234" s="14" t="str">
        <x:v>DI Ray</x:v>
      </x:c>
      <x:c r="G234" s="14" t="str">
        <x:v>tt15536118</x:v>
      </x:c>
      <x:c r="H234" s="14" t="n">
        <x:v>2022</x:v>
      </x:c>
      <x:c r="I234" s="14" t="n">
        <x:v>2023</x:v>
      </x:c>
      <x:c r="J234" s="14" t="str">
        <x:v>Future Carry-Forward Cohort</x:v>
      </x:c>
      <x:c r="K234" s="14" t="n">
        <x:v>2022</x:v>
      </x:c>
      <x:c r="L234" s="14" t="str">
        <x:v>Not inherited</x:v>
      </x:c>
      <x:c r="M234" s="15" t="n">
        <x:v>102</x:v>
      </x:c>
      <x:c r="N234" s="14" t="str">
        <x:v>James Eeles</x:v>
      </x:c>
      <x:c r="O234" s="14" t="str">
        <x:v>nm6823770</x:v>
      </x:c>
      <x:c r="P234" s="14" t="str">
        <x:v>Aled</x:v>
      </x:c>
      <x:c r="Q234" s="15" t="n">
        <x:v>1</x:v>
      </x:c>
      <x:c r="R234" s="14" t="str">
        <x:v>2024</x:v>
      </x:c>
      <x:c r="S234" s="14" t="n">
        <x:v>2024</x:v>
      </x:c>
      <x:c r="T234" s="14" t="n">
        <x:v>2024</x:v>
      </x:c>
      <x:c r="U234" s="14" t="str">
        <x:v>Explicit source first year retained</x:v>
      </x:c>
      <x:c r="V234" s="14" t="str">
        <x:v>Earliest supplied year is 2024.</x:v>
      </x:c>
      <x:c r="W234" s="14"/>
      <x:c r="X234" s="14" t="str">
        <x:v>Carried forward to 2024</x:v>
      </x:c>
      <x:c r="Y234" s="14"/>
      <x:c r="Z234" s="14" t="str">
        <x:v>DI Ray.docx</x:v>
      </x:c>
      <x:c r="AA23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ITV / ITVX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HYPERLINK("https://en.wikipedia.org/wiki/DI_Ray","Open source")</x:f>
        <x:v>HYPERLINK is not implemented. linkLocation=https://en.wikipedia.org/wiki/DI_Ray, friendlyName=Open source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10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1</x:v>
      </x:c>
      <x:c r="BS234" s="16" t="n">
        <x:v>0.1</x:v>
      </x:c>
      <x:c r="BT234" s="14" t="str">
        <x:v>One episode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tt15536118|nm2711324|police community support officer</x:v>
      </x:c>
      <x:c r="B235" s="14" t="str">
        <x:v>02</x:v>
      </x:c>
      <x:c r="C235" s="14" t="str">
        <x:v>2022_IMDb_Cast_Lists_Batch_02(1).xlsx</x:v>
      </x:c>
      <x:c r="D235" s="14" t="str">
        <x:v>DI Ray</x:v>
      </x:c>
      <x:c r="E235" s="14" t="n">
        <x:v>110</x:v>
      </x:c>
      <x:c r="F235" s="14" t="str">
        <x:v>DI Ray</x:v>
      </x:c>
      <x:c r="G235" s="14" t="str">
        <x:v>tt15536118</x:v>
      </x:c>
      <x:c r="H235" s="14" t="n">
        <x:v>2022</x:v>
      </x:c>
      <x:c r="I235" s="14" t="n">
        <x:v>2023</x:v>
      </x:c>
      <x:c r="J235" s="14" t="str">
        <x:v>Future Carry-Forward Cohort</x:v>
      </x:c>
      <x:c r="K235" s="14" t="n">
        <x:v>2022</x:v>
      </x:c>
      <x:c r="L235" s="14" t="str">
        <x:v>Not inherited</x:v>
      </x:c>
      <x:c r="M235" s="15" t="n">
        <x:v>103</x:v>
      </x:c>
      <x:c r="N235" s="14" t="str">
        <x:v>Chris Wilson</x:v>
      </x:c>
      <x:c r="O235" s="14" t="str">
        <x:v>nm2711324</x:v>
      </x:c>
      <x:c r="P235" s="14" t="str">
        <x:v>Police Community Support Officer</x:v>
      </x:c>
      <x:c r="Q235" s="15" t="n">
        <x:v>1</x:v>
      </x:c>
      <x:c r="R235" s="14" t="str">
        <x:v>2024</x:v>
      </x:c>
      <x:c r="S235" s="14" t="n">
        <x:v>2024</x:v>
      </x:c>
      <x:c r="T235" s="14" t="n">
        <x:v>2024</x:v>
      </x:c>
      <x:c r="U235" s="14" t="str">
        <x:v>Explicit source first year retained</x:v>
      </x:c>
      <x:c r="V235" s="14" t="str">
        <x:v>Earliest supplied year is 2024.</x:v>
      </x:c>
      <x:c r="W235" s="14"/>
      <x:c r="X235" s="14" t="str">
        <x:v>Carried forward to 2024</x:v>
      </x:c>
      <x:c r="Y235" s="14"/>
      <x:c r="Z235" s="14" t="str">
        <x:v>DI Ray.docx</x:v>
      </x:c>
      <x:c r="AA23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ITV / ITVX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HYPERLINK("https://en.wikipedia.org/wiki/DI_Ray","Open source")</x:f>
        <x:v>HYPERLINK is not implemented. linkLocation=https://en.wikipedia.org/wiki/DI_Ray, friendlyName=Open source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10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1</x:v>
      </x:c>
      <x:c r="BS235" s="16" t="n">
        <x:v>0.1</x:v>
      </x:c>
      <x:c r="BT235" s="14" t="str">
        <x:v>One episode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tt15536118|nm8304059|pauline</x:v>
      </x:c>
      <x:c r="B236" s="14" t="str">
        <x:v>02</x:v>
      </x:c>
      <x:c r="C236" s="14" t="str">
        <x:v>2022_IMDb_Cast_Lists_Batch_02(1).xlsx</x:v>
      </x:c>
      <x:c r="D236" s="14" t="str">
        <x:v>DI Ray</x:v>
      </x:c>
      <x:c r="E236" s="14" t="n">
        <x:v>111</x:v>
      </x:c>
      <x:c r="F236" s="14" t="str">
        <x:v>DI Ray</x:v>
      </x:c>
      <x:c r="G236" s="14" t="str">
        <x:v>tt15536118</x:v>
      </x:c>
      <x:c r="H236" s="14" t="n">
        <x:v>2022</x:v>
      </x:c>
      <x:c r="I236" s="14" t="n">
        <x:v>2023</x:v>
      </x:c>
      <x:c r="J236" s="14" t="str">
        <x:v>Future Carry-Forward Cohort</x:v>
      </x:c>
      <x:c r="K236" s="14" t="n">
        <x:v>2022</x:v>
      </x:c>
      <x:c r="L236" s="14" t="str">
        <x:v>Not inherited</x:v>
      </x:c>
      <x:c r="M236" s="15" t="n">
        <x:v>104</x:v>
      </x:c>
      <x:c r="N236" s="14" t="str">
        <x:v>Dawn Butler</x:v>
      </x:c>
      <x:c r="O236" s="14" t="str">
        <x:v>nm8304059</x:v>
      </x:c>
      <x:c r="P236" s="14" t="str">
        <x:v>Pauline</x:v>
      </x:c>
      <x:c r="Q236" s="15" t="n">
        <x:v>1</x:v>
      </x:c>
      <x:c r="R236" s="14" t="str">
        <x:v>2024</x:v>
      </x:c>
      <x:c r="S236" s="14" t="n">
        <x:v>2024</x:v>
      </x:c>
      <x:c r="T236" s="14" t="n">
        <x:v>2024</x:v>
      </x:c>
      <x:c r="U236" s="14" t="str">
        <x:v>Explicit source first year retained</x:v>
      </x:c>
      <x:c r="V236" s="14" t="str">
        <x:v>Earliest supplied year is 2024.</x:v>
      </x:c>
      <x:c r="W236" s="14"/>
      <x:c r="X236" s="14" t="str">
        <x:v>Carried forward to 2024</x:v>
      </x:c>
      <x:c r="Y236" s="14"/>
      <x:c r="Z236" s="14" t="str">
        <x:v>DI Ray.docx</x:v>
      </x:c>
      <x:c r="AA23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ITV / ITVX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HYPERLINK("https://en.wikipedia.org/wiki/DI_Ray","Open source")</x:f>
        <x:v>HYPERLINK is not implemented. linkLocation=https://en.wikipedia.org/wiki/DI_Ray, friendlyName=Open source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10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1</x:v>
      </x:c>
      <x:c r="BS236" s="16" t="n">
        <x:v>0.1</x:v>
      </x:c>
      <x:c r="BT236" s="14" t="str">
        <x:v>One episode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tt20224612|nm0732959|grantley lindo</x:v>
      </x:c>
      <x:c r="B237" s="14" t="str">
        <x:v>02</x:v>
      </x:c>
      <x:c r="C237" s="14" t="str">
        <x:v>2022_IMDb_Cast_Lists_Batch_02(1).xlsx</x:v>
      </x:c>
      <x:c r="D237" s="14" t="str">
        <x:v>Granite Harbour</x:v>
      </x:c>
      <x:c r="E237" s="14" t="n">
        <x:v>14</x:v>
      </x:c>
      <x:c r="F237" s="14" t="str">
        <x:v>Granite Harbour</x:v>
      </x:c>
      <x:c r="G237" s="14" t="str">
        <x:v>tt20224612</x:v>
      </x:c>
      <x:c r="H237" s="14" t="n">
        <x:v>2022</x:v>
      </x:c>
      <x:c r="I237" s="14" t="n">
        <x:v>2023</x:v>
      </x:c>
      <x:c r="J237" s="14" t="str">
        <x:v>Future Carry-Forward Cohort</x:v>
      </x:c>
      <x:c r="K237" s="14" t="n">
        <x:v>2022</x:v>
      </x:c>
      <x:c r="L237" s="14" t="str">
        <x:v>Not inherited</x:v>
      </x:c>
      <x:c r="M237" s="15" t="n">
        <x:v>7</x:v>
      </x:c>
      <x:c r="N237" s="14" t="str">
        <x:v>Patrick Robinson</x:v>
      </x:c>
      <x:c r="O237" s="14" t="str">
        <x:v>nm0732959</x:v>
      </x:c>
      <x:c r="P237" s="14" t="str">
        <x:v>Grantley Lindo</x:v>
      </x:c>
      <x:c r="Q237" s="15" t="n">
        <x:v>3</x:v>
      </x:c>
      <x:c r="R237" s="14" t="str">
        <x:v>2024</x:v>
      </x:c>
      <x:c r="S237" s="14" t="n">
        <x:v>2024</x:v>
      </x:c>
      <x:c r="T237" s="14" t="n">
        <x:v>2024</x:v>
      </x:c>
      <x:c r="U237" s="14" t="str">
        <x:v>Explicit source first year retained</x:v>
      </x:c>
      <x:c r="V237" s="14" t="str">
        <x:v>Earliest supplied year is 2024.</x:v>
      </x:c>
      <x:c r="W237" s="14"/>
      <x:c r="X237" s="14" t="str">
        <x:v>Carried forward to 2024</x:v>
      </x:c>
      <x:c r="Y237" s="14"/>
      <x:c r="Z237" s="14" t="str">
        <x:v>Granite Harbour.docx</x:v>
      </x:c>
      <x:c r="AA2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BBC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HYPERLINK("https://en.wikipedia.org/wiki/Granite_Harbour","Open source")</x:f>
        <x:v>HYPERLINK is not implemented. linkLocation=https://en.wikipedia.org/wiki/Granite_Harbour, friendlyName=Open source</x:v>
      </x:c>
      <x:c r="AN237" s="14" t="str">
        <x:v>BBC public-service commission</x:v>
      </x:c>
      <x:c r="AO237" s="14" t="str">
        <x:v>Yes</x:v>
      </x:c>
      <x:c r="AP237" s="14" t="str">
        <x:v>Direct BBC public-service scope</x:v>
      </x:c>
      <x:c r="AQ237" s="14" t="str">
        <x:v>Yes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9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3</x:v>
      </x:c>
      <x:c r="BS237" s="16" t="n">
        <x:v>0.3333333333333333</x:v>
      </x:c>
      <x:c r="BT237" s="14" t="str">
        <x:v>Minority of episodes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tt20224612|nm1836085|grace mcfadden</x:v>
      </x:c>
      <x:c r="B238" s="14" t="str">
        <x:v>02</x:v>
      </x:c>
      <x:c r="C238" s="14" t="str">
        <x:v>2022_IMDb_Cast_Lists_Batch_02(1).xlsx</x:v>
      </x:c>
      <x:c r="D238" s="14" t="str">
        <x:v>Granite Harbour</x:v>
      </x:c>
      <x:c r="E238" s="14" t="n">
        <x:v>15</x:v>
      </x:c>
      <x:c r="F238" s="14" t="str">
        <x:v>Granite Harbour</x:v>
      </x:c>
      <x:c r="G238" s="14" t="str">
        <x:v>tt20224612</x:v>
      </x:c>
      <x:c r="H238" s="14" t="n">
        <x:v>2022</x:v>
      </x:c>
      <x:c r="I238" s="14" t="n">
        <x:v>2023</x:v>
      </x:c>
      <x:c r="J238" s="14" t="str">
        <x:v>Future Carry-Forward Cohort</x:v>
      </x:c>
      <x:c r="K238" s="14" t="n">
        <x:v>2022</x:v>
      </x:c>
      <x:c r="L238" s="14" t="str">
        <x:v>Not inherited</x:v>
      </x:c>
      <x:c r="M238" s="15" t="n">
        <x:v>8</x:v>
      </x:c>
      <x:c r="N238" s="14" t="str">
        <x:v>Lesley Hart</x:v>
      </x:c>
      <x:c r="O238" s="14" t="str">
        <x:v>nm1836085</x:v>
      </x:c>
      <x:c r="P238" s="14" t="str">
        <x:v>Grace McFadden</x:v>
      </x:c>
      <x:c r="Q238" s="15" t="n">
        <x:v>3</x:v>
      </x:c>
      <x:c r="R238" s="14" t="str">
        <x:v>2024</x:v>
      </x:c>
      <x:c r="S238" s="14" t="n">
        <x:v>2024</x:v>
      </x:c>
      <x:c r="T238" s="14" t="n">
        <x:v>2024</x:v>
      </x:c>
      <x:c r="U238" s="14" t="str">
        <x:v>Explicit source first year retained</x:v>
      </x:c>
      <x:c r="V238" s="14" t="str">
        <x:v>Earliest supplied year is 2024.</x:v>
      </x:c>
      <x:c r="W238" s="14"/>
      <x:c r="X238" s="14" t="str">
        <x:v>Carried forward to 2024</x:v>
      </x:c>
      <x:c r="Y238" s="14"/>
      <x:c r="Z238" s="14" t="str">
        <x:v>Granite Harbour.docx</x:v>
      </x:c>
      <x:c r="AA2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BBC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HYPERLINK("https://en.wikipedia.org/wiki/Granite_Harbour","Open source")</x:f>
        <x:v>HYPERLINK is not implemented. linkLocation=https://en.wikipedia.org/wiki/Granite_Harbour, friendlyName=Open source</x:v>
      </x:c>
      <x:c r="AN238" s="14" t="str">
        <x:v>BBC public-service commission</x:v>
      </x:c>
      <x:c r="AO238" s="14" t="str">
        <x:v>Yes</x:v>
      </x:c>
      <x:c r="AP238" s="14" t="str">
        <x:v>Direct BBC public-service scope</x:v>
      </x:c>
      <x:c r="AQ238" s="14" t="str">
        <x:v>Yes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9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3</x:v>
      </x:c>
      <x:c r="BS238" s="16" t="n">
        <x:v>0.3333333333333333</x:v>
      </x:c>
      <x:c r="BT238" s="14" t="str">
        <x:v>Minority of episodes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tt20224612|nm7162082|mariam faraki</x:v>
      </x:c>
      <x:c r="B239" s="14" t="str">
        <x:v>02</x:v>
      </x:c>
      <x:c r="C239" s="14" t="str">
        <x:v>2022_IMDb_Cast_Lists_Batch_02(1).xlsx</x:v>
      </x:c>
      <x:c r="D239" s="14" t="str">
        <x:v>Granite Harbour</x:v>
      </x:c>
      <x:c r="E239" s="14" t="n">
        <x:v>16</x:v>
      </x:c>
      <x:c r="F239" s="14" t="str">
        <x:v>Granite Harbour</x:v>
      </x:c>
      <x:c r="G239" s="14" t="str">
        <x:v>tt20224612</x:v>
      </x:c>
      <x:c r="H239" s="14" t="n">
        <x:v>2022</x:v>
      </x:c>
      <x:c r="I239" s="14" t="n">
        <x:v>2023</x:v>
      </x:c>
      <x:c r="J239" s="14" t="str">
        <x:v>Future Carry-Forward Cohort</x:v>
      </x:c>
      <x:c r="K239" s="14" t="n">
        <x:v>2022</x:v>
      </x:c>
      <x:c r="L239" s="14" t="str">
        <x:v>Not inherited</x:v>
      </x:c>
      <x:c r="M239" s="15" t="n">
        <x:v>9</x:v>
      </x:c>
      <x:c r="N239" s="14" t="str">
        <x:v>Afsaneh Dehrouyeh</x:v>
      </x:c>
      <x:c r="O239" s="14" t="str">
        <x:v>nm7162082</x:v>
      </x:c>
      <x:c r="P239" s="14" t="str">
        <x:v>Mariam Faraki</x:v>
      </x:c>
      <x:c r="Q239" s="15" t="n">
        <x:v>3</x:v>
      </x:c>
      <x:c r="R239" s="14" t="str">
        <x:v>2024</x:v>
      </x:c>
      <x:c r="S239" s="14" t="n">
        <x:v>2024</x:v>
      </x:c>
      <x:c r="T239" s="14" t="n">
        <x:v>2024</x:v>
      </x:c>
      <x:c r="U239" s="14" t="str">
        <x:v>Explicit source first year retained</x:v>
      </x:c>
      <x:c r="V239" s="14" t="str">
        <x:v>Earliest supplied year is 2024.</x:v>
      </x:c>
      <x:c r="W239" s="14"/>
      <x:c r="X239" s="14" t="str">
        <x:v>Carried forward to 2024</x:v>
      </x:c>
      <x:c r="Y239" s="14"/>
      <x:c r="Z239" s="14" t="str">
        <x:v>Granite Harbour.docx</x:v>
      </x:c>
      <x:c r="AA23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BBC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HYPERLINK("https://en.wikipedia.org/wiki/Granite_Harbour","Open source")</x:f>
        <x:v>HYPERLINK is not implemented. linkLocation=https://en.wikipedia.org/wiki/Granite_Harbour, friendlyName=Open source</x:v>
      </x:c>
      <x:c r="AN239" s="14" t="str">
        <x:v>BBC public-service commission</x:v>
      </x:c>
      <x:c r="AO239" s="14" t="str">
        <x:v>Yes</x:v>
      </x:c>
      <x:c r="AP239" s="14" t="str">
        <x:v>Direct BBC public-service scope</x:v>
      </x:c>
      <x:c r="AQ239" s="14" t="str">
        <x:v>Yes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9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3</x:v>
      </x:c>
      <x:c r="BS239" s="16" t="n">
        <x:v>0.3333333333333333</x:v>
      </x:c>
      <x:c r="BT239" s="14" t="str">
        <x:v>Minority of episodes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tt20224612|nm16057045|duncan mcfadden</x:v>
      </x:c>
      <x:c r="B240" s="14" t="str">
        <x:v>02</x:v>
      </x:c>
      <x:c r="C240" s="14" t="str">
        <x:v>2022_IMDb_Cast_Lists_Batch_02(1).xlsx</x:v>
      </x:c>
      <x:c r="D240" s="14" t="str">
        <x:v>Granite Harbour</x:v>
      </x:c>
      <x:c r="E240" s="14" t="n">
        <x:v>17</x:v>
      </x:c>
      <x:c r="F240" s="14" t="str">
        <x:v>Granite Harbour</x:v>
      </x:c>
      <x:c r="G240" s="14" t="str">
        <x:v>tt20224612</x:v>
      </x:c>
      <x:c r="H240" s="14" t="n">
        <x:v>2022</x:v>
      </x:c>
      <x:c r="I240" s="14" t="n">
        <x:v>2023</x:v>
      </x:c>
      <x:c r="J240" s="14" t="str">
        <x:v>Future Carry-Forward Cohort</x:v>
      </x:c>
      <x:c r="K240" s="14" t="n">
        <x:v>2022</x:v>
      </x:c>
      <x:c r="L240" s="14" t="str">
        <x:v>Not inherited</x:v>
      </x:c>
      <x:c r="M240" s="15" t="n">
        <x:v>10</x:v>
      </x:c>
      <x:c r="N240" s="14" t="str">
        <x:v>Sam Garioch</x:v>
      </x:c>
      <x:c r="O240" s="14" t="str">
        <x:v>nm16057045</x:v>
      </x:c>
      <x:c r="P240" s="14" t="str">
        <x:v>Duncan McFadden</x:v>
      </x:c>
      <x:c r="Q240" s="15" t="n">
        <x:v>3</x:v>
      </x:c>
      <x:c r="R240" s="14" t="str">
        <x:v>2024</x:v>
      </x:c>
      <x:c r="S240" s="14" t="n">
        <x:v>2024</x:v>
      </x:c>
      <x:c r="T240" s="14" t="n">
        <x:v>2024</x:v>
      </x:c>
      <x:c r="U240" s="14" t="str">
        <x:v>Explicit source first year retained</x:v>
      </x:c>
      <x:c r="V240" s="14" t="str">
        <x:v>Earliest supplied year is 2024.</x:v>
      </x:c>
      <x:c r="W240" s="14"/>
      <x:c r="X240" s="14" t="str">
        <x:v>Carried forward to 2024</x:v>
      </x:c>
      <x:c r="Y240" s="14"/>
      <x:c r="Z240" s="14" t="str">
        <x:v>Granite Harbour.docx</x:v>
      </x:c>
      <x:c r="AA24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BBC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HYPERLINK("https://en.wikipedia.org/wiki/Granite_Harbour","Open source")</x:f>
        <x:v>HYPERLINK is not implemented. linkLocation=https://en.wikipedia.org/wiki/Granite_Harbour, friendlyName=Open source</x:v>
      </x:c>
      <x:c r="AN240" s="14" t="str">
        <x:v>BBC public-service commission</x:v>
      </x:c>
      <x:c r="AO240" s="14" t="str">
        <x:v>Yes</x:v>
      </x:c>
      <x:c r="AP240" s="14" t="str">
        <x:v>Direct BBC public-service scope</x:v>
      </x:c>
      <x:c r="AQ240" s="14" t="str">
        <x:v>Yes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9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3</x:v>
      </x:c>
      <x:c r="BS240" s="16" t="n">
        <x:v>0.3333333333333333</x:v>
      </x:c>
      <x:c r="BT240" s="14" t="str">
        <x:v>Minority of episodes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tt20224612|nm5405979|emil veggem</x:v>
      </x:c>
      <x:c r="B241" s="14" t="str">
        <x:v>02</x:v>
      </x:c>
      <x:c r="C241" s="14" t="str">
        <x:v>2022_IMDb_Cast_Lists_Batch_02(1).xlsx</x:v>
      </x:c>
      <x:c r="D241" s="14" t="str">
        <x:v>Granite Harbour</x:v>
      </x:c>
      <x:c r="E241" s="14" t="n">
        <x:v>18</x:v>
      </x:c>
      <x:c r="F241" s="14" t="str">
        <x:v>Granite Harbour</x:v>
      </x:c>
      <x:c r="G241" s="14" t="str">
        <x:v>tt20224612</x:v>
      </x:c>
      <x:c r="H241" s="14" t="n">
        <x:v>2022</x:v>
      </x:c>
      <x:c r="I241" s="14" t="n">
        <x:v>2023</x:v>
      </x:c>
      <x:c r="J241" s="14" t="str">
        <x:v>Future Carry-Forward Cohort</x:v>
      </x:c>
      <x:c r="K241" s="14" t="n">
        <x:v>2022</x:v>
      </x:c>
      <x:c r="L241" s="14" t="str">
        <x:v>Not inherited</x:v>
      </x:c>
      <x:c r="M241" s="15" t="n">
        <x:v>11</x:v>
      </x:c>
      <x:c r="N241" s="14" t="str">
        <x:v>Alex Høgh Andersen</x:v>
      </x:c>
      <x:c r="O241" s="14" t="str">
        <x:v>nm5405979</x:v>
      </x:c>
      <x:c r="P241" s="14" t="str">
        <x:v>Emil Veggem</x:v>
      </x:c>
      <x:c r="Q241" s="15" t="n">
        <x:v>3</x:v>
      </x:c>
      <x:c r="R241" s="14" t="str">
        <x:v>2024</x:v>
      </x:c>
      <x:c r="S241" s="14" t="n">
        <x:v>2024</x:v>
      </x:c>
      <x:c r="T241" s="14" t="n">
        <x:v>2024</x:v>
      </x:c>
      <x:c r="U241" s="14" t="str">
        <x:v>Explicit source first year retained</x:v>
      </x:c>
      <x:c r="V241" s="14" t="str">
        <x:v>Earliest supplied year is 2024.</x:v>
      </x:c>
      <x:c r="W241" s="14"/>
      <x:c r="X241" s="14" t="str">
        <x:v>Carried forward to 2024</x:v>
      </x:c>
      <x:c r="Y241" s="14"/>
      <x:c r="Z241" s="14" t="str">
        <x:v>Granite Harbour.docx</x:v>
      </x:c>
      <x:c r="AA24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BBC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HYPERLINK("https://en.wikipedia.org/wiki/Granite_Harbour","Open source")</x:f>
        <x:v>HYPERLINK is not implemented. linkLocation=https://en.wikipedia.org/wiki/Granite_Harbour, friendlyName=Open source</x:v>
      </x:c>
      <x:c r="AN241" s="14" t="str">
        <x:v>BBC public-service commission</x:v>
      </x:c>
      <x:c r="AO241" s="14" t="str">
        <x:v>Yes</x:v>
      </x:c>
      <x:c r="AP241" s="14" t="str">
        <x:v>Direct BBC public-service scope</x:v>
      </x:c>
      <x:c r="AQ241" s="14" t="str">
        <x:v>Yes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9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3</x:v>
      </x:c>
      <x:c r="BS241" s="16" t="n">
        <x:v>0.3333333333333333</x:v>
      </x:c>
      <x:c r="BT241" s="14" t="str">
        <x:v>Minority of episodes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tt20224612|nm7957857|axel berg</x:v>
      </x:c>
      <x:c r="B242" s="14" t="str">
        <x:v>02</x:v>
      </x:c>
      <x:c r="C242" s="14" t="str">
        <x:v>2022_IMDb_Cast_Lists_Batch_02(1).xlsx</x:v>
      </x:c>
      <x:c r="D242" s="14" t="str">
        <x:v>Granite Harbour</x:v>
      </x:c>
      <x:c r="E242" s="14" t="n">
        <x:v>19</x:v>
      </x:c>
      <x:c r="F242" s="14" t="str">
        <x:v>Granite Harbour</x:v>
      </x:c>
      <x:c r="G242" s="14" t="str">
        <x:v>tt20224612</x:v>
      </x:c>
      <x:c r="H242" s="14" t="n">
        <x:v>2022</x:v>
      </x:c>
      <x:c r="I242" s="14" t="n">
        <x:v>2023</x:v>
      </x:c>
      <x:c r="J242" s="14" t="str">
        <x:v>Future Carry-Forward Cohort</x:v>
      </x:c>
      <x:c r="K242" s="14" t="n">
        <x:v>2022</x:v>
      </x:c>
      <x:c r="L242" s="14" t="str">
        <x:v>Not inherited</x:v>
      </x:c>
      <x:c r="M242" s="15" t="n">
        <x:v>12</x:v>
      </x:c>
      <x:c r="N242" s="14" t="str">
        <x:v>Christopher Rygh</x:v>
      </x:c>
      <x:c r="O242" s="14" t="str">
        <x:v>nm7957857</x:v>
      </x:c>
      <x:c r="P242" s="14" t="str">
        <x:v>Axel Berg</x:v>
      </x:c>
      <x:c r="Q242" s="15" t="n">
        <x:v>3</x:v>
      </x:c>
      <x:c r="R242" s="14" t="str">
        <x:v>2024</x:v>
      </x:c>
      <x:c r="S242" s="14" t="n">
        <x:v>2024</x:v>
      </x:c>
      <x:c r="T242" s="14" t="n">
        <x:v>2024</x:v>
      </x:c>
      <x:c r="U242" s="14" t="str">
        <x:v>Explicit source first year retained</x:v>
      </x:c>
      <x:c r="V242" s="14" t="str">
        <x:v>Earliest supplied year is 2024.</x:v>
      </x:c>
      <x:c r="W242" s="14"/>
      <x:c r="X242" s="14" t="str">
        <x:v>Carried forward to 2024</x:v>
      </x:c>
      <x:c r="Y242" s="14"/>
      <x:c r="Z242" s="14" t="str">
        <x:v>Granite Harbour.docx</x:v>
      </x:c>
      <x:c r="AA24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HYPERLINK("https://en.wikipedia.org/wiki/Granite_Harbour","Open source")</x:f>
        <x:v>HYPERLINK is not implemented. linkLocation=https://en.wikipedia.org/wiki/Granite_Harbour, friendlyName=Open source</x:v>
      </x:c>
      <x:c r="AN242" s="14" t="str">
        <x:v>BBC public-service commission</x:v>
      </x:c>
      <x:c r="AO242" s="14" t="str">
        <x:v>Yes</x:v>
      </x:c>
      <x:c r="AP242" s="14" t="str">
        <x:v>Direct BBC public-service scope</x:v>
      </x:c>
      <x:c r="AQ242" s="14" t="str">
        <x:v>Yes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9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3</x:v>
      </x:c>
      <x:c r="BS242" s="16" t="n">
        <x:v>0.3333333333333333</x:v>
      </x:c>
      <x:c r="BT242" s="14" t="str">
        <x:v>Minority of episodes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tt20224612|nm12887395|nazir mallick</x:v>
      </x:c>
      <x:c r="B243" s="14" t="str">
        <x:v>02</x:v>
      </x:c>
      <x:c r="C243" s="14" t="str">
        <x:v>2022_IMDb_Cast_Lists_Batch_02(1).xlsx</x:v>
      </x:c>
      <x:c r="D243" s="14" t="str">
        <x:v>Granite Harbour</x:v>
      </x:c>
      <x:c r="E243" s="14" t="n">
        <x:v>20</x:v>
      </x:c>
      <x:c r="F243" s="14" t="str">
        <x:v>Granite Harbour</x:v>
      </x:c>
      <x:c r="G243" s="14" t="str">
        <x:v>tt20224612</x:v>
      </x:c>
      <x:c r="H243" s="14" t="n">
        <x:v>2022</x:v>
      </x:c>
      <x:c r="I243" s="14" t="n">
        <x:v>2023</x:v>
      </x:c>
      <x:c r="J243" s="14" t="str">
        <x:v>Future Carry-Forward Cohort</x:v>
      </x:c>
      <x:c r="K243" s="14" t="n">
        <x:v>2022</x:v>
      </x:c>
      <x:c r="L243" s="14" t="str">
        <x:v>Not inherited</x:v>
      </x:c>
      <x:c r="M243" s="15" t="n">
        <x:v>13</x:v>
      </x:c>
      <x:c r="N243" s="14" t="str">
        <x:v>Sani Mamood</x:v>
      </x:c>
      <x:c r="O243" s="14" t="str">
        <x:v>nm12887395</x:v>
      </x:c>
      <x:c r="P243" s="14" t="str">
        <x:v>Nazir Mallick</x:v>
      </x:c>
      <x:c r="Q243" s="15" t="n">
        <x:v>3</x:v>
      </x:c>
      <x:c r="R243" s="14" t="str">
        <x:v>2024</x:v>
      </x:c>
      <x:c r="S243" s="14" t="n">
        <x:v>2024</x:v>
      </x:c>
      <x:c r="T243" s="14" t="n">
        <x:v>2024</x:v>
      </x:c>
      <x:c r="U243" s="14" t="str">
        <x:v>Explicit source first year retained</x:v>
      </x:c>
      <x:c r="V243" s="14" t="str">
        <x:v>Earliest supplied year is 2024.</x:v>
      </x:c>
      <x:c r="W243" s="14"/>
      <x:c r="X243" s="14" t="str">
        <x:v>Carried forward to 2024</x:v>
      </x:c>
      <x:c r="Y243" s="14"/>
      <x:c r="Z243" s="14" t="str">
        <x:v>Granite Harbour.docx</x:v>
      </x:c>
      <x:c r="AA24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HYPERLINK("https://en.wikipedia.org/wiki/Granite_Harbour","Open source")</x:f>
        <x:v>HYPERLINK is not implemented. linkLocation=https://en.wikipedia.org/wiki/Granite_Harbour, friendlyName=Open source</x:v>
      </x:c>
      <x:c r="AN243" s="14" t="str">
        <x:v>BBC public-service commission</x:v>
      </x:c>
      <x:c r="AO243" s="14" t="str">
        <x:v>Yes</x:v>
      </x:c>
      <x:c r="AP243" s="14" t="str">
        <x:v>Direct BBC public-service scope</x:v>
      </x:c>
      <x:c r="AQ243" s="14" t="str">
        <x:v>Yes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9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3</x:v>
      </x:c>
      <x:c r="BS243" s="16" t="n">
        <x:v>0.3333333333333333</x:v>
      </x:c>
      <x:c r="BT243" s="14" t="str">
        <x:v>Minority of episodes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tt20224612|nm0708006|sharmila mallick</x:v>
      </x:c>
      <x:c r="B244" s="14" t="str">
        <x:v>02</x:v>
      </x:c>
      <x:c r="C244" s="14" t="str">
        <x:v>2022_IMDb_Cast_Lists_Batch_02(1).xlsx</x:v>
      </x:c>
      <x:c r="D244" s="14" t="str">
        <x:v>Granite Harbour</x:v>
      </x:c>
      <x:c r="E244" s="14" t="n">
        <x:v>21</x:v>
      </x:c>
      <x:c r="F244" s="14" t="str">
        <x:v>Granite Harbour</x:v>
      </x:c>
      <x:c r="G244" s="14" t="str">
        <x:v>tt20224612</x:v>
      </x:c>
      <x:c r="H244" s="14" t="n">
        <x:v>2022</x:v>
      </x:c>
      <x:c r="I244" s="14" t="n">
        <x:v>2023</x:v>
      </x:c>
      <x:c r="J244" s="14" t="str">
        <x:v>Future Carry-Forward Cohort</x:v>
      </x:c>
      <x:c r="K244" s="14" t="n">
        <x:v>2022</x:v>
      </x:c>
      <x:c r="L244" s="14" t="str">
        <x:v>Not inherited</x:v>
      </x:c>
      <x:c r="M244" s="15" t="n">
        <x:v>14</x:v>
      </x:c>
      <x:c r="N244" s="14" t="str">
        <x:v>Sakuntala Ramanee</x:v>
      </x:c>
      <x:c r="O244" s="14" t="str">
        <x:v>nm0708006</x:v>
      </x:c>
      <x:c r="P244" s="14" t="str">
        <x:v>Sharmila Mallick</x:v>
      </x:c>
      <x:c r="Q244" s="15" t="n">
        <x:v>3</x:v>
      </x:c>
      <x:c r="R244" s="14" t="str">
        <x:v>2024</x:v>
      </x:c>
      <x:c r="S244" s="14" t="n">
        <x:v>2024</x:v>
      </x:c>
      <x:c r="T244" s="14" t="n">
        <x:v>2024</x:v>
      </x:c>
      <x:c r="U244" s="14" t="str">
        <x:v>Explicit source first year retained</x:v>
      </x:c>
      <x:c r="V244" s="14" t="str">
        <x:v>Earliest supplied year is 2024.</x:v>
      </x:c>
      <x:c r="W244" s="14"/>
      <x:c r="X244" s="14" t="str">
        <x:v>Carried forward to 2024</x:v>
      </x:c>
      <x:c r="Y244" s="14"/>
      <x:c r="Z244" s="14" t="str">
        <x:v>Granite Harbour.docx</x:v>
      </x:c>
      <x:c r="AA24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HYPERLINK("https://en.wikipedia.org/wiki/Granite_Harbour","Open source")</x:f>
        <x:v>HYPERLINK is not implemented. linkLocation=https://en.wikipedia.org/wiki/Granite_Harbour, friendlyName=Open source</x:v>
      </x:c>
      <x:c r="AN244" s="14" t="str">
        <x:v>BBC public-service commission</x:v>
      </x:c>
      <x:c r="AO244" s="14" t="str">
        <x:v>Yes</x:v>
      </x:c>
      <x:c r="AP244" s="14" t="str">
        <x:v>Direct BBC public-service scope</x:v>
      </x:c>
      <x:c r="AQ244" s="14" t="str">
        <x:v>Yes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9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3</x:v>
      </x:c>
      <x:c r="BS244" s="16" t="n">
        <x:v>0.3333333333333333</x:v>
      </x:c>
      <x:c r="BT244" s="14" t="str">
        <x:v>Minority of episodes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tt20224612|nm4512593|katie forsyth</x:v>
      </x:c>
      <x:c r="B245" s="14" t="str">
        <x:v>02</x:v>
      </x:c>
      <x:c r="C245" s="14" t="str">
        <x:v>2022_IMDb_Cast_Lists_Batch_02(1).xlsx</x:v>
      </x:c>
      <x:c r="D245" s="14" t="str">
        <x:v>Granite Harbour</x:v>
      </x:c>
      <x:c r="E245" s="14" t="n">
        <x:v>22</x:v>
      </x:c>
      <x:c r="F245" s="14" t="str">
        <x:v>Granite Harbour</x:v>
      </x:c>
      <x:c r="G245" s="14" t="str">
        <x:v>tt20224612</x:v>
      </x:c>
      <x:c r="H245" s="14" t="n">
        <x:v>2022</x:v>
      </x:c>
      <x:c r="I245" s="14" t="n">
        <x:v>2023</x:v>
      </x:c>
      <x:c r="J245" s="14" t="str">
        <x:v>Future Carry-Forward Cohort</x:v>
      </x:c>
      <x:c r="K245" s="14" t="n">
        <x:v>2022</x:v>
      </x:c>
      <x:c r="L245" s="14" t="str">
        <x:v>Not inherited</x:v>
      </x:c>
      <x:c r="M245" s="15" t="n">
        <x:v>15</x:v>
      </x:c>
      <x:c r="N245" s="14" t="str">
        <x:v>Kate Bracken</x:v>
      </x:c>
      <x:c r="O245" s="14" t="str">
        <x:v>nm4512593</x:v>
      </x:c>
      <x:c r="P245" s="14" t="str">
        <x:v>Katie Forsyth</x:v>
      </x:c>
      <x:c r="Q245" s="15" t="n">
        <x:v>3</x:v>
      </x:c>
      <x:c r="R245" s="14" t="str">
        <x:v>2024</x:v>
      </x:c>
      <x:c r="S245" s="14" t="n">
        <x:v>2024</x:v>
      </x:c>
      <x:c r="T245" s="14" t="n">
        <x:v>2024</x:v>
      </x:c>
      <x:c r="U245" s="14" t="str">
        <x:v>Explicit source first year retained</x:v>
      </x:c>
      <x:c r="V245" s="14" t="str">
        <x:v>Earliest supplied year is 2024.</x:v>
      </x:c>
      <x:c r="W245" s="14"/>
      <x:c r="X245" s="14" t="str">
        <x:v>Carried forward to 2024</x:v>
      </x:c>
      <x:c r="Y245" s="14"/>
      <x:c r="Z245" s="14" t="str">
        <x:v>Granite Harbour.docx</x:v>
      </x:c>
      <x:c r="AA24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HYPERLINK("https://en.wikipedia.org/wiki/Granite_Harbour","Open source")</x:f>
        <x:v>HYPERLINK is not implemented. linkLocation=https://en.wikipedia.org/wiki/Granite_Harbour, friendlyName=Open source</x:v>
      </x:c>
      <x:c r="AN245" s="14" t="str">
        <x:v>BBC public-service commission</x:v>
      </x:c>
      <x:c r="AO245" s="14" t="str">
        <x:v>Yes</x:v>
      </x:c>
      <x:c r="AP245" s="14" t="str">
        <x:v>Direct BBC public-service scope</x:v>
      </x:c>
      <x:c r="AQ245" s="14" t="str">
        <x:v>Yes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9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3</x:v>
      </x:c>
      <x:c r="BS245" s="16" t="n">
        <x:v>0.3333333333333333</x:v>
      </x:c>
      <x:c r="BT245" s="14" t="str">
        <x:v>Minority of episodes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tt20224612|nm11656825|elsa henrik</x:v>
      </x:c>
      <x:c r="B246" s="14" t="str">
        <x:v>02</x:v>
      </x:c>
      <x:c r="C246" s="14" t="str">
        <x:v>2022_IMDb_Cast_Lists_Batch_02(1).xlsx</x:v>
      </x:c>
      <x:c r="D246" s="14" t="str">
        <x:v>Granite Harbour</x:v>
      </x:c>
      <x:c r="E246" s="14" t="n">
        <x:v>23</x:v>
      </x:c>
      <x:c r="F246" s="14" t="str">
        <x:v>Granite Harbour</x:v>
      </x:c>
      <x:c r="G246" s="14" t="str">
        <x:v>tt20224612</x:v>
      </x:c>
      <x:c r="H246" s="14" t="n">
        <x:v>2022</x:v>
      </x:c>
      <x:c r="I246" s="14" t="n">
        <x:v>2023</x:v>
      </x:c>
      <x:c r="J246" s="14" t="str">
        <x:v>Future Carry-Forward Cohort</x:v>
      </x:c>
      <x:c r="K246" s="14" t="n">
        <x:v>2022</x:v>
      </x:c>
      <x:c r="L246" s="14" t="str">
        <x:v>Not inherited</x:v>
      </x:c>
      <x:c r="M246" s="15" t="n">
        <x:v>16</x:v>
      </x:c>
      <x:c r="N246" s="14" t="str">
        <x:v>Melina Åkerman Kvie</x:v>
      </x:c>
      <x:c r="O246" s="14" t="str">
        <x:v>nm11656825</x:v>
      </x:c>
      <x:c r="P246" s="14" t="str">
        <x:v>Elsa Henrik</x:v>
      </x:c>
      <x:c r="Q246" s="15" t="n">
        <x:v>3</x:v>
      </x:c>
      <x:c r="R246" s="14" t="str">
        <x:v>2024</x:v>
      </x:c>
      <x:c r="S246" s="14" t="n">
        <x:v>2024</x:v>
      </x:c>
      <x:c r="T246" s="14" t="n">
        <x:v>2024</x:v>
      </x:c>
      <x:c r="U246" s="14" t="str">
        <x:v>Explicit source first year retained</x:v>
      </x:c>
      <x:c r="V246" s="14" t="str">
        <x:v>Earliest supplied year is 2024.</x:v>
      </x:c>
      <x:c r="W246" s="14"/>
      <x:c r="X246" s="14" t="str">
        <x:v>Carried forward to 2024</x:v>
      </x:c>
      <x:c r="Y246" s="14"/>
      <x:c r="Z246" s="14" t="str">
        <x:v>Granite Harbour.docx</x:v>
      </x:c>
      <x:c r="AA24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HYPERLINK("https://en.wikipedia.org/wiki/Granite_Harbour","Open source")</x:f>
        <x:v>HYPERLINK is not implemented. linkLocation=https://en.wikipedia.org/wiki/Granite_Harbour, friendlyName=Open source</x:v>
      </x:c>
      <x:c r="AN246" s="14" t="str">
        <x:v>BBC public-service commission</x:v>
      </x:c>
      <x:c r="AO246" s="14" t="str">
        <x:v>Yes</x:v>
      </x:c>
      <x:c r="AP246" s="14" t="str">
        <x:v>Direct BBC public-service scope</x:v>
      </x:c>
      <x:c r="AQ246" s="14" t="str">
        <x:v>Yes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9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3</x:v>
      </x:c>
      <x:c r="BS246" s="16" t="n">
        <x:v>0.3333333333333333</x:v>
      </x:c>
      <x:c r="BT246" s="14" t="str">
        <x:v>Minority of episodes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tt20224612|nm16113716|dock worker</x:v>
      </x:c>
      <x:c r="B247" s="14" t="str">
        <x:v>02</x:v>
      </x:c>
      <x:c r="C247" s="14" t="str">
        <x:v>2022_IMDb_Cast_Lists_Batch_02(1).xlsx</x:v>
      </x:c>
      <x:c r="D247" s="14" t="str">
        <x:v>Granite Harbour</x:v>
      </x:c>
      <x:c r="E247" s="14" t="n">
        <x:v>32</x:v>
      </x:c>
      <x:c r="F247" s="14" t="str">
        <x:v>Granite Harbour</x:v>
      </x:c>
      <x:c r="G247" s="14" t="str">
        <x:v>tt20224612</x:v>
      </x:c>
      <x:c r="H247" s="14" t="n">
        <x:v>2022</x:v>
      </x:c>
      <x:c r="I247" s="14" t="n">
        <x:v>2023</x:v>
      </x:c>
      <x:c r="J247" s="14" t="str">
        <x:v>Future Carry-Forward Cohort</x:v>
      </x:c>
      <x:c r="K247" s="14" t="n">
        <x:v>2022</x:v>
      </x:c>
      <x:c r="L247" s="14" t="str">
        <x:v>Not inherited</x:v>
      </x:c>
      <x:c r="M247" s="15" t="n">
        <x:v>25</x:v>
      </x:c>
      <x:c r="N247" s="14" t="str">
        <x:v>Jason Alan Staines</x:v>
      </x:c>
      <x:c r="O247" s="14" t="str">
        <x:v>nm16113716</x:v>
      </x:c>
      <x:c r="P247" s="14" t="str">
        <x:v>Dock Worker</x:v>
      </x:c>
      <x:c r="Q247" s="15" t="n">
        <x:v>3</x:v>
      </x:c>
      <x:c r="R247" s="14" t="str">
        <x:v>2024</x:v>
      </x:c>
      <x:c r="S247" s="14" t="n">
        <x:v>2024</x:v>
      </x:c>
      <x:c r="T247" s="14" t="n">
        <x:v>2024</x:v>
      </x:c>
      <x:c r="U247" s="14" t="str">
        <x:v>Explicit source first year retained</x:v>
      </x:c>
      <x:c r="V247" s="14" t="str">
        <x:v>Earliest supplied year is 2024.</x:v>
      </x:c>
      <x:c r="W247" s="14"/>
      <x:c r="X247" s="14" t="str">
        <x:v>Carried forward to 2024</x:v>
      </x:c>
      <x:c r="Y247" s="14"/>
      <x:c r="Z247" s="14" t="str">
        <x:v>Granite Harbour.docx</x:v>
      </x:c>
      <x:c r="AA24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HYPERLINK("https://en.wikipedia.org/wiki/Granite_Harbour","Open source")</x:f>
        <x:v>HYPERLINK is not implemented. linkLocation=https://en.wikipedia.org/wiki/Granite_Harbour, friendlyName=Open source</x:v>
      </x:c>
      <x:c r="AN247" s="14" t="str">
        <x:v>BBC public-service commission</x:v>
      </x:c>
      <x:c r="AO247" s="14" t="str">
        <x:v>Yes</x:v>
      </x:c>
      <x:c r="AP247" s="14" t="str">
        <x:v>Direct BBC public-service scope</x:v>
      </x:c>
      <x:c r="AQ247" s="14" t="str">
        <x:v>Yes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9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3</x:v>
      </x:c>
      <x:c r="BS247" s="16" t="n">
        <x:v>0.3333333333333333</x:v>
      </x:c>
      <x:c r="BT247" s="14" t="str">
        <x:v>Minority of episodes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tt20224612|nm0540038|captain neilson</x:v>
      </x:c>
      <x:c r="B248" s="14" t="str">
        <x:v>02</x:v>
      </x:c>
      <x:c r="C248" s="14" t="str">
        <x:v>2022_IMDb_Cast_Lists_Batch_02(1).xlsx</x:v>
      </x:c>
      <x:c r="D248" s="14" t="str">
        <x:v>Granite Harbour</x:v>
      </x:c>
      <x:c r="E248" s="14" t="n">
        <x:v>46</x:v>
      </x:c>
      <x:c r="F248" s="14" t="str">
        <x:v>Granite Harbour</x:v>
      </x:c>
      <x:c r="G248" s="14" t="str">
        <x:v>tt20224612</x:v>
      </x:c>
      <x:c r="H248" s="14" t="n">
        <x:v>2022</x:v>
      </x:c>
      <x:c r="I248" s="14" t="n">
        <x:v>2023</x:v>
      </x:c>
      <x:c r="J248" s="14" t="str">
        <x:v>Future Carry-Forward Cohort</x:v>
      </x:c>
      <x:c r="K248" s="14" t="n">
        <x:v>2022</x:v>
      </x:c>
      <x:c r="L248" s="14" t="str">
        <x:v>Not inherited</x:v>
      </x:c>
      <x:c r="M248" s="15" t="n">
        <x:v>39</x:v>
      </x:c>
      <x:c r="N248" s="14" t="str">
        <x:v>Søren Malling</x:v>
      </x:c>
      <x:c r="O248" s="14" t="str">
        <x:v>nm0540038</x:v>
      </x:c>
      <x:c r="P248" s="14" t="str">
        <x:v>Captain Neilson</x:v>
      </x:c>
      <x:c r="Q248" s="15" t="n">
        <x:v>2</x:v>
      </x:c>
      <x:c r="R248" s="14" t="str">
        <x:v>2024</x:v>
      </x:c>
      <x:c r="S248" s="14" t="n">
        <x:v>2024</x:v>
      </x:c>
      <x:c r="T248" s="14" t="n">
        <x:v>2024</x:v>
      </x:c>
      <x:c r="U248" s="14" t="str">
        <x:v>Explicit source first year retained</x:v>
      </x:c>
      <x:c r="V248" s="14" t="str">
        <x:v>Earliest supplied year is 2024.</x:v>
      </x:c>
      <x:c r="W248" s="14"/>
      <x:c r="X248" s="14" t="str">
        <x:v>Carried forward to 2024</x:v>
      </x:c>
      <x:c r="Y248" s="14"/>
      <x:c r="Z248" s="14" t="str">
        <x:v>Granite Harbour.docx</x:v>
      </x:c>
      <x:c r="AA24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HYPERLINK("https://en.wikipedia.org/wiki/Granite_Harbour","Open source")</x:f>
        <x:v>HYPERLINK is not implemented. linkLocation=https://en.wikipedia.org/wiki/Granite_Harbour, friendlyName=Open source</x:v>
      </x:c>
      <x:c r="AN248" s="14" t="str">
        <x:v>BBC public-service commission</x:v>
      </x:c>
      <x:c r="AO248" s="14" t="str">
        <x:v>Yes</x:v>
      </x:c>
      <x:c r="AP248" s="14" t="str">
        <x:v>Direct BBC public-service scope</x:v>
      </x:c>
      <x:c r="AQ248" s="14" t="str">
        <x:v>Yes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9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2</x:v>
      </x:c>
      <x:c r="BS248" s="16" t="n">
        <x:v>0.2222222222222222</x:v>
      </x:c>
      <x:c r="BT248" s="14" t="str">
        <x:v>Minority of episodes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tt20224612|nm11501879|ruth mcfadden</x:v>
      </x:c>
      <x:c r="B249" s="14" t="str">
        <x:v>02</x:v>
      </x:c>
      <x:c r="C249" s="14" t="str">
        <x:v>2022_IMDb_Cast_Lists_Batch_02(1).xlsx</x:v>
      </x:c>
      <x:c r="D249" s="14" t="str">
        <x:v>Granite Harbour</x:v>
      </x:c>
      <x:c r="E249" s="14" t="n">
        <x:v>47</x:v>
      </x:c>
      <x:c r="F249" s="14" t="str">
        <x:v>Granite Harbour</x:v>
      </x:c>
      <x:c r="G249" s="14" t="str">
        <x:v>tt20224612</x:v>
      </x:c>
      <x:c r="H249" s="14" t="n">
        <x:v>2022</x:v>
      </x:c>
      <x:c r="I249" s="14" t="n">
        <x:v>2023</x:v>
      </x:c>
      <x:c r="J249" s="14" t="str">
        <x:v>Future Carry-Forward Cohort</x:v>
      </x:c>
      <x:c r="K249" s="14" t="n">
        <x:v>2022</x:v>
      </x:c>
      <x:c r="L249" s="14" t="str">
        <x:v>Not inherited</x:v>
      </x:c>
      <x:c r="M249" s="15" t="n">
        <x:v>40</x:v>
      </x:c>
      <x:c r="N249" s="14" t="str">
        <x:v>Layla Kirk</x:v>
      </x:c>
      <x:c r="O249" s="14" t="str">
        <x:v>nm11501879</x:v>
      </x:c>
      <x:c r="P249" s="14" t="str">
        <x:v>Ruth McFadden</x:v>
      </x:c>
      <x:c r="Q249" s="15" t="n">
        <x:v>2</x:v>
      </x:c>
      <x:c r="R249" s="14" t="str">
        <x:v>2024</x:v>
      </x:c>
      <x:c r="S249" s="14" t="n">
        <x:v>2024</x:v>
      </x:c>
      <x:c r="T249" s="14" t="n">
        <x:v>2024</x:v>
      </x:c>
      <x:c r="U249" s="14" t="str">
        <x:v>Explicit source first year retained</x:v>
      </x:c>
      <x:c r="V249" s="14" t="str">
        <x:v>Earliest supplied year is 2024.</x:v>
      </x:c>
      <x:c r="W249" s="14"/>
      <x:c r="X249" s="14" t="str">
        <x:v>Carried forward to 2024</x:v>
      </x:c>
      <x:c r="Y249" s="14"/>
      <x:c r="Z249" s="14" t="str">
        <x:v>Granite Harbour.docx</x:v>
      </x:c>
      <x:c r="AA24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HYPERLINK("https://en.wikipedia.org/wiki/Granite_Harbour","Open source")</x:f>
        <x:v>HYPERLINK is not implemented. linkLocation=https://en.wikipedia.org/wiki/Granite_Harbour, friendlyName=Open source</x:v>
      </x:c>
      <x:c r="AN249" s="14" t="str">
        <x:v>BBC public-service commission</x:v>
      </x:c>
      <x:c r="AO249" s="14" t="str">
        <x:v>Yes</x:v>
      </x:c>
      <x:c r="AP249" s="14" t="str">
        <x:v>Direct BBC public-service scope</x:v>
      </x:c>
      <x:c r="AQ249" s="14" t="str">
        <x:v>Yes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9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2</x:v>
      </x:c>
      <x:c r="BS249" s="16" t="n">
        <x:v>0.2222222222222222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tt20224612|nm16057046|pierce</x:v>
      </x:c>
      <x:c r="B250" s="14" t="str">
        <x:v>02</x:v>
      </x:c>
      <x:c r="C250" s="14" t="str">
        <x:v>2022_IMDb_Cast_Lists_Batch_02(1).xlsx</x:v>
      </x:c>
      <x:c r="D250" s="14" t="str">
        <x:v>Granite Harbour</x:v>
      </x:c>
      <x:c r="E250" s="14" t="n">
        <x:v>48</x:v>
      </x:c>
      <x:c r="F250" s="14" t="str">
        <x:v>Granite Harbour</x:v>
      </x:c>
      <x:c r="G250" s="14" t="str">
        <x:v>tt20224612</x:v>
      </x:c>
      <x:c r="H250" s="14" t="n">
        <x:v>2022</x:v>
      </x:c>
      <x:c r="I250" s="14" t="n">
        <x:v>2023</x:v>
      </x:c>
      <x:c r="J250" s="14" t="str">
        <x:v>Future Carry-Forward Cohort</x:v>
      </x:c>
      <x:c r="K250" s="14" t="n">
        <x:v>2022</x:v>
      </x:c>
      <x:c r="L250" s="14" t="str">
        <x:v>Not inherited</x:v>
      </x:c>
      <x:c r="M250" s="15" t="n">
        <x:v>41</x:v>
      </x:c>
      <x:c r="N250" s="14" t="str">
        <x:v>Macleod Stephen</x:v>
      </x:c>
      <x:c r="O250" s="14" t="str">
        <x:v>nm16057046</x:v>
      </x:c>
      <x:c r="P250" s="14" t="str">
        <x:v>Pierce</x:v>
      </x:c>
      <x:c r="Q250" s="15" t="n">
        <x:v>2</x:v>
      </x:c>
      <x:c r="R250" s="14" t="str">
        <x:v>2024</x:v>
      </x:c>
      <x:c r="S250" s="14" t="n">
        <x:v>2024</x:v>
      </x:c>
      <x:c r="T250" s="14" t="n">
        <x:v>2024</x:v>
      </x:c>
      <x:c r="U250" s="14" t="str">
        <x:v>Explicit source first year retained</x:v>
      </x:c>
      <x:c r="V250" s="14" t="str">
        <x:v>Earliest supplied year is 2024.</x:v>
      </x:c>
      <x:c r="W250" s="14"/>
      <x:c r="X250" s="14" t="str">
        <x:v>Carried forward to 2024</x:v>
      </x:c>
      <x:c r="Y250" s="14"/>
      <x:c r="Z250" s="14" t="str">
        <x:v>Granite Harbour.docx</x:v>
      </x:c>
      <x:c r="AA25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HYPERLINK("https://en.wikipedia.org/wiki/Granite_Harbour","Open source")</x:f>
        <x:v>HYPERLINK is not implemented. linkLocation=https://en.wikipedia.org/wiki/Granite_Harbour, friendlyName=Open source</x:v>
      </x:c>
      <x:c r="AN250" s="14" t="str">
        <x:v>BBC public-service commission</x:v>
      </x:c>
      <x:c r="AO250" s="14" t="str">
        <x:v>Yes</x:v>
      </x:c>
      <x:c r="AP250" s="14" t="str">
        <x:v>Direct BBC public-service scope</x:v>
      </x:c>
      <x:c r="AQ250" s="14" t="str">
        <x:v>Yes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9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2</x:v>
      </x:c>
      <x:c r="BS250" s="16" t="n">
        <x:v>0.2222222222222222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tt20224612|nm8328544|hassan faraki</x:v>
      </x:c>
      <x:c r="B251" s="14" t="str">
        <x:v>02</x:v>
      </x:c>
      <x:c r="C251" s="14" t="str">
        <x:v>2022_IMDb_Cast_Lists_Batch_02(1).xlsx</x:v>
      </x:c>
      <x:c r="D251" s="14" t="str">
        <x:v>Granite Harbour</x:v>
      </x:c>
      <x:c r="E251" s="14" t="n">
        <x:v>50</x:v>
      </x:c>
      <x:c r="F251" s="14" t="str">
        <x:v>Granite Harbour</x:v>
      </x:c>
      <x:c r="G251" s="14" t="str">
        <x:v>tt20224612</x:v>
      </x:c>
      <x:c r="H251" s="14" t="n">
        <x:v>2022</x:v>
      </x:c>
      <x:c r="I251" s="14" t="n">
        <x:v>2023</x:v>
      </x:c>
      <x:c r="J251" s="14" t="str">
        <x:v>Future Carry-Forward Cohort</x:v>
      </x:c>
      <x:c r="K251" s="14" t="n">
        <x:v>2022</x:v>
      </x:c>
      <x:c r="L251" s="14" t="str">
        <x:v>Not inherited</x:v>
      </x:c>
      <x:c r="M251" s="15" t="n">
        <x:v>43</x:v>
      </x:c>
      <x:c r="N251" s="14" t="str">
        <x:v>Yusuf Chaudhri</x:v>
      </x:c>
      <x:c r="O251" s="14" t="str">
        <x:v>nm8328544</x:v>
      </x:c>
      <x:c r="P251" s="14" t="str">
        <x:v>Hassan Faraki</x:v>
      </x:c>
      <x:c r="Q251" s="15" t="n">
        <x:v>1</x:v>
      </x:c>
      <x:c r="R251" s="14" t="str">
        <x:v>2024</x:v>
      </x:c>
      <x:c r="S251" s="14" t="n">
        <x:v>2024</x:v>
      </x:c>
      <x:c r="T251" s="14" t="n">
        <x:v>2024</x:v>
      </x:c>
      <x:c r="U251" s="14" t="str">
        <x:v>Explicit source first year retained</x:v>
      </x:c>
      <x:c r="V251" s="14" t="str">
        <x:v>Earliest supplied year is 2024.</x:v>
      </x:c>
      <x:c r="W251" s="14"/>
      <x:c r="X251" s="14" t="str">
        <x:v>Carried forward to 2024</x:v>
      </x:c>
      <x:c r="Y251" s="14"/>
      <x:c r="Z251" s="14" t="str">
        <x:v>Granite Harbour.docx</x:v>
      </x:c>
      <x:c r="AA25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HYPERLINK("https://en.wikipedia.org/wiki/Granite_Harbour","Open source")</x:f>
        <x:v>HYPERLINK is not implemented. linkLocation=https://en.wikipedia.org/wiki/Granite_Harbour, friendlyName=Open source</x:v>
      </x:c>
      <x:c r="AN251" s="14" t="str">
        <x:v>BBC public-service commission</x:v>
      </x:c>
      <x:c r="AO251" s="14" t="str">
        <x:v>Yes</x:v>
      </x:c>
      <x:c r="AP251" s="14" t="str">
        <x:v>Direct BBC public-service scope</x:v>
      </x:c>
      <x:c r="AQ251" s="14" t="str">
        <x:v>Yes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9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1</x:v>
      </x:c>
      <x:c r="BS251" s="16" t="n">
        <x:v>0.1111111111111111</x:v>
      </x:c>
      <x:c r="BT251" s="14" t="str">
        <x:v>One episode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tt20224612|nm2567807|lucas galloway</x:v>
      </x:c>
      <x:c r="B252" s="14" t="str">
        <x:v>02</x:v>
      </x:c>
      <x:c r="C252" s="14" t="str">
        <x:v>2022_IMDb_Cast_Lists_Batch_02(1).xlsx</x:v>
      </x:c>
      <x:c r="D252" s="14" t="str">
        <x:v>Granite Harbour</x:v>
      </x:c>
      <x:c r="E252" s="14" t="n">
        <x:v>51</x:v>
      </x:c>
      <x:c r="F252" s="14" t="str">
        <x:v>Granite Harbour</x:v>
      </x:c>
      <x:c r="G252" s="14" t="str">
        <x:v>tt20224612</x:v>
      </x:c>
      <x:c r="H252" s="14" t="n">
        <x:v>2022</x:v>
      </x:c>
      <x:c r="I252" s="14" t="n">
        <x:v>2023</x:v>
      </x:c>
      <x:c r="J252" s="14" t="str">
        <x:v>Future Carry-Forward Cohort</x:v>
      </x:c>
      <x:c r="K252" s="14" t="n">
        <x:v>2022</x:v>
      </x:c>
      <x:c r="L252" s="14" t="str">
        <x:v>Not inherited</x:v>
      </x:c>
      <x:c r="M252" s="15" t="n">
        <x:v>44</x:v>
      </x:c>
      <x:c r="N252" s="14" t="str">
        <x:v>Russ Bain</x:v>
      </x:c>
      <x:c r="O252" s="14" t="str">
        <x:v>nm2567807</x:v>
      </x:c>
      <x:c r="P252" s="14" t="str">
        <x:v>Lucas Galloway</x:v>
      </x:c>
      <x:c r="Q252" s="15" t="n">
        <x:v>1</x:v>
      </x:c>
      <x:c r="R252" s="14" t="str">
        <x:v>2024</x:v>
      </x:c>
      <x:c r="S252" s="14" t="n">
        <x:v>2024</x:v>
      </x:c>
      <x:c r="T252" s="14" t="n">
        <x:v>2024</x:v>
      </x:c>
      <x:c r="U252" s="14" t="str">
        <x:v>Explicit source first year retained</x:v>
      </x:c>
      <x:c r="V252" s="14" t="str">
        <x:v>Earliest supplied year is 2024.</x:v>
      </x:c>
      <x:c r="W252" s="14"/>
      <x:c r="X252" s="14" t="str">
        <x:v>Carried forward to 2024</x:v>
      </x:c>
      <x:c r="Y252" s="14"/>
      <x:c r="Z252" s="14" t="str">
        <x:v>Granite Harbour.docx</x:v>
      </x:c>
      <x:c r="AA25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HYPERLINK("https://en.wikipedia.org/wiki/Granite_Harbour","Open source")</x:f>
        <x:v>HYPERLINK is not implemented. linkLocation=https://en.wikipedia.org/wiki/Granite_Harbour, friendlyName=Open source</x:v>
      </x:c>
      <x:c r="AN252" s="14" t="str">
        <x:v>BBC public-service commission</x:v>
      </x:c>
      <x:c r="AO252" s="14" t="str">
        <x:v>Yes</x:v>
      </x:c>
      <x:c r="AP252" s="14" t="str">
        <x:v>Direct BBC public-service scope</x:v>
      </x:c>
      <x:c r="AQ252" s="14" t="str">
        <x:v>Yes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9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0.1111111111111111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tt20224612|nm2759663|nrps official</x:v>
      </x:c>
      <x:c r="B253" s="14" t="str">
        <x:v>02</x:v>
      </x:c>
      <x:c r="C253" s="14" t="str">
        <x:v>2022_IMDb_Cast_Lists_Batch_02(1).xlsx</x:v>
      </x:c>
      <x:c r="D253" s="14" t="str">
        <x:v>Granite Harbour</x:v>
      </x:c>
      <x:c r="E253" s="14" t="n">
        <x:v>52</x:v>
      </x:c>
      <x:c r="F253" s="14" t="str">
        <x:v>Granite Harbour</x:v>
      </x:c>
      <x:c r="G253" s="14" t="str">
        <x:v>tt20224612</x:v>
      </x:c>
      <x:c r="H253" s="14" t="n">
        <x:v>2022</x:v>
      </x:c>
      <x:c r="I253" s="14" t="n">
        <x:v>2023</x:v>
      </x:c>
      <x:c r="J253" s="14" t="str">
        <x:v>Future Carry-Forward Cohort</x:v>
      </x:c>
      <x:c r="K253" s="14" t="n">
        <x:v>2022</x:v>
      </x:c>
      <x:c r="L253" s="14" t="str">
        <x:v>Not inherited</x:v>
      </x:c>
      <x:c r="M253" s="15" t="n">
        <x:v>45</x:v>
      </x:c>
      <x:c r="N253" s="14" t="str">
        <x:v>Fraser Sivewright</x:v>
      </x:c>
      <x:c r="O253" s="14" t="str">
        <x:v>nm2759663</x:v>
      </x:c>
      <x:c r="P253" s="14" t="str">
        <x:v>NRPS Official</x:v>
      </x:c>
      <x:c r="Q253" s="15" t="n">
        <x:v>1</x:v>
      </x:c>
      <x:c r="R253" s="14" t="str">
        <x:v>2024</x:v>
      </x:c>
      <x:c r="S253" s="14" t="n">
        <x:v>2024</x:v>
      </x:c>
      <x:c r="T253" s="14" t="n">
        <x:v>2024</x:v>
      </x:c>
      <x:c r="U253" s="14" t="str">
        <x:v>Explicit source first year retained</x:v>
      </x:c>
      <x:c r="V253" s="14" t="str">
        <x:v>Earliest supplied year is 2024.</x:v>
      </x:c>
      <x:c r="W253" s="14"/>
      <x:c r="X253" s="14" t="str">
        <x:v>Carried forward to 2024</x:v>
      </x:c>
      <x:c r="Y253" s="14"/>
      <x:c r="Z253" s="14" t="str">
        <x:v>Granite Harbour.docx</x:v>
      </x:c>
      <x:c r="AA25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HYPERLINK("https://en.wikipedia.org/wiki/Granite_Harbour","Open source")</x:f>
        <x:v>HYPERLINK is not implemented. linkLocation=https://en.wikipedia.org/wiki/Granite_Harbour, friendlyName=Open source</x:v>
      </x:c>
      <x:c r="AN253" s="14" t="str">
        <x:v>BBC public-service commission</x:v>
      </x:c>
      <x:c r="AO253" s="14" t="str">
        <x:v>Yes</x:v>
      </x:c>
      <x:c r="AP253" s="14" t="str">
        <x:v>Direct BBC public-service scope</x:v>
      </x:c>
      <x:c r="AQ253" s="14" t="str">
        <x:v>Yes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9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0.1111111111111111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tt20224612|nm17277937|police officer</x:v>
      </x:c>
      <x:c r="B254" s="14" t="str">
        <x:v>02</x:v>
      </x:c>
      <x:c r="C254" s="14" t="str">
        <x:v>2022_IMDb_Cast_Lists_Batch_02(1).xlsx</x:v>
      </x:c>
      <x:c r="D254" s="14" t="str">
        <x:v>Granite Harbour</x:v>
      </x:c>
      <x:c r="E254" s="14" t="n">
        <x:v>57</x:v>
      </x:c>
      <x:c r="F254" s="14" t="str">
        <x:v>Granite Harbour</x:v>
      </x:c>
      <x:c r="G254" s="14" t="str">
        <x:v>tt20224612</x:v>
      </x:c>
      <x:c r="H254" s="14" t="n">
        <x:v>2022</x:v>
      </x:c>
      <x:c r="I254" s="14" t="n">
        <x:v>2023</x:v>
      </x:c>
      <x:c r="J254" s="14" t="str">
        <x:v>Future Carry-Forward Cohort</x:v>
      </x:c>
      <x:c r="K254" s="14" t="n">
        <x:v>2022</x:v>
      </x:c>
      <x:c r="L254" s="14" t="str">
        <x:v>Not inherited</x:v>
      </x:c>
      <x:c r="M254" s="15" t="n">
        <x:v>50</x:v>
      </x:c>
      <x:c r="N254" s="14" t="str">
        <x:v>Sarah Elizabeth Curran</x:v>
      </x:c>
      <x:c r="O254" s="14" t="str">
        <x:v>nm17277937</x:v>
      </x:c>
      <x:c r="P254" s="14" t="str">
        <x:v>Police Officer</x:v>
      </x:c>
      <x:c r="Q254" s="15" t="n">
        <x:v>1</x:v>
      </x:c>
      <x:c r="R254" s="14" t="str">
        <x:v>2024</x:v>
      </x:c>
      <x:c r="S254" s="14" t="n">
        <x:v>2024</x:v>
      </x:c>
      <x:c r="T254" s="14" t="n">
        <x:v>2024</x:v>
      </x:c>
      <x:c r="U254" s="14" t="str">
        <x:v>Explicit source first year retained</x:v>
      </x:c>
      <x:c r="V254" s="14" t="str">
        <x:v>Earliest supplied year is 2024.</x:v>
      </x:c>
      <x:c r="W254" s="14"/>
      <x:c r="X254" s="14" t="str">
        <x:v>Carried forward to 2024</x:v>
      </x:c>
      <x:c r="Y254" s="14"/>
      <x:c r="Z254" s="14" t="str">
        <x:v>Granite Harbour.docx</x:v>
      </x:c>
      <x:c r="AA25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HYPERLINK("https://en.wikipedia.org/wiki/Granite_Harbour","Open source")</x:f>
        <x:v>HYPERLINK is not implemented. linkLocation=https://en.wikipedia.org/wiki/Granite_Harbour, friendlyName=Open source</x:v>
      </x:c>
      <x:c r="AN254" s="14" t="str">
        <x:v>BBC public-service commission</x:v>
      </x:c>
      <x:c r="AO254" s="14" t="str">
        <x:v>Yes</x:v>
      </x:c>
      <x:c r="AP254" s="14" t="str">
        <x:v>Direct BBC public-service scope</x:v>
      </x:c>
      <x:c r="AQ254" s="14" t="str">
        <x:v>Yes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9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0.1111111111111111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tt20224612|nm12184559|harbour master</x:v>
      </x:c>
      <x:c r="B255" s="14" t="str">
        <x:v>02</x:v>
      </x:c>
      <x:c r="C255" s="14" t="str">
        <x:v>2022_IMDb_Cast_Lists_Batch_02(1).xlsx</x:v>
      </x:c>
      <x:c r="D255" s="14" t="str">
        <x:v>Granite Harbour</x:v>
      </x:c>
      <x:c r="E255" s="14" t="n">
        <x:v>58</x:v>
      </x:c>
      <x:c r="F255" s="14" t="str">
        <x:v>Granite Harbour</x:v>
      </x:c>
      <x:c r="G255" s="14" t="str">
        <x:v>tt20224612</x:v>
      </x:c>
      <x:c r="H255" s="14" t="n">
        <x:v>2022</x:v>
      </x:c>
      <x:c r="I255" s="14" t="n">
        <x:v>2023</x:v>
      </x:c>
      <x:c r="J255" s="14" t="str">
        <x:v>Future Carry-Forward Cohort</x:v>
      </x:c>
      <x:c r="K255" s="14" t="n">
        <x:v>2022</x:v>
      </x:c>
      <x:c r="L255" s="14" t="str">
        <x:v>Not inherited</x:v>
      </x:c>
      <x:c r="M255" s="15" t="n">
        <x:v>51</x:v>
      </x:c>
      <x:c r="N255" s="14" t="str">
        <x:v>Mark Sangster</x:v>
      </x:c>
      <x:c r="O255" s="14" t="str">
        <x:v>nm12184559</x:v>
      </x:c>
      <x:c r="P255" s="14" t="str">
        <x:v>Harbour Master</x:v>
      </x:c>
      <x:c r="Q255" s="15" t="n">
        <x:v>1</x:v>
      </x:c>
      <x:c r="R255" s="14" t="str">
        <x:v>2024</x:v>
      </x:c>
      <x:c r="S255" s="14" t="n">
        <x:v>2024</x:v>
      </x:c>
      <x:c r="T255" s="14" t="n">
        <x:v>2024</x:v>
      </x:c>
      <x:c r="U255" s="14" t="str">
        <x:v>Explicit source first year retained</x:v>
      </x:c>
      <x:c r="V255" s="14" t="str">
        <x:v>Earliest supplied year is 2024.</x:v>
      </x:c>
      <x:c r="W255" s="14"/>
      <x:c r="X255" s="14" t="str">
        <x:v>Carried forward to 2024</x:v>
      </x:c>
      <x:c r="Y255" s="14"/>
      <x:c r="Z255" s="14" t="str">
        <x:v>Granite Harbour.docx</x:v>
      </x:c>
      <x:c r="AA25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HYPERLINK("https://en.wikipedia.org/wiki/Granite_Harbour","Open source")</x:f>
        <x:v>HYPERLINK is not implemented. linkLocation=https://en.wikipedia.org/wiki/Granite_Harbour, friendlyName=Open source</x:v>
      </x:c>
      <x:c r="AN255" s="14" t="str">
        <x:v>BBC public-service commission</x:v>
      </x:c>
      <x:c r="AO255" s="14" t="str">
        <x:v>Yes</x:v>
      </x:c>
      <x:c r="AP255" s="14" t="str">
        <x:v>Direct BBC public-service scope</x:v>
      </x:c>
      <x:c r="AQ255" s="14" t="str">
        <x:v>Yes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9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0.1111111111111111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tt14815774|nm0751950|amelia jackson</x:v>
      </x:c>
      <x:c r="B256" s="14" t="str">
        <x:v>02</x:v>
      </x:c>
      <x:c r="C256" s="14" t="str">
        <x:v>2022_IMDb_Cast_Lists_Batch_02(1).xlsx</x:v>
      </x:c>
      <x:c r="D256" s="14" t="str">
        <x:v>Hotel Portofino</x:v>
      </x:c>
      <x:c r="E256" s="14" t="n">
        <x:v>27</x:v>
      </x:c>
      <x:c r="F256" s="14" t="str">
        <x:v>Hotel Portofino</x:v>
      </x:c>
      <x:c r="G256" s="14" t="str">
        <x:v>tt14815774</x:v>
      </x:c>
      <x:c r="H256" s="14" t="n">
        <x:v>2022</x:v>
      </x:c>
      <x:c r="I256" s="14" t="n">
        <x:v>2023</x:v>
      </x:c>
      <x:c r="J256" s="14" t="str">
        <x:v>Future Carry-Forward Cohort</x:v>
      </x:c>
      <x:c r="K256" s="14" t="n">
        <x:v>2022</x:v>
      </x:c>
      <x:c r="L256" s="14" t="str">
        <x:v>Not inherited</x:v>
      </x:c>
      <x:c r="M256" s="15" t="n">
        <x:v>20</x:v>
      </x:c>
      <x:c r="N256" s="14" t="str">
        <x:v>Camilla Rutherford</x:v>
      </x:c>
      <x:c r="O256" s="14" t="str">
        <x:v>nm0751950</x:v>
      </x:c>
      <x:c r="P256" s="14" t="str">
        <x:v>Amelia Jackson</x:v>
      </x:c>
      <x:c r="Q256" s="15" t="n">
        <x:v>6</x:v>
      </x:c>
      <x:c r="R256" s="14" t="str">
        <x:v>2024</x:v>
      </x:c>
      <x:c r="S256" s="14" t="n">
        <x:v>2024</x:v>
      </x:c>
      <x:c r="T256" s="14" t="n">
        <x:v>2024</x:v>
      </x:c>
      <x:c r="U256" s="14" t="str">
        <x:v>Explicit source first year retained</x:v>
      </x:c>
      <x:c r="V256" s="14" t="str">
        <x:v>Earliest supplied year is 2024.</x:v>
      </x:c>
      <x:c r="W256" s="14"/>
      <x:c r="X256" s="14" t="str">
        <x:v>Carried forward to 2024</x:v>
      </x:c>
      <x:c r="Y256" s="14"/>
      <x:c r="Z256" s="14" t="str">
        <x:v>Hotel Portofino.docx</x:v>
      </x:c>
      <x:c r="AA25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BritBox UK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HYPERLINK("https://en.wikipedia.org/wiki/Hotel_Portofino","Open source")</x:f>
        <x:v>HYPERLINK is not implemented. linkLocation=https://en.wikipedia.org/wiki/Hotel_Portofino, friendlyName=Open source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18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6</x:v>
      </x:c>
      <x:c r="BS256" s="16" t="n">
        <x:v>0.3333333333333333</x:v>
      </x:c>
      <x:c r="BT256" s="14" t="str">
        <x:v>Minority of episodes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tt14815774|nm0774516|george livesey</x:v>
      </x:c>
      <x:c r="B257" s="14" t="str">
        <x:v>02</x:v>
      </x:c>
      <x:c r="C257" s="14" t="str">
        <x:v>2022_IMDb_Cast_Lists_Batch_02(1).xlsx</x:v>
      </x:c>
      <x:c r="D257" s="14" t="str">
        <x:v>Hotel Portofino</x:v>
      </x:c>
      <x:c r="E257" s="14" t="n">
        <x:v>30</x:v>
      </x:c>
      <x:c r="F257" s="14" t="str">
        <x:v>Hotel Portofino</x:v>
      </x:c>
      <x:c r="G257" s="14" t="str">
        <x:v>tt14815774</x:v>
      </x:c>
      <x:c r="H257" s="14" t="n">
        <x:v>2022</x:v>
      </x:c>
      <x:c r="I257" s="14" t="n">
        <x:v>2023</x:v>
      </x:c>
      <x:c r="J257" s="14" t="str">
        <x:v>Future Carry-Forward Cohort</x:v>
      </x:c>
      <x:c r="K257" s="14" t="n">
        <x:v>2022</x:v>
      </x:c>
      <x:c r="L257" s="14" t="str">
        <x:v>Not inherited</x:v>
      </x:c>
      <x:c r="M257" s="15" t="n">
        <x:v>23</x:v>
      </x:c>
      <x:c r="N257" s="14" t="str">
        <x:v>David Schofield</x:v>
      </x:c>
      <x:c r="O257" s="14" t="str">
        <x:v>nm0774516</x:v>
      </x:c>
      <x:c r="P257" s="14" t="str">
        <x:v>George Livesey</x:v>
      </x:c>
      <x:c r="Q257" s="15" t="n">
        <x:v>6</x:v>
      </x:c>
      <x:c r="R257" s="14" t="str">
        <x:v>2024</x:v>
      </x:c>
      <x:c r="S257" s="14" t="n">
        <x:v>2024</x:v>
      </x:c>
      <x:c r="T257" s="14" t="n">
        <x:v>2024</x:v>
      </x:c>
      <x:c r="U257" s="14" t="str">
        <x:v>Explicit source first year retained</x:v>
      </x:c>
      <x:c r="V257" s="14" t="str">
        <x:v>Earliest supplied year is 2024.</x:v>
      </x:c>
      <x:c r="W257" s="14"/>
      <x:c r="X257" s="14" t="str">
        <x:v>Carried forward to 2024</x:v>
      </x:c>
      <x:c r="Y257" s="14"/>
      <x:c r="Z257" s="14" t="str">
        <x:v>Hotel Portofino.docx</x:v>
      </x:c>
      <x:c r="AA25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BritBox UK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HYPERLINK("https://en.wikipedia.org/wiki/Hotel_Portofino","Open source")</x:f>
        <x:v>HYPERLINK is not implemented. linkLocation=https://en.wikipedia.org/wiki/Hotel_Portofino, friendlyName=Open source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18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6</x:v>
      </x:c>
      <x:c r="BS257" s="16" t="n">
        <x:v>0.3333333333333333</x:v>
      </x:c>
      <x:c r="BT257" s="14" t="str">
        <x:v>Minority of episodes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tt14815774|nm6717638|vito</x:v>
      </x:c>
      <x:c r="B258" s="14" t="str">
        <x:v>02</x:v>
      </x:c>
      <x:c r="C258" s="14" t="str">
        <x:v>2022_IMDb_Cast_Lists_Batch_02(1).xlsx</x:v>
      </x:c>
      <x:c r="D258" s="14" t="str">
        <x:v>Hotel Portofino</x:v>
      </x:c>
      <x:c r="E258" s="14" t="n">
        <x:v>32</x:v>
      </x:c>
      <x:c r="F258" s="14" t="str">
        <x:v>Hotel Portofino</x:v>
      </x:c>
      <x:c r="G258" s="14" t="str">
        <x:v>tt14815774</x:v>
      </x:c>
      <x:c r="H258" s="14" t="n">
        <x:v>2022</x:v>
      </x:c>
      <x:c r="I258" s="14" t="n">
        <x:v>2023</x:v>
      </x:c>
      <x:c r="J258" s="14" t="str">
        <x:v>Future Carry-Forward Cohort</x:v>
      </x:c>
      <x:c r="K258" s="14" t="n">
        <x:v>2022</x:v>
      </x:c>
      <x:c r="L258" s="14" t="str">
        <x:v>Not inherited</x:v>
      </x:c>
      <x:c r="M258" s="15" t="n">
        <x:v>25</x:v>
      </x:c>
      <x:c r="N258" s="14" t="str">
        <x:v>Leonardo Pazzagli</x:v>
      </x:c>
      <x:c r="O258" s="14" t="str">
        <x:v>nm6717638</x:v>
      </x:c>
      <x:c r="P258" s="14" t="str">
        <x:v>Vito</x:v>
      </x:c>
      <x:c r="Q258" s="15" t="n">
        <x:v>6</x:v>
      </x:c>
      <x:c r="R258" s="14" t="str">
        <x:v>2024</x:v>
      </x:c>
      <x:c r="S258" s="14" t="n">
        <x:v>2024</x:v>
      </x:c>
      <x:c r="T258" s="14" t="n">
        <x:v>2024</x:v>
      </x:c>
      <x:c r="U258" s="14" t="str">
        <x:v>Explicit source first year retained</x:v>
      </x:c>
      <x:c r="V258" s="14" t="str">
        <x:v>Earliest supplied year is 2024.</x:v>
      </x:c>
      <x:c r="W258" s="14"/>
      <x:c r="X258" s="14" t="str">
        <x:v>Carried forward to 2024</x:v>
      </x:c>
      <x:c r="Y258" s="14"/>
      <x:c r="Z258" s="14" t="str">
        <x:v>Hotel Portofino.docx</x:v>
      </x:c>
      <x:c r="AA25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BritBox UK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HYPERLINK("https://en.wikipedia.org/wiki/Hotel_Portofino","Open source")</x:f>
        <x:v>HYPERLINK is not implemented. linkLocation=https://en.wikipedia.org/wiki/Hotel_Portofino, friendlyName=Open source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18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6</x:v>
      </x:c>
      <x:c r="BS258" s="16" t="n">
        <x:v>0.3333333333333333</x:v>
      </x:c>
      <x:c r="BT258" s="14" t="str">
        <x:v>Minority of episodes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tt14815774|nm5106246|mafioso 1</x:v>
      </x:c>
      <x:c r="B259" s="14" t="str">
        <x:v>02</x:v>
      </x:c>
      <x:c r="C259" s="14" t="str">
        <x:v>2022_IMDb_Cast_Lists_Batch_02(1).xlsx</x:v>
      </x:c>
      <x:c r="D259" s="14" t="str">
        <x:v>Hotel Portofino</x:v>
      </x:c>
      <x:c r="E259" s="14" t="n">
        <x:v>33</x:v>
      </x:c>
      <x:c r="F259" s="14" t="str">
        <x:v>Hotel Portofino</x:v>
      </x:c>
      <x:c r="G259" s="14" t="str">
        <x:v>tt14815774</x:v>
      </x:c>
      <x:c r="H259" s="14" t="n">
        <x:v>2022</x:v>
      </x:c>
      <x:c r="I259" s="14" t="n">
        <x:v>2023</x:v>
      </x:c>
      <x:c r="J259" s="14" t="str">
        <x:v>Future Carry-Forward Cohort</x:v>
      </x:c>
      <x:c r="K259" s="14" t="n">
        <x:v>2022</x:v>
      </x:c>
      <x:c r="L259" s="14" t="str">
        <x:v>Not inherited</x:v>
      </x:c>
      <x:c r="M259" s="15" t="n">
        <x:v>26</x:v>
      </x:c>
      <x:c r="N259" s="14" t="str">
        <x:v>Andrei Lenart</x:v>
      </x:c>
      <x:c r="O259" s="14" t="str">
        <x:v>nm5106246</x:v>
      </x:c>
      <x:c r="P259" s="14" t="str">
        <x:v>Mafioso 1</x:v>
      </x:c>
      <x:c r="Q259" s="15" t="n">
        <x:v>6</x:v>
      </x:c>
      <x:c r="R259" s="14" t="str">
        <x:v>2024</x:v>
      </x:c>
      <x:c r="S259" s="14" t="n">
        <x:v>2024</x:v>
      </x:c>
      <x:c r="T259" s="14" t="n">
        <x:v>2024</x:v>
      </x:c>
      <x:c r="U259" s="14" t="str">
        <x:v>Explicit source first year retained</x:v>
      </x:c>
      <x:c r="V259" s="14" t="str">
        <x:v>Earliest supplied year is 2024.</x:v>
      </x:c>
      <x:c r="W259" s="14"/>
      <x:c r="X259" s="14" t="str">
        <x:v>Carried forward to 2024</x:v>
      </x:c>
      <x:c r="Y259" s="14"/>
      <x:c r="Z259" s="14" t="str">
        <x:v>Hotel Portofino.docx</x:v>
      </x:c>
      <x:c r="AA25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BritBox UK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HYPERLINK("https://en.wikipedia.org/wiki/Hotel_Portofino","Open source")</x:f>
        <x:v>HYPERLINK is not implemented. linkLocation=https://en.wikipedia.org/wiki/Hotel_Portofino, friendlyName=Open source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18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6</x:v>
      </x:c>
      <x:c r="BS259" s="16" t="n">
        <x:v>0.3333333333333333</x:v>
      </x:c>
      <x:c r="BT259" s="14" t="str">
        <x:v>Minority of episodes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tt14815774|nm7458121|virat sengupta</x:v>
      </x:c>
      <x:c r="B260" s="14" t="str">
        <x:v>02</x:v>
      </x:c>
      <x:c r="C260" s="14" t="str">
        <x:v>2022_IMDb_Cast_Lists_Batch_02(1).xlsx</x:v>
      </x:c>
      <x:c r="D260" s="14" t="str">
        <x:v>Hotel Portofino</x:v>
      </x:c>
      <x:c r="E260" s="14" t="n">
        <x:v>36</x:v>
      </x:c>
      <x:c r="F260" s="14" t="str">
        <x:v>Hotel Portofino</x:v>
      </x:c>
      <x:c r="G260" s="14" t="str">
        <x:v>tt14815774</x:v>
      </x:c>
      <x:c r="H260" s="14" t="n">
        <x:v>2022</x:v>
      </x:c>
      <x:c r="I260" s="14" t="n">
        <x:v>2023</x:v>
      </x:c>
      <x:c r="J260" s="14" t="str">
        <x:v>Future Carry-Forward Cohort</x:v>
      </x:c>
      <x:c r="K260" s="14" t="n">
        <x:v>2022</x:v>
      </x:c>
      <x:c r="L260" s="14" t="str">
        <x:v>Not inherited</x:v>
      </x:c>
      <x:c r="M260" s="15" t="n">
        <x:v>29</x:v>
      </x:c>
      <x:c r="N260" s="14" t="str">
        <x:v>Gurjeet Singh</x:v>
      </x:c>
      <x:c r="O260" s="14" t="str">
        <x:v>nm7458121</x:v>
      </x:c>
      <x:c r="P260" s="14" t="str">
        <x:v>Virat Sengupta</x:v>
      </x:c>
      <x:c r="Q260" s="15" t="n">
        <x:v>5</x:v>
      </x:c>
      <x:c r="R260" s="14" t="str">
        <x:v>2024</x:v>
      </x:c>
      <x:c r="S260" s="14" t="n">
        <x:v>2024</x:v>
      </x:c>
      <x:c r="T260" s="14" t="n">
        <x:v>2024</x:v>
      </x:c>
      <x:c r="U260" s="14" t="str">
        <x:v>Explicit source first year retained</x:v>
      </x:c>
      <x:c r="V260" s="14" t="str">
        <x:v>Earliest supplied year is 2024.</x:v>
      </x:c>
      <x:c r="W260" s="14"/>
      <x:c r="X260" s="14" t="str">
        <x:v>Carried forward to 2024</x:v>
      </x:c>
      <x:c r="Y260" s="14"/>
      <x:c r="Z260" s="14" t="str">
        <x:v>Hotel Portofino.docx</x:v>
      </x:c>
      <x:c r="AA26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BritBox UK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HYPERLINK("https://en.wikipedia.org/wiki/Hotel_Portofino","Open source")</x:f>
        <x:v>HYPERLINK is not implemented. linkLocation=https://en.wikipedia.org/wiki/Hotel_Portofino, friendlyName=Open source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18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5</x:v>
      </x:c>
      <x:c r="BS260" s="16" t="n">
        <x:v>0.2777777777777778</x:v>
      </x:c>
      <x:c r="BT260" s="14" t="str">
        <x:v>Minority of episodes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tt14815774|nm1190245|antonio costa / antonio</x:v>
      </x:c>
      <x:c r="B261" s="14" t="str">
        <x:v>02</x:v>
      </x:c>
      <x:c r="C261" s="14" t="str">
        <x:v>2022_IMDb_Cast_Lists_Batch_02(1).xlsx</x:v>
      </x:c>
      <x:c r="D261" s="14" t="str">
        <x:v>Hotel Portofino</x:v>
      </x:c>
      <x:c r="E261" s="14" t="n">
        <x:v>39</x:v>
      </x:c>
      <x:c r="F261" s="14" t="str">
        <x:v>Hotel Portofino</x:v>
      </x:c>
      <x:c r="G261" s="14" t="str">
        <x:v>tt14815774</x:v>
      </x:c>
      <x:c r="H261" s="14" t="n">
        <x:v>2022</x:v>
      </x:c>
      <x:c r="I261" s="14" t="n">
        <x:v>2023</x:v>
      </x:c>
      <x:c r="J261" s="14" t="str">
        <x:v>Future Carry-Forward Cohort</x:v>
      </x:c>
      <x:c r="K261" s="14" t="n">
        <x:v>2022</x:v>
      </x:c>
      <x:c r="L261" s="14" t="str">
        <x:v>Not inherited</x:v>
      </x:c>
      <x:c r="M261" s="15" t="n">
        <x:v>32</x:v>
      </x:c>
      <x:c r="N261" s="14" t="str">
        <x:v>Francesco Martino</x:v>
      </x:c>
      <x:c r="O261" s="14" t="str">
        <x:v>nm1190245</x:v>
      </x:c>
      <x:c r="P261" s="14" t="str">
        <x:v>Antonio Costa / Antonio</x:v>
      </x:c>
      <x:c r="Q261" s="15" t="n">
        <x:v>5</x:v>
      </x:c>
      <x:c r="R261" s="14" t="str">
        <x:v>2024</x:v>
      </x:c>
      <x:c r="S261" s="14" t="n">
        <x:v>2024</x:v>
      </x:c>
      <x:c r="T261" s="14" t="n">
        <x:v>2024</x:v>
      </x:c>
      <x:c r="U261" s="14" t="str">
        <x:v>Explicit source first year retained</x:v>
      </x:c>
      <x:c r="V261" s="14" t="str">
        <x:v>Earliest supplied year is 2024.</x:v>
      </x:c>
      <x:c r="W261" s="14"/>
      <x:c r="X261" s="14" t="str">
        <x:v>Carried forward to 2024</x:v>
      </x:c>
      <x:c r="Y261" s="14"/>
      <x:c r="Z261" s="14" t="str">
        <x:v>Hotel Portofino.docx</x:v>
      </x:c>
      <x:c r="AA26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BritBox UK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HYPERLINK("https://en.wikipedia.org/wiki/Hotel_Portofino","Open source")</x:f>
        <x:v>HYPERLINK is not implemented. linkLocation=https://en.wikipedia.org/wiki/Hotel_Portofino, friendlyName=Open source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18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5</x:v>
      </x:c>
      <x:c r="BS261" s="16" t="n">
        <x:v>0.2777777777777778</x:v>
      </x:c>
      <x:c r="BT261" s="14" t="str">
        <x:v>Minority of episodes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tt14815774|nm3338413|pietro</x:v>
      </x:c>
      <x:c r="B262" s="14" t="str">
        <x:v>02</x:v>
      </x:c>
      <x:c r="C262" s="14" t="str">
        <x:v>2022_IMDb_Cast_Lists_Batch_02(1).xlsx</x:v>
      </x:c>
      <x:c r="D262" s="14" t="str">
        <x:v>Hotel Portofino</x:v>
      </x:c>
      <x:c r="E262" s="14" t="n">
        <x:v>41</x:v>
      </x:c>
      <x:c r="F262" s="14" t="str">
        <x:v>Hotel Portofino</x:v>
      </x:c>
      <x:c r="G262" s="14" t="str">
        <x:v>tt14815774</x:v>
      </x:c>
      <x:c r="H262" s="14" t="n">
        <x:v>2022</x:v>
      </x:c>
      <x:c r="I262" s="14" t="n">
        <x:v>2023</x:v>
      </x:c>
      <x:c r="J262" s="14" t="str">
        <x:v>Future Carry-Forward Cohort</x:v>
      </x:c>
      <x:c r="K262" s="14" t="n">
        <x:v>2022</x:v>
      </x:c>
      <x:c r="L262" s="14" t="str">
        <x:v>Not inherited</x:v>
      </x:c>
      <x:c r="M262" s="15" t="n">
        <x:v>34</x:v>
      </x:c>
      <x:c r="N262" s="14" t="str">
        <x:v>Mirko Soldano</x:v>
      </x:c>
      <x:c r="O262" s="14" t="str">
        <x:v>nm3338413</x:v>
      </x:c>
      <x:c r="P262" s="14" t="str">
        <x:v>Pietro</x:v>
      </x:c>
      <x:c r="Q262" s="15" t="n">
        <x:v>4</x:v>
      </x:c>
      <x:c r="R262" s="14" t="str">
        <x:v>2024</x:v>
      </x:c>
      <x:c r="S262" s="14" t="n">
        <x:v>2024</x:v>
      </x:c>
      <x:c r="T262" s="14" t="n">
        <x:v>2024</x:v>
      </x:c>
      <x:c r="U262" s="14" t="str">
        <x:v>Explicit source first year retained</x:v>
      </x:c>
      <x:c r="V262" s="14" t="str">
        <x:v>Earliest supplied year is 2024.</x:v>
      </x:c>
      <x:c r="W262" s="14"/>
      <x:c r="X262" s="14" t="str">
        <x:v>Carried forward to 2024</x:v>
      </x:c>
      <x:c r="Y262" s="14"/>
      <x:c r="Z262" s="14" t="str">
        <x:v>Hotel Portofino.docx</x:v>
      </x:c>
      <x:c r="AA26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BritBox UK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HYPERLINK("https://en.wikipedia.org/wiki/Hotel_Portofino","Open source")</x:f>
        <x:v>HYPERLINK is not implemented. linkLocation=https://en.wikipedia.org/wiki/Hotel_Portofino, friendlyName=Open source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18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4</x:v>
      </x:c>
      <x:c r="BS262" s="16" t="n">
        <x:v>0.2222222222222222</x:v>
      </x:c>
      <x:c r="BT262" s="14" t="str">
        <x:v>Minority of episodes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tt14815774|nm2955021|black shirt</x:v>
      </x:c>
      <x:c r="B263" s="14" t="str">
        <x:v>02</x:v>
      </x:c>
      <x:c r="C263" s="14" t="str">
        <x:v>2022_IMDb_Cast_Lists_Batch_02(1).xlsx</x:v>
      </x:c>
      <x:c r="D263" s="14" t="str">
        <x:v>Hotel Portofino</x:v>
      </x:c>
      <x:c r="E263" s="14" t="n">
        <x:v>42</x:v>
      </x:c>
      <x:c r="F263" s="14" t="str">
        <x:v>Hotel Portofino</x:v>
      </x:c>
      <x:c r="G263" s="14" t="str">
        <x:v>tt14815774</x:v>
      </x:c>
      <x:c r="H263" s="14" t="n">
        <x:v>2022</x:v>
      </x:c>
      <x:c r="I263" s="14" t="n">
        <x:v>2023</x:v>
      </x:c>
      <x:c r="J263" s="14" t="str">
        <x:v>Future Carry-Forward Cohort</x:v>
      </x:c>
      <x:c r="K263" s="14" t="n">
        <x:v>2022</x:v>
      </x:c>
      <x:c r="L263" s="14" t="str">
        <x:v>Not inherited</x:v>
      </x:c>
      <x:c r="M263" s="15" t="n">
        <x:v>35</x:v>
      </x:c>
      <x:c r="N263" s="14" t="str">
        <x:v>Ivan Vukelic</x:v>
      </x:c>
      <x:c r="O263" s="14" t="str">
        <x:v>nm2955021</x:v>
      </x:c>
      <x:c r="P263" s="14" t="str">
        <x:v>Black Shirt</x:v>
      </x:c>
      <x:c r="Q263" s="15" t="n">
        <x:v>4</x:v>
      </x:c>
      <x:c r="R263" s="14" t="str">
        <x:v>2024</x:v>
      </x:c>
      <x:c r="S263" s="14" t="n">
        <x:v>2024</x:v>
      </x:c>
      <x:c r="T263" s="14" t="n">
        <x:v>2024</x:v>
      </x:c>
      <x:c r="U263" s="14" t="str">
        <x:v>Explicit source first year retained</x:v>
      </x:c>
      <x:c r="V263" s="14" t="str">
        <x:v>Earliest supplied year is 2024.</x:v>
      </x:c>
      <x:c r="W263" s="14"/>
      <x:c r="X263" s="14" t="str">
        <x:v>Carried forward to 2024</x:v>
      </x:c>
      <x:c r="Y263" s="14" t="str">
        <x:v>(as Ivan Vukelić)</x:v>
      </x:c>
      <x:c r="Z263" s="14" t="str">
        <x:v>Hotel Portofino.docx</x:v>
      </x:c>
      <x:c r="AA26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BritBox UK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HYPERLINK("https://en.wikipedia.org/wiki/Hotel_Portofino","Open source")</x:f>
        <x:v>HYPERLINK is not implemented. linkLocation=https://en.wikipedia.org/wiki/Hotel_Portofino, friendlyName=Open source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18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4</x:v>
      </x:c>
      <x:c r="BS263" s="16" t="n">
        <x:v>0.2222222222222222</x:v>
      </x:c>
      <x:c r="BT263" s="14" t="str">
        <x:v>Minority of episodes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tt14815774|nm4381014|nellie gibson-white</x:v>
      </x:c>
      <x:c r="B264" s="14" t="str">
        <x:v>02</x:v>
      </x:c>
      <x:c r="C264" s="14" t="str">
        <x:v>2022_IMDb_Cast_Lists_Batch_02(1).xlsx</x:v>
      </x:c>
      <x:c r="D264" s="14" t="str">
        <x:v>Hotel Portofino</x:v>
      </x:c>
      <x:c r="E264" s="14" t="n">
        <x:v>50</x:v>
      </x:c>
      <x:c r="F264" s="14" t="str">
        <x:v>Hotel Portofino</x:v>
      </x:c>
      <x:c r="G264" s="14" t="str">
        <x:v>tt14815774</x:v>
      </x:c>
      <x:c r="H264" s="14" t="n">
        <x:v>2022</x:v>
      </x:c>
      <x:c r="I264" s="14" t="n">
        <x:v>2023</x:v>
      </x:c>
      <x:c r="J264" s="14" t="str">
        <x:v>Future Carry-Forward Cohort</x:v>
      </x:c>
      <x:c r="K264" s="14" t="n">
        <x:v>2022</x:v>
      </x:c>
      <x:c r="L264" s="14" t="str">
        <x:v>Not inherited</x:v>
      </x:c>
      <x:c r="M264" s="15" t="n">
        <x:v>43</x:v>
      </x:c>
      <x:c r="N264" s="14" t="str">
        <x:v>Shannon Tarbet</x:v>
      </x:c>
      <x:c r="O264" s="14" t="str">
        <x:v>nm4381014</x:v>
      </x:c>
      <x:c r="P264" s="14" t="str">
        <x:v>Nellie Gibson-White</x:v>
      </x:c>
      <x:c r="Q264" s="15" t="n">
        <x:v>3</x:v>
      </x:c>
      <x:c r="R264" s="14" t="str">
        <x:v>2024</x:v>
      </x:c>
      <x:c r="S264" s="14" t="n">
        <x:v>2024</x:v>
      </x:c>
      <x:c r="T264" s="14" t="n">
        <x:v>2024</x:v>
      </x:c>
      <x:c r="U264" s="14" t="str">
        <x:v>Explicit source first year retained</x:v>
      </x:c>
      <x:c r="V264" s="14" t="str">
        <x:v>Earliest supplied year is 2024.</x:v>
      </x:c>
      <x:c r="W264" s="14"/>
      <x:c r="X264" s="14" t="str">
        <x:v>Carried forward to 2024</x:v>
      </x:c>
      <x:c r="Y264" s="14"/>
      <x:c r="Z264" s="14" t="str">
        <x:v>Hotel Portofino.docx</x:v>
      </x:c>
      <x:c r="AA26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BritBox UK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HYPERLINK("https://en.wikipedia.org/wiki/Hotel_Portofino","Open source")</x:f>
        <x:v>HYPERLINK is not implemented. linkLocation=https://en.wikipedia.org/wiki/Hotel_Portofino, friendlyName=Open source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18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3</x:v>
      </x:c>
      <x:c r="BS264" s="16" t="n">
        <x:v>0.16666666666666666</x:v>
      </x:c>
      <x:c r="BT264" s="14" t="str">
        <x:v>Minority of episodes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tt14815774|nm0822697|zelda</x:v>
      </x:c>
      <x:c r="B265" s="14" t="str">
        <x:v>02</x:v>
      </x:c>
      <x:c r="C265" s="14" t="str">
        <x:v>2022_IMDb_Cast_Lists_Batch_02(1).xlsx</x:v>
      </x:c>
      <x:c r="D265" s="14" t="str">
        <x:v>Hotel Portofino</x:v>
      </x:c>
      <x:c r="E265" s="14" t="n">
        <x:v>51</x:v>
      </x:c>
      <x:c r="F265" s="14" t="str">
        <x:v>Hotel Portofino</x:v>
      </x:c>
      <x:c r="G265" s="14" t="str">
        <x:v>tt14815774</x:v>
      </x:c>
      <x:c r="H265" s="14" t="n">
        <x:v>2022</x:v>
      </x:c>
      <x:c r="I265" s="14" t="n">
        <x:v>2023</x:v>
      </x:c>
      <x:c r="J265" s="14" t="str">
        <x:v>Future Carry-Forward Cohort</x:v>
      </x:c>
      <x:c r="K265" s="14" t="n">
        <x:v>2022</x:v>
      </x:c>
      <x:c r="L265" s="14" t="str">
        <x:v>Not inherited</x:v>
      </x:c>
      <x:c r="M265" s="15" t="n">
        <x:v>44</x:v>
      </x:c>
      <x:c r="N265" s="14" t="str">
        <x:v>Emma Stansfield</x:v>
      </x:c>
      <x:c r="O265" s="14" t="str">
        <x:v>nm0822697</x:v>
      </x:c>
      <x:c r="P265" s="14" t="str">
        <x:v>Zelda</x:v>
      </x:c>
      <x:c r="Q265" s="15" t="n">
        <x:v>3</x:v>
      </x:c>
      <x:c r="R265" s="14" t="str">
        <x:v>2024</x:v>
      </x:c>
      <x:c r="S265" s="14" t="n">
        <x:v>2024</x:v>
      </x:c>
      <x:c r="T265" s="14" t="n">
        <x:v>2024</x:v>
      </x:c>
      <x:c r="U265" s="14" t="str">
        <x:v>Explicit source first year retained</x:v>
      </x:c>
      <x:c r="V265" s="14" t="str">
        <x:v>Earliest supplied year is 2024.</x:v>
      </x:c>
      <x:c r="W265" s="14"/>
      <x:c r="X265" s="14" t="str">
        <x:v>Carried forward to 2024</x:v>
      </x:c>
      <x:c r="Y265" s="14"/>
      <x:c r="Z265" s="14" t="str">
        <x:v>Hotel Portofino.docx</x:v>
      </x:c>
      <x:c r="AA26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BritBox UK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HYPERLINK("https://en.wikipedia.org/wiki/Hotel_Portofino","Open source")</x:f>
        <x:v>HYPERLINK is not implemented. linkLocation=https://en.wikipedia.org/wiki/Hotel_Portofino, friendlyName=Open source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18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3</x:v>
      </x:c>
      <x:c r="BS265" s="16" t="n">
        <x:v>0.16666666666666666</x:v>
      </x:c>
      <x:c r="BT265" s="14" t="str">
        <x:v>Minority of episodes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tt14815774|nm17295120|tommy</x:v>
      </x:c>
      <x:c r="B266" s="14" t="str">
        <x:v>02</x:v>
      </x:c>
      <x:c r="C266" s="14" t="str">
        <x:v>2022_IMDb_Cast_Lists_Batch_02(1).xlsx</x:v>
      </x:c>
      <x:c r="D266" s="14" t="str">
        <x:v>Hotel Portofino</x:v>
      </x:c>
      <x:c r="E266" s="14" t="n">
        <x:v>52</x:v>
      </x:c>
      <x:c r="F266" s="14" t="str">
        <x:v>Hotel Portofino</x:v>
      </x:c>
      <x:c r="G266" s="14" t="str">
        <x:v>tt14815774</x:v>
      </x:c>
      <x:c r="H266" s="14" t="n">
        <x:v>2022</x:v>
      </x:c>
      <x:c r="I266" s="14" t="n">
        <x:v>2023</x:v>
      </x:c>
      <x:c r="J266" s="14" t="str">
        <x:v>Future Carry-Forward Cohort</x:v>
      </x:c>
      <x:c r="K266" s="14" t="n">
        <x:v>2022</x:v>
      </x:c>
      <x:c r="L266" s="14" t="str">
        <x:v>Not inherited</x:v>
      </x:c>
      <x:c r="M266" s="15" t="n">
        <x:v>45</x:v>
      </x:c>
      <x:c r="N266" s="14" t="str">
        <x:v>Dominik Biondic</x:v>
      </x:c>
      <x:c r="O266" s="14" t="str">
        <x:v>nm17295120</x:v>
      </x:c>
      <x:c r="P266" s="14" t="str">
        <x:v>Tommy</x:v>
      </x:c>
      <x:c r="Q266" s="15" t="n">
        <x:v>3</x:v>
      </x:c>
      <x:c r="R266" s="14" t="str">
        <x:v>2024</x:v>
      </x:c>
      <x:c r="S266" s="14" t="n">
        <x:v>2024</x:v>
      </x:c>
      <x:c r="T266" s="14" t="n">
        <x:v>2024</x:v>
      </x:c>
      <x:c r="U266" s="14" t="str">
        <x:v>Explicit source first year retained</x:v>
      </x:c>
      <x:c r="V266" s="14" t="str">
        <x:v>Earliest supplied year is 2024.</x:v>
      </x:c>
      <x:c r="W266" s="14"/>
      <x:c r="X266" s="14" t="str">
        <x:v>Carried forward to 2024</x:v>
      </x:c>
      <x:c r="Y266" s="14" t="str">
        <x:v>(as Dominik Biondić)</x:v>
      </x:c>
      <x:c r="Z266" s="14" t="str">
        <x:v>Hotel Portofino.docx</x:v>
      </x:c>
      <x:c r="AA26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BritBox UK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HYPERLINK("https://en.wikipedia.org/wiki/Hotel_Portofino","Open source")</x:f>
        <x:v>HYPERLINK is not implemented. linkLocation=https://en.wikipedia.org/wiki/Hotel_Portofino, friendlyName=Open source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18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3</x:v>
      </x:c>
      <x:c r="BS266" s="16" t="n">
        <x:v>0.16666666666666666</x:v>
      </x:c>
      <x:c r="BT266" s="14" t="str">
        <x:v>Minority of episodes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tt14815774|nm17554110|manuel</x:v>
      </x:c>
      <x:c r="B267" s="14" t="str">
        <x:v>02</x:v>
      </x:c>
      <x:c r="C267" s="14" t="str">
        <x:v>2022_IMDb_Cast_Lists_Batch_02(1).xlsx</x:v>
      </x:c>
      <x:c r="D267" s="14" t="str">
        <x:v>Hotel Portofino</x:v>
      </x:c>
      <x:c r="E267" s="14" t="n">
        <x:v>54</x:v>
      </x:c>
      <x:c r="F267" s="14" t="str">
        <x:v>Hotel Portofino</x:v>
      </x:c>
      <x:c r="G267" s="14" t="str">
        <x:v>tt14815774</x:v>
      </x:c>
      <x:c r="H267" s="14" t="n">
        <x:v>2022</x:v>
      </x:c>
      <x:c r="I267" s="14" t="n">
        <x:v>2023</x:v>
      </x:c>
      <x:c r="J267" s="14" t="str">
        <x:v>Future Carry-Forward Cohort</x:v>
      </x:c>
      <x:c r="K267" s="14" t="n">
        <x:v>2022</x:v>
      </x:c>
      <x:c r="L267" s="14" t="str">
        <x:v>Not inherited</x:v>
      </x:c>
      <x:c r="M267" s="15" t="n">
        <x:v>47</x:v>
      </x:c>
      <x:c r="N267" s="14" t="str">
        <x:v>Mauro Eibek</x:v>
      </x:c>
      <x:c r="O267" s="14" t="str">
        <x:v>nm17554110</x:v>
      </x:c>
      <x:c r="P267" s="14" t="str">
        <x:v>Manuel</x:v>
      </x:c>
      <x:c r="Q267" s="15" t="n">
        <x:v>2</x:v>
      </x:c>
      <x:c r="R267" s="14" t="str">
        <x:v>2024</x:v>
      </x:c>
      <x:c r="S267" s="14" t="n">
        <x:v>2024</x:v>
      </x:c>
      <x:c r="T267" s="14" t="n">
        <x:v>2024</x:v>
      </x:c>
      <x:c r="U267" s="14" t="str">
        <x:v>Explicit source first year retained</x:v>
      </x:c>
      <x:c r="V267" s="14" t="str">
        <x:v>Earliest supplied year is 2024.</x:v>
      </x:c>
      <x:c r="W267" s="14"/>
      <x:c r="X267" s="14" t="str">
        <x:v>Carried forward to 2024</x:v>
      </x:c>
      <x:c r="Y267" s="14"/>
      <x:c r="Z267" s="14" t="str">
        <x:v>Hotel Portofino.docx</x:v>
      </x:c>
      <x:c r="AA26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BritBox UK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HYPERLINK("https://en.wikipedia.org/wiki/Hotel_Portofino","Open source")</x:f>
        <x:v>HYPERLINK is not implemented. linkLocation=https://en.wikipedia.org/wiki/Hotel_Portofino,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18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2</x:v>
      </x:c>
      <x:c r="BS267" s="16" t="n">
        <x:v>0.1111111111111111</x:v>
      </x:c>
      <x:c r="BT267" s="14" t="str">
        <x:v>Minority of episodes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tt14815774|nm1490222|ernesto ballentine</x:v>
      </x:c>
      <x:c r="B268" s="14" t="str">
        <x:v>02</x:v>
      </x:c>
      <x:c r="C268" s="14" t="str">
        <x:v>2022_IMDb_Cast_Lists_Batch_02(1).xlsx</x:v>
      </x:c>
      <x:c r="D268" s="14" t="str">
        <x:v>Hotel Portofino</x:v>
      </x:c>
      <x:c r="E268" s="14" t="n">
        <x:v>55</x:v>
      </x:c>
      <x:c r="F268" s="14" t="str">
        <x:v>Hotel Portofino</x:v>
      </x:c>
      <x:c r="G268" s="14" t="str">
        <x:v>tt14815774</x:v>
      </x:c>
      <x:c r="H268" s="14" t="n">
        <x:v>2022</x:v>
      </x:c>
      <x:c r="I268" s="14" t="n">
        <x:v>2023</x:v>
      </x:c>
      <x:c r="J268" s="14" t="str">
        <x:v>Future Carry-Forward Cohort</x:v>
      </x:c>
      <x:c r="K268" s="14" t="n">
        <x:v>2022</x:v>
      </x:c>
      <x:c r="L268" s="14" t="str">
        <x:v>Not inherited</x:v>
      </x:c>
      <x:c r="M268" s="15" t="n">
        <x:v>48</x:v>
      </x:c>
      <x:c r="N268" s="14" t="str">
        <x:v>Anthony Cozens</x:v>
      </x:c>
      <x:c r="O268" s="14" t="str">
        <x:v>nm1490222</x:v>
      </x:c>
      <x:c r="P268" s="14" t="str">
        <x:v>Ernesto Ballentine</x:v>
      </x:c>
      <x:c r="Q268" s="15" t="n">
        <x:v>2</x:v>
      </x:c>
      <x:c r="R268" s="14" t="str">
        <x:v>2024</x:v>
      </x:c>
      <x:c r="S268" s="14" t="n">
        <x:v>2024</x:v>
      </x:c>
      <x:c r="T268" s="14" t="n">
        <x:v>2024</x:v>
      </x:c>
      <x:c r="U268" s="14" t="str">
        <x:v>Explicit source first year retained</x:v>
      </x:c>
      <x:c r="V268" s="14" t="str">
        <x:v>Earliest supplied year is 2024.</x:v>
      </x:c>
      <x:c r="W268" s="14"/>
      <x:c r="X268" s="14" t="str">
        <x:v>Carried forward to 2024</x:v>
      </x:c>
      <x:c r="Y268" s="14"/>
      <x:c r="Z268" s="14" t="str">
        <x:v>Hotel Portofino.docx</x:v>
      </x:c>
      <x:c r="AA26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BritBox UK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HYPERLINK("https://en.wikipedia.org/wiki/Hotel_Portofino","Open source")</x:f>
        <x:v>HYPERLINK is not implemented. linkLocation=https://en.wikipedia.org/wiki/Hotel_Portofino,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18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2</x:v>
      </x:c>
      <x:c r="BS268" s="16" t="n">
        <x:v>0.1111111111111111</x:v>
      </x:c>
      <x:c r="BT268" s="14" t="str">
        <x:v>Minority of episodes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tt14815774|nm8379765|frank carter</x:v>
      </x:c>
      <x:c r="B269" s="14" t="str">
        <x:v>02</x:v>
      </x:c>
      <x:c r="C269" s="14" t="str">
        <x:v>2022_IMDb_Cast_Lists_Batch_02(1).xlsx</x:v>
      </x:c>
      <x:c r="D269" s="14" t="str">
        <x:v>Hotel Portofino</x:v>
      </x:c>
      <x:c r="E269" s="14" t="n">
        <x:v>56</x:v>
      </x:c>
      <x:c r="F269" s="14" t="str">
        <x:v>Hotel Portofino</x:v>
      </x:c>
      <x:c r="G269" s="14" t="str">
        <x:v>tt14815774</x:v>
      </x:c>
      <x:c r="H269" s="14" t="n">
        <x:v>2022</x:v>
      </x:c>
      <x:c r="I269" s="14" t="n">
        <x:v>2023</x:v>
      </x:c>
      <x:c r="J269" s="14" t="str">
        <x:v>Future Carry-Forward Cohort</x:v>
      </x:c>
      <x:c r="K269" s="14" t="n">
        <x:v>2022</x:v>
      </x:c>
      <x:c r="L269" s="14" t="str">
        <x:v>Not inherited</x:v>
      </x:c>
      <x:c r="M269" s="15" t="n">
        <x:v>49</x:v>
      </x:c>
      <x:c r="N269" s="14" t="str">
        <x:v>Ludovic Hughes</x:v>
      </x:c>
      <x:c r="O269" s="14" t="str">
        <x:v>nm8379765</x:v>
      </x:c>
      <x:c r="P269" s="14" t="str">
        <x:v>Frank Carter</x:v>
      </x:c>
      <x:c r="Q269" s="15" t="n">
        <x:v>2</x:v>
      </x:c>
      <x:c r="R269" s="14" t="str">
        <x:v>2024</x:v>
      </x:c>
      <x:c r="S269" s="14" t="n">
        <x:v>2024</x:v>
      </x:c>
      <x:c r="T269" s="14" t="n">
        <x:v>2024</x:v>
      </x:c>
      <x:c r="U269" s="14" t="str">
        <x:v>Explicit source first year retained</x:v>
      </x:c>
      <x:c r="V269" s="14" t="str">
        <x:v>Earliest supplied year is 2024.</x:v>
      </x:c>
      <x:c r="W269" s="14"/>
      <x:c r="X269" s="14" t="str">
        <x:v>Carried forward to 2024</x:v>
      </x:c>
      <x:c r="Y269" s="14"/>
      <x:c r="Z269" s="14" t="str">
        <x:v>Hotel Portofino.docx</x:v>
      </x:c>
      <x:c r="AA26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BritBox UK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HYPERLINK("https://en.wikipedia.org/wiki/Hotel_Portofino","Open source")</x:f>
        <x:v>HYPERLINK is not implemented. linkLocation=https://en.wikipedia.org/wiki/Hotel_Portofino,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18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2</x:v>
      </x:c>
      <x:c r="BS269" s="16" t="n">
        <x:v>0.1111111111111111</x:v>
      </x:c>
      <x:c r="BT269" s="14" t="str">
        <x:v>Minority of episodes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tt14815774|nm17295121|lottie</x:v>
      </x:c>
      <x:c r="B270" s="14" t="str">
        <x:v>02</x:v>
      </x:c>
      <x:c r="C270" s="14" t="str">
        <x:v>2022_IMDb_Cast_Lists_Batch_02(1).xlsx</x:v>
      </x:c>
      <x:c r="D270" s="14" t="str">
        <x:v>Hotel Portofino</x:v>
      </x:c>
      <x:c r="E270" s="14" t="n">
        <x:v>59</x:v>
      </x:c>
      <x:c r="F270" s="14" t="str">
        <x:v>Hotel Portofino</x:v>
      </x:c>
      <x:c r="G270" s="14" t="str">
        <x:v>tt14815774</x:v>
      </x:c>
      <x:c r="H270" s="14" t="n">
        <x:v>2022</x:v>
      </x:c>
      <x:c r="I270" s="14" t="n">
        <x:v>2023</x:v>
      </x:c>
      <x:c r="J270" s="14" t="str">
        <x:v>Future Carry-Forward Cohort</x:v>
      </x:c>
      <x:c r="K270" s="14" t="n">
        <x:v>2022</x:v>
      </x:c>
      <x:c r="L270" s="14" t="str">
        <x:v>Not inherited</x:v>
      </x:c>
      <x:c r="M270" s="15" t="n">
        <x:v>52</x:v>
      </x:c>
      <x:c r="N270" s="14" t="str">
        <x:v>Laura Radetic</x:v>
      </x:c>
      <x:c r="O270" s="14" t="str">
        <x:v>nm17295121</x:v>
      </x:c>
      <x:c r="P270" s="14" t="str">
        <x:v>Lottie</x:v>
      </x:c>
      <x:c r="Q270" s="15" t="n">
        <x:v>2</x:v>
      </x:c>
      <x:c r="R270" s="14" t="str">
        <x:v>2024</x:v>
      </x:c>
      <x:c r="S270" s="14" t="n">
        <x:v>2024</x:v>
      </x:c>
      <x:c r="T270" s="14" t="n">
        <x:v>2024</x:v>
      </x:c>
      <x:c r="U270" s="14" t="str">
        <x:v>Explicit source first year retained</x:v>
      </x:c>
      <x:c r="V270" s="14" t="str">
        <x:v>Earliest supplied year is 2024.</x:v>
      </x:c>
      <x:c r="W270" s="14"/>
      <x:c r="X270" s="14" t="str">
        <x:v>Carried forward to 2024</x:v>
      </x:c>
      <x:c r="Y270" s="14" t="str">
        <x:v>(as Laura Radetić)</x:v>
      </x:c>
      <x:c r="Z270" s="14" t="str">
        <x:v>Hotel Portofino.docx</x:v>
      </x:c>
      <x:c r="AA27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BritBox UK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HYPERLINK("https://en.wikipedia.org/wiki/Hotel_Portofino","Open source")</x:f>
        <x:v>HYPERLINK is not implemented. linkLocation=https://en.wikipedia.org/wiki/Hotel_Portofino,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18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2</x:v>
      </x:c>
      <x:c r="BS270" s="16" t="n">
        <x:v>0.1111111111111111</x:v>
      </x:c>
      <x:c r="BT270" s="14" t="str">
        <x:v>Minority of episodes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tt14815774|nm4581484|nonna maria</x:v>
      </x:c>
      <x:c r="B271" s="14" t="str">
        <x:v>02</x:v>
      </x:c>
      <x:c r="C271" s="14" t="str">
        <x:v>2022_IMDb_Cast_Lists_Batch_02(1).xlsx</x:v>
      </x:c>
      <x:c r="D271" s="14" t="str">
        <x:v>Hotel Portofino</x:v>
      </x:c>
      <x:c r="E271" s="14" t="n">
        <x:v>62</x:v>
      </x:c>
      <x:c r="F271" s="14" t="str">
        <x:v>Hotel Portofino</x:v>
      </x:c>
      <x:c r="G271" s="14" t="str">
        <x:v>tt14815774</x:v>
      </x:c>
      <x:c r="H271" s="14" t="n">
        <x:v>2022</x:v>
      </x:c>
      <x:c r="I271" s="14" t="n">
        <x:v>2023</x:v>
      </x:c>
      <x:c r="J271" s="14" t="str">
        <x:v>Future Carry-Forward Cohort</x:v>
      </x:c>
      <x:c r="K271" s="14" t="n">
        <x:v>2022</x:v>
      </x:c>
      <x:c r="L271" s="14" t="str">
        <x:v>Not inherited</x:v>
      </x:c>
      <x:c r="M271" s="15" t="n">
        <x:v>55</x:v>
      </x:c>
      <x:c r="N271" s="14" t="str">
        <x:v>Edita Karadjole</x:v>
      </x:c>
      <x:c r="O271" s="14" t="str">
        <x:v>nm4581484</x:v>
      </x:c>
      <x:c r="P271" s="14" t="str">
        <x:v>Nonna Maria</x:v>
      </x:c>
      <x:c r="Q271" s="15" t="n">
        <x:v>2</x:v>
      </x:c>
      <x:c r="R271" s="14" t="str">
        <x:v>2024</x:v>
      </x:c>
      <x:c r="S271" s="14" t="n">
        <x:v>2024</x:v>
      </x:c>
      <x:c r="T271" s="14" t="n">
        <x:v>2024</x:v>
      </x:c>
      <x:c r="U271" s="14" t="str">
        <x:v>Explicit source first year retained</x:v>
      </x:c>
      <x:c r="V271" s="14" t="str">
        <x:v>Earliest supplied year is 2024.</x:v>
      </x:c>
      <x:c r="W271" s="14"/>
      <x:c r="X271" s="14" t="str">
        <x:v>Carried forward to 2024</x:v>
      </x:c>
      <x:c r="Y271" s="14"/>
      <x:c r="Z271" s="14" t="str">
        <x:v>Hotel Portofino.docx</x:v>
      </x:c>
      <x:c r="AA27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BritBox UK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HYPERLINK("https://en.wikipedia.org/wiki/Hotel_Portofino","Open source")</x:f>
        <x:v>HYPERLINK is not implemented. linkLocation=https://en.wikipedia.org/wiki/Hotel_Portofino,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18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2</x:v>
      </x:c>
      <x:c r="BS271" s="16" t="n">
        <x:v>0.1111111111111111</x:v>
      </x:c>
      <x:c r="BT271" s="14" t="str">
        <x:v>Minority of episodes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tt14815774|nm0135667|contessa di mazzi</x:v>
      </x:c>
      <x:c r="B272" s="14" t="str">
        <x:v>02</x:v>
      </x:c>
      <x:c r="C272" s="14" t="str">
        <x:v>2022_IMDb_Cast_Lists_Batch_02(1).xlsx</x:v>
      </x:c>
      <x:c r="D272" s="14" t="str">
        <x:v>Hotel Portofino</x:v>
      </x:c>
      <x:c r="E272" s="14" t="n">
        <x:v>65</x:v>
      </x:c>
      <x:c r="F272" s="14" t="str">
        <x:v>Hotel Portofino</x:v>
      </x:c>
      <x:c r="G272" s="14" t="str">
        <x:v>tt14815774</x:v>
      </x:c>
      <x:c r="H272" s="14" t="n">
        <x:v>2022</x:v>
      </x:c>
      <x:c r="I272" s="14" t="n">
        <x:v>2023</x:v>
      </x:c>
      <x:c r="J272" s="14" t="str">
        <x:v>Future Carry-Forward Cohort</x:v>
      </x:c>
      <x:c r="K272" s="14" t="n">
        <x:v>2022</x:v>
      </x:c>
      <x:c r="L272" s="14" t="str">
        <x:v>Not inherited</x:v>
      </x:c>
      <x:c r="M272" s="15" t="n">
        <x:v>58</x:v>
      </x:c>
      <x:c r="N272" s="14" t="str">
        <x:v>Anita Caprioli</x:v>
      </x:c>
      <x:c r="O272" s="14" t="str">
        <x:v>nm0135667</x:v>
      </x:c>
      <x:c r="P272" s="14" t="str">
        <x:v>Contessa Di Mazzi</x:v>
      </x:c>
      <x:c r="Q272" s="15" t="n">
        <x:v>2</x:v>
      </x:c>
      <x:c r="R272" s="14" t="str">
        <x:v>2024</x:v>
      </x:c>
      <x:c r="S272" s="14" t="n">
        <x:v>2024</x:v>
      </x:c>
      <x:c r="T272" s="14" t="n">
        <x:v>2024</x:v>
      </x:c>
      <x:c r="U272" s="14" t="str">
        <x:v>Explicit source first year retained</x:v>
      </x:c>
      <x:c r="V272" s="14" t="str">
        <x:v>Earliest supplied year is 2024.</x:v>
      </x:c>
      <x:c r="W272" s="14"/>
      <x:c r="X272" s="14" t="str">
        <x:v>Carried forward to 2024</x:v>
      </x:c>
      <x:c r="Y272" s="14"/>
      <x:c r="Z272" s="14" t="str">
        <x:v>Hotel Portofino.docx</x:v>
      </x:c>
      <x:c r="AA27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BritBox UK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HYPERLINK("https://en.wikipedia.org/wiki/Hotel_Portofino","Open source")</x:f>
        <x:v>HYPERLINK is not implemented. linkLocation=https://en.wikipedia.org/wiki/Hotel_Portofino, friendlyName=Open source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18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2</x:v>
      </x:c>
      <x:c r="BS272" s="16" t="n">
        <x:v>0.1111111111111111</x:v>
      </x:c>
      <x:c r="BT272" s="14" t="str">
        <x:v>Minority of episodes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tt14815774|nm2678822|mafioso 2</x:v>
      </x:c>
      <x:c r="B273" s="14" t="str">
        <x:v>02</x:v>
      </x:c>
      <x:c r="C273" s="14" t="str">
        <x:v>2022_IMDb_Cast_Lists_Batch_02(1).xlsx</x:v>
      </x:c>
      <x:c r="D273" s="14" t="str">
        <x:v>Hotel Portofino</x:v>
      </x:c>
      <x:c r="E273" s="14" t="n">
        <x:v>66</x:v>
      </x:c>
      <x:c r="F273" s="14" t="str">
        <x:v>Hotel Portofino</x:v>
      </x:c>
      <x:c r="G273" s="14" t="str">
        <x:v>tt14815774</x:v>
      </x:c>
      <x:c r="H273" s="14" t="n">
        <x:v>2022</x:v>
      </x:c>
      <x:c r="I273" s="14" t="n">
        <x:v>2023</x:v>
      </x:c>
      <x:c r="J273" s="14" t="str">
        <x:v>Future Carry-Forward Cohort</x:v>
      </x:c>
      <x:c r="K273" s="14" t="n">
        <x:v>2022</x:v>
      </x:c>
      <x:c r="L273" s="14" t="str">
        <x:v>Not inherited</x:v>
      </x:c>
      <x:c r="M273" s="15" t="n">
        <x:v>59</x:v>
      </x:c>
      <x:c r="N273" s="14" t="str">
        <x:v>Sasa Vuk</x:v>
      </x:c>
      <x:c r="O273" s="14" t="str">
        <x:v>nm2678822</x:v>
      </x:c>
      <x:c r="P273" s="14" t="str">
        <x:v>Mafioso 2</x:v>
      </x:c>
      <x:c r="Q273" s="15" t="n">
        <x:v>2</x:v>
      </x:c>
      <x:c r="R273" s="14" t="str">
        <x:v>2024</x:v>
      </x:c>
      <x:c r="S273" s="14" t="n">
        <x:v>2024</x:v>
      </x:c>
      <x:c r="T273" s="14" t="n">
        <x:v>2024</x:v>
      </x:c>
      <x:c r="U273" s="14" t="str">
        <x:v>Explicit source first year retained</x:v>
      </x:c>
      <x:c r="V273" s="14" t="str">
        <x:v>Earliest supplied year is 2024.</x:v>
      </x:c>
      <x:c r="W273" s="14"/>
      <x:c r="X273" s="14" t="str">
        <x:v>Carried forward to 2024</x:v>
      </x:c>
      <x:c r="Y273" s="14" t="str">
        <x:v>(as Saša Vuk)</x:v>
      </x:c>
      <x:c r="Z273" s="14" t="str">
        <x:v>Hotel Portofino.docx</x:v>
      </x:c>
      <x:c r="AA27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BritBox UK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HYPERLINK("https://en.wikipedia.org/wiki/Hotel_Portofino","Open source")</x:f>
        <x:v>HYPERLINK is not implemented. linkLocation=https://en.wikipedia.org/wiki/Hotel_Portofino, friendlyName=Open source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18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2</x:v>
      </x:c>
      <x:c r="BS273" s="16" t="n">
        <x:v>0.1111111111111111</x:v>
      </x:c>
      <x:c r="BT273" s="14" t="str">
        <x:v>Minority of episodes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tt14815774|nm1066781|monsieur fleury</x:v>
      </x:c>
      <x:c r="B274" s="14" t="str">
        <x:v>02</x:v>
      </x:c>
      <x:c r="C274" s="14" t="str">
        <x:v>2022_IMDb_Cast_Lists_Batch_02(1).xlsx</x:v>
      </x:c>
      <x:c r="D274" s="14" t="str">
        <x:v>Hotel Portofino</x:v>
      </x:c>
      <x:c r="E274" s="14" t="n">
        <x:v>70</x:v>
      </x:c>
      <x:c r="F274" s="14" t="str">
        <x:v>Hotel Portofino</x:v>
      </x:c>
      <x:c r="G274" s="14" t="str">
        <x:v>tt14815774</x:v>
      </x:c>
      <x:c r="H274" s="14" t="n">
        <x:v>2022</x:v>
      </x:c>
      <x:c r="I274" s="14" t="n">
        <x:v>2023</x:v>
      </x:c>
      <x:c r="J274" s="14" t="str">
        <x:v>Future Carry-Forward Cohort</x:v>
      </x:c>
      <x:c r="K274" s="14" t="n">
        <x:v>2022</x:v>
      </x:c>
      <x:c r="L274" s="14" t="str">
        <x:v>Not inherited</x:v>
      </x:c>
      <x:c r="M274" s="15" t="n">
        <x:v>63</x:v>
      </x:c>
      <x:c r="N274" s="14" t="str">
        <x:v>Enes Vejzović</x:v>
      </x:c>
      <x:c r="O274" s="14" t="str">
        <x:v>nm1066781</x:v>
      </x:c>
      <x:c r="P274" s="14" t="str">
        <x:v>Monsieur Fleury</x:v>
      </x:c>
      <x:c r="Q274" s="15" t="n">
        <x:v>1</x:v>
      </x:c>
      <x:c r="R274" s="14" t="str">
        <x:v>2024</x:v>
      </x:c>
      <x:c r="S274" s="14" t="n">
        <x:v>2024</x:v>
      </x:c>
      <x:c r="T274" s="14" t="n">
        <x:v>2024</x:v>
      </x:c>
      <x:c r="U274" s="14" t="str">
        <x:v>Explicit source first year retained</x:v>
      </x:c>
      <x:c r="V274" s="14" t="str">
        <x:v>Earliest supplied year is 2024.</x:v>
      </x:c>
      <x:c r="W274" s="14"/>
      <x:c r="X274" s="14" t="str">
        <x:v>Carried forward to 2024</x:v>
      </x:c>
      <x:c r="Y274" s="14"/>
      <x:c r="Z274" s="14" t="str">
        <x:v>Hotel Portofino.docx</x:v>
      </x:c>
      <x:c r="AA27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BritBox UK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HYPERLINK("https://en.wikipedia.org/wiki/Hotel_Portofino","Open source")</x:f>
        <x:v>HYPERLINK is not implemented. linkLocation=https://en.wikipedia.org/wiki/Hotel_Portofino, friendlyName=Open source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18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0.05555555555555555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tt14815774|nm9480386|agnes</x:v>
      </x:c>
      <x:c r="B275" s="14" t="str">
        <x:v>02</x:v>
      </x:c>
      <x:c r="C275" s="14" t="str">
        <x:v>2022_IMDb_Cast_Lists_Batch_02(1).xlsx</x:v>
      </x:c>
      <x:c r="D275" s="14" t="str">
        <x:v>Hotel Portofino</x:v>
      </x:c>
      <x:c r="E275" s="14" t="n">
        <x:v>72</x:v>
      </x:c>
      <x:c r="F275" s="14" t="str">
        <x:v>Hotel Portofino</x:v>
      </x:c>
      <x:c r="G275" s="14" t="str">
        <x:v>tt14815774</x:v>
      </x:c>
      <x:c r="H275" s="14" t="n">
        <x:v>2022</x:v>
      </x:c>
      <x:c r="I275" s="14" t="n">
        <x:v>2023</x:v>
      </x:c>
      <x:c r="J275" s="14" t="str">
        <x:v>Future Carry-Forward Cohort</x:v>
      </x:c>
      <x:c r="K275" s="14" t="n">
        <x:v>2022</x:v>
      </x:c>
      <x:c r="L275" s="14" t="str">
        <x:v>Not inherited</x:v>
      </x:c>
      <x:c r="M275" s="15" t="n">
        <x:v>65</x:v>
      </x:c>
      <x:c r="N275" s="14" t="str">
        <x:v>Dora Dimic Rakar</x:v>
      </x:c>
      <x:c r="O275" s="14" t="str">
        <x:v>nm9480386</x:v>
      </x:c>
      <x:c r="P275" s="14" t="str">
        <x:v>Agnes</x:v>
      </x:c>
      <x:c r="Q275" s="15" t="n">
        <x:v>1</x:v>
      </x:c>
      <x:c r="R275" s="14" t="str">
        <x:v>2024</x:v>
      </x:c>
      <x:c r="S275" s="14" t="n">
        <x:v>2024</x:v>
      </x:c>
      <x:c r="T275" s="14" t="n">
        <x:v>2024</x:v>
      </x:c>
      <x:c r="U275" s="14" t="str">
        <x:v>Explicit source first year retained</x:v>
      </x:c>
      <x:c r="V275" s="14" t="str">
        <x:v>Earliest supplied year is 2024.</x:v>
      </x:c>
      <x:c r="W275" s="14"/>
      <x:c r="X275" s="14" t="str">
        <x:v>Carried forward to 2024</x:v>
      </x:c>
      <x:c r="Y275" s="14"/>
      <x:c r="Z275" s="14" t="str">
        <x:v>Hotel Portofino.docx</x:v>
      </x:c>
      <x:c r="AA27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BritBox UK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HYPERLINK("https://en.wikipedia.org/wiki/Hotel_Portofino","Open source")</x:f>
        <x:v>HYPERLINK is not implemented. linkLocation=https://en.wikipedia.org/wiki/Hotel_Portofino, friendlyName=Open source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18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0.05555555555555555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tt14815774|nm2266452|letizia danioni</x:v>
      </x:c>
      <x:c r="B276" s="14" t="str">
        <x:v>02</x:v>
      </x:c>
      <x:c r="C276" s="14" t="str">
        <x:v>2022_IMDb_Cast_Lists_Batch_02(1).xlsx</x:v>
      </x:c>
      <x:c r="D276" s="14" t="str">
        <x:v>Hotel Portofino</x:v>
      </x:c>
      <x:c r="E276" s="14" t="n">
        <x:v>77</x:v>
      </x:c>
      <x:c r="F276" s="14" t="str">
        <x:v>Hotel Portofino</x:v>
      </x:c>
      <x:c r="G276" s="14" t="str">
        <x:v>tt14815774</x:v>
      </x:c>
      <x:c r="H276" s="14" t="n">
        <x:v>2022</x:v>
      </x:c>
      <x:c r="I276" s="14" t="n">
        <x:v>2023</x:v>
      </x:c>
      <x:c r="J276" s="14" t="str">
        <x:v>Future Carry-Forward Cohort</x:v>
      </x:c>
      <x:c r="K276" s="14" t="n">
        <x:v>2022</x:v>
      </x:c>
      <x:c r="L276" s="14" t="str">
        <x:v>Not inherited</x:v>
      </x:c>
      <x:c r="M276" s="15" t="n">
        <x:v>70</x:v>
      </x:c>
      <x:c r="N276" s="14" t="str">
        <x:v>Petra Vukelic</x:v>
      </x:c>
      <x:c r="O276" s="14" t="str">
        <x:v>nm2266452</x:v>
      </x:c>
      <x:c r="P276" s="14" t="str">
        <x:v>Letizia Danioni</x:v>
      </x:c>
      <x:c r="Q276" s="15" t="n">
        <x:v>1</x:v>
      </x:c>
      <x:c r="R276" s="14" t="str">
        <x:v>2024</x:v>
      </x:c>
      <x:c r="S276" s="14" t="n">
        <x:v>2024</x:v>
      </x:c>
      <x:c r="T276" s="14" t="n">
        <x:v>2024</x:v>
      </x:c>
      <x:c r="U276" s="14" t="str">
        <x:v>Explicit source first year retained</x:v>
      </x:c>
      <x:c r="V276" s="14" t="str">
        <x:v>Earliest supplied year is 2024.</x:v>
      </x:c>
      <x:c r="W276" s="14"/>
      <x:c r="X276" s="14" t="str">
        <x:v>Carried forward to 2024</x:v>
      </x:c>
      <x:c r="Y276" s="14" t="str">
        <x:v>(as Petra Vukelić)</x:v>
      </x:c>
      <x:c r="Z276" s="14" t="str">
        <x:v>Hotel Portofino.docx</x:v>
      </x:c>
      <x:c r="AA27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BritBox UK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HYPERLINK("https://en.wikipedia.org/wiki/Hotel_Portofino","Open source")</x:f>
        <x:v>HYPERLINK is not implemented. linkLocation=https://en.wikipedia.org/wiki/Hotel_Portofino, friendlyName=Open source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18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0.05555555555555555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tt14815774|nm12445202|shop assistant</x:v>
      </x:c>
      <x:c r="B277" s="14" t="str">
        <x:v>02</x:v>
      </x:c>
      <x:c r="C277" s="14" t="str">
        <x:v>2022_IMDb_Cast_Lists_Batch_02(1).xlsx</x:v>
      </x:c>
      <x:c r="D277" s="14" t="str">
        <x:v>Hotel Portofino</x:v>
      </x:c>
      <x:c r="E277" s="14" t="n">
        <x:v>78</x:v>
      </x:c>
      <x:c r="F277" s="14" t="str">
        <x:v>Hotel Portofino</x:v>
      </x:c>
      <x:c r="G277" s="14" t="str">
        <x:v>tt14815774</x:v>
      </x:c>
      <x:c r="H277" s="14" t="n">
        <x:v>2022</x:v>
      </x:c>
      <x:c r="I277" s="14" t="n">
        <x:v>2023</x:v>
      </x:c>
      <x:c r="J277" s="14" t="str">
        <x:v>Future Carry-Forward Cohort</x:v>
      </x:c>
      <x:c r="K277" s="14" t="n">
        <x:v>2022</x:v>
      </x:c>
      <x:c r="L277" s="14" t="str">
        <x:v>Not inherited</x:v>
      </x:c>
      <x:c r="M277" s="15" t="n">
        <x:v>71</x:v>
      </x:c>
      <x:c r="N277" s="14" t="str">
        <x:v>Sarah Dumanic</x:v>
      </x:c>
      <x:c r="O277" s="14" t="str">
        <x:v>nm12445202</x:v>
      </x:c>
      <x:c r="P277" s="14" t="str">
        <x:v>Shop Assistant</x:v>
      </x:c>
      <x:c r="Q277" s="15" t="n">
        <x:v>1</x:v>
      </x:c>
      <x:c r="R277" s="14" t="str">
        <x:v>2024</x:v>
      </x:c>
      <x:c r="S277" s="14" t="n">
        <x:v>2024</x:v>
      </x:c>
      <x:c r="T277" s="14" t="n">
        <x:v>2024</x:v>
      </x:c>
      <x:c r="U277" s="14" t="str">
        <x:v>Explicit source first year retained</x:v>
      </x:c>
      <x:c r="V277" s="14" t="str">
        <x:v>Earliest supplied year is 2024.</x:v>
      </x:c>
      <x:c r="W277" s="14"/>
      <x:c r="X277" s="14" t="str">
        <x:v>Carried forward to 2024</x:v>
      </x:c>
      <x:c r="Y277" s="14" t="str">
        <x:v>(as Sarah Dumanić)</x:v>
      </x:c>
      <x:c r="Z277" s="14" t="str">
        <x:v>Hotel Portofino.docx</x:v>
      </x:c>
      <x:c r="AA27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BritBox UK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HYPERLINK("https://en.wikipedia.org/wiki/Hotel_Portofino","Open source")</x:f>
        <x:v>HYPERLINK is not implemented. linkLocation=https://en.wikipedia.org/wiki/Hotel_Portofino, friendlyName=Open source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18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0.05555555555555555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tt14815774|nm13467179|ladies man</x:v>
      </x:c>
      <x:c r="B278" s="14" t="str">
        <x:v>02</x:v>
      </x:c>
      <x:c r="C278" s="14" t="str">
        <x:v>2022_IMDb_Cast_Lists_Batch_02(1).xlsx</x:v>
      </x:c>
      <x:c r="D278" s="14" t="str">
        <x:v>Hotel Portofino</x:v>
      </x:c>
      <x:c r="E278" s="14" t="n">
        <x:v>81</x:v>
      </x:c>
      <x:c r="F278" s="14" t="str">
        <x:v>Hotel Portofino</x:v>
      </x:c>
      <x:c r="G278" s="14" t="str">
        <x:v>tt14815774</x:v>
      </x:c>
      <x:c r="H278" s="14" t="n">
        <x:v>2022</x:v>
      </x:c>
      <x:c r="I278" s="14" t="n">
        <x:v>2023</x:v>
      </x:c>
      <x:c r="J278" s="14" t="str">
        <x:v>Future Carry-Forward Cohort</x:v>
      </x:c>
      <x:c r="K278" s="14" t="n">
        <x:v>2022</x:v>
      </x:c>
      <x:c r="L278" s="14" t="str">
        <x:v>Not inherited</x:v>
      </x:c>
      <x:c r="M278" s="15" t="n">
        <x:v>74</x:v>
      </x:c>
      <x:c r="N278" s="14" t="str">
        <x:v>Mateo Cvenic</x:v>
      </x:c>
      <x:c r="O278" s="14" t="str">
        <x:v>nm13467179</x:v>
      </x:c>
      <x:c r="P278" s="14" t="str">
        <x:v>Ladies Man</x:v>
      </x:c>
      <x:c r="Q278" s="15" t="n">
        <x:v>1</x:v>
      </x:c>
      <x:c r="R278" s="14" t="str">
        <x:v>2024</x:v>
      </x:c>
      <x:c r="S278" s="14" t="n">
        <x:v>2024</x:v>
      </x:c>
      <x:c r="T278" s="14" t="n">
        <x:v>2024</x:v>
      </x:c>
      <x:c r="U278" s="14" t="str">
        <x:v>Explicit source first year retained</x:v>
      </x:c>
      <x:c r="V278" s="14" t="str">
        <x:v>Earliest supplied year is 2024.</x:v>
      </x:c>
      <x:c r="W278" s="14"/>
      <x:c r="X278" s="14" t="str">
        <x:v>Carried forward to 2024</x:v>
      </x:c>
      <x:c r="Y278" s="14" t="str">
        <x:v>(as Mateo Cvenić)</x:v>
      </x:c>
      <x:c r="Z278" s="14" t="str">
        <x:v>Hotel Portofino.docx</x:v>
      </x:c>
      <x:c r="AA27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BritBox UK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HYPERLINK("https://en.wikipedia.org/wiki/Hotel_Portofino","Open source")</x:f>
        <x:v>HYPERLINK is not implemented. linkLocation=https://en.wikipedia.org/wiki/Hotel_Portofino, friendlyName=Open source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18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0.05555555555555555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tt14815774|nm16190068|cart driver</x:v>
      </x:c>
      <x:c r="B279" s="14" t="str">
        <x:v>02</x:v>
      </x:c>
      <x:c r="C279" s="14" t="str">
        <x:v>2022_IMDb_Cast_Lists_Batch_02(1).xlsx</x:v>
      </x:c>
      <x:c r="D279" s="14" t="str">
        <x:v>Hotel Portofino</x:v>
      </x:c>
      <x:c r="E279" s="14" t="n">
        <x:v>82</x:v>
      </x:c>
      <x:c r="F279" s="14" t="str">
        <x:v>Hotel Portofino</x:v>
      </x:c>
      <x:c r="G279" s="14" t="str">
        <x:v>tt14815774</x:v>
      </x:c>
      <x:c r="H279" s="14" t="n">
        <x:v>2022</x:v>
      </x:c>
      <x:c r="I279" s="14" t="n">
        <x:v>2023</x:v>
      </x:c>
      <x:c r="J279" s="14" t="str">
        <x:v>Future Carry-Forward Cohort</x:v>
      </x:c>
      <x:c r="K279" s="14" t="n">
        <x:v>2022</x:v>
      </x:c>
      <x:c r="L279" s="14" t="str">
        <x:v>Not inherited</x:v>
      </x:c>
      <x:c r="M279" s="15" t="n">
        <x:v>75</x:v>
      </x:c>
      <x:c r="N279" s="14" t="str">
        <x:v>Toni Vlacic</x:v>
      </x:c>
      <x:c r="O279" s="14" t="str">
        <x:v>nm16190068</x:v>
      </x:c>
      <x:c r="P279" s="14" t="str">
        <x:v>Cart Driver</x:v>
      </x:c>
      <x:c r="Q279" s="15" t="n">
        <x:v>1</x:v>
      </x:c>
      <x:c r="R279" s="14" t="str">
        <x:v>2024</x:v>
      </x:c>
      <x:c r="S279" s="14" t="n">
        <x:v>2024</x:v>
      </x:c>
      <x:c r="T279" s="14" t="n">
        <x:v>2024</x:v>
      </x:c>
      <x:c r="U279" s="14" t="str">
        <x:v>Explicit source first year retained</x:v>
      </x:c>
      <x:c r="V279" s="14" t="str">
        <x:v>Earliest supplied year is 2024.</x:v>
      </x:c>
      <x:c r="W279" s="14"/>
      <x:c r="X279" s="14" t="str">
        <x:v>Carried forward to 2024</x:v>
      </x:c>
      <x:c r="Y279" s="14" t="str">
        <x:v>(as Toni Vlačić)</x:v>
      </x:c>
      <x:c r="Z279" s="14" t="str">
        <x:v>Hotel Portofino.docx</x:v>
      </x:c>
      <x:c r="AA27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BritBox UK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HYPERLINK("https://en.wikipedia.org/wiki/Hotel_Portofino","Open source")</x:f>
        <x:v>HYPERLINK is not implemented. linkLocation=https://en.wikipedia.org/wiki/Hotel_Portofino, friendlyName=Open source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18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1</x:v>
      </x:c>
      <x:c r="BS279" s="16" t="n">
        <x:v>0.05555555555555555</x:v>
      </x:c>
      <x:c r="BT279" s="14" t="str">
        <x:v>One episode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tt14815774|nm0424819|randall gibson-white</x:v>
      </x:c>
      <x:c r="B280" s="14" t="str">
        <x:v>02</x:v>
      </x:c>
      <x:c r="C280" s="14" t="str">
        <x:v>2022_IMDb_Cast_Lists_Batch_02(1).xlsx</x:v>
      </x:c>
      <x:c r="D280" s="14" t="str">
        <x:v>Hotel Portofino</x:v>
      </x:c>
      <x:c r="E280" s="14" t="n">
        <x:v>84</x:v>
      </x:c>
      <x:c r="F280" s="14" t="str">
        <x:v>Hotel Portofino</x:v>
      </x:c>
      <x:c r="G280" s="14" t="str">
        <x:v>tt14815774</x:v>
      </x:c>
      <x:c r="H280" s="14" t="n">
        <x:v>2022</x:v>
      </x:c>
      <x:c r="I280" s="14" t="n">
        <x:v>2023</x:v>
      </x:c>
      <x:c r="J280" s="14" t="str">
        <x:v>Future Carry-Forward Cohort</x:v>
      </x:c>
      <x:c r="K280" s="14" t="n">
        <x:v>2022</x:v>
      </x:c>
      <x:c r="L280" s="14" t="str">
        <x:v>Not inherited</x:v>
      </x:c>
      <x:c r="M280" s="15" t="n">
        <x:v>77</x:v>
      </x:c>
      <x:c r="N280" s="14" t="str">
        <x:v>Corey Johnson</x:v>
      </x:c>
      <x:c r="O280" s="14" t="str">
        <x:v>nm0424819</x:v>
      </x:c>
      <x:c r="P280" s="14" t="str">
        <x:v>Randall Gibson-White</x:v>
      </x:c>
      <x:c r="Q280" s="15" t="n">
        <x:v>1</x:v>
      </x:c>
      <x:c r="R280" s="14" t="str">
        <x:v>2024</x:v>
      </x:c>
      <x:c r="S280" s="14" t="n">
        <x:v>2024</x:v>
      </x:c>
      <x:c r="T280" s="14" t="n">
        <x:v>2024</x:v>
      </x:c>
      <x:c r="U280" s="14" t="str">
        <x:v>Explicit source first year retained</x:v>
      </x:c>
      <x:c r="V280" s="14" t="str">
        <x:v>Earliest supplied year is 2024.</x:v>
      </x:c>
      <x:c r="W280" s="14"/>
      <x:c r="X280" s="14" t="str">
        <x:v>Carried forward to 2024</x:v>
      </x:c>
      <x:c r="Y280" s="14"/>
      <x:c r="Z280" s="14" t="str">
        <x:v>Hotel Portofino.docx</x:v>
      </x:c>
      <x:c r="AA28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BritBox UK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HYPERLINK("https://en.wikipedia.org/wiki/Hotel_Portofino","Open source")</x:f>
        <x:v>HYPERLINK is not implemented. linkLocation=https://en.wikipedia.org/wiki/Hotel_Portofino, friendlyName=Open source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18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1</x:v>
      </x:c>
      <x:c r="BS280" s="16" t="n">
        <x:v>0.05555555555555555</x:v>
      </x:c>
      <x:c r="BT280" s="14" t="str">
        <x:v>One episode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tt14815774|nm12346656|party goer</x:v>
      </x:c>
      <x:c r="B281" s="14" t="str">
        <x:v>02</x:v>
      </x:c>
      <x:c r="C281" s="14" t="str">
        <x:v>2022_IMDb_Cast_Lists_Batch_02(1).xlsx</x:v>
      </x:c>
      <x:c r="D281" s="14" t="str">
        <x:v>Hotel Portofino</x:v>
      </x:c>
      <x:c r="E281" s="14" t="n">
        <x:v>85</x:v>
      </x:c>
      <x:c r="F281" s="14" t="str">
        <x:v>Hotel Portofino</x:v>
      </x:c>
      <x:c r="G281" s="14" t="str">
        <x:v>tt14815774</x:v>
      </x:c>
      <x:c r="H281" s="14" t="n">
        <x:v>2022</x:v>
      </x:c>
      <x:c r="I281" s="14" t="n">
        <x:v>2023</x:v>
      </x:c>
      <x:c r="J281" s="14" t="str">
        <x:v>Future Carry-Forward Cohort</x:v>
      </x:c>
      <x:c r="K281" s="14" t="n">
        <x:v>2022</x:v>
      </x:c>
      <x:c r="L281" s="14" t="str">
        <x:v>Not inherited</x:v>
      </x:c>
      <x:c r="M281" s="15" t="n">
        <x:v>78</x:v>
      </x:c>
      <x:c r="N281" s="14" t="str">
        <x:v>Andrea Tich</x:v>
      </x:c>
      <x:c r="O281" s="14" t="str">
        <x:v>nm12346656</x:v>
      </x:c>
      <x:c r="P281" s="14" t="str">
        <x:v>Party Goer</x:v>
      </x:c>
      <x:c r="Q281" s="15" t="n">
        <x:v>1</x:v>
      </x:c>
      <x:c r="R281" s="14" t="str">
        <x:v>2024</x:v>
      </x:c>
      <x:c r="S281" s="14" t="n">
        <x:v>2024</x:v>
      </x:c>
      <x:c r="T281" s="14" t="n">
        <x:v>2024</x:v>
      </x:c>
      <x:c r="U281" s="14" t="str">
        <x:v>Explicit source first year retained</x:v>
      </x:c>
      <x:c r="V281" s="14" t="str">
        <x:v>Earliest supplied year is 2024.</x:v>
      </x:c>
      <x:c r="W281" s="14"/>
      <x:c r="X281" s="14" t="str">
        <x:v>Carried forward to 2024</x:v>
      </x:c>
      <x:c r="Y281" s="14"/>
      <x:c r="Z281" s="14" t="str">
        <x:v>Hotel Portofino.docx</x:v>
      </x:c>
      <x:c r="AA28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BritBox UK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HYPERLINK("https://en.wikipedia.org/wiki/Hotel_Portofino","Open source")</x:f>
        <x:v>HYPERLINK is not implemented. linkLocation=https://en.wikipedia.org/wiki/Hotel_Portofino, friendlyName=Open source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18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1</x:v>
      </x:c>
      <x:c r="BS281" s="16" t="n">
        <x:v>0.05555555555555555</x:v>
      </x:c>
      <x:c r="BT281" s="14" t="str">
        <x:v>One episode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tt14772170|nm0585181|harry bentham</x:v>
      </x:c>
      <x:c r="B282" s="14" t="str">
        <x:v>04</x:v>
      </x:c>
      <x:c r="C282" s="14" t="str">
        <x:v>2022_IMDb_Cast_Lists_Batch_04(1).xlsx</x:v>
      </x:c>
      <x:c r="D282" s="14" t="str">
        <x:v>Ridley</x:v>
      </x:c>
      <x:c r="E282" s="14" t="n">
        <x:v>20</x:v>
      </x:c>
      <x:c r="F282" s="14" t="str">
        <x:v>Ridley</x:v>
      </x:c>
      <x:c r="G282" s="14" t="str">
        <x:v>tt14772170</x:v>
      </x:c>
      <x:c r="H282" s="14" t="n">
        <x:v>2022</x:v>
      </x:c>
      <x:c r="I282" s="14" t="n">
        <x:v>2023</x:v>
      </x:c>
      <x:c r="J282" s="14" t="str">
        <x:v>Future Carry-Forward Cohort</x:v>
      </x:c>
      <x:c r="K282" s="14" t="n">
        <x:v>2022</x:v>
      </x:c>
      <x:c r="L282" s="14" t="str">
        <x:v>Not inherited</x:v>
      </x:c>
      <x:c r="M282" s="15" t="n">
        <x:v>13</x:v>
      </x:c>
      <x:c r="N282" s="14" t="str">
        <x:v>John Michie</x:v>
      </x:c>
      <x:c r="O282" s="14" t="str">
        <x:v>nm0585181</x:v>
      </x:c>
      <x:c r="P282" s="14" t="str">
        <x:v>Harry Bentham</x:v>
      </x:c>
      <x:c r="Q282" s="15" t="n">
        <x:v>6</x:v>
      </x:c>
      <x:c r="R282" s="14" t="str">
        <x:v>2024</x:v>
      </x:c>
      <x:c r="S282" s="14" t="n">
        <x:v>2024</x:v>
      </x:c>
      <x:c r="T282" s="14" t="n">
        <x:v>2024</x:v>
      </x:c>
      <x:c r="U282" s="14" t="str">
        <x:v>Explicit source first year retained</x:v>
      </x:c>
      <x:c r="V282" s="14" t="str">
        <x:v>Earliest supplied year is 2024.</x:v>
      </x:c>
      <x:c r="W282" s="14"/>
      <x:c r="X282" s="14" t="str">
        <x:v>Carried forward to 2024</x:v>
      </x:c>
      <x:c r="Y282" s="14"/>
      <x:c r="Z282" s="14" t="str">
        <x:v>Ridley.docx</x:v>
      </x:c>
      <x:c r="AA28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ITV / ITVX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HYPERLINK("https://en.wikipedia.org/wiki/Ridley","Open source")</x:f>
        <x:v>HYPERLINK is not implemented. linkLocation=https://en.wikipedia.org/wiki/Ridley, friendlyName=Open source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6</x:v>
      </x:c>
      <x:c r="BS282" s="16" t="n">
        <x:v>0.5</x:v>
      </x:c>
      <x:c r="BT282" s="14" t="str">
        <x:v>Minority of episodes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tt14772170|nm13598537|jordan king</x:v>
      </x:c>
      <x:c r="B283" s="14" t="str">
        <x:v>04</x:v>
      </x:c>
      <x:c r="C283" s="14" t="str">
        <x:v>2022_IMDb_Cast_Lists_Batch_04(1).xlsx</x:v>
      </x:c>
      <x:c r="D283" s="14" t="str">
        <x:v>Ridley</x:v>
      </x:c>
      <x:c r="E283" s="14" t="n">
        <x:v>24</x:v>
      </x:c>
      <x:c r="F283" s="14" t="str">
        <x:v>Ridley</x:v>
      </x:c>
      <x:c r="G283" s="14" t="str">
        <x:v>tt14772170</x:v>
      </x:c>
      <x:c r="H283" s="14" t="n">
        <x:v>2022</x:v>
      </x:c>
      <x:c r="I283" s="14" t="n">
        <x:v>2023</x:v>
      </x:c>
      <x:c r="J283" s="14" t="str">
        <x:v>Future Carry-Forward Cohort</x:v>
      </x:c>
      <x:c r="K283" s="14" t="n">
        <x:v>2022</x:v>
      </x:c>
      <x:c r="L283" s="14" t="str">
        <x:v>Not inherited</x:v>
      </x:c>
      <x:c r="M283" s="15" t="n">
        <x:v>17</x:v>
      </x:c>
      <x:c r="N283" s="14" t="str">
        <x:v>Joshua J Parker</x:v>
      </x:c>
      <x:c r="O283" s="14" t="str">
        <x:v>nm13598537</x:v>
      </x:c>
      <x:c r="P283" s="14" t="str">
        <x:v>Jordan King</x:v>
      </x:c>
      <x:c r="Q283" s="15" t="n">
        <x:v>3</x:v>
      </x:c>
      <x:c r="R283" s="14" t="str">
        <x:v>2024</x:v>
      </x:c>
      <x:c r="S283" s="14" t="n">
        <x:v>2024</x:v>
      </x:c>
      <x:c r="T283" s="14" t="n">
        <x:v>2024</x:v>
      </x:c>
      <x:c r="U283" s="14" t="str">
        <x:v>Explicit source first year retained</x:v>
      </x:c>
      <x:c r="V283" s="14" t="str">
        <x:v>Earliest supplied year is 2024.</x:v>
      </x:c>
      <x:c r="W283" s="14"/>
      <x:c r="X283" s="14" t="str">
        <x:v>Carried forward to 2024</x:v>
      </x:c>
      <x:c r="Y283" s="14"/>
      <x:c r="Z283" s="14" t="str">
        <x:v>Ridley.docx</x:v>
      </x:c>
      <x:c r="AA28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3" s="14" t="str">
        <x:v>Existing established-register match</x:v>
      </x:c>
      <x:c r="AC283" s="14" t="str">
        <x:v>Physical disability</x:v>
      </x:c>
      <x:c r="AD283" s="14" t="str">
        <x:v>Existing register classification: Physical disability</x:v>
      </x:c>
      <x:c r="AE283" s="14" t="str">
        <x:v>Established_Disability_Category_Register V1.2.xlsx</x:v>
      </x:c>
      <x:c r="AF283" s="14"/>
      <x:c r="AG283" s="14" t="str">
        <x:v>Established user-supplied classification retained for deduplication; evidence was not re-researched in this batch.</x:v>
      </x:c>
      <x:c r="AH283" s="14" t="str">
        <x:v>ITV / ITVX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HYPERLINK("https://en.wikipedia.org/wiki/Ridley","Open source")</x:f>
        <x:v>HYPERLINK is not implemented. linkLocation=https://en.wikipedia.org/wiki/Ridley, friendlyName=Open source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 t="str">
        <x:v>Exact IMDb performer ID match</x:v>
      </x:c>
      <x:c r="AT283" s="14" t="str">
        <x:v>nm13598537</x:v>
      </x:c>
      <x:c r="AU283" s="14" t="str">
        <x:v>Physical disability</x:v>
      </x:c>
      <x:c r="AV283" s="14" t="str">
        <x:v>Yes</x:v>
      </x:c>
      <x:c r="AW283" s="14" t="str">
        <x:v>Physical disability</x:v>
      </x:c>
      <x:c r="AX283" s="14" t="str">
        <x:v>No</x:v>
      </x:c>
      <x:c r="AY283" s="14" t="str">
        <x:v>Matched</x:v>
      </x:c>
      <x:c r="AZ283" s="14" t="str">
        <x:v>Final supplied register</x:v>
      </x:c>
      <x:c r="BA283" s="14"/>
      <x:c r="BB283" s="14" t="str">
        <x:v>Exact IMDb performer ID match</x:v>
      </x:c>
      <x:c r="BC283" s="14" t="str">
        <x:v>nm13598537</x:v>
      </x:c>
      <x:c r="BD283" s="14" t="str">
        <x:v>Joshua J Parker</x:v>
      </x:c>
      <x:c r="BE283" s="14" t="str">
        <x:v>Physical disability</x:v>
      </x:c>
      <x:c r="BF283" s="14" t="str">
        <x:v>Yes</x:v>
      </x:c>
      <x:c r="BG283" s="14" t="str">
        <x:v>Physical disability</x:v>
      </x:c>
      <x:c r="BH283" s="14" t="str">
        <x:v>No</x:v>
      </x:c>
      <x:c r="BI283" s="14" t="str">
        <x:v>User-supplied established classification</x:v>
      </x:c>
      <x:c r="BJ283" s="14" t="str">
        <x:v>04_Physical_disability.csv</x:v>
      </x:c>
      <x:c r="BK283" s="14"/>
      <x:c r="BL283" s="14" t="str">
        <x:v>Matched</x:v>
      </x:c>
      <x:c r="BM283" s="14" t="str">
        <x:v>Final supplied register</x:v>
      </x:c>
      <x:c r="BN283" s="14"/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3</x:v>
      </x:c>
      <x:c r="BS283" s="16" t="n">
        <x:v>0.25</x:v>
      </x:c>
      <x:c r="BT283" s="14" t="str">
        <x:v>Minority of episodes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tt14772170|nm0824353|celia machin</x:v>
      </x:c>
      <x:c r="B284" s="14" t="str">
        <x:v>04</x:v>
      </x:c>
      <x:c r="C284" s="14" t="str">
        <x:v>2022_IMDb_Cast_Lists_Batch_04(1).xlsx</x:v>
      </x:c>
      <x:c r="D284" s="14" t="str">
        <x:v>Ridley</x:v>
      </x:c>
      <x:c r="E284" s="14" t="n">
        <x:v>26</x:v>
      </x:c>
      <x:c r="F284" s="14" t="str">
        <x:v>Ridley</x:v>
      </x:c>
      <x:c r="G284" s="14" t="str">
        <x:v>tt14772170</x:v>
      </x:c>
      <x:c r="H284" s="14" t="n">
        <x:v>2022</x:v>
      </x:c>
      <x:c r="I284" s="14" t="n">
        <x:v>2023</x:v>
      </x:c>
      <x:c r="J284" s="14" t="str">
        <x:v>Future Carry-Forward Cohort</x:v>
      </x:c>
      <x:c r="K284" s="14" t="n">
        <x:v>2022</x:v>
      </x:c>
      <x:c r="L284" s="14" t="str">
        <x:v>Not inherited</x:v>
      </x:c>
      <x:c r="M284" s="15" t="n">
        <x:v>19</x:v>
      </x:c>
      <x:c r="N284" s="14" t="str">
        <x:v>Maggie Steed</x:v>
      </x:c>
      <x:c r="O284" s="14" t="str">
        <x:v>nm0824353</x:v>
      </x:c>
      <x:c r="P284" s="14" t="str">
        <x:v>Celia Machin</x:v>
      </x:c>
      <x:c r="Q284" s="15" t="n">
        <x:v>2</x:v>
      </x:c>
      <x:c r="R284" s="14" t="str">
        <x:v>2024</x:v>
      </x:c>
      <x:c r="S284" s="14" t="n">
        <x:v>2024</x:v>
      </x:c>
      <x:c r="T284" s="14" t="n">
        <x:v>2024</x:v>
      </x:c>
      <x:c r="U284" s="14" t="str">
        <x:v>Explicit source first year retained</x:v>
      </x:c>
      <x:c r="V284" s="14" t="str">
        <x:v>Earliest supplied year is 2024.</x:v>
      </x:c>
      <x:c r="W284" s="14"/>
      <x:c r="X284" s="14" t="str">
        <x:v>Carried forward to 2024</x:v>
      </x:c>
      <x:c r="Y284" s="14"/>
      <x:c r="Z284" s="14" t="str">
        <x:v>Ridley.docx</x:v>
      </x:c>
      <x:c r="AA28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ITV / ITVX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HYPERLINK("https://en.wikipedia.org/wiki/Ridley","Open source")</x:f>
        <x:v>HYPERLINK is not implemented. linkLocation=https://en.wikipedia.org/wiki/Ridley, friendlyName=Open source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2</x:v>
      </x:c>
      <x:c r="BS284" s="16" t="n">
        <x:v>0.16666666666666666</x:v>
      </x:c>
      <x:c r="BT284" s="14" t="str">
        <x:v>Minority of episodes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tt14772170|nm0080438|sarita grant</x:v>
      </x:c>
      <x:c r="B285" s="14" t="str">
        <x:v>04</x:v>
      </x:c>
      <x:c r="C285" s="14" t="str">
        <x:v>2022_IMDb_Cast_Lists_Batch_04(1).xlsx</x:v>
      </x:c>
      <x:c r="D285" s="14" t="str">
        <x:v>Ridley</x:v>
      </x:c>
      <x:c r="E285" s="14" t="n">
        <x:v>27</x:v>
      </x:c>
      <x:c r="F285" s="14" t="str">
        <x:v>Ridley</x:v>
      </x:c>
      <x:c r="G285" s="14" t="str">
        <x:v>tt14772170</x:v>
      </x:c>
      <x:c r="H285" s="14" t="n">
        <x:v>2022</x:v>
      </x:c>
      <x:c r="I285" s="14" t="n">
        <x:v>2023</x:v>
      </x:c>
      <x:c r="J285" s="14" t="str">
        <x:v>Future Carry-Forward Cohort</x:v>
      </x:c>
      <x:c r="K285" s="14" t="n">
        <x:v>2022</x:v>
      </x:c>
      <x:c r="L285" s="14" t="str">
        <x:v>Not inherited</x:v>
      </x:c>
      <x:c r="M285" s="15" t="n">
        <x:v>20</x:v>
      </x:c>
      <x:c r="N285" s="14" t="str">
        <x:v>Sudha Bhuchar</x:v>
      </x:c>
      <x:c r="O285" s="14" t="str">
        <x:v>nm0080438</x:v>
      </x:c>
      <x:c r="P285" s="14" t="str">
        <x:v>Sarita Grant</x:v>
      </x:c>
      <x:c r="Q285" s="15" t="n">
        <x:v>2</x:v>
      </x:c>
      <x:c r="R285" s="14" t="str">
        <x:v>2024</x:v>
      </x:c>
      <x:c r="S285" s="14" t="n">
        <x:v>2024</x:v>
      </x:c>
      <x:c r="T285" s="14" t="n">
        <x:v>2024</x:v>
      </x:c>
      <x:c r="U285" s="14" t="str">
        <x:v>Explicit source first year retained</x:v>
      </x:c>
      <x:c r="V285" s="14" t="str">
        <x:v>Earliest supplied year is 2024.</x:v>
      </x:c>
      <x:c r="W285" s="14"/>
      <x:c r="X285" s="14" t="str">
        <x:v>Carried forward to 2024</x:v>
      </x:c>
      <x:c r="Y285" s="14"/>
      <x:c r="Z285" s="14" t="str">
        <x:v>Ridley.docx</x:v>
      </x:c>
      <x:c r="AA28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ITV / ITVX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HYPERLINK("https://en.wikipedia.org/wiki/Ridley","Open source")</x:f>
        <x:v>HYPERLINK is not implemented. linkLocation=https://en.wikipedia.org/wiki/Ridley, friendlyName=Open source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2</x:v>
      </x:c>
      <x:c r="BS285" s="16" t="n">
        <x:v>0.16666666666666666</x:v>
      </x:c>
      <x:c r="BT285" s="14" t="str">
        <x:v>Minority of episodes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tt14772170|nm1180835|katharine penrose</x:v>
      </x:c>
      <x:c r="B286" s="14" t="str">
        <x:v>04</x:v>
      </x:c>
      <x:c r="C286" s="14" t="str">
        <x:v>2022_IMDb_Cast_Lists_Batch_04(1).xlsx</x:v>
      </x:c>
      <x:c r="D286" s="14" t="str">
        <x:v>Ridley</x:v>
      </x:c>
      <x:c r="E286" s="14" t="n">
        <x:v>28</x:v>
      </x:c>
      <x:c r="F286" s="14" t="str">
        <x:v>Ridley</x:v>
      </x:c>
      <x:c r="G286" s="14" t="str">
        <x:v>tt14772170</x:v>
      </x:c>
      <x:c r="H286" s="14" t="n">
        <x:v>2022</x:v>
      </x:c>
      <x:c r="I286" s="14" t="n">
        <x:v>2023</x:v>
      </x:c>
      <x:c r="J286" s="14" t="str">
        <x:v>Future Carry-Forward Cohort</x:v>
      </x:c>
      <x:c r="K286" s="14" t="n">
        <x:v>2022</x:v>
      </x:c>
      <x:c r="L286" s="14" t="str">
        <x:v>Not inherited</x:v>
      </x:c>
      <x:c r="M286" s="15" t="n">
        <x:v>21</x:v>
      </x:c>
      <x:c r="N286" s="14" t="str">
        <x:v>Christine Bottomley</x:v>
      </x:c>
      <x:c r="O286" s="14" t="str">
        <x:v>nm1180835</x:v>
      </x:c>
      <x:c r="P286" s="14" t="str">
        <x:v>Katharine Penrose</x:v>
      </x:c>
      <x:c r="Q286" s="15" t="n">
        <x:v>2</x:v>
      </x:c>
      <x:c r="R286" s="14" t="str">
        <x:v>2024</x:v>
      </x:c>
      <x:c r="S286" s="14" t="n">
        <x:v>2024</x:v>
      </x:c>
      <x:c r="T286" s="14" t="n">
        <x:v>2024</x:v>
      </x:c>
      <x:c r="U286" s="14" t="str">
        <x:v>Explicit source first year retained</x:v>
      </x:c>
      <x:c r="V286" s="14" t="str">
        <x:v>Earliest supplied year is 2024.</x:v>
      </x:c>
      <x:c r="W286" s="14"/>
      <x:c r="X286" s="14" t="str">
        <x:v>Carried forward to 2024</x:v>
      </x:c>
      <x:c r="Y286" s="14"/>
      <x:c r="Z286" s="14" t="str">
        <x:v>Ridley.docx</x:v>
      </x:c>
      <x:c r="AA28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ITV / ITVX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HYPERLINK("https://en.wikipedia.org/wiki/Ridley","Open source")</x:f>
        <x:v>HYPERLINK is not implemented. linkLocation=https://en.wikipedia.org/wiki/Ridley, friendlyName=Open source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2</x:v>
      </x:c>
      <x:c r="BS286" s="16" t="n">
        <x:v>0.16666666666666666</x:v>
      </x:c>
      <x:c r="BT286" s="14" t="str">
        <x:v>Minority of episodes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tt14772170|nm4332060|tasha walker</x:v>
      </x:c>
      <x:c r="B287" s="14" t="str">
        <x:v>04</x:v>
      </x:c>
      <x:c r="C287" s="14" t="str">
        <x:v>2022_IMDb_Cast_Lists_Batch_04(1).xlsx</x:v>
      </x:c>
      <x:c r="D287" s="14" t="str">
        <x:v>Ridley</x:v>
      </x:c>
      <x:c r="E287" s="14" t="n">
        <x:v>29</x:v>
      </x:c>
      <x:c r="F287" s="14" t="str">
        <x:v>Ridley</x:v>
      </x:c>
      <x:c r="G287" s="14" t="str">
        <x:v>tt14772170</x:v>
      </x:c>
      <x:c r="H287" s="14" t="n">
        <x:v>2022</x:v>
      </x:c>
      <x:c r="I287" s="14" t="n">
        <x:v>2023</x:v>
      </x:c>
      <x:c r="J287" s="14" t="str">
        <x:v>Future Carry-Forward Cohort</x:v>
      </x:c>
      <x:c r="K287" s="14" t="n">
        <x:v>2022</x:v>
      </x:c>
      <x:c r="L287" s="14" t="str">
        <x:v>Not inherited</x:v>
      </x:c>
      <x:c r="M287" s="15" t="n">
        <x:v>22</x:v>
      </x:c>
      <x:c r="N287" s="14" t="str">
        <x:v>Chloe Harris</x:v>
      </x:c>
      <x:c r="O287" s="14" t="str">
        <x:v>nm4332060</x:v>
      </x:c>
      <x:c r="P287" s="14" t="str">
        <x:v>Tasha Walker</x:v>
      </x:c>
      <x:c r="Q287" s="15" t="n">
        <x:v>2</x:v>
      </x:c>
      <x:c r="R287" s="14" t="str">
        <x:v>2024</x:v>
      </x:c>
      <x:c r="S287" s="14" t="n">
        <x:v>2024</x:v>
      </x:c>
      <x:c r="T287" s="14" t="n">
        <x:v>2024</x:v>
      </x:c>
      <x:c r="U287" s="14" t="str">
        <x:v>Explicit source first year retained</x:v>
      </x:c>
      <x:c r="V287" s="14" t="str">
        <x:v>Earliest supplied year is 2024.</x:v>
      </x:c>
      <x:c r="W287" s="14"/>
      <x:c r="X287" s="14" t="str">
        <x:v>Carried forward to 2024</x:v>
      </x:c>
      <x:c r="Y287" s="14"/>
      <x:c r="Z287" s="14" t="str">
        <x:v>Ridley.docx</x:v>
      </x:c>
      <x:c r="AA28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ITV / ITVX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HYPERLINK("https://en.wikipedia.org/wiki/Ridley","Open source")</x:f>
        <x:v>HYPERLINK is not implemented. linkLocation=https://en.wikipedia.org/wiki/Ridley, friendlyName=Open source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2</x:v>
      </x:c>
      <x:c r="BS287" s="16" t="n">
        <x:v>0.16666666666666666</x:v>
      </x:c>
      <x:c r="BT287" s="14" t="str">
        <x:v>Minority of episodes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tt14772170|nm8466316|tara dunning</x:v>
      </x:c>
      <x:c r="B288" s="14" t="str">
        <x:v>04</x:v>
      </x:c>
      <x:c r="C288" s="14" t="str">
        <x:v>2022_IMDb_Cast_Lists_Batch_04(1).xlsx</x:v>
      </x:c>
      <x:c r="D288" s="14" t="str">
        <x:v>Ridley</x:v>
      </x:c>
      <x:c r="E288" s="14" t="n">
        <x:v>30</x:v>
      </x:c>
      <x:c r="F288" s="14" t="str">
        <x:v>Ridley</x:v>
      </x:c>
      <x:c r="G288" s="14" t="str">
        <x:v>tt14772170</x:v>
      </x:c>
      <x:c r="H288" s="14" t="n">
        <x:v>2022</x:v>
      </x:c>
      <x:c r="I288" s="14" t="n">
        <x:v>2023</x:v>
      </x:c>
      <x:c r="J288" s="14" t="str">
        <x:v>Future Carry-Forward Cohort</x:v>
      </x:c>
      <x:c r="K288" s="14" t="n">
        <x:v>2022</x:v>
      </x:c>
      <x:c r="L288" s="14" t="str">
        <x:v>Not inherited</x:v>
      </x:c>
      <x:c r="M288" s="15" t="n">
        <x:v>23</x:v>
      </x:c>
      <x:c r="N288" s="14" t="str">
        <x:v>Emily Stott</x:v>
      </x:c>
      <x:c r="O288" s="14" t="str">
        <x:v>nm8466316</x:v>
      </x:c>
      <x:c r="P288" s="14" t="str">
        <x:v>Tara Dunning</x:v>
      </x:c>
      <x:c r="Q288" s="15" t="n">
        <x:v>2</x:v>
      </x:c>
      <x:c r="R288" s="14" t="str">
        <x:v>2024</x:v>
      </x:c>
      <x:c r="S288" s="14" t="n">
        <x:v>2024</x:v>
      </x:c>
      <x:c r="T288" s="14" t="n">
        <x:v>2024</x:v>
      </x:c>
      <x:c r="U288" s="14" t="str">
        <x:v>Explicit source first year retained</x:v>
      </x:c>
      <x:c r="V288" s="14" t="str">
        <x:v>Earliest supplied year is 2024.</x:v>
      </x:c>
      <x:c r="W288" s="14"/>
      <x:c r="X288" s="14" t="str">
        <x:v>Carried forward to 2024</x:v>
      </x:c>
      <x:c r="Y288" s="14"/>
      <x:c r="Z288" s="14" t="str">
        <x:v>Ridley.docx</x:v>
      </x:c>
      <x:c r="AA28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ITV / ITVX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HYPERLINK("https://en.wikipedia.org/wiki/Ridley","Open source")</x:f>
        <x:v>HYPERLINK is not implemented. linkLocation=https://en.wikipedia.org/wiki/Ridley,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2</x:v>
      </x:c>
      <x:c r="BS288" s="16" t="n">
        <x:v>0.16666666666666666</x:v>
      </x:c>
      <x:c r="BT288" s="14" t="str">
        <x:v>Minority of episodes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tt14772170|nm6638468|lewis grant</x:v>
      </x:c>
      <x:c r="B289" s="14" t="str">
        <x:v>04</x:v>
      </x:c>
      <x:c r="C289" s="14" t="str">
        <x:v>2022_IMDb_Cast_Lists_Batch_04(1).xlsx</x:v>
      </x:c>
      <x:c r="D289" s="14" t="str">
        <x:v>Ridley</x:v>
      </x:c>
      <x:c r="E289" s="14" t="n">
        <x:v>31</x:v>
      </x:c>
      <x:c r="F289" s="14" t="str">
        <x:v>Ridley</x:v>
      </x:c>
      <x:c r="G289" s="14" t="str">
        <x:v>tt14772170</x:v>
      </x:c>
      <x:c r="H289" s="14" t="n">
        <x:v>2022</x:v>
      </x:c>
      <x:c r="I289" s="14" t="n">
        <x:v>2023</x:v>
      </x:c>
      <x:c r="J289" s="14" t="str">
        <x:v>Future Carry-Forward Cohort</x:v>
      </x:c>
      <x:c r="K289" s="14" t="n">
        <x:v>2022</x:v>
      </x:c>
      <x:c r="L289" s="14" t="str">
        <x:v>Not inherited</x:v>
      </x:c>
      <x:c r="M289" s="15" t="n">
        <x:v>24</x:v>
      </x:c>
      <x:c r="N289" s="14" t="str">
        <x:v>Danyal Ismail</x:v>
      </x:c>
      <x:c r="O289" s="14" t="str">
        <x:v>nm6638468</x:v>
      </x:c>
      <x:c r="P289" s="14" t="str">
        <x:v>Lewis Grant</x:v>
      </x:c>
      <x:c r="Q289" s="15" t="n">
        <x:v>2</x:v>
      </x:c>
      <x:c r="R289" s="14" t="str">
        <x:v>2024</x:v>
      </x:c>
      <x:c r="S289" s="14" t="n">
        <x:v>2024</x:v>
      </x:c>
      <x:c r="T289" s="14" t="n">
        <x:v>2024</x:v>
      </x:c>
      <x:c r="U289" s="14" t="str">
        <x:v>Explicit source first year retained</x:v>
      </x:c>
      <x:c r="V289" s="14" t="str">
        <x:v>Earliest supplied year is 2024.</x:v>
      </x:c>
      <x:c r="W289" s="14"/>
      <x:c r="X289" s="14" t="str">
        <x:v>Carried forward to 2024</x:v>
      </x:c>
      <x:c r="Y289" s="14"/>
      <x:c r="Z289" s="14" t="str">
        <x:v>Ridley.docx</x:v>
      </x:c>
      <x:c r="AA28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ITV / ITVX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HYPERLINK("https://en.wikipedia.org/wiki/Ridley","Open source")</x:f>
        <x:v>HYPERLINK is not implemented. linkLocation=https://en.wikipedia.org/wiki/Ridley,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2</x:v>
      </x:c>
      <x:c r="BS289" s="16" t="n">
        <x:v>0.16666666666666666</x:v>
      </x:c>
      <x:c r="BT289" s="14" t="str">
        <x:v>Minority of episodes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tt14772170|nm5435147|ava tunstall</x:v>
      </x:c>
      <x:c r="B290" s="14" t="str">
        <x:v>04</x:v>
      </x:c>
      <x:c r="C290" s="14" t="str">
        <x:v>2022_IMDb_Cast_Lists_Batch_04(1).xlsx</x:v>
      </x:c>
      <x:c r="D290" s="14" t="str">
        <x:v>Ridley</x:v>
      </x:c>
      <x:c r="E290" s="14" t="n">
        <x:v>32</x:v>
      </x:c>
      <x:c r="F290" s="14" t="str">
        <x:v>Ridley</x:v>
      </x:c>
      <x:c r="G290" s="14" t="str">
        <x:v>tt14772170</x:v>
      </x:c>
      <x:c r="H290" s="14" t="n">
        <x:v>2022</x:v>
      </x:c>
      <x:c r="I290" s="14" t="n">
        <x:v>2023</x:v>
      </x:c>
      <x:c r="J290" s="14" t="str">
        <x:v>Future Carry-Forward Cohort</x:v>
      </x:c>
      <x:c r="K290" s="14" t="n">
        <x:v>2022</x:v>
      </x:c>
      <x:c r="L290" s="14" t="str">
        <x:v>Not inherited</x:v>
      </x:c>
      <x:c r="M290" s="15" t="n">
        <x:v>25</x:v>
      </x:c>
      <x:c r="N290" s="14" t="str">
        <x:v>Lauren McQueen</x:v>
      </x:c>
      <x:c r="O290" s="14" t="str">
        <x:v>nm5435147</x:v>
      </x:c>
      <x:c r="P290" s="14" t="str">
        <x:v>Ava Tunstall</x:v>
      </x:c>
      <x:c r="Q290" s="15" t="n">
        <x:v>2</x:v>
      </x:c>
      <x:c r="R290" s="14" t="str">
        <x:v>2024</x:v>
      </x:c>
      <x:c r="S290" s="14" t="n">
        <x:v>2024</x:v>
      </x:c>
      <x:c r="T290" s="14" t="n">
        <x:v>2024</x:v>
      </x:c>
      <x:c r="U290" s="14" t="str">
        <x:v>Explicit source first year retained</x:v>
      </x:c>
      <x:c r="V290" s="14" t="str">
        <x:v>Earliest supplied year is 2024.</x:v>
      </x:c>
      <x:c r="W290" s="14"/>
      <x:c r="X290" s="14" t="str">
        <x:v>Carried forward to 2024</x:v>
      </x:c>
      <x:c r="Y290" s="14"/>
      <x:c r="Z290" s="14" t="str">
        <x:v>Ridley.docx</x:v>
      </x:c>
      <x:c r="AA29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ITV / ITVX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7" t="e">
        <x:f>HYPERLINK("https://en.wikipedia.org/wiki/Ridley","Open source")</x:f>
        <x:v>HYPERLINK is not implemented. linkLocation=https://en.wikipedia.org/wiki/Ridley,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2</x:v>
      </x:c>
      <x:c r="BS290" s="16" t="n">
        <x:v>0.16666666666666666</x:v>
      </x:c>
      <x:c r="BT290" s="14" t="str">
        <x:v>Minority of episodes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tt14772170|nm1994585|dr. vikram assi</x:v>
      </x:c>
      <x:c r="B291" s="14" t="str">
        <x:v>04</x:v>
      </x:c>
      <x:c r="C291" s="14" t="str">
        <x:v>2022_IMDb_Cast_Lists_Batch_04(1).xlsx</x:v>
      </x:c>
      <x:c r="D291" s="14" t="str">
        <x:v>Ridley</x:v>
      </x:c>
      <x:c r="E291" s="14" t="n">
        <x:v>33</x:v>
      </x:c>
      <x:c r="F291" s="14" t="str">
        <x:v>Ridley</x:v>
      </x:c>
      <x:c r="G291" s="14" t="str">
        <x:v>tt14772170</x:v>
      </x:c>
      <x:c r="H291" s="14" t="n">
        <x:v>2022</x:v>
      </x:c>
      <x:c r="I291" s="14" t="n">
        <x:v>2023</x:v>
      </x:c>
      <x:c r="J291" s="14" t="str">
        <x:v>Future Carry-Forward Cohort</x:v>
      </x:c>
      <x:c r="K291" s="14" t="n">
        <x:v>2022</x:v>
      </x:c>
      <x:c r="L291" s="14" t="str">
        <x:v>Not inherited</x:v>
      </x:c>
      <x:c r="M291" s="15" t="n">
        <x:v>26</x:v>
      </x:c>
      <x:c r="N291" s="14" t="str">
        <x:v>Ash Tandon</x:v>
      </x:c>
      <x:c r="O291" s="14" t="str">
        <x:v>nm1994585</x:v>
      </x:c>
      <x:c r="P291" s="14" t="str">
        <x:v>Dr. Vikram Assi</x:v>
      </x:c>
      <x:c r="Q291" s="15" t="n">
        <x:v>2</x:v>
      </x:c>
      <x:c r="R291" s="14" t="str">
        <x:v>2024</x:v>
      </x:c>
      <x:c r="S291" s="14" t="n">
        <x:v>2024</x:v>
      </x:c>
      <x:c r="T291" s="14" t="n">
        <x:v>2024</x:v>
      </x:c>
      <x:c r="U291" s="14" t="str">
        <x:v>Explicit source first year retained</x:v>
      </x:c>
      <x:c r="V291" s="14" t="str">
        <x:v>Earliest supplied year is 2024.</x:v>
      </x:c>
      <x:c r="W291" s="14"/>
      <x:c r="X291" s="14" t="str">
        <x:v>Carried forward to 2024</x:v>
      </x:c>
      <x:c r="Y291" s="14"/>
      <x:c r="Z291" s="14" t="str">
        <x:v>Ridley.docx</x:v>
      </x:c>
      <x:c r="AA29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ITV / ITVX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7" t="e">
        <x:f>HYPERLINK("https://en.wikipedia.org/wiki/Ridley","Open source")</x:f>
        <x:v>HYPERLINK is not implemented. linkLocation=https://en.wikipedia.org/wiki/Ridley,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2</x:v>
      </x:c>
      <x:c r="BS291" s="16" t="n">
        <x:v>0.16666666666666666</x:v>
      </x:c>
      <x:c r="BT291" s="14" t="str">
        <x:v>Minority of episodes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tt14772170|nm0253097|andy hadderly</x:v>
      </x:c>
      <x:c r="B292" s="14" t="str">
        <x:v>04</x:v>
      </x:c>
      <x:c r="C292" s="14" t="str">
        <x:v>2022_IMDb_Cast_Lists_Batch_04(1).xlsx</x:v>
      </x:c>
      <x:c r="D292" s="14" t="str">
        <x:v>Ridley</x:v>
      </x:c>
      <x:c r="E292" s="14" t="n">
        <x:v>34</x:v>
      </x:c>
      <x:c r="F292" s="14" t="str">
        <x:v>Ridley</x:v>
      </x:c>
      <x:c r="G292" s="14" t="str">
        <x:v>tt14772170</x:v>
      </x:c>
      <x:c r="H292" s="14" t="n">
        <x:v>2022</x:v>
      </x:c>
      <x:c r="I292" s="14" t="n">
        <x:v>2023</x:v>
      </x:c>
      <x:c r="J292" s="14" t="str">
        <x:v>Future Carry-Forward Cohort</x:v>
      </x:c>
      <x:c r="K292" s="14" t="n">
        <x:v>2022</x:v>
      </x:c>
      <x:c r="L292" s="14" t="str">
        <x:v>Not inherited</x:v>
      </x:c>
      <x:c r="M292" s="15" t="n">
        <x:v>27</x:v>
      </x:c>
      <x:c r="N292" s="14" t="str">
        <x:v>Steven Elder</x:v>
      </x:c>
      <x:c r="O292" s="14" t="str">
        <x:v>nm0253097</x:v>
      </x:c>
      <x:c r="P292" s="14" t="str">
        <x:v>Andy Hadderly</x:v>
      </x:c>
      <x:c r="Q292" s="15" t="n">
        <x:v>2</x:v>
      </x:c>
      <x:c r="R292" s="14" t="str">
        <x:v>2024</x:v>
      </x:c>
      <x:c r="S292" s="14" t="n">
        <x:v>2024</x:v>
      </x:c>
      <x:c r="T292" s="14" t="n">
        <x:v>2024</x:v>
      </x:c>
      <x:c r="U292" s="14" t="str">
        <x:v>Explicit source first year retained</x:v>
      </x:c>
      <x:c r="V292" s="14" t="str">
        <x:v>Earliest supplied year is 2024.</x:v>
      </x:c>
      <x:c r="W292" s="14"/>
      <x:c r="X292" s="14" t="str">
        <x:v>Carried forward to 2024</x:v>
      </x:c>
      <x:c r="Y292" s="14"/>
      <x:c r="Z292" s="14" t="str">
        <x:v>Ridley.docx</x:v>
      </x:c>
      <x:c r="AA29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ITV / ITVX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7" t="e">
        <x:f>HYPERLINK("https://en.wikipedia.org/wiki/Ridley","Open source")</x:f>
        <x:v>HYPERLINK is not implemented. linkLocation=https://en.wikipedia.org/wiki/Ridley,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2</x:v>
      </x:c>
      <x:c r="BS292" s="16" t="n">
        <x:v>0.16666666666666666</x:v>
      </x:c>
      <x:c r="BT292" s="14" t="str">
        <x:v>Minority of episodes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tt14772170|nm7966281|amelia mellor</x:v>
      </x:c>
      <x:c r="B293" s="14" t="str">
        <x:v>04</x:v>
      </x:c>
      <x:c r="C293" s="14" t="str">
        <x:v>2022_IMDb_Cast_Lists_Batch_04(1).xlsx</x:v>
      </x:c>
      <x:c r="D293" s="14" t="str">
        <x:v>Ridley</x:v>
      </x:c>
      <x:c r="E293" s="14" t="n">
        <x:v>35</x:v>
      </x:c>
      <x:c r="F293" s="14" t="str">
        <x:v>Ridley</x:v>
      </x:c>
      <x:c r="G293" s="14" t="str">
        <x:v>tt14772170</x:v>
      </x:c>
      <x:c r="H293" s="14" t="n">
        <x:v>2022</x:v>
      </x:c>
      <x:c r="I293" s="14" t="n">
        <x:v>2023</x:v>
      </x:c>
      <x:c r="J293" s="14" t="str">
        <x:v>Future Carry-Forward Cohort</x:v>
      </x:c>
      <x:c r="K293" s="14" t="n">
        <x:v>2022</x:v>
      </x:c>
      <x:c r="L293" s="14" t="str">
        <x:v>Not inherited</x:v>
      </x:c>
      <x:c r="M293" s="15" t="n">
        <x:v>28</x:v>
      </x:c>
      <x:c r="N293" s="14" t="str">
        <x:v>Ellise Chappell</x:v>
      </x:c>
      <x:c r="O293" s="14" t="str">
        <x:v>nm7966281</x:v>
      </x:c>
      <x:c r="P293" s="14" t="str">
        <x:v>Amelia Mellor</x:v>
      </x:c>
      <x:c r="Q293" s="15" t="n">
        <x:v>2</x:v>
      </x:c>
      <x:c r="R293" s="14" t="str">
        <x:v>2024</x:v>
      </x:c>
      <x:c r="S293" s="14" t="n">
        <x:v>2024</x:v>
      </x:c>
      <x:c r="T293" s="14" t="n">
        <x:v>2024</x:v>
      </x:c>
      <x:c r="U293" s="14" t="str">
        <x:v>Explicit source first year retained</x:v>
      </x:c>
      <x:c r="V293" s="14" t="str">
        <x:v>Earliest supplied year is 2024.</x:v>
      </x:c>
      <x:c r="W293" s="14"/>
      <x:c r="X293" s="14" t="str">
        <x:v>Carried forward to 2024</x:v>
      </x:c>
      <x:c r="Y293" s="14"/>
      <x:c r="Z293" s="14" t="str">
        <x:v>Ridley.docx</x:v>
      </x:c>
      <x:c r="AA29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ITV / ITVX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7" t="e">
        <x:f>HYPERLINK("https://en.wikipedia.org/wiki/Ridley","Open source")</x:f>
        <x:v>HYPERLINK is not implemented. linkLocation=https://en.wikipedia.org/wiki/Ridley,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2</x:v>
      </x:c>
      <x:c r="BS293" s="16" t="n">
        <x:v>0.16666666666666666</x:v>
      </x:c>
      <x:c r="BT293" s="14" t="str">
        <x:v>Minority of episodes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tt14772170|nm2824089|rob dunning</x:v>
      </x:c>
      <x:c r="B294" s="14" t="str">
        <x:v>04</x:v>
      </x:c>
      <x:c r="C294" s="14" t="str">
        <x:v>2022_IMDb_Cast_Lists_Batch_04(1).xlsx</x:v>
      </x:c>
      <x:c r="D294" s="14" t="str">
        <x:v>Ridley</x:v>
      </x:c>
      <x:c r="E294" s="14" t="n">
        <x:v>36</x:v>
      </x:c>
      <x:c r="F294" s="14" t="str">
        <x:v>Ridley</x:v>
      </x:c>
      <x:c r="G294" s="14" t="str">
        <x:v>tt14772170</x:v>
      </x:c>
      <x:c r="H294" s="14" t="n">
        <x:v>2022</x:v>
      </x:c>
      <x:c r="I294" s="14" t="n">
        <x:v>2023</x:v>
      </x:c>
      <x:c r="J294" s="14" t="str">
        <x:v>Future Carry-Forward Cohort</x:v>
      </x:c>
      <x:c r="K294" s="14" t="n">
        <x:v>2022</x:v>
      </x:c>
      <x:c r="L294" s="14" t="str">
        <x:v>Not inherited</x:v>
      </x:c>
      <x:c r="M294" s="15" t="n">
        <x:v>29</x:v>
      </x:c>
      <x:c r="N294" s="14" t="str">
        <x:v>Tachia Newall</x:v>
      </x:c>
      <x:c r="O294" s="14" t="str">
        <x:v>nm2824089</x:v>
      </x:c>
      <x:c r="P294" s="14" t="str">
        <x:v>Rob Dunning</x:v>
      </x:c>
      <x:c r="Q294" s="15" t="n">
        <x:v>2</x:v>
      </x:c>
      <x:c r="R294" s="14" t="str">
        <x:v>2024</x:v>
      </x:c>
      <x:c r="S294" s="14" t="n">
        <x:v>2024</x:v>
      </x:c>
      <x:c r="T294" s="14" t="n">
        <x:v>2024</x:v>
      </x:c>
      <x:c r="U294" s="14" t="str">
        <x:v>Explicit source first year retained</x:v>
      </x:c>
      <x:c r="V294" s="14" t="str">
        <x:v>Earliest supplied year is 2024.</x:v>
      </x:c>
      <x:c r="W294" s="14"/>
      <x:c r="X294" s="14" t="str">
        <x:v>Carried forward to 2024</x:v>
      </x:c>
      <x:c r="Y294" s="14"/>
      <x:c r="Z294" s="14" t="str">
        <x:v>Ridley.docx</x:v>
      </x:c>
      <x:c r="AA29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ITV / ITVX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7" t="e">
        <x:f>HYPERLINK("https://en.wikipedia.org/wiki/Ridley","Open source")</x:f>
        <x:v>HYPERLINK is not implemented. linkLocation=https://en.wikipedia.org/wiki/Ridley,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2</x:v>
      </x:c>
      <x:c r="BS294" s="16" t="n">
        <x:v>0.16666666666666666</x:v>
      </x:c>
      <x:c r="BT294" s="14" t="str">
        <x:v>Minority of episodes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tt14772170|nm2187587|david hadderly</x:v>
      </x:c>
      <x:c r="B295" s="14" t="str">
        <x:v>04</x:v>
      </x:c>
      <x:c r="C295" s="14" t="str">
        <x:v>2022_IMDb_Cast_Lists_Batch_04(1).xlsx</x:v>
      </x:c>
      <x:c r="D295" s="14" t="str">
        <x:v>Ridley</x:v>
      </x:c>
      <x:c r="E295" s="14" t="n">
        <x:v>37</x:v>
      </x:c>
      <x:c r="F295" s="14" t="str">
        <x:v>Ridley</x:v>
      </x:c>
      <x:c r="G295" s="14" t="str">
        <x:v>tt14772170</x:v>
      </x:c>
      <x:c r="H295" s="14" t="n">
        <x:v>2022</x:v>
      </x:c>
      <x:c r="I295" s="14" t="n">
        <x:v>2023</x:v>
      </x:c>
      <x:c r="J295" s="14" t="str">
        <x:v>Future Carry-Forward Cohort</x:v>
      </x:c>
      <x:c r="K295" s="14" t="n">
        <x:v>2022</x:v>
      </x:c>
      <x:c r="L295" s="14" t="str">
        <x:v>Not inherited</x:v>
      </x:c>
      <x:c r="M295" s="15" t="n">
        <x:v>30</x:v>
      </x:c>
      <x:c r="N295" s="14" t="str">
        <x:v>Ryan Gage</x:v>
      </x:c>
      <x:c r="O295" s="14" t="str">
        <x:v>nm2187587</x:v>
      </x:c>
      <x:c r="P295" s="14" t="str">
        <x:v>David Hadderly</x:v>
      </x:c>
      <x:c r="Q295" s="15" t="n">
        <x:v>2</x:v>
      </x:c>
      <x:c r="R295" s="14" t="str">
        <x:v>2024</x:v>
      </x:c>
      <x:c r="S295" s="14" t="n">
        <x:v>2024</x:v>
      </x:c>
      <x:c r="T295" s="14" t="n">
        <x:v>2024</x:v>
      </x:c>
      <x:c r="U295" s="14" t="str">
        <x:v>Explicit source first year retained</x:v>
      </x:c>
      <x:c r="V295" s="14" t="str">
        <x:v>Earliest supplied year is 2024.</x:v>
      </x:c>
      <x:c r="W295" s="14"/>
      <x:c r="X295" s="14" t="str">
        <x:v>Carried forward to 2024</x:v>
      </x:c>
      <x:c r="Y295" s="14"/>
      <x:c r="Z295" s="14" t="str">
        <x:v>Ridley.docx</x:v>
      </x:c>
      <x:c r="AA29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ITV / ITVX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7" t="e">
        <x:f>HYPERLINK("https://en.wikipedia.org/wiki/Ridley","Open source")</x:f>
        <x:v>HYPERLINK is not implemented. linkLocation=https://en.wikipedia.org/wiki/Ridley,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2</x:v>
      </x:c>
      <x:c r="BS295" s="16" t="n">
        <x:v>0.16666666666666666</x:v>
      </x:c>
      <x:c r="BT295" s="14" t="str">
        <x:v>Minority of episodes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tt14772170|nm7504364|liam manley</x:v>
      </x:c>
      <x:c r="B296" s="14" t="str">
        <x:v>04</x:v>
      </x:c>
      <x:c r="C296" s="14" t="str">
        <x:v>2022_IMDb_Cast_Lists_Batch_04(1).xlsx</x:v>
      </x:c>
      <x:c r="D296" s="14" t="str">
        <x:v>Ridley</x:v>
      </x:c>
      <x:c r="E296" s="14" t="n">
        <x:v>38</x:v>
      </x:c>
      <x:c r="F296" s="14" t="str">
        <x:v>Ridley</x:v>
      </x:c>
      <x:c r="G296" s="14" t="str">
        <x:v>tt14772170</x:v>
      </x:c>
      <x:c r="H296" s="14" t="n">
        <x:v>2022</x:v>
      </x:c>
      <x:c r="I296" s="14" t="n">
        <x:v>2023</x:v>
      </x:c>
      <x:c r="J296" s="14" t="str">
        <x:v>Future Carry-Forward Cohort</x:v>
      </x:c>
      <x:c r="K296" s="14" t="n">
        <x:v>2022</x:v>
      </x:c>
      <x:c r="L296" s="14" t="str">
        <x:v>Not inherited</x:v>
      </x:c>
      <x:c r="M296" s="15" t="n">
        <x:v>31</x:v>
      </x:c>
      <x:c r="N296" s="14" t="str">
        <x:v>Kerim Hassan</x:v>
      </x:c>
      <x:c r="O296" s="14" t="str">
        <x:v>nm7504364</x:v>
      </x:c>
      <x:c r="P296" s="14" t="str">
        <x:v>Liam Manley</x:v>
      </x:c>
      <x:c r="Q296" s="15" t="n">
        <x:v>2</x:v>
      </x:c>
      <x:c r="R296" s="14" t="str">
        <x:v>2024</x:v>
      </x:c>
      <x:c r="S296" s="14" t="n">
        <x:v>2024</x:v>
      </x:c>
      <x:c r="T296" s="14" t="n">
        <x:v>2024</x:v>
      </x:c>
      <x:c r="U296" s="14" t="str">
        <x:v>Explicit source first year retained</x:v>
      </x:c>
      <x:c r="V296" s="14" t="str">
        <x:v>Earliest supplied year is 2024.</x:v>
      </x:c>
      <x:c r="W296" s="14"/>
      <x:c r="X296" s="14" t="str">
        <x:v>Carried forward to 2024</x:v>
      </x:c>
      <x:c r="Y296" s="14"/>
      <x:c r="Z296" s="14" t="str">
        <x:v>Ridley.docx</x:v>
      </x:c>
      <x:c r="AA29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ITV / ITVX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7" t="e">
        <x:f>HYPERLINK("https://en.wikipedia.org/wiki/Ridley","Open source")</x:f>
        <x:v>HYPERLINK is not implemented. linkLocation=https://en.wikipedia.org/wiki/Ridley,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2</x:v>
      </x:c>
      <x:c r="BS296" s="16" t="n">
        <x:v>0.16666666666666666</x:v>
      </x:c>
      <x:c r="BT296" s="14" t="str">
        <x:v>Minority of episodes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tt14772170|nm5247776|matt brandon</x:v>
      </x:c>
      <x:c r="B297" s="14" t="str">
        <x:v>04</x:v>
      </x:c>
      <x:c r="C297" s="14" t="str">
        <x:v>2022_IMDb_Cast_Lists_Batch_04(1).xlsx</x:v>
      </x:c>
      <x:c r="D297" s="14" t="str">
        <x:v>Ridley</x:v>
      </x:c>
      <x:c r="E297" s="14" t="n">
        <x:v>39</x:v>
      </x:c>
      <x:c r="F297" s="14" t="str">
        <x:v>Ridley</x:v>
      </x:c>
      <x:c r="G297" s="14" t="str">
        <x:v>tt14772170</x:v>
      </x:c>
      <x:c r="H297" s="14" t="n">
        <x:v>2022</x:v>
      </x:c>
      <x:c r="I297" s="14" t="n">
        <x:v>2023</x:v>
      </x:c>
      <x:c r="J297" s="14" t="str">
        <x:v>Future Carry-Forward Cohort</x:v>
      </x:c>
      <x:c r="K297" s="14" t="n">
        <x:v>2022</x:v>
      </x:c>
      <x:c r="L297" s="14" t="str">
        <x:v>Not inherited</x:v>
      </x:c>
      <x:c r="M297" s="15" t="n">
        <x:v>32</x:v>
      </x:c>
      <x:c r="N297" s="14" t="str">
        <x:v>Alexander Cobb</x:v>
      </x:c>
      <x:c r="O297" s="14" t="str">
        <x:v>nm5247776</x:v>
      </x:c>
      <x:c r="P297" s="14" t="str">
        <x:v>Matt Brandon</x:v>
      </x:c>
      <x:c r="Q297" s="15" t="n">
        <x:v>2</x:v>
      </x:c>
      <x:c r="R297" s="14" t="str">
        <x:v>2024</x:v>
      </x:c>
      <x:c r="S297" s="14" t="n">
        <x:v>2024</x:v>
      </x:c>
      <x:c r="T297" s="14" t="n">
        <x:v>2024</x:v>
      </x:c>
      <x:c r="U297" s="14" t="str">
        <x:v>Explicit source first year retained</x:v>
      </x:c>
      <x:c r="V297" s="14" t="str">
        <x:v>Earliest supplied year is 2024.</x:v>
      </x:c>
      <x:c r="W297" s="14"/>
      <x:c r="X297" s="14" t="str">
        <x:v>Carried forward to 2024</x:v>
      </x:c>
      <x:c r="Y297" s="14"/>
      <x:c r="Z297" s="14" t="str">
        <x:v>Ridley.docx</x:v>
      </x:c>
      <x:c r="AA29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ITV / ITVX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7" t="e">
        <x:f>HYPERLINK("https://en.wikipedia.org/wiki/Ridley","Open source")</x:f>
        <x:v>HYPERLINK is not implemented. linkLocation=https://en.wikipedia.org/wiki/Ridley,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2</x:v>
      </x:c>
      <x:c r="BS297" s="16" t="n">
        <x:v>0.16666666666666666</x:v>
      </x:c>
      <x:c r="BT297" s="14" t="str">
        <x:v>Minority of episodes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tt14772170|nm7300124|jason dover</x:v>
      </x:c>
      <x:c r="B298" s="14" t="str">
        <x:v>04</x:v>
      </x:c>
      <x:c r="C298" s="14" t="str">
        <x:v>2022_IMDb_Cast_Lists_Batch_04(1).xlsx</x:v>
      </x:c>
      <x:c r="D298" s="14" t="str">
        <x:v>Ridley</x:v>
      </x:c>
      <x:c r="E298" s="14" t="n">
        <x:v>40</x:v>
      </x:c>
      <x:c r="F298" s="14" t="str">
        <x:v>Ridley</x:v>
      </x:c>
      <x:c r="G298" s="14" t="str">
        <x:v>tt14772170</x:v>
      </x:c>
      <x:c r="H298" s="14" t="n">
        <x:v>2022</x:v>
      </x:c>
      <x:c r="I298" s="14" t="n">
        <x:v>2023</x:v>
      </x:c>
      <x:c r="J298" s="14" t="str">
        <x:v>Future Carry-Forward Cohort</x:v>
      </x:c>
      <x:c r="K298" s="14" t="n">
        <x:v>2022</x:v>
      </x:c>
      <x:c r="L298" s="14" t="str">
        <x:v>Not inherited</x:v>
      </x:c>
      <x:c r="M298" s="15" t="n">
        <x:v>33</x:v>
      </x:c>
      <x:c r="N298" s="14" t="str">
        <x:v>Micky McGregor</x:v>
      </x:c>
      <x:c r="O298" s="14" t="str">
        <x:v>nm7300124</x:v>
      </x:c>
      <x:c r="P298" s="14" t="str">
        <x:v>Jason Dover</x:v>
      </x:c>
      <x:c r="Q298" s="15" t="n">
        <x:v>2</x:v>
      </x:c>
      <x:c r="R298" s="14" t="str">
        <x:v>2024</x:v>
      </x:c>
      <x:c r="S298" s="14" t="n">
        <x:v>2024</x:v>
      </x:c>
      <x:c r="T298" s="14" t="n">
        <x:v>2024</x:v>
      </x:c>
      <x:c r="U298" s="14" t="str">
        <x:v>Explicit source first year retained</x:v>
      </x:c>
      <x:c r="V298" s="14" t="str">
        <x:v>Earliest supplied year is 2024.</x:v>
      </x:c>
      <x:c r="W298" s="14"/>
      <x:c r="X298" s="14" t="str">
        <x:v>Carried forward to 2024</x:v>
      </x:c>
      <x:c r="Y298" s="14"/>
      <x:c r="Z298" s="14" t="str">
        <x:v>Ridley.docx</x:v>
      </x:c>
      <x:c r="AA29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ITV / ITVX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7" t="e">
        <x:f>HYPERLINK("https://en.wikipedia.org/wiki/Ridley","Open source")</x:f>
        <x:v>HYPERLINK is not implemented. linkLocation=https://en.wikipedia.org/wiki/Ridley,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2</x:v>
      </x:c>
      <x:c r="BS298" s="16" t="n">
        <x:v>0.16666666666666666</x:v>
      </x:c>
      <x:c r="BT298" s="14" t="str">
        <x:v>Minority of episodes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tt14772170|nm0378132|frank stanford</x:v>
      </x:c>
      <x:c r="B299" s="14" t="str">
        <x:v>04</x:v>
      </x:c>
      <x:c r="C299" s="14" t="str">
        <x:v>2022_IMDb_Cast_Lists_Batch_04(1).xlsx</x:v>
      </x:c>
      <x:c r="D299" s="14" t="str">
        <x:v>Ridley</x:v>
      </x:c>
      <x:c r="E299" s="14" t="n">
        <x:v>41</x:v>
      </x:c>
      <x:c r="F299" s="14" t="str">
        <x:v>Ridley</x:v>
      </x:c>
      <x:c r="G299" s="14" t="str">
        <x:v>tt14772170</x:v>
      </x:c>
      <x:c r="H299" s="14" t="n">
        <x:v>2022</x:v>
      </x:c>
      <x:c r="I299" s="14" t="n">
        <x:v>2023</x:v>
      </x:c>
      <x:c r="J299" s="14" t="str">
        <x:v>Future Carry-Forward Cohort</x:v>
      </x:c>
      <x:c r="K299" s="14" t="n">
        <x:v>2022</x:v>
      </x:c>
      <x:c r="L299" s="14" t="str">
        <x:v>Not inherited</x:v>
      </x:c>
      <x:c r="M299" s="15" t="n">
        <x:v>34</x:v>
      </x:c>
      <x:c r="N299" s="14" t="str">
        <x:v>John Henshaw</x:v>
      </x:c>
      <x:c r="O299" s="14" t="str">
        <x:v>nm0378132</x:v>
      </x:c>
      <x:c r="P299" s="14" t="str">
        <x:v>Frank Stanford</x:v>
      </x:c>
      <x:c r="Q299" s="15" t="n">
        <x:v>2</x:v>
      </x:c>
      <x:c r="R299" s="14" t="str">
        <x:v>2024</x:v>
      </x:c>
      <x:c r="S299" s="14" t="n">
        <x:v>2024</x:v>
      </x:c>
      <x:c r="T299" s="14" t="n">
        <x:v>2024</x:v>
      </x:c>
      <x:c r="U299" s="14" t="str">
        <x:v>Explicit source first year retained</x:v>
      </x:c>
      <x:c r="V299" s="14" t="str">
        <x:v>Earliest supplied year is 2024.</x:v>
      </x:c>
      <x:c r="W299" s="14"/>
      <x:c r="X299" s="14" t="str">
        <x:v>Carried forward to 2024</x:v>
      </x:c>
      <x:c r="Y299" s="14"/>
      <x:c r="Z299" s="14" t="str">
        <x:v>Ridley.docx</x:v>
      </x:c>
      <x:c r="AA29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ITV / ITVX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7" t="e">
        <x:f>HYPERLINK("https://en.wikipedia.org/wiki/Ridley","Open source")</x:f>
        <x:v>HYPERLINK is not implemented. linkLocation=https://en.wikipedia.org/wiki/Ridley,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2</x:v>
      </x:c>
      <x:c r="BS299" s="16" t="n">
        <x:v>0.16666666666666666</x:v>
      </x:c>
      <x:c r="BT299" s="14" t="str">
        <x:v>Minority of episodes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tt14772170|nm0377807|lynne hadderly</x:v>
      </x:c>
      <x:c r="B300" s="14" t="str">
        <x:v>04</x:v>
      </x:c>
      <x:c r="C300" s="14" t="str">
        <x:v>2022_IMDb_Cast_Lists_Batch_04(1).xlsx</x:v>
      </x:c>
      <x:c r="D300" s="14" t="str">
        <x:v>Ridley</x:v>
      </x:c>
      <x:c r="E300" s="14" t="n">
        <x:v>42</x:v>
      </x:c>
      <x:c r="F300" s="14" t="str">
        <x:v>Ridley</x:v>
      </x:c>
      <x:c r="G300" s="14" t="str">
        <x:v>tt14772170</x:v>
      </x:c>
      <x:c r="H300" s="14" t="n">
        <x:v>2022</x:v>
      </x:c>
      <x:c r="I300" s="14" t="n">
        <x:v>2023</x:v>
      </x:c>
      <x:c r="J300" s="14" t="str">
        <x:v>Future Carry-Forward Cohort</x:v>
      </x:c>
      <x:c r="K300" s="14" t="n">
        <x:v>2022</x:v>
      </x:c>
      <x:c r="L300" s="14" t="str">
        <x:v>Not inherited</x:v>
      </x:c>
      <x:c r="M300" s="15" t="n">
        <x:v>35</x:v>
      </x:c>
      <x:c r="N300" s="14" t="str">
        <x:v>Diveen Henry</x:v>
      </x:c>
      <x:c r="O300" s="14" t="str">
        <x:v>nm0377807</x:v>
      </x:c>
      <x:c r="P300" s="14" t="str">
        <x:v>Lynne Hadderly</x:v>
      </x:c>
      <x:c r="Q300" s="15" t="n">
        <x:v>2</x:v>
      </x:c>
      <x:c r="R300" s="14" t="str">
        <x:v>2024</x:v>
      </x:c>
      <x:c r="S300" s="14" t="n">
        <x:v>2024</x:v>
      </x:c>
      <x:c r="T300" s="14" t="n">
        <x:v>2024</x:v>
      </x:c>
      <x:c r="U300" s="14" t="str">
        <x:v>Explicit source first year retained</x:v>
      </x:c>
      <x:c r="V300" s="14" t="str">
        <x:v>Earliest supplied year is 2024.</x:v>
      </x:c>
      <x:c r="W300" s="14"/>
      <x:c r="X300" s="14" t="str">
        <x:v>Carried forward to 2024</x:v>
      </x:c>
      <x:c r="Y300" s="14"/>
      <x:c r="Z300" s="14" t="str">
        <x:v>Ridley.docx</x:v>
      </x:c>
      <x:c r="AA30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ITV / ITVX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7" t="e">
        <x:f>HYPERLINK("https://en.wikipedia.org/wiki/Ridley","Open source")</x:f>
        <x:v>HYPERLINK is not implemented. linkLocation=https://en.wikipedia.org/wiki/Ridley,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12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2</x:v>
      </x:c>
      <x:c r="BS300" s="16" t="n">
        <x:v>0.16666666666666666</x:v>
      </x:c>
      <x:c r="BT300" s="14" t="str">
        <x:v>Minority of episodes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tt14772170|nm2100228|janet clinton</x:v>
      </x:c>
      <x:c r="B301" s="14" t="str">
        <x:v>04</x:v>
      </x:c>
      <x:c r="C301" s="14" t="str">
        <x:v>2022_IMDb_Cast_Lists_Batch_04(1).xlsx</x:v>
      </x:c>
      <x:c r="D301" s="14" t="str">
        <x:v>Ridley</x:v>
      </x:c>
      <x:c r="E301" s="14" t="n">
        <x:v>43</x:v>
      </x:c>
      <x:c r="F301" s="14" t="str">
        <x:v>Ridley</x:v>
      </x:c>
      <x:c r="G301" s="14" t="str">
        <x:v>tt14772170</x:v>
      </x:c>
      <x:c r="H301" s="14" t="n">
        <x:v>2022</x:v>
      </x:c>
      <x:c r="I301" s="14" t="n">
        <x:v>2023</x:v>
      </x:c>
      <x:c r="J301" s="14" t="str">
        <x:v>Future Carry-Forward Cohort</x:v>
      </x:c>
      <x:c r="K301" s="14" t="n">
        <x:v>2022</x:v>
      </x:c>
      <x:c r="L301" s="14" t="str">
        <x:v>Not inherited</x:v>
      </x:c>
      <x:c r="M301" s="15" t="n">
        <x:v>36</x:v>
      </x:c>
      <x:c r="N301" s="14" t="str">
        <x:v>Emma Bispham</x:v>
      </x:c>
      <x:c r="O301" s="14" t="str">
        <x:v>nm2100228</x:v>
      </x:c>
      <x:c r="P301" s="14" t="str">
        <x:v>Janet Clinton</x:v>
      </x:c>
      <x:c r="Q301" s="15" t="n">
        <x:v>2</x:v>
      </x:c>
      <x:c r="R301" s="14" t="str">
        <x:v>2024</x:v>
      </x:c>
      <x:c r="S301" s="14" t="n">
        <x:v>2024</x:v>
      </x:c>
      <x:c r="T301" s="14" t="n">
        <x:v>2024</x:v>
      </x:c>
      <x:c r="U301" s="14" t="str">
        <x:v>Explicit source first year retained</x:v>
      </x:c>
      <x:c r="V301" s="14" t="str">
        <x:v>Earliest supplied year is 2024.</x:v>
      </x:c>
      <x:c r="W301" s="14"/>
      <x:c r="X301" s="14" t="str">
        <x:v>Carried forward to 2024</x:v>
      </x:c>
      <x:c r="Y301" s="14"/>
      <x:c r="Z301" s="14" t="str">
        <x:v>Ridley.docx</x:v>
      </x:c>
      <x:c r="AA30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ITV / ITVX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7" t="e">
        <x:f>HYPERLINK("https://en.wikipedia.org/wiki/Ridley","Open source")</x:f>
        <x:v>HYPERLINK is not implemented. linkLocation=https://en.wikipedia.org/wiki/Ridley,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12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2</x:v>
      </x:c>
      <x:c r="BS301" s="16" t="n">
        <x:v>0.16666666666666666</x:v>
      </x:c>
      <x:c r="BT301" s="14" t="str">
        <x:v>Minority of episodes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tt14772170|nm0054304|terry sansom</x:v>
      </x:c>
      <x:c r="B302" s="14" t="str">
        <x:v>04</x:v>
      </x:c>
      <x:c r="C302" s="14" t="str">
        <x:v>2022_IMDb_Cast_Lists_Batch_04(1).xlsx</x:v>
      </x:c>
      <x:c r="D302" s="14" t="str">
        <x:v>Ridley</x:v>
      </x:c>
      <x:c r="E302" s="14" t="n">
        <x:v>44</x:v>
      </x:c>
      <x:c r="F302" s="14" t="str">
        <x:v>Ridley</x:v>
      </x:c>
      <x:c r="G302" s="14" t="str">
        <x:v>tt14772170</x:v>
      </x:c>
      <x:c r="H302" s="14" t="n">
        <x:v>2022</x:v>
      </x:c>
      <x:c r="I302" s="14" t="n">
        <x:v>2023</x:v>
      </x:c>
      <x:c r="J302" s="14" t="str">
        <x:v>Future Carry-Forward Cohort</x:v>
      </x:c>
      <x:c r="K302" s="14" t="n">
        <x:v>2022</x:v>
      </x:c>
      <x:c r="L302" s="14" t="str">
        <x:v>Not inherited</x:v>
      </x:c>
      <x:c r="M302" s="15" t="n">
        <x:v>37</x:v>
      </x:c>
      <x:c r="N302" s="14" t="str">
        <x:v>Matt Bardock</x:v>
      </x:c>
      <x:c r="O302" s="14" t="str">
        <x:v>nm0054304</x:v>
      </x:c>
      <x:c r="P302" s="14" t="str">
        <x:v>Terry Sansom</x:v>
      </x:c>
      <x:c r="Q302" s="15" t="n">
        <x:v>2</x:v>
      </x:c>
      <x:c r="R302" s="14" t="str">
        <x:v>2024</x:v>
      </x:c>
      <x:c r="S302" s="14" t="n">
        <x:v>2024</x:v>
      </x:c>
      <x:c r="T302" s="14" t="n">
        <x:v>2024</x:v>
      </x:c>
      <x:c r="U302" s="14" t="str">
        <x:v>Explicit source first year retained</x:v>
      </x:c>
      <x:c r="V302" s="14" t="str">
        <x:v>Earliest supplied year is 2024.</x:v>
      </x:c>
      <x:c r="W302" s="14"/>
      <x:c r="X302" s="14" t="str">
        <x:v>Carried forward to 2024</x:v>
      </x:c>
      <x:c r="Y302" s="14"/>
      <x:c r="Z302" s="14" t="str">
        <x:v>Ridley.docx</x:v>
      </x:c>
      <x:c r="AA30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ITV / ITVX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7" t="e">
        <x:f>HYPERLINK("https://en.wikipedia.org/wiki/Ridley","Open source")</x:f>
        <x:v>HYPERLINK is not implemented. linkLocation=https://en.wikipedia.org/wiki/Ridley,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2</x:v>
      </x:c>
      <x:c r="BS302" s="16" t="n">
        <x:v>0.16666666666666666</x:v>
      </x:c>
      <x:c r="BT302" s="14" t="str">
        <x:v>Minority of episodes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tt14772170|nm11286596|sam hadderly</x:v>
      </x:c>
      <x:c r="B303" s="14" t="str">
        <x:v>04</x:v>
      </x:c>
      <x:c r="C303" s="14" t="str">
        <x:v>2022_IMDb_Cast_Lists_Batch_04(1).xlsx</x:v>
      </x:c>
      <x:c r="D303" s="14" t="str">
        <x:v>Ridley</x:v>
      </x:c>
      <x:c r="E303" s="14" t="n">
        <x:v>45</x:v>
      </x:c>
      <x:c r="F303" s="14" t="str">
        <x:v>Ridley</x:v>
      </x:c>
      <x:c r="G303" s="14" t="str">
        <x:v>tt14772170</x:v>
      </x:c>
      <x:c r="H303" s="14" t="n">
        <x:v>2022</x:v>
      </x:c>
      <x:c r="I303" s="14" t="n">
        <x:v>2023</x:v>
      </x:c>
      <x:c r="J303" s="14" t="str">
        <x:v>Future Carry-Forward Cohort</x:v>
      </x:c>
      <x:c r="K303" s="14" t="n">
        <x:v>2022</x:v>
      </x:c>
      <x:c r="L303" s="14" t="str">
        <x:v>Not inherited</x:v>
      </x:c>
      <x:c r="M303" s="15" t="n">
        <x:v>38</x:v>
      </x:c>
      <x:c r="N303" s="14" t="str">
        <x:v>Eleanor Kirby</x:v>
      </x:c>
      <x:c r="O303" s="14" t="str">
        <x:v>nm11286596</x:v>
      </x:c>
      <x:c r="P303" s="14" t="str">
        <x:v>Sam Hadderly</x:v>
      </x:c>
      <x:c r="Q303" s="15" t="n">
        <x:v>2</x:v>
      </x:c>
      <x:c r="R303" s="14" t="str">
        <x:v>2024</x:v>
      </x:c>
      <x:c r="S303" s="14" t="n">
        <x:v>2024</x:v>
      </x:c>
      <x:c r="T303" s="14" t="n">
        <x:v>2024</x:v>
      </x:c>
      <x:c r="U303" s="14" t="str">
        <x:v>Explicit source first year retained</x:v>
      </x:c>
      <x:c r="V303" s="14" t="str">
        <x:v>Earliest supplied year is 2024.</x:v>
      </x:c>
      <x:c r="W303" s="14"/>
      <x:c r="X303" s="14" t="str">
        <x:v>Carried forward to 2024</x:v>
      </x:c>
      <x:c r="Y303" s="14"/>
      <x:c r="Z303" s="14" t="str">
        <x:v>Ridley.docx</x:v>
      </x:c>
      <x:c r="AA30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ITV / ITVX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7" t="e">
        <x:f>HYPERLINK("https://en.wikipedia.org/wiki/Ridley","Open source")</x:f>
        <x:v>HYPERLINK is not implemented. linkLocation=https://en.wikipedia.org/wiki/Ridley,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No established-register match</x:v>
      </x:c>
      <x:c r="AT303" s="14"/>
      <x:c r="AU303" s="14"/>
      <x:c r="AV303" s="14" t="str">
        <x:v>No established apparent-disability match</x:v>
      </x:c>
      <x:c r="AW303" s="14"/>
      <x:c r="AX303" s="14" t="str">
        <x:v>No</x:v>
      </x:c>
      <x:c r="AY303" s="14" t="str">
        <x:v>Unmatched</x:v>
      </x:c>
      <x:c r="AZ303" s="14" t="str">
        <x:v>Final supplied register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2</x:v>
      </x:c>
      <x:c r="BS303" s="16" t="n">
        <x:v>0.16666666666666666</x:v>
      </x:c>
      <x:c r="BT303" s="14" t="str">
        <x:v>Minority of episodes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tt14772170|nm4119128|rebecca bayling</x:v>
      </x:c>
      <x:c r="B304" s="14" t="str">
        <x:v>04</x:v>
      </x:c>
      <x:c r="C304" s="14" t="str">
        <x:v>2022_IMDb_Cast_Lists_Batch_04(1).xlsx</x:v>
      </x:c>
      <x:c r="D304" s="14" t="str">
        <x:v>Ridley</x:v>
      </x:c>
      <x:c r="E304" s="14" t="n">
        <x:v>46</x:v>
      </x:c>
      <x:c r="F304" s="14" t="str">
        <x:v>Ridley</x:v>
      </x:c>
      <x:c r="G304" s="14" t="str">
        <x:v>tt14772170</x:v>
      </x:c>
      <x:c r="H304" s="14" t="n">
        <x:v>2022</x:v>
      </x:c>
      <x:c r="I304" s="14" t="n">
        <x:v>2023</x:v>
      </x:c>
      <x:c r="J304" s="14" t="str">
        <x:v>Future Carry-Forward Cohort</x:v>
      </x:c>
      <x:c r="K304" s="14" t="n">
        <x:v>2022</x:v>
      </x:c>
      <x:c r="L304" s="14" t="str">
        <x:v>Not inherited</x:v>
      </x:c>
      <x:c r="M304" s="15" t="n">
        <x:v>39</x:v>
      </x:c>
      <x:c r="N304" s="14" t="str">
        <x:v>Krissi Bohn</x:v>
      </x:c>
      <x:c r="O304" s="14" t="str">
        <x:v>nm4119128</x:v>
      </x:c>
      <x:c r="P304" s="14" t="str">
        <x:v>Rebecca Bayling</x:v>
      </x:c>
      <x:c r="Q304" s="15" t="n">
        <x:v>2</x:v>
      </x:c>
      <x:c r="R304" s="14" t="str">
        <x:v>2024</x:v>
      </x:c>
      <x:c r="S304" s="14" t="n">
        <x:v>2024</x:v>
      </x:c>
      <x:c r="T304" s="14" t="n">
        <x:v>2024</x:v>
      </x:c>
      <x:c r="U304" s="14" t="str">
        <x:v>Explicit source first year retained</x:v>
      </x:c>
      <x:c r="V304" s="14" t="str">
        <x:v>Earliest supplied year is 2024.</x:v>
      </x:c>
      <x:c r="W304" s="14"/>
      <x:c r="X304" s="14" t="str">
        <x:v>Carried forward to 2024</x:v>
      </x:c>
      <x:c r="Y304" s="14"/>
      <x:c r="Z304" s="14" t="str">
        <x:v>Ridley.docx</x:v>
      </x:c>
      <x:c r="AA30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ITV / ITVX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7" t="e">
        <x:f>HYPERLINK("https://en.wikipedia.org/wiki/Ridley","Open source")</x:f>
        <x:v>HYPERLINK is not implemented. linkLocation=https://en.wikipedia.org/wiki/Ridley,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2</x:v>
      </x:c>
      <x:c r="BS304" s="16" t="n">
        <x:v>0.16666666666666666</x:v>
      </x:c>
      <x:c r="BT304" s="14" t="str">
        <x:v>Minority of episodes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tt14772170|nm13486657|oliver grant</x:v>
      </x:c>
      <x:c r="B305" s="14" t="str">
        <x:v>04</x:v>
      </x:c>
      <x:c r="C305" s="14" t="str">
        <x:v>2022_IMDb_Cast_Lists_Batch_04(1).xlsx</x:v>
      </x:c>
      <x:c r="D305" s="14" t="str">
        <x:v>Ridley</x:v>
      </x:c>
      <x:c r="E305" s="14" t="n">
        <x:v>47</x:v>
      </x:c>
      <x:c r="F305" s="14" t="str">
        <x:v>Ridley</x:v>
      </x:c>
      <x:c r="G305" s="14" t="str">
        <x:v>tt14772170</x:v>
      </x:c>
      <x:c r="H305" s="14" t="n">
        <x:v>2022</x:v>
      </x:c>
      <x:c r="I305" s="14" t="n">
        <x:v>2023</x:v>
      </x:c>
      <x:c r="J305" s="14" t="str">
        <x:v>Future Carry-Forward Cohort</x:v>
      </x:c>
      <x:c r="K305" s="14" t="n">
        <x:v>2022</x:v>
      </x:c>
      <x:c r="L305" s="14" t="str">
        <x:v>Not inherited</x:v>
      </x:c>
      <x:c r="M305" s="15" t="n">
        <x:v>40</x:v>
      </x:c>
      <x:c r="N305" s="14" t="str">
        <x:v>Rishi Rian</x:v>
      </x:c>
      <x:c r="O305" s="14" t="str">
        <x:v>nm13486657</x:v>
      </x:c>
      <x:c r="P305" s="14" t="str">
        <x:v>Oliver Grant</x:v>
      </x:c>
      <x:c r="Q305" s="15" t="n">
        <x:v>2</x:v>
      </x:c>
      <x:c r="R305" s="14" t="str">
        <x:v>2024</x:v>
      </x:c>
      <x:c r="S305" s="14" t="n">
        <x:v>2024</x:v>
      </x:c>
      <x:c r="T305" s="14" t="n">
        <x:v>2024</x:v>
      </x:c>
      <x:c r="U305" s="14" t="str">
        <x:v>Explicit source first year retained</x:v>
      </x:c>
      <x:c r="V305" s="14" t="str">
        <x:v>Earliest supplied year is 2024.</x:v>
      </x:c>
      <x:c r="W305" s="14"/>
      <x:c r="X305" s="14" t="str">
        <x:v>Carried forward to 2024</x:v>
      </x:c>
      <x:c r="Y305" s="14"/>
      <x:c r="Z305" s="14" t="str">
        <x:v>Ridley.docx</x:v>
      </x:c>
      <x:c r="AA30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ITV / ITVX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7" t="e">
        <x:f>HYPERLINK("https://en.wikipedia.org/wiki/Ridley","Open source")</x:f>
        <x:v>HYPERLINK is not implemented. linkLocation=https://en.wikipedia.org/wiki/Ridley,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2</x:v>
      </x:c>
      <x:c r="BS305" s="16" t="n">
        <x:v>0.16666666666666666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tt14772170|nm0258194|joy walker</x:v>
      </x:c>
      <x:c r="B306" s="14" t="str">
        <x:v>04</x:v>
      </x:c>
      <x:c r="C306" s="14" t="str">
        <x:v>2022_IMDb_Cast_Lists_Batch_04(1).xlsx</x:v>
      </x:c>
      <x:c r="D306" s="14" t="str">
        <x:v>Ridley</x:v>
      </x:c>
      <x:c r="E306" s="14" t="n">
        <x:v>48</x:v>
      </x:c>
      <x:c r="F306" s="14" t="str">
        <x:v>Ridley</x:v>
      </x:c>
      <x:c r="G306" s="14" t="str">
        <x:v>tt14772170</x:v>
      </x:c>
      <x:c r="H306" s="14" t="n">
        <x:v>2022</x:v>
      </x:c>
      <x:c r="I306" s="14" t="n">
        <x:v>2023</x:v>
      </x:c>
      <x:c r="J306" s="14" t="str">
        <x:v>Future Carry-Forward Cohort</x:v>
      </x:c>
      <x:c r="K306" s="14" t="n">
        <x:v>2022</x:v>
      </x:c>
      <x:c r="L306" s="14" t="str">
        <x:v>Not inherited</x:v>
      </x:c>
      <x:c r="M306" s="15" t="n">
        <x:v>41</x:v>
      </x:c>
      <x:c r="N306" s="14" t="str">
        <x:v>Christine Entwisle</x:v>
      </x:c>
      <x:c r="O306" s="14" t="str">
        <x:v>nm0258194</x:v>
      </x:c>
      <x:c r="P306" s="14" t="str">
        <x:v>Joy Walker</x:v>
      </x:c>
      <x:c r="Q306" s="15" t="n">
        <x:v>2</x:v>
      </x:c>
      <x:c r="R306" s="14" t="str">
        <x:v>2024</x:v>
      </x:c>
      <x:c r="S306" s="14" t="n">
        <x:v>2024</x:v>
      </x:c>
      <x:c r="T306" s="14" t="n">
        <x:v>2024</x:v>
      </x:c>
      <x:c r="U306" s="14" t="str">
        <x:v>Explicit source first year retained</x:v>
      </x:c>
      <x:c r="V306" s="14" t="str">
        <x:v>Earliest supplied year is 2024.</x:v>
      </x:c>
      <x:c r="W306" s="14"/>
      <x:c r="X306" s="14" t="str">
        <x:v>Carried forward to 2024</x:v>
      </x:c>
      <x:c r="Y306" s="14"/>
      <x:c r="Z306" s="14" t="str">
        <x:v>Ridley.docx</x:v>
      </x:c>
      <x:c r="AA30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ITV / ITVX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7" t="e">
        <x:f>HYPERLINK("https://en.wikipedia.org/wiki/Ridley","Open source")</x:f>
        <x:v>HYPERLINK is not implemented. linkLocation=https://en.wikipedia.org/wiki/Ridley,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2</x:v>
      </x:c>
      <x:c r="BS306" s="16" t="n">
        <x:v>0.16666666666666666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tt14772170|nm1007162|simon penrose</x:v>
      </x:c>
      <x:c r="B307" s="14" t="str">
        <x:v>04</x:v>
      </x:c>
      <x:c r="C307" s="14" t="str">
        <x:v>2022_IMDb_Cast_Lists_Batch_04(1).xlsx</x:v>
      </x:c>
      <x:c r="D307" s="14" t="str">
        <x:v>Ridley</x:v>
      </x:c>
      <x:c r="E307" s="14" t="n">
        <x:v>49</x:v>
      </x:c>
      <x:c r="F307" s="14" t="str">
        <x:v>Ridley</x:v>
      </x:c>
      <x:c r="G307" s="14" t="str">
        <x:v>tt14772170</x:v>
      </x:c>
      <x:c r="H307" s="14" t="n">
        <x:v>2022</x:v>
      </x:c>
      <x:c r="I307" s="14" t="n">
        <x:v>2023</x:v>
      </x:c>
      <x:c r="J307" s="14" t="str">
        <x:v>Future Carry-Forward Cohort</x:v>
      </x:c>
      <x:c r="K307" s="14" t="n">
        <x:v>2022</x:v>
      </x:c>
      <x:c r="L307" s="14" t="str">
        <x:v>Not inherited</x:v>
      </x:c>
      <x:c r="M307" s="15" t="n">
        <x:v>42</x:v>
      </x:c>
      <x:c r="N307" s="14" t="str">
        <x:v>Toby Hadoke</x:v>
      </x:c>
      <x:c r="O307" s="14" t="str">
        <x:v>nm1007162</x:v>
      </x:c>
      <x:c r="P307" s="14" t="str">
        <x:v>Simon Penrose</x:v>
      </x:c>
      <x:c r="Q307" s="15" t="n">
        <x:v>2</x:v>
      </x:c>
      <x:c r="R307" s="14" t="str">
        <x:v>2024</x:v>
      </x:c>
      <x:c r="S307" s="14" t="n">
        <x:v>2024</x:v>
      </x:c>
      <x:c r="T307" s="14" t="n">
        <x:v>2024</x:v>
      </x:c>
      <x:c r="U307" s="14" t="str">
        <x:v>Explicit source first year retained</x:v>
      </x:c>
      <x:c r="V307" s="14" t="str">
        <x:v>Earliest supplied year is 2024.</x:v>
      </x:c>
      <x:c r="W307" s="14"/>
      <x:c r="X307" s="14" t="str">
        <x:v>Carried forward to 2024</x:v>
      </x:c>
      <x:c r="Y307" s="14"/>
      <x:c r="Z307" s="14" t="str">
        <x:v>Ridley.docx</x:v>
      </x:c>
      <x:c r="AA30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ITV / ITVX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7" t="e">
        <x:f>HYPERLINK("https://en.wikipedia.org/wiki/Ridley","Open source")</x:f>
        <x:v>HYPERLINK is not implemented. linkLocation=https://en.wikipedia.org/wiki/Ridley,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2</x:v>
      </x:c>
      <x:c r="BS307" s="16" t="n">
        <x:v>0.16666666666666666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tt14772170|nm5683002|ryan stanford</x:v>
      </x:c>
      <x:c r="B308" s="14" t="str">
        <x:v>04</x:v>
      </x:c>
      <x:c r="C308" s="14" t="str">
        <x:v>2022_IMDb_Cast_Lists_Batch_04(1).xlsx</x:v>
      </x:c>
      <x:c r="D308" s="14" t="str">
        <x:v>Ridley</x:v>
      </x:c>
      <x:c r="E308" s="14" t="n">
        <x:v>50</x:v>
      </x:c>
      <x:c r="F308" s="14" t="str">
        <x:v>Ridley</x:v>
      </x:c>
      <x:c r="G308" s="14" t="str">
        <x:v>tt14772170</x:v>
      </x:c>
      <x:c r="H308" s="14" t="n">
        <x:v>2022</x:v>
      </x:c>
      <x:c r="I308" s="14" t="n">
        <x:v>2023</x:v>
      </x:c>
      <x:c r="J308" s="14" t="str">
        <x:v>Future Carry-Forward Cohort</x:v>
      </x:c>
      <x:c r="K308" s="14" t="n">
        <x:v>2022</x:v>
      </x:c>
      <x:c r="L308" s="14" t="str">
        <x:v>Not inherited</x:v>
      </x:c>
      <x:c r="M308" s="15" t="n">
        <x:v>43</x:v>
      </x:c>
      <x:c r="N308" s="14" t="str">
        <x:v>Ruaridh Mollica</x:v>
      </x:c>
      <x:c r="O308" s="14" t="str">
        <x:v>nm5683002</x:v>
      </x:c>
      <x:c r="P308" s="14" t="str">
        <x:v>Ryan Stanford</x:v>
      </x:c>
      <x:c r="Q308" s="15" t="n">
        <x:v>2</x:v>
      </x:c>
      <x:c r="R308" s="14" t="str">
        <x:v>2024</x:v>
      </x:c>
      <x:c r="S308" s="14" t="n">
        <x:v>2024</x:v>
      </x:c>
      <x:c r="T308" s="14" t="n">
        <x:v>2024</x:v>
      </x:c>
      <x:c r="U308" s="14" t="str">
        <x:v>Explicit source first year retained</x:v>
      </x:c>
      <x:c r="V308" s="14" t="str">
        <x:v>Earliest supplied year is 2024.</x:v>
      </x:c>
      <x:c r="W308" s="14"/>
      <x:c r="X308" s="14" t="str">
        <x:v>Carried forward to 2024</x:v>
      </x:c>
      <x:c r="Y308" s="14"/>
      <x:c r="Z308" s="14" t="str">
        <x:v>Ridley.docx</x:v>
      </x:c>
      <x:c r="AA30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ITV / ITVX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7" t="e">
        <x:f>HYPERLINK("https://en.wikipedia.org/wiki/Ridley","Open source")</x:f>
        <x:v>HYPERLINK is not implemented. linkLocation=https://en.wikipedia.org/wiki/Ridley,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2</x:v>
      </x:c>
      <x:c r="BS308" s="16" t="n">
        <x:v>0.16666666666666666</x:v>
      </x:c>
      <x:c r="BT308" s="14" t="str">
        <x:v>Minority of episodes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tt14772170|nm1440540|house band</x:v>
      </x:c>
      <x:c r="B309" s="14" t="str">
        <x:v>04</x:v>
      </x:c>
      <x:c r="C309" s="14" t="str">
        <x:v>2022_IMDb_Cast_Lists_Batch_04(1).xlsx</x:v>
      </x:c>
      <x:c r="D309" s="14" t="str">
        <x:v>Ridley</x:v>
      </x:c>
      <x:c r="E309" s="14" t="n">
        <x:v>51</x:v>
      </x:c>
      <x:c r="F309" s="14" t="str">
        <x:v>Ridley</x:v>
      </x:c>
      <x:c r="G309" s="14" t="str">
        <x:v>tt14772170</x:v>
      </x:c>
      <x:c r="H309" s="14" t="n">
        <x:v>2022</x:v>
      </x:c>
      <x:c r="I309" s="14" t="n">
        <x:v>2023</x:v>
      </x:c>
      <x:c r="J309" s="14" t="str">
        <x:v>Future Carry-Forward Cohort</x:v>
      </x:c>
      <x:c r="K309" s="14" t="n">
        <x:v>2022</x:v>
      </x:c>
      <x:c r="L309" s="14" t="str">
        <x:v>Not inherited</x:v>
      </x:c>
      <x:c r="M309" s="15" t="n">
        <x:v>44</x:v>
      </x:c>
      <x:c r="N309" s="14" t="str">
        <x:v>Ben Foster</x:v>
      </x:c>
      <x:c r="O309" s="14" t="str">
        <x:v>nm1440540</x:v>
      </x:c>
      <x:c r="P309" s="14" t="str">
        <x:v>House Band</x:v>
      </x:c>
      <x:c r="Q309" s="15" t="n">
        <x:v>2</x:v>
      </x:c>
      <x:c r="R309" s="14" t="str">
        <x:v>2024</x:v>
      </x:c>
      <x:c r="S309" s="14" t="n">
        <x:v>2024</x:v>
      </x:c>
      <x:c r="T309" s="14" t="n">
        <x:v>2024</x:v>
      </x:c>
      <x:c r="U309" s="14" t="str">
        <x:v>Explicit source first year retained</x:v>
      </x:c>
      <x:c r="V309" s="14" t="str">
        <x:v>Earliest supplied year is 2024.</x:v>
      </x:c>
      <x:c r="W309" s="14"/>
      <x:c r="X309" s="14" t="str">
        <x:v>Carried forward to 2024</x:v>
      </x:c>
      <x:c r="Y309" s="14"/>
      <x:c r="Z309" s="14" t="str">
        <x:v>Ridley.docx</x:v>
      </x:c>
      <x:c r="AA30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ITV / ITVX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7" t="e">
        <x:f>HYPERLINK("https://en.wikipedia.org/wiki/Ridley","Open source")</x:f>
        <x:v>HYPERLINK is not implemented. linkLocation=https://en.wikipedia.org/wiki/Ridley,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2</x:v>
      </x:c>
      <x:c r="BS309" s="16" t="n">
        <x:v>0.16666666666666666</x:v>
      </x:c>
      <x:c r="BT309" s="14" t="str">
        <x:v>Minority of episodes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tt14772170|nm0236413|ross enderby</x:v>
      </x:c>
      <x:c r="B310" s="14" t="str">
        <x:v>04</x:v>
      </x:c>
      <x:c r="C310" s="14" t="str">
        <x:v>2022_IMDb_Cast_Lists_Batch_04(1).xlsx</x:v>
      </x:c>
      <x:c r="D310" s="14" t="str">
        <x:v>Ridley</x:v>
      </x:c>
      <x:c r="E310" s="14" t="n">
        <x:v>52</x:v>
      </x:c>
      <x:c r="F310" s="14" t="str">
        <x:v>Ridley</x:v>
      </x:c>
      <x:c r="G310" s="14" t="str">
        <x:v>tt14772170</x:v>
      </x:c>
      <x:c r="H310" s="14" t="n">
        <x:v>2022</x:v>
      </x:c>
      <x:c r="I310" s="14" t="n">
        <x:v>2023</x:v>
      </x:c>
      <x:c r="J310" s="14" t="str">
        <x:v>Future Carry-Forward Cohort</x:v>
      </x:c>
      <x:c r="K310" s="14" t="n">
        <x:v>2022</x:v>
      </x:c>
      <x:c r="L310" s="14" t="str">
        <x:v>Not inherited</x:v>
      </x:c>
      <x:c r="M310" s="15" t="n">
        <x:v>45</x:v>
      </x:c>
      <x:c r="N310" s="14" t="str">
        <x:v>Kevin Doyle</x:v>
      </x:c>
      <x:c r="O310" s="14" t="str">
        <x:v>nm0236413</x:v>
      </x:c>
      <x:c r="P310" s="14" t="str">
        <x:v>Ross Enderby</x:v>
      </x:c>
      <x:c r="Q310" s="15" t="n">
        <x:v>2</x:v>
      </x:c>
      <x:c r="R310" s="14" t="str">
        <x:v>2024</x:v>
      </x:c>
      <x:c r="S310" s="14" t="n">
        <x:v>2024</x:v>
      </x:c>
      <x:c r="T310" s="14" t="n">
        <x:v>2024</x:v>
      </x:c>
      <x:c r="U310" s="14" t="str">
        <x:v>Explicit source first year retained</x:v>
      </x:c>
      <x:c r="V310" s="14" t="str">
        <x:v>Earliest supplied year is 2024.</x:v>
      </x:c>
      <x:c r="W310" s="14"/>
      <x:c r="X310" s="14" t="str">
        <x:v>Carried forward to 2024</x:v>
      </x:c>
      <x:c r="Y310" s="14"/>
      <x:c r="Z310" s="14" t="str">
        <x:v>Ridley.docx</x:v>
      </x:c>
      <x:c r="AA31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ITV / ITVX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7" t="e">
        <x:f>HYPERLINK("https://en.wikipedia.org/wiki/Ridley","Open source")</x:f>
        <x:v>HYPERLINK is not implemented. linkLocation=https://en.wikipedia.org/wiki/Ridley,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2</x:v>
      </x:c>
      <x:c r="BS310" s="16" t="n">
        <x:v>0.16666666666666666</x:v>
      </x:c>
      <x:c r="BT310" s="14" t="str">
        <x:v>Minority of episodes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tt14772170|nm3208606|house band</x:v>
      </x:c>
      <x:c r="B311" s="14" t="str">
        <x:v>04</x:v>
      </x:c>
      <x:c r="C311" s="14" t="str">
        <x:v>2022_IMDb_Cast_Lists_Batch_04(1).xlsx</x:v>
      </x:c>
      <x:c r="D311" s="14" t="str">
        <x:v>Ridley</x:v>
      </x:c>
      <x:c r="E311" s="14" t="n">
        <x:v>53</x:v>
      </x:c>
      <x:c r="F311" s="14" t="str">
        <x:v>Ridley</x:v>
      </x:c>
      <x:c r="G311" s="14" t="str">
        <x:v>tt14772170</x:v>
      </x:c>
      <x:c r="H311" s="14" t="n">
        <x:v>2022</x:v>
      </x:c>
      <x:c r="I311" s="14" t="n">
        <x:v>2023</x:v>
      </x:c>
      <x:c r="J311" s="14" t="str">
        <x:v>Future Carry-Forward Cohort</x:v>
      </x:c>
      <x:c r="K311" s="14" t="n">
        <x:v>2022</x:v>
      </x:c>
      <x:c r="L311" s="14" t="str">
        <x:v>Not inherited</x:v>
      </x:c>
      <x:c r="M311" s="15" t="n">
        <x:v>46</x:v>
      </x:c>
      <x:c r="N311" s="14" t="str">
        <x:v>Debbie Kurup</x:v>
      </x:c>
      <x:c r="O311" s="14" t="str">
        <x:v>nm3208606</x:v>
      </x:c>
      <x:c r="P311" s="14" t="str">
        <x:v>House Band</x:v>
      </x:c>
      <x:c r="Q311" s="15" t="n">
        <x:v>2</x:v>
      </x:c>
      <x:c r="R311" s="14" t="str">
        <x:v>2024</x:v>
      </x:c>
      <x:c r="S311" s="14" t="n">
        <x:v>2024</x:v>
      </x:c>
      <x:c r="T311" s="14" t="n">
        <x:v>2024</x:v>
      </x:c>
      <x:c r="U311" s="14" t="str">
        <x:v>Explicit source first year retained</x:v>
      </x:c>
      <x:c r="V311" s="14" t="str">
        <x:v>Earliest supplied year is 2024.</x:v>
      </x:c>
      <x:c r="W311" s="14"/>
      <x:c r="X311" s="14" t="str">
        <x:v>Carried forward to 2024</x:v>
      </x:c>
      <x:c r="Y311" s="14"/>
      <x:c r="Z311" s="14" t="str">
        <x:v>Ridley.docx</x:v>
      </x:c>
      <x:c r="AA31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ITV / ITVX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7" t="e">
        <x:f>HYPERLINK("https://en.wikipedia.org/wiki/Ridley","Open source")</x:f>
        <x:v>HYPERLINK is not implemented. linkLocation=https://en.wikipedia.org/wiki/Ridley,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2</x:v>
      </x:c>
      <x:c r="BS311" s="16" t="n">
        <x:v>0.16666666666666666</x:v>
      </x:c>
      <x:c r="BT311" s="14" t="str">
        <x:v>Minority of episodes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tt14772170|nm12992479|janey rutter</x:v>
      </x:c>
      <x:c r="B312" s="14" t="str">
        <x:v>04</x:v>
      </x:c>
      <x:c r="C312" s="14" t="str">
        <x:v>2022_IMDb_Cast_Lists_Batch_04(1).xlsx</x:v>
      </x:c>
      <x:c r="D312" s="14" t="str">
        <x:v>Ridley</x:v>
      </x:c>
      <x:c r="E312" s="14" t="n">
        <x:v>54</x:v>
      </x:c>
      <x:c r="F312" s="14" t="str">
        <x:v>Ridley</x:v>
      </x:c>
      <x:c r="G312" s="14" t="str">
        <x:v>tt14772170</x:v>
      </x:c>
      <x:c r="H312" s="14" t="n">
        <x:v>2022</x:v>
      </x:c>
      <x:c r="I312" s="14" t="n">
        <x:v>2023</x:v>
      </x:c>
      <x:c r="J312" s="14" t="str">
        <x:v>Future Carry-Forward Cohort</x:v>
      </x:c>
      <x:c r="K312" s="14" t="n">
        <x:v>2022</x:v>
      </x:c>
      <x:c r="L312" s="14" t="str">
        <x:v>Not inherited</x:v>
      </x:c>
      <x:c r="M312" s="15" t="n">
        <x:v>47</x:v>
      </x:c>
      <x:c r="N312" s="14" t="str">
        <x:v>Jessica Whitehurst</x:v>
      </x:c>
      <x:c r="O312" s="14" t="str">
        <x:v>nm12992479</x:v>
      </x:c>
      <x:c r="P312" s="14" t="str">
        <x:v>Janey Rutter</x:v>
      </x:c>
      <x:c r="Q312" s="15" t="n">
        <x:v>2</x:v>
      </x:c>
      <x:c r="R312" s="14" t="str">
        <x:v>2024</x:v>
      </x:c>
      <x:c r="S312" s="14" t="n">
        <x:v>2024</x:v>
      </x:c>
      <x:c r="T312" s="14" t="n">
        <x:v>2024</x:v>
      </x:c>
      <x:c r="U312" s="14" t="str">
        <x:v>Explicit source first year retained</x:v>
      </x:c>
      <x:c r="V312" s="14" t="str">
        <x:v>Earliest supplied year is 2024.</x:v>
      </x:c>
      <x:c r="W312" s="14"/>
      <x:c r="X312" s="14" t="str">
        <x:v>Carried forward to 2024</x:v>
      </x:c>
      <x:c r="Y312" s="14"/>
      <x:c r="Z312" s="14" t="str">
        <x:v>Ridley.docx</x:v>
      </x:c>
      <x:c r="AA31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ITV / ITVX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7" t="e">
        <x:f>HYPERLINK("https://en.wikipedia.org/wiki/Ridley","Open source")</x:f>
        <x:v>HYPERLINK is not implemented. linkLocation=https://en.wikipedia.org/wiki/Ridley,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2</x:v>
      </x:c>
      <x:c r="BS312" s="16" t="n">
        <x:v>0.16666666666666666</x:v>
      </x:c>
      <x:c r="BT312" s="14" t="str">
        <x:v>Minority of episodes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tt14772170|nm4530683|charlie</x:v>
      </x:c>
      <x:c r="B313" s="14" t="str">
        <x:v>04</x:v>
      </x:c>
      <x:c r="C313" s="14" t="str">
        <x:v>2022_IMDb_Cast_Lists_Batch_04(1).xlsx</x:v>
      </x:c>
      <x:c r="D313" s="14" t="str">
        <x:v>Ridley</x:v>
      </x:c>
      <x:c r="E313" s="14" t="n">
        <x:v>56</x:v>
      </x:c>
      <x:c r="F313" s="14" t="str">
        <x:v>Ridley</x:v>
      </x:c>
      <x:c r="G313" s="14" t="str">
        <x:v>tt14772170</x:v>
      </x:c>
      <x:c r="H313" s="14" t="n">
        <x:v>2022</x:v>
      </x:c>
      <x:c r="I313" s="14" t="n">
        <x:v>2023</x:v>
      </x:c>
      <x:c r="J313" s="14" t="str">
        <x:v>Future Carry-Forward Cohort</x:v>
      </x:c>
      <x:c r="K313" s="14" t="n">
        <x:v>2022</x:v>
      </x:c>
      <x:c r="L313" s="14" t="str">
        <x:v>Not inherited</x:v>
      </x:c>
      <x:c r="M313" s="15" t="n">
        <x:v>49</x:v>
      </x:c>
      <x:c r="N313" s="14" t="str">
        <x:v>Oliver Wellington</x:v>
      </x:c>
      <x:c r="O313" s="14" t="str">
        <x:v>nm4530683</x:v>
      </x:c>
      <x:c r="P313" s="14" t="str">
        <x:v>Charlie</x:v>
      </x:c>
      <x:c r="Q313" s="15" t="n">
        <x:v>2</x:v>
      </x:c>
      <x:c r="R313" s="14" t="str">
        <x:v>2024</x:v>
      </x:c>
      <x:c r="S313" s="14" t="n">
        <x:v>2024</x:v>
      </x:c>
      <x:c r="T313" s="14" t="n">
        <x:v>2024</x:v>
      </x:c>
      <x:c r="U313" s="14" t="str">
        <x:v>Explicit source first year retained</x:v>
      </x:c>
      <x:c r="V313" s="14" t="str">
        <x:v>Earliest supplied year is 2024.</x:v>
      </x:c>
      <x:c r="W313" s="14"/>
      <x:c r="X313" s="14" t="str">
        <x:v>Carried forward to 2024</x:v>
      </x:c>
      <x:c r="Y313" s="14"/>
      <x:c r="Z313" s="14" t="str">
        <x:v>Ridley.docx</x:v>
      </x:c>
      <x:c r="AA31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ITV / ITVX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7" t="e">
        <x:f>HYPERLINK("https://en.wikipedia.org/wiki/Ridley","Open source")</x:f>
        <x:v>HYPERLINK is not implemented. linkLocation=https://en.wikipedia.org/wiki/Ridley,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2</x:v>
      </x:c>
      <x:c r="BS313" s="16" t="n">
        <x:v>0.16666666666666666</x:v>
      </x:c>
      <x:c r="BT313" s="14" t="str">
        <x:v>Minority of episodes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tt14772170|nm16240362|molly dixon</x:v>
      </x:c>
      <x:c r="B314" s="14" t="str">
        <x:v>04</x:v>
      </x:c>
      <x:c r="C314" s="14" t="str">
        <x:v>2022_IMDb_Cast_Lists_Batch_04(1).xlsx</x:v>
      </x:c>
      <x:c r="D314" s="14" t="str">
        <x:v>Ridley</x:v>
      </x:c>
      <x:c r="E314" s="14" t="n">
        <x:v>57</x:v>
      </x:c>
      <x:c r="F314" s="14" t="str">
        <x:v>Ridley</x:v>
      </x:c>
      <x:c r="G314" s="14" t="str">
        <x:v>tt14772170</x:v>
      </x:c>
      <x:c r="H314" s="14" t="n">
        <x:v>2022</x:v>
      </x:c>
      <x:c r="I314" s="14" t="n">
        <x:v>2023</x:v>
      </x:c>
      <x:c r="J314" s="14" t="str">
        <x:v>Future Carry-Forward Cohort</x:v>
      </x:c>
      <x:c r="K314" s="14" t="n">
        <x:v>2022</x:v>
      </x:c>
      <x:c r="L314" s="14" t="str">
        <x:v>Not inherited</x:v>
      </x:c>
      <x:c r="M314" s="15" t="n">
        <x:v>50</x:v>
      </x:c>
      <x:c r="N314" s="14" t="str">
        <x:v>Megan Trower</x:v>
      </x:c>
      <x:c r="O314" s="14" t="str">
        <x:v>nm16240362</x:v>
      </x:c>
      <x:c r="P314" s="14" t="str">
        <x:v>Molly Dixon</x:v>
      </x:c>
      <x:c r="Q314" s="15" t="n">
        <x:v>2</x:v>
      </x:c>
      <x:c r="R314" s="14" t="str">
        <x:v>2024</x:v>
      </x:c>
      <x:c r="S314" s="14" t="n">
        <x:v>2024</x:v>
      </x:c>
      <x:c r="T314" s="14" t="n">
        <x:v>2024</x:v>
      </x:c>
      <x:c r="U314" s="14" t="str">
        <x:v>Explicit source first year retained</x:v>
      </x:c>
      <x:c r="V314" s="14" t="str">
        <x:v>Earliest supplied year is 2024.</x:v>
      </x:c>
      <x:c r="W314" s="14"/>
      <x:c r="X314" s="14" t="str">
        <x:v>Carried forward to 2024</x:v>
      </x:c>
      <x:c r="Y314" s="14"/>
      <x:c r="Z314" s="14" t="str">
        <x:v>Ridley.docx</x:v>
      </x:c>
      <x:c r="AA31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ITV / ITVX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7" t="e">
        <x:f>HYPERLINK("https://en.wikipedia.org/wiki/Ridley","Open source")</x:f>
        <x:v>HYPERLINK is not implemented. linkLocation=https://en.wikipedia.org/wiki/Ridley,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2</x:v>
      </x:c>
      <x:c r="BS314" s="16" t="n">
        <x:v>0.16666666666666666</x:v>
      </x:c>
      <x:c r="BT314" s="14" t="str">
        <x:v>Minority of episodes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tt14772170|nm14321417|jazz club punter</x:v>
      </x:c>
      <x:c r="B315" s="14" t="str">
        <x:v>04</x:v>
      </x:c>
      <x:c r="C315" s="14" t="str">
        <x:v>2022_IMDb_Cast_Lists_Batch_04(1).xlsx</x:v>
      </x:c>
      <x:c r="D315" s="14" t="str">
        <x:v>Ridley</x:v>
      </x:c>
      <x:c r="E315" s="14" t="n">
        <x:v>58</x:v>
      </x:c>
      <x:c r="F315" s="14" t="str">
        <x:v>Ridley</x:v>
      </x:c>
      <x:c r="G315" s="14" t="str">
        <x:v>tt14772170</x:v>
      </x:c>
      <x:c r="H315" s="14" t="n">
        <x:v>2022</x:v>
      </x:c>
      <x:c r="I315" s="14" t="n">
        <x:v>2023</x:v>
      </x:c>
      <x:c r="J315" s="14" t="str">
        <x:v>Future Carry-Forward Cohort</x:v>
      </x:c>
      <x:c r="K315" s="14" t="n">
        <x:v>2022</x:v>
      </x:c>
      <x:c r="L315" s="14" t="str">
        <x:v>Not inherited</x:v>
      </x:c>
      <x:c r="M315" s="15" t="n">
        <x:v>51</x:v>
      </x:c>
      <x:c r="N315" s="14" t="str">
        <x:v>Ravi Multani</x:v>
      </x:c>
      <x:c r="O315" s="14" t="str">
        <x:v>nm14321417</x:v>
      </x:c>
      <x:c r="P315" s="14" t="str">
        <x:v>Jazz Club Punter</x:v>
      </x:c>
      <x:c r="Q315" s="15" t="n">
        <x:v>2</x:v>
      </x:c>
      <x:c r="R315" s="14" t="str">
        <x:v>2024</x:v>
      </x:c>
      <x:c r="S315" s="14" t="n">
        <x:v>2024</x:v>
      </x:c>
      <x:c r="T315" s="14" t="n">
        <x:v>2024</x:v>
      </x:c>
      <x:c r="U315" s="14" t="str">
        <x:v>Explicit source first year retained</x:v>
      </x:c>
      <x:c r="V315" s="14" t="str">
        <x:v>Earliest supplied year is 2024.</x:v>
      </x:c>
      <x:c r="W315" s="14"/>
      <x:c r="X315" s="14" t="str">
        <x:v>Carried forward to 2024</x:v>
      </x:c>
      <x:c r="Y315" s="14"/>
      <x:c r="Z315" s="14" t="str">
        <x:v>Ridley.docx</x:v>
      </x:c>
      <x:c r="AA31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ITV / ITVX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7" t="e">
        <x:f>HYPERLINK("https://en.wikipedia.org/wiki/Ridley","Open source")</x:f>
        <x:v>HYPERLINK is not implemented. linkLocation=https://en.wikipedia.org/wiki/Ridley,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2</x:v>
      </x:c>
      <x:c r="BS315" s="16" t="n">
        <x:v>0.16666666666666666</x:v>
      </x:c>
      <x:c r="BT315" s="14" t="str">
        <x:v>Minority of episodes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tt14772170|nm6928973|sarah dunning</x:v>
      </x:c>
      <x:c r="B316" s="14" t="str">
        <x:v>04</x:v>
      </x:c>
      <x:c r="C316" s="14" t="str">
        <x:v>2022_IMDb_Cast_Lists_Batch_04(1).xlsx</x:v>
      </x:c>
      <x:c r="D316" s="14" t="str">
        <x:v>Ridley</x:v>
      </x:c>
      <x:c r="E316" s="14" t="n">
        <x:v>72</x:v>
      </x:c>
      <x:c r="F316" s="14" t="str">
        <x:v>Ridley</x:v>
      </x:c>
      <x:c r="G316" s="14" t="str">
        <x:v>tt14772170</x:v>
      </x:c>
      <x:c r="H316" s="14" t="n">
        <x:v>2022</x:v>
      </x:c>
      <x:c r="I316" s="14" t="n">
        <x:v>2023</x:v>
      </x:c>
      <x:c r="J316" s="14" t="str">
        <x:v>Future Carry-Forward Cohort</x:v>
      </x:c>
      <x:c r="K316" s="14" t="n">
        <x:v>2022</x:v>
      </x:c>
      <x:c r="L316" s="14" t="str">
        <x:v>Not inherited</x:v>
      </x:c>
      <x:c r="M316" s="15" t="n">
        <x:v>65</x:v>
      </x:c>
      <x:c r="N316" s="14" t="str">
        <x:v>Sabina Arthur</x:v>
      </x:c>
      <x:c r="O316" s="14" t="str">
        <x:v>nm6928973</x:v>
      </x:c>
      <x:c r="P316" s="14" t="str">
        <x:v>Sarah Dunning</x:v>
      </x:c>
      <x:c r="Q316" s="15" t="n">
        <x:v>1</x:v>
      </x:c>
      <x:c r="R316" s="14" t="str">
        <x:v>2024</x:v>
      </x:c>
      <x:c r="S316" s="14" t="n">
        <x:v>2024</x:v>
      </x:c>
      <x:c r="T316" s="14" t="n">
        <x:v>2024</x:v>
      </x:c>
      <x:c r="U316" s="14" t="str">
        <x:v>Explicit source first year retained</x:v>
      </x:c>
      <x:c r="V316" s="14" t="str">
        <x:v>Earliest supplied year is 2024.</x:v>
      </x:c>
      <x:c r="W316" s="14"/>
      <x:c r="X316" s="14" t="str">
        <x:v>Carried forward to 2024</x:v>
      </x:c>
      <x:c r="Y316" s="14"/>
      <x:c r="Z316" s="14" t="str">
        <x:v>Ridley.docx</x:v>
      </x:c>
      <x:c r="AA31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ITV / ITVX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7" t="e">
        <x:f>HYPERLINK("https://en.wikipedia.org/wiki/Ridley","Open source")</x:f>
        <x:v>HYPERLINK is not implemented. linkLocation=https://en.wikipedia.org/wiki/Ridley,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1</x:v>
      </x:c>
      <x:c r="BS316" s="16" t="n">
        <x:v>0.08333333333333333</x:v>
      </x:c>
      <x:c r="BT316" s="14" t="str">
        <x:v>One episode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tt14772170|nm2334634|simon beamish</x:v>
      </x:c>
      <x:c r="B317" s="14" t="str">
        <x:v>04</x:v>
      </x:c>
      <x:c r="C317" s="14" t="str">
        <x:v>2022_IMDb_Cast_Lists_Batch_04(1).xlsx</x:v>
      </x:c>
      <x:c r="D317" s="14" t="str">
        <x:v>Ridley</x:v>
      </x:c>
      <x:c r="E317" s="14" t="n">
        <x:v>86</x:v>
      </x:c>
      <x:c r="F317" s="14" t="str">
        <x:v>Ridley</x:v>
      </x:c>
      <x:c r="G317" s="14" t="str">
        <x:v>tt14772170</x:v>
      </x:c>
      <x:c r="H317" s="14" t="n">
        <x:v>2022</x:v>
      </x:c>
      <x:c r="I317" s="14" t="n">
        <x:v>2023</x:v>
      </x:c>
      <x:c r="J317" s="14" t="str">
        <x:v>Future Carry-Forward Cohort</x:v>
      </x:c>
      <x:c r="K317" s="14" t="n">
        <x:v>2022</x:v>
      </x:c>
      <x:c r="L317" s="14" t="str">
        <x:v>Not inherited</x:v>
      </x:c>
      <x:c r="M317" s="15" t="n">
        <x:v>79</x:v>
      </x:c>
      <x:c r="N317" s="14" t="str">
        <x:v>Steve Cooper</x:v>
      </x:c>
      <x:c r="O317" s="14" t="str">
        <x:v>nm2334634</x:v>
      </x:c>
      <x:c r="P317" s="14" t="str">
        <x:v>Simon Beamish</x:v>
      </x:c>
      <x:c r="Q317" s="15" t="n">
        <x:v>1</x:v>
      </x:c>
      <x:c r="R317" s="14" t="str">
        <x:v>2024</x:v>
      </x:c>
      <x:c r="S317" s="14" t="n">
        <x:v>2024</x:v>
      </x:c>
      <x:c r="T317" s="14" t="n">
        <x:v>2024</x:v>
      </x:c>
      <x:c r="U317" s="14" t="str">
        <x:v>Explicit source first year retained</x:v>
      </x:c>
      <x:c r="V317" s="14" t="str">
        <x:v>Earliest supplied year is 2024.</x:v>
      </x:c>
      <x:c r="W317" s="14"/>
      <x:c r="X317" s="14" t="str">
        <x:v>Carried forward to 2024</x:v>
      </x:c>
      <x:c r="Y317" s="14"/>
      <x:c r="Z317" s="14" t="str">
        <x:v>Ridley.docx</x:v>
      </x:c>
      <x:c r="AA31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ITV / ITVX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7" t="e">
        <x:f>HYPERLINK("https://en.wikipedia.org/wiki/Ridley","Open source")</x:f>
        <x:v>HYPERLINK is not implemented. linkLocation=https://en.wikipedia.org/wiki/Ridley,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1</x:v>
      </x:c>
      <x:c r="BS317" s="16" t="n">
        <x:v>0.08333333333333333</x:v>
      </x:c>
      <x:c r="BT317" s="14" t="str">
        <x:v>One episode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tt14772170|nm2559114|mary jane bulmore</x:v>
      </x:c>
      <x:c r="B318" s="14" t="str">
        <x:v>04</x:v>
      </x:c>
      <x:c r="C318" s="14" t="str">
        <x:v>2022_IMDb_Cast_Lists_Batch_04(1).xlsx</x:v>
      </x:c>
      <x:c r="D318" s="14" t="str">
        <x:v>Ridley</x:v>
      </x:c>
      <x:c r="E318" s="14" t="n">
        <x:v>90</x:v>
      </x:c>
      <x:c r="F318" s="14" t="str">
        <x:v>Ridley</x:v>
      </x:c>
      <x:c r="G318" s="14" t="str">
        <x:v>tt14772170</x:v>
      </x:c>
      <x:c r="H318" s="14" t="n">
        <x:v>2022</x:v>
      </x:c>
      <x:c r="I318" s="14" t="n">
        <x:v>2023</x:v>
      </x:c>
      <x:c r="J318" s="14" t="str">
        <x:v>Future Carry-Forward Cohort</x:v>
      </x:c>
      <x:c r="K318" s="14" t="n">
        <x:v>2022</x:v>
      </x:c>
      <x:c r="L318" s="14" t="str">
        <x:v>Not inherited</x:v>
      </x:c>
      <x:c r="M318" s="15" t="n">
        <x:v>83</x:v>
      </x:c>
      <x:c r="N318" s="14" t="str">
        <x:v>Jill Myers</x:v>
      </x:c>
      <x:c r="O318" s="14" t="str">
        <x:v>nm2559114</x:v>
      </x:c>
      <x:c r="P318" s="14" t="str">
        <x:v>Mary Jane Bulmore</x:v>
      </x:c>
      <x:c r="Q318" s="15" t="n">
        <x:v>1</x:v>
      </x:c>
      <x:c r="R318" s="14" t="str">
        <x:v>2024</x:v>
      </x:c>
      <x:c r="S318" s="14" t="n">
        <x:v>2024</x:v>
      </x:c>
      <x:c r="T318" s="14" t="n">
        <x:v>2024</x:v>
      </x:c>
      <x:c r="U318" s="14" t="str">
        <x:v>Explicit source first year retained</x:v>
      </x:c>
      <x:c r="V318" s="14" t="str">
        <x:v>Earliest supplied year is 2024.</x:v>
      </x:c>
      <x:c r="W318" s="14"/>
      <x:c r="X318" s="14" t="str">
        <x:v>Carried forward to 2024</x:v>
      </x:c>
      <x:c r="Y318" s="14"/>
      <x:c r="Z318" s="14" t="str">
        <x:v>Ridley.docx</x:v>
      </x:c>
      <x:c r="AA31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ITV / ITVX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7" t="e">
        <x:f>HYPERLINK("https://en.wikipedia.org/wiki/Ridley","Open source")</x:f>
        <x:v>HYPERLINK is not implemented. linkLocation=https://en.wikipedia.org/wiki/Ridley,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0.08333333333333333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tt14772170|nm0494080|jonathan dyer</x:v>
      </x:c>
      <x:c r="B319" s="14" t="str">
        <x:v>04</x:v>
      </x:c>
      <x:c r="C319" s="14" t="str">
        <x:v>2022_IMDb_Cast_Lists_Batch_04(1).xlsx</x:v>
      </x:c>
      <x:c r="D319" s="14" t="str">
        <x:v>Ridley</x:v>
      </x:c>
      <x:c r="E319" s="14" t="n">
        <x:v>91</x:v>
      </x:c>
      <x:c r="F319" s="14" t="str">
        <x:v>Ridley</x:v>
      </x:c>
      <x:c r="G319" s="14" t="str">
        <x:v>tt14772170</x:v>
      </x:c>
      <x:c r="H319" s="14" t="n">
        <x:v>2022</x:v>
      </x:c>
      <x:c r="I319" s="14" t="n">
        <x:v>2023</x:v>
      </x:c>
      <x:c r="J319" s="14" t="str">
        <x:v>Future Carry-Forward Cohort</x:v>
      </x:c>
      <x:c r="K319" s="14" t="n">
        <x:v>2022</x:v>
      </x:c>
      <x:c r="L319" s="14" t="str">
        <x:v>Not inherited</x:v>
      </x:c>
      <x:c r="M319" s="15" t="n">
        <x:v>84</x:v>
      </x:c>
      <x:c r="N319" s="14" t="str">
        <x:v>Jonathan Le Billon</x:v>
      </x:c>
      <x:c r="O319" s="14" t="str">
        <x:v>nm0494080</x:v>
      </x:c>
      <x:c r="P319" s="14" t="str">
        <x:v>Jonathan Dyer</x:v>
      </x:c>
      <x:c r="Q319" s="15" t="n">
        <x:v>1</x:v>
      </x:c>
      <x:c r="R319" s="14" t="str">
        <x:v>2024</x:v>
      </x:c>
      <x:c r="S319" s="14" t="n">
        <x:v>2024</x:v>
      </x:c>
      <x:c r="T319" s="14" t="n">
        <x:v>2024</x:v>
      </x:c>
      <x:c r="U319" s="14" t="str">
        <x:v>Explicit source first year retained</x:v>
      </x:c>
      <x:c r="V319" s="14" t="str">
        <x:v>Earliest supplied year is 2024.</x:v>
      </x:c>
      <x:c r="W319" s="14"/>
      <x:c r="X319" s="14" t="str">
        <x:v>Carried forward to 2024</x:v>
      </x:c>
      <x:c r="Y319" s="14" t="str">
        <x:v>(as Jonathan Le Billion)</x:v>
      </x:c>
      <x:c r="Z319" s="14" t="str">
        <x:v>Ridley.docx</x:v>
      </x:c>
      <x:c r="AA31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ITV / ITVX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HYPERLINK("https://en.wikipedia.org/wiki/Ridley","Open source")</x:f>
        <x:v>HYPERLINK is not implemented. linkLocation=https://en.wikipedia.org/wiki/Ridley, friendlyName=Open source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1</x:v>
      </x:c>
      <x:c r="BS319" s="16" t="n">
        <x:v>0.08333333333333333</x:v>
      </x:c>
      <x:c r="BT319" s="14" t="str">
        <x:v>One episode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tt14772170|nm4658697|rebecca haleton</x:v>
      </x:c>
      <x:c r="B320" s="14" t="str">
        <x:v>04</x:v>
      </x:c>
      <x:c r="C320" s="14" t="str">
        <x:v>2022_IMDb_Cast_Lists_Batch_04(1).xlsx</x:v>
      </x:c>
      <x:c r="D320" s="14" t="str">
        <x:v>Ridley</x:v>
      </x:c>
      <x:c r="E320" s="14" t="n">
        <x:v>92</x:v>
      </x:c>
      <x:c r="F320" s="14" t="str">
        <x:v>Ridley</x:v>
      </x:c>
      <x:c r="G320" s="14" t="str">
        <x:v>tt14772170</x:v>
      </x:c>
      <x:c r="H320" s="14" t="n">
        <x:v>2022</x:v>
      </x:c>
      <x:c r="I320" s="14" t="n">
        <x:v>2023</x:v>
      </x:c>
      <x:c r="J320" s="14" t="str">
        <x:v>Future Carry-Forward Cohort</x:v>
      </x:c>
      <x:c r="K320" s="14" t="n">
        <x:v>2022</x:v>
      </x:c>
      <x:c r="L320" s="14" t="str">
        <x:v>Not inherited</x:v>
      </x:c>
      <x:c r="M320" s="15" t="n">
        <x:v>85</x:v>
      </x:c>
      <x:c r="N320" s="14" t="str">
        <x:v>Shamia Chalabi</x:v>
      </x:c>
      <x:c r="O320" s="14" t="str">
        <x:v>nm4658697</x:v>
      </x:c>
      <x:c r="P320" s="14" t="str">
        <x:v>Rebecca Haleton</x:v>
      </x:c>
      <x:c r="Q320" s="15" t="n">
        <x:v>1</x:v>
      </x:c>
      <x:c r="R320" s="14" t="str">
        <x:v>2024</x:v>
      </x:c>
      <x:c r="S320" s="14" t="n">
        <x:v>2024</x:v>
      </x:c>
      <x:c r="T320" s="14" t="n">
        <x:v>2024</x:v>
      </x:c>
      <x:c r="U320" s="14" t="str">
        <x:v>Explicit source first year retained</x:v>
      </x:c>
      <x:c r="V320" s="14" t="str">
        <x:v>Earliest supplied year is 2024.</x:v>
      </x:c>
      <x:c r="W320" s="14"/>
      <x:c r="X320" s="14" t="str">
        <x:v>Carried forward to 2024</x:v>
      </x:c>
      <x:c r="Y320" s="14"/>
      <x:c r="Z320" s="14" t="str">
        <x:v>Ridley.docx</x:v>
      </x:c>
      <x:c r="AA32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ITV / ITVX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HYPERLINK("https://en.wikipedia.org/wiki/Ridley","Open source")</x:f>
        <x:v>HYPERLINK is not implemented. linkLocation=https://en.wikipedia.org/wiki/Ridley, friendlyName=Open source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1</x:v>
      </x:c>
      <x:c r="BS320" s="16" t="n">
        <x:v>0.08333333333333333</x:v>
      </x:c>
      <x:c r="BT320" s="14" t="str">
        <x:v>One episode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tt14772170|nm1092242|callum douglas</x:v>
      </x:c>
      <x:c r="B321" s="14" t="str">
        <x:v>04</x:v>
      </x:c>
      <x:c r="C321" s="14" t="str">
        <x:v>2022_IMDb_Cast_Lists_Batch_04(1).xlsx</x:v>
      </x:c>
      <x:c r="D321" s="14" t="str">
        <x:v>Ridley</x:v>
      </x:c>
      <x:c r="E321" s="14" t="n">
        <x:v>97</x:v>
      </x:c>
      <x:c r="F321" s="14" t="str">
        <x:v>Ridley</x:v>
      </x:c>
      <x:c r="G321" s="14" t="str">
        <x:v>tt14772170</x:v>
      </x:c>
      <x:c r="H321" s="14" t="n">
        <x:v>2022</x:v>
      </x:c>
      <x:c r="I321" s="14" t="n">
        <x:v>2023</x:v>
      </x:c>
      <x:c r="J321" s="14" t="str">
        <x:v>Future Carry-Forward Cohort</x:v>
      </x:c>
      <x:c r="K321" s="14" t="n">
        <x:v>2022</x:v>
      </x:c>
      <x:c r="L321" s="14" t="str">
        <x:v>Not inherited</x:v>
      </x:c>
      <x:c r="M321" s="15" t="n">
        <x:v>90</x:v>
      </x:c>
      <x:c r="N321" s="14" t="str">
        <x:v>Kaya Moore</x:v>
      </x:c>
      <x:c r="O321" s="14" t="str">
        <x:v>nm1092242</x:v>
      </x:c>
      <x:c r="P321" s="14" t="str">
        <x:v>Callum Douglas</x:v>
      </x:c>
      <x:c r="Q321" s="15" t="n">
        <x:v>1</x:v>
      </x:c>
      <x:c r="R321" s="14" t="str">
        <x:v>2024</x:v>
      </x:c>
      <x:c r="S321" s="14" t="n">
        <x:v>2024</x:v>
      </x:c>
      <x:c r="T321" s="14" t="n">
        <x:v>2024</x:v>
      </x:c>
      <x:c r="U321" s="14" t="str">
        <x:v>Explicit source first year retained</x:v>
      </x:c>
      <x:c r="V321" s="14" t="str">
        <x:v>Earliest supplied year is 2024.</x:v>
      </x:c>
      <x:c r="W321" s="14"/>
      <x:c r="X321" s="14" t="str">
        <x:v>Carried forward to 2024</x:v>
      </x:c>
      <x:c r="Y321" s="14"/>
      <x:c r="Z321" s="14" t="str">
        <x:v>Ridley.docx</x:v>
      </x:c>
      <x:c r="AA32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ITV / ITVX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HYPERLINK("https://en.wikipedia.org/wiki/Ridley","Open source")</x:f>
        <x:v>HYPERLINK is not implemented. linkLocation=https://en.wikipedia.org/wiki/Ridley, friendlyName=Open source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1</x:v>
      </x:c>
      <x:c r="BS321" s="16" t="n">
        <x:v>0.08333333333333333</x:v>
      </x:c>
      <x:c r="BT321" s="14" t="str">
        <x:v>One episode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tt14772170|nm12525137|donna burnside</x:v>
      </x:c>
      <x:c r="B322" s="14" t="str">
        <x:v>04</x:v>
      </x:c>
      <x:c r="C322" s="14" t="str">
        <x:v>2022_IMDb_Cast_Lists_Batch_04(1).xlsx</x:v>
      </x:c>
      <x:c r="D322" s="14" t="str">
        <x:v>Ridley</x:v>
      </x:c>
      <x:c r="E322" s="14" t="n">
        <x:v>103</x:v>
      </x:c>
      <x:c r="F322" s="14" t="str">
        <x:v>Ridley</x:v>
      </x:c>
      <x:c r="G322" s="14" t="str">
        <x:v>tt14772170</x:v>
      </x:c>
      <x:c r="H322" s="14" t="n">
        <x:v>2022</x:v>
      </x:c>
      <x:c r="I322" s="14" t="n">
        <x:v>2023</x:v>
      </x:c>
      <x:c r="J322" s="14" t="str">
        <x:v>Future Carry-Forward Cohort</x:v>
      </x:c>
      <x:c r="K322" s="14" t="n">
        <x:v>2022</x:v>
      </x:c>
      <x:c r="L322" s="14" t="str">
        <x:v>Not inherited</x:v>
      </x:c>
      <x:c r="M322" s="15" t="n">
        <x:v>96</x:v>
      </x:c>
      <x:c r="N322" s="14" t="str">
        <x:v>Isabelle Smith</x:v>
      </x:c>
      <x:c r="O322" s="14" t="str">
        <x:v>nm12525137</x:v>
      </x:c>
      <x:c r="P322" s="14" t="str">
        <x:v>Donna Burnside</x:v>
      </x:c>
      <x:c r="Q322" s="15" t="n">
        <x:v>1</x:v>
      </x:c>
      <x:c r="R322" s="14" t="str">
        <x:v>2024</x:v>
      </x:c>
      <x:c r="S322" s="14" t="n">
        <x:v>2024</x:v>
      </x:c>
      <x:c r="T322" s="14" t="n">
        <x:v>2024</x:v>
      </x:c>
      <x:c r="U322" s="14" t="str">
        <x:v>Explicit source first year retained</x:v>
      </x:c>
      <x:c r="V322" s="14" t="str">
        <x:v>Earliest supplied year is 2024.</x:v>
      </x:c>
      <x:c r="W322" s="14"/>
      <x:c r="X322" s="14" t="str">
        <x:v>Carried forward to 2024</x:v>
      </x:c>
      <x:c r="Y322" s="14"/>
      <x:c r="Z322" s="14" t="str">
        <x:v>Ridley.docx</x:v>
      </x:c>
      <x:c r="AA32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ITV / ITVX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HYPERLINK("https://en.wikipedia.org/wiki/Ridley","Open source")</x:f>
        <x:v>HYPERLINK is not implemented. linkLocation=https://en.wikipedia.org/wiki/Ridley, friendlyName=Open source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1</x:v>
      </x:c>
      <x:c r="BS322" s="16" t="n">
        <x:v>0.08333333333333333</x:v>
      </x:c>
      <x:c r="BT322" s="14" t="str">
        <x:v>One episode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tt14772170|nm4702139|lawyer</x:v>
      </x:c>
      <x:c r="B323" s="14" t="str">
        <x:v>04</x:v>
      </x:c>
      <x:c r="C323" s="14" t="str">
        <x:v>2022_IMDb_Cast_Lists_Batch_04(1).xlsx</x:v>
      </x:c>
      <x:c r="D323" s="14" t="str">
        <x:v>Ridley</x:v>
      </x:c>
      <x:c r="E323" s="14" t="n">
        <x:v>104</x:v>
      </x:c>
      <x:c r="F323" s="14" t="str">
        <x:v>Ridley</x:v>
      </x:c>
      <x:c r="G323" s="14" t="str">
        <x:v>tt14772170</x:v>
      </x:c>
      <x:c r="H323" s="14" t="n">
        <x:v>2022</x:v>
      </x:c>
      <x:c r="I323" s="14" t="n">
        <x:v>2023</x:v>
      </x:c>
      <x:c r="J323" s="14" t="str">
        <x:v>Future Carry-Forward Cohort</x:v>
      </x:c>
      <x:c r="K323" s="14" t="n">
        <x:v>2022</x:v>
      </x:c>
      <x:c r="L323" s="14" t="str">
        <x:v>Not inherited</x:v>
      </x:c>
      <x:c r="M323" s="15" t="n">
        <x:v>97</x:v>
      </x:c>
      <x:c r="N323" s="14" t="str">
        <x:v>Gemma Lawman</x:v>
      </x:c>
      <x:c r="O323" s="14" t="str">
        <x:v>nm4702139</x:v>
      </x:c>
      <x:c r="P323" s="14" t="str">
        <x:v>Lawyer</x:v>
      </x:c>
      <x:c r="Q323" s="15" t="n">
        <x:v>1</x:v>
      </x:c>
      <x:c r="R323" s="14" t="str">
        <x:v>2024</x:v>
      </x:c>
      <x:c r="S323" s="14" t="n">
        <x:v>2024</x:v>
      </x:c>
      <x:c r="T323" s="14" t="n">
        <x:v>2024</x:v>
      </x:c>
      <x:c r="U323" s="14" t="str">
        <x:v>Explicit source first year retained</x:v>
      </x:c>
      <x:c r="V323" s="14" t="str">
        <x:v>Earliest supplied year is 2024.</x:v>
      </x:c>
      <x:c r="W323" s="14"/>
      <x:c r="X323" s="14" t="str">
        <x:v>Carried forward to 2024</x:v>
      </x:c>
      <x:c r="Y323" s="14"/>
      <x:c r="Z323" s="14" t="str">
        <x:v>Ridley.docx</x:v>
      </x:c>
      <x:c r="AA32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ITV / ITVX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HYPERLINK("https://en.wikipedia.org/wiki/Ridley","Open source")</x:f>
        <x:v>HYPERLINK is not implemented. linkLocation=https://en.wikipedia.org/wiki/Ridley, friendlyName=Open source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1</x:v>
      </x:c>
      <x:c r="BS323" s="16" t="n">
        <x:v>0.08333333333333333</x:v>
      </x:c>
      <x:c r="BT323" s="14" t="str">
        <x:v>One episode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tt13994572|nm6635960|harry summers</x:v>
      </x:c>
      <x:c r="B324" s="14" t="str">
        <x:v>04</x:v>
      </x:c>
      <x:c r="C324" s="14" t="str">
        <x:v>2022_IMDb_Cast_Lists_Batch_04(1).xlsx</x:v>
      </x:c>
      <x:c r="D324" s="14" t="str">
        <x:v>Sherwood</x:v>
      </x:c>
      <x:c r="E324" s="14" t="n">
        <x:v>16</x:v>
      </x:c>
      <x:c r="F324" s="14" t="str">
        <x:v>Sherwood</x:v>
      </x:c>
      <x:c r="G324" s="14" t="str">
        <x:v>tt13994572</x:v>
      </x:c>
      <x:c r="H324" s="14" t="n">
        <x:v>2022</x:v>
      </x:c>
      <x:c r="I324" s="14" t="n">
        <x:v>2023</x:v>
      </x:c>
      <x:c r="J324" s="14" t="str">
        <x:v>Future Carry-Forward Cohort</x:v>
      </x:c>
      <x:c r="K324" s="14" t="n">
        <x:v>2022</x:v>
      </x:c>
      <x:c r="L324" s="14" t="str">
        <x:v>Not inherited</x:v>
      </x:c>
      <x:c r="M324" s="15" t="n">
        <x:v>9</x:v>
      </x:c>
      <x:c r="N324" s="14" t="str">
        <x:v>Michael Balogun</x:v>
      </x:c>
      <x:c r="O324" s="14" t="str">
        <x:v>nm6635960</x:v>
      </x:c>
      <x:c r="P324" s="14" t="str">
        <x:v>Harry Summers</x:v>
      </x:c>
      <x:c r="Q324" s="15" t="n">
        <x:v>6</x:v>
      </x:c>
      <x:c r="R324" s="14" t="str">
        <x:v>2024</x:v>
      </x:c>
      <x:c r="S324" s="14" t="n">
        <x:v>2024</x:v>
      </x:c>
      <x:c r="T324" s="14" t="n">
        <x:v>2024</x:v>
      </x:c>
      <x:c r="U324" s="14" t="str">
        <x:v>Explicit source first year retained</x:v>
      </x:c>
      <x:c r="V324" s="14" t="str">
        <x:v>Earliest supplied year is 2024.</x:v>
      </x:c>
      <x:c r="W324" s="14"/>
      <x:c r="X324" s="14" t="str">
        <x:v>Carried forward to 2024</x:v>
      </x:c>
      <x:c r="Y324" s="14"/>
      <x:c r="Z324" s="14" t="str">
        <x:v>Sherwood.docx</x:v>
      </x:c>
      <x:c r="AA32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BBC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HYPERLINK("https://en.wikipedia.org/wiki/Sherwood","Open source")</x:f>
        <x:v>HYPERLINK is not implemented. linkLocation=https://en.wikipedia.org/wiki/Sherwood, friendlyName=Open source</x:v>
      </x:c>
      <x:c r="AN324" s="14" t="str">
        <x:v>BBC public-service commission</x:v>
      </x:c>
      <x:c r="AO324" s="14" t="str">
        <x:v>Yes</x:v>
      </x:c>
      <x:c r="AP324" s="14" t="str">
        <x:v>Direct BBC public-service scope</x:v>
      </x:c>
      <x:c r="AQ324" s="14" t="str">
        <x:v>Yes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6</x:v>
      </x:c>
      <x:c r="BS324" s="16" t="n">
        <x:v>0.5</x:v>
      </x:c>
      <x:c r="BT324" s="14" t="str">
        <x:v>Minority of episodes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tt13994572|nm1180835|rachel crossley</x:v>
      </x:c>
      <x:c r="B325" s="14" t="str">
        <x:v>04</x:v>
      </x:c>
      <x:c r="C325" s="14" t="str">
        <x:v>2022_IMDb_Cast_Lists_Batch_04(1).xlsx</x:v>
      </x:c>
      <x:c r="D325" s="14" t="str">
        <x:v>Sherwood</x:v>
      </x:c>
      <x:c r="E325" s="14" t="n">
        <x:v>17</x:v>
      </x:c>
      <x:c r="F325" s="14" t="str">
        <x:v>Sherwood</x:v>
      </x:c>
      <x:c r="G325" s="14" t="str">
        <x:v>tt13994572</x:v>
      </x:c>
      <x:c r="H325" s="14" t="n">
        <x:v>2022</x:v>
      </x:c>
      <x:c r="I325" s="14" t="n">
        <x:v>2023</x:v>
      </x:c>
      <x:c r="J325" s="14" t="str">
        <x:v>Future Carry-Forward Cohort</x:v>
      </x:c>
      <x:c r="K325" s="14" t="n">
        <x:v>2022</x:v>
      </x:c>
      <x:c r="L325" s="14" t="str">
        <x:v>Not inherited</x:v>
      </x:c>
      <x:c r="M325" s="15" t="n">
        <x:v>10</x:v>
      </x:c>
      <x:c r="N325" s="14" t="str">
        <x:v>Christine Bottomley</x:v>
      </x:c>
      <x:c r="O325" s="14" t="str">
        <x:v>nm1180835</x:v>
      </x:c>
      <x:c r="P325" s="14" t="str">
        <x:v>Rachel Crossley</x:v>
      </x:c>
      <x:c r="Q325" s="15" t="n">
        <x:v>6</x:v>
      </x:c>
      <x:c r="R325" s="14" t="str">
        <x:v>2024</x:v>
      </x:c>
      <x:c r="S325" s="14" t="n">
        <x:v>2024</x:v>
      </x:c>
      <x:c r="T325" s="14" t="n">
        <x:v>2024</x:v>
      </x:c>
      <x:c r="U325" s="14" t="str">
        <x:v>Explicit source first year retained</x:v>
      </x:c>
      <x:c r="V325" s="14" t="str">
        <x:v>Earliest supplied year is 2024.</x:v>
      </x:c>
      <x:c r="W325" s="14"/>
      <x:c r="X325" s="14" t="str">
        <x:v>Carried forward to 2024</x:v>
      </x:c>
      <x:c r="Y325" s="14"/>
      <x:c r="Z325" s="14" t="str">
        <x:v>Sherwood.docx</x:v>
      </x:c>
      <x:c r="AA32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HYPERLINK("https://en.wikipedia.org/wiki/Sherwood","Open source")</x:f>
        <x:v>HYPERLINK is not implemented. linkLocation=https://en.wikipedia.org/wiki/Sherwood,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6</x:v>
      </x:c>
      <x:c r="BS325" s="16" t="n">
        <x:v>0.5</x:v>
      </x:c>
      <x:c r="BT325" s="14" t="str">
        <x:v>Minority of episodes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tt13994572|nm0226820|roy branson</x:v>
      </x:c>
      <x:c r="B326" s="14" t="str">
        <x:v>04</x:v>
      </x:c>
      <x:c r="C326" s="14" t="str">
        <x:v>2022_IMDb_Cast_Lists_Batch_04(1).xlsx</x:v>
      </x:c>
      <x:c r="D326" s="14" t="str">
        <x:v>Sherwood</x:v>
      </x:c>
      <x:c r="E326" s="14" t="n">
        <x:v>18</x:v>
      </x:c>
      <x:c r="F326" s="14" t="str">
        <x:v>Sherwood</x:v>
      </x:c>
      <x:c r="G326" s="14" t="str">
        <x:v>tt13994572</x:v>
      </x:c>
      <x:c r="H326" s="14" t="n">
        <x:v>2022</x:v>
      </x:c>
      <x:c r="I326" s="14" t="n">
        <x:v>2023</x:v>
      </x:c>
      <x:c r="J326" s="14" t="str">
        <x:v>Future Carry-Forward Cohort</x:v>
      </x:c>
      <x:c r="K326" s="14" t="n">
        <x:v>2022</x:v>
      </x:c>
      <x:c r="L326" s="14" t="str">
        <x:v>Not inherited</x:v>
      </x:c>
      <x:c r="M326" s="15" t="n">
        <x:v>11</x:v>
      </x:c>
      <x:c r="N326" s="14" t="str">
        <x:v>Stephen Dillane</x:v>
      </x:c>
      <x:c r="O326" s="14" t="str">
        <x:v>nm0226820</x:v>
      </x:c>
      <x:c r="P326" s="14" t="str">
        <x:v>Roy Branson</x:v>
      </x:c>
      <x:c r="Q326" s="15" t="n">
        <x:v>6</x:v>
      </x:c>
      <x:c r="R326" s="14" t="str">
        <x:v>2024</x:v>
      </x:c>
      <x:c r="S326" s="14" t="n">
        <x:v>2024</x:v>
      </x:c>
      <x:c r="T326" s="14" t="n">
        <x:v>2024</x:v>
      </x:c>
      <x:c r="U326" s="14" t="str">
        <x:v>Explicit source first year retained</x:v>
      </x:c>
      <x:c r="V326" s="14" t="str">
        <x:v>Earliest supplied year is 2024.</x:v>
      </x:c>
      <x:c r="W326" s="14"/>
      <x:c r="X326" s="14" t="str">
        <x:v>Carried forward to 2024</x:v>
      </x:c>
      <x:c r="Y326" s="14"/>
      <x:c r="Z326" s="14" t="str">
        <x:v>Sherwood.docx</x:v>
      </x:c>
      <x:c r="AA32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HYPERLINK("https://en.wikipedia.org/wiki/Sherwood","Open source")</x:f>
        <x:v>HYPERLINK is not implemented. linkLocation=https://en.wikipedia.org/wiki/Sherwood,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6</x:v>
      </x:c>
      <x:c r="BS326" s="16" t="n">
        <x:v>0.5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tt13994572|nm0230826|ann branson</x:v>
      </x:c>
      <x:c r="B327" s="14" t="str">
        <x:v>04</x:v>
      </x:c>
      <x:c r="C327" s="14" t="str">
        <x:v>2022_IMDb_Cast_Lists_Batch_04(1).xlsx</x:v>
      </x:c>
      <x:c r="D327" s="14" t="str">
        <x:v>Sherwood</x:v>
      </x:c>
      <x:c r="E327" s="14" t="n">
        <x:v>19</x:v>
      </x:c>
      <x:c r="F327" s="14" t="str">
        <x:v>Sherwood</x:v>
      </x:c>
      <x:c r="G327" s="14" t="str">
        <x:v>tt13994572</x:v>
      </x:c>
      <x:c r="H327" s="14" t="n">
        <x:v>2022</x:v>
      </x:c>
      <x:c r="I327" s="14" t="n">
        <x:v>2023</x:v>
      </x:c>
      <x:c r="J327" s="14" t="str">
        <x:v>Future Carry-Forward Cohort</x:v>
      </x:c>
      <x:c r="K327" s="14" t="n">
        <x:v>2022</x:v>
      </x:c>
      <x:c r="L327" s="14" t="str">
        <x:v>Not inherited</x:v>
      </x:c>
      <x:c r="M327" s="15" t="n">
        <x:v>12</x:v>
      </x:c>
      <x:c r="N327" s="14" t="str">
        <x:v>Monica Dolan</x:v>
      </x:c>
      <x:c r="O327" s="14" t="str">
        <x:v>nm0230826</x:v>
      </x:c>
      <x:c r="P327" s="14" t="str">
        <x:v>Ann Branson</x:v>
      </x:c>
      <x:c r="Q327" s="15" t="n">
        <x:v>6</x:v>
      </x:c>
      <x:c r="R327" s="14" t="str">
        <x:v>2024</x:v>
      </x:c>
      <x:c r="S327" s="14" t="n">
        <x:v>2024</x:v>
      </x:c>
      <x:c r="T327" s="14" t="n">
        <x:v>2024</x:v>
      </x:c>
      <x:c r="U327" s="14" t="str">
        <x:v>Explicit source first year retained</x:v>
      </x:c>
      <x:c r="V327" s="14" t="str">
        <x:v>Earliest supplied year is 2024.</x:v>
      </x:c>
      <x:c r="W327" s="14"/>
      <x:c r="X327" s="14" t="str">
        <x:v>Carried forward to 2024</x:v>
      </x:c>
      <x:c r="Y327" s="14"/>
      <x:c r="Z327" s="14" t="str">
        <x:v>Sherwood.docx</x:v>
      </x:c>
      <x:c r="AA32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HYPERLINK("https://en.wikipedia.org/wiki/Sherwood","Open source")</x:f>
        <x:v>HYPERLINK is not implemented. linkLocation=https://en.wikipedia.org/wiki/Sherwood,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6</x:v>
      </x:c>
      <x:c r="BS327" s="16" t="n">
        <x:v>0.5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tt13994572|nm3016166|samuel warner</x:v>
      </x:c>
      <x:c r="B328" s="14" t="str">
        <x:v>04</x:v>
      </x:c>
      <x:c r="C328" s="14" t="str">
        <x:v>2022_IMDb_Cast_Lists_Batch_04(1).xlsx</x:v>
      </x:c>
      <x:c r="D328" s="14" t="str">
        <x:v>Sherwood</x:v>
      </x:c>
      <x:c r="E328" s="14" t="n">
        <x:v>20</x:v>
      </x:c>
      <x:c r="F328" s="14" t="str">
        <x:v>Sherwood</x:v>
      </x:c>
      <x:c r="G328" s="14" t="str">
        <x:v>tt13994572</x:v>
      </x:c>
      <x:c r="H328" s="14" t="n">
        <x:v>2022</x:v>
      </x:c>
      <x:c r="I328" s="14" t="n">
        <x:v>2023</x:v>
      </x:c>
      <x:c r="J328" s="14" t="str">
        <x:v>Future Carry-Forward Cohort</x:v>
      </x:c>
      <x:c r="K328" s="14" t="n">
        <x:v>2022</x:v>
      </x:c>
      <x:c r="L328" s="14" t="str">
        <x:v>Not inherited</x:v>
      </x:c>
      <x:c r="M328" s="15" t="n">
        <x:v>13</x:v>
      </x:c>
      <x:c r="N328" s="14" t="str">
        <x:v>Robert Emms</x:v>
      </x:c>
      <x:c r="O328" s="14" t="str">
        <x:v>nm3016166</x:v>
      </x:c>
      <x:c r="P328" s="14" t="str">
        <x:v>Samuel Warner</x:v>
      </x:c>
      <x:c r="Q328" s="15" t="n">
        <x:v>6</x:v>
      </x:c>
      <x:c r="R328" s="14" t="str">
        <x:v>2024</x:v>
      </x:c>
      <x:c r="S328" s="14" t="n">
        <x:v>2024</x:v>
      </x:c>
      <x:c r="T328" s="14" t="n">
        <x:v>2024</x:v>
      </x:c>
      <x:c r="U328" s="14" t="str">
        <x:v>Explicit source first year retained</x:v>
      </x:c>
      <x:c r="V328" s="14" t="str">
        <x:v>Earliest supplied year is 2024.</x:v>
      </x:c>
      <x:c r="W328" s="14"/>
      <x:c r="X328" s="14" t="str">
        <x:v>Carried forward to 2024</x:v>
      </x:c>
      <x:c r="Y328" s="14"/>
      <x:c r="Z328" s="14" t="str">
        <x:v>Sherwood.docx</x:v>
      </x:c>
      <x:c r="AA32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HYPERLINK("https://en.wikipedia.org/wiki/Sherwood","Open source")</x:f>
        <x:v>HYPERLINK is not implemented. linkLocation=https://en.wikipedia.org/wiki/Sherwood,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6</x:v>
      </x:c>
      <x:c r="BS328" s="16" t="n">
        <x:v>0.5</x:v>
      </x:c>
      <x:c r="BT328" s="14" t="str">
        <x:v>Minority of episodes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tt13994572|nm7963638|ryan bottomley</x:v>
      </x:c>
      <x:c r="B329" s="14" t="str">
        <x:v>04</x:v>
      </x:c>
      <x:c r="C329" s="14" t="str">
        <x:v>2022_IMDb_Cast_Lists_Batch_04(1).xlsx</x:v>
      </x:c>
      <x:c r="D329" s="14" t="str">
        <x:v>Sherwood</x:v>
      </x:c>
      <x:c r="E329" s="14" t="n">
        <x:v>24</x:v>
      </x:c>
      <x:c r="F329" s="14" t="str">
        <x:v>Sherwood</x:v>
      </x:c>
      <x:c r="G329" s="14" t="str">
        <x:v>tt13994572</x:v>
      </x:c>
      <x:c r="H329" s="14" t="n">
        <x:v>2022</x:v>
      </x:c>
      <x:c r="I329" s="14" t="n">
        <x:v>2023</x:v>
      </x:c>
      <x:c r="J329" s="14" t="str">
        <x:v>Future Carry-Forward Cohort</x:v>
      </x:c>
      <x:c r="K329" s="14" t="n">
        <x:v>2022</x:v>
      </x:c>
      <x:c r="L329" s="14" t="str">
        <x:v>Not inherited</x:v>
      </x:c>
      <x:c r="M329" s="15" t="n">
        <x:v>17</x:v>
      </x:c>
      <x:c r="N329" s="14" t="str">
        <x:v>Oliver Huntingdon</x:v>
      </x:c>
      <x:c r="O329" s="14" t="str">
        <x:v>nm7963638</x:v>
      </x:c>
      <x:c r="P329" s="14" t="str">
        <x:v>Ryan Bottomley</x:v>
      </x:c>
      <x:c r="Q329" s="15" t="n">
        <x:v>6</x:v>
      </x:c>
      <x:c r="R329" s="14" t="str">
        <x:v>2024</x:v>
      </x:c>
      <x:c r="S329" s="14" t="n">
        <x:v>2024</x:v>
      </x:c>
      <x:c r="T329" s="14" t="n">
        <x:v>2024</x:v>
      </x:c>
      <x:c r="U329" s="14" t="str">
        <x:v>Explicit source first year retained</x:v>
      </x:c>
      <x:c r="V329" s="14" t="str">
        <x:v>Earliest supplied year is 2024.</x:v>
      </x:c>
      <x:c r="W329" s="14"/>
      <x:c r="X329" s="14" t="str">
        <x:v>Carried forward to 2024</x:v>
      </x:c>
      <x:c r="Y329" s="14"/>
      <x:c r="Z329" s="14" t="str">
        <x:v>Sherwood.docx</x:v>
      </x:c>
      <x:c r="AA32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HYPERLINK("https://en.wikipedia.org/wiki/Sherwood","Open source")</x:f>
        <x:v>HYPERLINK is not implemented. linkLocation=https://en.wikipedia.org/wiki/Sherwood,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6</x:v>
      </x:c>
      <x:c r="BS329" s="16" t="n">
        <x:v>0.5</x:v>
      </x:c>
      <x:c r="BT329" s="14" t="str">
        <x:v>Minority of episodes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tt13994572|nm1528026|sandy waters</x:v>
      </x:c>
      <x:c r="B330" s="14" t="str">
        <x:v>04</x:v>
      </x:c>
      <x:c r="C330" s="14" t="str">
        <x:v>2022_IMDb_Cast_Lists_Batch_04(1).xlsx</x:v>
      </x:c>
      <x:c r="D330" s="14" t="str">
        <x:v>Sherwood</x:v>
      </x:c>
      <x:c r="E330" s="14" t="n">
        <x:v>26</x:v>
      </x:c>
      <x:c r="F330" s="14" t="str">
        <x:v>Sherwood</x:v>
      </x:c>
      <x:c r="G330" s="14" t="str">
        <x:v>tt13994572</x:v>
      </x:c>
      <x:c r="H330" s="14" t="n">
        <x:v>2022</x:v>
      </x:c>
      <x:c r="I330" s="14" t="n">
        <x:v>2023</x:v>
      </x:c>
      <x:c r="J330" s="14" t="str">
        <x:v>Future Carry-Forward Cohort</x:v>
      </x:c>
      <x:c r="K330" s="14" t="n">
        <x:v>2022</x:v>
      </x:c>
      <x:c r="L330" s="14" t="str">
        <x:v>Not inherited</x:v>
      </x:c>
      <x:c r="M330" s="15" t="n">
        <x:v>19</x:v>
      </x:c>
      <x:c r="N330" s="14" t="str">
        <x:v>Aisling Loftus</x:v>
      </x:c>
      <x:c r="O330" s="14" t="str">
        <x:v>nm1528026</x:v>
      </x:c>
      <x:c r="P330" s="14" t="str">
        <x:v>Sandy Waters</x:v>
      </x:c>
      <x:c r="Q330" s="15" t="n">
        <x:v>6</x:v>
      </x:c>
      <x:c r="R330" s="14" t="str">
        <x:v>2024</x:v>
      </x:c>
      <x:c r="S330" s="14" t="n">
        <x:v>2024</x:v>
      </x:c>
      <x:c r="T330" s="14" t="n">
        <x:v>2024</x:v>
      </x:c>
      <x:c r="U330" s="14" t="str">
        <x:v>Explicit source first year retained</x:v>
      </x:c>
      <x:c r="V330" s="14" t="str">
        <x:v>Earliest supplied year is 2024.</x:v>
      </x:c>
      <x:c r="W330" s="14"/>
      <x:c r="X330" s="14" t="str">
        <x:v>Carried forward to 2024</x:v>
      </x:c>
      <x:c r="Y330" s="14"/>
      <x:c r="Z330" s="14" t="str">
        <x:v>Sherwood.docx</x:v>
      </x:c>
      <x:c r="AA33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HYPERLINK("https://en.wikipedia.org/wiki/Sherwood","Open source")</x:f>
        <x:v>HYPERLINK is not implemented. linkLocation=https://en.wikipedia.org/wiki/Sherwood,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6</x:v>
      </x:c>
      <x:c r="BS330" s="16" t="n">
        <x:v>0.5</x:v>
      </x:c>
      <x:c r="BT330" s="14" t="str">
        <x:v>Minority of episodes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tt13994572|nm0512305|franklin warner</x:v>
      </x:c>
      <x:c r="B331" s="14" t="str">
        <x:v>04</x:v>
      </x:c>
      <x:c r="C331" s="14" t="str">
        <x:v>2022_IMDb_Cast_Lists_Batch_04(1).xlsx</x:v>
      </x:c>
      <x:c r="D331" s="14" t="str">
        <x:v>Sherwood</x:v>
      </x:c>
      <x:c r="E331" s="14" t="n">
        <x:v>27</x:v>
      </x:c>
      <x:c r="F331" s="14" t="str">
        <x:v>Sherwood</x:v>
      </x:c>
      <x:c r="G331" s="14" t="str">
        <x:v>tt13994572</x:v>
      </x:c>
      <x:c r="H331" s="14" t="n">
        <x:v>2022</x:v>
      </x:c>
      <x:c r="I331" s="14" t="n">
        <x:v>2023</x:v>
      </x:c>
      <x:c r="J331" s="14" t="str">
        <x:v>Future Carry-Forward Cohort</x:v>
      </x:c>
      <x:c r="K331" s="14" t="n">
        <x:v>2022</x:v>
      </x:c>
      <x:c r="L331" s="14" t="str">
        <x:v>Not inherited</x:v>
      </x:c>
      <x:c r="M331" s="15" t="n">
        <x:v>20</x:v>
      </x:c>
      <x:c r="N331" s="14" t="str">
        <x:v>Robert Lindsay</x:v>
      </x:c>
      <x:c r="O331" s="14" t="str">
        <x:v>nm0512305</x:v>
      </x:c>
      <x:c r="P331" s="14" t="str">
        <x:v>Franklin Warner</x:v>
      </x:c>
      <x:c r="Q331" s="15" t="n">
        <x:v>6</x:v>
      </x:c>
      <x:c r="R331" s="14" t="str">
        <x:v>2024</x:v>
      </x:c>
      <x:c r="S331" s="14" t="n">
        <x:v>2024</x:v>
      </x:c>
      <x:c r="T331" s="14" t="n">
        <x:v>2024</x:v>
      </x:c>
      <x:c r="U331" s="14" t="str">
        <x:v>Explicit source first year retained</x:v>
      </x:c>
      <x:c r="V331" s="14" t="str">
        <x:v>Earliest supplied year is 2024.</x:v>
      </x:c>
      <x:c r="W331" s="14"/>
      <x:c r="X331" s="14" t="str">
        <x:v>Carried forward to 2024</x:v>
      </x:c>
      <x:c r="Y331" s="14"/>
      <x:c r="Z331" s="14" t="str">
        <x:v>Sherwood.docx</x:v>
      </x:c>
      <x:c r="AA33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HYPERLINK("https://en.wikipedia.org/wiki/Sherwood","Open source")</x:f>
        <x:v>HYPERLINK is not implemented. linkLocation=https://en.wikipedia.org/wiki/Sherwood,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6</x:v>
      </x:c>
      <x:c r="BS331" s="16" t="n">
        <x:v>0.5</x:v>
      </x:c>
      <x:c r="BT331" s="14" t="str">
        <x:v>Minority of episodes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tt13994572|nm6831180|marcus clarke</x:v>
      </x:c>
      <x:c r="B332" s="14" t="str">
        <x:v>04</x:v>
      </x:c>
      <x:c r="C332" s="14" t="str">
        <x:v>2022_IMDb_Cast_Lists_Batch_04(1).xlsx</x:v>
      </x:c>
      <x:c r="D332" s="14" t="str">
        <x:v>Sherwood</x:v>
      </x:c>
      <x:c r="E332" s="14" t="n">
        <x:v>28</x:v>
      </x:c>
      <x:c r="F332" s="14" t="str">
        <x:v>Sherwood</x:v>
      </x:c>
      <x:c r="G332" s="14" t="str">
        <x:v>tt13994572</x:v>
      </x:c>
      <x:c r="H332" s="14" t="n">
        <x:v>2022</x:v>
      </x:c>
      <x:c r="I332" s="14" t="n">
        <x:v>2023</x:v>
      </x:c>
      <x:c r="J332" s="14" t="str">
        <x:v>Future Carry-Forward Cohort</x:v>
      </x:c>
      <x:c r="K332" s="14" t="n">
        <x:v>2022</x:v>
      </x:c>
      <x:c r="L332" s="14" t="str">
        <x:v>Not inherited</x:v>
      </x:c>
      <x:c r="M332" s="15" t="n">
        <x:v>21</x:v>
      </x:c>
      <x:c r="N332" s="14" t="str">
        <x:v>Jorden Myrie</x:v>
      </x:c>
      <x:c r="O332" s="14" t="str">
        <x:v>nm6831180</x:v>
      </x:c>
      <x:c r="P332" s="14" t="str">
        <x:v>Marcus Clarke</x:v>
      </x:c>
      <x:c r="Q332" s="15" t="n">
        <x:v>6</x:v>
      </x:c>
      <x:c r="R332" s="14" t="str">
        <x:v>2024</x:v>
      </x:c>
      <x:c r="S332" s="14" t="n">
        <x:v>2024</x:v>
      </x:c>
      <x:c r="T332" s="14" t="n">
        <x:v>2024</x:v>
      </x:c>
      <x:c r="U332" s="14" t="str">
        <x:v>Explicit source first year retained</x:v>
      </x:c>
      <x:c r="V332" s="14" t="str">
        <x:v>Earliest supplied year is 2024.</x:v>
      </x:c>
      <x:c r="W332" s="14"/>
      <x:c r="X332" s="14" t="str">
        <x:v>Carried forward to 2024</x:v>
      </x:c>
      <x:c r="Y332" s="14"/>
      <x:c r="Z332" s="14" t="str">
        <x:v>Sherwood.docx</x:v>
      </x:c>
      <x:c r="AA33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HYPERLINK("https://en.wikipedia.org/wiki/Sherwood","Open source")</x:f>
        <x:v>HYPERLINK is not implemented. linkLocation=https://en.wikipedia.org/wiki/Sherwood,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6</x:v>
      </x:c>
      <x:c r="BS332" s="16" t="n">
        <x:v>0.5</x:v>
      </x:c>
      <x:c r="BT332" s="14" t="str">
        <x:v>Minority of episodes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tt13994572|nm4123351|lisa waters</x:v>
      </x:c>
      <x:c r="B333" s="14" t="str">
        <x:v>04</x:v>
      </x:c>
      <x:c r="C333" s="14" t="str">
        <x:v>2022_IMDb_Cast_Lists_Batch_04(1).xlsx</x:v>
      </x:c>
      <x:c r="D333" s="14" t="str">
        <x:v>Sherwood</x:v>
      </x:c>
      <x:c r="E333" s="14" t="n">
        <x:v>30</x:v>
      </x:c>
      <x:c r="F333" s="14" t="str">
        <x:v>Sherwood</x:v>
      </x:c>
      <x:c r="G333" s="14" t="str">
        <x:v>tt13994572</x:v>
      </x:c>
      <x:c r="H333" s="14" t="n">
        <x:v>2022</x:v>
      </x:c>
      <x:c r="I333" s="14" t="n">
        <x:v>2023</x:v>
      </x:c>
      <x:c r="J333" s="14" t="str">
        <x:v>Future Carry-Forward Cohort</x:v>
      </x:c>
      <x:c r="K333" s="14" t="n">
        <x:v>2022</x:v>
      </x:c>
      <x:c r="L333" s="14" t="str">
        <x:v>Not inherited</x:v>
      </x:c>
      <x:c r="M333" s="15" t="n">
        <x:v>23</x:v>
      </x:c>
      <x:c r="N333" s="14" t="str">
        <x:v>Ria Zmitrowicz</x:v>
      </x:c>
      <x:c r="O333" s="14" t="str">
        <x:v>nm4123351</x:v>
      </x:c>
      <x:c r="P333" s="14" t="str">
        <x:v>Lisa Waters</x:v>
      </x:c>
      <x:c r="Q333" s="15" t="n">
        <x:v>6</x:v>
      </x:c>
      <x:c r="R333" s="14" t="str">
        <x:v>2024</x:v>
      </x:c>
      <x:c r="S333" s="14" t="n">
        <x:v>2024</x:v>
      </x:c>
      <x:c r="T333" s="14" t="n">
        <x:v>2024</x:v>
      </x:c>
      <x:c r="U333" s="14" t="str">
        <x:v>Explicit source first year retained</x:v>
      </x:c>
      <x:c r="V333" s="14" t="str">
        <x:v>Earliest supplied year is 2024.</x:v>
      </x:c>
      <x:c r="W333" s="14"/>
      <x:c r="X333" s="14" t="str">
        <x:v>Carried forward to 2024</x:v>
      </x:c>
      <x:c r="Y333" s="14"/>
      <x:c r="Z333" s="14" t="str">
        <x:v>Sherwood.docx</x:v>
      </x:c>
      <x:c r="AA33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HYPERLINK("https://en.wikipedia.org/wiki/Sherwood","Open source")</x:f>
        <x:v>HYPERLINK is not implemented. linkLocation=https://en.wikipedia.org/wiki/Sherwood,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6</x:v>
      </x:c>
      <x:c r="BS333" s="16" t="n">
        <x:v>0.5</x:v>
      </x:c>
      <x:c r="BT333" s="14" t="str">
        <x:v>Minority of episodes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tt13994572|nm9915746|stephie bottomley</x:v>
      </x:c>
      <x:c r="B334" s="14" t="str">
        <x:v>04</x:v>
      </x:c>
      <x:c r="C334" s="14" t="str">
        <x:v>2022_IMDb_Cast_Lists_Batch_04(1).xlsx</x:v>
      </x:c>
      <x:c r="D334" s="14" t="str">
        <x:v>Sherwood</x:v>
      </x:c>
      <x:c r="E334" s="14" t="n">
        <x:v>31</x:v>
      </x:c>
      <x:c r="F334" s="14" t="str">
        <x:v>Sherwood</x:v>
      </x:c>
      <x:c r="G334" s="14" t="str">
        <x:v>tt13994572</x:v>
      </x:c>
      <x:c r="H334" s="14" t="n">
        <x:v>2022</x:v>
      </x:c>
      <x:c r="I334" s="14" t="n">
        <x:v>2023</x:v>
      </x:c>
      <x:c r="J334" s="14" t="str">
        <x:v>Future Carry-Forward Cohort</x:v>
      </x:c>
      <x:c r="K334" s="14" t="n">
        <x:v>2022</x:v>
      </x:c>
      <x:c r="L334" s="14" t="str">
        <x:v>Not inherited</x:v>
      </x:c>
      <x:c r="M334" s="15" t="n">
        <x:v>24</x:v>
      </x:c>
      <x:c r="N334" s="14" t="str">
        <x:v>Bethany Asher</x:v>
      </x:c>
      <x:c r="O334" s="14" t="str">
        <x:v>nm9915746</x:v>
      </x:c>
      <x:c r="P334" s="14" t="str">
        <x:v>Stephie Bottomley</x:v>
      </x:c>
      <x:c r="Q334" s="15" t="n">
        <x:v>6</x:v>
      </x:c>
      <x:c r="R334" s="14" t="str">
        <x:v>2024</x:v>
      </x:c>
      <x:c r="S334" s="14" t="n">
        <x:v>2024</x:v>
      </x:c>
      <x:c r="T334" s="14" t="n">
        <x:v>2024</x:v>
      </x:c>
      <x:c r="U334" s="14" t="str">
        <x:v>Explicit source first year retained</x:v>
      </x:c>
      <x:c r="V334" s="14" t="str">
        <x:v>Earliest supplied year is 2024.</x:v>
      </x:c>
      <x:c r="W334" s="14"/>
      <x:c r="X334" s="14" t="str">
        <x:v>Carried forward to 2024</x:v>
      </x:c>
      <x:c r="Y334" s="14"/>
      <x:c r="Z334" s="14" t="str">
        <x:v>Sherwood.docx</x:v>
      </x:c>
      <x:c r="AA33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4" s="14" t="str">
        <x:v>Existing established-register match</x:v>
      </x:c>
      <x:c r="AC334" s="14" t="str">
        <x:v>Physical disability</x:v>
      </x:c>
      <x:c r="AD334" s="14" t="str">
        <x:v>Existing register classification: Physical disability</x:v>
      </x:c>
      <x:c r="AE334" s="14" t="str">
        <x:v>Established_Disability_Category_Register V1.2.xlsx</x:v>
      </x:c>
      <x:c r="AF334" s="14"/>
      <x:c r="AG334" s="14" t="str">
        <x:v>Established user-supplied classification retained for deduplication; evidence was not re-researched in this batch.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HYPERLINK("https://en.wikipedia.org/wiki/Sherwood","Open source")</x:f>
        <x:v>HYPERLINK is not implemented. linkLocation=https://en.wikipedia.org/wiki/Sherwood,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 t="str">
        <x:v>Exact IMDb performer ID match</x:v>
      </x:c>
      <x:c r="AT334" s="14" t="str">
        <x:v>nm9915746</x:v>
      </x:c>
      <x:c r="AU334" s="14" t="str">
        <x:v>Down syndrome | Physical disability</x:v>
      </x:c>
      <x:c r="AV334" s="14" t="str">
        <x:v>Yes</x:v>
      </x:c>
      <x:c r="AW334" s="14" t="str">
        <x:v>Down syndrome | Physical disability</x:v>
      </x:c>
      <x:c r="AX334" s="14" t="str">
        <x:v>No</x:v>
      </x:c>
      <x:c r="AY334" s="14" t="str">
        <x:v>Matched</x:v>
      </x:c>
      <x:c r="AZ334" s="14" t="str">
        <x:v>Final supplied register</x:v>
      </x:c>
      <x:c r="BA334" s="14"/>
      <x:c r="BB334" s="14" t="str">
        <x:v>Exact IMDb performer ID match</x:v>
      </x:c>
      <x:c r="BC334" s="14" t="str">
        <x:v>nm9915746</x:v>
      </x:c>
      <x:c r="BD334" s="14" t="str">
        <x:v>Bethany Asher</x:v>
      </x:c>
      <x:c r="BE334" s="14" t="str">
        <x:v>Down syndrome | Physical disability</x:v>
      </x:c>
      <x:c r="BF334" s="14" t="str">
        <x:v>Yes</x:v>
      </x:c>
      <x:c r="BG334" s="14" t="str">
        <x:v>Down syndrome | Physical disability</x:v>
      </x:c>
      <x:c r="BH334" s="14" t="str">
        <x:v>No</x:v>
      </x:c>
      <x:c r="BI334" s="14" t="str">
        <x:v>User-supplied established classification</x:v>
      </x:c>
      <x:c r="BJ334" s="14" t="str">
        <x:v>04_Physical_disability.csv | New IMDB Data.csv</x:v>
      </x:c>
      <x:c r="BK334" s="14"/>
      <x:c r="BL334" s="14" t="str">
        <x:v>Matched</x:v>
      </x:c>
      <x:c r="BM334" s="14" t="str">
        <x:v>Final supplied register</x:v>
      </x:c>
      <x:c r="BN334" s="14"/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6</x:v>
      </x:c>
      <x:c r="BS334" s="16" t="n">
        <x:v>0.5</x:v>
      </x:c>
      <x:c r="BT334" s="14" t="str">
        <x:v>Minority of episodes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tt13994572|nm0377244|chief constable</x:v>
      </x:c>
      <x:c r="B335" s="14" t="str">
        <x:v>04</x:v>
      </x:c>
      <x:c r="C335" s="14" t="str">
        <x:v>2022_IMDb_Cast_Lists_Batch_04(1).xlsx</x:v>
      </x:c>
      <x:c r="D335" s="14" t="str">
        <x:v>Sherwood</x:v>
      </x:c>
      <x:c r="E335" s="14" t="n">
        <x:v>32</x:v>
      </x:c>
      <x:c r="F335" s="14" t="str">
        <x:v>Sherwood</x:v>
      </x:c>
      <x:c r="G335" s="14" t="str">
        <x:v>tt13994572</x:v>
      </x:c>
      <x:c r="H335" s="14" t="n">
        <x:v>2022</x:v>
      </x:c>
      <x:c r="I335" s="14" t="n">
        <x:v>2023</x:v>
      </x:c>
      <x:c r="J335" s="14" t="str">
        <x:v>Future Carry-Forward Cohort</x:v>
      </x:c>
      <x:c r="K335" s="14" t="n">
        <x:v>2022</x:v>
      </x:c>
      <x:c r="L335" s="14" t="str">
        <x:v>Not inherited</x:v>
      </x:c>
      <x:c r="M335" s="15" t="n">
        <x:v>25</x:v>
      </x:c>
      <x:c r="N335" s="14" t="str">
        <x:v>Jennifer Hennessy</x:v>
      </x:c>
      <x:c r="O335" s="14" t="str">
        <x:v>nm0377244</x:v>
      </x:c>
      <x:c r="P335" s="14" t="str">
        <x:v>Chief Constable</x:v>
      </x:c>
      <x:c r="Q335" s="15" t="n">
        <x:v>6</x:v>
      </x:c>
      <x:c r="R335" s="14" t="str">
        <x:v>2024</x:v>
      </x:c>
      <x:c r="S335" s="14" t="n">
        <x:v>2024</x:v>
      </x:c>
      <x:c r="T335" s="14" t="n">
        <x:v>2024</x:v>
      </x:c>
      <x:c r="U335" s="14" t="str">
        <x:v>Explicit source first year retained</x:v>
      </x:c>
      <x:c r="V335" s="14" t="str">
        <x:v>Earliest supplied year is 2024.</x:v>
      </x:c>
      <x:c r="W335" s="14"/>
      <x:c r="X335" s="14" t="str">
        <x:v>Carried forward to 2024</x:v>
      </x:c>
      <x:c r="Y335" s="14"/>
      <x:c r="Z335" s="14" t="str">
        <x:v>Sherwood.docx</x:v>
      </x:c>
      <x:c r="AA33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HYPERLINK("https://en.wikipedia.org/wiki/Sherwood","Open source")</x:f>
        <x:v>HYPERLINK is not implemented. linkLocation=https://en.wikipedia.org/wiki/Sherwood,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6</x:v>
      </x:c>
      <x:c r="BS335" s="16" t="n">
        <x:v>0.5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tt13994572|nm0362873|denis bottomley</x:v>
      </x:c>
      <x:c r="B336" s="14" t="str">
        <x:v>04</x:v>
      </x:c>
      <x:c r="C336" s="14" t="str">
        <x:v>2022_IMDb_Cast_Lists_Batch_04(1).xlsx</x:v>
      </x:c>
      <x:c r="D336" s="14" t="str">
        <x:v>Sherwood</x:v>
      </x:c>
      <x:c r="E336" s="14" t="n">
        <x:v>33</x:v>
      </x:c>
      <x:c r="F336" s="14" t="str">
        <x:v>Sherwood</x:v>
      </x:c>
      <x:c r="G336" s="14" t="str">
        <x:v>tt13994572</x:v>
      </x:c>
      <x:c r="H336" s="14" t="n">
        <x:v>2022</x:v>
      </x:c>
      <x:c r="I336" s="14" t="n">
        <x:v>2023</x:v>
      </x:c>
      <x:c r="J336" s="14" t="str">
        <x:v>Future Carry-Forward Cohort</x:v>
      </x:c>
      <x:c r="K336" s="14" t="n">
        <x:v>2022</x:v>
      </x:c>
      <x:c r="L336" s="14" t="str">
        <x:v>Not inherited</x:v>
      </x:c>
      <x:c r="M336" s="15" t="n">
        <x:v>26</x:v>
      </x:c>
      <x:c r="N336" s="14" t="str">
        <x:v>David Harewood</x:v>
      </x:c>
      <x:c r="O336" s="14" t="str">
        <x:v>nm0362873</x:v>
      </x:c>
      <x:c r="P336" s="14" t="str">
        <x:v>Denis Bottomley</x:v>
      </x:c>
      <x:c r="Q336" s="15" t="n">
        <x:v>6</x:v>
      </x:c>
      <x:c r="R336" s="14" t="str">
        <x:v>2024</x:v>
      </x:c>
      <x:c r="S336" s="14" t="n">
        <x:v>2024</x:v>
      </x:c>
      <x:c r="T336" s="14" t="n">
        <x:v>2024</x:v>
      </x:c>
      <x:c r="U336" s="14" t="str">
        <x:v>Explicit source first year retained</x:v>
      </x:c>
      <x:c r="V336" s="14" t="str">
        <x:v>Earliest supplied year is 2024.</x:v>
      </x:c>
      <x:c r="W336" s="14"/>
      <x:c r="X336" s="14" t="str">
        <x:v>Carried forward to 2024</x:v>
      </x:c>
      <x:c r="Y336" s="14"/>
      <x:c r="Z336" s="14" t="str">
        <x:v>Sherwood.docx</x:v>
      </x:c>
      <x:c r="AA33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HYPERLINK("https://en.wikipedia.org/wiki/Sherwood","Open source")</x:f>
        <x:v>HYPERLINK is not implemented. linkLocation=https://en.wikipedia.org/wiki/Sherwood,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6</x:v>
      </x:c>
      <x:c r="BS336" s="16" t="n">
        <x:v>0.5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tt13994572|nm9053586|kyre branson</x:v>
      </x:c>
      <x:c r="B337" s="14" t="str">
        <x:v>04</x:v>
      </x:c>
      <x:c r="C337" s="14" t="str">
        <x:v>2022_IMDb_Cast_Lists_Batch_04(1).xlsx</x:v>
      </x:c>
      <x:c r="D337" s="14" t="str">
        <x:v>Sherwood</x:v>
      </x:c>
      <x:c r="E337" s="14" t="n">
        <x:v>34</x:v>
      </x:c>
      <x:c r="F337" s="14" t="str">
        <x:v>Sherwood</x:v>
      </x:c>
      <x:c r="G337" s="14" t="str">
        <x:v>tt13994572</x:v>
      </x:c>
      <x:c r="H337" s="14" t="n">
        <x:v>2022</x:v>
      </x:c>
      <x:c r="I337" s="14" t="n">
        <x:v>2023</x:v>
      </x:c>
      <x:c r="J337" s="14" t="str">
        <x:v>Future Carry-Forward Cohort</x:v>
      </x:c>
      <x:c r="K337" s="14" t="n">
        <x:v>2022</x:v>
      </x:c>
      <x:c r="L337" s="14" t="str">
        <x:v>Not inherited</x:v>
      </x:c>
      <x:c r="M337" s="15" t="n">
        <x:v>27</x:v>
      </x:c>
      <x:c r="N337" s="14" t="str">
        <x:v>Conor Deane</x:v>
      </x:c>
      <x:c r="O337" s="14" t="str">
        <x:v>nm9053586</x:v>
      </x:c>
      <x:c r="P337" s="14" t="str">
        <x:v>Kyre Branson</x:v>
      </x:c>
      <x:c r="Q337" s="15" t="n">
        <x:v>6</x:v>
      </x:c>
      <x:c r="R337" s="14" t="str">
        <x:v>2024</x:v>
      </x:c>
      <x:c r="S337" s="14" t="n">
        <x:v>2024</x:v>
      </x:c>
      <x:c r="T337" s="14" t="n">
        <x:v>2024</x:v>
      </x:c>
      <x:c r="U337" s="14" t="str">
        <x:v>Explicit source first year retained</x:v>
      </x:c>
      <x:c r="V337" s="14" t="str">
        <x:v>Earliest supplied year is 2024.</x:v>
      </x:c>
      <x:c r="W337" s="14"/>
      <x:c r="X337" s="14" t="str">
        <x:v>Carried forward to 2024</x:v>
      </x:c>
      <x:c r="Y337" s="14"/>
      <x:c r="Z337" s="14" t="str">
        <x:v>Sherwood.docx</x:v>
      </x:c>
      <x:c r="AA33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HYPERLINK("https://en.wikipedia.org/wiki/Sherwood","Open source")</x:f>
        <x:v>HYPERLINK is not implemented. linkLocation=https://en.wikipedia.org/wiki/Sherwood,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6</x:v>
      </x:c>
      <x:c r="BS337" s="16" t="n">
        <x:v>0.5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tt13994572|nm1156714|pam bottomley</x:v>
      </x:c>
      <x:c r="B338" s="14" t="str">
        <x:v>04</x:v>
      </x:c>
      <x:c r="C338" s="14" t="str">
        <x:v>2022_IMDb_Cast_Lists_Batch_04(1).xlsx</x:v>
      </x:c>
      <x:c r="D338" s="14" t="str">
        <x:v>Sherwood</x:v>
      </x:c>
      <x:c r="E338" s="14" t="n">
        <x:v>35</x:v>
      </x:c>
      <x:c r="F338" s="14" t="str">
        <x:v>Sherwood</x:v>
      </x:c>
      <x:c r="G338" s="14" t="str">
        <x:v>tt13994572</x:v>
      </x:c>
      <x:c r="H338" s="14" t="n">
        <x:v>2022</x:v>
      </x:c>
      <x:c r="I338" s="14" t="n">
        <x:v>2023</x:v>
      </x:c>
      <x:c r="J338" s="14" t="str">
        <x:v>Future Carry-Forward Cohort</x:v>
      </x:c>
      <x:c r="K338" s="14" t="n">
        <x:v>2022</x:v>
      </x:c>
      <x:c r="L338" s="14" t="str">
        <x:v>Not inherited</x:v>
      </x:c>
      <x:c r="M338" s="15" t="n">
        <x:v>28</x:v>
      </x:c>
      <x:c r="N338" s="14" t="str">
        <x:v>Sharlene Whyte</x:v>
      </x:c>
      <x:c r="O338" s="14" t="str">
        <x:v>nm1156714</x:v>
      </x:c>
      <x:c r="P338" s="14" t="str">
        <x:v>Pam Bottomley</x:v>
      </x:c>
      <x:c r="Q338" s="15" t="n">
        <x:v>6</x:v>
      </x:c>
      <x:c r="R338" s="14" t="str">
        <x:v>2024</x:v>
      </x:c>
      <x:c r="S338" s="14" t="n">
        <x:v>2024</x:v>
      </x:c>
      <x:c r="T338" s="14" t="n">
        <x:v>2024</x:v>
      </x:c>
      <x:c r="U338" s="14" t="str">
        <x:v>Explicit source first year retained</x:v>
      </x:c>
      <x:c r="V338" s="14" t="str">
        <x:v>Earliest supplied year is 2024.</x:v>
      </x:c>
      <x:c r="W338" s="14"/>
      <x:c r="X338" s="14" t="str">
        <x:v>Carried forward to 2024</x:v>
      </x:c>
      <x:c r="Y338" s="14"/>
      <x:c r="Z338" s="14" t="str">
        <x:v>Sherwood.docx</x:v>
      </x:c>
      <x:c r="AA33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HYPERLINK("https://en.wikipedia.org/wiki/Sherwood","Open source")</x:f>
        <x:v>HYPERLINK is not implemented. linkLocation=https://en.wikipedia.org/wiki/Sherwood,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6</x:v>
      </x:c>
      <x:c r="BS338" s="16" t="n">
        <x:v>0.5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tt13994572|nm14939089|jordan</x:v>
      </x:c>
      <x:c r="B339" s="14" t="str">
        <x:v>04</x:v>
      </x:c>
      <x:c r="C339" s="14" t="str">
        <x:v>2022_IMDb_Cast_Lists_Batch_04(1).xlsx</x:v>
      </x:c>
      <x:c r="D339" s="14" t="str">
        <x:v>Sherwood</x:v>
      </x:c>
      <x:c r="E339" s="14" t="n">
        <x:v>43</x:v>
      </x:c>
      <x:c r="F339" s="14" t="str">
        <x:v>Sherwood</x:v>
      </x:c>
      <x:c r="G339" s="14" t="str">
        <x:v>tt13994572</x:v>
      </x:c>
      <x:c r="H339" s="14" t="n">
        <x:v>2022</x:v>
      </x:c>
      <x:c r="I339" s="14" t="n">
        <x:v>2023</x:v>
      </x:c>
      <x:c r="J339" s="14" t="str">
        <x:v>Future Carry-Forward Cohort</x:v>
      </x:c>
      <x:c r="K339" s="14" t="n">
        <x:v>2022</x:v>
      </x:c>
      <x:c r="L339" s="14" t="str">
        <x:v>Not inherited</x:v>
      </x:c>
      <x:c r="M339" s="15" t="n">
        <x:v>36</x:v>
      </x:c>
      <x:c r="N339" s="14" t="str">
        <x:v>Tyrese Eaton-Dyce</x:v>
      </x:c>
      <x:c r="O339" s="14" t="str">
        <x:v>nm14939089</x:v>
      </x:c>
      <x:c r="P339" s="14" t="str">
        <x:v>Jordan</x:v>
      </x:c>
      <x:c r="Q339" s="15" t="n">
        <x:v>5</x:v>
      </x:c>
      <x:c r="R339" s="14" t="str">
        <x:v>2024</x:v>
      </x:c>
      <x:c r="S339" s="14" t="n">
        <x:v>2024</x:v>
      </x:c>
      <x:c r="T339" s="14" t="n">
        <x:v>2024</x:v>
      </x:c>
      <x:c r="U339" s="14" t="str">
        <x:v>Explicit source first year retained</x:v>
      </x:c>
      <x:c r="V339" s="14" t="str">
        <x:v>Earliest supplied year is 2024.</x:v>
      </x:c>
      <x:c r="W339" s="14"/>
      <x:c r="X339" s="14" t="str">
        <x:v>Carried forward to 2024</x:v>
      </x:c>
      <x:c r="Y339" s="14"/>
      <x:c r="Z339" s="14" t="str">
        <x:v>Sherwood.docx</x:v>
      </x:c>
      <x:c r="AA33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HYPERLINK("https://en.wikipedia.org/wiki/Sherwood","Open source")</x:f>
        <x:v>HYPERLINK is not implemented. linkLocation=https://en.wikipedia.org/wiki/Sherwood,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12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5</x:v>
      </x:c>
      <x:c r="BS339" s="16" t="n">
        <x:v>0.4166666666666667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tt13994572|nm3910150|marco</x:v>
      </x:c>
      <x:c r="B340" s="14" t="str">
        <x:v>04</x:v>
      </x:c>
      <x:c r="C340" s="14" t="str">
        <x:v>2022_IMDb_Cast_Lists_Batch_04(1).xlsx</x:v>
      </x:c>
      <x:c r="D340" s="14" t="str">
        <x:v>Sherwood</x:v>
      </x:c>
      <x:c r="E340" s="14" t="n">
        <x:v>50</x:v>
      </x:c>
      <x:c r="F340" s="14" t="str">
        <x:v>Sherwood</x:v>
      </x:c>
      <x:c r="G340" s="14" t="str">
        <x:v>tt13994572</x:v>
      </x:c>
      <x:c r="H340" s="14" t="n">
        <x:v>2022</x:v>
      </x:c>
      <x:c r="I340" s="14" t="n">
        <x:v>2023</x:v>
      </x:c>
      <x:c r="J340" s="14" t="str">
        <x:v>Future Carry-Forward Cohort</x:v>
      </x:c>
      <x:c r="K340" s="14" t="n">
        <x:v>2022</x:v>
      </x:c>
      <x:c r="L340" s="14" t="str">
        <x:v>Not inherited</x:v>
      </x:c>
      <x:c r="M340" s="15" t="n">
        <x:v>43</x:v>
      </x:c>
      <x:c r="N340" s="14" t="str">
        <x:v>Mark Oliver</x:v>
      </x:c>
      <x:c r="O340" s="14" t="str">
        <x:v>nm3910150</x:v>
      </x:c>
      <x:c r="P340" s="14" t="str">
        <x:v>Marco</x:v>
      </x:c>
      <x:c r="Q340" s="15" t="n">
        <x:v>4</x:v>
      </x:c>
      <x:c r="R340" s="14" t="str">
        <x:v>2024</x:v>
      </x:c>
      <x:c r="S340" s="14" t="n">
        <x:v>2024</x:v>
      </x:c>
      <x:c r="T340" s="14" t="n">
        <x:v>2024</x:v>
      </x:c>
      <x:c r="U340" s="14" t="str">
        <x:v>Explicit source first year retained</x:v>
      </x:c>
      <x:c r="V340" s="14" t="str">
        <x:v>Earliest supplied year is 2024.</x:v>
      </x:c>
      <x:c r="W340" s="14"/>
      <x:c r="X340" s="14" t="str">
        <x:v>Carried forward to 2024</x:v>
      </x:c>
      <x:c r="Y340" s="14"/>
      <x:c r="Z340" s="14" t="str">
        <x:v>Sherwood.docx</x:v>
      </x:c>
      <x:c r="AA34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HYPERLINK("https://en.wikipedia.org/wiki/Sherwood","Open source")</x:f>
        <x:v>HYPERLINK is not implemented. linkLocation=https://en.wikipedia.org/wiki/Sherwood,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12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4</x:v>
      </x:c>
      <x:c r="BS340" s="16" t="n">
        <x:v>0.3333333333333333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tt13994572|nm13275730|prisoner</x:v>
      </x:c>
      <x:c r="B341" s="14" t="str">
        <x:v>04</x:v>
      </x:c>
      <x:c r="C341" s="14" t="str">
        <x:v>2022_IMDb_Cast_Lists_Batch_04(1).xlsx</x:v>
      </x:c>
      <x:c r="D341" s="14" t="str">
        <x:v>Sherwood</x:v>
      </x:c>
      <x:c r="E341" s="14" t="n">
        <x:v>52</x:v>
      </x:c>
      <x:c r="F341" s="14" t="str">
        <x:v>Sherwood</x:v>
      </x:c>
      <x:c r="G341" s="14" t="str">
        <x:v>tt13994572</x:v>
      </x:c>
      <x:c r="H341" s="14" t="n">
        <x:v>2022</x:v>
      </x:c>
      <x:c r="I341" s="14" t="n">
        <x:v>2023</x:v>
      </x:c>
      <x:c r="J341" s="14" t="str">
        <x:v>Future Carry-Forward Cohort</x:v>
      </x:c>
      <x:c r="K341" s="14" t="n">
        <x:v>2022</x:v>
      </x:c>
      <x:c r="L341" s="14" t="str">
        <x:v>Not inherited</x:v>
      </x:c>
      <x:c r="M341" s="15" t="n">
        <x:v>45</x:v>
      </x:c>
      <x:c r="N341" s="14" t="str">
        <x:v>Anthony Gray Hawley</x:v>
      </x:c>
      <x:c r="O341" s="14" t="str">
        <x:v>nm13275730</x:v>
      </x:c>
      <x:c r="P341" s="14" t="str">
        <x:v>Prisoner</x:v>
      </x:c>
      <x:c r="Q341" s="15" t="n">
        <x:v>4</x:v>
      </x:c>
      <x:c r="R341" s="14" t="str">
        <x:v>2024</x:v>
      </x:c>
      <x:c r="S341" s="14" t="n">
        <x:v>2024</x:v>
      </x:c>
      <x:c r="T341" s="14" t="n">
        <x:v>2024</x:v>
      </x:c>
      <x:c r="U341" s="14" t="str">
        <x:v>Explicit source first year retained</x:v>
      </x:c>
      <x:c r="V341" s="14" t="str">
        <x:v>Earliest supplied year is 2024.</x:v>
      </x:c>
      <x:c r="W341" s="14"/>
      <x:c r="X341" s="14" t="str">
        <x:v>Carried forward to 2024</x:v>
      </x:c>
      <x:c r="Y341" s="14"/>
      <x:c r="Z341" s="14" t="str">
        <x:v>Sherwood.docx</x:v>
      </x:c>
      <x:c r="AA34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HYPERLINK("https://en.wikipedia.org/wiki/Sherwood","Open source")</x:f>
        <x:v>HYPERLINK is not implemented. linkLocation=https://en.wikipedia.org/wiki/Sherwood,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4</x:v>
      </x:c>
      <x:c r="BS341" s="16" t="n">
        <x:v>0.3333333333333333</x:v>
      </x:c>
      <x:c r="BT341" s="14" t="str">
        <x:v>Minority of episodes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tt13994572|nm15347067|prisoner</x:v>
      </x:c>
      <x:c r="B342" s="14" t="str">
        <x:v>04</x:v>
      </x:c>
      <x:c r="C342" s="14" t="str">
        <x:v>2022_IMDb_Cast_Lists_Batch_04(1).xlsx</x:v>
      </x:c>
      <x:c r="D342" s="14" t="str">
        <x:v>Sherwood</x:v>
      </x:c>
      <x:c r="E342" s="14" t="n">
        <x:v>53</x:v>
      </x:c>
      <x:c r="F342" s="14" t="str">
        <x:v>Sherwood</x:v>
      </x:c>
      <x:c r="G342" s="14" t="str">
        <x:v>tt13994572</x:v>
      </x:c>
      <x:c r="H342" s="14" t="n">
        <x:v>2022</x:v>
      </x:c>
      <x:c r="I342" s="14" t="n">
        <x:v>2023</x:v>
      </x:c>
      <x:c r="J342" s="14" t="str">
        <x:v>Future Carry-Forward Cohort</x:v>
      </x:c>
      <x:c r="K342" s="14" t="n">
        <x:v>2022</x:v>
      </x:c>
      <x:c r="L342" s="14" t="str">
        <x:v>Not inherited</x:v>
      </x:c>
      <x:c r="M342" s="15" t="n">
        <x:v>46</x:v>
      </x:c>
      <x:c r="N342" s="14" t="str">
        <x:v>Stamatis Karagiannis</x:v>
      </x:c>
      <x:c r="O342" s="14" t="str">
        <x:v>nm15347067</x:v>
      </x:c>
      <x:c r="P342" s="14" t="str">
        <x:v>Prisoner</x:v>
      </x:c>
      <x:c r="Q342" s="15" t="n">
        <x:v>4</x:v>
      </x:c>
      <x:c r="R342" s="14" t="str">
        <x:v>2024</x:v>
      </x:c>
      <x:c r="S342" s="14" t="n">
        <x:v>2024</x:v>
      </x:c>
      <x:c r="T342" s="14" t="n">
        <x:v>2024</x:v>
      </x:c>
      <x:c r="U342" s="14" t="str">
        <x:v>Explicit source first year retained</x:v>
      </x:c>
      <x:c r="V342" s="14" t="str">
        <x:v>Earliest supplied year is 2024.</x:v>
      </x:c>
      <x:c r="W342" s="14"/>
      <x:c r="X342" s="14" t="str">
        <x:v>Carried forward to 2024</x:v>
      </x:c>
      <x:c r="Y342" s="14"/>
      <x:c r="Z342" s="14" t="str">
        <x:v>Sherwood.docx</x:v>
      </x:c>
      <x:c r="AA34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HYPERLINK("https://en.wikipedia.org/wiki/Sherwood","Open source")</x:f>
        <x:v>HYPERLINK is not implemented. linkLocation=https://en.wikipedia.org/wiki/Sherwood,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4</x:v>
      </x:c>
      <x:c r="BS342" s="16" t="n">
        <x:v>0.3333333333333333</x:v>
      </x:c>
      <x:c r="BT342" s="14" t="str">
        <x:v>Minority of episodes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tt13994572|nm7987240|prison officer</x:v>
      </x:c>
      <x:c r="B343" s="14" t="str">
        <x:v>04</x:v>
      </x:c>
      <x:c r="C343" s="14" t="str">
        <x:v>2022_IMDb_Cast_Lists_Batch_04(1).xlsx</x:v>
      </x:c>
      <x:c r="D343" s="14" t="str">
        <x:v>Sherwood</x:v>
      </x:c>
      <x:c r="E343" s="14" t="n">
        <x:v>59</x:v>
      </x:c>
      <x:c r="F343" s="14" t="str">
        <x:v>Sherwood</x:v>
      </x:c>
      <x:c r="G343" s="14" t="str">
        <x:v>tt13994572</x:v>
      </x:c>
      <x:c r="H343" s="14" t="n">
        <x:v>2022</x:v>
      </x:c>
      <x:c r="I343" s="14" t="n">
        <x:v>2023</x:v>
      </x:c>
      <x:c r="J343" s="14" t="str">
        <x:v>Future Carry-Forward Cohort</x:v>
      </x:c>
      <x:c r="K343" s="14" t="n">
        <x:v>2022</x:v>
      </x:c>
      <x:c r="L343" s="14" t="str">
        <x:v>Not inherited</x:v>
      </x:c>
      <x:c r="M343" s="15" t="n">
        <x:v>52</x:v>
      </x:c>
      <x:c r="N343" s="14" t="str">
        <x:v>Lee Comley</x:v>
      </x:c>
      <x:c r="O343" s="14" t="str">
        <x:v>nm7987240</x:v>
      </x:c>
      <x:c r="P343" s="14" t="str">
        <x:v>Prison Officer</x:v>
      </x:c>
      <x:c r="Q343" s="15" t="n">
        <x:v>3</x:v>
      </x:c>
      <x:c r="R343" s="14" t="str">
        <x:v>2024</x:v>
      </x:c>
      <x:c r="S343" s="14" t="n">
        <x:v>2024</x:v>
      </x:c>
      <x:c r="T343" s="14" t="n">
        <x:v>2024</x:v>
      </x:c>
      <x:c r="U343" s="14" t="str">
        <x:v>Explicit source first year retained</x:v>
      </x:c>
      <x:c r="V343" s="14" t="str">
        <x:v>Earliest supplied year is 2024.</x:v>
      </x:c>
      <x:c r="W343" s="14"/>
      <x:c r="X343" s="14" t="str">
        <x:v>Carried forward to 2024</x:v>
      </x:c>
      <x:c r="Y343" s="14"/>
      <x:c r="Z343" s="14" t="str">
        <x:v>Sherwood.docx</x:v>
      </x:c>
      <x:c r="AA34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HYPERLINK("https://en.wikipedia.org/wiki/Sherwood","Open source")</x:f>
        <x:v>HYPERLINK is not implemented. linkLocation=https://en.wikipedia.org/wiki/Sherwood,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3</x:v>
      </x:c>
      <x:c r="BS343" s="16" t="n">
        <x:v>0.25</x:v>
      </x:c>
      <x:c r="BT343" s="14" t="str">
        <x:v>Minority of episodes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tt13994572|nm6078944|police close protection</x:v>
      </x:c>
      <x:c r="B344" s="14" t="str">
        <x:v>04</x:v>
      </x:c>
      <x:c r="C344" s="14" t="str">
        <x:v>2022_IMDb_Cast_Lists_Batch_04(1).xlsx</x:v>
      </x:c>
      <x:c r="D344" s="14" t="str">
        <x:v>Sherwood</x:v>
      </x:c>
      <x:c r="E344" s="14" t="n">
        <x:v>61</x:v>
      </x:c>
      <x:c r="F344" s="14" t="str">
        <x:v>Sherwood</x:v>
      </x:c>
      <x:c r="G344" s="14" t="str">
        <x:v>tt13994572</x:v>
      </x:c>
      <x:c r="H344" s="14" t="n">
        <x:v>2022</x:v>
      </x:c>
      <x:c r="I344" s="14" t="n">
        <x:v>2023</x:v>
      </x:c>
      <x:c r="J344" s="14" t="str">
        <x:v>Future Carry-Forward Cohort</x:v>
      </x:c>
      <x:c r="K344" s="14" t="n">
        <x:v>2022</x:v>
      </x:c>
      <x:c r="L344" s="14" t="str">
        <x:v>Not inherited</x:v>
      </x:c>
      <x:c r="M344" s="15" t="n">
        <x:v>54</x:v>
      </x:c>
      <x:c r="N344" s="14" t="str">
        <x:v>Dave Simon</x:v>
      </x:c>
      <x:c r="O344" s="14" t="str">
        <x:v>nm6078944</x:v>
      </x:c>
      <x:c r="P344" s="14" t="str">
        <x:v>Police Close Protection</x:v>
      </x:c>
      <x:c r="Q344" s="15" t="n">
        <x:v>3</x:v>
      </x:c>
      <x:c r="R344" s="14" t="str">
        <x:v>2024</x:v>
      </x:c>
      <x:c r="S344" s="14" t="n">
        <x:v>2024</x:v>
      </x:c>
      <x:c r="T344" s="14" t="n">
        <x:v>2024</x:v>
      </x:c>
      <x:c r="U344" s="14" t="str">
        <x:v>Explicit source first year retained</x:v>
      </x:c>
      <x:c r="V344" s="14" t="str">
        <x:v>Earliest supplied year is 2024.</x:v>
      </x:c>
      <x:c r="W344" s="14"/>
      <x:c r="X344" s="14" t="str">
        <x:v>Carried forward to 2024</x:v>
      </x:c>
      <x:c r="Y344" s="14"/>
      <x:c r="Z344" s="14" t="str">
        <x:v>Sherwood.docx</x:v>
      </x:c>
      <x:c r="AA34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BBC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HYPERLINK("https://en.wikipedia.org/wiki/Sherwood","Open source")</x:f>
        <x:v>HYPERLINK is not implemented. linkLocation=https://en.wikipedia.org/wiki/Sherwood, friendlyName=Open source</x:v>
      </x:c>
      <x:c r="AN344" s="14" t="str">
        <x:v>BBC public-service commission</x:v>
      </x:c>
      <x:c r="AO344" s="14" t="str">
        <x:v>Yes</x:v>
      </x:c>
      <x:c r="AP344" s="14" t="str">
        <x:v>Direct BBC public-service scope</x:v>
      </x:c>
      <x:c r="AQ344" s="14" t="str">
        <x:v>Yes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3</x:v>
      </x:c>
      <x:c r="BS344" s="16" t="n">
        <x:v>0.25</x:v>
      </x:c>
      <x:c r="BT344" s="14" t="str">
        <x:v>Minority of episodes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tt13994572|nm2770237|jarrod</x:v>
      </x:c>
      <x:c r="B345" s="14" t="str">
        <x:v>04</x:v>
      </x:c>
      <x:c r="C345" s="14" t="str">
        <x:v>2022_IMDb_Cast_Lists_Batch_04(1).xlsx</x:v>
      </x:c>
      <x:c r="D345" s="14" t="str">
        <x:v>Sherwood</x:v>
      </x:c>
      <x:c r="E345" s="14" t="n">
        <x:v>67</x:v>
      </x:c>
      <x:c r="F345" s="14" t="str">
        <x:v>Sherwood</x:v>
      </x:c>
      <x:c r="G345" s="14" t="str">
        <x:v>tt13994572</x:v>
      </x:c>
      <x:c r="H345" s="14" t="n">
        <x:v>2022</x:v>
      </x:c>
      <x:c r="I345" s="14" t="n">
        <x:v>2023</x:v>
      </x:c>
      <x:c r="J345" s="14" t="str">
        <x:v>Future Carry-Forward Cohort</x:v>
      </x:c>
      <x:c r="K345" s="14" t="n">
        <x:v>2022</x:v>
      </x:c>
      <x:c r="L345" s="14" t="str">
        <x:v>Not inherited</x:v>
      </x:c>
      <x:c r="M345" s="15" t="n">
        <x:v>60</x:v>
      </x:c>
      <x:c r="N345" s="14" t="str">
        <x:v>James Burrows</x:v>
      </x:c>
      <x:c r="O345" s="14" t="str">
        <x:v>nm2770237</x:v>
      </x:c>
      <x:c r="P345" s="14" t="str">
        <x:v>Jarrod</x:v>
      </x:c>
      <x:c r="Q345" s="15" t="n">
        <x:v>2</x:v>
      </x:c>
      <x:c r="R345" s="14" t="str">
        <x:v>2024</x:v>
      </x:c>
      <x:c r="S345" s="14" t="n">
        <x:v>2024</x:v>
      </x:c>
      <x:c r="T345" s="14" t="n">
        <x:v>2024</x:v>
      </x:c>
      <x:c r="U345" s="14" t="str">
        <x:v>Explicit source first year retained</x:v>
      </x:c>
      <x:c r="V345" s="14" t="str">
        <x:v>Earliest supplied year is 2024.</x:v>
      </x:c>
      <x:c r="W345" s="14"/>
      <x:c r="X345" s="14" t="str">
        <x:v>Carried forward to 2024</x:v>
      </x:c>
      <x:c r="Y345" s="14"/>
      <x:c r="Z345" s="14" t="str">
        <x:v>Sherwood.docx</x:v>
      </x:c>
      <x:c r="AA34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BBC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HYPERLINK("https://en.wikipedia.org/wiki/Sherwood","Open source")</x:f>
        <x:v>HYPERLINK is not implemented. linkLocation=https://en.wikipedia.org/wiki/Sherwood, friendlyName=Open source</x:v>
      </x:c>
      <x:c r="AN345" s="14" t="str">
        <x:v>BBC public-service commission</x:v>
      </x:c>
      <x:c r="AO345" s="14" t="str">
        <x:v>Yes</x:v>
      </x:c>
      <x:c r="AP345" s="14" t="str">
        <x:v>Direct BBC public-service scope</x:v>
      </x:c>
      <x:c r="AQ345" s="14" t="str">
        <x:v>Yes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2</x:v>
      </x:c>
      <x:c r="BS345" s="16" t="n">
        <x:v>0.16666666666666666</x:v>
      </x:c>
      <x:c r="BT345" s="14" t="str">
        <x:v>Minority of episodes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tt13994572|nm12992479|pc crystal brown</x:v>
      </x:c>
      <x:c r="B346" s="14" t="str">
        <x:v>04</x:v>
      </x:c>
      <x:c r="C346" s="14" t="str">
        <x:v>2022_IMDb_Cast_Lists_Batch_04(1).xlsx</x:v>
      </x:c>
      <x:c r="D346" s="14" t="str">
        <x:v>Sherwood</x:v>
      </x:c>
      <x:c r="E346" s="14" t="n">
        <x:v>69</x:v>
      </x:c>
      <x:c r="F346" s="14" t="str">
        <x:v>Sherwood</x:v>
      </x:c>
      <x:c r="G346" s="14" t="str">
        <x:v>tt13994572</x:v>
      </x:c>
      <x:c r="H346" s="14" t="n">
        <x:v>2022</x:v>
      </x:c>
      <x:c r="I346" s="14" t="n">
        <x:v>2023</x:v>
      </x:c>
      <x:c r="J346" s="14" t="str">
        <x:v>Future Carry-Forward Cohort</x:v>
      </x:c>
      <x:c r="K346" s="14" t="n">
        <x:v>2022</x:v>
      </x:c>
      <x:c r="L346" s="14" t="str">
        <x:v>Not inherited</x:v>
      </x:c>
      <x:c r="M346" s="15" t="n">
        <x:v>62</x:v>
      </x:c>
      <x:c r="N346" s="14" t="str">
        <x:v>Jessica Whitehurst</x:v>
      </x:c>
      <x:c r="O346" s="14" t="str">
        <x:v>nm12992479</x:v>
      </x:c>
      <x:c r="P346" s="14" t="str">
        <x:v>PC Crystal Brown</x:v>
      </x:c>
      <x:c r="Q346" s="15" t="n">
        <x:v>2</x:v>
      </x:c>
      <x:c r="R346" s="14" t="str">
        <x:v>2024</x:v>
      </x:c>
      <x:c r="S346" s="14" t="n">
        <x:v>2024</x:v>
      </x:c>
      <x:c r="T346" s="14" t="n">
        <x:v>2024</x:v>
      </x:c>
      <x:c r="U346" s="14" t="str">
        <x:v>Explicit source first year retained</x:v>
      </x:c>
      <x:c r="V346" s="14" t="str">
        <x:v>Earliest supplied year is 2024.</x:v>
      </x:c>
      <x:c r="W346" s="14"/>
      <x:c r="X346" s="14" t="str">
        <x:v>Carried forward to 2024</x:v>
      </x:c>
      <x:c r="Y346" s="14"/>
      <x:c r="Z346" s="14" t="str">
        <x:v>Sherwood.docx</x:v>
      </x:c>
      <x:c r="AA34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BBC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HYPERLINK("https://en.wikipedia.org/wiki/Sherwood","Open source")</x:f>
        <x:v>HYPERLINK is not implemented. linkLocation=https://en.wikipedia.org/wiki/Sherwood, friendlyName=Open source</x:v>
      </x:c>
      <x:c r="AN346" s="14" t="str">
        <x:v>BBC public-service commission</x:v>
      </x:c>
      <x:c r="AO346" s="14" t="str">
        <x:v>Yes</x:v>
      </x:c>
      <x:c r="AP346" s="14" t="str">
        <x:v>Direct BBC public-service scope</x:v>
      </x:c>
      <x:c r="AQ346" s="14" t="str">
        <x:v>Yes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2</x:v>
      </x:c>
      <x:c r="BS346" s="16" t="n">
        <x:v>0.16666666666666666</x:v>
      </x:c>
      <x:c r="BT346" s="14" t="str">
        <x:v>Minority of episodes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tt13994572|nm4362505|jamie</x:v>
      </x:c>
      <x:c r="B347" s="14" t="str">
        <x:v>04</x:v>
      </x:c>
      <x:c r="C347" s="14" t="str">
        <x:v>2022_IMDb_Cast_Lists_Batch_04(1).xlsx</x:v>
      </x:c>
      <x:c r="D347" s="14" t="str">
        <x:v>Sherwood</x:v>
      </x:c>
      <x:c r="E347" s="14" t="n">
        <x:v>70</x:v>
      </x:c>
      <x:c r="F347" s="14" t="str">
        <x:v>Sherwood</x:v>
      </x:c>
      <x:c r="G347" s="14" t="str">
        <x:v>tt13994572</x:v>
      </x:c>
      <x:c r="H347" s="14" t="n">
        <x:v>2022</x:v>
      </x:c>
      <x:c r="I347" s="14" t="n">
        <x:v>2023</x:v>
      </x:c>
      <x:c r="J347" s="14" t="str">
        <x:v>Future Carry-Forward Cohort</x:v>
      </x:c>
      <x:c r="K347" s="14" t="n">
        <x:v>2022</x:v>
      </x:c>
      <x:c r="L347" s="14" t="str">
        <x:v>Not inherited</x:v>
      </x:c>
      <x:c r="M347" s="15" t="n">
        <x:v>63</x:v>
      </x:c>
      <x:c r="N347" s="14" t="str">
        <x:v>Andrew Gower</x:v>
      </x:c>
      <x:c r="O347" s="14" t="str">
        <x:v>nm4362505</x:v>
      </x:c>
      <x:c r="P347" s="14" t="str">
        <x:v>Jamie</x:v>
      </x:c>
      <x:c r="Q347" s="15" t="n">
        <x:v>2</x:v>
      </x:c>
      <x:c r="R347" s="14" t="str">
        <x:v>2024</x:v>
      </x:c>
      <x:c r="S347" s="14" t="n">
        <x:v>2024</x:v>
      </x:c>
      <x:c r="T347" s="14" t="n">
        <x:v>2024</x:v>
      </x:c>
      <x:c r="U347" s="14" t="str">
        <x:v>Explicit source first year retained</x:v>
      </x:c>
      <x:c r="V347" s="14" t="str">
        <x:v>Earliest supplied year is 2024.</x:v>
      </x:c>
      <x:c r="W347" s="14"/>
      <x:c r="X347" s="14" t="str">
        <x:v>Carried forward to 2024</x:v>
      </x:c>
      <x:c r="Y347" s="14"/>
      <x:c r="Z347" s="14" t="str">
        <x:v>Sherwood.docx</x:v>
      </x:c>
      <x:c r="AA34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BBC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HYPERLINK("https://en.wikipedia.org/wiki/Sherwood","Open source")</x:f>
        <x:v>HYPERLINK is not implemented. linkLocation=https://en.wikipedia.org/wiki/Sherwood, friendlyName=Open source</x:v>
      </x:c>
      <x:c r="AN347" s="14" t="str">
        <x:v>BBC public-service commission</x:v>
      </x:c>
      <x:c r="AO347" s="14" t="str">
        <x:v>Yes</x:v>
      </x:c>
      <x:c r="AP347" s="14" t="str">
        <x:v>Direct BBC public-service scope</x:v>
      </x:c>
      <x:c r="AQ347" s="14" t="str">
        <x:v>Yes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2</x:v>
      </x:c>
      <x:c r="BS347" s="16" t="n">
        <x:v>0.16666666666666666</x:v>
      </x:c>
      <x:c r="BT347" s="14" t="str">
        <x:v>Minority of episodes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tt13994572|nm8087971|bar staff</x:v>
      </x:c>
      <x:c r="B348" s="14" t="str">
        <x:v>04</x:v>
      </x:c>
      <x:c r="C348" s="14" t="str">
        <x:v>2022_IMDb_Cast_Lists_Batch_04(1).xlsx</x:v>
      </x:c>
      <x:c r="D348" s="14" t="str">
        <x:v>Sherwood</x:v>
      </x:c>
      <x:c r="E348" s="14" t="n">
        <x:v>71</x:v>
      </x:c>
      <x:c r="F348" s="14" t="str">
        <x:v>Sherwood</x:v>
      </x:c>
      <x:c r="G348" s="14" t="str">
        <x:v>tt13994572</x:v>
      </x:c>
      <x:c r="H348" s="14" t="n">
        <x:v>2022</x:v>
      </x:c>
      <x:c r="I348" s="14" t="n">
        <x:v>2023</x:v>
      </x:c>
      <x:c r="J348" s="14" t="str">
        <x:v>Future Carry-Forward Cohort</x:v>
      </x:c>
      <x:c r="K348" s="14" t="n">
        <x:v>2022</x:v>
      </x:c>
      <x:c r="L348" s="14" t="str">
        <x:v>Not inherited</x:v>
      </x:c>
      <x:c r="M348" s="15" t="n">
        <x:v>64</x:v>
      </x:c>
      <x:c r="N348" s="14" t="str">
        <x:v>Kieron Brook</x:v>
      </x:c>
      <x:c r="O348" s="14" t="str">
        <x:v>nm8087971</x:v>
      </x:c>
      <x:c r="P348" s="14" t="str">
        <x:v>Bar Staff</x:v>
      </x:c>
      <x:c r="Q348" s="15" t="n">
        <x:v>2</x:v>
      </x:c>
      <x:c r="R348" s="14" t="str">
        <x:v>2024</x:v>
      </x:c>
      <x:c r="S348" s="14" t="n">
        <x:v>2024</x:v>
      </x:c>
      <x:c r="T348" s="14" t="n">
        <x:v>2024</x:v>
      </x:c>
      <x:c r="U348" s="14" t="str">
        <x:v>Explicit source first year retained</x:v>
      </x:c>
      <x:c r="V348" s="14" t="str">
        <x:v>Earliest supplied year is 2024.</x:v>
      </x:c>
      <x:c r="W348" s="14"/>
      <x:c r="X348" s="14" t="str">
        <x:v>Carried forward to 2024</x:v>
      </x:c>
      <x:c r="Y348" s="14"/>
      <x:c r="Z348" s="14" t="str">
        <x:v>Sherwood.docx</x:v>
      </x:c>
      <x:c r="AA34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BBC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HYPERLINK("https://en.wikipedia.org/wiki/Sherwood","Open source")</x:f>
        <x:v>HYPERLINK is not implemented. linkLocation=https://en.wikipedia.org/wiki/Sherwood, friendlyName=Open source</x:v>
      </x:c>
      <x:c r="AN348" s="14" t="str">
        <x:v>BBC public-service commission</x:v>
      </x:c>
      <x:c r="AO348" s="14" t="str">
        <x:v>Yes</x:v>
      </x:c>
      <x:c r="AP348" s="14" t="str">
        <x:v>Direct BBC public-service scope</x:v>
      </x:c>
      <x:c r="AQ348" s="14" t="str">
        <x:v>Yes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12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2</x:v>
      </x:c>
      <x:c r="BS348" s="16" t="n">
        <x:v>0.16666666666666666</x:v>
      </x:c>
      <x:c r="BT348" s="14" t="str">
        <x:v>Minority of episodes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tt13994572|nm10621604|safehouse neighbour</x:v>
      </x:c>
      <x:c r="B349" s="14" t="str">
        <x:v>04</x:v>
      </x:c>
      <x:c r="C349" s="14" t="str">
        <x:v>2022_IMDb_Cast_Lists_Batch_04(1).xlsx</x:v>
      </x:c>
      <x:c r="D349" s="14" t="str">
        <x:v>Sherwood</x:v>
      </x:c>
      <x:c r="E349" s="14" t="n">
        <x:v>72</x:v>
      </x:c>
      <x:c r="F349" s="14" t="str">
        <x:v>Sherwood</x:v>
      </x:c>
      <x:c r="G349" s="14" t="str">
        <x:v>tt13994572</x:v>
      </x:c>
      <x:c r="H349" s="14" t="n">
        <x:v>2022</x:v>
      </x:c>
      <x:c r="I349" s="14" t="n">
        <x:v>2023</x:v>
      </x:c>
      <x:c r="J349" s="14" t="str">
        <x:v>Future Carry-Forward Cohort</x:v>
      </x:c>
      <x:c r="K349" s="14" t="n">
        <x:v>2022</x:v>
      </x:c>
      <x:c r="L349" s="14" t="str">
        <x:v>Not inherited</x:v>
      </x:c>
      <x:c r="M349" s="15" t="n">
        <x:v>65</x:v>
      </x:c>
      <x:c r="N349" s="14" t="str">
        <x:v>Roger Conneff</x:v>
      </x:c>
      <x:c r="O349" s="14" t="str">
        <x:v>nm10621604</x:v>
      </x:c>
      <x:c r="P349" s="14" t="str">
        <x:v>Safehouse Neighbour</x:v>
      </x:c>
      <x:c r="Q349" s="15" t="n">
        <x:v>2</x:v>
      </x:c>
      <x:c r="R349" s="14" t="str">
        <x:v>2024</x:v>
      </x:c>
      <x:c r="S349" s="14" t="n">
        <x:v>2024</x:v>
      </x:c>
      <x:c r="T349" s="14" t="n">
        <x:v>2024</x:v>
      </x:c>
      <x:c r="U349" s="14" t="str">
        <x:v>Explicit source first year retained</x:v>
      </x:c>
      <x:c r="V349" s="14" t="str">
        <x:v>Earliest supplied year is 2024.</x:v>
      </x:c>
      <x:c r="W349" s="14"/>
      <x:c r="X349" s="14" t="str">
        <x:v>Carried forward to 2024</x:v>
      </x:c>
      <x:c r="Y349" s="14"/>
      <x:c r="Z349" s="14" t="str">
        <x:v>Sherwood.docx</x:v>
      </x:c>
      <x:c r="AA34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BBC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HYPERLINK("https://en.wikipedia.org/wiki/Sherwood","Open source")</x:f>
        <x:v>HYPERLINK is not implemented. linkLocation=https://en.wikipedia.org/wiki/Sherwood, friendlyName=Open source</x:v>
      </x:c>
      <x:c r="AN349" s="14" t="str">
        <x:v>BBC public-service commission</x:v>
      </x:c>
      <x:c r="AO349" s="14" t="str">
        <x:v>Yes</x:v>
      </x:c>
      <x:c r="AP349" s="14" t="str">
        <x:v>Direct BBC public-service scope</x:v>
      </x:c>
      <x:c r="AQ349" s="14" t="str">
        <x:v>Yes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12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2</x:v>
      </x:c>
      <x:c r="BS349" s="16" t="n">
        <x:v>0.16666666666666666</x:v>
      </x:c>
      <x:c r="BT349" s="14" t="str">
        <x:v>Minority of episodes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tt13994572|nm0806937|denise</x:v>
      </x:c>
      <x:c r="B350" s="14" t="str">
        <x:v>04</x:v>
      </x:c>
      <x:c r="C350" s="14" t="str">
        <x:v>2022_IMDb_Cast_Lists_Batch_04(1).xlsx</x:v>
      </x:c>
      <x:c r="D350" s="14" t="str">
        <x:v>Sherwood</x:v>
      </x:c>
      <x:c r="E350" s="14" t="n">
        <x:v>74</x:v>
      </x:c>
      <x:c r="F350" s="14" t="str">
        <x:v>Sherwood</x:v>
      </x:c>
      <x:c r="G350" s="14" t="str">
        <x:v>tt13994572</x:v>
      </x:c>
      <x:c r="H350" s="14" t="n">
        <x:v>2022</x:v>
      </x:c>
      <x:c r="I350" s="14" t="n">
        <x:v>2023</x:v>
      </x:c>
      <x:c r="J350" s="14" t="str">
        <x:v>Future Carry-Forward Cohort</x:v>
      </x:c>
      <x:c r="K350" s="14" t="n">
        <x:v>2022</x:v>
      </x:c>
      <x:c r="L350" s="14" t="str">
        <x:v>Not inherited</x:v>
      </x:c>
      <x:c r="M350" s="15" t="n">
        <x:v>67</x:v>
      </x:c>
      <x:c r="N350" s="14" t="str">
        <x:v>Dena Smiles</x:v>
      </x:c>
      <x:c r="O350" s="14" t="str">
        <x:v>nm0806937</x:v>
      </x:c>
      <x:c r="P350" s="14" t="str">
        <x:v>Denise</x:v>
      </x:c>
      <x:c r="Q350" s="15" t="n">
        <x:v>2</x:v>
      </x:c>
      <x:c r="R350" s="14" t="str">
        <x:v>2024</x:v>
      </x:c>
      <x:c r="S350" s="14" t="n">
        <x:v>2024</x:v>
      </x:c>
      <x:c r="T350" s="14" t="n">
        <x:v>2024</x:v>
      </x:c>
      <x:c r="U350" s="14" t="str">
        <x:v>Explicit source first year retained</x:v>
      </x:c>
      <x:c r="V350" s="14" t="str">
        <x:v>Earliest supplied year is 2024.</x:v>
      </x:c>
      <x:c r="W350" s="14"/>
      <x:c r="X350" s="14" t="str">
        <x:v>Carried forward to 2024</x:v>
      </x:c>
      <x:c r="Y350" s="14"/>
      <x:c r="Z350" s="14" t="str">
        <x:v>Sherwood.docx</x:v>
      </x:c>
      <x:c r="AA35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BBC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HYPERLINK("https://en.wikipedia.org/wiki/Sherwood","Open source")</x:f>
        <x:v>HYPERLINK is not implemented. linkLocation=https://en.wikipedia.org/wiki/Sherwood, friendlyName=Open source</x:v>
      </x:c>
      <x:c r="AN350" s="14" t="str">
        <x:v>BBC public-service commission</x:v>
      </x:c>
      <x:c r="AO350" s="14" t="str">
        <x:v>Yes</x:v>
      </x:c>
      <x:c r="AP350" s="14" t="str">
        <x:v>Direct BBC public-service scope</x:v>
      </x:c>
      <x:c r="AQ350" s="14" t="str">
        <x:v>Yes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12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2</x:v>
      </x:c>
      <x:c r="BS350" s="16" t="n">
        <x:v>0.16666666666666666</x:v>
      </x:c>
      <x:c r="BT350" s="14" t="str">
        <x:v>Minority of episodes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tt13994572|nm5288128|reporter</x:v>
      </x:c>
      <x:c r="B351" s="14" t="str">
        <x:v>04</x:v>
      </x:c>
      <x:c r="C351" s="14" t="str">
        <x:v>2022_IMDb_Cast_Lists_Batch_04(1).xlsx</x:v>
      </x:c>
      <x:c r="D351" s="14" t="str">
        <x:v>Sherwood</x:v>
      </x:c>
      <x:c r="E351" s="14" t="n">
        <x:v>75</x:v>
      </x:c>
      <x:c r="F351" s="14" t="str">
        <x:v>Sherwood</x:v>
      </x:c>
      <x:c r="G351" s="14" t="str">
        <x:v>tt13994572</x:v>
      </x:c>
      <x:c r="H351" s="14" t="n">
        <x:v>2022</x:v>
      </x:c>
      <x:c r="I351" s="14" t="n">
        <x:v>2023</x:v>
      </x:c>
      <x:c r="J351" s="14" t="str">
        <x:v>Future Carry-Forward Cohort</x:v>
      </x:c>
      <x:c r="K351" s="14" t="n">
        <x:v>2022</x:v>
      </x:c>
      <x:c r="L351" s="14" t="str">
        <x:v>Not inherited</x:v>
      </x:c>
      <x:c r="M351" s="15" t="n">
        <x:v>68</x:v>
      </x:c>
      <x:c r="N351" s="14" t="str">
        <x:v>Taj Kandula</x:v>
      </x:c>
      <x:c r="O351" s="14" t="str">
        <x:v>nm5288128</x:v>
      </x:c>
      <x:c r="P351" s="14" t="str">
        <x:v>Reporter</x:v>
      </x:c>
      <x:c r="Q351" s="15" t="n">
        <x:v>2</x:v>
      </x:c>
      <x:c r="R351" s="14" t="str">
        <x:v>2024</x:v>
      </x:c>
      <x:c r="S351" s="14" t="n">
        <x:v>2024</x:v>
      </x:c>
      <x:c r="T351" s="14" t="n">
        <x:v>2024</x:v>
      </x:c>
      <x:c r="U351" s="14" t="str">
        <x:v>Explicit source first year retained</x:v>
      </x:c>
      <x:c r="V351" s="14" t="str">
        <x:v>Earliest supplied year is 2024.</x:v>
      </x:c>
      <x:c r="W351" s="14"/>
      <x:c r="X351" s="14" t="str">
        <x:v>Carried forward to 2024</x:v>
      </x:c>
      <x:c r="Y351" s="14"/>
      <x:c r="Z351" s="14" t="str">
        <x:v>Sherwood.docx</x:v>
      </x:c>
      <x:c r="AA35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BBC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HYPERLINK("https://en.wikipedia.org/wiki/Sherwood","Open source")</x:f>
        <x:v>HYPERLINK is not implemented. linkLocation=https://en.wikipedia.org/wiki/Sherwood, friendlyName=Open source</x:v>
      </x:c>
      <x:c r="AN351" s="14" t="str">
        <x:v>BBC public-service commission</x:v>
      </x:c>
      <x:c r="AO351" s="14" t="str">
        <x:v>Yes</x:v>
      </x:c>
      <x:c r="AP351" s="14" t="str">
        <x:v>Direct BBC public-service scope</x:v>
      </x:c>
      <x:c r="AQ351" s="14" t="str">
        <x:v>Yes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12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2</x:v>
      </x:c>
      <x:c r="BS351" s="16" t="n">
        <x:v>0.16666666666666666</x:v>
      </x:c>
      <x:c r="BT351" s="14" t="str">
        <x:v>Minority of episodes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tt13994572|nm10862598|nicky branson</x:v>
      </x:c>
      <x:c r="B352" s="14" t="str">
        <x:v>04</x:v>
      </x:c>
      <x:c r="C352" s="14" t="str">
        <x:v>2022_IMDb_Cast_Lists_Batch_04(1).xlsx</x:v>
      </x:c>
      <x:c r="D352" s="14" t="str">
        <x:v>Sherwood</x:v>
      </x:c>
      <x:c r="E352" s="14" t="n">
        <x:v>76</x:v>
      </x:c>
      <x:c r="F352" s="14" t="str">
        <x:v>Sherwood</x:v>
      </x:c>
      <x:c r="G352" s="14" t="str">
        <x:v>tt13994572</x:v>
      </x:c>
      <x:c r="H352" s="14" t="n">
        <x:v>2022</x:v>
      </x:c>
      <x:c r="I352" s="14" t="n">
        <x:v>2023</x:v>
      </x:c>
      <x:c r="J352" s="14" t="str">
        <x:v>Future Carry-Forward Cohort</x:v>
      </x:c>
      <x:c r="K352" s="14" t="n">
        <x:v>2022</x:v>
      </x:c>
      <x:c r="L352" s="14" t="str">
        <x:v>Not inherited</x:v>
      </x:c>
      <x:c r="M352" s="15" t="n">
        <x:v>69</x:v>
      </x:c>
      <x:c r="N352" s="14" t="str">
        <x:v>Sam Buchanan</x:v>
      </x:c>
      <x:c r="O352" s="14" t="str">
        <x:v>nm10862598</x:v>
      </x:c>
      <x:c r="P352" s="14" t="str">
        <x:v>Nicky Branson</x:v>
      </x:c>
      <x:c r="Q352" s="15" t="n">
        <x:v>2</x:v>
      </x:c>
      <x:c r="R352" s="14" t="str">
        <x:v>2024</x:v>
      </x:c>
      <x:c r="S352" s="14" t="n">
        <x:v>2024</x:v>
      </x:c>
      <x:c r="T352" s="14" t="n">
        <x:v>2024</x:v>
      </x:c>
      <x:c r="U352" s="14" t="str">
        <x:v>Explicit source first year retained</x:v>
      </x:c>
      <x:c r="V352" s="14" t="str">
        <x:v>Earliest supplied year is 2024.</x:v>
      </x:c>
      <x:c r="W352" s="14"/>
      <x:c r="X352" s="14" t="str">
        <x:v>Carried forward to 2024</x:v>
      </x:c>
      <x:c r="Y352" s="14"/>
      <x:c r="Z352" s="14" t="str">
        <x:v>Sherwood.docx</x:v>
      </x:c>
      <x:c r="AA35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BBC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HYPERLINK("https://en.wikipedia.org/wiki/Sherwood","Open source")</x:f>
        <x:v>HYPERLINK is not implemented. linkLocation=https://en.wikipedia.org/wiki/Sherwood, friendlyName=Open source</x:v>
      </x:c>
      <x:c r="AN352" s="14" t="str">
        <x:v>BBC public-service commission</x:v>
      </x:c>
      <x:c r="AO352" s="14" t="str">
        <x:v>Yes</x:v>
      </x:c>
      <x:c r="AP352" s="14" t="str">
        <x:v>Direct BBC public-service scope</x:v>
      </x:c>
      <x:c r="AQ352" s="14" t="str">
        <x:v>Yes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12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2</x:v>
      </x:c>
      <x:c r="BS352" s="16" t="n">
        <x:v>0.16666666666666666</x:v>
      </x:c>
      <x:c r="BT352" s="14" t="str">
        <x:v>Minority of episodes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tt13994572|nm8314230|forensic firearms specialist</x:v>
      </x:c>
      <x:c r="B353" s="14" t="str">
        <x:v>04</x:v>
      </x:c>
      <x:c r="C353" s="14" t="str">
        <x:v>2022_IMDb_Cast_Lists_Batch_04(1).xlsx</x:v>
      </x:c>
      <x:c r="D353" s="14" t="str">
        <x:v>Sherwood</x:v>
      </x:c>
      <x:c r="E353" s="14" t="n">
        <x:v>77</x:v>
      </x:c>
      <x:c r="F353" s="14" t="str">
        <x:v>Sherwood</x:v>
      </x:c>
      <x:c r="G353" s="14" t="str">
        <x:v>tt13994572</x:v>
      </x:c>
      <x:c r="H353" s="14" t="n">
        <x:v>2022</x:v>
      </x:c>
      <x:c r="I353" s="14" t="n">
        <x:v>2023</x:v>
      </x:c>
      <x:c r="J353" s="14" t="str">
        <x:v>Future Carry-Forward Cohort</x:v>
      </x:c>
      <x:c r="K353" s="14" t="n">
        <x:v>2022</x:v>
      </x:c>
      <x:c r="L353" s="14" t="str">
        <x:v>Not inherited</x:v>
      </x:c>
      <x:c r="M353" s="15" t="n">
        <x:v>70</x:v>
      </x:c>
      <x:c r="N353" s="14" t="str">
        <x:v>Demelza O'Sullivan</x:v>
      </x:c>
      <x:c r="O353" s="14" t="str">
        <x:v>nm8314230</x:v>
      </x:c>
      <x:c r="P353" s="14" t="str">
        <x:v>Forensic Firearms Specialist</x:v>
      </x:c>
      <x:c r="Q353" s="15" t="n">
        <x:v>2</x:v>
      </x:c>
      <x:c r="R353" s="14" t="str">
        <x:v>2024</x:v>
      </x:c>
      <x:c r="S353" s="14" t="n">
        <x:v>2024</x:v>
      </x:c>
      <x:c r="T353" s="14" t="n">
        <x:v>2024</x:v>
      </x:c>
      <x:c r="U353" s="14" t="str">
        <x:v>Explicit source first year retained</x:v>
      </x:c>
      <x:c r="V353" s="14" t="str">
        <x:v>Earliest supplied year is 2024.</x:v>
      </x:c>
      <x:c r="W353" s="14"/>
      <x:c r="X353" s="14" t="str">
        <x:v>Carried forward to 2024</x:v>
      </x:c>
      <x:c r="Y353" s="14"/>
      <x:c r="Z353" s="14" t="str">
        <x:v>Sherwood.docx</x:v>
      </x:c>
      <x:c r="AA35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BBC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HYPERLINK("https://en.wikipedia.org/wiki/Sherwood","Open source")</x:f>
        <x:v>HYPERLINK is not implemented. linkLocation=https://en.wikipedia.org/wiki/Sherwood, friendlyName=Open source</x:v>
      </x:c>
      <x:c r="AN353" s="14" t="str">
        <x:v>BBC public-service commission</x:v>
      </x:c>
      <x:c r="AO353" s="14" t="str">
        <x:v>Yes</x:v>
      </x:c>
      <x:c r="AP353" s="14" t="str">
        <x:v>Direct BBC public-service scope</x:v>
      </x:c>
      <x:c r="AQ353" s="14" t="str">
        <x:v>Yes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12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2</x:v>
      </x:c>
      <x:c r="BS353" s="16" t="n">
        <x:v>0.16666666666666666</x:v>
      </x:c>
      <x:c r="BT353" s="14" t="str">
        <x:v>Minority of episodes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tt13994572|nm15711963|prisoner</x:v>
      </x:c>
      <x:c r="B354" s="14" t="str">
        <x:v>04</x:v>
      </x:c>
      <x:c r="C354" s="14" t="str">
        <x:v>2022_IMDb_Cast_Lists_Batch_04(1).xlsx</x:v>
      </x:c>
      <x:c r="D354" s="14" t="str">
        <x:v>Sherwood</x:v>
      </x:c>
      <x:c r="E354" s="14" t="n">
        <x:v>79</x:v>
      </x:c>
      <x:c r="F354" s="14" t="str">
        <x:v>Sherwood</x:v>
      </x:c>
      <x:c r="G354" s="14" t="str">
        <x:v>tt13994572</x:v>
      </x:c>
      <x:c r="H354" s="14" t="n">
        <x:v>2022</x:v>
      </x:c>
      <x:c r="I354" s="14" t="n">
        <x:v>2023</x:v>
      </x:c>
      <x:c r="J354" s="14" t="str">
        <x:v>Future Carry-Forward Cohort</x:v>
      </x:c>
      <x:c r="K354" s="14" t="n">
        <x:v>2022</x:v>
      </x:c>
      <x:c r="L354" s="14" t="str">
        <x:v>Not inherited</x:v>
      </x:c>
      <x:c r="M354" s="15" t="n">
        <x:v>72</x:v>
      </x:c>
      <x:c r="N354" s="14" t="str">
        <x:v>Calvin Roberts</x:v>
      </x:c>
      <x:c r="O354" s="14" t="str">
        <x:v>nm15711963</x:v>
      </x:c>
      <x:c r="P354" s="14" t="str">
        <x:v>Prisoner</x:v>
      </x:c>
      <x:c r="Q354" s="15" t="n">
        <x:v>2</x:v>
      </x:c>
      <x:c r="R354" s="14" t="str">
        <x:v>2024</x:v>
      </x:c>
      <x:c r="S354" s="14" t="n">
        <x:v>2024</x:v>
      </x:c>
      <x:c r="T354" s="14" t="n">
        <x:v>2024</x:v>
      </x:c>
      <x:c r="U354" s="14" t="str">
        <x:v>Explicit source first year retained</x:v>
      </x:c>
      <x:c r="V354" s="14" t="str">
        <x:v>Earliest supplied year is 2024.</x:v>
      </x:c>
      <x:c r="W354" s="14"/>
      <x:c r="X354" s="14" t="str">
        <x:v>Carried forward to 2024</x:v>
      </x:c>
      <x:c r="Y354" s="14"/>
      <x:c r="Z354" s="14" t="str">
        <x:v>Sherwood.docx</x:v>
      </x:c>
      <x:c r="AA35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BBC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HYPERLINK("https://en.wikipedia.org/wiki/Sherwood","Open source")</x:f>
        <x:v>HYPERLINK is not implemented. linkLocation=https://en.wikipedia.org/wiki/Sherwood, friendlyName=Open source</x:v>
      </x:c>
      <x:c r="AN354" s="14" t="str">
        <x:v>BBC public-service commission</x:v>
      </x:c>
      <x:c r="AO354" s="14" t="str">
        <x:v>Yes</x:v>
      </x:c>
      <x:c r="AP354" s="14" t="str">
        <x:v>Direct BBC public-service scope</x:v>
      </x:c>
      <x:c r="AQ354" s="14" t="str">
        <x:v>Yes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12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2</x:v>
      </x:c>
      <x:c r="BS354" s="16" t="n">
        <x:v>0.16666666666666666</x:v>
      </x:c>
      <x:c r="BT354" s="14" t="str">
        <x:v>Minority of episodes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tt13994572|nm8780320|estate agent</x:v>
      </x:c>
      <x:c r="B355" s="14" t="str">
        <x:v>04</x:v>
      </x:c>
      <x:c r="C355" s="14" t="str">
        <x:v>2022_IMDb_Cast_Lists_Batch_04(1).xlsx</x:v>
      </x:c>
      <x:c r="D355" s="14" t="str">
        <x:v>Sherwood</x:v>
      </x:c>
      <x:c r="E355" s="14" t="n">
        <x:v>92</x:v>
      </x:c>
      <x:c r="F355" s="14" t="str">
        <x:v>Sherwood</x:v>
      </x:c>
      <x:c r="G355" s="14" t="str">
        <x:v>tt13994572</x:v>
      </x:c>
      <x:c r="H355" s="14" t="n">
        <x:v>2022</x:v>
      </x:c>
      <x:c r="I355" s="14" t="n">
        <x:v>2023</x:v>
      </x:c>
      <x:c r="J355" s="14" t="str">
        <x:v>Future Carry-Forward Cohort</x:v>
      </x:c>
      <x:c r="K355" s="14" t="n">
        <x:v>2022</x:v>
      </x:c>
      <x:c r="L355" s="14" t="str">
        <x:v>Not inherited</x:v>
      </x:c>
      <x:c r="M355" s="15" t="n">
        <x:v>85</x:v>
      </x:c>
      <x:c r="N355" s="14" t="str">
        <x:v>Raj Aich</x:v>
      </x:c>
      <x:c r="O355" s="14" t="str">
        <x:v>nm8780320</x:v>
      </x:c>
      <x:c r="P355" s="14" t="str">
        <x:v>Estate Agent</x:v>
      </x:c>
      <x:c r="Q355" s="15" t="n">
        <x:v>1</x:v>
      </x:c>
      <x:c r="R355" s="14" t="str">
        <x:v>2024</x:v>
      </x:c>
      <x:c r="S355" s="14" t="n">
        <x:v>2024</x:v>
      </x:c>
      <x:c r="T355" s="14" t="n">
        <x:v>2024</x:v>
      </x:c>
      <x:c r="U355" s="14" t="str">
        <x:v>Explicit source first year retained</x:v>
      </x:c>
      <x:c r="V355" s="14" t="str">
        <x:v>Earliest supplied year is 2024.</x:v>
      </x:c>
      <x:c r="W355" s="14"/>
      <x:c r="X355" s="14" t="str">
        <x:v>Carried forward to 2024</x:v>
      </x:c>
      <x:c r="Y355" s="14"/>
      <x:c r="Z355" s="14" t="str">
        <x:v>Sherwood.docx</x:v>
      </x:c>
      <x:c r="AA35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BBC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HYPERLINK("https://en.wikipedia.org/wiki/Sherwood","Open source")</x:f>
        <x:v>HYPERLINK is not implemented. linkLocation=https://en.wikipedia.org/wiki/Sherwood, friendlyName=Open source</x:v>
      </x:c>
      <x:c r="AN355" s="14" t="str">
        <x:v>BBC public-service commission</x:v>
      </x:c>
      <x:c r="AO355" s="14" t="str">
        <x:v>Yes</x:v>
      </x:c>
      <x:c r="AP355" s="14" t="str">
        <x:v>Direct BBC public-service scope</x:v>
      </x:c>
      <x:c r="AQ355" s="14" t="str">
        <x:v>Yes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12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0.08333333333333333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tt13994572|nm2541546|local ashfield resident</x:v>
      </x:c>
      <x:c r="B356" s="14" t="str">
        <x:v>04</x:v>
      </x:c>
      <x:c r="C356" s="14" t="str">
        <x:v>2022_IMDb_Cast_Lists_Batch_04(1).xlsx</x:v>
      </x:c>
      <x:c r="D356" s="14" t="str">
        <x:v>Sherwood</x:v>
      </x:c>
      <x:c r="E356" s="14" t="n">
        <x:v>94</x:v>
      </x:c>
      <x:c r="F356" s="14" t="str">
        <x:v>Sherwood</x:v>
      </x:c>
      <x:c r="G356" s="14" t="str">
        <x:v>tt13994572</x:v>
      </x:c>
      <x:c r="H356" s="14" t="n">
        <x:v>2022</x:v>
      </x:c>
      <x:c r="I356" s="14" t="n">
        <x:v>2023</x:v>
      </x:c>
      <x:c r="J356" s="14" t="str">
        <x:v>Future Carry-Forward Cohort</x:v>
      </x:c>
      <x:c r="K356" s="14" t="n">
        <x:v>2022</x:v>
      </x:c>
      <x:c r="L356" s="14" t="str">
        <x:v>Not inherited</x:v>
      </x:c>
      <x:c r="M356" s="15" t="n">
        <x:v>87</x:v>
      </x:c>
      <x:c r="N356" s="14" t="str">
        <x:v>Anthony Burrows</x:v>
      </x:c>
      <x:c r="O356" s="14" t="str">
        <x:v>nm2541546</x:v>
      </x:c>
      <x:c r="P356" s="14" t="str">
        <x:v>Local Ashfield Resident</x:v>
      </x:c>
      <x:c r="Q356" s="15" t="n">
        <x:v>1</x:v>
      </x:c>
      <x:c r="R356" s="14" t="str">
        <x:v>2024</x:v>
      </x:c>
      <x:c r="S356" s="14" t="n">
        <x:v>2024</x:v>
      </x:c>
      <x:c r="T356" s="14" t="n">
        <x:v>2024</x:v>
      </x:c>
      <x:c r="U356" s="14" t="str">
        <x:v>Explicit source first year retained</x:v>
      </x:c>
      <x:c r="V356" s="14" t="str">
        <x:v>Earliest supplied year is 2024.</x:v>
      </x:c>
      <x:c r="W356" s="14"/>
      <x:c r="X356" s="14" t="str">
        <x:v>Carried forward to 2024</x:v>
      </x:c>
      <x:c r="Y356" s="14"/>
      <x:c r="Z356" s="14" t="str">
        <x:v>Sherwood.docx</x:v>
      </x:c>
      <x:c r="AA35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BBC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HYPERLINK("https://en.wikipedia.org/wiki/Sherwood","Open source")</x:f>
        <x:v>HYPERLINK is not implemented. linkLocation=https://en.wikipedia.org/wiki/Sherwood, friendlyName=Open source</x:v>
      </x:c>
      <x:c r="AN356" s="14" t="str">
        <x:v>BBC public-service commission</x:v>
      </x:c>
      <x:c r="AO356" s="14" t="str">
        <x:v>Yes</x:v>
      </x:c>
      <x:c r="AP356" s="14" t="str">
        <x:v>Direct BBC public-service scope</x:v>
      </x:c>
      <x:c r="AQ356" s="14" t="str">
        <x:v>Yes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12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0.08333333333333333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tt13994572|nm0805141|labour councillor</x:v>
      </x:c>
      <x:c r="B357" s="14" t="str">
        <x:v>04</x:v>
      </x:c>
      <x:c r="C357" s="14" t="str">
        <x:v>2022_IMDb_Cast_Lists_Batch_04(1).xlsx</x:v>
      </x:c>
      <x:c r="D357" s="14" t="str">
        <x:v>Sherwood</x:v>
      </x:c>
      <x:c r="E357" s="14" t="n">
        <x:v>96</x:v>
      </x:c>
      <x:c r="F357" s="14" t="str">
        <x:v>Sherwood</x:v>
      </x:c>
      <x:c r="G357" s="14" t="str">
        <x:v>tt13994572</x:v>
      </x:c>
      <x:c r="H357" s="14" t="n">
        <x:v>2022</x:v>
      </x:c>
      <x:c r="I357" s="14" t="n">
        <x:v>2023</x:v>
      </x:c>
      <x:c r="J357" s="14" t="str">
        <x:v>Future Carry-Forward Cohort</x:v>
      </x:c>
      <x:c r="K357" s="14" t="n">
        <x:v>2022</x:v>
      </x:c>
      <x:c r="L357" s="14" t="str">
        <x:v>Not inherited</x:v>
      </x:c>
      <x:c r="M357" s="15" t="n">
        <x:v>89</x:v>
      </x:c>
      <x:c r="N357" s="14" t="str">
        <x:v>Paul Slack</x:v>
      </x:c>
      <x:c r="O357" s="14" t="str">
        <x:v>nm0805141</x:v>
      </x:c>
      <x:c r="P357" s="14" t="str">
        <x:v>Labour Councillor</x:v>
      </x:c>
      <x:c r="Q357" s="15" t="n">
        <x:v>1</x:v>
      </x:c>
      <x:c r="R357" s="14" t="str">
        <x:v>2024</x:v>
      </x:c>
      <x:c r="S357" s="14" t="n">
        <x:v>2024</x:v>
      </x:c>
      <x:c r="T357" s="14" t="n">
        <x:v>2024</x:v>
      </x:c>
      <x:c r="U357" s="14" t="str">
        <x:v>Explicit source first year retained</x:v>
      </x:c>
      <x:c r="V357" s="14" t="str">
        <x:v>Earliest supplied year is 2024.</x:v>
      </x:c>
      <x:c r="W357" s="14"/>
      <x:c r="X357" s="14" t="str">
        <x:v>Carried forward to 2024</x:v>
      </x:c>
      <x:c r="Y357" s="14"/>
      <x:c r="Z357" s="14" t="str">
        <x:v>Sherwood.docx</x:v>
      </x:c>
      <x:c r="AA35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BBC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HYPERLINK("https://en.wikipedia.org/wiki/Sherwood","Open source")</x:f>
        <x:v>HYPERLINK is not implemented. linkLocation=https://en.wikipedia.org/wiki/Sherwood, friendlyName=Open source</x:v>
      </x:c>
      <x:c r="AN357" s="14" t="str">
        <x:v>BBC public-service commission</x:v>
      </x:c>
      <x:c r="AO357" s="14" t="str">
        <x:v>Yes</x:v>
      </x:c>
      <x:c r="AP357" s="14" t="str">
        <x:v>Direct BBC public-service scope</x:v>
      </x:c>
      <x:c r="AQ357" s="14" t="str">
        <x:v>Yes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12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0.08333333333333333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tt13994572|nm2152639|local news reporter</x:v>
      </x:c>
      <x:c r="B358" s="14" t="str">
        <x:v>04</x:v>
      </x:c>
      <x:c r="C358" s="14" t="str">
        <x:v>2022_IMDb_Cast_Lists_Batch_04(1).xlsx</x:v>
      </x:c>
      <x:c r="D358" s="14" t="str">
        <x:v>Sherwood</x:v>
      </x:c>
      <x:c r="E358" s="14" t="n">
        <x:v>97</x:v>
      </x:c>
      <x:c r="F358" s="14" t="str">
        <x:v>Sherwood</x:v>
      </x:c>
      <x:c r="G358" s="14" t="str">
        <x:v>tt13994572</x:v>
      </x:c>
      <x:c r="H358" s="14" t="n">
        <x:v>2022</x:v>
      </x:c>
      <x:c r="I358" s="14" t="n">
        <x:v>2023</x:v>
      </x:c>
      <x:c r="J358" s="14" t="str">
        <x:v>Future Carry-Forward Cohort</x:v>
      </x:c>
      <x:c r="K358" s="14" t="n">
        <x:v>2022</x:v>
      </x:c>
      <x:c r="L358" s="14" t="str">
        <x:v>Not inherited</x:v>
      </x:c>
      <x:c r="M358" s="15" t="n">
        <x:v>90</x:v>
      </x:c>
      <x:c r="N358" s="14" t="str">
        <x:v>Michael Claff</x:v>
      </x:c>
      <x:c r="O358" s="14" t="str">
        <x:v>nm2152639</x:v>
      </x:c>
      <x:c r="P358" s="14" t="str">
        <x:v>Local News Reporter</x:v>
      </x:c>
      <x:c r="Q358" s="15" t="n">
        <x:v>1</x:v>
      </x:c>
      <x:c r="R358" s="14" t="str">
        <x:v>2024</x:v>
      </x:c>
      <x:c r="S358" s="14" t="n">
        <x:v>2024</x:v>
      </x:c>
      <x:c r="T358" s="14" t="n">
        <x:v>2024</x:v>
      </x:c>
      <x:c r="U358" s="14" t="str">
        <x:v>Explicit source first year retained</x:v>
      </x:c>
      <x:c r="V358" s="14" t="str">
        <x:v>Earliest supplied year is 2024.</x:v>
      </x:c>
      <x:c r="W358" s="14"/>
      <x:c r="X358" s="14" t="str">
        <x:v>Carried forward to 2024</x:v>
      </x:c>
      <x:c r="Y358" s="14"/>
      <x:c r="Z358" s="14" t="str">
        <x:v>Sherwood.docx</x:v>
      </x:c>
      <x:c r="AA35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BBC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HYPERLINK("https://en.wikipedia.org/wiki/Sherwood","Open source")</x:f>
        <x:v>HYPERLINK is not implemented. linkLocation=https://en.wikipedia.org/wiki/Sherwood, friendlyName=Open source</x:v>
      </x:c>
      <x:c r="AN358" s="14" t="str">
        <x:v>BBC public-service commission</x:v>
      </x:c>
      <x:c r="AO358" s="14" t="str">
        <x:v>Yes</x:v>
      </x:c>
      <x:c r="AP358" s="14" t="str">
        <x:v>Direct BBC public-service scope</x:v>
      </x:c>
      <x:c r="AQ358" s="14" t="str">
        <x:v>Yes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12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0.08333333333333333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tt13994572|nm7490002|officer mcleash</x:v>
      </x:c>
      <x:c r="B359" s="14" t="str">
        <x:v>04</x:v>
      </x:c>
      <x:c r="C359" s="14" t="str">
        <x:v>2022_IMDb_Cast_Lists_Batch_04(1).xlsx</x:v>
      </x:c>
      <x:c r="D359" s="14" t="str">
        <x:v>Sherwood</x:v>
      </x:c>
      <x:c r="E359" s="14" t="n">
        <x:v>99</x:v>
      </x:c>
      <x:c r="F359" s="14" t="str">
        <x:v>Sherwood</x:v>
      </x:c>
      <x:c r="G359" s="14" t="str">
        <x:v>tt13994572</x:v>
      </x:c>
      <x:c r="H359" s="14" t="n">
        <x:v>2022</x:v>
      </x:c>
      <x:c r="I359" s="14" t="n">
        <x:v>2023</x:v>
      </x:c>
      <x:c r="J359" s="14" t="str">
        <x:v>Future Carry-Forward Cohort</x:v>
      </x:c>
      <x:c r="K359" s="14" t="n">
        <x:v>2022</x:v>
      </x:c>
      <x:c r="L359" s="14" t="str">
        <x:v>Not inherited</x:v>
      </x:c>
      <x:c r="M359" s="15" t="n">
        <x:v>92</x:v>
      </x:c>
      <x:c r="N359" s="14" t="str">
        <x:v>James Sheldon</x:v>
      </x:c>
      <x:c r="O359" s="14" t="str">
        <x:v>nm7490002</x:v>
      </x:c>
      <x:c r="P359" s="14" t="str">
        <x:v>Officer McLeash</x:v>
      </x:c>
      <x:c r="Q359" s="15" t="n">
        <x:v>1</x:v>
      </x:c>
      <x:c r="R359" s="14" t="str">
        <x:v>2024</x:v>
      </x:c>
      <x:c r="S359" s="14" t="n">
        <x:v>2024</x:v>
      </x:c>
      <x:c r="T359" s="14" t="n">
        <x:v>2024</x:v>
      </x:c>
      <x:c r="U359" s="14" t="str">
        <x:v>Explicit source first year retained</x:v>
      </x:c>
      <x:c r="V359" s="14" t="str">
        <x:v>Earliest supplied year is 2024.</x:v>
      </x:c>
      <x:c r="W359" s="14"/>
      <x:c r="X359" s="14" t="str">
        <x:v>Carried forward to 2024</x:v>
      </x:c>
      <x:c r="Y359" s="14"/>
      <x:c r="Z359" s="14" t="str">
        <x:v>Sherwood.docx</x:v>
      </x:c>
      <x:c r="AA35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BBC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HYPERLINK("https://en.wikipedia.org/wiki/Sherwood","Open source")</x:f>
        <x:v>HYPERLINK is not implemented. linkLocation=https://en.wikipedia.org/wiki/Sherwood, friendlyName=Open source</x:v>
      </x:c>
      <x:c r="AN359" s="14" t="str">
        <x:v>BBC public-service commission</x:v>
      </x:c>
      <x:c r="AO359" s="14" t="str">
        <x:v>Yes</x:v>
      </x:c>
      <x:c r="AP359" s="14" t="str">
        <x:v>Direct BBC public-service scope</x:v>
      </x:c>
      <x:c r="AQ359" s="14" t="str">
        <x:v>Yes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12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0.08333333333333333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tt13994572|nm3496103|chair person</x:v>
      </x:c>
      <x:c r="B360" s="14" t="str">
        <x:v>04</x:v>
      </x:c>
      <x:c r="C360" s="14" t="str">
        <x:v>2022_IMDb_Cast_Lists_Batch_04(1).xlsx</x:v>
      </x:c>
      <x:c r="D360" s="14" t="str">
        <x:v>Sherwood</x:v>
      </x:c>
      <x:c r="E360" s="14" t="n">
        <x:v>100</x:v>
      </x:c>
      <x:c r="F360" s="14" t="str">
        <x:v>Sherwood</x:v>
      </x:c>
      <x:c r="G360" s="14" t="str">
        <x:v>tt13994572</x:v>
      </x:c>
      <x:c r="H360" s="14" t="n">
        <x:v>2022</x:v>
      </x:c>
      <x:c r="I360" s="14" t="n">
        <x:v>2023</x:v>
      </x:c>
      <x:c r="J360" s="14" t="str">
        <x:v>Future Carry-Forward Cohort</x:v>
      </x:c>
      <x:c r="K360" s="14" t="n">
        <x:v>2022</x:v>
      </x:c>
      <x:c r="L360" s="14" t="str">
        <x:v>Not inherited</x:v>
      </x:c>
      <x:c r="M360" s="15" t="n">
        <x:v>93</x:v>
      </x:c>
      <x:c r="N360" s="14" t="str">
        <x:v>Augustina Amoa</x:v>
      </x:c>
      <x:c r="O360" s="14" t="str">
        <x:v>nm3496103</x:v>
      </x:c>
      <x:c r="P360" s="14" t="str">
        <x:v>Chair Person</x:v>
      </x:c>
      <x:c r="Q360" s="15" t="n">
        <x:v>1</x:v>
      </x:c>
      <x:c r="R360" s="14" t="str">
        <x:v>2024</x:v>
      </x:c>
      <x:c r="S360" s="14" t="n">
        <x:v>2024</x:v>
      </x:c>
      <x:c r="T360" s="14" t="n">
        <x:v>2024</x:v>
      </x:c>
      <x:c r="U360" s="14" t="str">
        <x:v>Explicit source first year retained</x:v>
      </x:c>
      <x:c r="V360" s="14" t="str">
        <x:v>Earliest supplied year is 2024.</x:v>
      </x:c>
      <x:c r="W360" s="14"/>
      <x:c r="X360" s="14" t="str">
        <x:v>Carried forward to 2024</x:v>
      </x:c>
      <x:c r="Y360" s="14"/>
      <x:c r="Z360" s="14" t="str">
        <x:v>Sherwood.docx</x:v>
      </x:c>
      <x:c r="AA36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BBC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HYPERLINK("https://en.wikipedia.org/wiki/Sherwood","Open source")</x:f>
        <x:v>HYPERLINK is not implemented. linkLocation=https://en.wikipedia.org/wiki/Sherwood, friendlyName=Open source</x:v>
      </x:c>
      <x:c r="AN360" s="14" t="str">
        <x:v>BBC public-service commission</x:v>
      </x:c>
      <x:c r="AO360" s="14" t="str">
        <x:v>Yes</x:v>
      </x:c>
      <x:c r="AP360" s="14" t="str">
        <x:v>Direct BBC public-service scope</x:v>
      </x:c>
      <x:c r="AQ360" s="14" t="str">
        <x:v>Yes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12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0.08333333333333333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tt13994572|nm6412101|forensic digital specialist</x:v>
      </x:c>
      <x:c r="B361" s="14" t="str">
        <x:v>04</x:v>
      </x:c>
      <x:c r="C361" s="14" t="str">
        <x:v>2022_IMDb_Cast_Lists_Batch_04(1).xlsx</x:v>
      </x:c>
      <x:c r="D361" s="14" t="str">
        <x:v>Sherwood</x:v>
      </x:c>
      <x:c r="E361" s="14" t="n">
        <x:v>101</x:v>
      </x:c>
      <x:c r="F361" s="14" t="str">
        <x:v>Sherwood</x:v>
      </x:c>
      <x:c r="G361" s="14" t="str">
        <x:v>tt13994572</x:v>
      </x:c>
      <x:c r="H361" s="14" t="n">
        <x:v>2022</x:v>
      </x:c>
      <x:c r="I361" s="14" t="n">
        <x:v>2023</x:v>
      </x:c>
      <x:c r="J361" s="14" t="str">
        <x:v>Future Carry-Forward Cohort</x:v>
      </x:c>
      <x:c r="K361" s="14" t="n">
        <x:v>2022</x:v>
      </x:c>
      <x:c r="L361" s="14" t="str">
        <x:v>Not inherited</x:v>
      </x:c>
      <x:c r="M361" s="15" t="n">
        <x:v>94</x:v>
      </x:c>
      <x:c r="N361" s="14" t="str">
        <x:v>Natalie Anson-Wright</x:v>
      </x:c>
      <x:c r="O361" s="14" t="str">
        <x:v>nm6412101</x:v>
      </x:c>
      <x:c r="P361" s="14" t="str">
        <x:v>Forensic Digital Specialist</x:v>
      </x:c>
      <x:c r="Q361" s="15" t="n">
        <x:v>1</x:v>
      </x:c>
      <x:c r="R361" s="14" t="str">
        <x:v>2024</x:v>
      </x:c>
      <x:c r="S361" s="14" t="n">
        <x:v>2024</x:v>
      </x:c>
      <x:c r="T361" s="14" t="n">
        <x:v>2024</x:v>
      </x:c>
      <x:c r="U361" s="14" t="str">
        <x:v>Explicit source first year retained</x:v>
      </x:c>
      <x:c r="V361" s="14" t="str">
        <x:v>Earliest supplied year is 2024.</x:v>
      </x:c>
      <x:c r="W361" s="14"/>
      <x:c r="X361" s="14" t="str">
        <x:v>Carried forward to 2024</x:v>
      </x:c>
      <x:c r="Y361" s="14"/>
      <x:c r="Z361" s="14" t="str">
        <x:v>Sherwood.docx</x:v>
      </x:c>
      <x:c r="AA36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BBC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HYPERLINK("https://en.wikipedia.org/wiki/Sherwood","Open source")</x:f>
        <x:v>HYPERLINK is not implemented. linkLocation=https://en.wikipedia.org/wiki/Sherwood, friendlyName=Open source</x:v>
      </x:c>
      <x:c r="AN361" s="14" t="str">
        <x:v>BBC public-service commission</x:v>
      </x:c>
      <x:c r="AO361" s="14" t="str">
        <x:v>Yes</x:v>
      </x:c>
      <x:c r="AP361" s="14" t="str">
        <x:v>Direct BBC public-service scope</x:v>
      </x:c>
      <x:c r="AQ361" s="14" t="str">
        <x:v>Yes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12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0.08333333333333333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tt13994572|nm4811773|journalist</x:v>
      </x:c>
      <x:c r="B362" s="14" t="str">
        <x:v>04</x:v>
      </x:c>
      <x:c r="C362" s="14" t="str">
        <x:v>2022_IMDb_Cast_Lists_Batch_04(1).xlsx</x:v>
      </x:c>
      <x:c r="D362" s="14" t="str">
        <x:v>Sherwood</x:v>
      </x:c>
      <x:c r="E362" s="14" t="n">
        <x:v>103</x:v>
      </x:c>
      <x:c r="F362" s="14" t="str">
        <x:v>Sherwood</x:v>
      </x:c>
      <x:c r="G362" s="14" t="str">
        <x:v>tt13994572</x:v>
      </x:c>
      <x:c r="H362" s="14" t="n">
        <x:v>2022</x:v>
      </x:c>
      <x:c r="I362" s="14" t="n">
        <x:v>2023</x:v>
      </x:c>
      <x:c r="J362" s="14" t="str">
        <x:v>Future Carry-Forward Cohort</x:v>
      </x:c>
      <x:c r="K362" s="14" t="n">
        <x:v>2022</x:v>
      </x:c>
      <x:c r="L362" s="14" t="str">
        <x:v>Not inherited</x:v>
      </x:c>
      <x:c r="M362" s="15" t="n">
        <x:v>96</x:v>
      </x:c>
      <x:c r="N362" s="14" t="str">
        <x:v>Shelley Draper</x:v>
      </x:c>
      <x:c r="O362" s="14" t="str">
        <x:v>nm4811773</x:v>
      </x:c>
      <x:c r="P362" s="14" t="str">
        <x:v>Journalist</x:v>
      </x:c>
      <x:c r="Q362" s="15" t="n">
        <x:v>1</x:v>
      </x:c>
      <x:c r="R362" s="14" t="str">
        <x:v>2024</x:v>
      </x:c>
      <x:c r="S362" s="14" t="n">
        <x:v>2024</x:v>
      </x:c>
      <x:c r="T362" s="14" t="n">
        <x:v>2024</x:v>
      </x:c>
      <x:c r="U362" s="14" t="str">
        <x:v>Explicit source first year retained</x:v>
      </x:c>
      <x:c r="V362" s="14" t="str">
        <x:v>Earliest supplied year is 2024.</x:v>
      </x:c>
      <x:c r="W362" s="14"/>
      <x:c r="X362" s="14" t="str">
        <x:v>Carried forward to 2024</x:v>
      </x:c>
      <x:c r="Y362" s="14"/>
      <x:c r="Z362" s="14" t="str">
        <x:v>Sherwood.docx</x:v>
      </x:c>
      <x:c r="AA36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BBC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HYPERLINK("https://en.wikipedia.org/wiki/Sherwood","Open source")</x:f>
        <x:v>HYPERLINK is not implemented. linkLocation=https://en.wikipedia.org/wiki/Sherwood, friendlyName=Open source</x:v>
      </x:c>
      <x:c r="AN362" s="14" t="str">
        <x:v>BBC public-service commission</x:v>
      </x:c>
      <x:c r="AO362" s="14" t="str">
        <x:v>Yes</x:v>
      </x:c>
      <x:c r="AP362" s="14" t="str">
        <x:v>Direct BBC public-service scope</x:v>
      </x:c>
      <x:c r="AQ362" s="14" t="str">
        <x:v>Yes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12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0.08333333333333333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tt13994572|nm5305561|tv news reporter</x:v>
      </x:c>
      <x:c r="B363" s="14" t="str">
        <x:v>04</x:v>
      </x:c>
      <x:c r="C363" s="14" t="str">
        <x:v>2022_IMDb_Cast_Lists_Batch_04(1).xlsx</x:v>
      </x:c>
      <x:c r="D363" s="14" t="str">
        <x:v>Sherwood</x:v>
      </x:c>
      <x:c r="E363" s="14" t="n">
        <x:v>107</x:v>
      </x:c>
      <x:c r="F363" s="14" t="str">
        <x:v>Sherwood</x:v>
      </x:c>
      <x:c r="G363" s="14" t="str">
        <x:v>tt13994572</x:v>
      </x:c>
      <x:c r="H363" s="14" t="n">
        <x:v>2022</x:v>
      </x:c>
      <x:c r="I363" s="14" t="n">
        <x:v>2023</x:v>
      </x:c>
      <x:c r="J363" s="14" t="str">
        <x:v>Future Carry-Forward Cohort</x:v>
      </x:c>
      <x:c r="K363" s="14" t="n">
        <x:v>2022</x:v>
      </x:c>
      <x:c r="L363" s="14" t="str">
        <x:v>Not inherited</x:v>
      </x:c>
      <x:c r="M363" s="15" t="n">
        <x:v>100</x:v>
      </x:c>
      <x:c r="N363" s="14" t="str">
        <x:v>Jamie Matthewman</x:v>
      </x:c>
      <x:c r="O363" s="14" t="str">
        <x:v>nm5305561</x:v>
      </x:c>
      <x:c r="P363" s="14" t="str">
        <x:v>TV News Reporter</x:v>
      </x:c>
      <x:c r="Q363" s="15" t="n">
        <x:v>1</x:v>
      </x:c>
      <x:c r="R363" s="14" t="str">
        <x:v>2024</x:v>
      </x:c>
      <x:c r="S363" s="14" t="n">
        <x:v>2024</x:v>
      </x:c>
      <x:c r="T363" s="14" t="n">
        <x:v>2024</x:v>
      </x:c>
      <x:c r="U363" s="14" t="str">
        <x:v>Explicit source first year retained</x:v>
      </x:c>
      <x:c r="V363" s="14" t="str">
        <x:v>Earliest supplied year is 2024.</x:v>
      </x:c>
      <x:c r="W363" s="14"/>
      <x:c r="X363" s="14" t="str">
        <x:v>Carried forward to 2024</x:v>
      </x:c>
      <x:c r="Y363" s="14"/>
      <x:c r="Z363" s="14" t="str">
        <x:v>Sherwood.docx</x:v>
      </x:c>
      <x:c r="AA36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BBC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HYPERLINK("https://en.wikipedia.org/wiki/Sherwood","Open source")</x:f>
        <x:v>HYPERLINK is not implemented. linkLocation=https://en.wikipedia.org/wiki/Sherwood, friendlyName=Open source</x:v>
      </x:c>
      <x:c r="AN363" s="14" t="str">
        <x:v>BBC public-service commission</x:v>
      </x:c>
      <x:c r="AO363" s="14" t="str">
        <x:v>Yes</x:v>
      </x:c>
      <x:c r="AP363" s="14" t="str">
        <x:v>Direct BBC public-service scope</x:v>
      </x:c>
      <x:c r="AQ363" s="14" t="str">
        <x:v>Yes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1</x:v>
      </x:c>
      <x:c r="BS363" s="16" t="n">
        <x:v>0.08333333333333333</x:v>
      </x:c>
      <x:c r="BT363" s="14" t="str">
        <x:v>One episode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tt13994572|nm13631364|mitchell</x:v>
      </x:c>
      <x:c r="B364" s="14" t="str">
        <x:v>04</x:v>
      </x:c>
      <x:c r="C364" s="14" t="str">
        <x:v>2022_IMDb_Cast_Lists_Batch_04(1).xlsx</x:v>
      </x:c>
      <x:c r="D364" s="14" t="str">
        <x:v>Sherwood</x:v>
      </x:c>
      <x:c r="E364" s="14" t="n">
        <x:v>111</x:v>
      </x:c>
      <x:c r="F364" s="14" t="str">
        <x:v>Sherwood</x:v>
      </x:c>
      <x:c r="G364" s="14" t="str">
        <x:v>tt13994572</x:v>
      </x:c>
      <x:c r="H364" s="14" t="n">
        <x:v>2022</x:v>
      </x:c>
      <x:c r="I364" s="14" t="n">
        <x:v>2023</x:v>
      </x:c>
      <x:c r="J364" s="14" t="str">
        <x:v>Future Carry-Forward Cohort</x:v>
      </x:c>
      <x:c r="K364" s="14" t="n">
        <x:v>2022</x:v>
      </x:c>
      <x:c r="L364" s="14" t="str">
        <x:v>Not inherited</x:v>
      </x:c>
      <x:c r="M364" s="15" t="n">
        <x:v>104</x:v>
      </x:c>
      <x:c r="N364" s="14" t="str">
        <x:v>Tinashe Darikwa</x:v>
      </x:c>
      <x:c r="O364" s="14" t="str">
        <x:v>nm13631364</x:v>
      </x:c>
      <x:c r="P364" s="14" t="str">
        <x:v>Mitchell</x:v>
      </x:c>
      <x:c r="Q364" s="15" t="n">
        <x:v>1</x:v>
      </x:c>
      <x:c r="R364" s="14" t="str">
        <x:v>2024</x:v>
      </x:c>
      <x:c r="S364" s="14" t="n">
        <x:v>2024</x:v>
      </x:c>
      <x:c r="T364" s="14" t="n">
        <x:v>2024</x:v>
      </x:c>
      <x:c r="U364" s="14" t="str">
        <x:v>Explicit source first year retained</x:v>
      </x:c>
      <x:c r="V364" s="14" t="str">
        <x:v>Earliest supplied year is 2024.</x:v>
      </x:c>
      <x:c r="W364" s="14"/>
      <x:c r="X364" s="14" t="str">
        <x:v>Carried forward to 2024</x:v>
      </x:c>
      <x:c r="Y364" s="14"/>
      <x:c r="Z364" s="14" t="str">
        <x:v>Sherwood.docx</x:v>
      </x:c>
      <x:c r="AA36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BBC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HYPERLINK("https://en.wikipedia.org/wiki/Sherwood","Open source")</x:f>
        <x:v>HYPERLINK is not implemented. linkLocation=https://en.wikipedia.org/wiki/Sherwood, friendlyName=Open source</x:v>
      </x:c>
      <x:c r="AN364" s="14" t="str">
        <x:v>BBC public-service commission</x:v>
      </x:c>
      <x:c r="AO364" s="14" t="str">
        <x:v>Yes</x:v>
      </x:c>
      <x:c r="AP364" s="14" t="str">
        <x:v>Direct BBC public-service scope</x:v>
      </x:c>
      <x:c r="AQ364" s="14" t="str">
        <x:v>Yes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1</x:v>
      </x:c>
      <x:c r="BS364" s="16" t="n">
        <x:v>0.08333333333333333</x:v>
      </x:c>
      <x:c r="BT364" s="14" t="str">
        <x:v>One episode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tt13994572|nm9842795|magistrate</x:v>
      </x:c>
      <x:c r="B365" s="14" t="str">
        <x:v>04</x:v>
      </x:c>
      <x:c r="C365" s="14" t="str">
        <x:v>2022_IMDb_Cast_Lists_Batch_04(1).xlsx</x:v>
      </x:c>
      <x:c r="D365" s="14" t="str">
        <x:v>Sherwood</x:v>
      </x:c>
      <x:c r="E365" s="14" t="n">
        <x:v>116</x:v>
      </x:c>
      <x:c r="F365" s="14" t="str">
        <x:v>Sherwood</x:v>
      </x:c>
      <x:c r="G365" s="14" t="str">
        <x:v>tt13994572</x:v>
      </x:c>
      <x:c r="H365" s="14" t="n">
        <x:v>2022</x:v>
      </x:c>
      <x:c r="I365" s="14" t="n">
        <x:v>2023</x:v>
      </x:c>
      <x:c r="J365" s="14" t="str">
        <x:v>Future Carry-Forward Cohort</x:v>
      </x:c>
      <x:c r="K365" s="14" t="n">
        <x:v>2022</x:v>
      </x:c>
      <x:c r="L365" s="14" t="str">
        <x:v>Not inherited</x:v>
      </x:c>
      <x:c r="M365" s="15" t="n">
        <x:v>109</x:v>
      </x:c>
      <x:c r="N365" s="14" t="str">
        <x:v>Sarah Priddy</x:v>
      </x:c>
      <x:c r="O365" s="14" t="str">
        <x:v>nm9842795</x:v>
      </x:c>
      <x:c r="P365" s="14" t="str">
        <x:v>Magistrate</x:v>
      </x:c>
      <x:c r="Q365" s="15" t="n">
        <x:v>1</x:v>
      </x:c>
      <x:c r="R365" s="14" t="str">
        <x:v>2024</x:v>
      </x:c>
      <x:c r="S365" s="14" t="n">
        <x:v>2024</x:v>
      </x:c>
      <x:c r="T365" s="14" t="n">
        <x:v>2024</x:v>
      </x:c>
      <x:c r="U365" s="14" t="str">
        <x:v>Explicit source first year retained</x:v>
      </x:c>
      <x:c r="V365" s="14" t="str">
        <x:v>Earliest supplied year is 2024.</x:v>
      </x:c>
      <x:c r="W365" s="14"/>
      <x:c r="X365" s="14" t="str">
        <x:v>Carried forward to 2024</x:v>
      </x:c>
      <x:c r="Y365" s="14"/>
      <x:c r="Z365" s="14" t="str">
        <x:v>Sherwood.docx</x:v>
      </x:c>
      <x:c r="AA36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BBC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HYPERLINK("https://en.wikipedia.org/wiki/Sherwood","Open source")</x:f>
        <x:v>HYPERLINK is not implemented. linkLocation=https://en.wikipedia.org/wiki/Sherwood, friendlyName=Open source</x:v>
      </x:c>
      <x:c r="AN365" s="14" t="str">
        <x:v>BBC public-service commission</x:v>
      </x:c>
      <x:c r="AO365" s="14" t="str">
        <x:v>Yes</x:v>
      </x:c>
      <x:c r="AP365" s="14" t="str">
        <x:v>Direct BBC public-service scope</x:v>
      </x:c>
      <x:c r="AQ365" s="14" t="str">
        <x:v>Yes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1</x:v>
      </x:c>
      <x:c r="BS365" s="16" t="n">
        <x:v>0.08333333333333333</x:v>
      </x:c>
      <x:c r="BT365" s="14" t="str">
        <x:v>One episode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tt13994572|nm13475660|role not listed</x:v>
      </x:c>
      <x:c r="B366" s="14" t="str">
        <x:v>04</x:v>
      </x:c>
      <x:c r="C366" s="14" t="str">
        <x:v>2022_IMDb_Cast_Lists_Batch_04(1).xlsx</x:v>
      </x:c>
      <x:c r="D366" s="14" t="str">
        <x:v>Sherwood</x:v>
      </x:c>
      <x:c r="E366" s="14" t="n">
        <x:v>117</x:v>
      </x:c>
      <x:c r="F366" s="14" t="str">
        <x:v>Sherwood</x:v>
      </x:c>
      <x:c r="G366" s="14" t="str">
        <x:v>tt13994572</x:v>
      </x:c>
      <x:c r="H366" s="14" t="n">
        <x:v>2022</x:v>
      </x:c>
      <x:c r="I366" s="14" t="n">
        <x:v>2023</x:v>
      </x:c>
      <x:c r="J366" s="14" t="str">
        <x:v>Future Carry-Forward Cohort</x:v>
      </x:c>
      <x:c r="K366" s="14" t="n">
        <x:v>2022</x:v>
      </x:c>
      <x:c r="L366" s="14" t="str">
        <x:v>Not inherited</x:v>
      </x:c>
      <x:c r="M366" s="15" t="n">
        <x:v>110</x:v>
      </x:c>
      <x:c r="N366" s="14" t="str">
        <x:v>Wayne Dobson</x:v>
      </x:c>
      <x:c r="O366" s="14" t="str">
        <x:v>nm13475660</x:v>
      </x:c>
      <x:c r="P366" s="14" t="str">
        <x:v>Role not listed</x:v>
      </x:c>
      <x:c r="Q366" s="15" t="n">
        <x:v>1</x:v>
      </x:c>
      <x:c r="R366" s="14" t="str">
        <x:v>2024</x:v>
      </x:c>
      <x:c r="S366" s="14" t="n">
        <x:v>2024</x:v>
      </x:c>
      <x:c r="T366" s="14" t="n">
        <x:v>2024</x:v>
      </x:c>
      <x:c r="U366" s="14" t="str">
        <x:v>Explicit source first year retained</x:v>
      </x:c>
      <x:c r="V366" s="14" t="str">
        <x:v>Earliest supplied year is 2024.</x:v>
      </x:c>
      <x:c r="W366" s="14"/>
      <x:c r="X366" s="14" t="str">
        <x:v>Carried forward to 2024</x:v>
      </x:c>
      <x:c r="Y366" s="14"/>
      <x:c r="Z366" s="14" t="str">
        <x:v>Sherwood.docx</x:v>
      </x:c>
      <x:c r="AA36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BBC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HYPERLINK("https://en.wikipedia.org/wiki/Sherwood","Open source")</x:f>
        <x:v>HYPERLINK is not implemented. linkLocation=https://en.wikipedia.org/wiki/Sherwood, friendlyName=Open source</x:v>
      </x:c>
      <x:c r="AN366" s="14" t="str">
        <x:v>BBC public-service commission</x:v>
      </x:c>
      <x:c r="AO366" s="14" t="str">
        <x:v>Yes</x:v>
      </x:c>
      <x:c r="AP366" s="14" t="str">
        <x:v>Direct BBC public-service scope</x:v>
      </x:c>
      <x:c r="AQ366" s="14" t="str">
        <x:v>Yes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1</x:v>
      </x:c>
      <x:c r="BS366" s="16" t="n">
        <x:v>0.08333333333333333</x:v>
      </x:c>
      <x:c r="BT366" s="14" t="str">
        <x:v>One episode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tt13994572|nm17034987|miles</x:v>
      </x:c>
      <x:c r="B367" s="14" t="str">
        <x:v>04</x:v>
      </x:c>
      <x:c r="C367" s="14" t="str">
        <x:v>2022_IMDb_Cast_Lists_Batch_04(1).xlsx</x:v>
      </x:c>
      <x:c r="D367" s="14" t="str">
        <x:v>Sherwood</x:v>
      </x:c>
      <x:c r="E367" s="14" t="n">
        <x:v>118</x:v>
      </x:c>
      <x:c r="F367" s="14" t="str">
        <x:v>Sherwood</x:v>
      </x:c>
      <x:c r="G367" s="14" t="str">
        <x:v>tt13994572</x:v>
      </x:c>
      <x:c r="H367" s="14" t="n">
        <x:v>2022</x:v>
      </x:c>
      <x:c r="I367" s="14" t="n">
        <x:v>2023</x:v>
      </x:c>
      <x:c r="J367" s="14" t="str">
        <x:v>Future Carry-Forward Cohort</x:v>
      </x:c>
      <x:c r="K367" s="14" t="n">
        <x:v>2022</x:v>
      </x:c>
      <x:c r="L367" s="14" t="str">
        <x:v>Not inherited</x:v>
      </x:c>
      <x:c r="M367" s="15" t="n">
        <x:v>111</x:v>
      </x:c>
      <x:c r="N367" s="14" t="str">
        <x:v>Ramy Ben Fredj</x:v>
      </x:c>
      <x:c r="O367" s="14" t="str">
        <x:v>nm17034987</x:v>
      </x:c>
      <x:c r="P367" s="14" t="str">
        <x:v>Miles</x:v>
      </x:c>
      <x:c r="Q367" s="15" t="n">
        <x:v>1</x:v>
      </x:c>
      <x:c r="R367" s="14" t="str">
        <x:v>2024</x:v>
      </x:c>
      <x:c r="S367" s="14" t="n">
        <x:v>2024</x:v>
      </x:c>
      <x:c r="T367" s="14" t="n">
        <x:v>2024</x:v>
      </x:c>
      <x:c r="U367" s="14" t="str">
        <x:v>Explicit source first year retained</x:v>
      </x:c>
      <x:c r="V367" s="14" t="str">
        <x:v>Earliest supplied year is 2024.</x:v>
      </x:c>
      <x:c r="W367" s="14"/>
      <x:c r="X367" s="14" t="str">
        <x:v>Carried forward to 2024</x:v>
      </x:c>
      <x:c r="Y367" s="14"/>
      <x:c r="Z367" s="14" t="str">
        <x:v>Sherwood.docx</x:v>
      </x:c>
      <x:c r="AA36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BBC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HYPERLINK("https://en.wikipedia.org/wiki/Sherwood","Open source")</x:f>
        <x:v>HYPERLINK is not implemented. linkLocation=https://en.wikipedia.org/wiki/Sherwood, friendlyName=Open source</x:v>
      </x:c>
      <x:c r="AN367" s="14" t="str">
        <x:v>BBC public-service commission</x:v>
      </x:c>
      <x:c r="AO367" s="14" t="str">
        <x:v>Yes</x:v>
      </x:c>
      <x:c r="AP367" s="14" t="str">
        <x:v>Direct BBC public-service scope</x:v>
      </x:c>
      <x:c r="AQ367" s="14" t="str">
        <x:v>Yes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1</x:v>
      </x:c>
      <x:c r="BS367" s="16" t="n">
        <x:v>0.08333333333333333</x:v>
      </x:c>
      <x:c r="BT367" s="14" t="str">
        <x:v>One episode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tt15407098|nm0220457|voice of second advert / voice of advert / ...</x:v>
      </x:c>
      <x:c r="B368" s="14" t="str">
        <x:v>05</x:v>
      </x:c>
      <x:c r="C368" s="14" t="str">
        <x:v>2022_IMDb_Cast_Lists_Batch_05(1).xlsx</x:v>
      </x:c>
      <x:c r="D368" s="14" t="str">
        <x:v>Sister Boniface Mysteries</x:v>
      </x:c>
      <x:c r="E368" s="14" t="n">
        <x:v>24</x:v>
      </x:c>
      <x:c r="F368" s="14" t="str">
        <x:v>Sister Boniface Mysteries</x:v>
      </x:c>
      <x:c r="G368" s="14" t="str">
        <x:v>tt15407098</x:v>
      </x:c>
      <x:c r="H368" s="14" t="n">
        <x:v>2022</x:v>
      </x:c>
      <x:c r="I368" s="14" t="n">
        <x:v>2023</x:v>
      </x:c>
      <x:c r="J368" s="14" t="str">
        <x:v>Future Carry-Forward Cohort</x:v>
      </x:c>
      <x:c r="K368" s="14" t="n">
        <x:v>2022</x:v>
      </x:c>
      <x:c r="L368" s="14" t="str">
        <x:v>Not inherited</x:v>
      </x:c>
      <x:c r="M368" s="15" t="n">
        <x:v>17</x:v>
      </x:c>
      <x:c r="N368" s="14" t="str">
        <x:v>Elisabeth Dermot Walsh</x:v>
      </x:c>
      <x:c r="O368" s="14" t="str">
        <x:v>nm0220457</x:v>
      </x:c>
      <x:c r="P368" s="14" t="str">
        <x:v>Voice of Second Advert / Voice of Advert / ...</x:v>
      </x:c>
      <x:c r="Q368" s="15" t="n">
        <x:v>3</x:v>
      </x:c>
      <x:c r="R368" s="14" t="str">
        <x:v>2024–2025</x:v>
      </x:c>
      <x:c r="S368" s="14" t="n">
        <x:v>2024</x:v>
      </x:c>
      <x:c r="T368" s="14" t="n">
        <x:v>2024</x:v>
      </x:c>
      <x:c r="U368" s="14" t="str">
        <x:v>Explicit source first year retained</x:v>
      </x:c>
      <x:c r="V368" s="14" t="str">
        <x:v>Earliest supplied year is 2024.</x:v>
      </x:c>
      <x:c r="W368" s="14"/>
      <x:c r="X368" s="14" t="str">
        <x:v>Carried forward to 2024</x:v>
      </x:c>
      <x:c r="Y368" s="14"/>
      <x:c r="Z368" s="14" t="str">
        <x:v>Sister Boniface Mysteries.docx</x:v>
      </x:c>
      <x:c r="AA3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BritBox UK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38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3</x:v>
      </x:c>
      <x:c r="BS368" s="16" t="n">
        <x:v>0.07894736842105263</x:v>
      </x:c>
      <x:c r="BT368" s="14" t="str">
        <x:v>Minority of episodes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tt15407098|nm2502838|jean pettifer</x:v>
      </x:c>
      <x:c r="B369" s="14" t="str">
        <x:v>05</x:v>
      </x:c>
      <x:c r="C369" s="14" t="str">
        <x:v>2022_IMDb_Cast_Lists_Batch_05(1).xlsx</x:v>
      </x:c>
      <x:c r="D369" s="14" t="str">
        <x:v>Sister Boniface Mysteries</x:v>
      </x:c>
      <x:c r="E369" s="14" t="n">
        <x:v>44</x:v>
      </x:c>
      <x:c r="F369" s="14" t="str">
        <x:v>Sister Boniface Mysteries</x:v>
      </x:c>
      <x:c r="G369" s="14" t="str">
        <x:v>tt15407098</x:v>
      </x:c>
      <x:c r="H369" s="14" t="n">
        <x:v>2022</x:v>
      </x:c>
      <x:c r="I369" s="14" t="n">
        <x:v>2023</x:v>
      </x:c>
      <x:c r="J369" s="14" t="str">
        <x:v>Future Carry-Forward Cohort</x:v>
      </x:c>
      <x:c r="K369" s="14" t="n">
        <x:v>2022</x:v>
      </x:c>
      <x:c r="L369" s="14" t="str">
        <x:v>Not inherited</x:v>
      </x:c>
      <x:c r="M369" s="15" t="n">
        <x:v>37</x:v>
      </x:c>
      <x:c r="N369" s="14" t="str">
        <x:v>Crystal Yu</x:v>
      </x:c>
      <x:c r="O369" s="14" t="str">
        <x:v>nm2502838</x:v>
      </x:c>
      <x:c r="P369" s="14" t="str">
        <x:v>Jean Pettifer</x:v>
      </x:c>
      <x:c r="Q369" s="15" t="n">
        <x:v>1</x:v>
      </x:c>
      <x:c r="R369" s="14" t="str">
        <x:v>2024</x:v>
      </x:c>
      <x:c r="S369" s="14" t="n">
        <x:v>2024</x:v>
      </x:c>
      <x:c r="T369" s="14" t="n">
        <x:v>2024</x:v>
      </x:c>
      <x:c r="U369" s="14" t="str">
        <x:v>Explicit source first year retained</x:v>
      </x:c>
      <x:c r="V369" s="14" t="str">
        <x:v>Earliest supplied year is 2024.</x:v>
      </x:c>
      <x:c r="W369" s="14"/>
      <x:c r="X369" s="14" t="str">
        <x:v>Carried forward to 2024</x:v>
      </x:c>
      <x:c r="Y369" s="14"/>
      <x:c r="Z369" s="14" t="str">
        <x:v>Sister Boniface Mysteries.docx</x:v>
      </x:c>
      <x:c r="AA3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BritBox UK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38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1</x:v>
      </x:c>
      <x:c r="BS369" s="16" t="n">
        <x:v>0.02631578947368421</x:v>
      </x:c>
      <x:c r="BT369" s="14" t="str">
        <x:v>One episode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tt15407098|nm0243983|arthur salem</x:v>
      </x:c>
      <x:c r="B370" s="14" t="str">
        <x:v>05</x:v>
      </x:c>
      <x:c r="C370" s="14" t="str">
        <x:v>2022_IMDb_Cast_Lists_Batch_05(1).xlsx</x:v>
      </x:c>
      <x:c r="D370" s="14" t="str">
        <x:v>Sister Boniface Mysteries</x:v>
      </x:c>
      <x:c r="E370" s="14" t="n">
        <x:v>45</x:v>
      </x:c>
      <x:c r="F370" s="14" t="str">
        <x:v>Sister Boniface Mysteries</x:v>
      </x:c>
      <x:c r="G370" s="14" t="str">
        <x:v>tt15407098</x:v>
      </x:c>
      <x:c r="H370" s="14" t="n">
        <x:v>2022</x:v>
      </x:c>
      <x:c r="I370" s="14" t="n">
        <x:v>2023</x:v>
      </x:c>
      <x:c r="J370" s="14" t="str">
        <x:v>Future Carry-Forward Cohort</x:v>
      </x:c>
      <x:c r="K370" s="14" t="n">
        <x:v>2022</x:v>
      </x:c>
      <x:c r="L370" s="14" t="str">
        <x:v>Not inherited</x:v>
      </x:c>
      <x:c r="M370" s="15" t="n">
        <x:v>38</x:v>
      </x:c>
      <x:c r="N370" s="14" t="str">
        <x:v>Richard Durden</x:v>
      </x:c>
      <x:c r="O370" s="14" t="str">
        <x:v>nm0243983</x:v>
      </x:c>
      <x:c r="P370" s="14" t="str">
        <x:v>Arthur Salem</x:v>
      </x:c>
      <x:c r="Q370" s="15" t="n">
        <x:v>1</x:v>
      </x:c>
      <x:c r="R370" s="14" t="str">
        <x:v>2024</x:v>
      </x:c>
      <x:c r="S370" s="14" t="n">
        <x:v>2024</x:v>
      </x:c>
      <x:c r="T370" s="14" t="n">
        <x:v>2024</x:v>
      </x:c>
      <x:c r="U370" s="14" t="str">
        <x:v>Explicit source first year retained</x:v>
      </x:c>
      <x:c r="V370" s="14" t="str">
        <x:v>Earliest supplied year is 2024.</x:v>
      </x:c>
      <x:c r="W370" s="14"/>
      <x:c r="X370" s="14" t="str">
        <x:v>Carried forward to 2024</x:v>
      </x:c>
      <x:c r="Y370" s="14"/>
      <x:c r="Z370" s="14" t="str">
        <x:v>Sister Boniface Mysteries.docx</x:v>
      </x:c>
      <x:c r="AA3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BritBox UK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38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1</x:v>
      </x:c>
      <x:c r="BS370" s="16" t="n">
        <x:v>0.02631578947368421</x:v>
      </x:c>
      <x:c r="BT370" s="14" t="str">
        <x:v>One episode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tt15407098|nm13373268|celeste carmichael</x:v>
      </x:c>
      <x:c r="B371" s="14" t="str">
        <x:v>05</x:v>
      </x:c>
      <x:c r="C371" s="14" t="str">
        <x:v>2022_IMDb_Cast_Lists_Batch_05(1).xlsx</x:v>
      </x:c>
      <x:c r="D371" s="14" t="str">
        <x:v>Sister Boniface Mysteries</x:v>
      </x:c>
      <x:c r="E371" s="14" t="n">
        <x:v>46</x:v>
      </x:c>
      <x:c r="F371" s="14" t="str">
        <x:v>Sister Boniface Mysteries</x:v>
      </x:c>
      <x:c r="G371" s="14" t="str">
        <x:v>tt15407098</x:v>
      </x:c>
      <x:c r="H371" s="14" t="n">
        <x:v>2022</x:v>
      </x:c>
      <x:c r="I371" s="14" t="n">
        <x:v>2023</x:v>
      </x:c>
      <x:c r="J371" s="14" t="str">
        <x:v>Future Carry-Forward Cohort</x:v>
      </x:c>
      <x:c r="K371" s="14" t="n">
        <x:v>2022</x:v>
      </x:c>
      <x:c r="L371" s="14" t="str">
        <x:v>Not inherited</x:v>
      </x:c>
      <x:c r="M371" s="15" t="n">
        <x:v>39</x:v>
      </x:c>
      <x:c r="N371" s="14" t="str">
        <x:v>Kiera Lester</x:v>
      </x:c>
      <x:c r="O371" s="14" t="str">
        <x:v>nm13373268</x:v>
      </x:c>
      <x:c r="P371" s="14" t="str">
        <x:v>Celeste Carmichael</x:v>
      </x:c>
      <x:c r="Q371" s="15" t="n">
        <x:v>1</x:v>
      </x:c>
      <x:c r="R371" s="14" t="str">
        <x:v>2024</x:v>
      </x:c>
      <x:c r="S371" s="14" t="n">
        <x:v>2024</x:v>
      </x:c>
      <x:c r="T371" s="14" t="n">
        <x:v>2024</x:v>
      </x:c>
      <x:c r="U371" s="14" t="str">
        <x:v>Explicit source first year retained</x:v>
      </x:c>
      <x:c r="V371" s="14" t="str">
        <x:v>Earliest supplied year is 2024.</x:v>
      </x:c>
      <x:c r="W371" s="14"/>
      <x:c r="X371" s="14" t="str">
        <x:v>Carried forward to 2024</x:v>
      </x:c>
      <x:c r="Y371" s="14"/>
      <x:c r="Z371" s="14" t="str">
        <x:v>Sister Boniface Mysteries.docx</x:v>
      </x:c>
      <x:c r="AA3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BritBox UK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38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1</x:v>
      </x:c>
      <x:c r="BS371" s="16" t="n">
        <x:v>0.02631578947368421</x:v>
      </x:c>
      <x:c r="BT371" s="14" t="str">
        <x:v>One episode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tt15407098|nm0101540|sterling thistleton</x:v>
      </x:c>
      <x:c r="B372" s="14" t="str">
        <x:v>05</x:v>
      </x:c>
      <x:c r="C372" s="14" t="str">
        <x:v>2022_IMDb_Cast_Lists_Batch_05(1).xlsx</x:v>
      </x:c>
      <x:c r="D372" s="14" t="str">
        <x:v>Sister Boniface Mysteries</x:v>
      </x:c>
      <x:c r="E372" s="14" t="n">
        <x:v>47</x:v>
      </x:c>
      <x:c r="F372" s="14" t="str">
        <x:v>Sister Boniface Mysteries</x:v>
      </x:c>
      <x:c r="G372" s="14" t="str">
        <x:v>tt15407098</x:v>
      </x:c>
      <x:c r="H372" s="14" t="n">
        <x:v>2022</x:v>
      </x:c>
      <x:c r="I372" s="14" t="n">
        <x:v>2023</x:v>
      </x:c>
      <x:c r="J372" s="14" t="str">
        <x:v>Future Carry-Forward Cohort</x:v>
      </x:c>
      <x:c r="K372" s="14" t="n">
        <x:v>2022</x:v>
      </x:c>
      <x:c r="L372" s="14" t="str">
        <x:v>Not inherited</x:v>
      </x:c>
      <x:c r="M372" s="15" t="n">
        <x:v>40</x:v>
      </x:c>
      <x:c r="N372" s="14" t="str">
        <x:v>Stephen Boxer</x:v>
      </x:c>
      <x:c r="O372" s="14" t="str">
        <x:v>nm0101540</x:v>
      </x:c>
      <x:c r="P372" s="14" t="str">
        <x:v>Sterling Thistleton</x:v>
      </x:c>
      <x:c r="Q372" s="15" t="n">
        <x:v>1</x:v>
      </x:c>
      <x:c r="R372" s="14" t="str">
        <x:v>2024</x:v>
      </x:c>
      <x:c r="S372" s="14" t="n">
        <x:v>2024</x:v>
      </x:c>
      <x:c r="T372" s="14" t="n">
        <x:v>2024</x:v>
      </x:c>
      <x:c r="U372" s="14" t="str">
        <x:v>Explicit source first year retained</x:v>
      </x:c>
      <x:c r="V372" s="14" t="str">
        <x:v>Earliest supplied year is 2024.</x:v>
      </x:c>
      <x:c r="W372" s="14"/>
      <x:c r="X372" s="14" t="str">
        <x:v>Carried forward to 2024</x:v>
      </x:c>
      <x:c r="Y372" s="14"/>
      <x:c r="Z372" s="14" t="str">
        <x:v>Sister Boniface Mysteries.docx</x:v>
      </x:c>
      <x:c r="AA3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BritBox UK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38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0.02631578947368421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tt15407098|nm0672261|barry gold</x:v>
      </x:c>
      <x:c r="B373" s="14" t="str">
        <x:v>05</x:v>
      </x:c>
      <x:c r="C373" s="14" t="str">
        <x:v>2022_IMDb_Cast_Lists_Batch_05(1).xlsx</x:v>
      </x:c>
      <x:c r="D373" s="14" t="str">
        <x:v>Sister Boniface Mysteries</x:v>
      </x:c>
      <x:c r="E373" s="14" t="n">
        <x:v>48</x:v>
      </x:c>
      <x:c r="F373" s="14" t="str">
        <x:v>Sister Boniface Mysteries</x:v>
      </x:c>
      <x:c r="G373" s="14" t="str">
        <x:v>tt15407098</x:v>
      </x:c>
      <x:c r="H373" s="14" t="n">
        <x:v>2022</x:v>
      </x:c>
      <x:c r="I373" s="14" t="n">
        <x:v>2023</x:v>
      </x:c>
      <x:c r="J373" s="14" t="str">
        <x:v>Future Carry-Forward Cohort</x:v>
      </x:c>
      <x:c r="K373" s="14" t="n">
        <x:v>2022</x:v>
      </x:c>
      <x:c r="L373" s="14" t="str">
        <x:v>Not inherited</x:v>
      </x:c>
      <x:c r="M373" s="15" t="n">
        <x:v>41</x:v>
      </x:c>
      <x:c r="N373" s="14" t="str">
        <x:v>Jason Pennycooke</x:v>
      </x:c>
      <x:c r="O373" s="14" t="str">
        <x:v>nm0672261</x:v>
      </x:c>
      <x:c r="P373" s="14" t="str">
        <x:v>Barry Gold</x:v>
      </x:c>
      <x:c r="Q373" s="15" t="n">
        <x:v>1</x:v>
      </x:c>
      <x:c r="R373" s="14" t="str">
        <x:v>2024</x:v>
      </x:c>
      <x:c r="S373" s="14" t="n">
        <x:v>2024</x:v>
      </x:c>
      <x:c r="T373" s="14" t="n">
        <x:v>2024</x:v>
      </x:c>
      <x:c r="U373" s="14" t="str">
        <x:v>Explicit source first year retained</x:v>
      </x:c>
      <x:c r="V373" s="14" t="str">
        <x:v>Earliest supplied year is 2024.</x:v>
      </x:c>
      <x:c r="W373" s="14"/>
      <x:c r="X373" s="14" t="str">
        <x:v>Carried forward to 2024</x:v>
      </x:c>
      <x:c r="Y373" s="14"/>
      <x:c r="Z373" s="14" t="str">
        <x:v>Sister Boniface Mysteries.docx</x:v>
      </x:c>
      <x:c r="AA3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BritBox UK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38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0.02631578947368421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tt15407098|nm16033479|narrator</x:v>
      </x:c>
      <x:c r="B374" s="14" t="str">
        <x:v>05</x:v>
      </x:c>
      <x:c r="C374" s="14" t="str">
        <x:v>2022_IMDb_Cast_Lists_Batch_05(1).xlsx</x:v>
      </x:c>
      <x:c r="D374" s="14" t="str">
        <x:v>Sister Boniface Mysteries</x:v>
      </x:c>
      <x:c r="E374" s="14" t="n">
        <x:v>49</x:v>
      </x:c>
      <x:c r="F374" s="14" t="str">
        <x:v>Sister Boniface Mysteries</x:v>
      </x:c>
      <x:c r="G374" s="14" t="str">
        <x:v>tt15407098</x:v>
      </x:c>
      <x:c r="H374" s="14" t="n">
        <x:v>2022</x:v>
      </x:c>
      <x:c r="I374" s="14" t="n">
        <x:v>2023</x:v>
      </x:c>
      <x:c r="J374" s="14" t="str">
        <x:v>Future Carry-Forward Cohort</x:v>
      </x:c>
      <x:c r="K374" s="14" t="n">
        <x:v>2022</x:v>
      </x:c>
      <x:c r="L374" s="14" t="str">
        <x:v>Not inherited</x:v>
      </x:c>
      <x:c r="M374" s="15" t="n">
        <x:v>42</x:v>
      </x:c>
      <x:c r="N374" s="14" t="str">
        <x:v>Amelie Abbott</x:v>
      </x:c>
      <x:c r="O374" s="14" t="str">
        <x:v>nm16033479</x:v>
      </x:c>
      <x:c r="P374" s="14" t="str">
        <x:v>Narrator</x:v>
      </x:c>
      <x:c r="Q374" s="15" t="n">
        <x:v>1</x:v>
      </x:c>
      <x:c r="R374" s="14" t="str">
        <x:v>2024</x:v>
      </x:c>
      <x:c r="S374" s="14" t="n">
        <x:v>2024</x:v>
      </x:c>
      <x:c r="T374" s="14" t="n">
        <x:v>2024</x:v>
      </x:c>
      <x:c r="U374" s="14" t="str">
        <x:v>Explicit source first year retained</x:v>
      </x:c>
      <x:c r="V374" s="14" t="str">
        <x:v>Earliest supplied year is 2024.</x:v>
      </x:c>
      <x:c r="W374" s="14"/>
      <x:c r="X374" s="14" t="str">
        <x:v>Carried forward to 2024</x:v>
      </x:c>
      <x:c r="Y374" s="14" t="str">
        <x:v>(voice)</x:v>
      </x:c>
      <x:c r="Z374" s="14" t="str">
        <x:v>Sister Boniface Mysteries.docx</x:v>
      </x:c>
      <x:c r="AA3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BritBox UK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38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0.02631578947368421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tt15407098|nm0276133|venetia thistleton</x:v>
      </x:c>
      <x:c r="B375" s="14" t="str">
        <x:v>05</x:v>
      </x:c>
      <x:c r="C375" s="14" t="str">
        <x:v>2022_IMDb_Cast_Lists_Batch_05(1).xlsx</x:v>
      </x:c>
      <x:c r="D375" s="14" t="str">
        <x:v>Sister Boniface Mysteries</x:v>
      </x:c>
      <x:c r="E375" s="14" t="n">
        <x:v>63</x:v>
      </x:c>
      <x:c r="F375" s="14" t="str">
        <x:v>Sister Boniface Mysteries</x:v>
      </x:c>
      <x:c r="G375" s="14" t="str">
        <x:v>tt15407098</x:v>
      </x:c>
      <x:c r="H375" s="14" t="n">
        <x:v>2022</x:v>
      </x:c>
      <x:c r="I375" s="14" t="n">
        <x:v>2023</x:v>
      </x:c>
      <x:c r="J375" s="14" t="str">
        <x:v>Future Carry-Forward Cohort</x:v>
      </x:c>
      <x:c r="K375" s="14" t="n">
        <x:v>2022</x:v>
      </x:c>
      <x:c r="L375" s="14" t="str">
        <x:v>Not inherited</x:v>
      </x:c>
      <x:c r="M375" s="15" t="n">
        <x:v>56</x:v>
      </x:c>
      <x:c r="N375" s="14" t="str">
        <x:v>Emma Fielding</x:v>
      </x:c>
      <x:c r="O375" s="14" t="str">
        <x:v>nm0276133</x:v>
      </x:c>
      <x:c r="P375" s="14" t="str">
        <x:v>Venetia Thistleton</x:v>
      </x:c>
      <x:c r="Q375" s="15" t="n">
        <x:v>1</x:v>
      </x:c>
      <x:c r="R375" s="14" t="str">
        <x:v>2024</x:v>
      </x:c>
      <x:c r="S375" s="14" t="n">
        <x:v>2024</x:v>
      </x:c>
      <x:c r="T375" s="14" t="n">
        <x:v>2024</x:v>
      </x:c>
      <x:c r="U375" s="14" t="str">
        <x:v>Explicit source first year retained</x:v>
      </x:c>
      <x:c r="V375" s="14" t="str">
        <x:v>Earliest supplied year is 2024.</x:v>
      </x:c>
      <x:c r="W375" s="14"/>
      <x:c r="X375" s="14" t="str">
        <x:v>Carried forward to 2024</x:v>
      </x:c>
      <x:c r="Y375" s="14"/>
      <x:c r="Z375" s="14" t="str">
        <x:v>Sister Boniface Mysteries.docx</x:v>
      </x:c>
      <x:c r="AA3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BritBox UK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38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0.02631578947368421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tt15407098|nm0372423|kirk fabricant</x:v>
      </x:c>
      <x:c r="B376" s="14" t="str">
        <x:v>05</x:v>
      </x:c>
      <x:c r="C376" s="14" t="str">
        <x:v>2022_IMDb_Cast_Lists_Batch_05(1).xlsx</x:v>
      </x:c>
      <x:c r="D376" s="14" t="str">
        <x:v>Sister Boniface Mysteries</x:v>
      </x:c>
      <x:c r="E376" s="14" t="n">
        <x:v>64</x:v>
      </x:c>
      <x:c r="F376" s="14" t="str">
        <x:v>Sister Boniface Mysteries</x:v>
      </x:c>
      <x:c r="G376" s="14" t="str">
        <x:v>tt15407098</x:v>
      </x:c>
      <x:c r="H376" s="14" t="n">
        <x:v>2022</x:v>
      </x:c>
      <x:c r="I376" s="14" t="n">
        <x:v>2023</x:v>
      </x:c>
      <x:c r="J376" s="14" t="str">
        <x:v>Future Carry-Forward Cohort</x:v>
      </x:c>
      <x:c r="K376" s="14" t="n">
        <x:v>2022</x:v>
      </x:c>
      <x:c r="L376" s="14" t="str">
        <x:v>Not inherited</x:v>
      </x:c>
      <x:c r="M376" s="15" t="n">
        <x:v>57</x:v>
      </x:c>
      <x:c r="N376" s="14" t="str">
        <x:v>Mark Heap</x:v>
      </x:c>
      <x:c r="O376" s="14" t="str">
        <x:v>nm0372423</x:v>
      </x:c>
      <x:c r="P376" s="14" t="str">
        <x:v>Kirk Fabricant</x:v>
      </x:c>
      <x:c r="Q376" s="15" t="n">
        <x:v>1</x:v>
      </x:c>
      <x:c r="R376" s="14" t="str">
        <x:v>2024</x:v>
      </x:c>
      <x:c r="S376" s="14" t="n">
        <x:v>2024</x:v>
      </x:c>
      <x:c r="T376" s="14" t="n">
        <x:v>2024</x:v>
      </x:c>
      <x:c r="U376" s="14" t="str">
        <x:v>Explicit source first year retained</x:v>
      </x:c>
      <x:c r="V376" s="14" t="str">
        <x:v>Earliest supplied year is 2024.</x:v>
      </x:c>
      <x:c r="W376" s="14"/>
      <x:c r="X376" s="14" t="str">
        <x:v>Carried forward to 2024</x:v>
      </x:c>
      <x:c r="Y376" s="14"/>
      <x:c r="Z376" s="14" t="str">
        <x:v>Sister Boniface Mysteries.docx</x:v>
      </x:c>
      <x:c r="AA3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BritBox UK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38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1</x:v>
      </x:c>
      <x:c r="BS376" s="16" t="n">
        <x:v>0.02631578947368421</x:v>
      </x:c>
      <x:c r="BT376" s="14" t="str">
        <x:v>One episode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tt15407098|nm0142174|humphrey lash</x:v>
      </x:c>
      <x:c r="B377" s="14" t="str">
        <x:v>05</x:v>
      </x:c>
      <x:c r="C377" s="14" t="str">
        <x:v>2022_IMDb_Cast_Lists_Batch_05(1).xlsx</x:v>
      </x:c>
      <x:c r="D377" s="14" t="str">
        <x:v>Sister Boniface Mysteries</x:v>
      </x:c>
      <x:c r="E377" s="14" t="n">
        <x:v>65</x:v>
      </x:c>
      <x:c r="F377" s="14" t="str">
        <x:v>Sister Boniface Mysteries</x:v>
      </x:c>
      <x:c r="G377" s="14" t="str">
        <x:v>tt15407098</x:v>
      </x:c>
      <x:c r="H377" s="14" t="n">
        <x:v>2022</x:v>
      </x:c>
      <x:c r="I377" s="14" t="n">
        <x:v>2023</x:v>
      </x:c>
      <x:c r="J377" s="14" t="str">
        <x:v>Future Carry-Forward Cohort</x:v>
      </x:c>
      <x:c r="K377" s="14" t="n">
        <x:v>2022</x:v>
      </x:c>
      <x:c r="L377" s="14" t="str">
        <x:v>Not inherited</x:v>
      </x:c>
      <x:c r="M377" s="15" t="n">
        <x:v>58</x:v>
      </x:c>
      <x:c r="N377" s="14" t="str">
        <x:v>James Cartwright</x:v>
      </x:c>
      <x:c r="O377" s="14" t="str">
        <x:v>nm0142174</x:v>
      </x:c>
      <x:c r="P377" s="14" t="str">
        <x:v>Humphrey Lash</x:v>
      </x:c>
      <x:c r="Q377" s="15" t="n">
        <x:v>1</x:v>
      </x:c>
      <x:c r="R377" s="14" t="str">
        <x:v>2024</x:v>
      </x:c>
      <x:c r="S377" s="14" t="n">
        <x:v>2024</x:v>
      </x:c>
      <x:c r="T377" s="14" t="n">
        <x:v>2024</x:v>
      </x:c>
      <x:c r="U377" s="14" t="str">
        <x:v>Explicit source first year retained</x:v>
      </x:c>
      <x:c r="V377" s="14" t="str">
        <x:v>Earliest supplied year is 2024.</x:v>
      </x:c>
      <x:c r="W377" s="14"/>
      <x:c r="X377" s="14" t="str">
        <x:v>Carried forward to 2024</x:v>
      </x:c>
      <x:c r="Y377" s="14"/>
      <x:c r="Z377" s="14" t="str">
        <x:v>Sister Boniface Mysteries.docx</x:v>
      </x:c>
      <x:c r="AA3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BritBox UK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38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1</x:v>
      </x:c>
      <x:c r="BS377" s="16" t="n">
        <x:v>0.02631578947368421</x:v>
      </x:c>
      <x:c r="BT377" s="14" t="str">
        <x:v>One episode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tt15407098|nm0154708|octavia hemlock</x:v>
      </x:c>
      <x:c r="B378" s="14" t="str">
        <x:v>05</x:v>
      </x:c>
      <x:c r="C378" s="14" t="str">
        <x:v>2022_IMDb_Cast_Lists_Batch_05(1).xlsx</x:v>
      </x:c>
      <x:c r="D378" s="14" t="str">
        <x:v>Sister Boniface Mysteries</x:v>
      </x:c>
      <x:c r="E378" s="14" t="n">
        <x:v>66</x:v>
      </x:c>
      <x:c r="F378" s="14" t="str">
        <x:v>Sister Boniface Mysteries</x:v>
      </x:c>
      <x:c r="G378" s="14" t="str">
        <x:v>tt15407098</x:v>
      </x:c>
      <x:c r="H378" s="14" t="n">
        <x:v>2022</x:v>
      </x:c>
      <x:c r="I378" s="14" t="n">
        <x:v>2023</x:v>
      </x:c>
      <x:c r="J378" s="14" t="str">
        <x:v>Future Carry-Forward Cohort</x:v>
      </x:c>
      <x:c r="K378" s="14" t="n">
        <x:v>2022</x:v>
      </x:c>
      <x:c r="L378" s="14" t="str">
        <x:v>Not inherited</x:v>
      </x:c>
      <x:c r="M378" s="15" t="n">
        <x:v>59</x:v>
      </x:c>
      <x:c r="N378" s="14" t="str">
        <x:v>Debbie Chazen</x:v>
      </x:c>
      <x:c r="O378" s="14" t="str">
        <x:v>nm0154708</x:v>
      </x:c>
      <x:c r="P378" s="14" t="str">
        <x:v>Octavia Hemlock</x:v>
      </x:c>
      <x:c r="Q378" s="15" t="n">
        <x:v>1</x:v>
      </x:c>
      <x:c r="R378" s="14" t="str">
        <x:v>2024</x:v>
      </x:c>
      <x:c r="S378" s="14" t="n">
        <x:v>2024</x:v>
      </x:c>
      <x:c r="T378" s="14" t="n">
        <x:v>2024</x:v>
      </x:c>
      <x:c r="U378" s="14" t="str">
        <x:v>Explicit source first year retained</x:v>
      </x:c>
      <x:c r="V378" s="14" t="str">
        <x:v>Earliest supplied year is 2024.</x:v>
      </x:c>
      <x:c r="W378" s="14"/>
      <x:c r="X378" s="14" t="str">
        <x:v>Carried forward to 2024</x:v>
      </x:c>
      <x:c r="Y378" s="14"/>
      <x:c r="Z378" s="14" t="str">
        <x:v>Sister Boniface Mysteries.docx</x:v>
      </x:c>
      <x:c r="AA3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BritBox UK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38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1</x:v>
      </x:c>
      <x:c r="BS378" s="16" t="n">
        <x:v>0.02631578947368421</x:v>
      </x:c>
      <x:c r="BT378" s="14" t="str">
        <x:v>One episode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tt15407098|nm1276507|merlin crow</x:v>
      </x:c>
      <x:c r="B379" s="14" t="str">
        <x:v>05</x:v>
      </x:c>
      <x:c r="C379" s="14" t="str">
        <x:v>2022_IMDb_Cast_Lists_Batch_05(1).xlsx</x:v>
      </x:c>
      <x:c r="D379" s="14" t="str">
        <x:v>Sister Boniface Mysteries</x:v>
      </x:c>
      <x:c r="E379" s="14" t="n">
        <x:v>82</x:v>
      </x:c>
      <x:c r="F379" s="14" t="str">
        <x:v>Sister Boniface Mysteries</x:v>
      </x:c>
      <x:c r="G379" s="14" t="str">
        <x:v>tt15407098</x:v>
      </x:c>
      <x:c r="H379" s="14" t="n">
        <x:v>2022</x:v>
      </x:c>
      <x:c r="I379" s="14" t="n">
        <x:v>2023</x:v>
      </x:c>
      <x:c r="J379" s="14" t="str">
        <x:v>Future Carry-Forward Cohort</x:v>
      </x:c>
      <x:c r="K379" s="14" t="n">
        <x:v>2022</x:v>
      </x:c>
      <x:c r="L379" s="14" t="str">
        <x:v>Not inherited</x:v>
      </x:c>
      <x:c r="M379" s="15" t="n">
        <x:v>75</x:v>
      </x:c>
      <x:c r="N379" s="14" t="str">
        <x:v>Alex Macqueen</x:v>
      </x:c>
      <x:c r="O379" s="14" t="str">
        <x:v>nm1276507</x:v>
      </x:c>
      <x:c r="P379" s="14" t="str">
        <x:v>Merlin Crow</x:v>
      </x:c>
      <x:c r="Q379" s="15" t="n">
        <x:v>1</x:v>
      </x:c>
      <x:c r="R379" s="14" t="str">
        <x:v>2024</x:v>
      </x:c>
      <x:c r="S379" s="14" t="n">
        <x:v>2024</x:v>
      </x:c>
      <x:c r="T379" s="14" t="n">
        <x:v>2024</x:v>
      </x:c>
      <x:c r="U379" s="14" t="str">
        <x:v>Explicit source first year retained</x:v>
      </x:c>
      <x:c r="V379" s="14" t="str">
        <x:v>Earliest supplied year is 2024.</x:v>
      </x:c>
      <x:c r="W379" s="14"/>
      <x:c r="X379" s="14" t="str">
        <x:v>Carried forward to 2024</x:v>
      </x:c>
      <x:c r="Y379" s="14"/>
      <x:c r="Z379" s="14" t="str">
        <x:v>Sister Boniface Mysteries.docx</x:v>
      </x:c>
      <x:c r="AA3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BritBox UK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38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1</x:v>
      </x:c>
      <x:c r="BS379" s="16" t="n">
        <x:v>0.02631578947368421</x:v>
      </x:c>
      <x:c r="BT379" s="14" t="str">
        <x:v>One episode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tt15407098|nm0254973|aubrey frobisher</x:v>
      </x:c>
      <x:c r="B380" s="14" t="str">
        <x:v>05</x:v>
      </x:c>
      <x:c r="C380" s="14" t="str">
        <x:v>2022_IMDb_Cast_Lists_Batch_05(1).xlsx</x:v>
      </x:c>
      <x:c r="D380" s="14" t="str">
        <x:v>Sister Boniface Mysteries</x:v>
      </x:c>
      <x:c r="E380" s="14" t="n">
        <x:v>83</x:v>
      </x:c>
      <x:c r="F380" s="14" t="str">
        <x:v>Sister Boniface Mysteries</x:v>
      </x:c>
      <x:c r="G380" s="14" t="str">
        <x:v>tt15407098</x:v>
      </x:c>
      <x:c r="H380" s="14" t="n">
        <x:v>2022</x:v>
      </x:c>
      <x:c r="I380" s="14" t="n">
        <x:v>2023</x:v>
      </x:c>
      <x:c r="J380" s="14" t="str">
        <x:v>Future Carry-Forward Cohort</x:v>
      </x:c>
      <x:c r="K380" s="14" t="n">
        <x:v>2022</x:v>
      </x:c>
      <x:c r="L380" s="14" t="str">
        <x:v>Not inherited</x:v>
      </x:c>
      <x:c r="M380" s="15" t="n">
        <x:v>76</x:v>
      </x:c>
      <x:c r="N380" s="14" t="str">
        <x:v>Martyn Ellis</x:v>
      </x:c>
      <x:c r="O380" s="14" t="str">
        <x:v>nm0254973</x:v>
      </x:c>
      <x:c r="P380" s="14" t="str">
        <x:v>Aubrey Frobisher</x:v>
      </x:c>
      <x:c r="Q380" s="15" t="n">
        <x:v>1</x:v>
      </x:c>
      <x:c r="R380" s="14" t="str">
        <x:v>2024</x:v>
      </x:c>
      <x:c r="S380" s="14" t="n">
        <x:v>2024</x:v>
      </x:c>
      <x:c r="T380" s="14" t="n">
        <x:v>2024</x:v>
      </x:c>
      <x:c r="U380" s="14" t="str">
        <x:v>Explicit source first year retained</x:v>
      </x:c>
      <x:c r="V380" s="14" t="str">
        <x:v>Earliest supplied year is 2024.</x:v>
      </x:c>
      <x:c r="W380" s="14"/>
      <x:c r="X380" s="14" t="str">
        <x:v>Carried forward to 2024</x:v>
      </x:c>
      <x:c r="Y380" s="14"/>
      <x:c r="Z380" s="14" t="str">
        <x:v>Sister Boniface Mysteries.docx</x:v>
      </x:c>
      <x:c r="AA3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BritBox UK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38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1</x:v>
      </x:c>
      <x:c r="BS380" s="16" t="n">
        <x:v>0.02631578947368421</x:v>
      </x:c>
      <x:c r="BT380" s="14" t="str">
        <x:v>One episode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tt15407098|nm9053365|bramwell bailey</x:v>
      </x:c>
      <x:c r="B381" s="14" t="str">
        <x:v>05</x:v>
      </x:c>
      <x:c r="C381" s="14" t="str">
        <x:v>2022_IMDb_Cast_Lists_Batch_05(1).xlsx</x:v>
      </x:c>
      <x:c r="D381" s="14" t="str">
        <x:v>Sister Boniface Mysteries</x:v>
      </x:c>
      <x:c r="E381" s="14" t="n">
        <x:v>84</x:v>
      </x:c>
      <x:c r="F381" s="14" t="str">
        <x:v>Sister Boniface Mysteries</x:v>
      </x:c>
      <x:c r="G381" s="14" t="str">
        <x:v>tt15407098</x:v>
      </x:c>
      <x:c r="H381" s="14" t="n">
        <x:v>2022</x:v>
      </x:c>
      <x:c r="I381" s="14" t="n">
        <x:v>2023</x:v>
      </x:c>
      <x:c r="J381" s="14" t="str">
        <x:v>Future Carry-Forward Cohort</x:v>
      </x:c>
      <x:c r="K381" s="14" t="n">
        <x:v>2022</x:v>
      </x:c>
      <x:c r="L381" s="14" t="str">
        <x:v>Not inherited</x:v>
      </x:c>
      <x:c r="M381" s="15" t="n">
        <x:v>77</x:v>
      </x:c>
      <x:c r="N381" s="14" t="str">
        <x:v>Joshua Riley</x:v>
      </x:c>
      <x:c r="O381" s="14" t="str">
        <x:v>nm9053365</x:v>
      </x:c>
      <x:c r="P381" s="14" t="str">
        <x:v>Bramwell Bailey</x:v>
      </x:c>
      <x:c r="Q381" s="15" t="n">
        <x:v>1</x:v>
      </x:c>
      <x:c r="R381" s="14" t="str">
        <x:v>2024</x:v>
      </x:c>
      <x:c r="S381" s="14" t="n">
        <x:v>2024</x:v>
      </x:c>
      <x:c r="T381" s="14" t="n">
        <x:v>2024</x:v>
      </x:c>
      <x:c r="U381" s="14" t="str">
        <x:v>Explicit source first year retained</x:v>
      </x:c>
      <x:c r="V381" s="14" t="str">
        <x:v>Earliest supplied year is 2024.</x:v>
      </x:c>
      <x:c r="W381" s="14"/>
      <x:c r="X381" s="14" t="str">
        <x:v>Carried forward to 2024</x:v>
      </x:c>
      <x:c r="Y381" s="14"/>
      <x:c r="Z381" s="14" t="str">
        <x:v>Sister Boniface Mysteries.docx</x:v>
      </x:c>
      <x:c r="AA3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BritBox UK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38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1</x:v>
      </x:c>
      <x:c r="BS381" s="16" t="n">
        <x:v>0.02631578947368421</x:v>
      </x:c>
      <x:c r="BT381" s="14" t="str">
        <x:v>One episode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tt15407098|nm11123420|mary flint</x:v>
      </x:c>
      <x:c r="B382" s="14" t="str">
        <x:v>05</x:v>
      </x:c>
      <x:c r="C382" s="14" t="str">
        <x:v>2022_IMDb_Cast_Lists_Batch_05(1).xlsx</x:v>
      </x:c>
      <x:c r="D382" s="14" t="str">
        <x:v>Sister Boniface Mysteries</x:v>
      </x:c>
      <x:c r="E382" s="14" t="n">
        <x:v>100</x:v>
      </x:c>
      <x:c r="F382" s="14" t="str">
        <x:v>Sister Boniface Mysteries</x:v>
      </x:c>
      <x:c r="G382" s="14" t="str">
        <x:v>tt15407098</x:v>
      </x:c>
      <x:c r="H382" s="14" t="n">
        <x:v>2022</x:v>
      </x:c>
      <x:c r="I382" s="14" t="n">
        <x:v>2023</x:v>
      </x:c>
      <x:c r="J382" s="14" t="str">
        <x:v>Future Carry-Forward Cohort</x:v>
      </x:c>
      <x:c r="K382" s="14" t="n">
        <x:v>2022</x:v>
      </x:c>
      <x:c r="L382" s="14" t="str">
        <x:v>Not inherited</x:v>
      </x:c>
      <x:c r="M382" s="15" t="n">
        <x:v>93</x:v>
      </x:c>
      <x:c r="N382" s="14" t="str">
        <x:v>Bianca Bardoe</x:v>
      </x:c>
      <x:c r="O382" s="14" t="str">
        <x:v>nm11123420</x:v>
      </x:c>
      <x:c r="P382" s="14" t="str">
        <x:v>Mary Flint</x:v>
      </x:c>
      <x:c r="Q382" s="15" t="n">
        <x:v>1</x:v>
      </x:c>
      <x:c r="R382" s="14" t="str">
        <x:v>2024</x:v>
      </x:c>
      <x:c r="S382" s="14" t="n">
        <x:v>2024</x:v>
      </x:c>
      <x:c r="T382" s="14" t="n">
        <x:v>2024</x:v>
      </x:c>
      <x:c r="U382" s="14" t="str">
        <x:v>Explicit source first year retained</x:v>
      </x:c>
      <x:c r="V382" s="14" t="str">
        <x:v>Earliest supplied year is 2024.</x:v>
      </x:c>
      <x:c r="W382" s="14"/>
      <x:c r="X382" s="14" t="str">
        <x:v>Carried forward to 2024</x:v>
      </x:c>
      <x:c r="Y382" s="14"/>
      <x:c r="Z382" s="14" t="str">
        <x:v>Sister Boniface Mysteries.docx</x:v>
      </x:c>
      <x:c r="AA3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BritBox UK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38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0.02631578947368421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tt15407098|nm7919266|gideon glove</x:v>
      </x:c>
      <x:c r="B383" s="14" t="str">
        <x:v>05</x:v>
      </x:c>
      <x:c r="C383" s="14" t="str">
        <x:v>2022_IMDb_Cast_Lists_Batch_05(1).xlsx</x:v>
      </x:c>
      <x:c r="D383" s="14" t="str">
        <x:v>Sister Boniface Mysteries</x:v>
      </x:c>
      <x:c r="E383" s="14" t="n">
        <x:v>101</x:v>
      </x:c>
      <x:c r="F383" s="14" t="str">
        <x:v>Sister Boniface Mysteries</x:v>
      </x:c>
      <x:c r="G383" s="14" t="str">
        <x:v>tt15407098</x:v>
      </x:c>
      <x:c r="H383" s="14" t="n">
        <x:v>2022</x:v>
      </x:c>
      <x:c r="I383" s="14" t="n">
        <x:v>2023</x:v>
      </x:c>
      <x:c r="J383" s="14" t="str">
        <x:v>Future Carry-Forward Cohort</x:v>
      </x:c>
      <x:c r="K383" s="14" t="n">
        <x:v>2022</x:v>
      </x:c>
      <x:c r="L383" s="14" t="str">
        <x:v>Not inherited</x:v>
      </x:c>
      <x:c r="M383" s="15" t="n">
        <x:v>94</x:v>
      </x:c>
      <x:c r="N383" s="14" t="str">
        <x:v>Andre Flynn</x:v>
      </x:c>
      <x:c r="O383" s="14" t="str">
        <x:v>nm7919266</x:v>
      </x:c>
      <x:c r="P383" s="14" t="str">
        <x:v>Gideon Glove</x:v>
      </x:c>
      <x:c r="Q383" s="15" t="n">
        <x:v>1</x:v>
      </x:c>
      <x:c r="R383" s="14" t="str">
        <x:v>2024</x:v>
      </x:c>
      <x:c r="S383" s="14" t="n">
        <x:v>2024</x:v>
      </x:c>
      <x:c r="T383" s="14" t="n">
        <x:v>2024</x:v>
      </x:c>
      <x:c r="U383" s="14" t="str">
        <x:v>Explicit source first year retained</x:v>
      </x:c>
      <x:c r="V383" s="14" t="str">
        <x:v>Earliest supplied year is 2024.</x:v>
      </x:c>
      <x:c r="W383" s="14"/>
      <x:c r="X383" s="14" t="str">
        <x:v>Carried forward to 2024</x:v>
      </x:c>
      <x:c r="Y383" s="14"/>
      <x:c r="Z383" s="14" t="str">
        <x:v>Sister Boniface Mysteries.docx</x:v>
      </x:c>
      <x:c r="AA3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BritBox UK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38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0.02631578947368421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tt15407098|nm5560243|benson boyd</x:v>
      </x:c>
      <x:c r="B384" s="14" t="str">
        <x:v>05</x:v>
      </x:c>
      <x:c r="C384" s="14" t="str">
        <x:v>2022_IMDb_Cast_Lists_Batch_05(1).xlsx</x:v>
      </x:c>
      <x:c r="D384" s="14" t="str">
        <x:v>Sister Boniface Mysteries</x:v>
      </x:c>
      <x:c r="E384" s="14" t="n">
        <x:v>102</x:v>
      </x:c>
      <x:c r="F384" s="14" t="str">
        <x:v>Sister Boniface Mysteries</x:v>
      </x:c>
      <x:c r="G384" s="14" t="str">
        <x:v>tt15407098</x:v>
      </x:c>
      <x:c r="H384" s="14" t="n">
        <x:v>2022</x:v>
      </x:c>
      <x:c r="I384" s="14" t="n">
        <x:v>2023</x:v>
      </x:c>
      <x:c r="J384" s="14" t="str">
        <x:v>Future Carry-Forward Cohort</x:v>
      </x:c>
      <x:c r="K384" s="14" t="n">
        <x:v>2022</x:v>
      </x:c>
      <x:c r="L384" s="14" t="str">
        <x:v>Not inherited</x:v>
      </x:c>
      <x:c r="M384" s="15" t="n">
        <x:v>95</x:v>
      </x:c>
      <x:c r="N384" s="14" t="str">
        <x:v>Jordan Mifsud</x:v>
      </x:c>
      <x:c r="O384" s="14" t="str">
        <x:v>nm5560243</x:v>
      </x:c>
      <x:c r="P384" s="14" t="str">
        <x:v>Benson Boyd</x:v>
      </x:c>
      <x:c r="Q384" s="15" t="n">
        <x:v>1</x:v>
      </x:c>
      <x:c r="R384" s="14" t="str">
        <x:v>2024</x:v>
      </x:c>
      <x:c r="S384" s="14" t="n">
        <x:v>2024</x:v>
      </x:c>
      <x:c r="T384" s="14" t="n">
        <x:v>2024</x:v>
      </x:c>
      <x:c r="U384" s="14" t="str">
        <x:v>Explicit source first year retained</x:v>
      </x:c>
      <x:c r="V384" s="14" t="str">
        <x:v>Earliest supplied year is 2024.</x:v>
      </x:c>
      <x:c r="W384" s="14"/>
      <x:c r="X384" s="14" t="str">
        <x:v>Carried forward to 2024</x:v>
      </x:c>
      <x:c r="Y384" s="14"/>
      <x:c r="Z384" s="14" t="str">
        <x:v>Sister Boniface Mysteries.docx</x:v>
      </x:c>
      <x:c r="AA3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BritBox UK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38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1</x:v>
      </x:c>
      <x:c r="BS384" s="16" t="n">
        <x:v>0.02631578947368421</x:v>
      </x:c>
      <x:c r="BT384" s="14" t="str">
        <x:v>One episode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tt15407098|nm14073200|sarah-mary clam</x:v>
      </x:c>
      <x:c r="B385" s="14" t="str">
        <x:v>05</x:v>
      </x:c>
      <x:c r="C385" s="14" t="str">
        <x:v>2022_IMDb_Cast_Lists_Batch_05(1).xlsx</x:v>
      </x:c>
      <x:c r="D385" s="14" t="str">
        <x:v>Sister Boniface Mysteries</x:v>
      </x:c>
      <x:c r="E385" s="14" t="n">
        <x:v>103</x:v>
      </x:c>
      <x:c r="F385" s="14" t="str">
        <x:v>Sister Boniface Mysteries</x:v>
      </x:c>
      <x:c r="G385" s="14" t="str">
        <x:v>tt15407098</x:v>
      </x:c>
      <x:c r="H385" s="14" t="n">
        <x:v>2022</x:v>
      </x:c>
      <x:c r="I385" s="14" t="n">
        <x:v>2023</x:v>
      </x:c>
      <x:c r="J385" s="14" t="str">
        <x:v>Future Carry-Forward Cohort</x:v>
      </x:c>
      <x:c r="K385" s="14" t="n">
        <x:v>2022</x:v>
      </x:c>
      <x:c r="L385" s="14" t="str">
        <x:v>Not inherited</x:v>
      </x:c>
      <x:c r="M385" s="15" t="n">
        <x:v>96</x:v>
      </x:c>
      <x:c r="N385" s="14" t="str">
        <x:v>Anna Griffith</x:v>
      </x:c>
      <x:c r="O385" s="14" t="str">
        <x:v>nm14073200</x:v>
      </x:c>
      <x:c r="P385" s="14" t="str">
        <x:v>Sarah-Mary Clam</x:v>
      </x:c>
      <x:c r="Q385" s="15" t="n">
        <x:v>1</x:v>
      </x:c>
      <x:c r="R385" s="14" t="str">
        <x:v>2024</x:v>
      </x:c>
      <x:c r="S385" s="14" t="n">
        <x:v>2024</x:v>
      </x:c>
      <x:c r="T385" s="14" t="n">
        <x:v>2024</x:v>
      </x:c>
      <x:c r="U385" s="14" t="str">
        <x:v>Explicit source first year retained</x:v>
      </x:c>
      <x:c r="V385" s="14" t="str">
        <x:v>Earliest supplied year is 2024.</x:v>
      </x:c>
      <x:c r="W385" s="14"/>
      <x:c r="X385" s="14" t="str">
        <x:v>Carried forward to 2024</x:v>
      </x:c>
      <x:c r="Y385" s="14"/>
      <x:c r="Z385" s="14" t="str">
        <x:v>Sister Boniface Mysteries.docx</x:v>
      </x:c>
      <x:c r="AA3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BritBox UK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38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1</x:v>
      </x:c>
      <x:c r="BS385" s="16" t="n">
        <x:v>0.02631578947368421</x:v>
      </x:c>
      <x:c r="BT385" s="14" t="str">
        <x:v>One episode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tt15407098|nm6663956|valerie vandermeer</x:v>
      </x:c>
      <x:c r="B386" s="14" t="str">
        <x:v>05</x:v>
      </x:c>
      <x:c r="C386" s="14" t="str">
        <x:v>2022_IMDb_Cast_Lists_Batch_05(1).xlsx</x:v>
      </x:c>
      <x:c r="D386" s="14" t="str">
        <x:v>Sister Boniface Mysteries</x:v>
      </x:c>
      <x:c r="E386" s="14" t="n">
        <x:v>123</x:v>
      </x:c>
      <x:c r="F386" s="14" t="str">
        <x:v>Sister Boniface Mysteries</x:v>
      </x:c>
      <x:c r="G386" s="14" t="str">
        <x:v>tt15407098</x:v>
      </x:c>
      <x:c r="H386" s="14" t="n">
        <x:v>2022</x:v>
      </x:c>
      <x:c r="I386" s="14" t="n">
        <x:v>2023</x:v>
      </x:c>
      <x:c r="J386" s="14" t="str">
        <x:v>Future Carry-Forward Cohort</x:v>
      </x:c>
      <x:c r="K386" s="14" t="n">
        <x:v>2022</x:v>
      </x:c>
      <x:c r="L386" s="14" t="str">
        <x:v>Not inherited</x:v>
      </x:c>
      <x:c r="M386" s="15" t="n">
        <x:v>116</x:v>
      </x:c>
      <x:c r="N386" s="14" t="str">
        <x:v>Yasmine Holness-Dove</x:v>
      </x:c>
      <x:c r="O386" s="14" t="str">
        <x:v>nm6663956</x:v>
      </x:c>
      <x:c r="P386" s="14" t="str">
        <x:v>Valerie Vandermeer</x:v>
      </x:c>
      <x:c r="Q386" s="15" t="n">
        <x:v>1</x:v>
      </x:c>
      <x:c r="R386" s="14" t="str">
        <x:v>2024</x:v>
      </x:c>
      <x:c r="S386" s="14" t="n">
        <x:v>2024</x:v>
      </x:c>
      <x:c r="T386" s="14" t="n">
        <x:v>2024</x:v>
      </x:c>
      <x:c r="U386" s="14" t="str">
        <x:v>Explicit source first year retained</x:v>
      </x:c>
      <x:c r="V386" s="14" t="str">
        <x:v>Earliest supplied year is 2024.</x:v>
      </x:c>
      <x:c r="W386" s="14"/>
      <x:c r="X386" s="14" t="str">
        <x:v>Carried forward to 2024</x:v>
      </x:c>
      <x:c r="Y386" s="14"/>
      <x:c r="Z386" s="14" t="str">
        <x:v>Sister Boniface Mysteries.docx</x:v>
      </x:c>
      <x:c r="AA3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BritBox UK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38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0.02631578947368421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tt15407098|nm2405329|iris gould</x:v>
      </x:c>
      <x:c r="B387" s="14" t="str">
        <x:v>05</x:v>
      </x:c>
      <x:c r="C387" s="14" t="str">
        <x:v>2022_IMDb_Cast_Lists_Batch_05(1).xlsx</x:v>
      </x:c>
      <x:c r="D387" s="14" t="str">
        <x:v>Sister Boniface Mysteries</x:v>
      </x:c>
      <x:c r="E387" s="14" t="n">
        <x:v>124</x:v>
      </x:c>
      <x:c r="F387" s="14" t="str">
        <x:v>Sister Boniface Mysteries</x:v>
      </x:c>
      <x:c r="G387" s="14" t="str">
        <x:v>tt15407098</x:v>
      </x:c>
      <x:c r="H387" s="14" t="n">
        <x:v>2022</x:v>
      </x:c>
      <x:c r="I387" s="14" t="n">
        <x:v>2023</x:v>
      </x:c>
      <x:c r="J387" s="14" t="str">
        <x:v>Future Carry-Forward Cohort</x:v>
      </x:c>
      <x:c r="K387" s="14" t="n">
        <x:v>2022</x:v>
      </x:c>
      <x:c r="L387" s="14" t="str">
        <x:v>Not inherited</x:v>
      </x:c>
      <x:c r="M387" s="15" t="n">
        <x:v>117</x:v>
      </x:c>
      <x:c r="N387" s="14" t="str">
        <x:v>Beth Lilly</x:v>
      </x:c>
      <x:c r="O387" s="14" t="str">
        <x:v>nm2405329</x:v>
      </x:c>
      <x:c r="P387" s="14" t="str">
        <x:v>Iris Gould</x:v>
      </x:c>
      <x:c r="Q387" s="15" t="n">
        <x:v>1</x:v>
      </x:c>
      <x:c r="R387" s="14" t="str">
        <x:v>2024</x:v>
      </x:c>
      <x:c r="S387" s="14" t="n">
        <x:v>2024</x:v>
      </x:c>
      <x:c r="T387" s="14" t="n">
        <x:v>2024</x:v>
      </x:c>
      <x:c r="U387" s="14" t="str">
        <x:v>Explicit source first year retained</x:v>
      </x:c>
      <x:c r="V387" s="14" t="str">
        <x:v>Earliest supplied year is 2024.</x:v>
      </x:c>
      <x:c r="W387" s="14"/>
      <x:c r="X387" s="14" t="str">
        <x:v>Carried forward to 2024</x:v>
      </x:c>
      <x:c r="Y387" s="14"/>
      <x:c r="Z387" s="14" t="str">
        <x:v>Sister Boniface Mysteries.docx</x:v>
      </x:c>
      <x:c r="AA3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BritBox UK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38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0.02631578947368421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tt15407098|nm12092880|beth moody</x:v>
      </x:c>
      <x:c r="B388" s="14" t="str">
        <x:v>05</x:v>
      </x:c>
      <x:c r="C388" s="14" t="str">
        <x:v>2022_IMDb_Cast_Lists_Batch_05(1).xlsx</x:v>
      </x:c>
      <x:c r="D388" s="14" t="str">
        <x:v>Sister Boniface Mysteries</x:v>
      </x:c>
      <x:c r="E388" s="14" t="n">
        <x:v>125</x:v>
      </x:c>
      <x:c r="F388" s="14" t="str">
        <x:v>Sister Boniface Mysteries</x:v>
      </x:c>
      <x:c r="G388" s="14" t="str">
        <x:v>tt15407098</x:v>
      </x:c>
      <x:c r="H388" s="14" t="n">
        <x:v>2022</x:v>
      </x:c>
      <x:c r="I388" s="14" t="n">
        <x:v>2023</x:v>
      </x:c>
      <x:c r="J388" s="14" t="str">
        <x:v>Future Carry-Forward Cohort</x:v>
      </x:c>
      <x:c r="K388" s="14" t="n">
        <x:v>2022</x:v>
      </x:c>
      <x:c r="L388" s="14" t="str">
        <x:v>Not inherited</x:v>
      </x:c>
      <x:c r="M388" s="15" t="n">
        <x:v>118</x:v>
      </x:c>
      <x:c r="N388" s="14" t="str">
        <x:v>Alexandra O'Neill</x:v>
      </x:c>
      <x:c r="O388" s="14" t="str">
        <x:v>nm12092880</x:v>
      </x:c>
      <x:c r="P388" s="14" t="str">
        <x:v>Beth Moody</x:v>
      </x:c>
      <x:c r="Q388" s="15" t="n">
        <x:v>1</x:v>
      </x:c>
      <x:c r="R388" s="14" t="str">
        <x:v>2024</x:v>
      </x:c>
      <x:c r="S388" s="14" t="n">
        <x:v>2024</x:v>
      </x:c>
      <x:c r="T388" s="14" t="n">
        <x:v>2024</x:v>
      </x:c>
      <x:c r="U388" s="14" t="str">
        <x:v>Explicit source first year retained</x:v>
      </x:c>
      <x:c r="V388" s="14" t="str">
        <x:v>Earliest supplied year is 2024.</x:v>
      </x:c>
      <x:c r="W388" s="14"/>
      <x:c r="X388" s="14" t="str">
        <x:v>Carried forward to 2024</x:v>
      </x:c>
      <x:c r="Y388" s="14"/>
      <x:c r="Z388" s="14" t="str">
        <x:v>Sister Boniface Mysteries.docx</x:v>
      </x:c>
      <x:c r="AA3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BritBox UK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38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0.02631578947368421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tt15407098|nm0493200|lincoln leigh varsey</x:v>
      </x:c>
      <x:c r="B389" s="14" t="str">
        <x:v>05</x:v>
      </x:c>
      <x:c r="C389" s="14" t="str">
        <x:v>2022_IMDb_Cast_Lists_Batch_05(1).xlsx</x:v>
      </x:c>
      <x:c r="D389" s="14" t="str">
        <x:v>Sister Boniface Mysteries</x:v>
      </x:c>
      <x:c r="E389" s="14" t="n">
        <x:v>136</x:v>
      </x:c>
      <x:c r="F389" s="14" t="str">
        <x:v>Sister Boniface Mysteries</x:v>
      </x:c>
      <x:c r="G389" s="14" t="str">
        <x:v>tt15407098</x:v>
      </x:c>
      <x:c r="H389" s="14" t="n">
        <x:v>2022</x:v>
      </x:c>
      <x:c r="I389" s="14" t="n">
        <x:v>2023</x:v>
      </x:c>
      <x:c r="J389" s="14" t="str">
        <x:v>Future Carry-Forward Cohort</x:v>
      </x:c>
      <x:c r="K389" s="14" t="n">
        <x:v>2022</x:v>
      </x:c>
      <x:c r="L389" s="14" t="str">
        <x:v>Not inherited</x:v>
      </x:c>
      <x:c r="M389" s="15" t="n">
        <x:v>129</x:v>
      </x:c>
      <x:c r="N389" s="14" t="str">
        <x:v>Denis Lawson</x:v>
      </x:c>
      <x:c r="O389" s="14" t="str">
        <x:v>nm0493200</x:v>
      </x:c>
      <x:c r="P389" s="14" t="str">
        <x:v>Lincoln Leigh Varsey</x:v>
      </x:c>
      <x:c r="Q389" s="15" t="n">
        <x:v>1</x:v>
      </x:c>
      <x:c r="R389" s="14" t="str">
        <x:v>2024</x:v>
      </x:c>
      <x:c r="S389" s="14" t="n">
        <x:v>2024</x:v>
      </x:c>
      <x:c r="T389" s="14" t="n">
        <x:v>2024</x:v>
      </x:c>
      <x:c r="U389" s="14" t="str">
        <x:v>Explicit source first year retained</x:v>
      </x:c>
      <x:c r="V389" s="14" t="str">
        <x:v>Earliest supplied year is 2024.</x:v>
      </x:c>
      <x:c r="W389" s="14"/>
      <x:c r="X389" s="14" t="str">
        <x:v>Carried forward to 2024</x:v>
      </x:c>
      <x:c r="Y389" s="14"/>
      <x:c r="Z389" s="14" t="str">
        <x:v>Sister Boniface Mysteries.docx</x:v>
      </x:c>
      <x:c r="AA3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BritBox UK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38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0.02631578947368421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tt15407098|nm6964385|roger crabtree</x:v>
      </x:c>
      <x:c r="B390" s="14" t="str">
        <x:v>05</x:v>
      </x:c>
      <x:c r="C390" s="14" t="str">
        <x:v>2022_IMDb_Cast_Lists_Batch_05(1).xlsx</x:v>
      </x:c>
      <x:c r="D390" s="14" t="str">
        <x:v>Sister Boniface Mysteries</x:v>
      </x:c>
      <x:c r="E390" s="14" t="n">
        <x:v>137</x:v>
      </x:c>
      <x:c r="F390" s="14" t="str">
        <x:v>Sister Boniface Mysteries</x:v>
      </x:c>
      <x:c r="G390" s="14" t="str">
        <x:v>tt15407098</x:v>
      </x:c>
      <x:c r="H390" s="14" t="n">
        <x:v>2022</x:v>
      </x:c>
      <x:c r="I390" s="14" t="n">
        <x:v>2023</x:v>
      </x:c>
      <x:c r="J390" s="14" t="str">
        <x:v>Future Carry-Forward Cohort</x:v>
      </x:c>
      <x:c r="K390" s="14" t="n">
        <x:v>2022</x:v>
      </x:c>
      <x:c r="L390" s="14" t="str">
        <x:v>Not inherited</x:v>
      </x:c>
      <x:c r="M390" s="15" t="n">
        <x:v>130</x:v>
      </x:c>
      <x:c r="N390" s="14" t="str">
        <x:v>Ste Johnston</x:v>
      </x:c>
      <x:c r="O390" s="14" t="str">
        <x:v>nm6964385</x:v>
      </x:c>
      <x:c r="P390" s="14" t="str">
        <x:v>Roger Crabtree</x:v>
      </x:c>
      <x:c r="Q390" s="15" t="n">
        <x:v>1</x:v>
      </x:c>
      <x:c r="R390" s="14" t="str">
        <x:v>2024</x:v>
      </x:c>
      <x:c r="S390" s="14" t="n">
        <x:v>2024</x:v>
      </x:c>
      <x:c r="T390" s="14" t="n">
        <x:v>2024</x:v>
      </x:c>
      <x:c r="U390" s="14" t="str">
        <x:v>Explicit source first year retained</x:v>
      </x:c>
      <x:c r="V390" s="14" t="str">
        <x:v>Earliest supplied year is 2024.</x:v>
      </x:c>
      <x:c r="W390" s="14"/>
      <x:c r="X390" s="14" t="str">
        <x:v>Carried forward to 2024</x:v>
      </x:c>
      <x:c r="Y390" s="14"/>
      <x:c r="Z390" s="14" t="str">
        <x:v>Sister Boniface Mysteries.docx</x:v>
      </x:c>
      <x:c r="AA3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BritBox UK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38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0.02631578947368421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tt15407098|nm1555755|beryl salt</x:v>
      </x:c>
      <x:c r="B391" s="14" t="str">
        <x:v>05</x:v>
      </x:c>
      <x:c r="C391" s="14" t="str">
        <x:v>2022_IMDb_Cast_Lists_Batch_05(1).xlsx</x:v>
      </x:c>
      <x:c r="D391" s="14" t="str">
        <x:v>Sister Boniface Mysteries</x:v>
      </x:c>
      <x:c r="E391" s="14" t="n">
        <x:v>138</x:v>
      </x:c>
      <x:c r="F391" s="14" t="str">
        <x:v>Sister Boniface Mysteries</x:v>
      </x:c>
      <x:c r="G391" s="14" t="str">
        <x:v>tt15407098</x:v>
      </x:c>
      <x:c r="H391" s="14" t="n">
        <x:v>2022</x:v>
      </x:c>
      <x:c r="I391" s="14" t="n">
        <x:v>2023</x:v>
      </x:c>
      <x:c r="J391" s="14" t="str">
        <x:v>Future Carry-Forward Cohort</x:v>
      </x:c>
      <x:c r="K391" s="14" t="n">
        <x:v>2022</x:v>
      </x:c>
      <x:c r="L391" s="14" t="str">
        <x:v>Not inherited</x:v>
      </x:c>
      <x:c r="M391" s="15" t="n">
        <x:v>131</x:v>
      </x:c>
      <x:c r="N391" s="14" t="str">
        <x:v>Jane Thorne</x:v>
      </x:c>
      <x:c r="O391" s="14" t="str">
        <x:v>nm1555755</x:v>
      </x:c>
      <x:c r="P391" s="14" t="str">
        <x:v>Beryl Salt</x:v>
      </x:c>
      <x:c r="Q391" s="15" t="n">
        <x:v>1</x:v>
      </x:c>
      <x:c r="R391" s="14" t="str">
        <x:v>2024</x:v>
      </x:c>
      <x:c r="S391" s="14" t="n">
        <x:v>2024</x:v>
      </x:c>
      <x:c r="T391" s="14" t="n">
        <x:v>2024</x:v>
      </x:c>
      <x:c r="U391" s="14" t="str">
        <x:v>Explicit source first year retained</x:v>
      </x:c>
      <x:c r="V391" s="14" t="str">
        <x:v>Earliest supplied year is 2024.</x:v>
      </x:c>
      <x:c r="W391" s="14"/>
      <x:c r="X391" s="14" t="str">
        <x:v>Carried forward to 2024</x:v>
      </x:c>
      <x:c r="Y391" s="14"/>
      <x:c r="Z391" s="14" t="str">
        <x:v>Sister Boniface Mysteries.docx</x:v>
      </x:c>
      <x:c r="AA3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BritBox UK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38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0.02631578947368421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tt15407098|nm1074361|kingsley markham</x:v>
      </x:c>
      <x:c r="B392" s="14" t="str">
        <x:v>05</x:v>
      </x:c>
      <x:c r="C392" s="14" t="str">
        <x:v>2022_IMDb_Cast_Lists_Batch_05(1).xlsx</x:v>
      </x:c>
      <x:c r="D392" s="14" t="str">
        <x:v>Sister Boniface Mysteries</x:v>
      </x:c>
      <x:c r="E392" s="14" t="n">
        <x:v>150</x:v>
      </x:c>
      <x:c r="F392" s="14" t="str">
        <x:v>Sister Boniface Mysteries</x:v>
      </x:c>
      <x:c r="G392" s="14" t="str">
        <x:v>tt15407098</x:v>
      </x:c>
      <x:c r="H392" s="14" t="n">
        <x:v>2022</x:v>
      </x:c>
      <x:c r="I392" s="14" t="n">
        <x:v>2023</x:v>
      </x:c>
      <x:c r="J392" s="14" t="str">
        <x:v>Future Carry-Forward Cohort</x:v>
      </x:c>
      <x:c r="K392" s="14" t="n">
        <x:v>2022</x:v>
      </x:c>
      <x:c r="L392" s="14" t="str">
        <x:v>Not inherited</x:v>
      </x:c>
      <x:c r="M392" s="15" t="n">
        <x:v>143</x:v>
      </x:c>
      <x:c r="N392" s="14" t="str">
        <x:v>Luke Roberts</x:v>
      </x:c>
      <x:c r="O392" s="14" t="str">
        <x:v>nm1074361</x:v>
      </x:c>
      <x:c r="P392" s="14" t="str">
        <x:v>Kingsley Markham</x:v>
      </x:c>
      <x:c r="Q392" s="15" t="n">
        <x:v>1</x:v>
      </x:c>
      <x:c r="R392" s="14" t="str">
        <x:v>2024</x:v>
      </x:c>
      <x:c r="S392" s="14" t="n">
        <x:v>2024</x:v>
      </x:c>
      <x:c r="T392" s="14" t="n">
        <x:v>2024</x:v>
      </x:c>
      <x:c r="U392" s="14" t="str">
        <x:v>Explicit source first year retained</x:v>
      </x:c>
      <x:c r="V392" s="14" t="str">
        <x:v>Earliest supplied year is 2024.</x:v>
      </x:c>
      <x:c r="W392" s="14"/>
      <x:c r="X392" s="14" t="str">
        <x:v>Carried forward to 2024</x:v>
      </x:c>
      <x:c r="Y392" s="14"/>
      <x:c r="Z392" s="14" t="str">
        <x:v>Sister Boniface Mysteries.docx</x:v>
      </x:c>
      <x:c r="AA3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BritBox UK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38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0.02631578947368421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tt15407098|nm1195125|bunny frobisher</x:v>
      </x:c>
      <x:c r="B393" s="14" t="str">
        <x:v>05</x:v>
      </x:c>
      <x:c r="C393" s="14" t="str">
        <x:v>2022_IMDb_Cast_Lists_Batch_05(1).xlsx</x:v>
      </x:c>
      <x:c r="D393" s="14" t="str">
        <x:v>Sister Boniface Mysteries</x:v>
      </x:c>
      <x:c r="E393" s="14" t="n">
        <x:v>151</x:v>
      </x:c>
      <x:c r="F393" s="14" t="str">
        <x:v>Sister Boniface Mysteries</x:v>
      </x:c>
      <x:c r="G393" s="14" t="str">
        <x:v>tt15407098</x:v>
      </x:c>
      <x:c r="H393" s="14" t="n">
        <x:v>2022</x:v>
      </x:c>
      <x:c r="I393" s="14" t="n">
        <x:v>2023</x:v>
      </x:c>
      <x:c r="J393" s="14" t="str">
        <x:v>Future Carry-Forward Cohort</x:v>
      </x:c>
      <x:c r="K393" s="14" t="n">
        <x:v>2022</x:v>
      </x:c>
      <x:c r="L393" s="14" t="str">
        <x:v>Not inherited</x:v>
      </x:c>
      <x:c r="M393" s="15" t="n">
        <x:v>144</x:v>
      </x:c>
      <x:c r="N393" s="14" t="str">
        <x:v>Katherine Kingsley</x:v>
      </x:c>
      <x:c r="O393" s="14" t="str">
        <x:v>nm1195125</x:v>
      </x:c>
      <x:c r="P393" s="14" t="str">
        <x:v>Bunny Frobisher</x:v>
      </x:c>
      <x:c r="Q393" s="15" t="n">
        <x:v>1</x:v>
      </x:c>
      <x:c r="R393" s="14" t="str">
        <x:v>2024</x:v>
      </x:c>
      <x:c r="S393" s="14" t="n">
        <x:v>2024</x:v>
      </x:c>
      <x:c r="T393" s="14" t="n">
        <x:v>2024</x:v>
      </x:c>
      <x:c r="U393" s="14" t="str">
        <x:v>Explicit source first year retained</x:v>
      </x:c>
      <x:c r="V393" s="14" t="str">
        <x:v>Earliest supplied year is 2024.</x:v>
      </x:c>
      <x:c r="W393" s="14"/>
      <x:c r="X393" s="14" t="str">
        <x:v>Carried forward to 2024</x:v>
      </x:c>
      <x:c r="Y393" s="14"/>
      <x:c r="Z393" s="14" t="str">
        <x:v>Sister Boniface Mysteries.docx</x:v>
      </x:c>
      <x:c r="AA3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BritBox UK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38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0.02631578947368421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tt15407098|nm0724634|morgana braithwaite</x:v>
      </x:c>
      <x:c r="B394" s="14" t="str">
        <x:v>05</x:v>
      </x:c>
      <x:c r="C394" s="14" t="str">
        <x:v>2022_IMDb_Cast_Lists_Batch_05(1).xlsx</x:v>
      </x:c>
      <x:c r="D394" s="14" t="str">
        <x:v>Sister Boniface Mysteries</x:v>
      </x:c>
      <x:c r="E394" s="14" t="n">
        <x:v>152</x:v>
      </x:c>
      <x:c r="F394" s="14" t="str">
        <x:v>Sister Boniface Mysteries</x:v>
      </x:c>
      <x:c r="G394" s="14" t="str">
        <x:v>tt15407098</x:v>
      </x:c>
      <x:c r="H394" s="14" t="n">
        <x:v>2022</x:v>
      </x:c>
      <x:c r="I394" s="14" t="n">
        <x:v>2023</x:v>
      </x:c>
      <x:c r="J394" s="14" t="str">
        <x:v>Future Carry-Forward Cohort</x:v>
      </x:c>
      <x:c r="K394" s="14" t="n">
        <x:v>2022</x:v>
      </x:c>
      <x:c r="L394" s="14" t="str">
        <x:v>Not inherited</x:v>
      </x:c>
      <x:c r="M394" s="15" t="n">
        <x:v>145</x:v>
      </x:c>
      <x:c r="N394" s="14" t="str">
        <x:v>Joy Richardson</x:v>
      </x:c>
      <x:c r="O394" s="14" t="str">
        <x:v>nm0724634</x:v>
      </x:c>
      <x:c r="P394" s="14" t="str">
        <x:v>Morgana Braithwaite</x:v>
      </x:c>
      <x:c r="Q394" s="15" t="n">
        <x:v>1</x:v>
      </x:c>
      <x:c r="R394" s="14" t="str">
        <x:v>2024</x:v>
      </x:c>
      <x:c r="S394" s="14" t="n">
        <x:v>2024</x:v>
      </x:c>
      <x:c r="T394" s="14" t="n">
        <x:v>2024</x:v>
      </x:c>
      <x:c r="U394" s="14" t="str">
        <x:v>Explicit source first year retained</x:v>
      </x:c>
      <x:c r="V394" s="14" t="str">
        <x:v>Earliest supplied year is 2024.</x:v>
      </x:c>
      <x:c r="W394" s="14"/>
      <x:c r="X394" s="14" t="str">
        <x:v>Carried forward to 2024</x:v>
      </x:c>
      <x:c r="Y394" s="14"/>
      <x:c r="Z394" s="14" t="str">
        <x:v>Sister Boniface Mysteries.docx</x:v>
      </x:c>
      <x:c r="AA3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BritBox UK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38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0.02631578947368421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tt15407098|nm6838040|barbara pierce</x:v>
      </x:c>
      <x:c r="B395" s="14" t="str">
        <x:v>05</x:v>
      </x:c>
      <x:c r="C395" s="14" t="str">
        <x:v>2022_IMDb_Cast_Lists_Batch_05(1).xlsx</x:v>
      </x:c>
      <x:c r="D395" s="14" t="str">
        <x:v>Sister Boniface Mysteries</x:v>
      </x:c>
      <x:c r="E395" s="14" t="n">
        <x:v>153</x:v>
      </x:c>
      <x:c r="F395" s="14" t="str">
        <x:v>Sister Boniface Mysteries</x:v>
      </x:c>
      <x:c r="G395" s="14" t="str">
        <x:v>tt15407098</x:v>
      </x:c>
      <x:c r="H395" s="14" t="n">
        <x:v>2022</x:v>
      </x:c>
      <x:c r="I395" s="14" t="n">
        <x:v>2023</x:v>
      </x:c>
      <x:c r="J395" s="14" t="str">
        <x:v>Future Carry-Forward Cohort</x:v>
      </x:c>
      <x:c r="K395" s="14" t="n">
        <x:v>2022</x:v>
      </x:c>
      <x:c r="L395" s="14" t="str">
        <x:v>Not inherited</x:v>
      </x:c>
      <x:c r="M395" s="15" t="n">
        <x:v>146</x:v>
      </x:c>
      <x:c r="N395" s="14" t="str">
        <x:v>Lucy Ware</x:v>
      </x:c>
      <x:c r="O395" s="14" t="str">
        <x:v>nm6838040</x:v>
      </x:c>
      <x:c r="P395" s="14" t="str">
        <x:v>Barbara Pierce</x:v>
      </x:c>
      <x:c r="Q395" s="15" t="n">
        <x:v>1</x:v>
      </x:c>
      <x:c r="R395" s="14" t="str">
        <x:v>2024</x:v>
      </x:c>
      <x:c r="S395" s="14" t="n">
        <x:v>2024</x:v>
      </x:c>
      <x:c r="T395" s="14" t="n">
        <x:v>2024</x:v>
      </x:c>
      <x:c r="U395" s="14" t="str">
        <x:v>Explicit source first year retained</x:v>
      </x:c>
      <x:c r="V395" s="14" t="str">
        <x:v>Earliest supplied year is 2024.</x:v>
      </x:c>
      <x:c r="W395" s="14"/>
      <x:c r="X395" s="14" t="str">
        <x:v>Carried forward to 2024</x:v>
      </x:c>
      <x:c r="Y395" s="14"/>
      <x:c r="Z395" s="14" t="str">
        <x:v>Sister Boniface Mysteries.docx</x:v>
      </x:c>
      <x:c r="AA3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BritBox UK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38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0.02631578947368421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tt15407098|nm0732959|jacob livingstone</x:v>
      </x:c>
      <x:c r="B396" s="14" t="str">
        <x:v>05</x:v>
      </x:c>
      <x:c r="C396" s="14" t="str">
        <x:v>2022_IMDb_Cast_Lists_Batch_05(1).xlsx</x:v>
      </x:c>
      <x:c r="D396" s="14" t="str">
        <x:v>Sister Boniface Mysteries</x:v>
      </x:c>
      <x:c r="E396" s="14" t="n">
        <x:v>162</x:v>
      </x:c>
      <x:c r="F396" s="14" t="str">
        <x:v>Sister Boniface Mysteries</x:v>
      </x:c>
      <x:c r="G396" s="14" t="str">
        <x:v>tt15407098</x:v>
      </x:c>
      <x:c r="H396" s="14" t="n">
        <x:v>2022</x:v>
      </x:c>
      <x:c r="I396" s="14" t="n">
        <x:v>2023</x:v>
      </x:c>
      <x:c r="J396" s="14" t="str">
        <x:v>Future Carry-Forward Cohort</x:v>
      </x:c>
      <x:c r="K396" s="14" t="n">
        <x:v>2022</x:v>
      </x:c>
      <x:c r="L396" s="14" t="str">
        <x:v>Not inherited</x:v>
      </x:c>
      <x:c r="M396" s="15" t="n">
        <x:v>155</x:v>
      </x:c>
      <x:c r="N396" s="14" t="str">
        <x:v>Patrick Robinson</x:v>
      </x:c>
      <x:c r="O396" s="14" t="str">
        <x:v>nm0732959</x:v>
      </x:c>
      <x:c r="P396" s="14" t="str">
        <x:v>Jacob Livingstone</x:v>
      </x:c>
      <x:c r="Q396" s="15" t="n">
        <x:v>1</x:v>
      </x:c>
      <x:c r="R396" s="14" t="str">
        <x:v>2024</x:v>
      </x:c>
      <x:c r="S396" s="14" t="n">
        <x:v>2024</x:v>
      </x:c>
      <x:c r="T396" s="14" t="n">
        <x:v>2024</x:v>
      </x:c>
      <x:c r="U396" s="14" t="str">
        <x:v>Explicit source first year retained</x:v>
      </x:c>
      <x:c r="V396" s="14" t="str">
        <x:v>Earliest supplied year is 2024.</x:v>
      </x:c>
      <x:c r="W396" s="14"/>
      <x:c r="X396" s="14" t="str">
        <x:v>Carried forward to 2024</x:v>
      </x:c>
      <x:c r="Y396" s="14"/>
      <x:c r="Z396" s="14" t="str">
        <x:v>Sister Boniface Mysteries.docx</x:v>
      </x:c>
      <x:c r="AA3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BritBox UK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38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0.02631578947368421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tt15407098|nm0031689|samira rowbotham</x:v>
      </x:c>
      <x:c r="B397" s="14" t="str">
        <x:v>05</x:v>
      </x:c>
      <x:c r="C397" s="14" t="str">
        <x:v>2022_IMDb_Cast_Lists_Batch_05(1).xlsx</x:v>
      </x:c>
      <x:c r="D397" s="14" t="str">
        <x:v>Sister Boniface Mysteries</x:v>
      </x:c>
      <x:c r="E397" s="14" t="n">
        <x:v>163</x:v>
      </x:c>
      <x:c r="F397" s="14" t="str">
        <x:v>Sister Boniface Mysteries</x:v>
      </x:c>
      <x:c r="G397" s="14" t="str">
        <x:v>tt15407098</x:v>
      </x:c>
      <x:c r="H397" s="14" t="n">
        <x:v>2022</x:v>
      </x:c>
      <x:c r="I397" s="14" t="n">
        <x:v>2023</x:v>
      </x:c>
      <x:c r="J397" s="14" t="str">
        <x:v>Future Carry-Forward Cohort</x:v>
      </x:c>
      <x:c r="K397" s="14" t="n">
        <x:v>2022</x:v>
      </x:c>
      <x:c r="L397" s="14" t="str">
        <x:v>Not inherited</x:v>
      </x:c>
      <x:c r="M397" s="15" t="n">
        <x:v>156</x:v>
      </x:c>
      <x:c r="N397" s="14" t="str">
        <x:v>Mina Anwar</x:v>
      </x:c>
      <x:c r="O397" s="14" t="str">
        <x:v>nm0031689</x:v>
      </x:c>
      <x:c r="P397" s="14" t="str">
        <x:v>Samira Rowbotham</x:v>
      </x:c>
      <x:c r="Q397" s="15" t="n">
        <x:v>1</x:v>
      </x:c>
      <x:c r="R397" s="14" t="str">
        <x:v>2024</x:v>
      </x:c>
      <x:c r="S397" s="14" t="n">
        <x:v>2024</x:v>
      </x:c>
      <x:c r="T397" s="14" t="n">
        <x:v>2024</x:v>
      </x:c>
      <x:c r="U397" s="14" t="str">
        <x:v>Explicit source first year retained</x:v>
      </x:c>
      <x:c r="V397" s="14" t="str">
        <x:v>Earliest supplied year is 2024.</x:v>
      </x:c>
      <x:c r="W397" s="14"/>
      <x:c r="X397" s="14" t="str">
        <x:v>Carried forward to 2024</x:v>
      </x:c>
      <x:c r="Y397" s="14"/>
      <x:c r="Z397" s="14" t="str">
        <x:v>Sister Boniface Mysteries.docx</x:v>
      </x:c>
      <x:c r="AA3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BritBox UK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38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0.02631578947368421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tt15407098|nm3812385|phoebe volante</x:v>
      </x:c>
      <x:c r="B398" s="14" t="str">
        <x:v>05</x:v>
      </x:c>
      <x:c r="C398" s="14" t="str">
        <x:v>2022_IMDb_Cast_Lists_Batch_05(1).xlsx</x:v>
      </x:c>
      <x:c r="D398" s="14" t="str">
        <x:v>Sister Boniface Mysteries</x:v>
      </x:c>
      <x:c r="E398" s="14" t="n">
        <x:v>164</x:v>
      </x:c>
      <x:c r="F398" s="14" t="str">
        <x:v>Sister Boniface Mysteries</x:v>
      </x:c>
      <x:c r="G398" s="14" t="str">
        <x:v>tt15407098</x:v>
      </x:c>
      <x:c r="H398" s="14" t="n">
        <x:v>2022</x:v>
      </x:c>
      <x:c r="I398" s="14" t="n">
        <x:v>2023</x:v>
      </x:c>
      <x:c r="J398" s="14" t="str">
        <x:v>Future Carry-Forward Cohort</x:v>
      </x:c>
      <x:c r="K398" s="14" t="n">
        <x:v>2022</x:v>
      </x:c>
      <x:c r="L398" s="14" t="str">
        <x:v>Not inherited</x:v>
      </x:c>
      <x:c r="M398" s="15" t="n">
        <x:v>157</x:v>
      </x:c>
      <x:c r="N398" s="14" t="str">
        <x:v>Manpreet Bambra</x:v>
      </x:c>
      <x:c r="O398" s="14" t="str">
        <x:v>nm3812385</x:v>
      </x:c>
      <x:c r="P398" s="14" t="str">
        <x:v>Phoebe Volante</x:v>
      </x:c>
      <x:c r="Q398" s="15" t="n">
        <x:v>1</x:v>
      </x:c>
      <x:c r="R398" s="14" t="str">
        <x:v>2024</x:v>
      </x:c>
      <x:c r="S398" s="14" t="n">
        <x:v>2024</x:v>
      </x:c>
      <x:c r="T398" s="14" t="n">
        <x:v>2024</x:v>
      </x:c>
      <x:c r="U398" s="14" t="str">
        <x:v>Explicit source first year retained</x:v>
      </x:c>
      <x:c r="V398" s="14" t="str">
        <x:v>Earliest supplied year is 2024.</x:v>
      </x:c>
      <x:c r="W398" s="14"/>
      <x:c r="X398" s="14" t="str">
        <x:v>Carried forward to 2024</x:v>
      </x:c>
      <x:c r="Y398" s="14"/>
      <x:c r="Z398" s="14" t="str">
        <x:v>Sister Boniface Mysteries.docx</x:v>
      </x:c>
      <x:c r="AA3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BritBox UK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38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0.02631578947368421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tt15407098|nm0219499|robbie rowbotham</x:v>
      </x:c>
      <x:c r="B399" s="14" t="str">
        <x:v>05</x:v>
      </x:c>
      <x:c r="C399" s="14" t="str">
        <x:v>2022_IMDb_Cast_Lists_Batch_05(1).xlsx</x:v>
      </x:c>
      <x:c r="D399" s="14" t="str">
        <x:v>Sister Boniface Mysteries</x:v>
      </x:c>
      <x:c r="E399" s="14" t="n">
        <x:v>174</x:v>
      </x:c>
      <x:c r="F399" s="14" t="str">
        <x:v>Sister Boniface Mysteries</x:v>
      </x:c>
      <x:c r="G399" s="14" t="str">
        <x:v>tt15407098</x:v>
      </x:c>
      <x:c r="H399" s="14" t="n">
        <x:v>2022</x:v>
      </x:c>
      <x:c r="I399" s="14" t="n">
        <x:v>2023</x:v>
      </x:c>
      <x:c r="J399" s="14" t="str">
        <x:v>Future Carry-Forward Cohort</x:v>
      </x:c>
      <x:c r="K399" s="14" t="n">
        <x:v>2022</x:v>
      </x:c>
      <x:c r="L399" s="14" t="str">
        <x:v>Not inherited</x:v>
      </x:c>
      <x:c r="M399" s="15" t="n">
        <x:v>167</x:v>
      </x:c>
      <x:c r="N399" s="14" t="str">
        <x:v>Les Dennis</x:v>
      </x:c>
      <x:c r="O399" s="14" t="str">
        <x:v>nm0219499</x:v>
      </x:c>
      <x:c r="P399" s="14" t="str">
        <x:v>Robbie Rowbotham</x:v>
      </x:c>
      <x:c r="Q399" s="15" t="n">
        <x:v>1</x:v>
      </x:c>
      <x:c r="R399" s="14" t="str">
        <x:v>2024</x:v>
      </x:c>
      <x:c r="S399" s="14" t="n">
        <x:v>2024</x:v>
      </x:c>
      <x:c r="T399" s="14" t="n">
        <x:v>2024</x:v>
      </x:c>
      <x:c r="U399" s="14" t="str">
        <x:v>Explicit source first year retained</x:v>
      </x:c>
      <x:c r="V399" s="14" t="str">
        <x:v>Earliest supplied year is 2024.</x:v>
      </x:c>
      <x:c r="W399" s="14"/>
      <x:c r="X399" s="14" t="str">
        <x:v>Carried forward to 2024</x:v>
      </x:c>
      <x:c r="Y399" s="14"/>
      <x:c r="Z399" s="14" t="str">
        <x:v>Sister Boniface Mysteries.docx</x:v>
      </x:c>
      <x:c r="AA3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BritBox UK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38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0.02631578947368421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tt15407098|nm7490002|campbell kamen</x:v>
      </x:c>
      <x:c r="B400" s="14" t="str">
        <x:v>05</x:v>
      </x:c>
      <x:c r="C400" s="14" t="str">
        <x:v>2022_IMDb_Cast_Lists_Batch_05(1).xlsx</x:v>
      </x:c>
      <x:c r="D400" s="14" t="str">
        <x:v>Sister Boniface Mysteries</x:v>
      </x:c>
      <x:c r="E400" s="14" t="n">
        <x:v>175</x:v>
      </x:c>
      <x:c r="F400" s="14" t="str">
        <x:v>Sister Boniface Mysteries</x:v>
      </x:c>
      <x:c r="G400" s="14" t="str">
        <x:v>tt15407098</x:v>
      </x:c>
      <x:c r="H400" s="14" t="n">
        <x:v>2022</x:v>
      </x:c>
      <x:c r="I400" s="14" t="n">
        <x:v>2023</x:v>
      </x:c>
      <x:c r="J400" s="14" t="str">
        <x:v>Future Carry-Forward Cohort</x:v>
      </x:c>
      <x:c r="K400" s="14" t="n">
        <x:v>2022</x:v>
      </x:c>
      <x:c r="L400" s="14" t="str">
        <x:v>Not inherited</x:v>
      </x:c>
      <x:c r="M400" s="15" t="n">
        <x:v>168</x:v>
      </x:c>
      <x:c r="N400" s="14" t="str">
        <x:v>James Sheldon</x:v>
      </x:c>
      <x:c r="O400" s="14" t="str">
        <x:v>nm7490002</x:v>
      </x:c>
      <x:c r="P400" s="14" t="str">
        <x:v>Campbell Kamen</x:v>
      </x:c>
      <x:c r="Q400" s="15" t="n">
        <x:v>1</x:v>
      </x:c>
      <x:c r="R400" s="14" t="str">
        <x:v>2024</x:v>
      </x:c>
      <x:c r="S400" s="14" t="n">
        <x:v>2024</x:v>
      </x:c>
      <x:c r="T400" s="14" t="n">
        <x:v>2024</x:v>
      </x:c>
      <x:c r="U400" s="14" t="str">
        <x:v>Explicit source first year retained</x:v>
      </x:c>
      <x:c r="V400" s="14" t="str">
        <x:v>Earliest supplied year is 2024.</x:v>
      </x:c>
      <x:c r="W400" s="14"/>
      <x:c r="X400" s="14" t="str">
        <x:v>Carried forward to 2024</x:v>
      </x:c>
      <x:c r="Y400" s="14"/>
      <x:c r="Z400" s="14" t="str">
        <x:v>Sister Boniface Mysteries.docx</x:v>
      </x:c>
      <x:c r="AA4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BritBox UK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38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0.02631578947368421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tt15407098|nm7402998|lilly albright</x:v>
      </x:c>
      <x:c r="B401" s="14" t="str">
        <x:v>05</x:v>
      </x:c>
      <x:c r="C401" s="14" t="str">
        <x:v>2022_IMDb_Cast_Lists_Batch_05(1).xlsx</x:v>
      </x:c>
      <x:c r="D401" s="14" t="str">
        <x:v>Sister Boniface Mysteries</x:v>
      </x:c>
      <x:c r="E401" s="14" t="n">
        <x:v>176</x:v>
      </x:c>
      <x:c r="F401" s="14" t="str">
        <x:v>Sister Boniface Mysteries</x:v>
      </x:c>
      <x:c r="G401" s="14" t="str">
        <x:v>tt15407098</x:v>
      </x:c>
      <x:c r="H401" s="14" t="n">
        <x:v>2022</x:v>
      </x:c>
      <x:c r="I401" s="14" t="n">
        <x:v>2023</x:v>
      </x:c>
      <x:c r="J401" s="14" t="str">
        <x:v>Future Carry-Forward Cohort</x:v>
      </x:c>
      <x:c r="K401" s="14" t="n">
        <x:v>2022</x:v>
      </x:c>
      <x:c r="L401" s="14" t="str">
        <x:v>Not inherited</x:v>
      </x:c>
      <x:c r="M401" s="15" t="n">
        <x:v>169</x:v>
      </x:c>
      <x:c r="N401" s="14" t="str">
        <x:v>Tara Tijani</x:v>
      </x:c>
      <x:c r="O401" s="14" t="str">
        <x:v>nm7402998</x:v>
      </x:c>
      <x:c r="P401" s="14" t="str">
        <x:v>Lilly Albright</x:v>
      </x:c>
      <x:c r="Q401" s="15" t="n">
        <x:v>1</x:v>
      </x:c>
      <x:c r="R401" s="14" t="str">
        <x:v>2024</x:v>
      </x:c>
      <x:c r="S401" s="14" t="n">
        <x:v>2024</x:v>
      </x:c>
      <x:c r="T401" s="14" t="n">
        <x:v>2024</x:v>
      </x:c>
      <x:c r="U401" s="14" t="str">
        <x:v>Explicit source first year retained</x:v>
      </x:c>
      <x:c r="V401" s="14" t="str">
        <x:v>Earliest supplied year is 2024.</x:v>
      </x:c>
      <x:c r="W401" s="14"/>
      <x:c r="X401" s="14" t="str">
        <x:v>Carried forward to 2024</x:v>
      </x:c>
      <x:c r="Y401" s="14"/>
      <x:c r="Z401" s="14" t="str">
        <x:v>Sister Boniface Mysteries.docx</x:v>
      </x:c>
      <x:c r="AA4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BritBox UK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38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0.02631578947368421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tt15407098|nm2518469|marion kane</x:v>
      </x:c>
      <x:c r="B402" s="14" t="str">
        <x:v>05</x:v>
      </x:c>
      <x:c r="C402" s="14" t="str">
        <x:v>2022_IMDb_Cast_Lists_Batch_05(1).xlsx</x:v>
      </x:c>
      <x:c r="D402" s="14" t="str">
        <x:v>Sister Boniface Mysteries</x:v>
      </x:c>
      <x:c r="E402" s="14" t="n">
        <x:v>189</x:v>
      </x:c>
      <x:c r="F402" s="14" t="str">
        <x:v>Sister Boniface Mysteries</x:v>
      </x:c>
      <x:c r="G402" s="14" t="str">
        <x:v>tt15407098</x:v>
      </x:c>
      <x:c r="H402" s="14" t="n">
        <x:v>2022</x:v>
      </x:c>
      <x:c r="I402" s="14" t="n">
        <x:v>2023</x:v>
      </x:c>
      <x:c r="J402" s="14" t="str">
        <x:v>Future Carry-Forward Cohort</x:v>
      </x:c>
      <x:c r="K402" s="14" t="n">
        <x:v>2022</x:v>
      </x:c>
      <x:c r="L402" s="14" t="str">
        <x:v>Not inherited</x:v>
      </x:c>
      <x:c r="M402" s="15" t="n">
        <x:v>182</x:v>
      </x:c>
      <x:c r="N402" s="14" t="str">
        <x:v>Victoria Broom</x:v>
      </x:c>
      <x:c r="O402" s="14" t="str">
        <x:v>nm2518469</x:v>
      </x:c>
      <x:c r="P402" s="14" t="str">
        <x:v>Marion Kane</x:v>
      </x:c>
      <x:c r="Q402" s="15" t="n">
        <x:v>1</x:v>
      </x:c>
      <x:c r="R402" s="14" t="str">
        <x:v>2024</x:v>
      </x:c>
      <x:c r="S402" s="14" t="n">
        <x:v>2024</x:v>
      </x:c>
      <x:c r="T402" s="14" t="n">
        <x:v>2024</x:v>
      </x:c>
      <x:c r="U402" s="14" t="str">
        <x:v>Explicit source first year retained</x:v>
      </x:c>
      <x:c r="V402" s="14" t="str">
        <x:v>Earliest supplied year is 2024.</x:v>
      </x:c>
      <x:c r="W402" s="14"/>
      <x:c r="X402" s="14" t="str">
        <x:v>Carried forward to 2024</x:v>
      </x:c>
      <x:c r="Y402" s="14"/>
      <x:c r="Z402" s="14" t="str">
        <x:v>Sister Boniface Mysteries.docx</x:v>
      </x:c>
      <x:c r="AA4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BritBox UK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38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0.02631578947368421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tt15407098|nm13295009|jupiter thistleton-thorne</x:v>
      </x:c>
      <x:c r="B403" s="14" t="str">
        <x:v>05</x:v>
      </x:c>
      <x:c r="C403" s="14" t="str">
        <x:v>2022_IMDb_Cast_Lists_Batch_05(1).xlsx</x:v>
      </x:c>
      <x:c r="D403" s="14" t="str">
        <x:v>Sister Boniface Mysteries</x:v>
      </x:c>
      <x:c r="E403" s="14" t="n">
        <x:v>190</x:v>
      </x:c>
      <x:c r="F403" s="14" t="str">
        <x:v>Sister Boniface Mysteries</x:v>
      </x:c>
      <x:c r="G403" s="14" t="str">
        <x:v>tt15407098</x:v>
      </x:c>
      <x:c r="H403" s="14" t="n">
        <x:v>2022</x:v>
      </x:c>
      <x:c r="I403" s="14" t="n">
        <x:v>2023</x:v>
      </x:c>
      <x:c r="J403" s="14" t="str">
        <x:v>Future Carry-Forward Cohort</x:v>
      </x:c>
      <x:c r="K403" s="14" t="n">
        <x:v>2022</x:v>
      </x:c>
      <x:c r="L403" s="14" t="str">
        <x:v>Not inherited</x:v>
      </x:c>
      <x:c r="M403" s="15" t="n">
        <x:v>183</x:v>
      </x:c>
      <x:c r="N403" s="14" t="str">
        <x:v>Giles Surridge</x:v>
      </x:c>
      <x:c r="O403" s="14" t="str">
        <x:v>nm13295009</x:v>
      </x:c>
      <x:c r="P403" s="14" t="str">
        <x:v>Jupiter Thistleton-Thorne</x:v>
      </x:c>
      <x:c r="Q403" s="15" t="n">
        <x:v>1</x:v>
      </x:c>
      <x:c r="R403" s="14" t="str">
        <x:v>2024</x:v>
      </x:c>
      <x:c r="S403" s="14" t="n">
        <x:v>2024</x:v>
      </x:c>
      <x:c r="T403" s="14" t="n">
        <x:v>2024</x:v>
      </x:c>
      <x:c r="U403" s="14" t="str">
        <x:v>Explicit source first year retained</x:v>
      </x:c>
      <x:c r="V403" s="14" t="str">
        <x:v>Earliest supplied year is 2024.</x:v>
      </x:c>
      <x:c r="W403" s="14"/>
      <x:c r="X403" s="14" t="str">
        <x:v>Carried forward to 2024</x:v>
      </x:c>
      <x:c r="Y403" s="14"/>
      <x:c r="Z403" s="14" t="str">
        <x:v>Sister Boniface Mysteries.docx</x:v>
      </x:c>
      <x:c r="AA4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BritBox UK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38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0.02631578947368421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tt15407098|nm6357617|gabriel braithwaite</x:v>
      </x:c>
      <x:c r="B404" s="14" t="str">
        <x:v>05</x:v>
      </x:c>
      <x:c r="C404" s="14" t="str">
        <x:v>2022_IMDb_Cast_Lists_Batch_05(1).xlsx</x:v>
      </x:c>
      <x:c r="D404" s="14" t="str">
        <x:v>Sister Boniface Mysteries</x:v>
      </x:c>
      <x:c r="E404" s="14" t="n">
        <x:v>191</x:v>
      </x:c>
      <x:c r="F404" s="14" t="str">
        <x:v>Sister Boniface Mysteries</x:v>
      </x:c>
      <x:c r="G404" s="14" t="str">
        <x:v>tt15407098</x:v>
      </x:c>
      <x:c r="H404" s="14" t="n">
        <x:v>2022</x:v>
      </x:c>
      <x:c r="I404" s="14" t="n">
        <x:v>2023</x:v>
      </x:c>
      <x:c r="J404" s="14" t="str">
        <x:v>Future Carry-Forward Cohort</x:v>
      </x:c>
      <x:c r="K404" s="14" t="n">
        <x:v>2022</x:v>
      </x:c>
      <x:c r="L404" s="14" t="str">
        <x:v>Not inherited</x:v>
      </x:c>
      <x:c r="M404" s="15" t="n">
        <x:v>184</x:v>
      </x:c>
      <x:c r="N404" s="14" t="str">
        <x:v>Benjamin Cawley</x:v>
      </x:c>
      <x:c r="O404" s="14" t="str">
        <x:v>nm6357617</x:v>
      </x:c>
      <x:c r="P404" s="14" t="str">
        <x:v>Gabriel Braithwaite</x:v>
      </x:c>
      <x:c r="Q404" s="15" t="n">
        <x:v>1</x:v>
      </x:c>
      <x:c r="R404" s="14" t="str">
        <x:v>2024</x:v>
      </x:c>
      <x:c r="S404" s="14" t="n">
        <x:v>2024</x:v>
      </x:c>
      <x:c r="T404" s="14" t="n">
        <x:v>2024</x:v>
      </x:c>
      <x:c r="U404" s="14" t="str">
        <x:v>Explicit source first year retained</x:v>
      </x:c>
      <x:c r="V404" s="14" t="str">
        <x:v>Earliest supplied year is 2024.</x:v>
      </x:c>
      <x:c r="W404" s="14"/>
      <x:c r="X404" s="14" t="str">
        <x:v>Carried forward to 2024</x:v>
      </x:c>
      <x:c r="Y404" s="14"/>
      <x:c r="Z404" s="14" t="str">
        <x:v>Sister Boniface Mysteries.docx</x:v>
      </x:c>
      <x:c r="AA4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BritBox UK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38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0.02631578947368421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tt15407098|nm13263342|andrew fitch</x:v>
      </x:c>
      <x:c r="B405" s="14" t="str">
        <x:v>05</x:v>
      </x:c>
      <x:c r="C405" s="14" t="str">
        <x:v>2022_IMDb_Cast_Lists_Batch_05(1).xlsx</x:v>
      </x:c>
      <x:c r="D405" s="14" t="str">
        <x:v>Sister Boniface Mysteries</x:v>
      </x:c>
      <x:c r="E405" s="14" t="n">
        <x:v>192</x:v>
      </x:c>
      <x:c r="F405" s="14" t="str">
        <x:v>Sister Boniface Mysteries</x:v>
      </x:c>
      <x:c r="G405" s="14" t="str">
        <x:v>tt15407098</x:v>
      </x:c>
      <x:c r="H405" s="14" t="n">
        <x:v>2022</x:v>
      </x:c>
      <x:c r="I405" s="14" t="n">
        <x:v>2023</x:v>
      </x:c>
      <x:c r="J405" s="14" t="str">
        <x:v>Future Carry-Forward Cohort</x:v>
      </x:c>
      <x:c r="K405" s="14" t="n">
        <x:v>2022</x:v>
      </x:c>
      <x:c r="L405" s="14" t="str">
        <x:v>Not inherited</x:v>
      </x:c>
      <x:c r="M405" s="15" t="n">
        <x:v>185</x:v>
      </x:c>
      <x:c r="N405" s="14" t="str">
        <x:v>Sam Reuben</x:v>
      </x:c>
      <x:c r="O405" s="14" t="str">
        <x:v>nm13263342</x:v>
      </x:c>
      <x:c r="P405" s="14" t="str">
        <x:v>Andrew Fitch</x:v>
      </x:c>
      <x:c r="Q405" s="15" t="n">
        <x:v>1</x:v>
      </x:c>
      <x:c r="R405" s="14" t="str">
        <x:v>2024</x:v>
      </x:c>
      <x:c r="S405" s="14" t="n">
        <x:v>2024</x:v>
      </x:c>
      <x:c r="T405" s="14" t="n">
        <x:v>2024</x:v>
      </x:c>
      <x:c r="U405" s="14" t="str">
        <x:v>Explicit source first year retained</x:v>
      </x:c>
      <x:c r="V405" s="14" t="str">
        <x:v>Earliest supplied year is 2024.</x:v>
      </x:c>
      <x:c r="W405" s="14"/>
      <x:c r="X405" s="14" t="str">
        <x:v>Carried forward to 2024</x:v>
      </x:c>
      <x:c r="Y405" s="14"/>
      <x:c r="Z405" s="14" t="str">
        <x:v>Sister Boniface Mysteries.docx</x:v>
      </x:c>
      <x:c r="AA4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BritBox UK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38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0.02631578947368421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tt15407098|nm13355741|alfie flint</x:v>
      </x:c>
      <x:c r="B406" s="14" t="str">
        <x:v>05</x:v>
      </x:c>
      <x:c r="C406" s="14" t="str">
        <x:v>2022_IMDb_Cast_Lists_Batch_05(1).xlsx</x:v>
      </x:c>
      <x:c r="D406" s="14" t="str">
        <x:v>Sister Boniface Mysteries</x:v>
      </x:c>
      <x:c r="E406" s="14" t="n">
        <x:v>193</x:v>
      </x:c>
      <x:c r="F406" s="14" t="str">
        <x:v>Sister Boniface Mysteries</x:v>
      </x:c>
      <x:c r="G406" s="14" t="str">
        <x:v>tt15407098</x:v>
      </x:c>
      <x:c r="H406" s="14" t="n">
        <x:v>2022</x:v>
      </x:c>
      <x:c r="I406" s="14" t="n">
        <x:v>2023</x:v>
      </x:c>
      <x:c r="J406" s="14" t="str">
        <x:v>Future Carry-Forward Cohort</x:v>
      </x:c>
      <x:c r="K406" s="14" t="n">
        <x:v>2022</x:v>
      </x:c>
      <x:c r="L406" s="14" t="str">
        <x:v>Not inherited</x:v>
      </x:c>
      <x:c r="M406" s="15" t="n">
        <x:v>186</x:v>
      </x:c>
      <x:c r="N406" s="14" t="str">
        <x:v>Richard Stott</x:v>
      </x:c>
      <x:c r="O406" s="14" t="str">
        <x:v>nm13355741</x:v>
      </x:c>
      <x:c r="P406" s="14" t="str">
        <x:v>Alfie Flint</x:v>
      </x:c>
      <x:c r="Q406" s="15" t="n">
        <x:v>1</x:v>
      </x:c>
      <x:c r="R406" s="14" t="str">
        <x:v>2024</x:v>
      </x:c>
      <x:c r="S406" s="14" t="n">
        <x:v>2024</x:v>
      </x:c>
      <x:c r="T406" s="14" t="n">
        <x:v>2024</x:v>
      </x:c>
      <x:c r="U406" s="14" t="str">
        <x:v>Explicit source first year retained</x:v>
      </x:c>
      <x:c r="V406" s="14" t="str">
        <x:v>Earliest supplied year is 2024.</x:v>
      </x:c>
      <x:c r="W406" s="14"/>
      <x:c r="X406" s="14" t="str">
        <x:v>Carried forward to 2024</x:v>
      </x:c>
      <x:c r="Y406" s="14"/>
      <x:c r="Z406" s="14" t="str">
        <x:v>Sister Boniface Mysteries.docx</x:v>
      </x:c>
      <x:c r="AA40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BritBox UK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38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0.02631578947368421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tt15407098|nm7898558|wilf wilson</x:v>
      </x:c>
      <x:c r="B407" s="14" t="str">
        <x:v>05</x:v>
      </x:c>
      <x:c r="C407" s="14" t="str">
        <x:v>2022_IMDb_Cast_Lists_Batch_05(1).xlsx</x:v>
      </x:c>
      <x:c r="D407" s="14" t="str">
        <x:v>Sister Boniface Mysteries</x:v>
      </x:c>
      <x:c r="E407" s="14" t="n">
        <x:v>200</x:v>
      </x:c>
      <x:c r="F407" s="14" t="str">
        <x:v>Sister Boniface Mysteries</x:v>
      </x:c>
      <x:c r="G407" s="14" t="str">
        <x:v>tt15407098</x:v>
      </x:c>
      <x:c r="H407" s="14" t="n">
        <x:v>2022</x:v>
      </x:c>
      <x:c r="I407" s="14" t="n">
        <x:v>2023</x:v>
      </x:c>
      <x:c r="J407" s="14" t="str">
        <x:v>Future Carry-Forward Cohort</x:v>
      </x:c>
      <x:c r="K407" s="14" t="n">
        <x:v>2022</x:v>
      </x:c>
      <x:c r="L407" s="14" t="str">
        <x:v>Not inherited</x:v>
      </x:c>
      <x:c r="M407" s="15" t="n">
        <x:v>193</x:v>
      </x:c>
      <x:c r="N407" s="14" t="str">
        <x:v>Daniel Laurie</x:v>
      </x:c>
      <x:c r="O407" s="14" t="str">
        <x:v>nm7898558</x:v>
      </x:c>
      <x:c r="P407" s="14" t="str">
        <x:v>Wilf WIlson</x:v>
      </x:c>
      <x:c r="Q407" s="15" t="n">
        <x:v>1</x:v>
      </x:c>
      <x:c r="R407" s="14" t="str">
        <x:v>2024</x:v>
      </x:c>
      <x:c r="S407" s="14" t="n">
        <x:v>2024</x:v>
      </x:c>
      <x:c r="T407" s="14" t="n">
        <x:v>2024</x:v>
      </x:c>
      <x:c r="U407" s="14" t="str">
        <x:v>Explicit source first year retained</x:v>
      </x:c>
      <x:c r="V407" s="14" t="str">
        <x:v>Earliest supplied year is 2024.</x:v>
      </x:c>
      <x:c r="W407" s="14"/>
      <x:c r="X407" s="14" t="str">
        <x:v>Carried forward to 2024</x:v>
      </x:c>
      <x:c r="Y407" s="14"/>
      <x:c r="Z407" s="14" t="str">
        <x:v>Sister Boniface Mysteries.docx</x:v>
      </x:c>
      <x:c r="AA40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7" s="14" t="str">
        <x:v>Existing established-register match</x:v>
      </x:c>
      <x:c r="AC407" s="14" t="str">
        <x:v>Physical disability</x:v>
      </x:c>
      <x:c r="AD407" s="14" t="str">
        <x:v>Existing register classification: Physical disability</x:v>
      </x:c>
      <x:c r="AE407" s="14" t="str">
        <x:v>Established_Disability_Category_Register V1.2.xlsx</x:v>
      </x:c>
      <x:c r="AF407" s="14"/>
      <x:c r="AG407" s="14" t="str">
        <x:v>Established user-supplied classification retained for deduplication; evidence was not re-researched in this batch.</x:v>
      </x:c>
      <x:c r="AH407" s="14" t="str">
        <x:v>BritBox UK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Exact IMDb performer ID match</x:v>
      </x:c>
      <x:c r="AT407" s="14" t="str">
        <x:v>nm7898558</x:v>
      </x:c>
      <x:c r="AU407" s="14" t="str">
        <x:v>Physical disability</x:v>
      </x:c>
      <x:c r="AV407" s="14" t="str">
        <x:v>Yes</x:v>
      </x:c>
      <x:c r="AW407" s="14" t="str">
        <x:v>Physical disability</x:v>
      </x:c>
      <x:c r="AX407" s="14" t="str">
        <x:v>No</x:v>
      </x:c>
      <x:c r="AY407" s="14" t="str">
        <x:v>Matched</x:v>
      </x:c>
      <x:c r="AZ407" s="14" t="str">
        <x:v>Final supplied register</x:v>
      </x:c>
      <x:c r="BA407" s="14"/>
      <x:c r="BB407" s="14" t="str">
        <x:v>Exact IMDb performer ID match</x:v>
      </x:c>
      <x:c r="BC407" s="14" t="str">
        <x:v>nm7898558</x:v>
      </x:c>
      <x:c r="BD407" s="14" t="str">
        <x:v>Daniel Laurie</x:v>
      </x:c>
      <x:c r="BE407" s="14" t="str">
        <x:v>Physical disability</x:v>
      </x:c>
      <x:c r="BF407" s="14" t="str">
        <x:v>Yes</x:v>
      </x:c>
      <x:c r="BG407" s="14" t="str">
        <x:v>Physical disability</x:v>
      </x:c>
      <x:c r="BH407" s="14" t="str">
        <x:v>No</x:v>
      </x:c>
      <x:c r="BI407" s="14" t="str">
        <x:v>User-supplied established classification</x:v>
      </x:c>
      <x:c r="BJ407" s="14" t="str">
        <x:v>04_Physical_disability.csv</x:v>
      </x:c>
      <x:c r="BK407" s="14"/>
      <x:c r="BL407" s="14" t="str">
        <x:v>Matched</x:v>
      </x:c>
      <x:c r="BM407" s="14" t="str">
        <x:v>Final supplied register</x:v>
      </x:c>
      <x:c r="BN407" s="14"/>
      <x:c r="BO407" s="14" t="n">
        <x:v>38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0.02631578947368421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tt15407098|nm0300518|lindsay calder-marshall</x:v>
      </x:c>
      <x:c r="B408" s="14" t="str">
        <x:v>05</x:v>
      </x:c>
      <x:c r="C408" s="14" t="str">
        <x:v>2022_IMDb_Cast_Lists_Batch_05(1).xlsx</x:v>
      </x:c>
      <x:c r="D408" s="14" t="str">
        <x:v>Sister Boniface Mysteries</x:v>
      </x:c>
      <x:c r="E408" s="14" t="n">
        <x:v>201</x:v>
      </x:c>
      <x:c r="F408" s="14" t="str">
        <x:v>Sister Boniface Mysteries</x:v>
      </x:c>
      <x:c r="G408" s="14" t="str">
        <x:v>tt15407098</x:v>
      </x:c>
      <x:c r="H408" s="14" t="n">
        <x:v>2022</x:v>
      </x:c>
      <x:c r="I408" s="14" t="n">
        <x:v>2023</x:v>
      </x:c>
      <x:c r="J408" s="14" t="str">
        <x:v>Future Carry-Forward Cohort</x:v>
      </x:c>
      <x:c r="K408" s="14" t="n">
        <x:v>2022</x:v>
      </x:c>
      <x:c r="L408" s="14" t="str">
        <x:v>Not inherited</x:v>
      </x:c>
      <x:c r="M408" s="15" t="n">
        <x:v>194</x:v>
      </x:c>
      <x:c r="N408" s="14" t="str">
        <x:v>James Gaddas</x:v>
      </x:c>
      <x:c r="O408" s="14" t="str">
        <x:v>nm0300518</x:v>
      </x:c>
      <x:c r="P408" s="14" t="str">
        <x:v>Lindsay Calder-Marshall</x:v>
      </x:c>
      <x:c r="Q408" s="15" t="n">
        <x:v>1</x:v>
      </x:c>
      <x:c r="R408" s="14" t="str">
        <x:v>2024</x:v>
      </x:c>
      <x:c r="S408" s="14" t="n">
        <x:v>2024</x:v>
      </x:c>
      <x:c r="T408" s="14" t="n">
        <x:v>2024</x:v>
      </x:c>
      <x:c r="U408" s="14" t="str">
        <x:v>Explicit source first year retained</x:v>
      </x:c>
      <x:c r="V408" s="14" t="str">
        <x:v>Earliest supplied year is 2024.</x:v>
      </x:c>
      <x:c r="W408" s="14"/>
      <x:c r="X408" s="14" t="str">
        <x:v>Carried forward to 2024</x:v>
      </x:c>
      <x:c r="Y408" s="14"/>
      <x:c r="Z408" s="14" t="str">
        <x:v>Sister Boniface Mysteries.docx</x:v>
      </x:c>
      <x:c r="AA40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BritBox UK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38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0.02631578947368421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tt15407098|nm3162211|donald merriweather</x:v>
      </x:c>
      <x:c r="B409" s="14" t="str">
        <x:v>05</x:v>
      </x:c>
      <x:c r="C409" s="14" t="str">
        <x:v>2022_IMDb_Cast_Lists_Batch_05(1).xlsx</x:v>
      </x:c>
      <x:c r="D409" s="14" t="str">
        <x:v>Sister Boniface Mysteries</x:v>
      </x:c>
      <x:c r="E409" s="14" t="n">
        <x:v>202</x:v>
      </x:c>
      <x:c r="F409" s="14" t="str">
        <x:v>Sister Boniface Mysteries</x:v>
      </x:c>
      <x:c r="G409" s="14" t="str">
        <x:v>tt15407098</x:v>
      </x:c>
      <x:c r="H409" s="14" t="n">
        <x:v>2022</x:v>
      </x:c>
      <x:c r="I409" s="14" t="n">
        <x:v>2023</x:v>
      </x:c>
      <x:c r="J409" s="14" t="str">
        <x:v>Future Carry-Forward Cohort</x:v>
      </x:c>
      <x:c r="K409" s="14" t="n">
        <x:v>2022</x:v>
      </x:c>
      <x:c r="L409" s="14" t="str">
        <x:v>Not inherited</x:v>
      </x:c>
      <x:c r="M409" s="15" t="n">
        <x:v>195</x:v>
      </x:c>
      <x:c r="N409" s="14" t="str">
        <x:v>Michael Spicer</x:v>
      </x:c>
      <x:c r="O409" s="14" t="str">
        <x:v>nm3162211</x:v>
      </x:c>
      <x:c r="P409" s="14" t="str">
        <x:v>Donald Merriweather</x:v>
      </x:c>
      <x:c r="Q409" s="15" t="n">
        <x:v>1</x:v>
      </x:c>
      <x:c r="R409" s="14" t="str">
        <x:v>2024</x:v>
      </x:c>
      <x:c r="S409" s="14" t="n">
        <x:v>2024</x:v>
      </x:c>
      <x:c r="T409" s="14" t="n">
        <x:v>2024</x:v>
      </x:c>
      <x:c r="U409" s="14" t="str">
        <x:v>Explicit source first year retained</x:v>
      </x:c>
      <x:c r="V409" s="14" t="str">
        <x:v>Earliest supplied year is 2024.</x:v>
      </x:c>
      <x:c r="W409" s="14"/>
      <x:c r="X409" s="14" t="str">
        <x:v>Carried forward to 2024</x:v>
      </x:c>
      <x:c r="Y409" s="14"/>
      <x:c r="Z409" s="14" t="str">
        <x:v>Sister Boniface Mysteries.docx</x:v>
      </x:c>
      <x:c r="AA40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BritBox UK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38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0.02631578947368421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tt15407098|nm10563170|oliver potts</x:v>
      </x:c>
      <x:c r="B410" s="14" t="str">
        <x:v>05</x:v>
      </x:c>
      <x:c r="C410" s="14" t="str">
        <x:v>2022_IMDb_Cast_Lists_Batch_05(1).xlsx</x:v>
      </x:c>
      <x:c r="D410" s="14" t="str">
        <x:v>Sister Boniface Mysteries</x:v>
      </x:c>
      <x:c r="E410" s="14" t="n">
        <x:v>210</x:v>
      </x:c>
      <x:c r="F410" s="14" t="str">
        <x:v>Sister Boniface Mysteries</x:v>
      </x:c>
      <x:c r="G410" s="14" t="str">
        <x:v>tt15407098</x:v>
      </x:c>
      <x:c r="H410" s="14" t="n">
        <x:v>2022</x:v>
      </x:c>
      <x:c r="I410" s="14" t="n">
        <x:v>2023</x:v>
      </x:c>
      <x:c r="J410" s="14" t="str">
        <x:v>Future Carry-Forward Cohort</x:v>
      </x:c>
      <x:c r="K410" s="14" t="n">
        <x:v>2022</x:v>
      </x:c>
      <x:c r="L410" s="14" t="str">
        <x:v>Not inherited</x:v>
      </x:c>
      <x:c r="M410" s="15" t="n">
        <x:v>203</x:v>
      </x:c>
      <x:c r="N410" s="14" t="str">
        <x:v>Tristan Whincup</x:v>
      </x:c>
      <x:c r="O410" s="14" t="str">
        <x:v>nm10563170</x:v>
      </x:c>
      <x:c r="P410" s="14" t="str">
        <x:v>Oliver Potts</x:v>
      </x:c>
      <x:c r="Q410" s="15" t="n">
        <x:v>1</x:v>
      </x:c>
      <x:c r="R410" s="14" t="str">
        <x:v>2024</x:v>
      </x:c>
      <x:c r="S410" s="14" t="n">
        <x:v>2024</x:v>
      </x:c>
      <x:c r="T410" s="14" t="n">
        <x:v>2024</x:v>
      </x:c>
      <x:c r="U410" s="14" t="str">
        <x:v>Explicit source first year retained</x:v>
      </x:c>
      <x:c r="V410" s="14" t="str">
        <x:v>Earliest supplied year is 2024.</x:v>
      </x:c>
      <x:c r="W410" s="14"/>
      <x:c r="X410" s="14" t="str">
        <x:v>Carried forward to 2024</x:v>
      </x:c>
      <x:c r="Y410" s="14"/>
      <x:c r="Z410" s="14" t="str">
        <x:v>Sister Boniface Mysteries.docx</x:v>
      </x:c>
      <x:c r="AA41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BritBox UK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38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0.02631578947368421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tt15407098|nm0912012|douglas wiseman</x:v>
      </x:c>
      <x:c r="B411" s="14" t="str">
        <x:v>05</x:v>
      </x:c>
      <x:c r="C411" s="14" t="str">
        <x:v>2022_IMDb_Cast_Lists_Batch_05(1).xlsx</x:v>
      </x:c>
      <x:c r="D411" s="14" t="str">
        <x:v>Sister Boniface Mysteries</x:v>
      </x:c>
      <x:c r="E411" s="14" t="n">
        <x:v>217</x:v>
      </x:c>
      <x:c r="F411" s="14" t="str">
        <x:v>Sister Boniface Mysteries</x:v>
      </x:c>
      <x:c r="G411" s="14" t="str">
        <x:v>tt15407098</x:v>
      </x:c>
      <x:c r="H411" s="14" t="n">
        <x:v>2022</x:v>
      </x:c>
      <x:c r="I411" s="14" t="n">
        <x:v>2023</x:v>
      </x:c>
      <x:c r="J411" s="14" t="str">
        <x:v>Future Carry-Forward Cohort</x:v>
      </x:c>
      <x:c r="K411" s="14" t="n">
        <x:v>2022</x:v>
      </x:c>
      <x:c r="L411" s="14" t="str">
        <x:v>Not inherited</x:v>
      </x:c>
      <x:c r="M411" s="15" t="n">
        <x:v>210</x:v>
      </x:c>
      <x:c r="N411" s="14" t="str">
        <x:v>Rick Warden</x:v>
      </x:c>
      <x:c r="O411" s="14" t="str">
        <x:v>nm0912012</x:v>
      </x:c>
      <x:c r="P411" s="14" t="str">
        <x:v>Douglas Wiseman</x:v>
      </x:c>
      <x:c r="Q411" s="15" t="n">
        <x:v>1</x:v>
      </x:c>
      <x:c r="R411" s="14" t="str">
        <x:v>2024</x:v>
      </x:c>
      <x:c r="S411" s="14" t="n">
        <x:v>2024</x:v>
      </x:c>
      <x:c r="T411" s="14" t="n">
        <x:v>2024</x:v>
      </x:c>
      <x:c r="U411" s="14" t="str">
        <x:v>Explicit source first year retained</x:v>
      </x:c>
      <x:c r="V411" s="14" t="str">
        <x:v>Earliest supplied year is 2024.</x:v>
      </x:c>
      <x:c r="W411" s="14"/>
      <x:c r="X411" s="14" t="str">
        <x:v>Carried forward to 2024</x:v>
      </x:c>
      <x:c r="Y411" s="14"/>
      <x:c r="Z411" s="14" t="str">
        <x:v>Sister Boniface Mysteries.docx</x:v>
      </x:c>
      <x:c r="AA41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BritBox UK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38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0.02631578947368421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tt15407098|nm4128498|sylvia melbury</x:v>
      </x:c>
      <x:c r="B412" s="14" t="str">
        <x:v>05</x:v>
      </x:c>
      <x:c r="C412" s="14" t="str">
        <x:v>2022_IMDb_Cast_Lists_Batch_05(1).xlsx</x:v>
      </x:c>
      <x:c r="D412" s="14" t="str">
        <x:v>Sister Boniface Mysteries</x:v>
      </x:c>
      <x:c r="E412" s="14" t="n">
        <x:v>218</x:v>
      </x:c>
      <x:c r="F412" s="14" t="str">
        <x:v>Sister Boniface Mysteries</x:v>
      </x:c>
      <x:c r="G412" s="14" t="str">
        <x:v>tt15407098</x:v>
      </x:c>
      <x:c r="H412" s="14" t="n">
        <x:v>2022</x:v>
      </x:c>
      <x:c r="I412" s="14" t="n">
        <x:v>2023</x:v>
      </x:c>
      <x:c r="J412" s="14" t="str">
        <x:v>Future Carry-Forward Cohort</x:v>
      </x:c>
      <x:c r="K412" s="14" t="n">
        <x:v>2022</x:v>
      </x:c>
      <x:c r="L412" s="14" t="str">
        <x:v>Not inherited</x:v>
      </x:c>
      <x:c r="M412" s="15" t="n">
        <x:v>211</x:v>
      </x:c>
      <x:c r="N412" s="14" t="str">
        <x:v>Frances Mayli McCann</x:v>
      </x:c>
      <x:c r="O412" s="14" t="str">
        <x:v>nm4128498</x:v>
      </x:c>
      <x:c r="P412" s="14" t="str">
        <x:v>Sylvia Melbury</x:v>
      </x:c>
      <x:c r="Q412" s="15" t="n">
        <x:v>1</x:v>
      </x:c>
      <x:c r="R412" s="14" t="str">
        <x:v>2024</x:v>
      </x:c>
      <x:c r="S412" s="14" t="n">
        <x:v>2024</x:v>
      </x:c>
      <x:c r="T412" s="14" t="n">
        <x:v>2024</x:v>
      </x:c>
      <x:c r="U412" s="14" t="str">
        <x:v>Explicit source first year retained</x:v>
      </x:c>
      <x:c r="V412" s="14" t="str">
        <x:v>Earliest supplied year is 2024.</x:v>
      </x:c>
      <x:c r="W412" s="14"/>
      <x:c r="X412" s="14" t="str">
        <x:v>Carried forward to 2024</x:v>
      </x:c>
      <x:c r="Y412" s="14"/>
      <x:c r="Z412" s="14" t="str">
        <x:v>Sister Boniface Mysteries.docx</x:v>
      </x:c>
      <x:c r="AA41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BritBox UK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38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0.02631578947368421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tt15407098|nm0247237|elsie calder-marshall</x:v>
      </x:c>
      <x:c r="B413" s="14" t="str">
        <x:v>05</x:v>
      </x:c>
      <x:c r="C413" s="14" t="str">
        <x:v>2022_IMDb_Cast_Lists_Batch_05(1).xlsx</x:v>
      </x:c>
      <x:c r="D413" s="14" t="str">
        <x:v>Sister Boniface Mysteries</x:v>
      </x:c>
      <x:c r="E413" s="14" t="n">
        <x:v>227</x:v>
      </x:c>
      <x:c r="F413" s="14" t="str">
        <x:v>Sister Boniface Mysteries</x:v>
      </x:c>
      <x:c r="G413" s="14" t="str">
        <x:v>tt15407098</x:v>
      </x:c>
      <x:c r="H413" s="14" t="n">
        <x:v>2022</x:v>
      </x:c>
      <x:c r="I413" s="14" t="n">
        <x:v>2023</x:v>
      </x:c>
      <x:c r="J413" s="14" t="str">
        <x:v>Future Carry-Forward Cohort</x:v>
      </x:c>
      <x:c r="K413" s="14" t="n">
        <x:v>2022</x:v>
      </x:c>
      <x:c r="L413" s="14" t="str">
        <x:v>Not inherited</x:v>
      </x:c>
      <x:c r="M413" s="15" t="n">
        <x:v>220</x:v>
      </x:c>
      <x:c r="N413" s="14" t="str">
        <x:v>Holly Earl</x:v>
      </x:c>
      <x:c r="O413" s="14" t="str">
        <x:v>nm0247237</x:v>
      </x:c>
      <x:c r="P413" s="14" t="str">
        <x:v>Elsie Calder-Marshall</x:v>
      </x:c>
      <x:c r="Q413" s="15" t="n">
        <x:v>1</x:v>
      </x:c>
      <x:c r="R413" s="14" t="str">
        <x:v>2024</x:v>
      </x:c>
      <x:c r="S413" s="14" t="n">
        <x:v>2024</x:v>
      </x:c>
      <x:c r="T413" s="14" t="n">
        <x:v>2024</x:v>
      </x:c>
      <x:c r="U413" s="14" t="str">
        <x:v>Explicit source first year retained</x:v>
      </x:c>
      <x:c r="V413" s="14" t="str">
        <x:v>Earliest supplied year is 2024.</x:v>
      </x:c>
      <x:c r="W413" s="14"/>
      <x:c r="X413" s="14" t="str">
        <x:v>Carried forward to 2024</x:v>
      </x:c>
      <x:c r="Y413" s="14"/>
      <x:c r="Z413" s="14" t="str">
        <x:v>Sister Boniface Mysteries.docx</x:v>
      </x:c>
      <x:c r="AA41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BritBox UK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38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0.02631578947368421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tt15407098|nm13913641|french bee</x:v>
      </x:c>
      <x:c r="B414" s="14" t="str">
        <x:v>05</x:v>
      </x:c>
      <x:c r="C414" s="14" t="str">
        <x:v>2022_IMDb_Cast_Lists_Batch_05(1).xlsx</x:v>
      </x:c>
      <x:c r="D414" s="14" t="str">
        <x:v>Sister Boniface Mysteries</x:v>
      </x:c>
      <x:c r="E414" s="14" t="n">
        <x:v>234</x:v>
      </x:c>
      <x:c r="F414" s="14" t="str">
        <x:v>Sister Boniface Mysteries</x:v>
      </x:c>
      <x:c r="G414" s="14" t="str">
        <x:v>tt15407098</x:v>
      </x:c>
      <x:c r="H414" s="14" t="n">
        <x:v>2022</x:v>
      </x:c>
      <x:c r="I414" s="14" t="n">
        <x:v>2023</x:v>
      </x:c>
      <x:c r="J414" s="14" t="str">
        <x:v>Future Carry-Forward Cohort</x:v>
      </x:c>
      <x:c r="K414" s="14" t="n">
        <x:v>2022</x:v>
      </x:c>
      <x:c r="L414" s="14" t="str">
        <x:v>Not inherited</x:v>
      </x:c>
      <x:c r="M414" s="15" t="n">
        <x:v>227</x:v>
      </x:c>
      <x:c r="N414" s="14" t="str">
        <x:v>Roy Mas</x:v>
      </x:c>
      <x:c r="O414" s="14" t="str">
        <x:v>nm13913641</x:v>
      </x:c>
      <x:c r="P414" s="14" t="str">
        <x:v>French Bee</x:v>
      </x:c>
      <x:c r="Q414" s="15" t="n">
        <x:v>1</x:v>
      </x:c>
      <x:c r="R414" s="14" t="str">
        <x:v>2024</x:v>
      </x:c>
      <x:c r="S414" s="14" t="n">
        <x:v>2024</x:v>
      </x:c>
      <x:c r="T414" s="14" t="n">
        <x:v>2024</x:v>
      </x:c>
      <x:c r="U414" s="14" t="str">
        <x:v>Explicit source first year retained</x:v>
      </x:c>
      <x:c r="V414" s="14" t="str">
        <x:v>Earliest supplied year is 2024.</x:v>
      </x:c>
      <x:c r="W414" s="14"/>
      <x:c r="X414" s="14" t="str">
        <x:v>Carried forward to 2024</x:v>
      </x:c>
      <x:c r="Y414" s="14"/>
      <x:c r="Z414" s="14" t="str">
        <x:v>Sister Boniface Mysteries.docx</x:v>
      </x:c>
      <x:c r="AA41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BritBox UK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38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0.02631578947368421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tt15407098|nm4963600|jonas blake</x:v>
      </x:c>
      <x:c r="B415" s="14" t="str">
        <x:v>05</x:v>
      </x:c>
      <x:c r="C415" s="14" t="str">
        <x:v>2022_IMDb_Cast_Lists_Batch_05(1).xlsx</x:v>
      </x:c>
      <x:c r="D415" s="14" t="str">
        <x:v>Sister Boniface Mysteries</x:v>
      </x:c>
      <x:c r="E415" s="14" t="n">
        <x:v>247</x:v>
      </x:c>
      <x:c r="F415" s="14" t="str">
        <x:v>Sister Boniface Mysteries</x:v>
      </x:c>
      <x:c r="G415" s="14" t="str">
        <x:v>tt15407098</x:v>
      </x:c>
      <x:c r="H415" s="14" t="n">
        <x:v>2022</x:v>
      </x:c>
      <x:c r="I415" s="14" t="n">
        <x:v>2023</x:v>
      </x:c>
      <x:c r="J415" s="14" t="str">
        <x:v>Future Carry-Forward Cohort</x:v>
      </x:c>
      <x:c r="K415" s="14" t="n">
        <x:v>2022</x:v>
      </x:c>
      <x:c r="L415" s="14" t="str">
        <x:v>Not inherited</x:v>
      </x:c>
      <x:c r="M415" s="15" t="n">
        <x:v>240</x:v>
      </x:c>
      <x:c r="N415" s="14" t="str">
        <x:v>Ed Birch</x:v>
      </x:c>
      <x:c r="O415" s="14" t="str">
        <x:v>nm4963600</x:v>
      </x:c>
      <x:c r="P415" s="14" t="str">
        <x:v>Jonas Blake</x:v>
      </x:c>
      <x:c r="Q415" s="15" t="n">
        <x:v>1</x:v>
      </x:c>
      <x:c r="R415" s="14" t="str">
        <x:v>2024</x:v>
      </x:c>
      <x:c r="S415" s="14" t="n">
        <x:v>2024</x:v>
      </x:c>
      <x:c r="T415" s="14" t="n">
        <x:v>2024</x:v>
      </x:c>
      <x:c r="U415" s="14" t="str">
        <x:v>Explicit source first year retained</x:v>
      </x:c>
      <x:c r="V415" s="14" t="str">
        <x:v>Earliest supplied year is 2024.</x:v>
      </x:c>
      <x:c r="W415" s="14"/>
      <x:c r="X415" s="14" t="str">
        <x:v>Carried forward to 2024</x:v>
      </x:c>
      <x:c r="Y415" s="14"/>
      <x:c r="Z415" s="14" t="str">
        <x:v>Sister Boniface Mysteries.docx</x:v>
      </x:c>
      <x:c r="AA41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BritBox UK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38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0.02631578947368421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tt15407098|nm4358345|miranda frobisher</x:v>
      </x:c>
      <x:c r="B416" s="14" t="str">
        <x:v>05</x:v>
      </x:c>
      <x:c r="C416" s="14" t="str">
        <x:v>2022_IMDb_Cast_Lists_Batch_05(1).xlsx</x:v>
      </x:c>
      <x:c r="D416" s="14" t="str">
        <x:v>Sister Boniface Mysteries</x:v>
      </x:c>
      <x:c r="E416" s="14" t="n">
        <x:v>249</x:v>
      </x:c>
      <x:c r="F416" s="14" t="str">
        <x:v>Sister Boniface Mysteries</x:v>
      </x:c>
      <x:c r="G416" s="14" t="str">
        <x:v>tt15407098</x:v>
      </x:c>
      <x:c r="H416" s="14" t="n">
        <x:v>2022</x:v>
      </x:c>
      <x:c r="I416" s="14" t="n">
        <x:v>2023</x:v>
      </x:c>
      <x:c r="J416" s="14" t="str">
        <x:v>Future Carry-Forward Cohort</x:v>
      </x:c>
      <x:c r="K416" s="14" t="n">
        <x:v>2022</x:v>
      </x:c>
      <x:c r="L416" s="14" t="str">
        <x:v>Not inherited</x:v>
      </x:c>
      <x:c r="M416" s="15" t="n">
        <x:v>242</x:v>
      </x:c>
      <x:c r="N416" s="14" t="str">
        <x:v>Tiffany Gray</x:v>
      </x:c>
      <x:c r="O416" s="14" t="str">
        <x:v>nm4358345</x:v>
      </x:c>
      <x:c r="P416" s="14" t="str">
        <x:v>Miranda Frobisher</x:v>
      </x:c>
      <x:c r="Q416" s="15" t="n">
        <x:v>1</x:v>
      </x:c>
      <x:c r="R416" s="14" t="str">
        <x:v>2024</x:v>
      </x:c>
      <x:c r="S416" s="14" t="n">
        <x:v>2024</x:v>
      </x:c>
      <x:c r="T416" s="14" t="n">
        <x:v>2024</x:v>
      </x:c>
      <x:c r="U416" s="14" t="str">
        <x:v>Explicit source first year retained</x:v>
      </x:c>
      <x:c r="V416" s="14" t="str">
        <x:v>Earliest supplied year is 2024.</x:v>
      </x:c>
      <x:c r="W416" s="14"/>
      <x:c r="X416" s="14" t="str">
        <x:v>Carried forward to 2024</x:v>
      </x:c>
      <x:c r="Y416" s="14"/>
      <x:c r="Z416" s="14" t="str">
        <x:v>Sister Boniface Mysteries.docx</x:v>
      </x:c>
      <x:c r="AA41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BritBox UK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38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0.02631578947368421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tt15510352|nm3959657|sapphire (emma)</x:v>
      </x:c>
      <x:c r="B417" s="14" t="str">
        <x:v>05</x:v>
      </x:c>
      <x:c r="C417" s="14" t="str">
        <x:v>2022_IMDb_Cast_Lists_Batch_05(1).xlsx</x:v>
      </x:c>
      <x:c r="D417" s="14" t="str">
        <x:v>Suspect</x:v>
      </x:c>
      <x:c r="E417" s="14" t="n">
        <x:v>19</x:v>
      </x:c>
      <x:c r="F417" s="14" t="str">
        <x:v>Suspect</x:v>
      </x:c>
      <x:c r="G417" s="14" t="str">
        <x:v>tt15510352</x:v>
      </x:c>
      <x:c r="H417" s="14" t="n">
        <x:v>2022</x:v>
      </x:c>
      <x:c r="I417" s="14" t="n">
        <x:v>2023</x:v>
      </x:c>
      <x:c r="J417" s="14" t="str">
        <x:v>Future Carry-Forward Cohort</x:v>
      </x:c>
      <x:c r="K417" s="14" t="n">
        <x:v>2022</x:v>
      </x:c>
      <x:c r="L417" s="14" t="str">
        <x:v>Not inherited</x:v>
      </x:c>
      <x:c r="M417" s="15" t="n">
        <x:v>12</x:v>
      </x:c>
      <x:c r="N417" s="14" t="str">
        <x:v>Celine Buckens</x:v>
      </x:c>
      <x:c r="O417" s="14" t="str">
        <x:v>nm3959657</x:v>
      </x:c>
      <x:c r="P417" s="14" t="str">
        <x:v>Sapphire (Emma)</x:v>
      </x:c>
      <x:c r="Q417" s="15" t="n">
        <x:v>4</x:v>
      </x:c>
      <x:c r="R417" s="14" t="str">
        <x:v>2024</x:v>
      </x:c>
      <x:c r="S417" s="14" t="n">
        <x:v>2024</x:v>
      </x:c>
      <x:c r="T417" s="14" t="n">
        <x:v>2024</x:v>
      </x:c>
      <x:c r="U417" s="14" t="str">
        <x:v>Explicit source first year retained</x:v>
      </x:c>
      <x:c r="V417" s="14" t="str">
        <x:v>Earliest supplied year is 2024.</x:v>
      </x:c>
      <x:c r="W417" s="14"/>
      <x:c r="X417" s="14" t="str">
        <x:v>Carried forward to 2024</x:v>
      </x:c>
      <x:c r="Y417" s="14"/>
      <x:c r="Z417" s="14" t="str">
        <x:v>Suspect.docx</x:v>
      </x:c>
      <x:c r="AA41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Channel 4 / E4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HYPERLINK("https://en.wikipedia.org/wiki/Suspect","Open source")</x:f>
        <x:v>HYPERLINK is not implemented. linkLocation=https://en.wikipedia.org/wiki/Suspect, friendlyName=Open source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16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4</x:v>
      </x:c>
      <x:c r="BS417" s="16" t="n">
        <x:v>0.25</x:v>
      </x:c>
      <x:c r="BT417" s="14" t="str">
        <x:v>Minority of episodes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tt15510352|nm1002641|jon</x:v>
      </x:c>
      <x:c r="B418" s="14" t="str">
        <x:v>05</x:v>
      </x:c>
      <x:c r="C418" s="14" t="str">
        <x:v>2022_IMDb_Cast_Lists_Batch_05(1).xlsx</x:v>
      </x:c>
      <x:c r="D418" s="14" t="str">
        <x:v>Suspect</x:v>
      </x:c>
      <x:c r="E418" s="14" t="n">
        <x:v>21</x:v>
      </x:c>
      <x:c r="F418" s="14" t="str">
        <x:v>Suspect</x:v>
      </x:c>
      <x:c r="G418" s="14" t="str">
        <x:v>tt15510352</x:v>
      </x:c>
      <x:c r="H418" s="14" t="n">
        <x:v>2022</x:v>
      </x:c>
      <x:c r="I418" s="14" t="n">
        <x:v>2023</x:v>
      </x:c>
      <x:c r="J418" s="14" t="str">
        <x:v>Future Carry-Forward Cohort</x:v>
      </x:c>
      <x:c r="K418" s="14" t="n">
        <x:v>2022</x:v>
      </x:c>
      <x:c r="L418" s="14" t="str">
        <x:v>Not inherited</x:v>
      </x:c>
      <x:c r="M418" s="15" t="n">
        <x:v>14</x:v>
      </x:c>
      <x:c r="N418" s="14" t="str">
        <x:v>Dominic Cooper</x:v>
      </x:c>
      <x:c r="O418" s="14" t="str">
        <x:v>nm1002641</x:v>
      </x:c>
      <x:c r="P418" s="14" t="str">
        <x:v>Jon</x:v>
      </x:c>
      <x:c r="Q418" s="15" t="n">
        <x:v>2</x:v>
      </x:c>
      <x:c r="R418" s="14" t="str">
        <x:v>2024</x:v>
      </x:c>
      <x:c r="S418" s="14" t="n">
        <x:v>2024</x:v>
      </x:c>
      <x:c r="T418" s="14" t="n">
        <x:v>2024</x:v>
      </x:c>
      <x:c r="U418" s="14" t="str">
        <x:v>Explicit source first year retained</x:v>
      </x:c>
      <x:c r="V418" s="14" t="str">
        <x:v>Earliest supplied year is 2024.</x:v>
      </x:c>
      <x:c r="W418" s="14"/>
      <x:c r="X418" s="14" t="str">
        <x:v>Carried forward to 2024</x:v>
      </x:c>
      <x:c r="Y418" s="14"/>
      <x:c r="Z418" s="14" t="str">
        <x:v>Suspect.docx</x:v>
      </x:c>
      <x:c r="AA41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Channel 4 / E4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HYPERLINK("https://en.wikipedia.org/wiki/Suspect","Open source")</x:f>
        <x:v>HYPERLINK is not implemented. linkLocation=https://en.wikipedia.org/wiki/Suspect, friendlyName=Open source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16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2</x:v>
      </x:c>
      <x:c r="BS418" s="16" t="n">
        <x:v>0.125</x:v>
      </x:c>
      <x:c r="BT418" s="14" t="str">
        <x:v>Minority of episodes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tt15510352|nm0550371|dr. alistair underwood</x:v>
      </x:c>
      <x:c r="B419" s="14" t="str">
        <x:v>05</x:v>
      </x:c>
      <x:c r="C419" s="14" t="str">
        <x:v>2022_IMDb_Cast_Lists_Batch_05(1).xlsx</x:v>
      </x:c>
      <x:c r="D419" s="14" t="str">
        <x:v>Suspect</x:v>
      </x:c>
      <x:c r="E419" s="14" t="n">
        <x:v>23</x:v>
      </x:c>
      <x:c r="F419" s="14" t="str">
        <x:v>Suspect</x:v>
      </x:c>
      <x:c r="G419" s="14" t="str">
        <x:v>tt15510352</x:v>
      </x:c>
      <x:c r="H419" s="14" t="n">
        <x:v>2022</x:v>
      </x:c>
      <x:c r="I419" s="14" t="n">
        <x:v>2023</x:v>
      </x:c>
      <x:c r="J419" s="14" t="str">
        <x:v>Future Carry-Forward Cohort</x:v>
      </x:c>
      <x:c r="K419" s="14" t="n">
        <x:v>2022</x:v>
      </x:c>
      <x:c r="L419" s="14" t="str">
        <x:v>Not inherited</x:v>
      </x:c>
      <x:c r="M419" s="15" t="n">
        <x:v>16</x:v>
      </x:c>
      <x:c r="N419" s="14" t="str">
        <x:v>Eddie Marsan</x:v>
      </x:c>
      <x:c r="O419" s="14" t="str">
        <x:v>nm0550371</x:v>
      </x:c>
      <x:c r="P419" s="14" t="str">
        <x:v>Dr. Alistair Underwood</x:v>
      </x:c>
      <x:c r="Q419" s="15" t="n">
        <x:v>1</x:v>
      </x:c>
      <x:c r="R419" s="14" t="str">
        <x:v>2024</x:v>
      </x:c>
      <x:c r="S419" s="14" t="n">
        <x:v>2024</x:v>
      </x:c>
      <x:c r="T419" s="14" t="n">
        <x:v>2024</x:v>
      </x:c>
      <x:c r="U419" s="14" t="str">
        <x:v>Explicit source first year retained</x:v>
      </x:c>
      <x:c r="V419" s="14" t="str">
        <x:v>Earliest supplied year is 2024.</x:v>
      </x:c>
      <x:c r="W419" s="14"/>
      <x:c r="X419" s="14" t="str">
        <x:v>Carried forward to 2024</x:v>
      </x:c>
      <x:c r="Y419" s="14"/>
      <x:c r="Z419" s="14" t="str">
        <x:v>Suspect.docx</x:v>
      </x:c>
      <x:c r="AA41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Channel 4 / E4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HYPERLINK("https://en.wikipedia.org/wiki/Suspect","Open source")</x:f>
        <x:v>HYPERLINK is not implemented. linkLocation=https://en.wikipedia.org/wiki/Suspect, friendlyName=Open source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16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0.0625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tt15510352|nm0571160|kate</x:v>
      </x:c>
      <x:c r="B420" s="14" t="str">
        <x:v>05</x:v>
      </x:c>
      <x:c r="C420" s="14" t="str">
        <x:v>2022_IMDb_Cast_Lists_Batch_05(1).xlsx</x:v>
      </x:c>
      <x:c r="D420" s="14" t="str">
        <x:v>Suspect</x:v>
      </x:c>
      <x:c r="E420" s="14" t="n">
        <x:v>24</x:v>
      </x:c>
      <x:c r="F420" s="14" t="str">
        <x:v>Suspect</x:v>
      </x:c>
      <x:c r="G420" s="14" t="str">
        <x:v>tt15510352</x:v>
      </x:c>
      <x:c r="H420" s="14" t="n">
        <x:v>2022</x:v>
      </x:c>
      <x:c r="I420" s="14" t="n">
        <x:v>2023</x:v>
      </x:c>
      <x:c r="J420" s="14" t="str">
        <x:v>Future Carry-Forward Cohort</x:v>
      </x:c>
      <x:c r="K420" s="14" t="n">
        <x:v>2022</x:v>
      </x:c>
      <x:c r="L420" s="14" t="str">
        <x:v>Not inherited</x:v>
      </x:c>
      <x:c r="M420" s="15" t="n">
        <x:v>17</x:v>
      </x:c>
      <x:c r="N420" s="14" t="str">
        <x:v>Gina McKee</x:v>
      </x:c>
      <x:c r="O420" s="14" t="str">
        <x:v>nm0571160</x:v>
      </x:c>
      <x:c r="P420" s="14" t="str">
        <x:v>Kate</x:v>
      </x:c>
      <x:c r="Q420" s="15" t="n">
        <x:v>1</x:v>
      </x:c>
      <x:c r="R420" s="14" t="str">
        <x:v>2024</x:v>
      </x:c>
      <x:c r="S420" s="14" t="n">
        <x:v>2024</x:v>
      </x:c>
      <x:c r="T420" s="14" t="n">
        <x:v>2024</x:v>
      </x:c>
      <x:c r="U420" s="14" t="str">
        <x:v>Explicit source first year retained</x:v>
      </x:c>
      <x:c r="V420" s="14" t="str">
        <x:v>Earliest supplied year is 2024.</x:v>
      </x:c>
      <x:c r="W420" s="14"/>
      <x:c r="X420" s="14" t="str">
        <x:v>Carried forward to 2024</x:v>
      </x:c>
      <x:c r="Y420" s="14"/>
      <x:c r="Z420" s="14" t="str">
        <x:v>Suspect.docx</x:v>
      </x:c>
      <x:c r="AA42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Channel 4 / E4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HYPERLINK("https://en.wikipedia.org/wiki/Suspect","Open source")</x:f>
        <x:v>HYPERLINK is not implemented. linkLocation=https://en.wikipedia.org/wiki/Suspect, friendlyName=Open source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16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0.0625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tt15510352|nm0991979|joseph</x:v>
      </x:c>
      <x:c r="B421" s="14" t="str">
        <x:v>05</x:v>
      </x:c>
      <x:c r="C421" s="14" t="str">
        <x:v>2022_IMDb_Cast_Lists_Batch_05(1).xlsx</x:v>
      </x:c>
      <x:c r="D421" s="14" t="str">
        <x:v>Suspect</x:v>
      </x:c>
      <x:c r="E421" s="14" t="n">
        <x:v>25</x:v>
      </x:c>
      <x:c r="F421" s="14" t="str">
        <x:v>Suspect</x:v>
      </x:c>
      <x:c r="G421" s="14" t="str">
        <x:v>tt15510352</x:v>
      </x:c>
      <x:c r="H421" s="14" t="n">
        <x:v>2022</x:v>
      </x:c>
      <x:c r="I421" s="14" t="n">
        <x:v>2023</x:v>
      </x:c>
      <x:c r="J421" s="14" t="str">
        <x:v>Future Carry-Forward Cohort</x:v>
      </x:c>
      <x:c r="K421" s="14" t="n">
        <x:v>2022</x:v>
      </x:c>
      <x:c r="L421" s="14" t="str">
        <x:v>Not inherited</x:v>
      </x:c>
      <x:c r="M421" s="15" t="n">
        <x:v>18</x:v>
      </x:c>
      <x:c r="N421" s="14" t="str">
        <x:v>Nicholas Pinnock</x:v>
      </x:c>
      <x:c r="O421" s="14" t="str">
        <x:v>nm0991979</x:v>
      </x:c>
      <x:c r="P421" s="14" t="str">
        <x:v>Joseph</x:v>
      </x:c>
      <x:c r="Q421" s="15" t="n">
        <x:v>1</x:v>
      </x:c>
      <x:c r="R421" s="14" t="str">
        <x:v>2024</x:v>
      </x:c>
      <x:c r="S421" s="14" t="n">
        <x:v>2024</x:v>
      </x:c>
      <x:c r="T421" s="14" t="n">
        <x:v>2024</x:v>
      </x:c>
      <x:c r="U421" s="14" t="str">
        <x:v>Explicit source first year retained</x:v>
      </x:c>
      <x:c r="V421" s="14" t="str">
        <x:v>Earliest supplied year is 2024.</x:v>
      </x:c>
      <x:c r="W421" s="14"/>
      <x:c r="X421" s="14" t="str">
        <x:v>Carried forward to 2024</x:v>
      </x:c>
      <x:c r="Y421" s="14"/>
      <x:c r="Z421" s="14" t="str">
        <x:v>Suspect.docx</x:v>
      </x:c>
      <x:c r="AA42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Channel 4 / E4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HYPERLINK("https://en.wikipedia.org/wiki/Suspect","Open source")</x:f>
        <x:v>HYPERLINK is not implemented. linkLocation=https://en.wikipedia.org/wiki/Suspect, friendlyName=Open source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16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0.0625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tt15510352|nm0733172|louisa</x:v>
      </x:c>
      <x:c r="B422" s="14" t="str">
        <x:v>05</x:v>
      </x:c>
      <x:c r="C422" s="14" t="str">
        <x:v>2022_IMDb_Cast_Lists_Batch_05(1).xlsx</x:v>
      </x:c>
      <x:c r="D422" s="14" t="str">
        <x:v>Suspect</x:v>
      </x:c>
      <x:c r="E422" s="14" t="n">
        <x:v>26</x:v>
      </x:c>
      <x:c r="F422" s="14" t="str">
        <x:v>Suspect</x:v>
      </x:c>
      <x:c r="G422" s="14" t="str">
        <x:v>tt15510352</x:v>
      </x:c>
      <x:c r="H422" s="14" t="n">
        <x:v>2022</x:v>
      </x:c>
      <x:c r="I422" s="14" t="n">
        <x:v>2023</x:v>
      </x:c>
      <x:c r="J422" s="14" t="str">
        <x:v>Future Carry-Forward Cohort</x:v>
      </x:c>
      <x:c r="K422" s="14" t="n">
        <x:v>2022</x:v>
      </x:c>
      <x:c r="L422" s="14" t="str">
        <x:v>Not inherited</x:v>
      </x:c>
      <x:c r="M422" s="15" t="n">
        <x:v>19</x:v>
      </x:c>
      <x:c r="N422" s="14" t="str">
        <x:v>Vinette Robinson</x:v>
      </x:c>
      <x:c r="O422" s="14" t="str">
        <x:v>nm0733172</x:v>
      </x:c>
      <x:c r="P422" s="14" t="str">
        <x:v>Louisa</x:v>
      </x:c>
      <x:c r="Q422" s="15" t="n">
        <x:v>1</x:v>
      </x:c>
      <x:c r="R422" s="14" t="str">
        <x:v>2024</x:v>
      </x:c>
      <x:c r="S422" s="14" t="n">
        <x:v>2024</x:v>
      </x:c>
      <x:c r="T422" s="14" t="n">
        <x:v>2024</x:v>
      </x:c>
      <x:c r="U422" s="14" t="str">
        <x:v>Explicit source first year retained</x:v>
      </x:c>
      <x:c r="V422" s="14" t="str">
        <x:v>Earliest supplied year is 2024.</x:v>
      </x:c>
      <x:c r="W422" s="14"/>
      <x:c r="X422" s="14" t="str">
        <x:v>Carried forward to 2024</x:v>
      </x:c>
      <x:c r="Y422" s="14"/>
      <x:c r="Z422" s="14" t="str">
        <x:v>Suspect.docx</x:v>
      </x:c>
      <x:c r="AA42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Channel 4 / E4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HYPERLINK("https://en.wikipedia.org/wiki/Suspect","Open source")</x:f>
        <x:v>HYPERLINK is not implemented. linkLocation=https://en.wikipedia.org/wiki/Suspect, friendlyName=Open source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16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0.0625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tt15510352|nm0340067|natasha</x:v>
      </x:c>
      <x:c r="B423" s="14" t="str">
        <x:v>05</x:v>
      </x:c>
      <x:c r="C423" s="14" t="str">
        <x:v>2022_IMDb_Cast_Lists_Batch_05(1).xlsx</x:v>
      </x:c>
      <x:c r="D423" s="14" t="str">
        <x:v>Suspect</x:v>
      </x:c>
      <x:c r="E423" s="14" t="n">
        <x:v>27</x:v>
      </x:c>
      <x:c r="F423" s="14" t="str">
        <x:v>Suspect</x:v>
      </x:c>
      <x:c r="G423" s="14" t="str">
        <x:v>tt15510352</x:v>
      </x:c>
      <x:c r="H423" s="14" t="n">
        <x:v>2022</x:v>
      </x:c>
      <x:c r="I423" s="14" t="n">
        <x:v>2023</x:v>
      </x:c>
      <x:c r="J423" s="14" t="str">
        <x:v>Future Carry-Forward Cohort</x:v>
      </x:c>
      <x:c r="K423" s="14" t="n">
        <x:v>2022</x:v>
      </x:c>
      <x:c r="L423" s="14" t="str">
        <x:v>Not inherited</x:v>
      </x:c>
      <x:c r="M423" s="15" t="n">
        <x:v>20</x:v>
      </x:c>
      <x:c r="N423" s="14" t="str">
        <x:v>Tamsin Greig</x:v>
      </x:c>
      <x:c r="O423" s="14" t="str">
        <x:v>nm0340067</x:v>
      </x:c>
      <x:c r="P423" s="14" t="str">
        <x:v>Natasha</x:v>
      </x:c>
      <x:c r="Q423" s="15" t="n">
        <x:v>1</x:v>
      </x:c>
      <x:c r="R423" s="14" t="str">
        <x:v>2024</x:v>
      </x:c>
      <x:c r="S423" s="14" t="n">
        <x:v>2024</x:v>
      </x:c>
      <x:c r="T423" s="14" t="n">
        <x:v>2024</x:v>
      </x:c>
      <x:c r="U423" s="14" t="str">
        <x:v>Explicit source first year retained</x:v>
      </x:c>
      <x:c r="V423" s="14" t="str">
        <x:v>Earliest supplied year is 2024.</x:v>
      </x:c>
      <x:c r="W423" s="14"/>
      <x:c r="X423" s="14" t="str">
        <x:v>Carried forward to 2024</x:v>
      </x:c>
      <x:c r="Y423" s="14"/>
      <x:c r="Z423" s="14" t="str">
        <x:v>Suspect.docx</x:v>
      </x:c>
      <x:c r="AA423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Channel 4 / E4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HYPERLINK("https://en.wikipedia.org/wiki/Suspect","Open source")</x:f>
        <x:v>HYPERLINK is not implemented. linkLocation=https://en.wikipedia.org/wiki/Suspect, friendlyName=Open source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16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0.0625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tt15510352|nm15274600|receptionist (fulwell)</x:v>
      </x:c>
      <x:c r="B424" s="14" t="str">
        <x:v>05</x:v>
      </x:c>
      <x:c r="C424" s="14" t="str">
        <x:v>2022_IMDb_Cast_Lists_Batch_05(1).xlsx</x:v>
      </x:c>
      <x:c r="D424" s="14" t="str">
        <x:v>Suspect</x:v>
      </x:c>
      <x:c r="E424" s="14" t="n">
        <x:v>28</x:v>
      </x:c>
      <x:c r="F424" s="14" t="str">
        <x:v>Suspect</x:v>
      </x:c>
      <x:c r="G424" s="14" t="str">
        <x:v>tt15510352</x:v>
      </x:c>
      <x:c r="H424" s="14" t="n">
        <x:v>2022</x:v>
      </x:c>
      <x:c r="I424" s="14" t="n">
        <x:v>2023</x:v>
      </x:c>
      <x:c r="J424" s="14" t="str">
        <x:v>Future Carry-Forward Cohort</x:v>
      </x:c>
      <x:c r="K424" s="14" t="n">
        <x:v>2022</x:v>
      </x:c>
      <x:c r="L424" s="14" t="str">
        <x:v>Not inherited</x:v>
      </x:c>
      <x:c r="M424" s="15" t="n">
        <x:v>21</x:v>
      </x:c>
      <x:c r="N424" s="14" t="str">
        <x:v>Sharon Verdegem</x:v>
      </x:c>
      <x:c r="O424" s="14" t="str">
        <x:v>nm15274600</x:v>
      </x:c>
      <x:c r="P424" s="14" t="str">
        <x:v>Receptionist (Fulwell)</x:v>
      </x:c>
      <x:c r="Q424" s="15" t="n">
        <x:v>1</x:v>
      </x:c>
      <x:c r="R424" s="14" t="str">
        <x:v>2024</x:v>
      </x:c>
      <x:c r="S424" s="14" t="n">
        <x:v>2024</x:v>
      </x:c>
      <x:c r="T424" s="14" t="n">
        <x:v>2024</x:v>
      </x:c>
      <x:c r="U424" s="14" t="str">
        <x:v>Explicit source first year retained</x:v>
      </x:c>
      <x:c r="V424" s="14" t="str">
        <x:v>Earliest supplied year is 2024.</x:v>
      </x:c>
      <x:c r="W424" s="14"/>
      <x:c r="X424" s="14" t="str">
        <x:v>Carried forward to 2024</x:v>
      </x:c>
      <x:c r="Y424" s="14"/>
      <x:c r="Z424" s="14" t="str">
        <x:v>Suspect.docx</x:v>
      </x:c>
      <x:c r="AA424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Channel 4 / E4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HYPERLINK("https://en.wikipedia.org/wiki/Suspect","Open source")</x:f>
        <x:v>HYPERLINK is not implemented. linkLocation=https://en.wikipedia.org/wiki/Suspect, friendlyName=Open source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16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0.0625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tt15510352|nm12537568|security guard</x:v>
      </x:c>
      <x:c r="B425" s="14" t="str">
        <x:v>05</x:v>
      </x:c>
      <x:c r="C425" s="14" t="str">
        <x:v>2022_IMDb_Cast_Lists_Batch_05(1).xlsx</x:v>
      </x:c>
      <x:c r="D425" s="14" t="str">
        <x:v>Suspect</x:v>
      </x:c>
      <x:c r="E425" s="14" t="n">
        <x:v>29</x:v>
      </x:c>
      <x:c r="F425" s="14" t="str">
        <x:v>Suspect</x:v>
      </x:c>
      <x:c r="G425" s="14" t="str">
        <x:v>tt15510352</x:v>
      </x:c>
      <x:c r="H425" s="14" t="n">
        <x:v>2022</x:v>
      </x:c>
      <x:c r="I425" s="14" t="n">
        <x:v>2023</x:v>
      </x:c>
      <x:c r="J425" s="14" t="str">
        <x:v>Future Carry-Forward Cohort</x:v>
      </x:c>
      <x:c r="K425" s="14" t="n">
        <x:v>2022</x:v>
      </x:c>
      <x:c r="L425" s="14" t="str">
        <x:v>Not inherited</x:v>
      </x:c>
      <x:c r="M425" s="15" t="n">
        <x:v>22</x:v>
      </x:c>
      <x:c r="N425" s="14" t="str">
        <x:v>Patrick Jeffries</x:v>
      </x:c>
      <x:c r="O425" s="14" t="str">
        <x:v>nm12537568</x:v>
      </x:c>
      <x:c r="P425" s="14" t="str">
        <x:v>Security Guard</x:v>
      </x:c>
      <x:c r="Q425" s="15" t="n">
        <x:v>1</x:v>
      </x:c>
      <x:c r="R425" s="14" t="str">
        <x:v>2024</x:v>
      </x:c>
      <x:c r="S425" s="14" t="n">
        <x:v>2024</x:v>
      </x:c>
      <x:c r="T425" s="14" t="n">
        <x:v>2024</x:v>
      </x:c>
      <x:c r="U425" s="14" t="str">
        <x:v>Explicit source first year retained</x:v>
      </x:c>
      <x:c r="V425" s="14" t="str">
        <x:v>Earliest supplied year is 2024.</x:v>
      </x:c>
      <x:c r="W425" s="14"/>
      <x:c r="X425" s="14" t="str">
        <x:v>Carried forward to 2024</x:v>
      </x:c>
      <x:c r="Y425" s="14" t="str">
        <x:v>(credit only)</x:v>
      </x:c>
      <x:c r="Z425" s="14" t="str">
        <x:v>Suspect.docx</x:v>
      </x:c>
      <x:c r="AA425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Channel 4 / E4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HYPERLINK("https://en.wikipedia.org/wiki/Suspect","Open source")</x:f>
        <x:v>HYPERLINK is not implemented. linkLocation=https://en.wikipedia.org/wiki/Suspect, friendlyName=Open source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16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0.0625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tt15510352|nm16251992|barman</x:v>
      </x:c>
      <x:c r="B426" s="14" t="str">
        <x:v>05</x:v>
      </x:c>
      <x:c r="C426" s="14" t="str">
        <x:v>2022_IMDb_Cast_Lists_Batch_05(1).xlsx</x:v>
      </x:c>
      <x:c r="D426" s="14" t="str">
        <x:v>Suspect</x:v>
      </x:c>
      <x:c r="E426" s="14" t="n">
        <x:v>30</x:v>
      </x:c>
      <x:c r="F426" s="14" t="str">
        <x:v>Suspect</x:v>
      </x:c>
      <x:c r="G426" s="14" t="str">
        <x:v>tt15510352</x:v>
      </x:c>
      <x:c r="H426" s="14" t="n">
        <x:v>2022</x:v>
      </x:c>
      <x:c r="I426" s="14" t="n">
        <x:v>2023</x:v>
      </x:c>
      <x:c r="J426" s="14" t="str">
        <x:v>Future Carry-Forward Cohort</x:v>
      </x:c>
      <x:c r="K426" s="14" t="n">
        <x:v>2022</x:v>
      </x:c>
      <x:c r="L426" s="14" t="str">
        <x:v>Not inherited</x:v>
      </x:c>
      <x:c r="M426" s="15" t="n">
        <x:v>23</x:v>
      </x:c>
      <x:c r="N426" s="14" t="str">
        <x:v>Noël Baffoe Sergeant</x:v>
      </x:c>
      <x:c r="O426" s="14" t="str">
        <x:v>nm16251992</x:v>
      </x:c>
      <x:c r="P426" s="14" t="str">
        <x:v>Barman</x:v>
      </x:c>
      <x:c r="Q426" s="15" t="n">
        <x:v>1</x:v>
      </x:c>
      <x:c r="R426" s="14" t="str">
        <x:v>2024</x:v>
      </x:c>
      <x:c r="S426" s="14" t="n">
        <x:v>2024</x:v>
      </x:c>
      <x:c r="T426" s="14" t="n">
        <x:v>2024</x:v>
      </x:c>
      <x:c r="U426" s="14" t="str">
        <x:v>Explicit source first year retained</x:v>
      </x:c>
      <x:c r="V426" s="14" t="str">
        <x:v>Earliest supplied year is 2024.</x:v>
      </x:c>
      <x:c r="W426" s="14"/>
      <x:c r="X426" s="14" t="str">
        <x:v>Carried forward to 2024</x:v>
      </x:c>
      <x:c r="Y426" s="14"/>
      <x:c r="Z426" s="14" t="str">
        <x:v>Suspect.docx</x:v>
      </x:c>
      <x:c r="AA426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Channel 4 / E4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HYPERLINK("https://en.wikipedia.org/wiki/Suspect","Open source")</x:f>
        <x:v>HYPERLINK is not implemented. linkLocation=https://en.wikipedia.org/wiki/Suspect, friendlyName=Open source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16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0.0625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tt15510352|nm2307468|carter</x:v>
      </x:c>
      <x:c r="B427" s="14" t="str">
        <x:v>05</x:v>
      </x:c>
      <x:c r="C427" s="14" t="str">
        <x:v>2022_IMDb_Cast_Lists_Batch_05(1).xlsx</x:v>
      </x:c>
      <x:c r="D427" s="14" t="str">
        <x:v>Suspect</x:v>
      </x:c>
      <x:c r="E427" s="14" t="n">
        <x:v>31</x:v>
      </x:c>
      <x:c r="F427" s="14" t="str">
        <x:v>Suspect</x:v>
      </x:c>
      <x:c r="G427" s="14" t="str">
        <x:v>tt15510352</x:v>
      </x:c>
      <x:c r="H427" s="14" t="n">
        <x:v>2022</x:v>
      </x:c>
      <x:c r="I427" s="14" t="n">
        <x:v>2023</x:v>
      </x:c>
      <x:c r="J427" s="14" t="str">
        <x:v>Future Carry-Forward Cohort</x:v>
      </x:c>
      <x:c r="K427" s="14" t="n">
        <x:v>2022</x:v>
      </x:c>
      <x:c r="L427" s="14" t="str">
        <x:v>Not inherited</x:v>
      </x:c>
      <x:c r="M427" s="15" t="n">
        <x:v>24</x:v>
      </x:c>
      <x:c r="N427" s="14" t="str">
        <x:v>Ricky Champ</x:v>
      </x:c>
      <x:c r="O427" s="14" t="str">
        <x:v>nm2307468</x:v>
      </x:c>
      <x:c r="P427" s="14" t="str">
        <x:v>Carter</x:v>
      </x:c>
      <x:c r="Q427" s="15" t="n">
        <x:v>1</x:v>
      </x:c>
      <x:c r="R427" s="14" t="str">
        <x:v>2024</x:v>
      </x:c>
      <x:c r="S427" s="14" t="n">
        <x:v>2024</x:v>
      </x:c>
      <x:c r="T427" s="14" t="n">
        <x:v>2024</x:v>
      </x:c>
      <x:c r="U427" s="14" t="str">
        <x:v>Explicit source first year retained</x:v>
      </x:c>
      <x:c r="V427" s="14" t="str">
        <x:v>Earliest supplied year is 2024.</x:v>
      </x:c>
      <x:c r="W427" s="14"/>
      <x:c r="X427" s="14" t="str">
        <x:v>Carried forward to 2024</x:v>
      </x:c>
      <x:c r="Y427" s="14"/>
      <x:c r="Z427" s="14" t="str">
        <x:v>Suspect.docx</x:v>
      </x:c>
      <x:c r="AA42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Channel 4 / E4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HYPERLINK("https://en.wikipedia.org/wiki/Suspect","Open source")</x:f>
        <x:v>HYPERLINK is not implemented. linkLocation=https://en.wikipedia.org/wiki/Suspect, friendlyName=Open source</x:v>
      </x:c>
      <x:c r="AN427" s="14" t="str">
        <x:v>No qualifying BBC relationship</x:v>
      </x:c>
      <x:c r="AO427" s="14" t="str">
        <x:v>No</x:v>
      </x:c>
      <x:c r="AP427" s="14" t="str">
        <x:v>Out of scope</x:v>
      </x:c>
      <x:c r="AQ427" s="14" t="str">
        <x:v>No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16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1</x:v>
      </x:c>
      <x:c r="BS427" s="16" t="n">
        <x:v>0.0625</x:v>
      </x:c>
      <x:c r="BT427" s="14" t="str">
        <x:v>One episode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tt15510352|nm3454934|receptionist (policy academy)</x:v>
      </x:c>
      <x:c r="B428" s="14" t="str">
        <x:v>05</x:v>
      </x:c>
      <x:c r="C428" s="14" t="str">
        <x:v>2022_IMDb_Cast_Lists_Batch_05(1).xlsx</x:v>
      </x:c>
      <x:c r="D428" s="14" t="str">
        <x:v>Suspect</x:v>
      </x:c>
      <x:c r="E428" s="14" t="n">
        <x:v>32</x:v>
      </x:c>
      <x:c r="F428" s="14" t="str">
        <x:v>Suspect</x:v>
      </x:c>
      <x:c r="G428" s="14" t="str">
        <x:v>tt15510352</x:v>
      </x:c>
      <x:c r="H428" s="14" t="n">
        <x:v>2022</x:v>
      </x:c>
      <x:c r="I428" s="14" t="n">
        <x:v>2023</x:v>
      </x:c>
      <x:c r="J428" s="14" t="str">
        <x:v>Future Carry-Forward Cohort</x:v>
      </x:c>
      <x:c r="K428" s="14" t="n">
        <x:v>2022</x:v>
      </x:c>
      <x:c r="L428" s="14" t="str">
        <x:v>Not inherited</x:v>
      </x:c>
      <x:c r="M428" s="15" t="n">
        <x:v>25</x:v>
      </x:c>
      <x:c r="N428" s="14" t="str">
        <x:v>Moora Vander Veken</x:v>
      </x:c>
      <x:c r="O428" s="14" t="str">
        <x:v>nm3454934</x:v>
      </x:c>
      <x:c r="P428" s="14" t="str">
        <x:v>Receptionist (Policy Academy)</x:v>
      </x:c>
      <x:c r="Q428" s="15" t="n">
        <x:v>1</x:v>
      </x:c>
      <x:c r="R428" s="14" t="str">
        <x:v>2024</x:v>
      </x:c>
      <x:c r="S428" s="14" t="n">
        <x:v>2024</x:v>
      </x:c>
      <x:c r="T428" s="14" t="n">
        <x:v>2024</x:v>
      </x:c>
      <x:c r="U428" s="14" t="str">
        <x:v>Explicit source first year retained</x:v>
      </x:c>
      <x:c r="V428" s="14" t="str">
        <x:v>Earliest supplied year is 2024.</x:v>
      </x:c>
      <x:c r="W428" s="14"/>
      <x:c r="X428" s="14" t="str">
        <x:v>Carried forward to 2024</x:v>
      </x:c>
      <x:c r="Y428" s="14"/>
      <x:c r="Z428" s="14" t="str">
        <x:v>Suspect.docx</x:v>
      </x:c>
      <x:c r="AA42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Channel 4 / E4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HYPERLINK("https://en.wikipedia.org/wiki/Suspect","Open source")</x:f>
        <x:v>HYPERLINK is not implemented. linkLocation=https://en.wikipedia.org/wiki/Suspect, friendlyName=Open source</x:v>
      </x:c>
      <x:c r="AN428" s="14" t="str">
        <x:v>No qualifying BBC relationship</x:v>
      </x:c>
      <x:c r="AO428" s="14" t="str">
        <x:v>No</x:v>
      </x:c>
      <x:c r="AP428" s="14" t="str">
        <x:v>Out of scope</x:v>
      </x:c>
      <x:c r="AQ428" s="14" t="str">
        <x:v>No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16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1</x:v>
      </x:c>
      <x:c r="BS428" s="16" t="n">
        <x:v>0.0625</x:v>
      </x:c>
      <x:c r="BT428" s="14" t="str">
        <x:v>One episode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tt15510352|nm1986581|clive</x:v>
      </x:c>
      <x:c r="B429" s="14" t="str">
        <x:v>05</x:v>
      </x:c>
      <x:c r="C429" s="14" t="str">
        <x:v>2022_IMDb_Cast_Lists_Batch_05(1).xlsx</x:v>
      </x:c>
      <x:c r="D429" s="14" t="str">
        <x:v>Suspect</x:v>
      </x:c>
      <x:c r="E429" s="14" t="n">
        <x:v>33</x:v>
      </x:c>
      <x:c r="F429" s="14" t="str">
        <x:v>Suspect</x:v>
      </x:c>
      <x:c r="G429" s="14" t="str">
        <x:v>tt15510352</x:v>
      </x:c>
      <x:c r="H429" s="14" t="n">
        <x:v>2022</x:v>
      </x:c>
      <x:c r="I429" s="14" t="n">
        <x:v>2023</x:v>
      </x:c>
      <x:c r="J429" s="14" t="str">
        <x:v>Future Carry-Forward Cohort</x:v>
      </x:c>
      <x:c r="K429" s="14" t="n">
        <x:v>2022</x:v>
      </x:c>
      <x:c r="L429" s="14" t="str">
        <x:v>Not inherited</x:v>
      </x:c>
      <x:c r="M429" s="15" t="n">
        <x:v>26</x:v>
      </x:c>
      <x:c r="N429" s="14" t="str">
        <x:v>Liam Smith</x:v>
      </x:c>
      <x:c r="O429" s="14" t="str">
        <x:v>nm1986581</x:v>
      </x:c>
      <x:c r="P429" s="14" t="str">
        <x:v>Clive</x:v>
      </x:c>
      <x:c r="Q429" s="15" t="n">
        <x:v>1</x:v>
      </x:c>
      <x:c r="R429" s="14" t="str">
        <x:v>2024</x:v>
      </x:c>
      <x:c r="S429" s="14" t="n">
        <x:v>2024</x:v>
      </x:c>
      <x:c r="T429" s="14" t="n">
        <x:v>2024</x:v>
      </x:c>
      <x:c r="U429" s="14" t="str">
        <x:v>Explicit source first year retained</x:v>
      </x:c>
      <x:c r="V429" s="14" t="str">
        <x:v>Earliest supplied year is 2024.</x:v>
      </x:c>
      <x:c r="W429" s="14"/>
      <x:c r="X429" s="14" t="str">
        <x:v>Carried forward to 2024</x:v>
      </x:c>
      <x:c r="Y429" s="14"/>
      <x:c r="Z429" s="14" t="str">
        <x:v>Suspect.docx</x:v>
      </x:c>
      <x:c r="AA42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Channel 4 / E4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HYPERLINK("https://en.wikipedia.org/wiki/Suspect","Open source")</x:f>
        <x:v>HYPERLINK is not implemented. linkLocation=https://en.wikipedia.org/wiki/Suspect, friendlyName=Open source</x:v>
      </x:c>
      <x:c r="AN429" s="14" t="str">
        <x:v>No qualifying BBC relationship</x:v>
      </x:c>
      <x:c r="AO429" s="14" t="str">
        <x:v>No</x:v>
      </x:c>
      <x:c r="AP429" s="14" t="str">
        <x:v>Out of scope</x:v>
      </x:c>
      <x:c r="AQ429" s="14" t="str">
        <x:v>No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16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1</x:v>
      </x:c>
      <x:c r="BS429" s="16" t="n">
        <x:v>0.0625</x:v>
      </x:c>
      <x:c r="BT429" s="14" t="str">
        <x:v>One episode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tt15510352|nm5178235|escort</x:v>
      </x:c>
      <x:c r="B430" s="14" t="str">
        <x:v>05</x:v>
      </x:c>
      <x:c r="C430" s="14" t="str">
        <x:v>2022_IMDb_Cast_Lists_Batch_05(1).xlsx</x:v>
      </x:c>
      <x:c r="D430" s="14" t="str">
        <x:v>Suspect</x:v>
      </x:c>
      <x:c r="E430" s="14" t="n">
        <x:v>34</x:v>
      </x:c>
      <x:c r="F430" s="14" t="str">
        <x:v>Suspect</x:v>
      </x:c>
      <x:c r="G430" s="14" t="str">
        <x:v>tt15510352</x:v>
      </x:c>
      <x:c r="H430" s="14" t="n">
        <x:v>2022</x:v>
      </x:c>
      <x:c r="I430" s="14" t="n">
        <x:v>2023</x:v>
      </x:c>
      <x:c r="J430" s="14" t="str">
        <x:v>Future Carry-Forward Cohort</x:v>
      </x:c>
      <x:c r="K430" s="14" t="n">
        <x:v>2022</x:v>
      </x:c>
      <x:c r="L430" s="14" t="str">
        <x:v>Not inherited</x:v>
      </x:c>
      <x:c r="M430" s="15" t="n">
        <x:v>27</x:v>
      </x:c>
      <x:c r="N430" s="14" t="str">
        <x:v>Kamilla Steczkowska</x:v>
      </x:c>
      <x:c r="O430" s="14" t="str">
        <x:v>nm5178235</x:v>
      </x:c>
      <x:c r="P430" s="14" t="str">
        <x:v>Escort</x:v>
      </x:c>
      <x:c r="Q430" s="15" t="n">
        <x:v>1</x:v>
      </x:c>
      <x:c r="R430" s="14" t="str">
        <x:v>2024</x:v>
      </x:c>
      <x:c r="S430" s="14" t="n">
        <x:v>2024</x:v>
      </x:c>
      <x:c r="T430" s="14" t="n">
        <x:v>2024</x:v>
      </x:c>
      <x:c r="U430" s="14" t="str">
        <x:v>Explicit source first year retained</x:v>
      </x:c>
      <x:c r="V430" s="14" t="str">
        <x:v>Earliest supplied year is 2024.</x:v>
      </x:c>
      <x:c r="W430" s="14"/>
      <x:c r="X430" s="14" t="str">
        <x:v>Carried forward to 2024</x:v>
      </x:c>
      <x:c r="Y430" s="14"/>
      <x:c r="Z430" s="14" t="str">
        <x:v>Suspect.docx</x:v>
      </x:c>
      <x:c r="AA43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Channel 4 / E4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HYPERLINK("https://en.wikipedia.org/wiki/Suspect","Open source")</x:f>
        <x:v>HYPERLINK is not implemented. linkLocation=https://en.wikipedia.org/wiki/Suspect, friendlyName=Open source</x:v>
      </x:c>
      <x:c r="AN430" s="14" t="str">
        <x:v>No qualifying BBC relationship</x:v>
      </x:c>
      <x:c r="AO430" s="14" t="str">
        <x:v>No</x:v>
      </x:c>
      <x:c r="AP430" s="14" t="str">
        <x:v>Out of scope</x:v>
      </x:c>
      <x:c r="AQ430" s="14" t="str">
        <x:v>No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16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1</x:v>
      </x:c>
      <x:c r="BS430" s="16" t="n">
        <x:v>0.0625</x:v>
      </x:c>
      <x:c r="BT430" s="14" t="str">
        <x:v>One episode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tt15510352|nm0925274|speaker</x:v>
      </x:c>
      <x:c r="B431" s="14" t="str">
        <x:v>05</x:v>
      </x:c>
      <x:c r="C431" s="14" t="str">
        <x:v>2022_IMDb_Cast_Lists_Batch_05(1).xlsx</x:v>
      </x:c>
      <x:c r="D431" s="14" t="str">
        <x:v>Suspect</x:v>
      </x:c>
      <x:c r="E431" s="14" t="n">
        <x:v>35</x:v>
      </x:c>
      <x:c r="F431" s="14" t="str">
        <x:v>Suspect</x:v>
      </x:c>
      <x:c r="G431" s="14" t="str">
        <x:v>tt15510352</x:v>
      </x:c>
      <x:c r="H431" s="14" t="n">
        <x:v>2022</x:v>
      </x:c>
      <x:c r="I431" s="14" t="n">
        <x:v>2023</x:v>
      </x:c>
      <x:c r="J431" s="14" t="str">
        <x:v>Future Carry-Forward Cohort</x:v>
      </x:c>
      <x:c r="K431" s="14" t="n">
        <x:v>2022</x:v>
      </x:c>
      <x:c r="L431" s="14" t="str">
        <x:v>Not inherited</x:v>
      </x:c>
      <x:c r="M431" s="15" t="n">
        <x:v>28</x:v>
      </x:c>
      <x:c r="N431" s="14" t="str">
        <x:v>Noel White</x:v>
      </x:c>
      <x:c r="O431" s="14" t="str">
        <x:v>nm0925274</x:v>
      </x:c>
      <x:c r="P431" s="14" t="str">
        <x:v>Speaker</x:v>
      </x:c>
      <x:c r="Q431" s="15" t="n">
        <x:v>1</x:v>
      </x:c>
      <x:c r="R431" s="14" t="str">
        <x:v>2024</x:v>
      </x:c>
      <x:c r="S431" s="14" t="n">
        <x:v>2024</x:v>
      </x:c>
      <x:c r="T431" s="14" t="n">
        <x:v>2024</x:v>
      </x:c>
      <x:c r="U431" s="14" t="str">
        <x:v>Explicit source first year retained</x:v>
      </x:c>
      <x:c r="V431" s="14" t="str">
        <x:v>Earliest supplied year is 2024.</x:v>
      </x:c>
      <x:c r="W431" s="14"/>
      <x:c r="X431" s="14" t="str">
        <x:v>Carried forward to 2024</x:v>
      </x:c>
      <x:c r="Y431" s="14"/>
      <x:c r="Z431" s="14" t="str">
        <x:v>Suspect.docx</x:v>
      </x:c>
      <x:c r="AA43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Channel 4 / E4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HYPERLINK("https://en.wikipedia.org/wiki/Suspect","Open source")</x:f>
        <x:v>HYPERLINK is not implemented. linkLocation=https://en.wikipedia.org/wiki/Suspect, friendlyName=Open source</x:v>
      </x:c>
      <x:c r="AN431" s="14" t="str">
        <x:v>No qualifying BBC relationship</x:v>
      </x:c>
      <x:c r="AO431" s="14" t="str">
        <x:v>No</x:v>
      </x:c>
      <x:c r="AP431" s="14" t="str">
        <x:v>Out of scope</x:v>
      </x:c>
      <x:c r="AQ431" s="14" t="str">
        <x:v>No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16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1</x:v>
      </x:c>
      <x:c r="BS431" s="16" t="n">
        <x:v>0.0625</x:v>
      </x:c>
      <x:c r="BT431" s="14" t="str">
        <x:v>One episode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tt15510352|nm9794343|armed mercenary</x:v>
      </x:c>
      <x:c r="B432" s="14" t="str">
        <x:v>05</x:v>
      </x:c>
      <x:c r="C432" s="14" t="str">
        <x:v>2022_IMDb_Cast_Lists_Batch_05(1).xlsx</x:v>
      </x:c>
      <x:c r="D432" s="14" t="str">
        <x:v>Suspect</x:v>
      </x:c>
      <x:c r="E432" s="14" t="n">
        <x:v>44</x:v>
      </x:c>
      <x:c r="F432" s="14" t="str">
        <x:v>Suspect</x:v>
      </x:c>
      <x:c r="G432" s="14" t="str">
        <x:v>tt15510352</x:v>
      </x:c>
      <x:c r="H432" s="14" t="n">
        <x:v>2022</x:v>
      </x:c>
      <x:c r="I432" s="14" t="n">
        <x:v>2023</x:v>
      </x:c>
      <x:c r="J432" s="14" t="str">
        <x:v>Future Carry-Forward Cohort</x:v>
      </x:c>
      <x:c r="K432" s="14" t="n">
        <x:v>2022</x:v>
      </x:c>
      <x:c r="L432" s="14" t="str">
        <x:v>Not inherited</x:v>
      </x:c>
      <x:c r="M432" s="15" t="n">
        <x:v>37</x:v>
      </x:c>
      <x:c r="N432" s="14" t="str">
        <x:v>Alex Mason</x:v>
      </x:c>
      <x:c r="O432" s="14" t="str">
        <x:v>nm9794343</x:v>
      </x:c>
      <x:c r="P432" s="14" t="str">
        <x:v>Armed Mercenary</x:v>
      </x:c>
      <x:c r="Q432" s="15" t="n">
        <x:v>1</x:v>
      </x:c>
      <x:c r="R432" s="14" t="str">
        <x:v>2024</x:v>
      </x:c>
      <x:c r="S432" s="14" t="n">
        <x:v>2024</x:v>
      </x:c>
      <x:c r="T432" s="14" t="n">
        <x:v>2024</x:v>
      </x:c>
      <x:c r="U432" s="14" t="str">
        <x:v>Explicit source first year retained</x:v>
      </x:c>
      <x:c r="V432" s="14" t="str">
        <x:v>Earliest supplied year is 2024.</x:v>
      </x:c>
      <x:c r="W432" s="14"/>
      <x:c r="X432" s="14" t="str">
        <x:v>Carried forward to 2024</x:v>
      </x:c>
      <x:c r="Y432" s="14"/>
      <x:c r="Z432" s="14" t="str">
        <x:v>Suspect.docx</x:v>
      </x:c>
      <x:c r="AA43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Channel 4 / E4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HYPERLINK("https://en.wikipedia.org/wiki/Suspect","Open source")</x:f>
        <x:v>HYPERLINK is not implemented. linkLocation=https://en.wikipedia.org/wiki/Suspect, friendlyName=Open source</x:v>
      </x:c>
      <x:c r="AN432" s="14" t="str">
        <x:v>No qualifying BBC relationship</x:v>
      </x:c>
      <x:c r="AO432" s="14" t="str">
        <x:v>No</x:v>
      </x:c>
      <x:c r="AP432" s="14" t="str">
        <x:v>Out of scope</x:v>
      </x:c>
      <x:c r="AQ432" s="14" t="str">
        <x:v>No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16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0.0625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tt15768158|nm8013437|ella</x:v>
      </x:c>
      <x:c r="B433" s="14" t="str">
        <x:v>05</x:v>
      </x:c>
      <x:c r="C433" s="14" t="str">
        <x:v>2022_IMDb_Cast_Lists_Batch_05(1).xlsx</x:v>
      </x:c>
      <x:c r="D433" s="14" t="str">
        <x:v>Tell Me Everything</x:v>
      </x:c>
      <x:c r="E433" s="14" t="n">
        <x:v>12</x:v>
      </x:c>
      <x:c r="F433" s="14" t="str">
        <x:v>Tell Me Everything</x:v>
      </x:c>
      <x:c r="G433" s="14" t="str">
        <x:v>tt15768158</x:v>
      </x:c>
      <x:c r="H433" s="14" t="n">
        <x:v>2022</x:v>
      </x:c>
      <x:c r="I433" s="14" t="n">
        <x:v>2023</x:v>
      </x:c>
      <x:c r="J433" s="14" t="str">
        <x:v>Future Carry-Forward Cohort</x:v>
      </x:c>
      <x:c r="K433" s="14" t="n">
        <x:v>2022</x:v>
      </x:c>
      <x:c r="L433" s="14" t="str">
        <x:v>Not inherited</x:v>
      </x:c>
      <x:c r="M433" s="15" t="n">
        <x:v>5</x:v>
      </x:c>
      <x:c r="N433" s="14" t="str">
        <x:v>Sophie Ablett</x:v>
      </x:c>
      <x:c r="O433" s="14" t="str">
        <x:v>nm8013437</x:v>
      </x:c>
      <x:c r="P433" s="14" t="str">
        <x:v>Ella</x:v>
      </x:c>
      <x:c r="Q433" s="15" t="n">
        <x:v>6</x:v>
      </x:c>
      <x:c r="R433" s="14" t="str">
        <x:v>2024</x:v>
      </x:c>
      <x:c r="S433" s="14" t="n">
        <x:v>2024</x:v>
      </x:c>
      <x:c r="T433" s="14" t="n">
        <x:v>2024</x:v>
      </x:c>
      <x:c r="U433" s="14" t="str">
        <x:v>Explicit source first year retained</x:v>
      </x:c>
      <x:c r="V433" s="14" t="str">
        <x:v>Earliest supplied year is 2024.</x:v>
      </x:c>
      <x:c r="W433" s="14"/>
      <x:c r="X433" s="14" t="str">
        <x:v>Carried forward to 2024</x:v>
      </x:c>
      <x:c r="Y433" s="14"/>
      <x:c r="Z433" s="14" t="str">
        <x:v>Tell Me Everything.docx</x:v>
      </x:c>
      <x:c r="AA43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ITV / ITVX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HYPERLINK("https://en.wikipedia.org/wiki/Tell_Me_Everything","Open source")</x:f>
        <x:v>HYPERLINK is not implemented. linkLocation=https://en.wikipedia.org/wiki/Tell_Me_Everything, friendlyName=Open source</x:v>
      </x:c>
      <x:c r="AN433" s="14" t="str">
        <x:v>No qualifying BBC relationship</x:v>
      </x:c>
      <x:c r="AO433" s="14" t="str">
        <x:v>No</x:v>
      </x:c>
      <x:c r="AP433" s="14" t="str">
        <x:v>Out of scope</x:v>
      </x:c>
      <x:c r="AQ433" s="14" t="str">
        <x:v>No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12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6</x:v>
      </x:c>
      <x:c r="BS433" s="16" t="n">
        <x:v>0.5</x:v>
      </x:c>
      <x:c r="BT433" s="14" t="str">
        <x:v>Minority of episodes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tt15768158|nm11669302|dylan</x:v>
      </x:c>
      <x:c r="B434" s="14" t="str">
        <x:v>05</x:v>
      </x:c>
      <x:c r="C434" s="14" t="str">
        <x:v>2022_IMDb_Cast_Lists_Batch_05(1).xlsx</x:v>
      </x:c>
      <x:c r="D434" s="14" t="str">
        <x:v>Tell Me Everything</x:v>
      </x:c>
      <x:c r="E434" s="14" t="n">
        <x:v>14</x:v>
      </x:c>
      <x:c r="F434" s="14" t="str">
        <x:v>Tell Me Everything</x:v>
      </x:c>
      <x:c r="G434" s="14" t="str">
        <x:v>tt15768158</x:v>
      </x:c>
      <x:c r="H434" s="14" t="n">
        <x:v>2022</x:v>
      </x:c>
      <x:c r="I434" s="14" t="n">
        <x:v>2023</x:v>
      </x:c>
      <x:c r="J434" s="14" t="str">
        <x:v>Future Carry-Forward Cohort</x:v>
      </x:c>
      <x:c r="K434" s="14" t="n">
        <x:v>2022</x:v>
      </x:c>
      <x:c r="L434" s="14" t="str">
        <x:v>Not inherited</x:v>
      </x:c>
      <x:c r="M434" s="15" t="n">
        <x:v>7</x:v>
      </x:c>
      <x:c r="N434" s="14" t="str">
        <x:v>George Hawkins</x:v>
      </x:c>
      <x:c r="O434" s="14" t="str">
        <x:v>nm11669302</x:v>
      </x:c>
      <x:c r="P434" s="14" t="str">
        <x:v>Dylan</x:v>
      </x:c>
      <x:c r="Q434" s="15" t="n">
        <x:v>6</x:v>
      </x:c>
      <x:c r="R434" s="14" t="str">
        <x:v>2024</x:v>
      </x:c>
      <x:c r="S434" s="14" t="n">
        <x:v>2024</x:v>
      </x:c>
      <x:c r="T434" s="14" t="n">
        <x:v>2024</x:v>
      </x:c>
      <x:c r="U434" s="14" t="str">
        <x:v>Explicit source first year retained</x:v>
      </x:c>
      <x:c r="V434" s="14" t="str">
        <x:v>Earliest supplied year is 2024.</x:v>
      </x:c>
      <x:c r="W434" s="14"/>
      <x:c r="X434" s="14" t="str">
        <x:v>Carried forward to 2024</x:v>
      </x:c>
      <x:c r="Y434" s="14"/>
      <x:c r="Z434" s="14" t="str">
        <x:v>Tell Me Everything.docx</x:v>
      </x:c>
      <x:c r="AA43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ITV / ITVX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HYPERLINK("https://en.wikipedia.org/wiki/Tell_Me_Everything","Open source")</x:f>
        <x:v>HYPERLINK is not implemented. linkLocation=https://en.wikipedia.org/wiki/Tell_Me_Everything, friendlyName=Open source</x:v>
      </x:c>
      <x:c r="AN434" s="14" t="str">
        <x:v>No qualifying BBC relationship</x:v>
      </x:c>
      <x:c r="AO434" s="14" t="str">
        <x:v>No</x:v>
      </x:c>
      <x:c r="AP434" s="14" t="str">
        <x:v>Out of scope</x:v>
      </x:c>
      <x:c r="AQ434" s="14" t="str">
        <x:v>No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12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6</x:v>
      </x:c>
      <x:c r="BS434" s="16" t="n">
        <x:v>0.5</x:v>
      </x:c>
      <x:c r="BT434" s="14" t="str">
        <x:v>Minority of episodes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tt15768158|nm7276748|bex</x:v>
      </x:c>
      <x:c r="B435" s="14" t="str">
        <x:v>05</x:v>
      </x:c>
      <x:c r="C435" s="14" t="str">
        <x:v>2022_IMDb_Cast_Lists_Batch_05(1).xlsx</x:v>
      </x:c>
      <x:c r="D435" s="14" t="str">
        <x:v>Tell Me Everything</x:v>
      </x:c>
      <x:c r="E435" s="14" t="n">
        <x:v>15</x:v>
      </x:c>
      <x:c r="F435" s="14" t="str">
        <x:v>Tell Me Everything</x:v>
      </x:c>
      <x:c r="G435" s="14" t="str">
        <x:v>tt15768158</x:v>
      </x:c>
      <x:c r="H435" s="14" t="n">
        <x:v>2022</x:v>
      </x:c>
      <x:c r="I435" s="14" t="n">
        <x:v>2023</x:v>
      </x:c>
      <x:c r="J435" s="14" t="str">
        <x:v>Future Carry-Forward Cohort</x:v>
      </x:c>
      <x:c r="K435" s="14" t="n">
        <x:v>2022</x:v>
      </x:c>
      <x:c r="L435" s="14" t="str">
        <x:v>Not inherited</x:v>
      </x:c>
      <x:c r="M435" s="15" t="n">
        <x:v>8</x:v>
      </x:c>
      <x:c r="N435" s="14" t="str">
        <x:v>Daisy Jacob</x:v>
      </x:c>
      <x:c r="O435" s="14" t="str">
        <x:v>nm7276748</x:v>
      </x:c>
      <x:c r="P435" s="14" t="str">
        <x:v>Bex</x:v>
      </x:c>
      <x:c r="Q435" s="15" t="n">
        <x:v>6</x:v>
      </x:c>
      <x:c r="R435" s="14" t="str">
        <x:v>2024</x:v>
      </x:c>
      <x:c r="S435" s="14" t="n">
        <x:v>2024</x:v>
      </x:c>
      <x:c r="T435" s="14" t="n">
        <x:v>2024</x:v>
      </x:c>
      <x:c r="U435" s="14" t="str">
        <x:v>Explicit source first year retained</x:v>
      </x:c>
      <x:c r="V435" s="14" t="str">
        <x:v>Earliest supplied year is 2024.</x:v>
      </x:c>
      <x:c r="W435" s="14"/>
      <x:c r="X435" s="14" t="str">
        <x:v>Carried forward to 2024</x:v>
      </x:c>
      <x:c r="Y435" s="14"/>
      <x:c r="Z435" s="14" t="str">
        <x:v>Tell Me Everything.docx</x:v>
      </x:c>
      <x:c r="AA43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ITV / ITVX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HYPERLINK("https://en.wikipedia.org/wiki/Tell_Me_Everything","Open source")</x:f>
        <x:v>HYPERLINK is not implemented. linkLocation=https://en.wikipedia.org/wiki/Tell_Me_Everything, friendlyName=Open source</x:v>
      </x:c>
      <x:c r="AN435" s="14" t="str">
        <x:v>No qualifying BBC relationship</x:v>
      </x:c>
      <x:c r="AO435" s="14" t="str">
        <x:v>No</x:v>
      </x:c>
      <x:c r="AP435" s="14" t="str">
        <x:v>Out of scope</x:v>
      </x:c>
      <x:c r="AQ435" s="14" t="str">
        <x:v>No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12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6</x:v>
      </x:c>
      <x:c r="BS435" s="16" t="n">
        <x:v>0.5</x:v>
      </x:c>
      <x:c r="BT435" s="14" t="str">
        <x:v>Minority of episodes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tt15768158|nm10826497|josh</x:v>
      </x:c>
      <x:c r="B436" s="14" t="str">
        <x:v>05</x:v>
      </x:c>
      <x:c r="C436" s="14" t="str">
        <x:v>2022_IMDb_Cast_Lists_Batch_05(1).xlsx</x:v>
      </x:c>
      <x:c r="D436" s="14" t="str">
        <x:v>Tell Me Everything</x:v>
      </x:c>
      <x:c r="E436" s="14" t="n">
        <x:v>17</x:v>
      </x:c>
      <x:c r="F436" s="14" t="str">
        <x:v>Tell Me Everything</x:v>
      </x:c>
      <x:c r="G436" s="14" t="str">
        <x:v>tt15768158</x:v>
      </x:c>
      <x:c r="H436" s="14" t="n">
        <x:v>2022</x:v>
      </x:c>
      <x:c r="I436" s="14" t="n">
        <x:v>2023</x:v>
      </x:c>
      <x:c r="J436" s="14" t="str">
        <x:v>Future Carry-Forward Cohort</x:v>
      </x:c>
      <x:c r="K436" s="14" t="n">
        <x:v>2022</x:v>
      </x:c>
      <x:c r="L436" s="14" t="str">
        <x:v>Not inherited</x:v>
      </x:c>
      <x:c r="M436" s="15" t="n">
        <x:v>10</x:v>
      </x:c>
      <x:c r="N436" s="14" t="str">
        <x:v>Levi Mattey</x:v>
      </x:c>
      <x:c r="O436" s="14" t="str">
        <x:v>nm10826497</x:v>
      </x:c>
      <x:c r="P436" s="14" t="str">
        <x:v>Josh</x:v>
      </x:c>
      <x:c r="Q436" s="15" t="n">
        <x:v>6</x:v>
      </x:c>
      <x:c r="R436" s="14" t="str">
        <x:v>2024</x:v>
      </x:c>
      <x:c r="S436" s="14" t="n">
        <x:v>2024</x:v>
      </x:c>
      <x:c r="T436" s="14" t="n">
        <x:v>2024</x:v>
      </x:c>
      <x:c r="U436" s="14" t="str">
        <x:v>Explicit source first year retained</x:v>
      </x:c>
      <x:c r="V436" s="14" t="str">
        <x:v>Earliest supplied year is 2024.</x:v>
      </x:c>
      <x:c r="W436" s="14"/>
      <x:c r="X436" s="14" t="str">
        <x:v>Carried forward to 2024</x:v>
      </x:c>
      <x:c r="Y436" s="14"/>
      <x:c r="Z436" s="14" t="str">
        <x:v>Tell Me Everything.docx</x:v>
      </x:c>
      <x:c r="AA43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ITV / ITVX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HYPERLINK("https://en.wikipedia.org/wiki/Tell_Me_Everything","Open source")</x:f>
        <x:v>HYPERLINK is not implemented. linkLocation=https://en.wikipedia.org/wiki/Tell_Me_Everything, friendlyName=Open source</x:v>
      </x:c>
      <x:c r="AN436" s="14" t="str">
        <x:v>No qualifying BBC relationship</x:v>
      </x:c>
      <x:c r="AO436" s="14" t="str">
        <x:v>No</x:v>
      </x:c>
      <x:c r="AP436" s="14" t="str">
        <x:v>Out of scope</x:v>
      </x:c>
      <x:c r="AQ436" s="14" t="str">
        <x:v>No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12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6</x:v>
      </x:c>
      <x:c r="BS436" s="16" t="n">
        <x:v>0.5</x:v>
      </x:c>
      <x:c r="BT436" s="14" t="str">
        <x:v>Minority of episodes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tt15768158|nm5649125|naisha</x:v>
      </x:c>
      <x:c r="B437" s="14" t="str">
        <x:v>05</x:v>
      </x:c>
      <x:c r="C437" s="14" t="str">
        <x:v>2022_IMDb_Cast_Lists_Batch_05(1).xlsx</x:v>
      </x:c>
      <x:c r="D437" s="14" t="str">
        <x:v>Tell Me Everything</x:v>
      </x:c>
      <x:c r="E437" s="14" t="n">
        <x:v>18</x:v>
      </x:c>
      <x:c r="F437" s="14" t="str">
        <x:v>Tell Me Everything</x:v>
      </x:c>
      <x:c r="G437" s="14" t="str">
        <x:v>tt15768158</x:v>
      </x:c>
      <x:c r="H437" s="14" t="n">
        <x:v>2022</x:v>
      </x:c>
      <x:c r="I437" s="14" t="n">
        <x:v>2023</x:v>
      </x:c>
      <x:c r="J437" s="14" t="str">
        <x:v>Future Carry-Forward Cohort</x:v>
      </x:c>
      <x:c r="K437" s="14" t="n">
        <x:v>2022</x:v>
      </x:c>
      <x:c r="L437" s="14" t="str">
        <x:v>Not inherited</x:v>
      </x:c>
      <x:c r="M437" s="15" t="n">
        <x:v>11</x:v>
      </x:c>
      <x:c r="N437" s="14" t="str">
        <x:v>Nethra Tilakumara</x:v>
      </x:c>
      <x:c r="O437" s="14" t="str">
        <x:v>nm5649125</x:v>
      </x:c>
      <x:c r="P437" s="14" t="str">
        <x:v>Naisha</x:v>
      </x:c>
      <x:c r="Q437" s="15" t="n">
        <x:v>6</x:v>
      </x:c>
      <x:c r="R437" s="14" t="str">
        <x:v>2024</x:v>
      </x:c>
      <x:c r="S437" s="14" t="n">
        <x:v>2024</x:v>
      </x:c>
      <x:c r="T437" s="14" t="n">
        <x:v>2024</x:v>
      </x:c>
      <x:c r="U437" s="14" t="str">
        <x:v>Explicit source first year retained</x:v>
      </x:c>
      <x:c r="V437" s="14" t="str">
        <x:v>Earliest supplied year is 2024.</x:v>
      </x:c>
      <x:c r="W437" s="14"/>
      <x:c r="X437" s="14" t="str">
        <x:v>Carried forward to 2024</x:v>
      </x:c>
      <x:c r="Y437" s="14"/>
      <x:c r="Z437" s="14" t="str">
        <x:v>Tell Me Everything.docx</x:v>
      </x:c>
      <x:c r="AA43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ITV / ITVX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HYPERLINK("https://en.wikipedia.org/wiki/Tell_Me_Everything","Open source")</x:f>
        <x:v>HYPERLINK is not implemented. linkLocation=https://en.wikipedia.org/wiki/Tell_Me_Everything, friendlyName=Open source</x:v>
      </x:c>
      <x:c r="AN437" s="14" t="str">
        <x:v>No qualifying BBC relationship</x:v>
      </x:c>
      <x:c r="AO437" s="14" t="str">
        <x:v>No</x:v>
      </x:c>
      <x:c r="AP437" s="14" t="str">
        <x:v>Out of scope</x:v>
      </x:c>
      <x:c r="AQ437" s="14" t="str">
        <x:v>No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12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6</x:v>
      </x:c>
      <x:c r="BS437" s="16" t="n">
        <x:v>0.5</x:v>
      </x:c>
      <x:c r="BT437" s="14" t="str">
        <x:v>Minority of episodes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tt15768158|nm0427550|mr. keaton</x:v>
      </x:c>
      <x:c r="B438" s="14" t="str">
        <x:v>05</x:v>
      </x:c>
      <x:c r="C438" s="14" t="str">
        <x:v>2022_IMDb_Cast_Lists_Batch_05(1).xlsx</x:v>
      </x:c>
      <x:c r="D438" s="14" t="str">
        <x:v>Tell Me Everything</x:v>
      </x:c>
      <x:c r="E438" s="14" t="n">
        <x:v>19</x:v>
      </x:c>
      <x:c r="F438" s="14" t="str">
        <x:v>Tell Me Everything</x:v>
      </x:c>
      <x:c r="G438" s="14" t="str">
        <x:v>tt15768158</x:v>
      </x:c>
      <x:c r="H438" s="14" t="n">
        <x:v>2022</x:v>
      </x:c>
      <x:c r="I438" s="14" t="n">
        <x:v>2023</x:v>
      </x:c>
      <x:c r="J438" s="14" t="str">
        <x:v>Future Carry-Forward Cohort</x:v>
      </x:c>
      <x:c r="K438" s="14" t="n">
        <x:v>2022</x:v>
      </x:c>
      <x:c r="L438" s="14" t="str">
        <x:v>Not inherited</x:v>
      </x:c>
      <x:c r="M438" s="15" t="n">
        <x:v>12</x:v>
      </x:c>
      <x:c r="N438" s="14" t="str">
        <x:v>Ben Jones</x:v>
      </x:c>
      <x:c r="O438" s="14" t="str">
        <x:v>nm0427550</x:v>
      </x:c>
      <x:c r="P438" s="14" t="str">
        <x:v>Mr. Keaton</x:v>
      </x:c>
      <x:c r="Q438" s="15" t="n">
        <x:v>6</x:v>
      </x:c>
      <x:c r="R438" s="14" t="str">
        <x:v>2024</x:v>
      </x:c>
      <x:c r="S438" s="14" t="n">
        <x:v>2024</x:v>
      </x:c>
      <x:c r="T438" s="14" t="n">
        <x:v>2024</x:v>
      </x:c>
      <x:c r="U438" s="14" t="str">
        <x:v>Explicit source first year retained</x:v>
      </x:c>
      <x:c r="V438" s="14" t="str">
        <x:v>Earliest supplied year is 2024.</x:v>
      </x:c>
      <x:c r="W438" s="14"/>
      <x:c r="X438" s="14" t="str">
        <x:v>Carried forward to 2024</x:v>
      </x:c>
      <x:c r="Y438" s="14"/>
      <x:c r="Z438" s="14" t="str">
        <x:v>Tell Me Everything.docx</x:v>
      </x:c>
      <x:c r="AA43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ITV / ITVX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HYPERLINK("https://en.wikipedia.org/wiki/Tell_Me_Everything","Open source")</x:f>
        <x:v>HYPERLINK is not implemented. linkLocation=https://en.wikipedia.org/wiki/Tell_Me_Everything, friendlyName=Open source</x:v>
      </x:c>
      <x:c r="AN438" s="14" t="str">
        <x:v>No qualifying BBC relationship</x:v>
      </x:c>
      <x:c r="AO438" s="14" t="str">
        <x:v>No</x:v>
      </x:c>
      <x:c r="AP438" s="14" t="str">
        <x:v>Out of scope</x:v>
      </x:c>
      <x:c r="AQ438" s="14" t="str">
        <x:v>No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12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6</x:v>
      </x:c>
      <x:c r="BS438" s="16" t="n">
        <x:v>0.5</x:v>
      </x:c>
      <x:c r="BT438" s="14" t="str">
        <x:v>Minority of episodes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tt15768158|nm1022566|debra</x:v>
      </x:c>
      <x:c r="B439" s="14" t="str">
        <x:v>05</x:v>
      </x:c>
      <x:c r="C439" s="14" t="str">
        <x:v>2022_IMDb_Cast_Lists_Batch_05(1).xlsx</x:v>
      </x:c>
      <x:c r="D439" s="14" t="str">
        <x:v>Tell Me Everything</x:v>
      </x:c>
      <x:c r="E439" s="14" t="n">
        <x:v>22</x:v>
      </x:c>
      <x:c r="F439" s="14" t="str">
        <x:v>Tell Me Everything</x:v>
      </x:c>
      <x:c r="G439" s="14" t="str">
        <x:v>tt15768158</x:v>
      </x:c>
      <x:c r="H439" s="14" t="n">
        <x:v>2022</x:v>
      </x:c>
      <x:c r="I439" s="14" t="n">
        <x:v>2023</x:v>
      </x:c>
      <x:c r="J439" s="14" t="str">
        <x:v>Future Carry-Forward Cohort</x:v>
      </x:c>
      <x:c r="K439" s="14" t="n">
        <x:v>2022</x:v>
      </x:c>
      <x:c r="L439" s="14" t="str">
        <x:v>Not inherited</x:v>
      </x:c>
      <x:c r="M439" s="15" t="n">
        <x:v>15</x:v>
      </x:c>
      <x:c r="N439" s="14" t="str">
        <x:v>Liz White</x:v>
      </x:c>
      <x:c r="O439" s="14" t="str">
        <x:v>nm1022566</x:v>
      </x:c>
      <x:c r="P439" s="14" t="str">
        <x:v>Debra</x:v>
      </x:c>
      <x:c r="Q439" s="15" t="n">
        <x:v>6</x:v>
      </x:c>
      <x:c r="R439" s="14" t="str">
        <x:v>2024</x:v>
      </x:c>
      <x:c r="S439" s="14" t="n">
        <x:v>2024</x:v>
      </x:c>
      <x:c r="T439" s="14" t="n">
        <x:v>2024</x:v>
      </x:c>
      <x:c r="U439" s="14" t="str">
        <x:v>Explicit source first year retained</x:v>
      </x:c>
      <x:c r="V439" s="14" t="str">
        <x:v>Earliest supplied year is 2024.</x:v>
      </x:c>
      <x:c r="W439" s="14"/>
      <x:c r="X439" s="14" t="str">
        <x:v>Carried forward to 2024</x:v>
      </x:c>
      <x:c r="Y439" s="14"/>
      <x:c r="Z439" s="14" t="str">
        <x:v>Tell Me Everything.docx</x:v>
      </x:c>
      <x:c r="AA43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ITV / ITVX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HYPERLINK("https://en.wikipedia.org/wiki/Tell_Me_Everything","Open source")</x:f>
        <x:v>HYPERLINK is not implemented. linkLocation=https://en.wikipedia.org/wiki/Tell_Me_Everything, friendlyName=Open source</x:v>
      </x:c>
      <x:c r="AN439" s="14" t="str">
        <x:v>No qualifying BBC relationship</x:v>
      </x:c>
      <x:c r="AO439" s="14" t="str">
        <x:v>No</x:v>
      </x:c>
      <x:c r="AP439" s="14" t="str">
        <x:v>Out of scope</x:v>
      </x:c>
      <x:c r="AQ439" s="14" t="str">
        <x:v>No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12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6</x:v>
      </x:c>
      <x:c r="BS439" s="16" t="n">
        <x:v>0.5</x:v>
      </x:c>
      <x:c r="BT439" s="14" t="str">
        <x:v>Minority of episodes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tt15768158|nm10437453|tommy</x:v>
      </x:c>
      <x:c r="B440" s="14" t="str">
        <x:v>05</x:v>
      </x:c>
      <x:c r="C440" s="14" t="str">
        <x:v>2022_IMDb_Cast_Lists_Batch_05(1).xlsx</x:v>
      </x:c>
      <x:c r="D440" s="14" t="str">
        <x:v>Tell Me Everything</x:v>
      </x:c>
      <x:c r="E440" s="14" t="n">
        <x:v>23</x:v>
      </x:c>
      <x:c r="F440" s="14" t="str">
        <x:v>Tell Me Everything</x:v>
      </x:c>
      <x:c r="G440" s="14" t="str">
        <x:v>tt15768158</x:v>
      </x:c>
      <x:c r="H440" s="14" t="n">
        <x:v>2022</x:v>
      </x:c>
      <x:c r="I440" s="14" t="n">
        <x:v>2023</x:v>
      </x:c>
      <x:c r="J440" s="14" t="str">
        <x:v>Future Carry-Forward Cohort</x:v>
      </x:c>
      <x:c r="K440" s="14" t="n">
        <x:v>2022</x:v>
      </x:c>
      <x:c r="L440" s="14" t="str">
        <x:v>Not inherited</x:v>
      </x:c>
      <x:c r="M440" s="15" t="n">
        <x:v>16</x:v>
      </x:c>
      <x:c r="N440" s="14" t="str">
        <x:v>Dylan Brady</x:v>
      </x:c>
      <x:c r="O440" s="14" t="str">
        <x:v>nm10437453</x:v>
      </x:c>
      <x:c r="P440" s="14" t="str">
        <x:v>Tommy</x:v>
      </x:c>
      <x:c r="Q440" s="15" t="n">
        <x:v>5</x:v>
      </x:c>
      <x:c r="R440" s="14" t="str">
        <x:v>2024</x:v>
      </x:c>
      <x:c r="S440" s="14" t="n">
        <x:v>2024</x:v>
      </x:c>
      <x:c r="T440" s="14" t="n">
        <x:v>2024</x:v>
      </x:c>
      <x:c r="U440" s="14" t="str">
        <x:v>Explicit source first year retained</x:v>
      </x:c>
      <x:c r="V440" s="14" t="str">
        <x:v>Earliest supplied year is 2024.</x:v>
      </x:c>
      <x:c r="W440" s="14"/>
      <x:c r="X440" s="14" t="str">
        <x:v>Carried forward to 2024</x:v>
      </x:c>
      <x:c r="Y440" s="14"/>
      <x:c r="Z440" s="14" t="str">
        <x:v>Tell Me Everything.docx</x:v>
      </x:c>
      <x:c r="AA44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ITV / ITVX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HYPERLINK("https://en.wikipedia.org/wiki/Tell_Me_Everything","Open source")</x:f>
        <x:v>HYPERLINK is not implemented. linkLocation=https://en.wikipedia.org/wiki/Tell_Me_Everything, friendlyName=Open source</x:v>
      </x:c>
      <x:c r="AN440" s="14" t="str">
        <x:v>No qualifying BBC relationship</x:v>
      </x:c>
      <x:c r="AO440" s="14" t="str">
        <x:v>No</x:v>
      </x:c>
      <x:c r="AP440" s="14" t="str">
        <x:v>Out of scope</x:v>
      </x:c>
      <x:c r="AQ440" s="14" t="str">
        <x:v>No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5</x:v>
      </x:c>
      <x:c r="BS440" s="16" t="n">
        <x:v>0.4166666666666667</x:v>
      </x:c>
      <x:c r="BT440" s="14" t="str">
        <x:v>Minority of episodes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tt15768158|nm8227786|luke</x:v>
      </x:c>
      <x:c r="B441" s="14" t="str">
        <x:v>05</x:v>
      </x:c>
      <x:c r="C441" s="14" t="str">
        <x:v>2022_IMDb_Cast_Lists_Batch_05(1).xlsx</x:v>
      </x:c>
      <x:c r="D441" s="14" t="str">
        <x:v>Tell Me Everything</x:v>
      </x:c>
      <x:c r="E441" s="14" t="n">
        <x:v>24</x:v>
      </x:c>
      <x:c r="F441" s="14" t="str">
        <x:v>Tell Me Everything</x:v>
      </x:c>
      <x:c r="G441" s="14" t="str">
        <x:v>tt15768158</x:v>
      </x:c>
      <x:c r="H441" s="14" t="n">
        <x:v>2022</x:v>
      </x:c>
      <x:c r="I441" s="14" t="n">
        <x:v>2023</x:v>
      </x:c>
      <x:c r="J441" s="14" t="str">
        <x:v>Future Carry-Forward Cohort</x:v>
      </x:c>
      <x:c r="K441" s="14" t="n">
        <x:v>2022</x:v>
      </x:c>
      <x:c r="L441" s="14" t="str">
        <x:v>Not inherited</x:v>
      </x:c>
      <x:c r="M441" s="15" t="n">
        <x:v>17</x:v>
      </x:c>
      <x:c r="N441" s="14" t="str">
        <x:v>Ammar Duffus</x:v>
      </x:c>
      <x:c r="O441" s="14" t="str">
        <x:v>nm8227786</x:v>
      </x:c>
      <x:c r="P441" s="14" t="str">
        <x:v>Luke</x:v>
      </x:c>
      <x:c r="Q441" s="15" t="n">
        <x:v>5</x:v>
      </x:c>
      <x:c r="R441" s="14" t="str">
        <x:v>2024</x:v>
      </x:c>
      <x:c r="S441" s="14" t="n">
        <x:v>2024</x:v>
      </x:c>
      <x:c r="T441" s="14" t="n">
        <x:v>2024</x:v>
      </x:c>
      <x:c r="U441" s="14" t="str">
        <x:v>Explicit source first year retained</x:v>
      </x:c>
      <x:c r="V441" s="14" t="str">
        <x:v>Earliest supplied year is 2024.</x:v>
      </x:c>
      <x:c r="W441" s="14"/>
      <x:c r="X441" s="14" t="str">
        <x:v>Carried forward to 2024</x:v>
      </x:c>
      <x:c r="Y441" s="14"/>
      <x:c r="Z441" s="14" t="str">
        <x:v>Tell Me Everything.docx</x:v>
      </x:c>
      <x:c r="AA44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ITV / ITVX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HYPERLINK("https://en.wikipedia.org/wiki/Tell_Me_Everything","Open source")</x:f>
        <x:v>HYPERLINK is not implemented. linkLocation=https://en.wikipedia.org/wiki/Tell_Me_Everything, friendlyName=Open source</x:v>
      </x:c>
      <x:c r="AN441" s="14" t="str">
        <x:v>No qualifying BBC relationship</x:v>
      </x:c>
      <x:c r="AO441" s="14" t="str">
        <x:v>No</x:v>
      </x:c>
      <x:c r="AP441" s="14" t="str">
        <x:v>Out of scope</x:v>
      </x:c>
      <x:c r="AQ441" s="14" t="str">
        <x:v>No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5</x:v>
      </x:c>
      <x:c r="BS441" s="16" t="n">
        <x:v>0.4166666666666667</x:v>
      </x:c>
      <x:c r="BT441" s="14" t="str">
        <x:v>Minority of episodes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tt15768158|nm0863130|cyrus</x:v>
      </x:c>
      <x:c r="B442" s="14" t="str">
        <x:v>05</x:v>
      </x:c>
      <x:c r="C442" s="14" t="str">
        <x:v>2022_IMDb_Cast_Lists_Batch_05(1).xlsx</x:v>
      </x:c>
      <x:c r="D442" s="14" t="str">
        <x:v>Tell Me Everything</x:v>
      </x:c>
      <x:c r="E442" s="14" t="n">
        <x:v>25</x:v>
      </x:c>
      <x:c r="F442" s="14" t="str">
        <x:v>Tell Me Everything</x:v>
      </x:c>
      <x:c r="G442" s="14" t="str">
        <x:v>tt15768158</x:v>
      </x:c>
      <x:c r="H442" s="14" t="n">
        <x:v>2022</x:v>
      </x:c>
      <x:c r="I442" s="14" t="n">
        <x:v>2023</x:v>
      </x:c>
      <x:c r="J442" s="14" t="str">
        <x:v>Future Carry-Forward Cohort</x:v>
      </x:c>
      <x:c r="K442" s="14" t="n">
        <x:v>2022</x:v>
      </x:c>
      <x:c r="L442" s="14" t="str">
        <x:v>Not inherited</x:v>
      </x:c>
      <x:c r="M442" s="15" t="n">
        <x:v>18</x:v>
      </x:c>
      <x:c r="N442" s="14" t="str">
        <x:v>Ramon Tikaram</x:v>
      </x:c>
      <x:c r="O442" s="14" t="str">
        <x:v>nm0863130</x:v>
      </x:c>
      <x:c r="P442" s="14" t="str">
        <x:v>Cyrus</x:v>
      </x:c>
      <x:c r="Q442" s="15" t="n">
        <x:v>5</x:v>
      </x:c>
      <x:c r="R442" s="14" t="str">
        <x:v>2024</x:v>
      </x:c>
      <x:c r="S442" s="14" t="n">
        <x:v>2024</x:v>
      </x:c>
      <x:c r="T442" s="14" t="n">
        <x:v>2024</x:v>
      </x:c>
      <x:c r="U442" s="14" t="str">
        <x:v>Explicit source first year retained</x:v>
      </x:c>
      <x:c r="V442" s="14" t="str">
        <x:v>Earliest supplied year is 2024.</x:v>
      </x:c>
      <x:c r="W442" s="14"/>
      <x:c r="X442" s="14" t="str">
        <x:v>Carried forward to 2024</x:v>
      </x:c>
      <x:c r="Y442" s="14"/>
      <x:c r="Z442" s="14" t="str">
        <x:v>Tell Me Everything.docx</x:v>
      </x:c>
      <x:c r="AA44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ITV / ITVX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HYPERLINK("https://en.wikipedia.org/wiki/Tell_Me_Everything","Open source")</x:f>
        <x:v>HYPERLINK is not implemented. linkLocation=https://en.wikipedia.org/wiki/Tell_Me_Everything, friendlyName=Open source</x:v>
      </x:c>
      <x:c r="AN442" s="14" t="str">
        <x:v>No qualifying BBC relationship</x:v>
      </x:c>
      <x:c r="AO442" s="14" t="str">
        <x:v>No</x:v>
      </x:c>
      <x:c r="AP442" s="14" t="str">
        <x:v>Out of scope</x:v>
      </x:c>
      <x:c r="AQ442" s="14" t="str">
        <x:v>No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5</x:v>
      </x:c>
      <x:c r="BS442" s="16" t="n">
        <x:v>0.4166666666666667</x:v>
      </x:c>
      <x:c r="BT442" s="14" t="str">
        <x:v>Minority of episodes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tt15768158|nm1469275|mike</x:v>
      </x:c>
      <x:c r="B443" s="14" t="str">
        <x:v>05</x:v>
      </x:c>
      <x:c r="C443" s="14" t="str">
        <x:v>2022_IMDb_Cast_Lists_Batch_05(1).xlsx</x:v>
      </x:c>
      <x:c r="D443" s="14" t="str">
        <x:v>Tell Me Everything</x:v>
      </x:c>
      <x:c r="E443" s="14" t="n">
        <x:v>26</x:v>
      </x:c>
      <x:c r="F443" s="14" t="str">
        <x:v>Tell Me Everything</x:v>
      </x:c>
      <x:c r="G443" s="14" t="str">
        <x:v>tt15768158</x:v>
      </x:c>
      <x:c r="H443" s="14" t="n">
        <x:v>2022</x:v>
      </x:c>
      <x:c r="I443" s="14" t="n">
        <x:v>2023</x:v>
      </x:c>
      <x:c r="J443" s="14" t="str">
        <x:v>Future Carry-Forward Cohort</x:v>
      </x:c>
      <x:c r="K443" s="14" t="n">
        <x:v>2022</x:v>
      </x:c>
      <x:c r="L443" s="14" t="str">
        <x:v>Not inherited</x:v>
      </x:c>
      <x:c r="M443" s="15" t="n">
        <x:v>19</x:v>
      </x:c>
      <x:c r="N443" s="14" t="str">
        <x:v>Adam Leese</x:v>
      </x:c>
      <x:c r="O443" s="14" t="str">
        <x:v>nm1469275</x:v>
      </x:c>
      <x:c r="P443" s="14" t="str">
        <x:v>Mike</x:v>
      </x:c>
      <x:c r="Q443" s="15" t="n">
        <x:v>4</x:v>
      </x:c>
      <x:c r="R443" s="14" t="str">
        <x:v>2024</x:v>
      </x:c>
      <x:c r="S443" s="14" t="n">
        <x:v>2024</x:v>
      </x:c>
      <x:c r="T443" s="14" t="n">
        <x:v>2024</x:v>
      </x:c>
      <x:c r="U443" s="14" t="str">
        <x:v>Explicit source first year retained</x:v>
      </x:c>
      <x:c r="V443" s="14" t="str">
        <x:v>Earliest supplied year is 2024.</x:v>
      </x:c>
      <x:c r="W443" s="14"/>
      <x:c r="X443" s="14" t="str">
        <x:v>Carried forward to 2024</x:v>
      </x:c>
      <x:c r="Y443" s="14"/>
      <x:c r="Z443" s="14" t="str">
        <x:v>Tell Me Everything.docx</x:v>
      </x:c>
      <x:c r="AA44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ITV / ITVX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HYPERLINK("https://en.wikipedia.org/wiki/Tell_Me_Everything","Open source")</x:f>
        <x:v>HYPERLINK is not implemented. linkLocation=https://en.wikipedia.org/wiki/Tell_Me_Everything, friendlyName=Open source</x:v>
      </x:c>
      <x:c r="AN443" s="14" t="str">
        <x:v>No qualifying BBC relationship</x:v>
      </x:c>
      <x:c r="AO443" s="14" t="str">
        <x:v>No</x:v>
      </x:c>
      <x:c r="AP443" s="14" t="str">
        <x:v>Out of scope</x:v>
      </x:c>
      <x:c r="AQ443" s="14" t="str">
        <x:v>No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4</x:v>
      </x:c>
      <x:c r="BS443" s="16" t="n">
        <x:v>0.3333333333333333</x:v>
      </x:c>
      <x:c r="BT443" s="14" t="str">
        <x:v>Minority of episodes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tt15768158|nm10455880|dr. lawrence</x:v>
      </x:c>
      <x:c r="B444" s="14" t="str">
        <x:v>05</x:v>
      </x:c>
      <x:c r="C444" s="14" t="str">
        <x:v>2022_IMDb_Cast_Lists_Batch_05(1).xlsx</x:v>
      </x:c>
      <x:c r="D444" s="14" t="str">
        <x:v>Tell Me Everything</x:v>
      </x:c>
      <x:c r="E444" s="14" t="n">
        <x:v>32</x:v>
      </x:c>
      <x:c r="F444" s="14" t="str">
        <x:v>Tell Me Everything</x:v>
      </x:c>
      <x:c r="G444" s="14" t="str">
        <x:v>tt15768158</x:v>
      </x:c>
      <x:c r="H444" s="14" t="n">
        <x:v>2022</x:v>
      </x:c>
      <x:c r="I444" s="14" t="n">
        <x:v>2023</x:v>
      </x:c>
      <x:c r="J444" s="14" t="str">
        <x:v>Future Carry-Forward Cohort</x:v>
      </x:c>
      <x:c r="K444" s="14" t="n">
        <x:v>2022</x:v>
      </x:c>
      <x:c r="L444" s="14" t="str">
        <x:v>Not inherited</x:v>
      </x:c>
      <x:c r="M444" s="15" t="n">
        <x:v>25</x:v>
      </x:c>
      <x:c r="N444" s="14" t="str">
        <x:v>Nicola Achilleas</x:v>
      </x:c>
      <x:c r="O444" s="14" t="str">
        <x:v>nm10455880</x:v>
      </x:c>
      <x:c r="P444" s="14" t="str">
        <x:v>Dr. Lawrence</x:v>
      </x:c>
      <x:c r="Q444" s="15" t="n">
        <x:v>2</x:v>
      </x:c>
      <x:c r="R444" s="14" t="str">
        <x:v>2024</x:v>
      </x:c>
      <x:c r="S444" s="14" t="n">
        <x:v>2024</x:v>
      </x:c>
      <x:c r="T444" s="14" t="n">
        <x:v>2024</x:v>
      </x:c>
      <x:c r="U444" s="14" t="str">
        <x:v>Explicit source first year retained</x:v>
      </x:c>
      <x:c r="V444" s="14" t="str">
        <x:v>Earliest supplied year is 2024.</x:v>
      </x:c>
      <x:c r="W444" s="14"/>
      <x:c r="X444" s="14" t="str">
        <x:v>Carried forward to 2024</x:v>
      </x:c>
      <x:c r="Y444" s="14"/>
      <x:c r="Z444" s="14" t="str">
        <x:v>Tell Me Everything.docx</x:v>
      </x:c>
      <x:c r="AA44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ITV / ITVX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HYPERLINK("https://en.wikipedia.org/wiki/Tell_Me_Everything","Open source")</x:f>
        <x:v>HYPERLINK is not implemented. linkLocation=https://en.wikipedia.org/wiki/Tell_Me_Everything, friendlyName=Open source</x:v>
      </x:c>
      <x:c r="AN444" s="14" t="str">
        <x:v>No qualifying BBC relationship</x:v>
      </x:c>
      <x:c r="AO444" s="14" t="str">
        <x:v>No</x:v>
      </x:c>
      <x:c r="AP444" s="14" t="str">
        <x:v>Out of scope</x:v>
      </x:c>
      <x:c r="AQ444" s="14" t="str">
        <x:v>No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2</x:v>
      </x:c>
      <x:c r="BS444" s="16" t="n">
        <x:v>0.16666666666666666</x:v>
      </x:c>
      <x:c r="BT444" s="14" t="str">
        <x:v>Minority of episodes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tt15768158|nm13068792|peaches</x:v>
      </x:c>
      <x:c r="B445" s="14" t="str">
        <x:v>05</x:v>
      </x:c>
      <x:c r="C445" s="14" t="str">
        <x:v>2022_IMDb_Cast_Lists_Batch_05(1).xlsx</x:v>
      </x:c>
      <x:c r="D445" s="14" t="str">
        <x:v>Tell Me Everything</x:v>
      </x:c>
      <x:c r="E445" s="14" t="n">
        <x:v>33</x:v>
      </x:c>
      <x:c r="F445" s="14" t="str">
        <x:v>Tell Me Everything</x:v>
      </x:c>
      <x:c r="G445" s="14" t="str">
        <x:v>tt15768158</x:v>
      </x:c>
      <x:c r="H445" s="14" t="n">
        <x:v>2022</x:v>
      </x:c>
      <x:c r="I445" s="14" t="n">
        <x:v>2023</x:v>
      </x:c>
      <x:c r="J445" s="14" t="str">
        <x:v>Future Carry-Forward Cohort</x:v>
      </x:c>
      <x:c r="K445" s="14" t="n">
        <x:v>2022</x:v>
      </x:c>
      <x:c r="L445" s="14" t="str">
        <x:v>Not inherited</x:v>
      </x:c>
      <x:c r="M445" s="15" t="n">
        <x:v>26</x:v>
      </x:c>
      <x:c r="N445" s="14" t="str">
        <x:v>Maria Almeida</x:v>
      </x:c>
      <x:c r="O445" s="14" t="str">
        <x:v>nm13068792</x:v>
      </x:c>
      <x:c r="P445" s="14" t="str">
        <x:v>Peaches</x:v>
      </x:c>
      <x:c r="Q445" s="15" t="n">
        <x:v>2</x:v>
      </x:c>
      <x:c r="R445" s="14" t="str">
        <x:v>2024</x:v>
      </x:c>
      <x:c r="S445" s="14" t="n">
        <x:v>2024</x:v>
      </x:c>
      <x:c r="T445" s="14" t="n">
        <x:v>2024</x:v>
      </x:c>
      <x:c r="U445" s="14" t="str">
        <x:v>Explicit source first year retained</x:v>
      </x:c>
      <x:c r="V445" s="14" t="str">
        <x:v>Earliest supplied year is 2024.</x:v>
      </x:c>
      <x:c r="W445" s="14"/>
      <x:c r="X445" s="14" t="str">
        <x:v>Carried forward to 2024</x:v>
      </x:c>
      <x:c r="Y445" s="14"/>
      <x:c r="Z445" s="14" t="str">
        <x:v>Tell Me Everything.docx</x:v>
      </x:c>
      <x:c r="AA44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ITV / ITVX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HYPERLINK("https://en.wikipedia.org/wiki/Tell_Me_Everything","Open source")</x:f>
        <x:v>HYPERLINK is not implemented. linkLocation=https://en.wikipedia.org/wiki/Tell_Me_Everything, friendlyName=Open source</x:v>
      </x:c>
      <x:c r="AN445" s="14" t="str">
        <x:v>No qualifying BBC relationship</x:v>
      </x:c>
      <x:c r="AO445" s="14" t="str">
        <x:v>No</x:v>
      </x:c>
      <x:c r="AP445" s="14" t="str">
        <x:v>Out of scope</x:v>
      </x:c>
      <x:c r="AQ445" s="14" t="str">
        <x:v>No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2</x:v>
      </x:c>
      <x:c r="BS445" s="16" t="n">
        <x:v>0.16666666666666666</x:v>
      </x:c>
      <x:c r="BT445" s="14" t="str">
        <x:v>Minority of episodes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tt15768158|nm9807913|darcey-mae</x:v>
      </x:c>
      <x:c r="B446" s="14" t="str">
        <x:v>05</x:v>
      </x:c>
      <x:c r="C446" s="14" t="str">
        <x:v>2022_IMDb_Cast_Lists_Batch_05(1).xlsx</x:v>
      </x:c>
      <x:c r="D446" s="14" t="str">
        <x:v>Tell Me Everything</x:v>
      </x:c>
      <x:c r="E446" s="14" t="n">
        <x:v>34</x:v>
      </x:c>
      <x:c r="F446" s="14" t="str">
        <x:v>Tell Me Everything</x:v>
      </x:c>
      <x:c r="G446" s="14" t="str">
        <x:v>tt15768158</x:v>
      </x:c>
      <x:c r="H446" s="14" t="n">
        <x:v>2022</x:v>
      </x:c>
      <x:c r="I446" s="14" t="n">
        <x:v>2023</x:v>
      </x:c>
      <x:c r="J446" s="14" t="str">
        <x:v>Future Carry-Forward Cohort</x:v>
      </x:c>
      <x:c r="K446" s="14" t="n">
        <x:v>2022</x:v>
      </x:c>
      <x:c r="L446" s="14" t="str">
        <x:v>Not inherited</x:v>
      </x:c>
      <x:c r="M446" s="15" t="n">
        <x:v>27</x:v>
      </x:c>
      <x:c r="N446" s="14" t="str">
        <x:v>Carmel Laniado</x:v>
      </x:c>
      <x:c r="O446" s="14" t="str">
        <x:v>nm9807913</x:v>
      </x:c>
      <x:c r="P446" s="14" t="str">
        <x:v>Darcey-Mae</x:v>
      </x:c>
      <x:c r="Q446" s="15" t="n">
        <x:v>2</x:v>
      </x:c>
      <x:c r="R446" s="14" t="str">
        <x:v>2024</x:v>
      </x:c>
      <x:c r="S446" s="14" t="n">
        <x:v>2024</x:v>
      </x:c>
      <x:c r="T446" s="14" t="n">
        <x:v>2024</x:v>
      </x:c>
      <x:c r="U446" s="14" t="str">
        <x:v>Explicit source first year retained</x:v>
      </x:c>
      <x:c r="V446" s="14" t="str">
        <x:v>Earliest supplied year is 2024.</x:v>
      </x:c>
      <x:c r="W446" s="14"/>
      <x:c r="X446" s="14" t="str">
        <x:v>Carried forward to 2024</x:v>
      </x:c>
      <x:c r="Y446" s="14"/>
      <x:c r="Z446" s="14" t="str">
        <x:v>Tell Me Everything.docx</x:v>
      </x:c>
      <x:c r="AA44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ITV / ITVX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HYPERLINK("https://en.wikipedia.org/wiki/Tell_Me_Everything","Open source")</x:f>
        <x:v>HYPERLINK is not implemented. linkLocation=https://en.wikipedia.org/wiki/Tell_Me_Everything, friendlyName=Open source</x:v>
      </x:c>
      <x:c r="AN446" s="14" t="str">
        <x:v>No qualifying BBC relationship</x:v>
      </x:c>
      <x:c r="AO446" s="14" t="str">
        <x:v>No</x:v>
      </x:c>
      <x:c r="AP446" s="14" t="str">
        <x:v>Out of scope</x:v>
      </x:c>
      <x:c r="AQ446" s="14" t="str">
        <x:v>No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2</x:v>
      </x:c>
      <x:c r="BS446" s="16" t="n">
        <x:v>0.16666666666666666</x:v>
      </x:c>
      <x:c r="BT446" s="14" t="str">
        <x:v>Minority of episodes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tt15768158|nm6458405|kick-boxing coach</x:v>
      </x:c>
      <x:c r="B447" s="14" t="str">
        <x:v>05</x:v>
      </x:c>
      <x:c r="C447" s="14" t="str">
        <x:v>2022_IMDb_Cast_Lists_Batch_05(1).xlsx</x:v>
      </x:c>
      <x:c r="D447" s="14" t="str">
        <x:v>Tell Me Everything</x:v>
      </x:c>
      <x:c r="E447" s="14" t="n">
        <x:v>35</x:v>
      </x:c>
      <x:c r="F447" s="14" t="str">
        <x:v>Tell Me Everything</x:v>
      </x:c>
      <x:c r="G447" s="14" t="str">
        <x:v>tt15768158</x:v>
      </x:c>
      <x:c r="H447" s="14" t="n">
        <x:v>2022</x:v>
      </x:c>
      <x:c r="I447" s="14" t="n">
        <x:v>2023</x:v>
      </x:c>
      <x:c r="J447" s="14" t="str">
        <x:v>Future Carry-Forward Cohort</x:v>
      </x:c>
      <x:c r="K447" s="14" t="n">
        <x:v>2022</x:v>
      </x:c>
      <x:c r="L447" s="14" t="str">
        <x:v>Not inherited</x:v>
      </x:c>
      <x:c r="M447" s="15" t="n">
        <x:v>28</x:v>
      </x:c>
      <x:c r="N447" s="14" t="str">
        <x:v>Mark Sears</x:v>
      </x:c>
      <x:c r="O447" s="14" t="str">
        <x:v>nm6458405</x:v>
      </x:c>
      <x:c r="P447" s="14" t="str">
        <x:v>Kick-Boxing Coach</x:v>
      </x:c>
      <x:c r="Q447" s="15" t="n">
        <x:v>2</x:v>
      </x:c>
      <x:c r="R447" s="14" t="str">
        <x:v>2024</x:v>
      </x:c>
      <x:c r="S447" s="14" t="n">
        <x:v>2024</x:v>
      </x:c>
      <x:c r="T447" s="14" t="n">
        <x:v>2024</x:v>
      </x:c>
      <x:c r="U447" s="14" t="str">
        <x:v>Explicit source first year retained</x:v>
      </x:c>
      <x:c r="V447" s="14" t="str">
        <x:v>Earliest supplied year is 2024.</x:v>
      </x:c>
      <x:c r="W447" s="14"/>
      <x:c r="X447" s="14" t="str">
        <x:v>Carried forward to 2024</x:v>
      </x:c>
      <x:c r="Y447" s="14"/>
      <x:c r="Z447" s="14" t="str">
        <x:v>Tell Me Everything.docx</x:v>
      </x:c>
      <x:c r="AA44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ITV / ITVX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HYPERLINK("https://en.wikipedia.org/wiki/Tell_Me_Everything","Open source")</x:f>
        <x:v>HYPERLINK is not implemented. linkLocation=https://en.wikipedia.org/wiki/Tell_Me_Everything, friendlyName=Open source</x:v>
      </x:c>
      <x:c r="AN447" s="14" t="str">
        <x:v>No qualifying BBC relationship</x:v>
      </x:c>
      <x:c r="AO447" s="14" t="str">
        <x:v>No</x:v>
      </x:c>
      <x:c r="AP447" s="14" t="str">
        <x:v>Out of scope</x:v>
      </x:c>
      <x:c r="AQ447" s="14" t="str">
        <x:v>No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2</x:v>
      </x:c>
      <x:c r="BS447" s="16" t="n">
        <x:v>0.16666666666666666</x:v>
      </x:c>
      <x:c r="BT447" s="14" t="str">
        <x:v>Minority of episodes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tt15768158|nm5171823|shop assistant</x:v>
      </x:c>
      <x:c r="B448" s="14" t="str">
        <x:v>05</x:v>
      </x:c>
      <x:c r="C448" s="14" t="str">
        <x:v>2022_IMDb_Cast_Lists_Batch_05(1).xlsx</x:v>
      </x:c>
      <x:c r="D448" s="14" t="str">
        <x:v>Tell Me Everything</x:v>
      </x:c>
      <x:c r="E448" s="14" t="n">
        <x:v>38</x:v>
      </x:c>
      <x:c r="F448" s="14" t="str">
        <x:v>Tell Me Everything</x:v>
      </x:c>
      <x:c r="G448" s="14" t="str">
        <x:v>tt15768158</x:v>
      </x:c>
      <x:c r="H448" s="14" t="n">
        <x:v>2022</x:v>
      </x:c>
      <x:c r="I448" s="14" t="n">
        <x:v>2023</x:v>
      </x:c>
      <x:c r="J448" s="14" t="str">
        <x:v>Future Carry-Forward Cohort</x:v>
      </x:c>
      <x:c r="K448" s="14" t="n">
        <x:v>2022</x:v>
      </x:c>
      <x:c r="L448" s="14" t="str">
        <x:v>Not inherited</x:v>
      </x:c>
      <x:c r="M448" s="15" t="n">
        <x:v>31</x:v>
      </x:c>
      <x:c r="N448" s="14" t="str">
        <x:v>Melanie Gayle</x:v>
      </x:c>
      <x:c r="O448" s="14" t="str">
        <x:v>nm5171823</x:v>
      </x:c>
      <x:c r="P448" s="14" t="str">
        <x:v>Shop Assistant</x:v>
      </x:c>
      <x:c r="Q448" s="15" t="n">
        <x:v>2</x:v>
      </x:c>
      <x:c r="R448" s="14" t="str">
        <x:v>2024</x:v>
      </x:c>
      <x:c r="S448" s="14" t="n">
        <x:v>2024</x:v>
      </x:c>
      <x:c r="T448" s="14" t="n">
        <x:v>2024</x:v>
      </x:c>
      <x:c r="U448" s="14" t="str">
        <x:v>Explicit source first year retained</x:v>
      </x:c>
      <x:c r="V448" s="14" t="str">
        <x:v>Earliest supplied year is 2024.</x:v>
      </x:c>
      <x:c r="W448" s="14"/>
      <x:c r="X448" s="14" t="str">
        <x:v>Carried forward to 2024</x:v>
      </x:c>
      <x:c r="Y448" s="14"/>
      <x:c r="Z448" s="14" t="str">
        <x:v>Tell Me Everything.docx</x:v>
      </x:c>
      <x:c r="AA44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ITV / ITVX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HYPERLINK("https://en.wikipedia.org/wiki/Tell_Me_Everything","Open source")</x:f>
        <x:v>HYPERLINK is not implemented. linkLocation=https://en.wikipedia.org/wiki/Tell_Me_Everything, friendlyName=Open source</x:v>
      </x:c>
      <x:c r="AN448" s="14" t="str">
        <x:v>No qualifying BBC relationship</x:v>
      </x:c>
      <x:c r="AO448" s="14" t="str">
        <x:v>No</x:v>
      </x:c>
      <x:c r="AP448" s="14" t="str">
        <x:v>Out of scope</x:v>
      </x:c>
      <x:c r="AQ448" s="14" t="str">
        <x:v>No</x:v>
      </x:c>
      <x:c r="AR448" s="14" t="str">
        <x:v>Resolved from master register</x:v>
      </x:c>
      <x:c r="AS448" s="14" t="str">
        <x:v>No established-register match</x:v>
      </x:c>
      <x:c r="AT448" s="14"/>
      <x:c r="AU448" s="14"/>
      <x:c r="AV448" s="14" t="str">
        <x:v>No established apparent-disability match</x:v>
      </x:c>
      <x:c r="AW448" s="14"/>
      <x:c r="AX448" s="14" t="str">
        <x:v>No</x:v>
      </x:c>
      <x:c r="AY448" s="14" t="str">
        <x:v>Unmatched</x:v>
      </x:c>
      <x:c r="AZ448" s="14" t="str">
        <x:v>Final supplied register</x:v>
      </x:c>
      <x:c r="BA448" s="14" t="str">
        <x:v>Absence from the register is not evidence that the performer is not disabled.</x:v>
      </x:c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2</x:v>
      </x:c>
      <x:c r="BS448" s="16" t="n">
        <x:v>0.16666666666666666</x:v>
      </x:c>
      <x:c r="BT448" s="14" t="str">
        <x:v>Minority of episodes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tt15768158|nm10290580|dr. clive</x:v>
      </x:c>
      <x:c r="B449" s="14" t="str">
        <x:v>05</x:v>
      </x:c>
      <x:c r="C449" s="14" t="str">
        <x:v>2022_IMDb_Cast_Lists_Batch_05(1).xlsx</x:v>
      </x:c>
      <x:c r="D449" s="14" t="str">
        <x:v>Tell Me Everything</x:v>
      </x:c>
      <x:c r="E449" s="14" t="n">
        <x:v>46</x:v>
      </x:c>
      <x:c r="F449" s="14" t="str">
        <x:v>Tell Me Everything</x:v>
      </x:c>
      <x:c r="G449" s="14" t="str">
        <x:v>tt15768158</x:v>
      </x:c>
      <x:c r="H449" s="14" t="n">
        <x:v>2022</x:v>
      </x:c>
      <x:c r="I449" s="14" t="n">
        <x:v>2023</x:v>
      </x:c>
      <x:c r="J449" s="14" t="str">
        <x:v>Future Carry-Forward Cohort</x:v>
      </x:c>
      <x:c r="K449" s="14" t="n">
        <x:v>2022</x:v>
      </x:c>
      <x:c r="L449" s="14" t="str">
        <x:v>Not inherited</x:v>
      </x:c>
      <x:c r="M449" s="15" t="n">
        <x:v>39</x:v>
      </x:c>
      <x:c r="N449" s="14" t="str">
        <x:v>Riz Khan</x:v>
      </x:c>
      <x:c r="O449" s="14" t="str">
        <x:v>nm10290580</x:v>
      </x:c>
      <x:c r="P449" s="14" t="str">
        <x:v>Dr. Clive</x:v>
      </x:c>
      <x:c r="Q449" s="15" t="n">
        <x:v>1</x:v>
      </x:c>
      <x:c r="R449" s="14" t="str">
        <x:v>2024</x:v>
      </x:c>
      <x:c r="S449" s="14" t="n">
        <x:v>2024</x:v>
      </x:c>
      <x:c r="T449" s="14" t="n">
        <x:v>2024</x:v>
      </x:c>
      <x:c r="U449" s="14" t="str">
        <x:v>Explicit source first year retained</x:v>
      </x:c>
      <x:c r="V449" s="14" t="str">
        <x:v>Earliest supplied year is 2024.</x:v>
      </x:c>
      <x:c r="W449" s="14"/>
      <x:c r="X449" s="14" t="str">
        <x:v>Carried forward to 2024</x:v>
      </x:c>
      <x:c r="Y449" s="14"/>
      <x:c r="Z449" s="14" t="str">
        <x:v>Tell Me Everything.docx</x:v>
      </x:c>
      <x:c r="AA44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ITV / ITVX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HYPERLINK("https://en.wikipedia.org/wiki/Tell_Me_Everything","Open source")</x:f>
        <x:v>HYPERLINK is not implemented. linkLocation=https://en.wikipedia.org/wiki/Tell_Me_Everything, friendlyName=Open source</x:v>
      </x:c>
      <x:c r="AN449" s="14" t="str">
        <x:v>No qualifying BBC relationship</x:v>
      </x:c>
      <x:c r="AO449" s="14" t="str">
        <x:v>No</x:v>
      </x:c>
      <x:c r="AP449" s="14" t="str">
        <x:v>Out of scope</x:v>
      </x:c>
      <x:c r="AQ449" s="14" t="str">
        <x:v>No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1</x:v>
      </x:c>
      <x:c r="BS449" s="16" t="n">
        <x:v>0.08333333333333333</x:v>
      </x:c>
      <x:c r="BT449" s="14" t="str">
        <x:v>One episode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tt15768158|nm1273937|corrine</x:v>
      </x:c>
      <x:c r="B450" s="14" t="str">
        <x:v>05</x:v>
      </x:c>
      <x:c r="C450" s="14" t="str">
        <x:v>2022_IMDb_Cast_Lists_Batch_05(1).xlsx</x:v>
      </x:c>
      <x:c r="D450" s="14" t="str">
        <x:v>Tell Me Everything</x:v>
      </x:c>
      <x:c r="E450" s="14" t="n">
        <x:v>47</x:v>
      </x:c>
      <x:c r="F450" s="14" t="str">
        <x:v>Tell Me Everything</x:v>
      </x:c>
      <x:c r="G450" s="14" t="str">
        <x:v>tt15768158</x:v>
      </x:c>
      <x:c r="H450" s="14" t="n">
        <x:v>2022</x:v>
      </x:c>
      <x:c r="I450" s="14" t="n">
        <x:v>2023</x:v>
      </x:c>
      <x:c r="J450" s="14" t="str">
        <x:v>Future Carry-Forward Cohort</x:v>
      </x:c>
      <x:c r="K450" s="14" t="n">
        <x:v>2022</x:v>
      </x:c>
      <x:c r="L450" s="14" t="str">
        <x:v>Not inherited</x:v>
      </x:c>
      <x:c r="M450" s="15" t="n">
        <x:v>40</x:v>
      </x:c>
      <x:c r="N450" s="14" t="str">
        <x:v>Nicola Alexis</x:v>
      </x:c>
      <x:c r="O450" s="14" t="str">
        <x:v>nm1273937</x:v>
      </x:c>
      <x:c r="P450" s="14" t="str">
        <x:v>Corrine</x:v>
      </x:c>
      <x:c r="Q450" s="15" t="n">
        <x:v>1</x:v>
      </x:c>
      <x:c r="R450" s="14" t="str">
        <x:v>2024</x:v>
      </x:c>
      <x:c r="S450" s="14" t="n">
        <x:v>2024</x:v>
      </x:c>
      <x:c r="T450" s="14" t="n">
        <x:v>2024</x:v>
      </x:c>
      <x:c r="U450" s="14" t="str">
        <x:v>Explicit source first year retained</x:v>
      </x:c>
      <x:c r="V450" s="14" t="str">
        <x:v>Earliest supplied year is 2024.</x:v>
      </x:c>
      <x:c r="W450" s="14"/>
      <x:c r="X450" s="14" t="str">
        <x:v>Carried forward to 2024</x:v>
      </x:c>
      <x:c r="Y450" s="14"/>
      <x:c r="Z450" s="14" t="str">
        <x:v>Tell Me Everything.docx</x:v>
      </x:c>
      <x:c r="AA45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ITV / ITVX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HYPERLINK("https://en.wikipedia.org/wiki/Tell_Me_Everything","Open source")</x:f>
        <x:v>HYPERLINK is not implemented. linkLocation=https://en.wikipedia.org/wiki/Tell_Me_Everything, friendlyName=Open source</x:v>
      </x:c>
      <x:c r="AN450" s="14" t="str">
        <x:v>No qualifying BBC relationship</x:v>
      </x:c>
      <x:c r="AO450" s="14" t="str">
        <x:v>No</x:v>
      </x:c>
      <x:c r="AP450" s="14" t="str">
        <x:v>Out of scope</x:v>
      </x:c>
      <x:c r="AQ450" s="14" t="str">
        <x:v>No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1</x:v>
      </x:c>
      <x:c r="BS450" s="16" t="n">
        <x:v>0.08333333333333333</x:v>
      </x:c>
      <x:c r="BT450" s="14" t="str">
        <x:v>One episode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tt15768158|nm2129762|kevin</x:v>
      </x:c>
      <x:c r="B451" s="14" t="str">
        <x:v>05</x:v>
      </x:c>
      <x:c r="C451" s="14" t="str">
        <x:v>2022_IMDb_Cast_Lists_Batch_05(1).xlsx</x:v>
      </x:c>
      <x:c r="D451" s="14" t="str">
        <x:v>Tell Me Everything</x:v>
      </x:c>
      <x:c r="E451" s="14" t="n">
        <x:v>48</x:v>
      </x:c>
      <x:c r="F451" s="14" t="str">
        <x:v>Tell Me Everything</x:v>
      </x:c>
      <x:c r="G451" s="14" t="str">
        <x:v>tt15768158</x:v>
      </x:c>
      <x:c r="H451" s="14" t="n">
        <x:v>2022</x:v>
      </x:c>
      <x:c r="I451" s="14" t="n">
        <x:v>2023</x:v>
      </x:c>
      <x:c r="J451" s="14" t="str">
        <x:v>Future Carry-Forward Cohort</x:v>
      </x:c>
      <x:c r="K451" s="14" t="n">
        <x:v>2022</x:v>
      </x:c>
      <x:c r="L451" s="14" t="str">
        <x:v>Not inherited</x:v>
      </x:c>
      <x:c r="M451" s="15" t="n">
        <x:v>41</x:v>
      </x:c>
      <x:c r="N451" s="14" t="str">
        <x:v>Charles Angiama</x:v>
      </x:c>
      <x:c r="O451" s="14" t="str">
        <x:v>nm2129762</x:v>
      </x:c>
      <x:c r="P451" s="14" t="str">
        <x:v>Kevin</x:v>
      </x:c>
      <x:c r="Q451" s="15" t="n">
        <x:v>1</x:v>
      </x:c>
      <x:c r="R451" s="14" t="str">
        <x:v>2024</x:v>
      </x:c>
      <x:c r="S451" s="14" t="n">
        <x:v>2024</x:v>
      </x:c>
      <x:c r="T451" s="14" t="n">
        <x:v>2024</x:v>
      </x:c>
      <x:c r="U451" s="14" t="str">
        <x:v>Explicit source first year retained</x:v>
      </x:c>
      <x:c r="V451" s="14" t="str">
        <x:v>Earliest supplied year is 2024.</x:v>
      </x:c>
      <x:c r="W451" s="14"/>
      <x:c r="X451" s="14" t="str">
        <x:v>Carried forward to 2024</x:v>
      </x:c>
      <x:c r="Y451" s="14"/>
      <x:c r="Z451" s="14" t="str">
        <x:v>Tell Me Everything.docx</x:v>
      </x:c>
      <x:c r="AA45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ITV / ITVX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HYPERLINK("https://en.wikipedia.org/wiki/Tell_Me_Everything","Open source")</x:f>
        <x:v>HYPERLINK is not implemented. linkLocation=https://en.wikipedia.org/wiki/Tell_Me_Everything, friendlyName=Open source</x:v>
      </x:c>
      <x:c r="AN451" s="14" t="str">
        <x:v>No qualifying BBC relationship</x:v>
      </x:c>
      <x:c r="AO451" s="14" t="str">
        <x:v>No</x:v>
      </x:c>
      <x:c r="AP451" s="14" t="str">
        <x:v>Out of scope</x:v>
      </x:c>
      <x:c r="AQ451" s="14" t="str">
        <x:v>No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1</x:v>
      </x:c>
      <x:c r="BS451" s="16" t="n">
        <x:v>0.08333333333333333</x:v>
      </x:c>
      <x:c r="BT451" s="14" t="str">
        <x:v>One episode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tt15768158|nm0475988|raj</x:v>
      </x:c>
      <x:c r="B452" s="14" t="str">
        <x:v>05</x:v>
      </x:c>
      <x:c r="C452" s="14" t="str">
        <x:v>2022_IMDb_Cast_Lists_Batch_05(1).xlsx</x:v>
      </x:c>
      <x:c r="D452" s="14" t="str">
        <x:v>Tell Me Everything</x:v>
      </x:c>
      <x:c r="E452" s="14" t="n">
        <x:v>49</x:v>
      </x:c>
      <x:c r="F452" s="14" t="str">
        <x:v>Tell Me Everything</x:v>
      </x:c>
      <x:c r="G452" s="14" t="str">
        <x:v>tt15768158</x:v>
      </x:c>
      <x:c r="H452" s="14" t="n">
        <x:v>2022</x:v>
      </x:c>
      <x:c r="I452" s="14" t="n">
        <x:v>2023</x:v>
      </x:c>
      <x:c r="J452" s="14" t="str">
        <x:v>Future Carry-Forward Cohort</x:v>
      </x:c>
      <x:c r="K452" s="14" t="n">
        <x:v>2022</x:v>
      </x:c>
      <x:c r="L452" s="14" t="str">
        <x:v>Not inherited</x:v>
      </x:c>
      <x:c r="M452" s="15" t="n">
        <x:v>42</x:v>
      </x:c>
      <x:c r="N452" s="14" t="str">
        <x:v>Akbar Kurtha</x:v>
      </x:c>
      <x:c r="O452" s="14" t="str">
        <x:v>nm0475988</x:v>
      </x:c>
      <x:c r="P452" s="14" t="str">
        <x:v>Raj</x:v>
      </x:c>
      <x:c r="Q452" s="15" t="n">
        <x:v>1</x:v>
      </x:c>
      <x:c r="R452" s="14" t="str">
        <x:v>2024</x:v>
      </x:c>
      <x:c r="S452" s="14" t="n">
        <x:v>2024</x:v>
      </x:c>
      <x:c r="T452" s="14" t="n">
        <x:v>2024</x:v>
      </x:c>
      <x:c r="U452" s="14" t="str">
        <x:v>Explicit source first year retained</x:v>
      </x:c>
      <x:c r="V452" s="14" t="str">
        <x:v>Earliest supplied year is 2024.</x:v>
      </x:c>
      <x:c r="W452" s="14"/>
      <x:c r="X452" s="14" t="str">
        <x:v>Carried forward to 2024</x:v>
      </x:c>
      <x:c r="Y452" s="14"/>
      <x:c r="Z452" s="14" t="str">
        <x:v>Tell Me Everything.docx</x:v>
      </x:c>
      <x:c r="AA45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ITV / ITVX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HYPERLINK("https://en.wikipedia.org/wiki/Tell_Me_Everything","Open source")</x:f>
        <x:v>HYPERLINK is not implemented. linkLocation=https://en.wikipedia.org/wiki/Tell_Me_Everything, friendlyName=Open source</x:v>
      </x:c>
      <x:c r="AN452" s="14" t="str">
        <x:v>No qualifying BBC relationship</x:v>
      </x:c>
      <x:c r="AO452" s="14" t="str">
        <x:v>No</x:v>
      </x:c>
      <x:c r="AP452" s="14" t="str">
        <x:v>Out of scope</x:v>
      </x:c>
      <x:c r="AQ452" s="14" t="str">
        <x:v>No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0.08333333333333333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tt15768158|nm6712875|scary mary</x:v>
      </x:c>
      <x:c r="B453" s="14" t="str">
        <x:v>05</x:v>
      </x:c>
      <x:c r="C453" s="14" t="str">
        <x:v>2022_IMDb_Cast_Lists_Batch_05(1).xlsx</x:v>
      </x:c>
      <x:c r="D453" s="14" t="str">
        <x:v>Tell Me Everything</x:v>
      </x:c>
      <x:c r="E453" s="14" t="n">
        <x:v>50</x:v>
      </x:c>
      <x:c r="F453" s="14" t="str">
        <x:v>Tell Me Everything</x:v>
      </x:c>
      <x:c r="G453" s="14" t="str">
        <x:v>tt15768158</x:v>
      </x:c>
      <x:c r="H453" s="14" t="n">
        <x:v>2022</x:v>
      </x:c>
      <x:c r="I453" s="14" t="n">
        <x:v>2023</x:v>
      </x:c>
      <x:c r="J453" s="14" t="str">
        <x:v>Future Carry-Forward Cohort</x:v>
      </x:c>
      <x:c r="K453" s="14" t="n">
        <x:v>2022</x:v>
      </x:c>
      <x:c r="L453" s="14" t="str">
        <x:v>Not inherited</x:v>
      </x:c>
      <x:c r="M453" s="15" t="n">
        <x:v>43</x:v>
      </x:c>
      <x:c r="N453" s="14" t="str">
        <x:v>Sarah Mayhew</x:v>
      </x:c>
      <x:c r="O453" s="14" t="str">
        <x:v>nm6712875</x:v>
      </x:c>
      <x:c r="P453" s="14" t="str">
        <x:v>Scary Mary</x:v>
      </x:c>
      <x:c r="Q453" s="15" t="n">
        <x:v>1</x:v>
      </x:c>
      <x:c r="R453" s="14" t="str">
        <x:v>2024</x:v>
      </x:c>
      <x:c r="S453" s="14" t="n">
        <x:v>2024</x:v>
      </x:c>
      <x:c r="T453" s="14" t="n">
        <x:v>2024</x:v>
      </x:c>
      <x:c r="U453" s="14" t="str">
        <x:v>Explicit source first year retained</x:v>
      </x:c>
      <x:c r="V453" s="14" t="str">
        <x:v>Earliest supplied year is 2024.</x:v>
      </x:c>
      <x:c r="W453" s="14"/>
      <x:c r="X453" s="14" t="str">
        <x:v>Carried forward to 2024</x:v>
      </x:c>
      <x:c r="Y453" s="14"/>
      <x:c r="Z453" s="14" t="str">
        <x:v>Tell Me Everything.docx</x:v>
      </x:c>
      <x:c r="AA45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ITV / ITVX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HYPERLINK("https://en.wikipedia.org/wiki/Tell_Me_Everything","Open source")</x:f>
        <x:v>HYPERLINK is not implemented. linkLocation=https://en.wikipedia.org/wiki/Tell_Me_Everything, friendlyName=Open source</x:v>
      </x:c>
      <x:c r="AN453" s="14" t="str">
        <x:v>No qualifying BBC relationship</x:v>
      </x:c>
      <x:c r="AO453" s="14" t="str">
        <x:v>No</x:v>
      </x:c>
      <x:c r="AP453" s="14" t="str">
        <x:v>Out of scope</x:v>
      </x:c>
      <x:c r="AQ453" s="14" t="str">
        <x:v>No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0.08333333333333333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tt15768158|nm14037660|will</x:v>
      </x:c>
      <x:c r="B454" s="14" t="str">
        <x:v>05</x:v>
      </x:c>
      <x:c r="C454" s="14" t="str">
        <x:v>2022_IMDb_Cast_Lists_Batch_05(1).xlsx</x:v>
      </x:c>
      <x:c r="D454" s="14" t="str">
        <x:v>Tell Me Everything</x:v>
      </x:c>
      <x:c r="E454" s="14" t="n">
        <x:v>51</x:v>
      </x:c>
      <x:c r="F454" s="14" t="str">
        <x:v>Tell Me Everything</x:v>
      </x:c>
      <x:c r="G454" s="14" t="str">
        <x:v>tt15768158</x:v>
      </x:c>
      <x:c r="H454" s="14" t="n">
        <x:v>2022</x:v>
      </x:c>
      <x:c r="I454" s="14" t="n">
        <x:v>2023</x:v>
      </x:c>
      <x:c r="J454" s="14" t="str">
        <x:v>Future Carry-Forward Cohort</x:v>
      </x:c>
      <x:c r="K454" s="14" t="n">
        <x:v>2022</x:v>
      </x:c>
      <x:c r="L454" s="14" t="str">
        <x:v>Not inherited</x:v>
      </x:c>
      <x:c r="M454" s="15" t="n">
        <x:v>44</x:v>
      </x:c>
      <x:c r="N454" s="14" t="str">
        <x:v>Marcus Amaglo</x:v>
      </x:c>
      <x:c r="O454" s="14" t="str">
        <x:v>nm14037660</x:v>
      </x:c>
      <x:c r="P454" s="14" t="str">
        <x:v>Will</x:v>
      </x:c>
      <x:c r="Q454" s="15" t="n">
        <x:v>1</x:v>
      </x:c>
      <x:c r="R454" s="14" t="str">
        <x:v>2024</x:v>
      </x:c>
      <x:c r="S454" s="14" t="n">
        <x:v>2024</x:v>
      </x:c>
      <x:c r="T454" s="14" t="n">
        <x:v>2024</x:v>
      </x:c>
      <x:c r="U454" s="14" t="str">
        <x:v>Explicit source first year retained</x:v>
      </x:c>
      <x:c r="V454" s="14" t="str">
        <x:v>Earliest supplied year is 2024.</x:v>
      </x:c>
      <x:c r="W454" s="14"/>
      <x:c r="X454" s="14" t="str">
        <x:v>Carried forward to 2024</x:v>
      </x:c>
      <x:c r="Y454" s="14"/>
      <x:c r="Z454" s="14" t="str">
        <x:v>Tell Me Everything.docx</x:v>
      </x:c>
      <x:c r="AA45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ITV / ITVX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HYPERLINK("https://en.wikipedia.org/wiki/Tell_Me_Everything","Open source")</x:f>
        <x:v>HYPERLINK is not implemented. linkLocation=https://en.wikipedia.org/wiki/Tell_Me_Everything, friendlyName=Open source</x:v>
      </x:c>
      <x:c r="AN454" s="14" t="str">
        <x:v>No qualifying BBC relationship</x:v>
      </x:c>
      <x:c r="AO454" s="14" t="str">
        <x:v>No</x:v>
      </x:c>
      <x:c r="AP454" s="14" t="str">
        <x:v>Out of scope</x:v>
      </x:c>
      <x:c r="AQ454" s="14" t="str">
        <x:v>No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0.08333333333333333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tt15768158|nm11067261|lad</x:v>
      </x:c>
      <x:c r="B455" s="14" t="str">
        <x:v>05</x:v>
      </x:c>
      <x:c r="C455" s="14" t="str">
        <x:v>2022_IMDb_Cast_Lists_Batch_05(1).xlsx</x:v>
      </x:c>
      <x:c r="D455" s="14" t="str">
        <x:v>Tell Me Everything</x:v>
      </x:c>
      <x:c r="E455" s="14" t="n">
        <x:v>52</x:v>
      </x:c>
      <x:c r="F455" s="14" t="str">
        <x:v>Tell Me Everything</x:v>
      </x:c>
      <x:c r="G455" s="14" t="str">
        <x:v>tt15768158</x:v>
      </x:c>
      <x:c r="H455" s="14" t="n">
        <x:v>2022</x:v>
      </x:c>
      <x:c r="I455" s="14" t="n">
        <x:v>2023</x:v>
      </x:c>
      <x:c r="J455" s="14" t="str">
        <x:v>Future Carry-Forward Cohort</x:v>
      </x:c>
      <x:c r="K455" s="14" t="n">
        <x:v>2022</x:v>
      </x:c>
      <x:c r="L455" s="14" t="str">
        <x:v>Not inherited</x:v>
      </x:c>
      <x:c r="M455" s="15" t="n">
        <x:v>45</x:v>
      </x:c>
      <x:c r="N455" s="14" t="str">
        <x:v>Max Hastings</x:v>
      </x:c>
      <x:c r="O455" s="14" t="str">
        <x:v>nm11067261</x:v>
      </x:c>
      <x:c r="P455" s="14" t="str">
        <x:v>Lad</x:v>
      </x:c>
      <x:c r="Q455" s="15" t="n">
        <x:v>1</x:v>
      </x:c>
      <x:c r="R455" s="14" t="str">
        <x:v>2024</x:v>
      </x:c>
      <x:c r="S455" s="14" t="n">
        <x:v>2024</x:v>
      </x:c>
      <x:c r="T455" s="14" t="n">
        <x:v>2024</x:v>
      </x:c>
      <x:c r="U455" s="14" t="str">
        <x:v>Explicit source first year retained</x:v>
      </x:c>
      <x:c r="V455" s="14" t="str">
        <x:v>Earliest supplied year is 2024.</x:v>
      </x:c>
      <x:c r="W455" s="14"/>
      <x:c r="X455" s="14" t="str">
        <x:v>Carried forward to 2024</x:v>
      </x:c>
      <x:c r="Y455" s="14"/>
      <x:c r="Z455" s="14" t="str">
        <x:v>Tell Me Everything.docx</x:v>
      </x:c>
      <x:c r="AA45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ITV / ITVX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HYPERLINK("https://en.wikipedia.org/wiki/Tell_Me_Everything","Open source")</x:f>
        <x:v>HYPERLINK is not implemented. linkLocation=https://en.wikipedia.org/wiki/Tell_Me_Everything, friendlyName=Open source</x:v>
      </x:c>
      <x:c r="AN455" s="14" t="str">
        <x:v>No qualifying BBC relationship</x:v>
      </x:c>
      <x:c r="AO455" s="14" t="str">
        <x:v>No</x:v>
      </x:c>
      <x:c r="AP455" s="14" t="str">
        <x:v>Out of scope</x:v>
      </x:c>
      <x:c r="AQ455" s="14" t="str">
        <x:v>No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0.08333333333333333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tt15768158|nm11252575|security guard</x:v>
      </x:c>
      <x:c r="B456" s="14" t="str">
        <x:v>05</x:v>
      </x:c>
      <x:c r="C456" s="14" t="str">
        <x:v>2022_IMDb_Cast_Lists_Batch_05(1).xlsx</x:v>
      </x:c>
      <x:c r="D456" s="14" t="str">
        <x:v>Tell Me Everything</x:v>
      </x:c>
      <x:c r="E456" s="14" t="n">
        <x:v>53</x:v>
      </x:c>
      <x:c r="F456" s="14" t="str">
        <x:v>Tell Me Everything</x:v>
      </x:c>
      <x:c r="G456" s="14" t="str">
        <x:v>tt15768158</x:v>
      </x:c>
      <x:c r="H456" s="14" t="n">
        <x:v>2022</x:v>
      </x:c>
      <x:c r="I456" s="14" t="n">
        <x:v>2023</x:v>
      </x:c>
      <x:c r="J456" s="14" t="str">
        <x:v>Future Carry-Forward Cohort</x:v>
      </x:c>
      <x:c r="K456" s="14" t="n">
        <x:v>2022</x:v>
      </x:c>
      <x:c r="L456" s="14" t="str">
        <x:v>Not inherited</x:v>
      </x:c>
      <x:c r="M456" s="15" t="n">
        <x:v>46</x:v>
      </x:c>
      <x:c r="N456" s="14" t="str">
        <x:v>Francis Ezekiel</x:v>
      </x:c>
      <x:c r="O456" s="14" t="str">
        <x:v>nm11252575</x:v>
      </x:c>
      <x:c r="P456" s="14" t="str">
        <x:v>Security Guard</x:v>
      </x:c>
      <x:c r="Q456" s="15" t="n">
        <x:v>1</x:v>
      </x:c>
      <x:c r="R456" s="14" t="str">
        <x:v>2024</x:v>
      </x:c>
      <x:c r="S456" s="14" t="n">
        <x:v>2024</x:v>
      </x:c>
      <x:c r="T456" s="14" t="n">
        <x:v>2024</x:v>
      </x:c>
      <x:c r="U456" s="14" t="str">
        <x:v>Explicit source first year retained</x:v>
      </x:c>
      <x:c r="V456" s="14" t="str">
        <x:v>Earliest supplied year is 2024.</x:v>
      </x:c>
      <x:c r="W456" s="14"/>
      <x:c r="X456" s="14" t="str">
        <x:v>Carried forward to 2024</x:v>
      </x:c>
      <x:c r="Y456" s="14"/>
      <x:c r="Z456" s="14" t="str">
        <x:v>Tell Me Everything.docx</x:v>
      </x:c>
      <x:c r="AA45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ITV / ITVX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HYPERLINK("https://en.wikipedia.org/wiki/Tell_Me_Everything","Open source")</x:f>
        <x:v>HYPERLINK is not implemented. linkLocation=https://en.wikipedia.org/wiki/Tell_Me_Everything, friendlyName=Open source</x:v>
      </x:c>
      <x:c r="AN456" s="14" t="str">
        <x:v>No qualifying BBC relationship</x:v>
      </x:c>
      <x:c r="AO456" s="14" t="str">
        <x:v>No</x:v>
      </x:c>
      <x:c r="AP456" s="14" t="str">
        <x:v>Out of scope</x:v>
      </x:c>
      <x:c r="AQ456" s="14" t="str">
        <x:v>No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0.08333333333333333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tt15768158|nm13995543|abbie</x:v>
      </x:c>
      <x:c r="B457" s="14" t="str">
        <x:v>05</x:v>
      </x:c>
      <x:c r="C457" s="14" t="str">
        <x:v>2022_IMDb_Cast_Lists_Batch_05(1).xlsx</x:v>
      </x:c>
      <x:c r="D457" s="14" t="str">
        <x:v>Tell Me Everything</x:v>
      </x:c>
      <x:c r="E457" s="14" t="n">
        <x:v>55</x:v>
      </x:c>
      <x:c r="F457" s="14" t="str">
        <x:v>Tell Me Everything</x:v>
      </x:c>
      <x:c r="G457" s="14" t="str">
        <x:v>tt15768158</x:v>
      </x:c>
      <x:c r="H457" s="14" t="n">
        <x:v>2022</x:v>
      </x:c>
      <x:c r="I457" s="14" t="n">
        <x:v>2023</x:v>
      </x:c>
      <x:c r="J457" s="14" t="str">
        <x:v>Future Carry-Forward Cohort</x:v>
      </x:c>
      <x:c r="K457" s="14" t="n">
        <x:v>2022</x:v>
      </x:c>
      <x:c r="L457" s="14" t="str">
        <x:v>Not inherited</x:v>
      </x:c>
      <x:c r="M457" s="15" t="n">
        <x:v>48</x:v>
      </x:c>
      <x:c r="N457" s="14" t="str">
        <x:v>Mila Hayes</x:v>
      </x:c>
      <x:c r="O457" s="14" t="str">
        <x:v>nm13995543</x:v>
      </x:c>
      <x:c r="P457" s="14" t="str">
        <x:v>Abbie</x:v>
      </x:c>
      <x:c r="Q457" s="15" t="n">
        <x:v>1</x:v>
      </x:c>
      <x:c r="R457" s="14" t="str">
        <x:v>2024</x:v>
      </x:c>
      <x:c r="S457" s="14" t="n">
        <x:v>2024</x:v>
      </x:c>
      <x:c r="T457" s="14" t="n">
        <x:v>2024</x:v>
      </x:c>
      <x:c r="U457" s="14" t="str">
        <x:v>Explicit source first year retained</x:v>
      </x:c>
      <x:c r="V457" s="14" t="str">
        <x:v>Earliest supplied year is 2024.</x:v>
      </x:c>
      <x:c r="W457" s="14"/>
      <x:c r="X457" s="14" t="str">
        <x:v>Carried forward to 2024</x:v>
      </x:c>
      <x:c r="Y457" s="14"/>
      <x:c r="Z457" s="14" t="str">
        <x:v>Tell Me Everything.docx</x:v>
      </x:c>
      <x:c r="AA45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ITV / ITVX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HYPERLINK("https://en.wikipedia.org/wiki/Tell_Me_Everything","Open source")</x:f>
        <x:v>HYPERLINK is not implemented. linkLocation=https://en.wikipedia.org/wiki/Tell_Me_Everything, friendlyName=Open source</x:v>
      </x:c>
      <x:c r="AN457" s="14" t="str">
        <x:v>No qualifying BBC relationship</x:v>
      </x:c>
      <x:c r="AO457" s="14" t="str">
        <x:v>No</x:v>
      </x:c>
      <x:c r="AP457" s="14" t="str">
        <x:v>Out of scope</x:v>
      </x:c>
      <x:c r="AQ457" s="14" t="str">
        <x:v>No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0.08333333333333333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tt15768158|nm7150152|pc nicholls</x:v>
      </x:c>
      <x:c r="B458" s="14" t="str">
        <x:v>05</x:v>
      </x:c>
      <x:c r="C458" s="14" t="str">
        <x:v>2022_IMDb_Cast_Lists_Batch_05(1).xlsx</x:v>
      </x:c>
      <x:c r="D458" s="14" t="str">
        <x:v>Tell Me Everything</x:v>
      </x:c>
      <x:c r="E458" s="14" t="n">
        <x:v>56</x:v>
      </x:c>
      <x:c r="F458" s="14" t="str">
        <x:v>Tell Me Everything</x:v>
      </x:c>
      <x:c r="G458" s="14" t="str">
        <x:v>tt15768158</x:v>
      </x:c>
      <x:c r="H458" s="14" t="n">
        <x:v>2022</x:v>
      </x:c>
      <x:c r="I458" s="14" t="n">
        <x:v>2023</x:v>
      </x:c>
      <x:c r="J458" s="14" t="str">
        <x:v>Future Carry-Forward Cohort</x:v>
      </x:c>
      <x:c r="K458" s="14" t="n">
        <x:v>2022</x:v>
      </x:c>
      <x:c r="L458" s="14" t="str">
        <x:v>Not inherited</x:v>
      </x:c>
      <x:c r="M458" s="15" t="n">
        <x:v>49</x:v>
      </x:c>
      <x:c r="N458" s="14" t="str">
        <x:v>Abbie Murphy</x:v>
      </x:c>
      <x:c r="O458" s="14" t="str">
        <x:v>nm7150152</x:v>
      </x:c>
      <x:c r="P458" s="14" t="str">
        <x:v>PC Nicholls</x:v>
      </x:c>
      <x:c r="Q458" s="15" t="n">
        <x:v>1</x:v>
      </x:c>
      <x:c r="R458" s="14" t="str">
        <x:v>2024</x:v>
      </x:c>
      <x:c r="S458" s="14" t="n">
        <x:v>2024</x:v>
      </x:c>
      <x:c r="T458" s="14" t="n">
        <x:v>2024</x:v>
      </x:c>
      <x:c r="U458" s="14" t="str">
        <x:v>Explicit source first year retained</x:v>
      </x:c>
      <x:c r="V458" s="14" t="str">
        <x:v>Earliest supplied year is 2024.</x:v>
      </x:c>
      <x:c r="W458" s="14"/>
      <x:c r="X458" s="14" t="str">
        <x:v>Carried forward to 2024</x:v>
      </x:c>
      <x:c r="Y458" s="14"/>
      <x:c r="Z458" s="14" t="str">
        <x:v>Tell Me Everything.docx</x:v>
      </x:c>
      <x:c r="AA45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ITV / ITVX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HYPERLINK("https://en.wikipedia.org/wiki/Tell_Me_Everything","Open source")</x:f>
        <x:v>HYPERLINK is not implemented. linkLocation=https://en.wikipedia.org/wiki/Tell_Me_Everything, friendlyName=Open source</x:v>
      </x:c>
      <x:c r="AN458" s="14" t="str">
        <x:v>No qualifying BBC relationship</x:v>
      </x:c>
      <x:c r="AO458" s="14" t="str">
        <x:v>No</x:v>
      </x:c>
      <x:c r="AP458" s="14" t="str">
        <x:v>Out of scope</x:v>
      </x:c>
      <x:c r="AQ458" s="14" t="str">
        <x:v>No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tt15768158|nm0745509|samira</x:v>
      </x:c>
      <x:c r="B459" s="14" t="str">
        <x:v>05</x:v>
      </x:c>
      <x:c r="C459" s="14" t="str">
        <x:v>2022_IMDb_Cast_Lists_Batch_05(1).xlsx</x:v>
      </x:c>
      <x:c r="D459" s="14" t="str">
        <x:v>Tell Me Everything</x:v>
      </x:c>
      <x:c r="E459" s="14" t="n">
        <x:v>60</x:v>
      </x:c>
      <x:c r="F459" s="14" t="str">
        <x:v>Tell Me Everything</x:v>
      </x:c>
      <x:c r="G459" s="14" t="str">
        <x:v>tt15768158</x:v>
      </x:c>
      <x:c r="H459" s="14" t="n">
        <x:v>2022</x:v>
      </x:c>
      <x:c r="I459" s="14" t="n">
        <x:v>2023</x:v>
      </x:c>
      <x:c r="J459" s="14" t="str">
        <x:v>Future Carry-Forward Cohort</x:v>
      </x:c>
      <x:c r="K459" s="14" t="n">
        <x:v>2022</x:v>
      </x:c>
      <x:c r="L459" s="14" t="str">
        <x:v>Not inherited</x:v>
      </x:c>
      <x:c r="M459" s="15" t="n">
        <x:v>53</x:v>
      </x:c>
      <x:c r="N459" s="14" t="str">
        <x:v>Laila Rouass</x:v>
      </x:c>
      <x:c r="O459" s="14" t="str">
        <x:v>nm0745509</x:v>
      </x:c>
      <x:c r="P459" s="14" t="str">
        <x:v>Samira</x:v>
      </x:c>
      <x:c r="Q459" s="15" t="n">
        <x:v>1</x:v>
      </x:c>
      <x:c r="R459" s="14" t="str">
        <x:v>2024</x:v>
      </x:c>
      <x:c r="S459" s="14" t="n">
        <x:v>2024</x:v>
      </x:c>
      <x:c r="T459" s="14" t="n">
        <x:v>2024</x:v>
      </x:c>
      <x:c r="U459" s="14" t="str">
        <x:v>Explicit source first year retained</x:v>
      </x:c>
      <x:c r="V459" s="14" t="str">
        <x:v>Earliest supplied year is 2024.</x:v>
      </x:c>
      <x:c r="W459" s="14"/>
      <x:c r="X459" s="14" t="str">
        <x:v>Carried forward to 2024</x:v>
      </x:c>
      <x:c r="Y459" s="14"/>
      <x:c r="Z459" s="14" t="str">
        <x:v>Tell Me Everything.docx</x:v>
      </x:c>
      <x:c r="AA45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ITV / ITVX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HYPERLINK("https://en.wikipedia.org/wiki/Tell_Me_Everything","Open source")</x:f>
        <x:v>HYPERLINK is not implemented. linkLocation=https://en.wikipedia.org/wiki/Tell_Me_Everything,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12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1</x:v>
      </x:c>
      <x:c r="BS459" s="16" t="n">
        <x:v>0.08333333333333333</x:v>
      </x:c>
      <x:c r="BT459" s="14" t="str">
        <x:v>One episode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tt15768158|nm0600460|drama teacher</x:v>
      </x:c>
      <x:c r="B460" s="14" t="str">
        <x:v>05</x:v>
      </x:c>
      <x:c r="C460" s="14" t="str">
        <x:v>2022_IMDb_Cast_Lists_Batch_05(1).xlsx</x:v>
      </x:c>
      <x:c r="D460" s="14" t="str">
        <x:v>Tell Me Everything</x:v>
      </x:c>
      <x:c r="E460" s="14" t="n">
        <x:v>61</x:v>
      </x:c>
      <x:c r="F460" s="14" t="str">
        <x:v>Tell Me Everything</x:v>
      </x:c>
      <x:c r="G460" s="14" t="str">
        <x:v>tt15768158</x:v>
      </x:c>
      <x:c r="H460" s="14" t="n">
        <x:v>2022</x:v>
      </x:c>
      <x:c r="I460" s="14" t="n">
        <x:v>2023</x:v>
      </x:c>
      <x:c r="J460" s="14" t="str">
        <x:v>Future Carry-Forward Cohort</x:v>
      </x:c>
      <x:c r="K460" s="14" t="n">
        <x:v>2022</x:v>
      </x:c>
      <x:c r="L460" s="14" t="str">
        <x:v>Not inherited</x:v>
      </x:c>
      <x:c r="M460" s="15" t="n">
        <x:v>54</x:v>
      </x:c>
      <x:c r="N460" s="14" t="str">
        <x:v>Clare Lawrence Moody</x:v>
      </x:c>
      <x:c r="O460" s="14" t="str">
        <x:v>nm0600460</x:v>
      </x:c>
      <x:c r="P460" s="14" t="str">
        <x:v>Drama Teacher</x:v>
      </x:c>
      <x:c r="Q460" s="15" t="n">
        <x:v>1</x:v>
      </x:c>
      <x:c r="R460" s="14" t="str">
        <x:v>2024</x:v>
      </x:c>
      <x:c r="S460" s="14" t="n">
        <x:v>2024</x:v>
      </x:c>
      <x:c r="T460" s="14" t="n">
        <x:v>2024</x:v>
      </x:c>
      <x:c r="U460" s="14" t="str">
        <x:v>Explicit source first year retained</x:v>
      </x:c>
      <x:c r="V460" s="14" t="str">
        <x:v>Earliest supplied year is 2024.</x:v>
      </x:c>
      <x:c r="W460" s="14"/>
      <x:c r="X460" s="14" t="str">
        <x:v>Carried forward to 2024</x:v>
      </x:c>
      <x:c r="Y460" s="14"/>
      <x:c r="Z460" s="14" t="str">
        <x:v>Tell Me Everything.docx</x:v>
      </x:c>
      <x:c r="AA46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ITV / ITVX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HYPERLINK("https://en.wikipedia.org/wiki/Tell_Me_Everything","Open source")</x:f>
        <x:v>HYPERLINK is not implemented. linkLocation=https://en.wikipedia.org/wiki/Tell_Me_Everything,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12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0.08333333333333333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tt15768158|nm6537691|jake</x:v>
      </x:c>
      <x:c r="B461" s="14" t="str">
        <x:v>05</x:v>
      </x:c>
      <x:c r="C461" s="14" t="str">
        <x:v>2022_IMDb_Cast_Lists_Batch_05(1).xlsx</x:v>
      </x:c>
      <x:c r="D461" s="14" t="str">
        <x:v>Tell Me Everything</x:v>
      </x:c>
      <x:c r="E461" s="14" t="n">
        <x:v>64</x:v>
      </x:c>
      <x:c r="F461" s="14" t="str">
        <x:v>Tell Me Everything</x:v>
      </x:c>
      <x:c r="G461" s="14" t="str">
        <x:v>tt15768158</x:v>
      </x:c>
      <x:c r="H461" s="14" t="n">
        <x:v>2022</x:v>
      </x:c>
      <x:c r="I461" s="14" t="n">
        <x:v>2023</x:v>
      </x:c>
      <x:c r="J461" s="14" t="str">
        <x:v>Future Carry-Forward Cohort</x:v>
      </x:c>
      <x:c r="K461" s="14" t="n">
        <x:v>2022</x:v>
      </x:c>
      <x:c r="L461" s="14" t="str">
        <x:v>Not inherited</x:v>
      </x:c>
      <x:c r="M461" s="15" t="n">
        <x:v>57</x:v>
      </x:c>
      <x:c r="N461" s="14" t="str">
        <x:v>Samuel Paul Small</x:v>
      </x:c>
      <x:c r="O461" s="14" t="str">
        <x:v>nm6537691</x:v>
      </x:c>
      <x:c r="P461" s="14" t="str">
        <x:v>Jake</x:v>
      </x:c>
      <x:c r="Q461" s="15" t="n">
        <x:v>1</x:v>
      </x:c>
      <x:c r="R461" s="14" t="str">
        <x:v>2024</x:v>
      </x:c>
      <x:c r="S461" s="14" t="n">
        <x:v>2024</x:v>
      </x:c>
      <x:c r="T461" s="14" t="n">
        <x:v>2024</x:v>
      </x:c>
      <x:c r="U461" s="14" t="str">
        <x:v>Explicit source first year retained</x:v>
      </x:c>
      <x:c r="V461" s="14" t="str">
        <x:v>Earliest supplied year is 2024.</x:v>
      </x:c>
      <x:c r="W461" s="14"/>
      <x:c r="X461" s="14" t="str">
        <x:v>Carried forward to 2024</x:v>
      </x:c>
      <x:c r="Y461" s="14" t="str">
        <x:v>(as Samuel Small)</x:v>
      </x:c>
      <x:c r="Z461" s="14" t="str">
        <x:v>Tell Me Everything.docx</x:v>
      </x:c>
      <x:c r="AA46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ITV / ITVX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HYPERLINK("https://en.wikipedia.org/wiki/Tell_Me_Everything","Open source")</x:f>
        <x:v>HYPERLINK is not implemented. linkLocation=https://en.wikipedia.org/wiki/Tell_Me_Everything,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12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0.08333333333333333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tt15768158|nm1813540|sam - manager</x:v>
      </x:c>
      <x:c r="B462" s="14" t="str">
        <x:v>05</x:v>
      </x:c>
      <x:c r="C462" s="14" t="str">
        <x:v>2022_IMDb_Cast_Lists_Batch_05(1).xlsx</x:v>
      </x:c>
      <x:c r="D462" s="14" t="str">
        <x:v>Tell Me Everything</x:v>
      </x:c>
      <x:c r="E462" s="14" t="n">
        <x:v>65</x:v>
      </x:c>
      <x:c r="F462" s="14" t="str">
        <x:v>Tell Me Everything</x:v>
      </x:c>
      <x:c r="G462" s="14" t="str">
        <x:v>tt15768158</x:v>
      </x:c>
      <x:c r="H462" s="14" t="n">
        <x:v>2022</x:v>
      </x:c>
      <x:c r="I462" s="14" t="n">
        <x:v>2023</x:v>
      </x:c>
      <x:c r="J462" s="14" t="str">
        <x:v>Future Carry-Forward Cohort</x:v>
      </x:c>
      <x:c r="K462" s="14" t="n">
        <x:v>2022</x:v>
      </x:c>
      <x:c r="L462" s="14" t="str">
        <x:v>Not inherited</x:v>
      </x:c>
      <x:c r="M462" s="15" t="n">
        <x:v>58</x:v>
      </x:c>
      <x:c r="N462" s="14" t="str">
        <x:v>Graeme Rooney</x:v>
      </x:c>
      <x:c r="O462" s="14" t="str">
        <x:v>nm1813540</x:v>
      </x:c>
      <x:c r="P462" s="14" t="str">
        <x:v>Sam - Manager</x:v>
      </x:c>
      <x:c r="Q462" s="15" t="n">
        <x:v>1</x:v>
      </x:c>
      <x:c r="R462" s="14" t="str">
        <x:v>2024</x:v>
      </x:c>
      <x:c r="S462" s="14" t="n">
        <x:v>2024</x:v>
      </x:c>
      <x:c r="T462" s="14" t="n">
        <x:v>2024</x:v>
      </x:c>
      <x:c r="U462" s="14" t="str">
        <x:v>Explicit source first year retained</x:v>
      </x:c>
      <x:c r="V462" s="14" t="str">
        <x:v>Earliest supplied year is 2024.</x:v>
      </x:c>
      <x:c r="W462" s="14"/>
      <x:c r="X462" s="14" t="str">
        <x:v>Carried forward to 2024</x:v>
      </x:c>
      <x:c r="Y462" s="14"/>
      <x:c r="Z462" s="14" t="str">
        <x:v>Tell Me Everything.docx</x:v>
      </x:c>
      <x:c r="AA46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ITV / ITVX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HYPERLINK("https://en.wikipedia.org/wiki/Tell_Me_Everything","Open source")</x:f>
        <x:v>HYPERLINK is not implemented. linkLocation=https://en.wikipedia.org/wiki/Tell_Me_Everything,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12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0.08333333333333333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tt15768158|nm3308443|lumley</x:v>
      </x:c>
      <x:c r="B463" s="14" t="str">
        <x:v>05</x:v>
      </x:c>
      <x:c r="C463" s="14" t="str">
        <x:v>2022_IMDb_Cast_Lists_Batch_05(1).xlsx</x:v>
      </x:c>
      <x:c r="D463" s="14" t="str">
        <x:v>Tell Me Everything</x:v>
      </x:c>
      <x:c r="E463" s="14" t="n">
        <x:v>67</x:v>
      </x:c>
      <x:c r="F463" s="14" t="str">
        <x:v>Tell Me Everything</x:v>
      </x:c>
      <x:c r="G463" s="14" t="str">
        <x:v>tt15768158</x:v>
      </x:c>
      <x:c r="H463" s="14" t="n">
        <x:v>2022</x:v>
      </x:c>
      <x:c r="I463" s="14" t="n">
        <x:v>2023</x:v>
      </x:c>
      <x:c r="J463" s="14" t="str">
        <x:v>Future Carry-Forward Cohort</x:v>
      </x:c>
      <x:c r="K463" s="14" t="n">
        <x:v>2022</x:v>
      </x:c>
      <x:c r="L463" s="14" t="str">
        <x:v>Not inherited</x:v>
      </x:c>
      <x:c r="M463" s="15" t="n">
        <x:v>60</x:v>
      </x:c>
      <x:c r="N463" s="14" t="str">
        <x:v>Sam Pamphilon</x:v>
      </x:c>
      <x:c r="O463" s="14" t="str">
        <x:v>nm3308443</x:v>
      </x:c>
      <x:c r="P463" s="14" t="str">
        <x:v>Lumley</x:v>
      </x:c>
      <x:c r="Q463" s="15" t="n">
        <x:v>1</x:v>
      </x:c>
      <x:c r="R463" s="14" t="str">
        <x:v>2024</x:v>
      </x:c>
      <x:c r="S463" s="14" t="n">
        <x:v>2024</x:v>
      </x:c>
      <x:c r="T463" s="14" t="n">
        <x:v>2024</x:v>
      </x:c>
      <x:c r="U463" s="14" t="str">
        <x:v>Explicit source first year retained</x:v>
      </x:c>
      <x:c r="V463" s="14" t="str">
        <x:v>Earliest supplied year is 2024.</x:v>
      </x:c>
      <x:c r="W463" s="14"/>
      <x:c r="X463" s="14" t="str">
        <x:v>Carried forward to 2024</x:v>
      </x:c>
      <x:c r="Y463" s="14"/>
      <x:c r="Z463" s="14" t="str">
        <x:v>Tell Me Everything.docx</x:v>
      </x:c>
      <x:c r="AA46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ITV / ITVX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HYPERLINK("https://en.wikipedia.org/wiki/Tell_Me_Everything","Open source")</x:f>
        <x:v>HYPERLINK is not implemented. linkLocation=https://en.wikipedia.org/wiki/Tell_Me_Everything,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12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0.08333333333333333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tt15768158|nm13455188|psychiatrist</x:v>
      </x:c>
      <x:c r="B464" s="14" t="str">
        <x:v>05</x:v>
      </x:c>
      <x:c r="C464" s="14" t="str">
        <x:v>2022_IMDb_Cast_Lists_Batch_05(1).xlsx</x:v>
      </x:c>
      <x:c r="D464" s="14" t="str">
        <x:v>Tell Me Everything</x:v>
      </x:c>
      <x:c r="E464" s="14" t="n">
        <x:v>68</x:v>
      </x:c>
      <x:c r="F464" s="14" t="str">
        <x:v>Tell Me Everything</x:v>
      </x:c>
      <x:c r="G464" s="14" t="str">
        <x:v>tt15768158</x:v>
      </x:c>
      <x:c r="H464" s="14" t="n">
        <x:v>2022</x:v>
      </x:c>
      <x:c r="I464" s="14" t="n">
        <x:v>2023</x:v>
      </x:c>
      <x:c r="J464" s="14" t="str">
        <x:v>Future Carry-Forward Cohort</x:v>
      </x:c>
      <x:c r="K464" s="14" t="n">
        <x:v>2022</x:v>
      </x:c>
      <x:c r="L464" s="14" t="str">
        <x:v>Not inherited</x:v>
      </x:c>
      <x:c r="M464" s="15" t="n">
        <x:v>61</x:v>
      </x:c>
      <x:c r="N464" s="14" t="str">
        <x:v>Sara Odeen-Isbister</x:v>
      </x:c>
      <x:c r="O464" s="14" t="str">
        <x:v>nm13455188</x:v>
      </x:c>
      <x:c r="P464" s="14" t="str">
        <x:v>Psychiatrist</x:v>
      </x:c>
      <x:c r="Q464" s="15" t="n">
        <x:v>1</x:v>
      </x:c>
      <x:c r="R464" s="14" t="str">
        <x:v>2024</x:v>
      </x:c>
      <x:c r="S464" s="14" t="n">
        <x:v>2024</x:v>
      </x:c>
      <x:c r="T464" s="14" t="n">
        <x:v>2024</x:v>
      </x:c>
      <x:c r="U464" s="14" t="str">
        <x:v>Explicit source first year retained</x:v>
      </x:c>
      <x:c r="V464" s="14" t="str">
        <x:v>Earliest supplied year is 2024.</x:v>
      </x:c>
      <x:c r="W464" s="14"/>
      <x:c r="X464" s="14" t="str">
        <x:v>Carried forward to 2024</x:v>
      </x:c>
      <x:c r="Y464" s="14"/>
      <x:c r="Z464" s="14" t="str">
        <x:v>Tell Me Everything.docx</x:v>
      </x:c>
      <x:c r="AA46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ITV / ITVX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HYPERLINK("https://en.wikipedia.org/wiki/Tell_Me_Everything","Open source")</x:f>
        <x:v>HYPERLINK is not implemented. linkLocation=https://en.wikipedia.org/wiki/Tell_Me_Everything,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12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0.08333333333333333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tt15768158|nm1933793|miles</x:v>
      </x:c>
      <x:c r="B465" s="14" t="str">
        <x:v>05</x:v>
      </x:c>
      <x:c r="C465" s="14" t="str">
        <x:v>2022_IMDb_Cast_Lists_Batch_05(1).xlsx</x:v>
      </x:c>
      <x:c r="D465" s="14" t="str">
        <x:v>Tell Me Everything</x:v>
      </x:c>
      <x:c r="E465" s="14" t="n">
        <x:v>71</x:v>
      </x:c>
      <x:c r="F465" s="14" t="str">
        <x:v>Tell Me Everything</x:v>
      </x:c>
      <x:c r="G465" s="14" t="str">
        <x:v>tt15768158</x:v>
      </x:c>
      <x:c r="H465" s="14" t="n">
        <x:v>2022</x:v>
      </x:c>
      <x:c r="I465" s="14" t="n">
        <x:v>2023</x:v>
      </x:c>
      <x:c r="J465" s="14" t="str">
        <x:v>Future Carry-Forward Cohort</x:v>
      </x:c>
      <x:c r="K465" s="14" t="n">
        <x:v>2022</x:v>
      </x:c>
      <x:c r="L465" s="14" t="str">
        <x:v>Not inherited</x:v>
      </x:c>
      <x:c r="M465" s="15" t="n">
        <x:v>64</x:v>
      </x:c>
      <x:c r="N465" s="14" t="str">
        <x:v>Jake Tindle</x:v>
      </x:c>
      <x:c r="O465" s="14" t="str">
        <x:v>nm1933793</x:v>
      </x:c>
      <x:c r="P465" s="14" t="str">
        <x:v>Miles</x:v>
      </x:c>
      <x:c r="Q465" s="15" t="n">
        <x:v>1</x:v>
      </x:c>
      <x:c r="R465" s="14" t="str">
        <x:v>2024</x:v>
      </x:c>
      <x:c r="S465" s="14" t="n">
        <x:v>2024</x:v>
      </x:c>
      <x:c r="T465" s="14" t="n">
        <x:v>2024</x:v>
      </x:c>
      <x:c r="U465" s="14" t="str">
        <x:v>Explicit source first year retained</x:v>
      </x:c>
      <x:c r="V465" s="14" t="str">
        <x:v>Earliest supplied year is 2024.</x:v>
      </x:c>
      <x:c r="W465" s="14"/>
      <x:c r="X465" s="14" t="str">
        <x:v>Carried forward to 2024</x:v>
      </x:c>
      <x:c r="Y465" s="14"/>
      <x:c r="Z465" s="14" t="str">
        <x:v>Tell Me Everything.docx</x:v>
      </x:c>
      <x:c r="AA46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ITV / ITVX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HYPERLINK("https://en.wikipedia.org/wiki/Tell_Me_Everything","Open source")</x:f>
        <x:v>HYPERLINK is not implemented. linkLocation=https://en.wikipedia.org/wiki/Tell_Me_Everything,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12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0.08333333333333333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tt15768158|nm15964708|therapist</x:v>
      </x:c>
      <x:c r="B466" s="14" t="str">
        <x:v>05</x:v>
      </x:c>
      <x:c r="C466" s="14" t="str">
        <x:v>2022_IMDb_Cast_Lists_Batch_05(1).xlsx</x:v>
      </x:c>
      <x:c r="D466" s="14" t="str">
        <x:v>Tell Me Everything</x:v>
      </x:c>
      <x:c r="E466" s="14" t="n">
        <x:v>72</x:v>
      </x:c>
      <x:c r="F466" s="14" t="str">
        <x:v>Tell Me Everything</x:v>
      </x:c>
      <x:c r="G466" s="14" t="str">
        <x:v>tt15768158</x:v>
      </x:c>
      <x:c r="H466" s="14" t="n">
        <x:v>2022</x:v>
      </x:c>
      <x:c r="I466" s="14" t="n">
        <x:v>2023</x:v>
      </x:c>
      <x:c r="J466" s="14" t="str">
        <x:v>Future Carry-Forward Cohort</x:v>
      </x:c>
      <x:c r="K466" s="14" t="n">
        <x:v>2022</x:v>
      </x:c>
      <x:c r="L466" s="14" t="str">
        <x:v>Not inherited</x:v>
      </x:c>
      <x:c r="M466" s="15" t="n">
        <x:v>65</x:v>
      </x:c>
      <x:c r="N466" s="14" t="str">
        <x:v>Jennifer Marvaree-Robinson</x:v>
      </x:c>
      <x:c r="O466" s="14" t="str">
        <x:v>nm15964708</x:v>
      </x:c>
      <x:c r="P466" s="14" t="str">
        <x:v>Therapist</x:v>
      </x:c>
      <x:c r="Q466" s="15" t="n">
        <x:v>1</x:v>
      </x:c>
      <x:c r="R466" s="14" t="str">
        <x:v>2024</x:v>
      </x:c>
      <x:c r="S466" s="14" t="n">
        <x:v>2024</x:v>
      </x:c>
      <x:c r="T466" s="14" t="n">
        <x:v>2024</x:v>
      </x:c>
      <x:c r="U466" s="14" t="str">
        <x:v>Explicit source first year retained</x:v>
      </x:c>
      <x:c r="V466" s="14" t="str">
        <x:v>Earliest supplied year is 2024.</x:v>
      </x:c>
      <x:c r="W466" s="14"/>
      <x:c r="X466" s="14" t="str">
        <x:v>Carried forward to 2024</x:v>
      </x:c>
      <x:c r="Y466" s="14"/>
      <x:c r="Z466" s="14" t="str">
        <x:v>Tell Me Everything.docx</x:v>
      </x:c>
      <x:c r="AA46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ITV / ITVX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HYPERLINK("https://en.wikipedia.org/wiki/Tell_Me_Everything","Open source")</x:f>
        <x:v>HYPERLINK is not implemented. linkLocation=https://en.wikipedia.org/wiki/Tell_Me_Everything,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12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0.08333333333333333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tt15768158|nm1495742|jules</x:v>
      </x:c>
      <x:c r="B467" s="14" t="str">
        <x:v>05</x:v>
      </x:c>
      <x:c r="C467" s="14" t="str">
        <x:v>2022_IMDb_Cast_Lists_Batch_05(1).xlsx</x:v>
      </x:c>
      <x:c r="D467" s="14" t="str">
        <x:v>Tell Me Everything</x:v>
      </x:c>
      <x:c r="E467" s="14" t="n">
        <x:v>75</x:v>
      </x:c>
      <x:c r="F467" s="14" t="str">
        <x:v>Tell Me Everything</x:v>
      </x:c>
      <x:c r="G467" s="14" t="str">
        <x:v>tt15768158</x:v>
      </x:c>
      <x:c r="H467" s="14" t="n">
        <x:v>2022</x:v>
      </x:c>
      <x:c r="I467" s="14" t="n">
        <x:v>2023</x:v>
      </x:c>
      <x:c r="J467" s="14" t="str">
        <x:v>Future Carry-Forward Cohort</x:v>
      </x:c>
      <x:c r="K467" s="14" t="n">
        <x:v>2022</x:v>
      </x:c>
      <x:c r="L467" s="14" t="str">
        <x:v>Not inherited</x:v>
      </x:c>
      <x:c r="M467" s="15" t="n">
        <x:v>68</x:v>
      </x:c>
      <x:c r="N467" s="14" t="str">
        <x:v>Samantha Robinson</x:v>
      </x:c>
      <x:c r="O467" s="14" t="str">
        <x:v>nm1495742</x:v>
      </x:c>
      <x:c r="P467" s="14" t="str">
        <x:v>Jules</x:v>
      </x:c>
      <x:c r="Q467" s="15" t="n">
        <x:v>1</x:v>
      </x:c>
      <x:c r="R467" s="14" t="str">
        <x:v>2024</x:v>
      </x:c>
      <x:c r="S467" s="14" t="n">
        <x:v>2024</x:v>
      </x:c>
      <x:c r="T467" s="14" t="n">
        <x:v>2024</x:v>
      </x:c>
      <x:c r="U467" s="14" t="str">
        <x:v>Explicit source first year retained</x:v>
      </x:c>
      <x:c r="V467" s="14" t="str">
        <x:v>Earliest supplied year is 2024.</x:v>
      </x:c>
      <x:c r="W467" s="14"/>
      <x:c r="X467" s="14" t="str">
        <x:v>Carried forward to 2024</x:v>
      </x:c>
      <x:c r="Y467" s="14"/>
      <x:c r="Z467" s="14" t="str">
        <x:v>Tell Me Everything.docx</x:v>
      </x:c>
      <x:c r="AA46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ITV / ITVX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HYPERLINK("https://en.wikipedia.org/wiki/Tell_Me_Everything","Open source")</x:f>
        <x:v>HYPERLINK is not implemented. linkLocation=https://en.wikipedia.org/wiki/Tell_Me_Everything,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12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0.08333333333333333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tt15768158|nm10862597|carly</x:v>
      </x:c>
      <x:c r="B468" s="14" t="str">
        <x:v>05</x:v>
      </x:c>
      <x:c r="C468" s="14" t="str">
        <x:v>2022_IMDb_Cast_Lists_Batch_05(1).xlsx</x:v>
      </x:c>
      <x:c r="D468" s="14" t="str">
        <x:v>Tell Me Everything</x:v>
      </x:c>
      <x:c r="E468" s="14" t="n">
        <x:v>93</x:v>
      </x:c>
      <x:c r="F468" s="14" t="str">
        <x:v>Tell Me Everything</x:v>
      </x:c>
      <x:c r="G468" s="14" t="str">
        <x:v>tt15768158</x:v>
      </x:c>
      <x:c r="H468" s="14" t="n">
        <x:v>2022</x:v>
      </x:c>
      <x:c r="I468" s="14" t="n">
        <x:v>2023</x:v>
      </x:c>
      <x:c r="J468" s="14" t="str">
        <x:v>Future Carry-Forward Cohort</x:v>
      </x:c>
      <x:c r="K468" s="14" t="n">
        <x:v>2022</x:v>
      </x:c>
      <x:c r="L468" s="14" t="str">
        <x:v>Not inherited</x:v>
      </x:c>
      <x:c r="M468" s="15" t="n">
        <x:v>86</x:v>
      </x:c>
      <x:c r="N468" s="14" t="str">
        <x:v>LJ Johnson</x:v>
      </x:c>
      <x:c r="O468" s="14" t="str">
        <x:v>nm10862597</x:v>
      </x:c>
      <x:c r="P468" s="14" t="str">
        <x:v>Carly</x:v>
      </x:c>
      <x:c r="Q468" s="15" t="n">
        <x:v>1</x:v>
      </x:c>
      <x:c r="R468" s="14" t="str">
        <x:v>2024</x:v>
      </x:c>
      <x:c r="S468" s="14" t="n">
        <x:v>2024</x:v>
      </x:c>
      <x:c r="T468" s="14" t="n">
        <x:v>2024</x:v>
      </x:c>
      <x:c r="U468" s="14" t="str">
        <x:v>Explicit source first year retained</x:v>
      </x:c>
      <x:c r="V468" s="14" t="str">
        <x:v>Earliest supplied year is 2024.</x:v>
      </x:c>
      <x:c r="W468" s="14"/>
      <x:c r="X468" s="14" t="str">
        <x:v>Carried forward to 2024</x:v>
      </x:c>
      <x:c r="Y468" s="14"/>
      <x:c r="Z468" s="14" t="str">
        <x:v>Tell Me Everything.docx</x:v>
      </x:c>
      <x:c r="AA46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ITV / ITVX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HYPERLINK("https://en.wikipedia.org/wiki/Tell_Me_Everything","Open source")</x:f>
        <x:v>HYPERLINK is not implemented. linkLocation=https://en.wikipedia.org/wiki/Tell_Me_Everything,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12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0.08333333333333333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tt15768158|nm9378323|robert</x:v>
      </x:c>
      <x:c r="B469" s="14" t="str">
        <x:v>05</x:v>
      </x:c>
      <x:c r="C469" s="14" t="str">
        <x:v>2022_IMDb_Cast_Lists_Batch_05(1).xlsx</x:v>
      </x:c>
      <x:c r="D469" s="14" t="str">
        <x:v>Tell Me Everything</x:v>
      </x:c>
      <x:c r="E469" s="14" t="n">
        <x:v>94</x:v>
      </x:c>
      <x:c r="F469" s="14" t="str">
        <x:v>Tell Me Everything</x:v>
      </x:c>
      <x:c r="G469" s="14" t="str">
        <x:v>tt15768158</x:v>
      </x:c>
      <x:c r="H469" s="14" t="n">
        <x:v>2022</x:v>
      </x:c>
      <x:c r="I469" s="14" t="n">
        <x:v>2023</x:v>
      </x:c>
      <x:c r="J469" s="14" t="str">
        <x:v>Future Carry-Forward Cohort</x:v>
      </x:c>
      <x:c r="K469" s="14" t="n">
        <x:v>2022</x:v>
      </x:c>
      <x:c r="L469" s="14" t="str">
        <x:v>Not inherited</x:v>
      </x:c>
      <x:c r="M469" s="15" t="n">
        <x:v>87</x:v>
      </x:c>
      <x:c r="N469" s="14" t="str">
        <x:v>Alfredo Tavares</x:v>
      </x:c>
      <x:c r="O469" s="14" t="str">
        <x:v>nm9378323</x:v>
      </x:c>
      <x:c r="P469" s="14" t="str">
        <x:v>Robert</x:v>
      </x:c>
      <x:c r="Q469" s="15" t="n">
        <x:v>1</x:v>
      </x:c>
      <x:c r="R469" s="14" t="str">
        <x:v>2024</x:v>
      </x:c>
      <x:c r="S469" s="14" t="n">
        <x:v>2024</x:v>
      </x:c>
      <x:c r="T469" s="14" t="n">
        <x:v>2024</x:v>
      </x:c>
      <x:c r="U469" s="14" t="str">
        <x:v>Explicit source first year retained</x:v>
      </x:c>
      <x:c r="V469" s="14" t="str">
        <x:v>Earliest supplied year is 2024.</x:v>
      </x:c>
      <x:c r="W469" s="14"/>
      <x:c r="X469" s="14" t="str">
        <x:v>Carried forward to 2024</x:v>
      </x:c>
      <x:c r="Y469" s="14"/>
      <x:c r="Z469" s="14" t="str">
        <x:v>Tell Me Everything.docx</x:v>
      </x:c>
      <x:c r="AA46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ITV / ITVX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HYPERLINK("https://en.wikipedia.org/wiki/Tell_Me_Everything","Open source")</x:f>
        <x:v>HYPERLINK is not implemented. linkLocation=https://en.wikipedia.org/wiki/Tell_Me_Everything,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12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0.08333333333333333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tt15210882|nm4187130|alex</x:v>
      </x:c>
      <x:c r="B470" s="14" t="str">
        <x:v>05</x:v>
      </x:c>
      <x:c r="C470" s="14" t="str">
        <x:v>2022_IMDb_Cast_Lists_Batch_05(1).xlsx</x:v>
      </x:c>
      <x:c r="D470" s="14" t="str">
        <x:v>The Dry</x:v>
      </x:c>
      <x:c r="E470" s="14" t="n">
        <x:v>19</x:v>
      </x:c>
      <x:c r="F470" s="14" t="str">
        <x:v>The Dry</x:v>
      </x:c>
      <x:c r="G470" s="14" t="str">
        <x:v>tt15210882</x:v>
      </x:c>
      <x:c r="H470" s="14" t="n">
        <x:v>2022</x:v>
      </x:c>
      <x:c r="I470" s="14" t="n">
        <x:v>2023</x:v>
      </x:c>
      <x:c r="J470" s="14" t="str">
        <x:v>Future Carry-Forward Cohort</x:v>
      </x:c>
      <x:c r="K470" s="14" t="n">
        <x:v>2022</x:v>
      </x:c>
      <x:c r="L470" s="14" t="str">
        <x:v>Not inherited</x:v>
      </x:c>
      <x:c r="M470" s="15" t="n">
        <x:v>12</x:v>
      </x:c>
      <x:c r="N470" s="14" t="str">
        <x:v>Sam Keeley</x:v>
      </x:c>
      <x:c r="O470" s="14" t="str">
        <x:v>nm4187130</x:v>
      </x:c>
      <x:c r="P470" s="14" t="str">
        <x:v>Alex</x:v>
      </x:c>
      <x:c r="Q470" s="15" t="n">
        <x:v>8</x:v>
      </x:c>
      <x:c r="R470" s="14" t="str">
        <x:v>2024</x:v>
      </x:c>
      <x:c r="S470" s="14" t="n">
        <x:v>2024</x:v>
      </x:c>
      <x:c r="T470" s="14" t="n">
        <x:v>2024</x:v>
      </x:c>
      <x:c r="U470" s="14" t="str">
        <x:v>Explicit source first year retained</x:v>
      </x:c>
      <x:c r="V470" s="14" t="str">
        <x:v>Earliest supplied year is 2024.</x:v>
      </x:c>
      <x:c r="W470" s="14"/>
      <x:c r="X470" s="14" t="str">
        <x:v>Carried forward to 2024</x:v>
      </x:c>
      <x:c r="Y470" s="14"/>
      <x:c r="Z470" s="14" t="str">
        <x:v>The Dry.docx</x:v>
      </x:c>
      <x:c r="AA47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BritBox UK</x:v>
      </x:c>
      <x:c r="AI470" s="14" t="str">
        <x:v>Qualifying UK co-commission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qualifying uk co-commission.</x:v>
      </x:c>
      <x:c r="AM470" s="17" t="e">
        <x:f>HYPERLINK("https://en.wikipedia.org/wiki/Dry","Open source")</x:f>
        <x:v>HYPERLINK is not implemented. linkLocation=https://en.wikipedia.org/wiki/Dry,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24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8</x:v>
      </x:c>
      <x:c r="BS470" s="16" t="n">
        <x:v>0.3333333333333333</x:v>
      </x:c>
      <x:c r="BT470" s="14" t="str">
        <x:v>Minority of episodes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tt15210882|nm0568385|finbar</x:v>
      </x:c>
      <x:c r="B471" s="14" t="str">
        <x:v>05</x:v>
      </x:c>
      <x:c r="C471" s="14" t="str">
        <x:v>2022_IMDb_Cast_Lists_Batch_05(1).xlsx</x:v>
      </x:c>
      <x:c r="D471" s="14" t="str">
        <x:v>The Dry</x:v>
      </x:c>
      <x:c r="E471" s="14" t="n">
        <x:v>21</x:v>
      </x:c>
      <x:c r="F471" s="14" t="str">
        <x:v>The Dry</x:v>
      </x:c>
      <x:c r="G471" s="14" t="str">
        <x:v>tt15210882</x:v>
      </x:c>
      <x:c r="H471" s="14" t="n">
        <x:v>2022</x:v>
      </x:c>
      <x:c r="I471" s="14" t="n">
        <x:v>2023</x:v>
      </x:c>
      <x:c r="J471" s="14" t="str">
        <x:v>Future Carry-Forward Cohort</x:v>
      </x:c>
      <x:c r="K471" s="14" t="n">
        <x:v>2022</x:v>
      </x:c>
      <x:c r="L471" s="14" t="str">
        <x:v>Not inherited</x:v>
      </x:c>
      <x:c r="M471" s="15" t="n">
        <x:v>14</x:v>
      </x:c>
      <x:c r="N471" s="14" t="str">
        <x:v>Michael McElhatton</x:v>
      </x:c>
      <x:c r="O471" s="14" t="str">
        <x:v>nm0568385</x:v>
      </x:c>
      <x:c r="P471" s="14" t="str">
        <x:v>Finbar</x:v>
      </x:c>
      <x:c r="Q471" s="15" t="n">
        <x:v>8</x:v>
      </x:c>
      <x:c r="R471" s="14" t="str">
        <x:v>2024</x:v>
      </x:c>
      <x:c r="S471" s="14" t="n">
        <x:v>2024</x:v>
      </x:c>
      <x:c r="T471" s="14" t="n">
        <x:v>2024</x:v>
      </x:c>
      <x:c r="U471" s="14" t="str">
        <x:v>Explicit source first year retained</x:v>
      </x:c>
      <x:c r="V471" s="14" t="str">
        <x:v>Earliest supplied year is 2024.</x:v>
      </x:c>
      <x:c r="W471" s="14"/>
      <x:c r="X471" s="14" t="str">
        <x:v>Carried forward to 2024</x:v>
      </x:c>
      <x:c r="Y471" s="14"/>
      <x:c r="Z471" s="14" t="str">
        <x:v>The Dry.docx</x:v>
      </x:c>
      <x:c r="AA47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BritBox UK</x:v>
      </x:c>
      <x:c r="AI471" s="14" t="str">
        <x:v>Qualifying UK co-commission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qualifying uk co-commission.</x:v>
      </x:c>
      <x:c r="AM471" s="17" t="e">
        <x:f>HYPERLINK("https://en.wikipedia.org/wiki/Dry","Open source")</x:f>
        <x:v>HYPERLINK is not implemented. linkLocation=https://en.wikipedia.org/wiki/Dry,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24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8</x:v>
      </x:c>
      <x:c r="BS471" s="16" t="n">
        <x:v>0.3333333333333333</x:v>
      </x:c>
      <x:c r="BT471" s="14" t="str">
        <x:v>Minority of episodes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tt15210882|nm0636223|dearbhla</x:v>
      </x:c>
      <x:c r="B472" s="14" t="str">
        <x:v>05</x:v>
      </x:c>
      <x:c r="C472" s="14" t="str">
        <x:v>2022_IMDb_Cast_Lists_Batch_05(1).xlsx</x:v>
      </x:c>
      <x:c r="D472" s="14" t="str">
        <x:v>The Dry</x:v>
      </x:c>
      <x:c r="E472" s="14" t="n">
        <x:v>22</x:v>
      </x:c>
      <x:c r="F472" s="14" t="str">
        <x:v>The Dry</x:v>
      </x:c>
      <x:c r="G472" s="14" t="str">
        <x:v>tt15210882</x:v>
      </x:c>
      <x:c r="H472" s="14" t="n">
        <x:v>2022</x:v>
      </x:c>
      <x:c r="I472" s="14" t="n">
        <x:v>2023</x:v>
      </x:c>
      <x:c r="J472" s="14" t="str">
        <x:v>Future Carry-Forward Cohort</x:v>
      </x:c>
      <x:c r="K472" s="14" t="n">
        <x:v>2022</x:v>
      </x:c>
      <x:c r="L472" s="14" t="str">
        <x:v>Not inherited</x:v>
      </x:c>
      <x:c r="M472" s="15" t="n">
        <x:v>15</x:v>
      </x:c>
      <x:c r="N472" s="14" t="str">
        <x:v>Helen Norton</x:v>
      </x:c>
      <x:c r="O472" s="14" t="str">
        <x:v>nm0636223</x:v>
      </x:c>
      <x:c r="P472" s="14" t="str">
        <x:v>Dearbhla</x:v>
      </x:c>
      <x:c r="Q472" s="15" t="n">
        <x:v>8</x:v>
      </x:c>
      <x:c r="R472" s="14" t="str">
        <x:v>2024–2026</x:v>
      </x:c>
      <x:c r="S472" s="14" t="n">
        <x:v>2024</x:v>
      </x:c>
      <x:c r="T472" s="14" t="n">
        <x:v>2024</x:v>
      </x:c>
      <x:c r="U472" s="14" t="str">
        <x:v>Explicit source first year retained</x:v>
      </x:c>
      <x:c r="V472" s="14" t="str">
        <x:v>Earliest supplied year is 2024.</x:v>
      </x:c>
      <x:c r="W472" s="14"/>
      <x:c r="X472" s="14" t="str">
        <x:v>Carried forward to 2024</x:v>
      </x:c>
      <x:c r="Y472" s="14"/>
      <x:c r="Z472" s="14" t="str">
        <x:v>The Dry.docx</x:v>
      </x:c>
      <x:c r="AA47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BritBox UK</x:v>
      </x:c>
      <x:c r="AI472" s="14" t="str">
        <x:v>Qualifying UK co-commission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qualifying uk co-commission.</x:v>
      </x:c>
      <x:c r="AM472" s="17" t="e">
        <x:f>HYPERLINK("https://en.wikipedia.org/wiki/Dry","Open source")</x:f>
        <x:v>HYPERLINK is not implemented. linkLocation=https://en.wikipedia.org/wiki/Dry,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24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8</x:v>
      </x:c>
      <x:c r="BS472" s="16" t="n">
        <x:v>0.3333333333333333</x:v>
      </x:c>
      <x:c r="BT472" s="14" t="str">
        <x:v>Minority of episodes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tt15210882|nm0394519|marion</x:v>
      </x:c>
      <x:c r="B473" s="14" t="str">
        <x:v>05</x:v>
      </x:c>
      <x:c r="C473" s="14" t="str">
        <x:v>2022_IMDb_Cast_Lists_Batch_05(1).xlsx</x:v>
      </x:c>
      <x:c r="D473" s="14" t="str">
        <x:v>The Dry</x:v>
      </x:c>
      <x:c r="E473" s="14" t="n">
        <x:v>24</x:v>
      </x:c>
      <x:c r="F473" s="14" t="str">
        <x:v>The Dry</x:v>
      </x:c>
      <x:c r="G473" s="14" t="str">
        <x:v>tt15210882</x:v>
      </x:c>
      <x:c r="H473" s="14" t="n">
        <x:v>2022</x:v>
      </x:c>
      <x:c r="I473" s="14" t="n">
        <x:v>2023</x:v>
      </x:c>
      <x:c r="J473" s="14" t="str">
        <x:v>Future Carry-Forward Cohort</x:v>
      </x:c>
      <x:c r="K473" s="14" t="n">
        <x:v>2022</x:v>
      </x:c>
      <x:c r="L473" s="14" t="str">
        <x:v>Not inherited</x:v>
      </x:c>
      <x:c r="M473" s="15" t="n">
        <x:v>17</x:v>
      </x:c>
      <x:c r="N473" s="14" t="str">
        <x:v>Ann Marie Horan</x:v>
      </x:c>
      <x:c r="O473" s="14" t="str">
        <x:v>nm0394519</x:v>
      </x:c>
      <x:c r="P473" s="14" t="str">
        <x:v>Marion</x:v>
      </x:c>
      <x:c r="Q473" s="15" t="n">
        <x:v>7</x:v>
      </x:c>
      <x:c r="R473" s="14" t="str">
        <x:v>2024–2026</x:v>
      </x:c>
      <x:c r="S473" s="14" t="n">
        <x:v>2024</x:v>
      </x:c>
      <x:c r="T473" s="14" t="n">
        <x:v>2024</x:v>
      </x:c>
      <x:c r="U473" s="14" t="str">
        <x:v>Explicit source first year retained</x:v>
      </x:c>
      <x:c r="V473" s="14" t="str">
        <x:v>Earliest supplied year is 2024.</x:v>
      </x:c>
      <x:c r="W473" s="14"/>
      <x:c r="X473" s="14" t="str">
        <x:v>Carried forward to 2024</x:v>
      </x:c>
      <x:c r="Y473" s="14"/>
      <x:c r="Z473" s="14" t="str">
        <x:v>The Dry.docx</x:v>
      </x:c>
      <x:c r="AA47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BritBox UK</x:v>
      </x:c>
      <x:c r="AI473" s="14" t="str">
        <x:v>Qualifying UK co-commission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qualifying uk co-commission.</x:v>
      </x:c>
      <x:c r="AM473" s="17" t="e">
        <x:f>HYPERLINK("https://en.wikipedia.org/wiki/Dry","Open source")</x:f>
        <x:v>HYPERLINK is not implemented. linkLocation=https://en.wikipedia.org/wiki/Dry,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24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7</x:v>
      </x:c>
      <x:c r="BS473" s="16" t="n">
        <x:v>0.2916666666666667</x:v>
      </x:c>
      <x:c r="BT473" s="14" t="str">
        <x:v>Minority of episodes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tt15210882|nm3783700|shane</x:v>
      </x:c>
      <x:c r="B474" s="14" t="str">
        <x:v>05</x:v>
      </x:c>
      <x:c r="C474" s="14" t="str">
        <x:v>2022_IMDb_Cast_Lists_Batch_05(1).xlsx</x:v>
      </x:c>
      <x:c r="D474" s="14" t="str">
        <x:v>The Dry</x:v>
      </x:c>
      <x:c r="E474" s="14" t="n">
        <x:v>28</x:v>
      </x:c>
      <x:c r="F474" s="14" t="str">
        <x:v>The Dry</x:v>
      </x:c>
      <x:c r="G474" s="14" t="str">
        <x:v>tt15210882</x:v>
      </x:c>
      <x:c r="H474" s="14" t="n">
        <x:v>2022</x:v>
      </x:c>
      <x:c r="I474" s="14" t="n">
        <x:v>2023</x:v>
      </x:c>
      <x:c r="J474" s="14" t="str">
        <x:v>Future Carry-Forward Cohort</x:v>
      </x:c>
      <x:c r="K474" s="14" t="n">
        <x:v>2022</x:v>
      </x:c>
      <x:c r="L474" s="14" t="str">
        <x:v>Not inherited</x:v>
      </x:c>
      <x:c r="M474" s="15" t="n">
        <x:v>21</x:v>
      </x:c>
      <x:c r="N474" s="14" t="str">
        <x:v>Seán Doyle</x:v>
      </x:c>
      <x:c r="O474" s="14" t="str">
        <x:v>nm3783700</x:v>
      </x:c>
      <x:c r="P474" s="14" t="str">
        <x:v>Shane</x:v>
      </x:c>
      <x:c r="Q474" s="15" t="n">
        <x:v>7</x:v>
      </x:c>
      <x:c r="R474" s="14" t="str">
        <x:v>2024–2026</x:v>
      </x:c>
      <x:c r="S474" s="14" t="n">
        <x:v>2024</x:v>
      </x:c>
      <x:c r="T474" s="14" t="n">
        <x:v>2024</x:v>
      </x:c>
      <x:c r="U474" s="14" t="str">
        <x:v>Explicit source first year retained</x:v>
      </x:c>
      <x:c r="V474" s="14" t="str">
        <x:v>Earliest supplied year is 2024.</x:v>
      </x:c>
      <x:c r="W474" s="14"/>
      <x:c r="X474" s="14" t="str">
        <x:v>Carried forward to 2024</x:v>
      </x:c>
      <x:c r="Y474" s="14"/>
      <x:c r="Z474" s="14" t="str">
        <x:v>The Dry.docx</x:v>
      </x:c>
      <x:c r="AA47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BritBox UK</x:v>
      </x:c>
      <x:c r="AI474" s="14" t="str">
        <x:v>Qualifying UK co-commission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qualifying uk co-commission.</x:v>
      </x:c>
      <x:c r="AM474" s="17" t="e">
        <x:f>HYPERLINK("https://en.wikipedia.org/wiki/Dry","Open source")</x:f>
        <x:v>HYPERLINK is not implemented. linkLocation=https://en.wikipedia.org/wiki/Dry,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24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7</x:v>
      </x:c>
      <x:c r="BS474" s="16" t="n">
        <x:v>0.2916666666666667</x:v>
      </x:c>
      <x:c r="BT474" s="14" t="str">
        <x:v>Minority of episodes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tt15210882|nm5245763|billy</x:v>
      </x:c>
      <x:c r="B475" s="14" t="str">
        <x:v>05</x:v>
      </x:c>
      <x:c r="C475" s="14" t="str">
        <x:v>2022_IMDb_Cast_Lists_Batch_05(1).xlsx</x:v>
      </x:c>
      <x:c r="D475" s="14" t="str">
        <x:v>The Dry</x:v>
      </x:c>
      <x:c r="E475" s="14" t="n">
        <x:v>30</x:v>
      </x:c>
      <x:c r="F475" s="14" t="str">
        <x:v>The Dry</x:v>
      </x:c>
      <x:c r="G475" s="14" t="str">
        <x:v>tt15210882</x:v>
      </x:c>
      <x:c r="H475" s="14" t="n">
        <x:v>2022</x:v>
      </x:c>
      <x:c r="I475" s="14" t="n">
        <x:v>2023</x:v>
      </x:c>
      <x:c r="J475" s="14" t="str">
        <x:v>Future Carry-Forward Cohort</x:v>
      </x:c>
      <x:c r="K475" s="14" t="n">
        <x:v>2022</x:v>
      </x:c>
      <x:c r="L475" s="14" t="str">
        <x:v>Not inherited</x:v>
      </x:c>
      <x:c r="M475" s="15" t="n">
        <x:v>23</x:v>
      </x:c>
      <x:c r="N475" s="14" t="str">
        <x:v>Thommas Kane Byrne</x:v>
      </x:c>
      <x:c r="O475" s="14" t="str">
        <x:v>nm5245763</x:v>
      </x:c>
      <x:c r="P475" s="14" t="str">
        <x:v>Billy</x:v>
      </x:c>
      <x:c r="Q475" s="15" t="n">
        <x:v>5</x:v>
      </x:c>
      <x:c r="R475" s="14" t="str">
        <x:v>2024</x:v>
      </x:c>
      <x:c r="S475" s="14" t="n">
        <x:v>2024</x:v>
      </x:c>
      <x:c r="T475" s="14" t="n">
        <x:v>2024</x:v>
      </x:c>
      <x:c r="U475" s="14" t="str">
        <x:v>Explicit source first year retained</x:v>
      </x:c>
      <x:c r="V475" s="14" t="str">
        <x:v>Earliest supplied year is 2024.</x:v>
      </x:c>
      <x:c r="W475" s="14"/>
      <x:c r="X475" s="14" t="str">
        <x:v>Carried forward to 2024</x:v>
      </x:c>
      <x:c r="Y475" s="14"/>
      <x:c r="Z475" s="14" t="str">
        <x:v>The Dry.docx</x:v>
      </x:c>
      <x:c r="AA47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BritBox UK</x:v>
      </x:c>
      <x:c r="AI475" s="14" t="str">
        <x:v>Qualifying UK co-commission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qualifying uk co-commission.</x:v>
      </x:c>
      <x:c r="AM475" s="17" t="e">
        <x:f>HYPERLINK("https://en.wikipedia.org/wiki/Dry","Open source")</x:f>
        <x:v>HYPERLINK is not implemented. linkLocation=https://en.wikipedia.org/wiki/Dry,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24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5</x:v>
      </x:c>
      <x:c r="BS475" s="16" t="n">
        <x:v>0.20833333333333334</x:v>
      </x:c>
      <x:c r="BT475" s="14" t="str">
        <x:v>Minority of episodes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tt15210882|nm0593490|áine harrington</x:v>
      </x:c>
      <x:c r="B476" s="14" t="str">
        <x:v>05</x:v>
      </x:c>
      <x:c r="C476" s="14" t="str">
        <x:v>2022_IMDb_Cast_Lists_Batch_05(1).xlsx</x:v>
      </x:c>
      <x:c r="D476" s="14" t="str">
        <x:v>The Dry</x:v>
      </x:c>
      <x:c r="E476" s="14" t="n">
        <x:v>31</x:v>
      </x:c>
      <x:c r="F476" s="14" t="str">
        <x:v>The Dry</x:v>
      </x:c>
      <x:c r="G476" s="14" t="str">
        <x:v>tt15210882</x:v>
      </x:c>
      <x:c r="H476" s="14" t="n">
        <x:v>2022</x:v>
      </x:c>
      <x:c r="I476" s="14" t="n">
        <x:v>2023</x:v>
      </x:c>
      <x:c r="J476" s="14" t="str">
        <x:v>Future Carry-Forward Cohort</x:v>
      </x:c>
      <x:c r="K476" s="14" t="n">
        <x:v>2022</x:v>
      </x:c>
      <x:c r="L476" s="14" t="str">
        <x:v>Not inherited</x:v>
      </x:c>
      <x:c r="M476" s="15" t="n">
        <x:v>24</x:v>
      </x:c>
      <x:c r="N476" s="14" t="str">
        <x:v>Justine Mitchell</x:v>
      </x:c>
      <x:c r="O476" s="14" t="str">
        <x:v>nm0593490</x:v>
      </x:c>
      <x:c r="P476" s="14" t="str">
        <x:v>Áine Harrington</x:v>
      </x:c>
      <x:c r="Q476" s="15" t="n">
        <x:v>5</x:v>
      </x:c>
      <x:c r="R476" s="14" t="str">
        <x:v>2024–2026</x:v>
      </x:c>
      <x:c r="S476" s="14" t="n">
        <x:v>2024</x:v>
      </x:c>
      <x:c r="T476" s="14" t="n">
        <x:v>2024</x:v>
      </x:c>
      <x:c r="U476" s="14" t="str">
        <x:v>Explicit source first year retained</x:v>
      </x:c>
      <x:c r="V476" s="14" t="str">
        <x:v>Earliest supplied year is 2024.</x:v>
      </x:c>
      <x:c r="W476" s="14"/>
      <x:c r="X476" s="14" t="str">
        <x:v>Carried forward to 2024</x:v>
      </x:c>
      <x:c r="Y476" s="14"/>
      <x:c r="Z476" s="14" t="str">
        <x:v>The Dry.docx</x:v>
      </x:c>
      <x:c r="AA47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BritBox UK</x:v>
      </x:c>
      <x:c r="AI476" s="14" t="str">
        <x:v>Qualifying UK co-commission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qualifying uk co-commission.</x:v>
      </x:c>
      <x:c r="AM476" s="17" t="e">
        <x:f>HYPERLINK("https://en.wikipedia.org/wiki/Dry","Open source")</x:f>
        <x:v>HYPERLINK is not implemented. linkLocation=https://en.wikipedia.org/wiki/Dry,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24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5</x:v>
      </x:c>
      <x:c r="BS476" s="16" t="n">
        <x:v>0.20833333333333334</x:v>
      </x:c>
      <x:c r="BT476" s="14" t="str">
        <x:v>Minority of episodes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tt15210882|nm7633668|marie-luisa</x:v>
      </x:c>
      <x:c r="B477" s="14" t="str">
        <x:v>05</x:v>
      </x:c>
      <x:c r="C477" s="14" t="str">
        <x:v>2022_IMDb_Cast_Lists_Batch_05(1).xlsx</x:v>
      </x:c>
      <x:c r="D477" s="14" t="str">
        <x:v>The Dry</x:v>
      </x:c>
      <x:c r="E477" s="14" t="n">
        <x:v>33</x:v>
      </x:c>
      <x:c r="F477" s="14" t="str">
        <x:v>The Dry</x:v>
      </x:c>
      <x:c r="G477" s="14" t="str">
        <x:v>tt15210882</x:v>
      </x:c>
      <x:c r="H477" s="14" t="n">
        <x:v>2022</x:v>
      </x:c>
      <x:c r="I477" s="14" t="n">
        <x:v>2023</x:v>
      </x:c>
      <x:c r="J477" s="14" t="str">
        <x:v>Future Carry-Forward Cohort</x:v>
      </x:c>
      <x:c r="K477" s="14" t="n">
        <x:v>2022</x:v>
      </x:c>
      <x:c r="L477" s="14" t="str">
        <x:v>Not inherited</x:v>
      </x:c>
      <x:c r="M477" s="15" t="n">
        <x:v>26</x:v>
      </x:c>
      <x:c r="N477" s="14" t="str">
        <x:v>Paula Lafayette</x:v>
      </x:c>
      <x:c r="O477" s="14" t="str">
        <x:v>nm7633668</x:v>
      </x:c>
      <x:c r="P477" s="14" t="str">
        <x:v>Marie-Luisa</x:v>
      </x:c>
      <x:c r="Q477" s="15" t="n">
        <x:v>4</x:v>
      </x:c>
      <x:c r="R477" s="14" t="str">
        <x:v>2024</x:v>
      </x:c>
      <x:c r="S477" s="14" t="n">
        <x:v>2024</x:v>
      </x:c>
      <x:c r="T477" s="14" t="n">
        <x:v>2024</x:v>
      </x:c>
      <x:c r="U477" s="14" t="str">
        <x:v>Explicit source first year retained</x:v>
      </x:c>
      <x:c r="V477" s="14" t="str">
        <x:v>Earliest supplied year is 2024.</x:v>
      </x:c>
      <x:c r="W477" s="14"/>
      <x:c r="X477" s="14" t="str">
        <x:v>Carried forward to 2024</x:v>
      </x:c>
      <x:c r="Y477" s="14"/>
      <x:c r="Z477" s="14" t="str">
        <x:v>The Dry.docx</x:v>
      </x:c>
      <x:c r="AA47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BritBox UK</x:v>
      </x:c>
      <x:c r="AI477" s="14" t="str">
        <x:v>Qualifying UK co-commission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qualifying uk co-commission.</x:v>
      </x:c>
      <x:c r="AM477" s="17" t="e">
        <x:f>HYPERLINK("https://en.wikipedia.org/wiki/Dry","Open source")</x:f>
        <x:v>HYPERLINK is not implemented. linkLocation=https://en.wikipedia.org/wiki/Dry,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24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4</x:v>
      </x:c>
      <x:c r="BS477" s="16" t="n">
        <x:v>0.16666666666666666</x:v>
      </x:c>
      <x:c r="BT477" s="14" t="str">
        <x:v>Minority of episodes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tt15210882|nm18141112|stevie</x:v>
      </x:c>
      <x:c r="B478" s="14" t="str">
        <x:v>05</x:v>
      </x:c>
      <x:c r="C478" s="14" t="str">
        <x:v>2022_IMDb_Cast_Lists_Batch_05(1).xlsx</x:v>
      </x:c>
      <x:c r="D478" s="14" t="str">
        <x:v>The Dry</x:v>
      </x:c>
      <x:c r="E478" s="14" t="n">
        <x:v>36</x:v>
      </x:c>
      <x:c r="F478" s="14" t="str">
        <x:v>The Dry</x:v>
      </x:c>
      <x:c r="G478" s="14" t="str">
        <x:v>tt15210882</x:v>
      </x:c>
      <x:c r="H478" s="14" t="n">
        <x:v>2022</x:v>
      </x:c>
      <x:c r="I478" s="14" t="n">
        <x:v>2023</x:v>
      </x:c>
      <x:c r="J478" s="14" t="str">
        <x:v>Future Carry-Forward Cohort</x:v>
      </x:c>
      <x:c r="K478" s="14" t="n">
        <x:v>2022</x:v>
      </x:c>
      <x:c r="L478" s="14" t="str">
        <x:v>Not inherited</x:v>
      </x:c>
      <x:c r="M478" s="15" t="n">
        <x:v>29</x:v>
      </x:c>
      <x:c r="N478" s="14" t="str">
        <x:v>Callie Adams</x:v>
      </x:c>
      <x:c r="O478" s="14" t="str">
        <x:v>nm18141112</x:v>
      </x:c>
      <x:c r="P478" s="14" t="str">
        <x:v>Stevie</x:v>
      </x:c>
      <x:c r="Q478" s="15" t="n">
        <x:v>3</x:v>
      </x:c>
      <x:c r="R478" s="14" t="str">
        <x:v>2024</x:v>
      </x:c>
      <x:c r="S478" s="14" t="n">
        <x:v>2024</x:v>
      </x:c>
      <x:c r="T478" s="14" t="n">
        <x:v>2024</x:v>
      </x:c>
      <x:c r="U478" s="14" t="str">
        <x:v>Explicit source first year retained</x:v>
      </x:c>
      <x:c r="V478" s="14" t="str">
        <x:v>Earliest supplied year is 2024.</x:v>
      </x:c>
      <x:c r="W478" s="14"/>
      <x:c r="X478" s="14" t="str">
        <x:v>Carried forward to 2024</x:v>
      </x:c>
      <x:c r="Y478" s="14"/>
      <x:c r="Z478" s="14" t="str">
        <x:v>The Dry.docx</x:v>
      </x:c>
      <x:c r="AA47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BritBox UK</x:v>
      </x:c>
      <x:c r="AI478" s="14" t="str">
        <x:v>Qualifying UK co-commission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qualifying uk co-commission.</x:v>
      </x:c>
      <x:c r="AM478" s="17" t="e">
        <x:f>HYPERLINK("https://en.wikipedia.org/wiki/Dry","Open source")</x:f>
        <x:v>HYPERLINK is not implemented. linkLocation=https://en.wikipedia.org/wiki/Dry,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24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3</x:v>
      </x:c>
      <x:c r="BS478" s="16" t="n">
        <x:v>0.125</x:v>
      </x:c>
      <x:c r="BT478" s="14" t="str">
        <x:v>Minority of episodes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tt15210882|nm11332821|bibi</x:v>
      </x:c>
      <x:c r="B479" s="14" t="str">
        <x:v>05</x:v>
      </x:c>
      <x:c r="C479" s="14" t="str">
        <x:v>2022_IMDb_Cast_Lists_Batch_05(1).xlsx</x:v>
      </x:c>
      <x:c r="D479" s="14" t="str">
        <x:v>The Dry</x:v>
      </x:c>
      <x:c r="E479" s="14" t="n">
        <x:v>38</x:v>
      </x:c>
      <x:c r="F479" s="14" t="str">
        <x:v>The Dry</x:v>
      </x:c>
      <x:c r="G479" s="14" t="str">
        <x:v>tt15210882</x:v>
      </x:c>
      <x:c r="H479" s="14" t="n">
        <x:v>2022</x:v>
      </x:c>
      <x:c r="I479" s="14" t="n">
        <x:v>2023</x:v>
      </x:c>
      <x:c r="J479" s="14" t="str">
        <x:v>Future Carry-Forward Cohort</x:v>
      </x:c>
      <x:c r="K479" s="14" t="n">
        <x:v>2022</x:v>
      </x:c>
      <x:c r="L479" s="14" t="str">
        <x:v>Not inherited</x:v>
      </x:c>
      <x:c r="M479" s="15" t="n">
        <x:v>31</x:v>
      </x:c>
      <x:c r="N479" s="14" t="str">
        <x:v>Ruth Codd</x:v>
      </x:c>
      <x:c r="O479" s="14" t="str">
        <x:v>nm11332821</x:v>
      </x:c>
      <x:c r="P479" s="14" t="str">
        <x:v>Bibi</x:v>
      </x:c>
      <x:c r="Q479" s="15" t="n">
        <x:v>3</x:v>
      </x:c>
      <x:c r="R479" s="14" t="str">
        <x:v>2024</x:v>
      </x:c>
      <x:c r="S479" s="14" t="n">
        <x:v>2024</x:v>
      </x:c>
      <x:c r="T479" s="14" t="n">
        <x:v>2024</x:v>
      </x:c>
      <x:c r="U479" s="14" t="str">
        <x:v>Explicit source first year retained</x:v>
      </x:c>
      <x:c r="V479" s="14" t="str">
        <x:v>Earliest supplied year is 2024.</x:v>
      </x:c>
      <x:c r="W479" s="14"/>
      <x:c r="X479" s="14" t="str">
        <x:v>Carried forward to 2024</x:v>
      </x:c>
      <x:c r="Y479" s="14"/>
      <x:c r="Z479" s="14" t="str">
        <x:v>The Dry.docx</x:v>
      </x:c>
      <x:c r="AA47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9" s="14" t="str">
        <x:v>Existing established-register match</x:v>
      </x:c>
      <x:c r="AC479" s="14" t="str">
        <x:v>Physical disability</x:v>
      </x:c>
      <x:c r="AD479" s="14" t="str">
        <x:v>Existing register classification: Physical disability</x:v>
      </x:c>
      <x:c r="AE479" s="14" t="str">
        <x:v>Established_Disability_Category_Register V1.2.xlsx</x:v>
      </x:c>
      <x:c r="AF479" s="14"/>
      <x:c r="AG479" s="14" t="str">
        <x:v>Established user-supplied classification retained for deduplication; evidence was not re-researched in this batch.</x:v>
      </x:c>
      <x:c r="AH479" s="14" t="str">
        <x:v>BritBox UK</x:v>
      </x:c>
      <x:c r="AI479" s="14" t="str">
        <x:v>Qualifying UK co-commission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qualifying uk co-commission.</x:v>
      </x:c>
      <x:c r="AM479" s="17" t="e">
        <x:f>HYPERLINK("https://en.wikipedia.org/wiki/Dry","Open source")</x:f>
        <x:v>HYPERLINK is not implemented. linkLocation=https://en.wikipedia.org/wiki/Dry,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Exact IMDb performer ID match</x:v>
      </x:c>
      <x:c r="AT479" s="14" t="str">
        <x:v>nm11332821</x:v>
      </x:c>
      <x:c r="AU479" s="14" t="str">
        <x:v>Physical disability</x:v>
      </x:c>
      <x:c r="AV479" s="14" t="str">
        <x:v>Yes</x:v>
      </x:c>
      <x:c r="AW479" s="14" t="str">
        <x:v>Physical disability</x:v>
      </x:c>
      <x:c r="AX479" s="14" t="str">
        <x:v>No</x:v>
      </x:c>
      <x:c r="AY479" s="14" t="str">
        <x:v>Matched</x:v>
      </x:c>
      <x:c r="AZ479" s="14" t="str">
        <x:v>Final supplied register</x:v>
      </x:c>
      <x:c r="BA479" s="14"/>
      <x:c r="BB479" s="14" t="str">
        <x:v>Exact IMDb performer ID match</x:v>
      </x:c>
      <x:c r="BC479" s="14" t="str">
        <x:v>nm11332821</x:v>
      </x:c>
      <x:c r="BD479" s="14" t="str">
        <x:v>Ruth Codd</x:v>
      </x:c>
      <x:c r="BE479" s="14" t="str">
        <x:v>Physical disability</x:v>
      </x:c>
      <x:c r="BF479" s="14" t="str">
        <x:v>Yes</x:v>
      </x:c>
      <x:c r="BG479" s="14" t="str">
        <x:v>Physical disability</x:v>
      </x:c>
      <x:c r="BH479" s="14" t="str">
        <x:v>No</x:v>
      </x:c>
      <x:c r="BI479" s="14" t="str">
        <x:v>User-supplied established classification</x:v>
      </x:c>
      <x:c r="BJ479" s="14" t="str">
        <x:v>04_Physical_disability.csv</x:v>
      </x:c>
      <x:c r="BK479" s="14"/>
      <x:c r="BL479" s="14" t="str">
        <x:v>Matched</x:v>
      </x:c>
      <x:c r="BM479" s="14" t="str">
        <x:v>Final supplied register</x:v>
      </x:c>
      <x:c r="BN479" s="14"/>
      <x:c r="BO479" s="14" t="n">
        <x:v>24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3</x:v>
      </x:c>
      <x:c r="BS479" s="16" t="n">
        <x:v>0.125</x:v>
      </x:c>
      <x:c r="BT479" s="14" t="str">
        <x:v>Minority of episodes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tt15210882|nm18141113|stevie</x:v>
      </x:c>
      <x:c r="B480" s="14" t="str">
        <x:v>05</x:v>
      </x:c>
      <x:c r="C480" s="14" t="str">
        <x:v>2022_IMDb_Cast_Lists_Batch_05(1).xlsx</x:v>
      </x:c>
      <x:c r="D480" s="14" t="str">
        <x:v>The Dry</x:v>
      </x:c>
      <x:c r="E480" s="14" t="n">
        <x:v>39</x:v>
      </x:c>
      <x:c r="F480" s="14" t="str">
        <x:v>The Dry</x:v>
      </x:c>
      <x:c r="G480" s="14" t="str">
        <x:v>tt15210882</x:v>
      </x:c>
      <x:c r="H480" s="14" t="n">
        <x:v>2022</x:v>
      </x:c>
      <x:c r="I480" s="14" t="n">
        <x:v>2023</x:v>
      </x:c>
      <x:c r="J480" s="14" t="str">
        <x:v>Future Carry-Forward Cohort</x:v>
      </x:c>
      <x:c r="K480" s="14" t="n">
        <x:v>2022</x:v>
      </x:c>
      <x:c r="L480" s="14" t="str">
        <x:v>Not inherited</x:v>
      </x:c>
      <x:c r="M480" s="15" t="n">
        <x:v>32</x:v>
      </x:c>
      <x:c r="N480" s="14" t="str">
        <x:v>Faye Keane</x:v>
      </x:c>
      <x:c r="O480" s="14" t="str">
        <x:v>nm18141113</x:v>
      </x:c>
      <x:c r="P480" s="14" t="str">
        <x:v>Stevie</x:v>
      </x:c>
      <x:c r="Q480" s="15" t="n">
        <x:v>3</x:v>
      </x:c>
      <x:c r="R480" s="14" t="str">
        <x:v>2024</x:v>
      </x:c>
      <x:c r="S480" s="14" t="n">
        <x:v>2024</x:v>
      </x:c>
      <x:c r="T480" s="14" t="n">
        <x:v>2024</x:v>
      </x:c>
      <x:c r="U480" s="14" t="str">
        <x:v>Explicit source first year retained</x:v>
      </x:c>
      <x:c r="V480" s="14" t="str">
        <x:v>Earliest supplied year is 2024.</x:v>
      </x:c>
      <x:c r="W480" s="14"/>
      <x:c r="X480" s="14" t="str">
        <x:v>Carried forward to 2024</x:v>
      </x:c>
      <x:c r="Y480" s="14"/>
      <x:c r="Z480" s="14" t="str">
        <x:v>The Dry.docx</x:v>
      </x:c>
      <x:c r="AA48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BritBox UK</x:v>
      </x:c>
      <x:c r="AI480" s="14" t="str">
        <x:v>Qualifying UK co-commission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qualifying uk co-commission.</x:v>
      </x:c>
      <x:c r="AM480" s="17" t="e">
        <x:f>HYPERLINK("https://en.wikipedia.org/wiki/Dry","Open source")</x:f>
        <x:v>HYPERLINK is not implemented. linkLocation=https://en.wikipedia.org/wiki/Dry,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24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3</x:v>
      </x:c>
      <x:c r="BS480" s="16" t="n">
        <x:v>0.125</x:v>
      </x:c>
      <x:c r="BT480" s="14" t="str">
        <x:v>Minority of episodes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tt15210882|nm11182720|dee</x:v>
      </x:c>
      <x:c r="B481" s="14" t="str">
        <x:v>05</x:v>
      </x:c>
      <x:c r="C481" s="14" t="str">
        <x:v>2022_IMDb_Cast_Lists_Batch_05(1).xlsx</x:v>
      </x:c>
      <x:c r="D481" s="14" t="str">
        <x:v>The Dry</x:v>
      </x:c>
      <x:c r="E481" s="14" t="n">
        <x:v>41</x:v>
      </x:c>
      <x:c r="F481" s="14" t="str">
        <x:v>The Dry</x:v>
      </x:c>
      <x:c r="G481" s="14" t="str">
        <x:v>tt15210882</x:v>
      </x:c>
      <x:c r="H481" s="14" t="n">
        <x:v>2022</x:v>
      </x:c>
      <x:c r="I481" s="14" t="n">
        <x:v>2023</x:v>
      </x:c>
      <x:c r="J481" s="14" t="str">
        <x:v>Future Carry-Forward Cohort</x:v>
      </x:c>
      <x:c r="K481" s="14" t="n">
        <x:v>2022</x:v>
      </x:c>
      <x:c r="L481" s="14" t="str">
        <x:v>Not inherited</x:v>
      </x:c>
      <x:c r="M481" s="15" t="n">
        <x:v>34</x:v>
      </x:c>
      <x:c r="N481" s="14" t="str">
        <x:v>Mope Mobolaji</x:v>
      </x:c>
      <x:c r="O481" s="14" t="str">
        <x:v>nm11182720</x:v>
      </x:c>
      <x:c r="P481" s="14" t="str">
        <x:v>Dee</x:v>
      </x:c>
      <x:c r="Q481" s="15" t="n">
        <x:v>3</x:v>
      </x:c>
      <x:c r="R481" s="14" t="str">
        <x:v>2024–2026</x:v>
      </x:c>
      <x:c r="S481" s="14" t="n">
        <x:v>2024</x:v>
      </x:c>
      <x:c r="T481" s="14" t="n">
        <x:v>2024</x:v>
      </x:c>
      <x:c r="U481" s="14" t="str">
        <x:v>Explicit source first year retained</x:v>
      </x:c>
      <x:c r="V481" s="14" t="str">
        <x:v>Earliest supplied year is 2024.</x:v>
      </x:c>
      <x:c r="W481" s="14"/>
      <x:c r="X481" s="14" t="str">
        <x:v>Carried forward to 2024</x:v>
      </x:c>
      <x:c r="Y481" s="14"/>
      <x:c r="Z481" s="14" t="str">
        <x:v>The Dry.docx</x:v>
      </x:c>
      <x:c r="AA48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BritBox UK</x:v>
      </x:c>
      <x:c r="AI481" s="14" t="str">
        <x:v>Qualifying UK co-commission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qualifying uk co-commission.</x:v>
      </x:c>
      <x:c r="AM481" s="17" t="e">
        <x:f>HYPERLINK("https://en.wikipedia.org/wiki/Dry","Open source")</x:f>
        <x:v>HYPERLINK is not implemented. linkLocation=https://en.wikipedia.org/wiki/Dry,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24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3</x:v>
      </x:c>
      <x:c r="BS481" s="16" t="n">
        <x:v>0.125</x:v>
      </x:c>
      <x:c r="BT481" s="14" t="str">
        <x:v>Minority of episodes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tt15210882|nm9059642|therese</x:v>
      </x:c>
      <x:c r="B482" s="14" t="str">
        <x:v>05</x:v>
      </x:c>
      <x:c r="C482" s="14" t="str">
        <x:v>2022_IMDb_Cast_Lists_Batch_05(1).xlsx</x:v>
      </x:c>
      <x:c r="D482" s="14" t="str">
        <x:v>The Dry</x:v>
      </x:c>
      <x:c r="E482" s="14" t="n">
        <x:v>47</x:v>
      </x:c>
      <x:c r="F482" s="14" t="str">
        <x:v>The Dry</x:v>
      </x:c>
      <x:c r="G482" s="14" t="str">
        <x:v>tt15210882</x:v>
      </x:c>
      <x:c r="H482" s="14" t="n">
        <x:v>2022</x:v>
      </x:c>
      <x:c r="I482" s="14" t="n">
        <x:v>2023</x:v>
      </x:c>
      <x:c r="J482" s="14" t="str">
        <x:v>Future Carry-Forward Cohort</x:v>
      </x:c>
      <x:c r="K482" s="14" t="n">
        <x:v>2022</x:v>
      </x:c>
      <x:c r="L482" s="14" t="str">
        <x:v>Not inherited</x:v>
      </x:c>
      <x:c r="M482" s="15" t="n">
        <x:v>40</x:v>
      </x:c>
      <x:c r="N482" s="14" t="str">
        <x:v>Elaine Purdue</x:v>
      </x:c>
      <x:c r="O482" s="14" t="str">
        <x:v>nm9059642</x:v>
      </x:c>
      <x:c r="P482" s="14" t="str">
        <x:v>Therese</x:v>
      </x:c>
      <x:c r="Q482" s="15" t="n">
        <x:v>2</x:v>
      </x:c>
      <x:c r="R482" s="14" t="str">
        <x:v>2024</x:v>
      </x:c>
      <x:c r="S482" s="14" t="n">
        <x:v>2024</x:v>
      </x:c>
      <x:c r="T482" s="14" t="n">
        <x:v>2024</x:v>
      </x:c>
      <x:c r="U482" s="14" t="str">
        <x:v>Explicit source first year retained</x:v>
      </x:c>
      <x:c r="V482" s="14" t="str">
        <x:v>Earliest supplied year is 2024.</x:v>
      </x:c>
      <x:c r="W482" s="14"/>
      <x:c r="X482" s="14" t="str">
        <x:v>Carried forward to 2024</x:v>
      </x:c>
      <x:c r="Y482" s="14"/>
      <x:c r="Z482" s="14" t="str">
        <x:v>The Dry.docx</x:v>
      </x:c>
      <x:c r="AA48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BritBox UK</x:v>
      </x:c>
      <x:c r="AI482" s="14" t="str">
        <x:v>Qualifying UK co-commission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qualifying uk co-commission.</x:v>
      </x:c>
      <x:c r="AM482" s="17" t="e">
        <x:f>HYPERLINK("https://en.wikipedia.org/wiki/Dry","Open source")</x:f>
        <x:v>HYPERLINK is not implemented. linkLocation=https://en.wikipedia.org/wiki/Dry,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24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2</x:v>
      </x:c>
      <x:c r="BS482" s="16" t="n">
        <x:v>0.08333333333333333</x:v>
      </x:c>
      <x:c r="BT482" s="14" t="str">
        <x:v>Minority of episodes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tt15210882|nm0806570|gareth</x:v>
      </x:c>
      <x:c r="B483" s="14" t="str">
        <x:v>05</x:v>
      </x:c>
      <x:c r="C483" s="14" t="str">
        <x:v>2022_IMDb_Cast_Lists_Batch_05(1).xlsx</x:v>
      </x:c>
      <x:c r="D483" s="14" t="str">
        <x:v>The Dry</x:v>
      </x:c>
      <x:c r="E483" s="14" t="n">
        <x:v>48</x:v>
      </x:c>
      <x:c r="F483" s="14" t="str">
        <x:v>The Dry</x:v>
      </x:c>
      <x:c r="G483" s="14" t="str">
        <x:v>tt15210882</x:v>
      </x:c>
      <x:c r="H483" s="14" t="n">
        <x:v>2022</x:v>
      </x:c>
      <x:c r="I483" s="14" t="n">
        <x:v>2023</x:v>
      </x:c>
      <x:c r="J483" s="14" t="str">
        <x:v>Future Carry-Forward Cohort</x:v>
      </x:c>
      <x:c r="K483" s="14" t="n">
        <x:v>2022</x:v>
      </x:c>
      <x:c r="L483" s="14" t="str">
        <x:v>Not inherited</x:v>
      </x:c>
      <x:c r="M483" s="15" t="n">
        <x:v>41</x:v>
      </x:c>
      <x:c r="N483" s="14" t="str">
        <x:v>Jimmy Smallhorne</x:v>
      </x:c>
      <x:c r="O483" s="14" t="str">
        <x:v>nm0806570</x:v>
      </x:c>
      <x:c r="P483" s="14" t="str">
        <x:v>Gareth</x:v>
      </x:c>
      <x:c r="Q483" s="15" t="n">
        <x:v>2</x:v>
      </x:c>
      <x:c r="R483" s="14" t="str">
        <x:v>2024</x:v>
      </x:c>
      <x:c r="S483" s="14" t="n">
        <x:v>2024</x:v>
      </x:c>
      <x:c r="T483" s="14" t="n">
        <x:v>2024</x:v>
      </x:c>
      <x:c r="U483" s="14" t="str">
        <x:v>Explicit source first year retained</x:v>
      </x:c>
      <x:c r="V483" s="14" t="str">
        <x:v>Earliest supplied year is 2024.</x:v>
      </x:c>
      <x:c r="W483" s="14"/>
      <x:c r="X483" s="14" t="str">
        <x:v>Carried forward to 2024</x:v>
      </x:c>
      <x:c r="Y483" s="14"/>
      <x:c r="Z483" s="14" t="str">
        <x:v>The Dry.docx</x:v>
      </x:c>
      <x:c r="AA48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BritBox UK</x:v>
      </x:c>
      <x:c r="AI483" s="14" t="str">
        <x:v>Qualifying UK co-commission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qualifying uk co-commission.</x:v>
      </x:c>
      <x:c r="AM483" s="17" t="e">
        <x:f>HYPERLINK("https://en.wikipedia.org/wiki/Dry","Open source")</x:f>
        <x:v>HYPERLINK is not implemented. linkLocation=https://en.wikipedia.org/wiki/Dry,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24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2</x:v>
      </x:c>
      <x:c r="BS483" s="16" t="n">
        <x:v>0.08333333333333333</x:v>
      </x:c>
      <x:c r="BT483" s="14" t="str">
        <x:v>Minority of episodes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tt15210882|nm6568173|baz</x:v>
      </x:c>
      <x:c r="B484" s="14" t="str">
        <x:v>05</x:v>
      </x:c>
      <x:c r="C484" s="14" t="str">
        <x:v>2022_IMDb_Cast_Lists_Batch_05(1).xlsx</x:v>
      </x:c>
      <x:c r="D484" s="14" t="str">
        <x:v>The Dry</x:v>
      </x:c>
      <x:c r="E484" s="14" t="n">
        <x:v>52</x:v>
      </x:c>
      <x:c r="F484" s="14" t="str">
        <x:v>The Dry</x:v>
      </x:c>
      <x:c r="G484" s="14" t="str">
        <x:v>tt15210882</x:v>
      </x:c>
      <x:c r="H484" s="14" t="n">
        <x:v>2022</x:v>
      </x:c>
      <x:c r="I484" s="14" t="n">
        <x:v>2023</x:v>
      </x:c>
      <x:c r="J484" s="14" t="str">
        <x:v>Future Carry-Forward Cohort</x:v>
      </x:c>
      <x:c r="K484" s="14" t="n">
        <x:v>2022</x:v>
      </x:c>
      <x:c r="L484" s="14" t="str">
        <x:v>Not inherited</x:v>
      </x:c>
      <x:c r="M484" s="15" t="n">
        <x:v>45</x:v>
      </x:c>
      <x:c r="N484" s="14" t="str">
        <x:v>Ian Toner</x:v>
      </x:c>
      <x:c r="O484" s="14" t="str">
        <x:v>nm6568173</x:v>
      </x:c>
      <x:c r="P484" s="14" t="str">
        <x:v>Baz</x:v>
      </x:c>
      <x:c r="Q484" s="15" t="n">
        <x:v>2</x:v>
      </x:c>
      <x:c r="R484" s="14" t="str">
        <x:v>2024</x:v>
      </x:c>
      <x:c r="S484" s="14" t="n">
        <x:v>2024</x:v>
      </x:c>
      <x:c r="T484" s="14" t="n">
        <x:v>2024</x:v>
      </x:c>
      <x:c r="U484" s="14" t="str">
        <x:v>Explicit source first year retained</x:v>
      </x:c>
      <x:c r="V484" s="14" t="str">
        <x:v>Earliest supplied year is 2024.</x:v>
      </x:c>
      <x:c r="W484" s="14"/>
      <x:c r="X484" s="14" t="str">
        <x:v>Carried forward to 2024</x:v>
      </x:c>
      <x:c r="Y484" s="14"/>
      <x:c r="Z484" s="14" t="str">
        <x:v>The Dry.docx</x:v>
      </x:c>
      <x:c r="AA48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BritBox UK</x:v>
      </x:c>
      <x:c r="AI484" s="14" t="str">
        <x:v>Qualifying UK co-commission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qualifying uk co-commission.</x:v>
      </x:c>
      <x:c r="AM484" s="17" t="e">
        <x:f>HYPERLINK("https://en.wikipedia.org/wiki/Dry","Open source")</x:f>
        <x:v>HYPERLINK is not implemented. linkLocation=https://en.wikipedia.org/wiki/Dry,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24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2</x:v>
      </x:c>
      <x:c r="BS484" s="16" t="n">
        <x:v>0.08333333333333333</x:v>
      </x:c>
      <x:c r="BT484" s="14" t="str">
        <x:v>Minority of episodes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tt15210882|nm4861736|dec</x:v>
      </x:c>
      <x:c r="B485" s="14" t="str">
        <x:v>05</x:v>
      </x:c>
      <x:c r="C485" s="14" t="str">
        <x:v>2022_IMDb_Cast_Lists_Batch_05(1).xlsx</x:v>
      </x:c>
      <x:c r="D485" s="14" t="str">
        <x:v>The Dry</x:v>
      </x:c>
      <x:c r="E485" s="14" t="n">
        <x:v>53</x:v>
      </x:c>
      <x:c r="F485" s="14" t="str">
        <x:v>The Dry</x:v>
      </x:c>
      <x:c r="G485" s="14" t="str">
        <x:v>tt15210882</x:v>
      </x:c>
      <x:c r="H485" s="14" t="n">
        <x:v>2022</x:v>
      </x:c>
      <x:c r="I485" s="14" t="n">
        <x:v>2023</x:v>
      </x:c>
      <x:c r="J485" s="14" t="str">
        <x:v>Future Carry-Forward Cohort</x:v>
      </x:c>
      <x:c r="K485" s="14" t="n">
        <x:v>2022</x:v>
      </x:c>
      <x:c r="L485" s="14" t="str">
        <x:v>Not inherited</x:v>
      </x:c>
      <x:c r="M485" s="15" t="n">
        <x:v>46</x:v>
      </x:c>
      <x:c r="N485" s="14" t="str">
        <x:v>Kwaku Fortune</x:v>
      </x:c>
      <x:c r="O485" s="14" t="str">
        <x:v>nm4861736</x:v>
      </x:c>
      <x:c r="P485" s="14" t="str">
        <x:v>Dec</x:v>
      </x:c>
      <x:c r="Q485" s="15" t="n">
        <x:v>2</x:v>
      </x:c>
      <x:c r="R485" s="14" t="str">
        <x:v>2024</x:v>
      </x:c>
      <x:c r="S485" s="14" t="n">
        <x:v>2024</x:v>
      </x:c>
      <x:c r="T485" s="14" t="n">
        <x:v>2024</x:v>
      </x:c>
      <x:c r="U485" s="14" t="str">
        <x:v>Explicit source first year retained</x:v>
      </x:c>
      <x:c r="V485" s="14" t="str">
        <x:v>Earliest supplied year is 2024.</x:v>
      </x:c>
      <x:c r="W485" s="14"/>
      <x:c r="X485" s="14" t="str">
        <x:v>Carried forward to 2024</x:v>
      </x:c>
      <x:c r="Y485" s="14"/>
      <x:c r="Z485" s="14" t="str">
        <x:v>The Dry.docx</x:v>
      </x:c>
      <x:c r="AA48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BritBox UK</x:v>
      </x:c>
      <x:c r="AI485" s="14" t="str">
        <x:v>Qualifying UK co-commission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qualifying uk co-commission.</x:v>
      </x:c>
      <x:c r="AM485" s="17" t="e">
        <x:f>HYPERLINK("https://en.wikipedia.org/wiki/Dry","Open source")</x:f>
        <x:v>HYPERLINK is not implemented. linkLocation=https://en.wikipedia.org/wiki/Dry,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24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2</x:v>
      </x:c>
      <x:c r="BS485" s="16" t="n">
        <x:v>0.08333333333333333</x:v>
      </x:c>
      <x:c r="BT485" s="14" t="str">
        <x:v>Minority of episodes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tt15210882|nm12036090|mikail / mikhail</x:v>
      </x:c>
      <x:c r="B486" s="14" t="str">
        <x:v>05</x:v>
      </x:c>
      <x:c r="C486" s="14" t="str">
        <x:v>2022_IMDb_Cast_Lists_Batch_05(1).xlsx</x:v>
      </x:c>
      <x:c r="D486" s="14" t="str">
        <x:v>The Dry</x:v>
      </x:c>
      <x:c r="E486" s="14" t="n">
        <x:v>55</x:v>
      </x:c>
      <x:c r="F486" s="14" t="str">
        <x:v>The Dry</x:v>
      </x:c>
      <x:c r="G486" s="14" t="str">
        <x:v>tt15210882</x:v>
      </x:c>
      <x:c r="H486" s="14" t="n">
        <x:v>2022</x:v>
      </x:c>
      <x:c r="I486" s="14" t="n">
        <x:v>2023</x:v>
      </x:c>
      <x:c r="J486" s="14" t="str">
        <x:v>Future Carry-Forward Cohort</x:v>
      </x:c>
      <x:c r="K486" s="14" t="n">
        <x:v>2022</x:v>
      </x:c>
      <x:c r="L486" s="14" t="str">
        <x:v>Not inherited</x:v>
      </x:c>
      <x:c r="M486" s="15" t="n">
        <x:v>48</x:v>
      </x:c>
      <x:c r="N486" s="14" t="str">
        <x:v>Jack Mett</x:v>
      </x:c>
      <x:c r="O486" s="14" t="str">
        <x:v>nm12036090</x:v>
      </x:c>
      <x:c r="P486" s="14" t="str">
        <x:v>Mikail / Mikhail</x:v>
      </x:c>
      <x:c r="Q486" s="15" t="n">
        <x:v>2</x:v>
      </x:c>
      <x:c r="R486" s="14" t="str">
        <x:v>2024</x:v>
      </x:c>
      <x:c r="S486" s="14" t="n">
        <x:v>2024</x:v>
      </x:c>
      <x:c r="T486" s="14" t="n">
        <x:v>2024</x:v>
      </x:c>
      <x:c r="U486" s="14" t="str">
        <x:v>Explicit source first year retained</x:v>
      </x:c>
      <x:c r="V486" s="14" t="str">
        <x:v>Earliest supplied year is 2024.</x:v>
      </x:c>
      <x:c r="W486" s="14"/>
      <x:c r="X486" s="14" t="str">
        <x:v>Carried forward to 2024</x:v>
      </x:c>
      <x:c r="Y486" s="14"/>
      <x:c r="Z486" s="14" t="str">
        <x:v>The Dry.docx</x:v>
      </x:c>
      <x:c r="AA48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BritBox UK</x:v>
      </x:c>
      <x:c r="AI486" s="14" t="str">
        <x:v>Qualifying UK co-commission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qualifying uk co-commission.</x:v>
      </x:c>
      <x:c r="AM486" s="17" t="e">
        <x:f>HYPERLINK("https://en.wikipedia.org/wiki/Dry","Open source")</x:f>
        <x:v>HYPERLINK is not implemented. linkLocation=https://en.wikipedia.org/wiki/Dry,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24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2</x:v>
      </x:c>
      <x:c r="BS486" s="16" t="n">
        <x:v>0.08333333333333333</x:v>
      </x:c>
      <x:c r="BT486" s="14" t="str">
        <x:v>Minority of episodes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tt15210882|nm4269187|old lady</x:v>
      </x:c>
      <x:c r="B487" s="14" t="str">
        <x:v>05</x:v>
      </x:c>
      <x:c r="C487" s="14" t="str">
        <x:v>2022_IMDb_Cast_Lists_Batch_05(1).xlsx</x:v>
      </x:c>
      <x:c r="D487" s="14" t="str">
        <x:v>The Dry</x:v>
      </x:c>
      <x:c r="E487" s="14" t="n">
        <x:v>69</x:v>
      </x:c>
      <x:c r="F487" s="14" t="str">
        <x:v>The Dry</x:v>
      </x:c>
      <x:c r="G487" s="14" t="str">
        <x:v>tt15210882</x:v>
      </x:c>
      <x:c r="H487" s="14" t="n">
        <x:v>2022</x:v>
      </x:c>
      <x:c r="I487" s="14" t="n">
        <x:v>2023</x:v>
      </x:c>
      <x:c r="J487" s="14" t="str">
        <x:v>Future Carry-Forward Cohort</x:v>
      </x:c>
      <x:c r="K487" s="14" t="n">
        <x:v>2022</x:v>
      </x:c>
      <x:c r="L487" s="14" t="str">
        <x:v>Not inherited</x:v>
      </x:c>
      <x:c r="M487" s="15" t="n">
        <x:v>62</x:v>
      </x:c>
      <x:c r="N487" s="14" t="str">
        <x:v>Eilish O'Carroll</x:v>
      </x:c>
      <x:c r="O487" s="14" t="str">
        <x:v>nm4269187</x:v>
      </x:c>
      <x:c r="P487" s="14" t="str">
        <x:v>Old Lady</x:v>
      </x:c>
      <x:c r="Q487" s="15" t="n">
        <x:v>1</x:v>
      </x:c>
      <x:c r="R487" s="14" t="str">
        <x:v>2024</x:v>
      </x:c>
      <x:c r="S487" s="14" t="n">
        <x:v>2024</x:v>
      </x:c>
      <x:c r="T487" s="14" t="n">
        <x:v>2024</x:v>
      </x:c>
      <x:c r="U487" s="14" t="str">
        <x:v>Explicit source first year retained</x:v>
      </x:c>
      <x:c r="V487" s="14" t="str">
        <x:v>Earliest supplied year is 2024.</x:v>
      </x:c>
      <x:c r="W487" s="14"/>
      <x:c r="X487" s="14" t="str">
        <x:v>Carried forward to 2024</x:v>
      </x:c>
      <x:c r="Y487" s="14"/>
      <x:c r="Z487" s="14" t="str">
        <x:v>The Dry.docx</x:v>
      </x:c>
      <x:c r="AA48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BritBox UK</x:v>
      </x:c>
      <x:c r="AI487" s="14" t="str">
        <x:v>Qualifying UK co-commission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qualifying uk co-commission.</x:v>
      </x:c>
      <x:c r="AM487" s="17" t="e">
        <x:f>HYPERLINK("https://en.wikipedia.org/wiki/Dry","Open source")</x:f>
        <x:v>HYPERLINK is not implemented. linkLocation=https://en.wikipedia.org/wiki/Dry,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24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1</x:v>
      </x:c>
      <x:c r="BS487" s="16" t="n">
        <x:v>0.041666666666666664</x:v>
      </x:c>
      <x:c r="BT487" s="14" t="str">
        <x:v>One episode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tt15210882|nm15934016|brian</x:v>
      </x:c>
      <x:c r="B488" s="14" t="str">
        <x:v>05</x:v>
      </x:c>
      <x:c r="C488" s="14" t="str">
        <x:v>2022_IMDb_Cast_Lists_Batch_05(1).xlsx</x:v>
      </x:c>
      <x:c r="D488" s="14" t="str">
        <x:v>The Dry</x:v>
      </x:c>
      <x:c r="E488" s="14" t="n">
        <x:v>75</x:v>
      </x:c>
      <x:c r="F488" s="14" t="str">
        <x:v>The Dry</x:v>
      </x:c>
      <x:c r="G488" s="14" t="str">
        <x:v>tt15210882</x:v>
      </x:c>
      <x:c r="H488" s="14" t="n">
        <x:v>2022</x:v>
      </x:c>
      <x:c r="I488" s="14" t="n">
        <x:v>2023</x:v>
      </x:c>
      <x:c r="J488" s="14" t="str">
        <x:v>Future Carry-Forward Cohort</x:v>
      </x:c>
      <x:c r="K488" s="14" t="n">
        <x:v>2022</x:v>
      </x:c>
      <x:c r="L488" s="14" t="str">
        <x:v>Not inherited</x:v>
      </x:c>
      <x:c r="M488" s="15" t="n">
        <x:v>68</x:v>
      </x:c>
      <x:c r="N488" s="14" t="str">
        <x:v>Oliver Flitcroft</x:v>
      </x:c>
      <x:c r="O488" s="14" t="str">
        <x:v>nm15934016</x:v>
      </x:c>
      <x:c r="P488" s="14" t="str">
        <x:v>Brian</x:v>
      </x:c>
      <x:c r="Q488" s="15" t="n">
        <x:v>1</x:v>
      </x:c>
      <x:c r="R488" s="14" t="str">
        <x:v>2024</x:v>
      </x:c>
      <x:c r="S488" s="14" t="n">
        <x:v>2024</x:v>
      </x:c>
      <x:c r="T488" s="14" t="n">
        <x:v>2024</x:v>
      </x:c>
      <x:c r="U488" s="14" t="str">
        <x:v>Explicit source first year retained</x:v>
      </x:c>
      <x:c r="V488" s="14" t="str">
        <x:v>Earliest supplied year is 2024.</x:v>
      </x:c>
      <x:c r="W488" s="14"/>
      <x:c r="X488" s="14" t="str">
        <x:v>Carried forward to 2024</x:v>
      </x:c>
      <x:c r="Y488" s="14"/>
      <x:c r="Z488" s="14" t="str">
        <x:v>The Dry.docx</x:v>
      </x:c>
      <x:c r="AA48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BritBox UK</x:v>
      </x:c>
      <x:c r="AI488" s="14" t="str">
        <x:v>Qualifying UK co-commission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qualifying uk co-commission.</x:v>
      </x:c>
      <x:c r="AM488" s="17" t="e">
        <x:f>HYPERLINK("https://en.wikipedia.org/wiki/Dry","Open source")</x:f>
        <x:v>HYPERLINK is not implemented. linkLocation=https://en.wikipedia.org/wiki/Dry,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24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1</x:v>
      </x:c>
      <x:c r="BS488" s="16" t="n">
        <x:v>0.041666666666666664</x:v>
      </x:c>
      <x:c r="BT488" s="14" t="str">
        <x:v>One episode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tt15210882|nm0152064|meryl</x:v>
      </x:c>
      <x:c r="B489" s="14" t="str">
        <x:v>05</x:v>
      </x:c>
      <x:c r="C489" s="14" t="str">
        <x:v>2022_IMDb_Cast_Lists_Batch_05(1).xlsx</x:v>
      </x:c>
      <x:c r="D489" s="14" t="str">
        <x:v>The Dry</x:v>
      </x:c>
      <x:c r="E489" s="14" t="n">
        <x:v>78</x:v>
      </x:c>
      <x:c r="F489" s="14" t="str">
        <x:v>The Dry</x:v>
      </x:c>
      <x:c r="G489" s="14" t="str">
        <x:v>tt15210882</x:v>
      </x:c>
      <x:c r="H489" s="14" t="n">
        <x:v>2022</x:v>
      </x:c>
      <x:c r="I489" s="14" t="n">
        <x:v>2023</x:v>
      </x:c>
      <x:c r="J489" s="14" t="str">
        <x:v>Future Carry-Forward Cohort</x:v>
      </x:c>
      <x:c r="K489" s="14" t="n">
        <x:v>2022</x:v>
      </x:c>
      <x:c r="L489" s="14" t="str">
        <x:v>Not inherited</x:v>
      </x:c>
      <x:c r="M489" s="15" t="n">
        <x:v>71</x:v>
      </x:c>
      <x:c r="N489" s="14" t="str">
        <x:v>Bairbre Ní Chaoimh</x:v>
      </x:c>
      <x:c r="O489" s="14" t="str">
        <x:v>nm0152064</x:v>
      </x:c>
      <x:c r="P489" s="14" t="str">
        <x:v>Meryl</x:v>
      </x:c>
      <x:c r="Q489" s="15" t="n">
        <x:v>1</x:v>
      </x:c>
      <x:c r="R489" s="14" t="str">
        <x:v>2024</x:v>
      </x:c>
      <x:c r="S489" s="14" t="n">
        <x:v>2024</x:v>
      </x:c>
      <x:c r="T489" s="14" t="n">
        <x:v>2024</x:v>
      </x:c>
      <x:c r="U489" s="14" t="str">
        <x:v>Explicit source first year retained</x:v>
      </x:c>
      <x:c r="V489" s="14" t="str">
        <x:v>Earliest supplied year is 2024.</x:v>
      </x:c>
      <x:c r="W489" s="14"/>
      <x:c r="X489" s="14" t="str">
        <x:v>Carried forward to 2024</x:v>
      </x:c>
      <x:c r="Y489" s="14"/>
      <x:c r="Z489" s="14" t="str">
        <x:v>The Dry.docx</x:v>
      </x:c>
      <x:c r="AA48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BritBox UK</x:v>
      </x:c>
      <x:c r="AI489" s="14" t="str">
        <x:v>Qualifying UK co-commission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qualifying uk co-commission.</x:v>
      </x:c>
      <x:c r="AM489" s="17" t="e">
        <x:f>HYPERLINK("https://en.wikipedia.org/wiki/Dry","Open source")</x:f>
        <x:v>HYPERLINK is not implemented. linkLocation=https://en.wikipedia.org/wiki/Dry,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24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1</x:v>
      </x:c>
      <x:c r="BS489" s="16" t="n">
        <x:v>0.041666666666666664</x:v>
      </x:c>
      <x:c r="BT489" s="14" t="str">
        <x:v>One episode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tt15210882|nm5678173|gail</x:v>
      </x:c>
      <x:c r="B490" s="14" t="str">
        <x:v>05</x:v>
      </x:c>
      <x:c r="C490" s="14" t="str">
        <x:v>2022_IMDb_Cast_Lists_Batch_05(1).xlsx</x:v>
      </x:c>
      <x:c r="D490" s="14" t="str">
        <x:v>The Dry</x:v>
      </x:c>
      <x:c r="E490" s="14" t="n">
        <x:v>79</x:v>
      </x:c>
      <x:c r="F490" s="14" t="str">
        <x:v>The Dry</x:v>
      </x:c>
      <x:c r="G490" s="14" t="str">
        <x:v>tt15210882</x:v>
      </x:c>
      <x:c r="H490" s="14" t="n">
        <x:v>2022</x:v>
      </x:c>
      <x:c r="I490" s="14" t="n">
        <x:v>2023</x:v>
      </x:c>
      <x:c r="J490" s="14" t="str">
        <x:v>Future Carry-Forward Cohort</x:v>
      </x:c>
      <x:c r="K490" s="14" t="n">
        <x:v>2022</x:v>
      </x:c>
      <x:c r="L490" s="14" t="str">
        <x:v>Not inherited</x:v>
      </x:c>
      <x:c r="M490" s="15" t="n">
        <x:v>72</x:v>
      </x:c>
      <x:c r="N490" s="14" t="str">
        <x:v>Pauline O'Driscoll</x:v>
      </x:c>
      <x:c r="O490" s="14" t="str">
        <x:v>nm5678173</x:v>
      </x:c>
      <x:c r="P490" s="14" t="str">
        <x:v>Gail</x:v>
      </x:c>
      <x:c r="Q490" s="15" t="n">
        <x:v>1</x:v>
      </x:c>
      <x:c r="R490" s="14" t="str">
        <x:v>2024</x:v>
      </x:c>
      <x:c r="S490" s="14" t="n">
        <x:v>2024</x:v>
      </x:c>
      <x:c r="T490" s="14" t="n">
        <x:v>2024</x:v>
      </x:c>
      <x:c r="U490" s="14" t="str">
        <x:v>Explicit source first year retained</x:v>
      </x:c>
      <x:c r="V490" s="14" t="str">
        <x:v>Earliest supplied year is 2024.</x:v>
      </x:c>
      <x:c r="W490" s="14"/>
      <x:c r="X490" s="14" t="str">
        <x:v>Carried forward to 2024</x:v>
      </x:c>
      <x:c r="Y490" s="14"/>
      <x:c r="Z490" s="14" t="str">
        <x:v>The Dry.docx</x:v>
      </x:c>
      <x:c r="AA49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BritBox UK</x:v>
      </x:c>
      <x:c r="AI490" s="14" t="str">
        <x:v>Qualifying UK co-commission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qualifying uk co-commission.</x:v>
      </x:c>
      <x:c r="AM490" s="17" t="e">
        <x:f>HYPERLINK("https://en.wikipedia.org/wiki/Dry","Open source")</x:f>
        <x:v>HYPERLINK is not implemented. linkLocation=https://en.wikipedia.org/wiki/Dry,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24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1</x:v>
      </x:c>
      <x:c r="BS490" s="16" t="n">
        <x:v>0.041666666666666664</x:v>
      </x:c>
      <x:c r="BT490" s="14" t="str">
        <x:v>One episode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tt15210882|nm2311759|judge</x:v>
      </x:c>
      <x:c r="B491" s="14" t="str">
        <x:v>05</x:v>
      </x:c>
      <x:c r="C491" s="14" t="str">
        <x:v>2022_IMDb_Cast_Lists_Batch_05(1).xlsx</x:v>
      </x:c>
      <x:c r="D491" s="14" t="str">
        <x:v>The Dry</x:v>
      </x:c>
      <x:c r="E491" s="14" t="n">
        <x:v>80</x:v>
      </x:c>
      <x:c r="F491" s="14" t="str">
        <x:v>The Dry</x:v>
      </x:c>
      <x:c r="G491" s="14" t="str">
        <x:v>tt15210882</x:v>
      </x:c>
      <x:c r="H491" s="14" t="n">
        <x:v>2022</x:v>
      </x:c>
      <x:c r="I491" s="14" t="n">
        <x:v>2023</x:v>
      </x:c>
      <x:c r="J491" s="14" t="str">
        <x:v>Future Carry-Forward Cohort</x:v>
      </x:c>
      <x:c r="K491" s="14" t="n">
        <x:v>2022</x:v>
      </x:c>
      <x:c r="L491" s="14" t="str">
        <x:v>Not inherited</x:v>
      </x:c>
      <x:c r="M491" s="15" t="n">
        <x:v>73</x:v>
      </x:c>
      <x:c r="N491" s="14" t="str">
        <x:v>Eon Grey</x:v>
      </x:c>
      <x:c r="O491" s="14" t="str">
        <x:v>nm2311759</x:v>
      </x:c>
      <x:c r="P491" s="14" t="str">
        <x:v>Judge</x:v>
      </x:c>
      <x:c r="Q491" s="15" t="n">
        <x:v>1</x:v>
      </x:c>
      <x:c r="R491" s="14" t="str">
        <x:v>2024</x:v>
      </x:c>
      <x:c r="S491" s="14" t="n">
        <x:v>2024</x:v>
      </x:c>
      <x:c r="T491" s="14" t="n">
        <x:v>2024</x:v>
      </x:c>
      <x:c r="U491" s="14" t="str">
        <x:v>Explicit source first year retained</x:v>
      </x:c>
      <x:c r="V491" s="14" t="str">
        <x:v>Earliest supplied year is 2024.</x:v>
      </x:c>
      <x:c r="W491" s="14"/>
      <x:c r="X491" s="14" t="str">
        <x:v>Carried forward to 2024</x:v>
      </x:c>
      <x:c r="Y491" s="14"/>
      <x:c r="Z491" s="14" t="str">
        <x:v>The Dry.docx</x:v>
      </x:c>
      <x:c r="AA49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BritBox UK</x:v>
      </x:c>
      <x:c r="AI491" s="14" t="str">
        <x:v>Qualifying UK co-commission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qualifying uk co-commission.</x:v>
      </x:c>
      <x:c r="AM491" s="17" t="e">
        <x:f>HYPERLINK("https://en.wikipedia.org/wiki/Dry","Open source")</x:f>
        <x:v>HYPERLINK is not implemented. linkLocation=https://en.wikipedia.org/wiki/Dry,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24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1</x:v>
      </x:c>
      <x:c r="BS491" s="16" t="n">
        <x:v>0.041666666666666664</x:v>
      </x:c>
      <x:c r="BT491" s="14" t="str">
        <x:v>One episode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tt15210882|nm2689447|liam</x:v>
      </x:c>
      <x:c r="B492" s="14" t="str">
        <x:v>05</x:v>
      </x:c>
      <x:c r="C492" s="14" t="str">
        <x:v>2022_IMDb_Cast_Lists_Batch_05(1).xlsx</x:v>
      </x:c>
      <x:c r="D492" s="14" t="str">
        <x:v>The Dry</x:v>
      </x:c>
      <x:c r="E492" s="14" t="n">
        <x:v>81</x:v>
      </x:c>
      <x:c r="F492" s="14" t="str">
        <x:v>The Dry</x:v>
      </x:c>
      <x:c r="G492" s="14" t="str">
        <x:v>tt15210882</x:v>
      </x:c>
      <x:c r="H492" s="14" t="n">
        <x:v>2022</x:v>
      </x:c>
      <x:c r="I492" s="14" t="n">
        <x:v>2023</x:v>
      </x:c>
      <x:c r="J492" s="14" t="str">
        <x:v>Future Carry-Forward Cohort</x:v>
      </x:c>
      <x:c r="K492" s="14" t="n">
        <x:v>2022</x:v>
      </x:c>
      <x:c r="L492" s="14" t="str">
        <x:v>Not inherited</x:v>
      </x:c>
      <x:c r="M492" s="15" t="n">
        <x:v>74</x:v>
      </x:c>
      <x:c r="N492" s="14" t="str">
        <x:v>Keith Singleton</x:v>
      </x:c>
      <x:c r="O492" s="14" t="str">
        <x:v>nm2689447</x:v>
      </x:c>
      <x:c r="P492" s="14" t="str">
        <x:v>Liam</x:v>
      </x:c>
      <x:c r="Q492" s="15" t="n">
        <x:v>1</x:v>
      </x:c>
      <x:c r="R492" s="14" t="str">
        <x:v>2024</x:v>
      </x:c>
      <x:c r="S492" s="14" t="n">
        <x:v>2024</x:v>
      </x:c>
      <x:c r="T492" s="14" t="n">
        <x:v>2024</x:v>
      </x:c>
      <x:c r="U492" s="14" t="str">
        <x:v>Explicit source first year retained</x:v>
      </x:c>
      <x:c r="V492" s="14" t="str">
        <x:v>Earliest supplied year is 2024.</x:v>
      </x:c>
      <x:c r="W492" s="14"/>
      <x:c r="X492" s="14" t="str">
        <x:v>Carried forward to 2024</x:v>
      </x:c>
      <x:c r="Y492" s="14"/>
      <x:c r="Z492" s="14" t="str">
        <x:v>The Dry.docx</x:v>
      </x:c>
      <x:c r="AA49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BritBox UK</x:v>
      </x:c>
      <x:c r="AI492" s="14" t="str">
        <x:v>Qualifying UK co-commission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qualifying uk co-commission.</x:v>
      </x:c>
      <x:c r="AM492" s="17" t="e">
        <x:f>HYPERLINK("https://en.wikipedia.org/wiki/Dry","Open source")</x:f>
        <x:v>HYPERLINK is not implemented. linkLocation=https://en.wikipedia.org/wiki/Dry,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24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1</x:v>
      </x:c>
      <x:c r="BS492" s="16" t="n">
        <x:v>0.041666666666666664</x:v>
      </x:c>
      <x:c r="BT492" s="14" t="str">
        <x:v>One episode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tt15210882|nm5723177|tony</x:v>
      </x:c>
      <x:c r="B493" s="14" t="str">
        <x:v>05</x:v>
      </x:c>
      <x:c r="C493" s="14" t="str">
        <x:v>2022_IMDb_Cast_Lists_Batch_05(1).xlsx</x:v>
      </x:c>
      <x:c r="D493" s="14" t="str">
        <x:v>The Dry</x:v>
      </x:c>
      <x:c r="E493" s="14" t="n">
        <x:v>83</x:v>
      </x:c>
      <x:c r="F493" s="14" t="str">
        <x:v>The Dry</x:v>
      </x:c>
      <x:c r="G493" s="14" t="str">
        <x:v>tt15210882</x:v>
      </x:c>
      <x:c r="H493" s="14" t="n">
        <x:v>2022</x:v>
      </x:c>
      <x:c r="I493" s="14" t="n">
        <x:v>2023</x:v>
      </x:c>
      <x:c r="J493" s="14" t="str">
        <x:v>Future Carry-Forward Cohort</x:v>
      </x:c>
      <x:c r="K493" s="14" t="n">
        <x:v>2022</x:v>
      </x:c>
      <x:c r="L493" s="14" t="str">
        <x:v>Not inherited</x:v>
      </x:c>
      <x:c r="M493" s="15" t="n">
        <x:v>76</x:v>
      </x:c>
      <x:c r="N493" s="14" t="str">
        <x:v>Ed Murphy</x:v>
      </x:c>
      <x:c r="O493" s="14" t="str">
        <x:v>nm5723177</x:v>
      </x:c>
      <x:c r="P493" s="14" t="str">
        <x:v>Tony</x:v>
      </x:c>
      <x:c r="Q493" s="15" t="n">
        <x:v>1</x:v>
      </x:c>
      <x:c r="R493" s="14" t="str">
        <x:v>2024</x:v>
      </x:c>
      <x:c r="S493" s="14" t="n">
        <x:v>2024</x:v>
      </x:c>
      <x:c r="T493" s="14" t="n">
        <x:v>2024</x:v>
      </x:c>
      <x:c r="U493" s="14" t="str">
        <x:v>Explicit source first year retained</x:v>
      </x:c>
      <x:c r="V493" s="14" t="str">
        <x:v>Earliest supplied year is 2024.</x:v>
      </x:c>
      <x:c r="W493" s="14"/>
      <x:c r="X493" s="14" t="str">
        <x:v>Carried forward to 2024</x:v>
      </x:c>
      <x:c r="Y493" s="14" t="str">
        <x:v>(as Edward Murphy)</x:v>
      </x:c>
      <x:c r="Z493" s="14" t="str">
        <x:v>The Dry.docx</x:v>
      </x:c>
      <x:c r="AA49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BritBox UK</x:v>
      </x:c>
      <x:c r="AI493" s="14" t="str">
        <x:v>Qualifying UK co-commission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qualifying uk co-commission.</x:v>
      </x:c>
      <x:c r="AM493" s="17" t="e">
        <x:f>HYPERLINK("https://en.wikipedia.org/wiki/Dry","Open source")</x:f>
        <x:v>HYPERLINK is not implemented. linkLocation=https://en.wikipedia.org/wiki/Dry,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24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0.041666666666666664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tt15210882|nm10137810|annie</x:v>
      </x:c>
      <x:c r="B494" s="14" t="str">
        <x:v>05</x:v>
      </x:c>
      <x:c r="C494" s="14" t="str">
        <x:v>2022_IMDb_Cast_Lists_Batch_05(1).xlsx</x:v>
      </x:c>
      <x:c r="D494" s="14" t="str">
        <x:v>The Dry</x:v>
      </x:c>
      <x:c r="E494" s="14" t="n">
        <x:v>84</x:v>
      </x:c>
      <x:c r="F494" s="14" t="str">
        <x:v>The Dry</x:v>
      </x:c>
      <x:c r="G494" s="14" t="str">
        <x:v>tt15210882</x:v>
      </x:c>
      <x:c r="H494" s="14" t="n">
        <x:v>2022</x:v>
      </x:c>
      <x:c r="I494" s="14" t="n">
        <x:v>2023</x:v>
      </x:c>
      <x:c r="J494" s="14" t="str">
        <x:v>Future Carry-Forward Cohort</x:v>
      </x:c>
      <x:c r="K494" s="14" t="n">
        <x:v>2022</x:v>
      </x:c>
      <x:c r="L494" s="14" t="str">
        <x:v>Not inherited</x:v>
      </x:c>
      <x:c r="M494" s="15" t="n">
        <x:v>77</x:v>
      </x:c>
      <x:c r="N494" s="14" t="str">
        <x:v>Corinna Wilson</x:v>
      </x:c>
      <x:c r="O494" s="14" t="str">
        <x:v>nm10137810</x:v>
      </x:c>
      <x:c r="P494" s="14" t="str">
        <x:v>Annie</x:v>
      </x:c>
      <x:c r="Q494" s="15" t="n">
        <x:v>1</x:v>
      </x:c>
      <x:c r="R494" s="14" t="str">
        <x:v>2024</x:v>
      </x:c>
      <x:c r="S494" s="14" t="n">
        <x:v>2024</x:v>
      </x:c>
      <x:c r="T494" s="14" t="n">
        <x:v>2024</x:v>
      </x:c>
      <x:c r="U494" s="14" t="str">
        <x:v>Explicit source first year retained</x:v>
      </x:c>
      <x:c r="V494" s="14" t="str">
        <x:v>Earliest supplied year is 2024.</x:v>
      </x:c>
      <x:c r="W494" s="14"/>
      <x:c r="X494" s="14" t="str">
        <x:v>Carried forward to 2024</x:v>
      </x:c>
      <x:c r="Y494" s="14"/>
      <x:c r="Z494" s="14" t="str">
        <x:v>The Dry.docx</x:v>
      </x:c>
      <x:c r="AA49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BritBox UK</x:v>
      </x:c>
      <x:c r="AI494" s="14" t="str">
        <x:v>Qualifying UK co-commission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qualifying uk co-commission.</x:v>
      </x:c>
      <x:c r="AM494" s="17" t="e">
        <x:f>HYPERLINK("https://en.wikipedia.org/wiki/Dry","Open source")</x:f>
        <x:v>HYPERLINK is not implemented. linkLocation=https://en.wikipedia.org/wiki/Dry,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24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0.041666666666666664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tt15210882|nm5940204|ryan</x:v>
      </x:c>
      <x:c r="B495" s="14" t="str">
        <x:v>05</x:v>
      </x:c>
      <x:c r="C495" s="14" t="str">
        <x:v>2022_IMDb_Cast_Lists_Batch_05(1).xlsx</x:v>
      </x:c>
      <x:c r="D495" s="14" t="str">
        <x:v>The Dry</x:v>
      </x:c>
      <x:c r="E495" s="14" t="n">
        <x:v>86</x:v>
      </x:c>
      <x:c r="F495" s="14" t="str">
        <x:v>The Dry</x:v>
      </x:c>
      <x:c r="G495" s="14" t="str">
        <x:v>tt15210882</x:v>
      </x:c>
      <x:c r="H495" s="14" t="n">
        <x:v>2022</x:v>
      </x:c>
      <x:c r="I495" s="14" t="n">
        <x:v>2023</x:v>
      </x:c>
      <x:c r="J495" s="14" t="str">
        <x:v>Future Carry-Forward Cohort</x:v>
      </x:c>
      <x:c r="K495" s="14" t="n">
        <x:v>2022</x:v>
      </x:c>
      <x:c r="L495" s="14" t="str">
        <x:v>Not inherited</x:v>
      </x:c>
      <x:c r="M495" s="15" t="n">
        <x:v>79</x:v>
      </x:c>
      <x:c r="N495" s="14" t="str">
        <x:v>Fionn Foley</x:v>
      </x:c>
      <x:c r="O495" s="14" t="str">
        <x:v>nm5940204</x:v>
      </x:c>
      <x:c r="P495" s="14" t="str">
        <x:v>Ryan</x:v>
      </x:c>
      <x:c r="Q495" s="15" t="n">
        <x:v>1</x:v>
      </x:c>
      <x:c r="R495" s="14" t="str">
        <x:v>2024</x:v>
      </x:c>
      <x:c r="S495" s="14" t="n">
        <x:v>2024</x:v>
      </x:c>
      <x:c r="T495" s="14" t="n">
        <x:v>2024</x:v>
      </x:c>
      <x:c r="U495" s="14" t="str">
        <x:v>Explicit source first year retained</x:v>
      </x:c>
      <x:c r="V495" s="14" t="str">
        <x:v>Earliest supplied year is 2024.</x:v>
      </x:c>
      <x:c r="W495" s="14"/>
      <x:c r="X495" s="14" t="str">
        <x:v>Carried forward to 2024</x:v>
      </x:c>
      <x:c r="Y495" s="14"/>
      <x:c r="Z495" s="14" t="str">
        <x:v>The Dry.docx</x:v>
      </x:c>
      <x:c r="AA49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BritBox UK</x:v>
      </x:c>
      <x:c r="AI495" s="14" t="str">
        <x:v>Qualifying UK co-commission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qualifying uk co-commission.</x:v>
      </x:c>
      <x:c r="AM495" s="17" t="e">
        <x:f>HYPERLINK("https://en.wikipedia.org/wiki/Dry","Open source")</x:f>
        <x:v>HYPERLINK is not implemented. linkLocation=https://en.wikipedia.org/wiki/Dry,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24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0.041666666666666664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tt15210882|nm13082021|ian</x:v>
      </x:c>
      <x:c r="B496" s="14" t="str">
        <x:v>05</x:v>
      </x:c>
      <x:c r="C496" s="14" t="str">
        <x:v>2022_IMDb_Cast_Lists_Batch_05(1).xlsx</x:v>
      </x:c>
      <x:c r="D496" s="14" t="str">
        <x:v>The Dry</x:v>
      </x:c>
      <x:c r="E496" s="14" t="n">
        <x:v>87</x:v>
      </x:c>
      <x:c r="F496" s="14" t="str">
        <x:v>The Dry</x:v>
      </x:c>
      <x:c r="G496" s="14" t="str">
        <x:v>tt15210882</x:v>
      </x:c>
      <x:c r="H496" s="14" t="n">
        <x:v>2022</x:v>
      </x:c>
      <x:c r="I496" s="14" t="n">
        <x:v>2023</x:v>
      </x:c>
      <x:c r="J496" s="14" t="str">
        <x:v>Future Carry-Forward Cohort</x:v>
      </x:c>
      <x:c r="K496" s="14" t="n">
        <x:v>2022</x:v>
      </x:c>
      <x:c r="L496" s="14" t="str">
        <x:v>Not inherited</x:v>
      </x:c>
      <x:c r="M496" s="15" t="n">
        <x:v>80</x:v>
      </x:c>
      <x:c r="N496" s="14" t="str">
        <x:v>Killian Sundermann</x:v>
      </x:c>
      <x:c r="O496" s="14" t="str">
        <x:v>nm13082021</x:v>
      </x:c>
      <x:c r="P496" s="14" t="str">
        <x:v>Ian</x:v>
      </x:c>
      <x:c r="Q496" s="15" t="n">
        <x:v>1</x:v>
      </x:c>
      <x:c r="R496" s="14" t="str">
        <x:v>2024</x:v>
      </x:c>
      <x:c r="S496" s="14" t="n">
        <x:v>2024</x:v>
      </x:c>
      <x:c r="T496" s="14" t="n">
        <x:v>2024</x:v>
      </x:c>
      <x:c r="U496" s="14" t="str">
        <x:v>Explicit source first year retained</x:v>
      </x:c>
      <x:c r="V496" s="14" t="str">
        <x:v>Earliest supplied year is 2024.</x:v>
      </x:c>
      <x:c r="W496" s="14"/>
      <x:c r="X496" s="14" t="str">
        <x:v>Carried forward to 2024</x:v>
      </x:c>
      <x:c r="Y496" s="14"/>
      <x:c r="Z496" s="14" t="str">
        <x:v>The Dry.docx</x:v>
      </x:c>
      <x:c r="AA49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BritBox UK</x:v>
      </x:c>
      <x:c r="AI496" s="14" t="str">
        <x:v>Qualifying UK co-commission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qualifying uk co-commission.</x:v>
      </x:c>
      <x:c r="AM496" s="17" t="e">
        <x:f>HYPERLINK("https://en.wikipedia.org/wiki/Dry","Open source")</x:f>
        <x:v>HYPERLINK is not implemented. linkLocation=https://en.wikipedia.org/wiki/Dry,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24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0.041666666666666664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tt15210882|nm2435477|bob</x:v>
      </x:c>
      <x:c r="B497" s="14" t="str">
        <x:v>05</x:v>
      </x:c>
      <x:c r="C497" s="14" t="str">
        <x:v>2022_IMDb_Cast_Lists_Batch_05(1).xlsx</x:v>
      </x:c>
      <x:c r="D497" s="14" t="str">
        <x:v>The Dry</x:v>
      </x:c>
      <x:c r="E497" s="14" t="n">
        <x:v>88</x:v>
      </x:c>
      <x:c r="F497" s="14" t="str">
        <x:v>The Dry</x:v>
      </x:c>
      <x:c r="G497" s="14" t="str">
        <x:v>tt15210882</x:v>
      </x:c>
      <x:c r="H497" s="14" t="n">
        <x:v>2022</x:v>
      </x:c>
      <x:c r="I497" s="14" t="n">
        <x:v>2023</x:v>
      </x:c>
      <x:c r="J497" s="14" t="str">
        <x:v>Future Carry-Forward Cohort</x:v>
      </x:c>
      <x:c r="K497" s="14" t="n">
        <x:v>2022</x:v>
      </x:c>
      <x:c r="L497" s="14" t="str">
        <x:v>Not inherited</x:v>
      </x:c>
      <x:c r="M497" s="15" t="n">
        <x:v>81</x:v>
      </x:c>
      <x:c r="N497" s="14" t="str">
        <x:v>John Lynn</x:v>
      </x:c>
      <x:c r="O497" s="14" t="str">
        <x:v>nm2435477</x:v>
      </x:c>
      <x:c r="P497" s="14" t="str">
        <x:v>Bob</x:v>
      </x:c>
      <x:c r="Q497" s="15" t="n">
        <x:v>1</x:v>
      </x:c>
      <x:c r="R497" s="14" t="str">
        <x:v>2024</x:v>
      </x:c>
      <x:c r="S497" s="14" t="n">
        <x:v>2024</x:v>
      </x:c>
      <x:c r="T497" s="14" t="n">
        <x:v>2024</x:v>
      </x:c>
      <x:c r="U497" s="14" t="str">
        <x:v>Explicit source first year retained</x:v>
      </x:c>
      <x:c r="V497" s="14" t="str">
        <x:v>Earliest supplied year is 2024.</x:v>
      </x:c>
      <x:c r="W497" s="14"/>
      <x:c r="X497" s="14" t="str">
        <x:v>Carried forward to 2024</x:v>
      </x:c>
      <x:c r="Y497" s="14"/>
      <x:c r="Z497" s="14" t="str">
        <x:v>The Dry.docx</x:v>
      </x:c>
      <x:c r="AA49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BritBox UK</x:v>
      </x:c>
      <x:c r="AI497" s="14" t="str">
        <x:v>Qualifying UK co-commission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qualifying uk co-commission.</x:v>
      </x:c>
      <x:c r="AM497" s="17" t="e">
        <x:f>HYPERLINK("https://en.wikipedia.org/wiki/Dry","Open source")</x:f>
        <x:v>HYPERLINK is not implemented. linkLocation=https://en.wikipedia.org/wiki/Dry,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24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0.041666666666666664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tt15210882|nm15505130|keith</x:v>
      </x:c>
      <x:c r="B498" s="14" t="str">
        <x:v>05</x:v>
      </x:c>
      <x:c r="C498" s="14" t="str">
        <x:v>2022_IMDb_Cast_Lists_Batch_05(1).xlsx</x:v>
      </x:c>
      <x:c r="D498" s="14" t="str">
        <x:v>The Dry</x:v>
      </x:c>
      <x:c r="E498" s="14" t="n">
        <x:v>90</x:v>
      </x:c>
      <x:c r="F498" s="14" t="str">
        <x:v>The Dry</x:v>
      </x:c>
      <x:c r="G498" s="14" t="str">
        <x:v>tt15210882</x:v>
      </x:c>
      <x:c r="H498" s="14" t="n">
        <x:v>2022</x:v>
      </x:c>
      <x:c r="I498" s="14" t="n">
        <x:v>2023</x:v>
      </x:c>
      <x:c r="J498" s="14" t="str">
        <x:v>Future Carry-Forward Cohort</x:v>
      </x:c>
      <x:c r="K498" s="14" t="n">
        <x:v>2022</x:v>
      </x:c>
      <x:c r="L498" s="14" t="str">
        <x:v>Not inherited</x:v>
      </x:c>
      <x:c r="M498" s="15" t="n">
        <x:v>83</x:v>
      </x:c>
      <x:c r="N498" s="14" t="str">
        <x:v>John Spillane</x:v>
      </x:c>
      <x:c r="O498" s="14" t="str">
        <x:v>nm15505130</x:v>
      </x:c>
      <x:c r="P498" s="14" t="str">
        <x:v>Keith</x:v>
      </x:c>
      <x:c r="Q498" s="15" t="n">
        <x:v>1</x:v>
      </x:c>
      <x:c r="R498" s="14" t="str">
        <x:v>2024</x:v>
      </x:c>
      <x:c r="S498" s="14" t="n">
        <x:v>2024</x:v>
      </x:c>
      <x:c r="T498" s="14" t="n">
        <x:v>2024</x:v>
      </x:c>
      <x:c r="U498" s="14" t="str">
        <x:v>Explicit source first year retained</x:v>
      </x:c>
      <x:c r="V498" s="14" t="str">
        <x:v>Earliest supplied year is 2024.</x:v>
      </x:c>
      <x:c r="W498" s="14"/>
      <x:c r="X498" s="14" t="str">
        <x:v>Carried forward to 2024</x:v>
      </x:c>
      <x:c r="Y498" s="14"/>
      <x:c r="Z498" s="14" t="str">
        <x:v>The Dry.docx</x:v>
      </x:c>
      <x:c r="AA49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BritBox UK</x:v>
      </x:c>
      <x:c r="AI498" s="14" t="str">
        <x:v>Qualifying UK co-commission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qualifying uk co-commission.</x:v>
      </x:c>
      <x:c r="AM498" s="17" t="e">
        <x:f>HYPERLINK("https://en.wikipedia.org/wiki/Dry","Open source")</x:f>
        <x:v>HYPERLINK is not implemented. linkLocation=https://en.wikipedia.org/wiki/Dry,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24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0.041666666666666664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tt15210882|nm5077289|nick</x:v>
      </x:c>
      <x:c r="B499" s="14" t="str">
        <x:v>05</x:v>
      </x:c>
      <x:c r="C499" s="14" t="str">
        <x:v>2022_IMDb_Cast_Lists_Batch_05(1).xlsx</x:v>
      </x:c>
      <x:c r="D499" s="14" t="str">
        <x:v>The Dry</x:v>
      </x:c>
      <x:c r="E499" s="14" t="n">
        <x:v>92</x:v>
      </x:c>
      <x:c r="F499" s="14" t="str">
        <x:v>The Dry</x:v>
      </x:c>
      <x:c r="G499" s="14" t="str">
        <x:v>tt15210882</x:v>
      </x:c>
      <x:c r="H499" s="14" t="n">
        <x:v>2022</x:v>
      </x:c>
      <x:c r="I499" s="14" t="n">
        <x:v>2023</x:v>
      </x:c>
      <x:c r="J499" s="14" t="str">
        <x:v>Future Carry-Forward Cohort</x:v>
      </x:c>
      <x:c r="K499" s="14" t="n">
        <x:v>2022</x:v>
      </x:c>
      <x:c r="L499" s="14" t="str">
        <x:v>Not inherited</x:v>
      </x:c>
      <x:c r="M499" s="15" t="n">
        <x:v>85</x:v>
      </x:c>
      <x:c r="N499" s="14" t="str">
        <x:v>Kevin McGahern</x:v>
      </x:c>
      <x:c r="O499" s="14" t="str">
        <x:v>nm5077289</x:v>
      </x:c>
      <x:c r="P499" s="14" t="str">
        <x:v>Nick</x:v>
      </x:c>
      <x:c r="Q499" s="15" t="n">
        <x:v>1</x:v>
      </x:c>
      <x:c r="R499" s="14" t="str">
        <x:v>2024</x:v>
      </x:c>
      <x:c r="S499" s="14" t="n">
        <x:v>2024</x:v>
      </x:c>
      <x:c r="T499" s="14" t="n">
        <x:v>2024</x:v>
      </x:c>
      <x:c r="U499" s="14" t="str">
        <x:v>Explicit source first year retained</x:v>
      </x:c>
      <x:c r="V499" s="14" t="str">
        <x:v>Earliest supplied year is 2024.</x:v>
      </x:c>
      <x:c r="W499" s="14"/>
      <x:c r="X499" s="14" t="str">
        <x:v>Carried forward to 2024</x:v>
      </x:c>
      <x:c r="Y499" s="14"/>
      <x:c r="Z499" s="14" t="str">
        <x:v>The Dry.docx</x:v>
      </x:c>
      <x:c r="AA49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BritBox UK</x:v>
      </x:c>
      <x:c r="AI499" s="14" t="str">
        <x:v>Qualifying UK co-commission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qualifying uk co-commission.</x:v>
      </x:c>
      <x:c r="AM499" s="17" t="e">
        <x:f>HYPERLINK("https://en.wikipedia.org/wiki/Dry","Open source")</x:f>
        <x:v>HYPERLINK is not implemented. linkLocation=https://en.wikipedia.org/wiki/Dry,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24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1</x:v>
      </x:c>
      <x:c r="BS499" s="16" t="n">
        <x:v>0.041666666666666664</x:v>
      </x:c>
      <x:c r="BT499" s="14" t="str">
        <x:v>One episode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tt15210882|nm2363349|adaku</x:v>
      </x:c>
      <x:c r="B500" s="14" t="str">
        <x:v>05</x:v>
      </x:c>
      <x:c r="C500" s="14" t="str">
        <x:v>2022_IMDb_Cast_Lists_Batch_05(1).xlsx</x:v>
      </x:c>
      <x:c r="D500" s="14" t="str">
        <x:v>The Dry</x:v>
      </x:c>
      <x:c r="E500" s="14" t="n">
        <x:v>93</x:v>
      </x:c>
      <x:c r="F500" s="14" t="str">
        <x:v>The Dry</x:v>
      </x:c>
      <x:c r="G500" s="14" t="str">
        <x:v>tt15210882</x:v>
      </x:c>
      <x:c r="H500" s="14" t="n">
        <x:v>2022</x:v>
      </x:c>
      <x:c r="I500" s="14" t="n">
        <x:v>2023</x:v>
      </x:c>
      <x:c r="J500" s="14" t="str">
        <x:v>Future Carry-Forward Cohort</x:v>
      </x:c>
      <x:c r="K500" s="14" t="n">
        <x:v>2022</x:v>
      </x:c>
      <x:c r="L500" s="14" t="str">
        <x:v>Not inherited</x:v>
      </x:c>
      <x:c r="M500" s="15" t="n">
        <x:v>86</x:v>
      </x:c>
      <x:c r="N500" s="14" t="str">
        <x:v>Chloe Okora</x:v>
      </x:c>
      <x:c r="O500" s="14" t="str">
        <x:v>nm2363349</x:v>
      </x:c>
      <x:c r="P500" s="14" t="str">
        <x:v>Adaku</x:v>
      </x:c>
      <x:c r="Q500" s="15" t="n">
        <x:v>1</x:v>
      </x:c>
      <x:c r="R500" s="14" t="str">
        <x:v>2024</x:v>
      </x:c>
      <x:c r="S500" s="14" t="n">
        <x:v>2024</x:v>
      </x:c>
      <x:c r="T500" s="14" t="n">
        <x:v>2024</x:v>
      </x:c>
      <x:c r="U500" s="14" t="str">
        <x:v>Explicit source first year retained</x:v>
      </x:c>
      <x:c r="V500" s="14" t="str">
        <x:v>Earliest supplied year is 2024.</x:v>
      </x:c>
      <x:c r="W500" s="14"/>
      <x:c r="X500" s="14" t="str">
        <x:v>Carried forward to 2024</x:v>
      </x:c>
      <x:c r="Y500" s="14"/>
      <x:c r="Z500" s="14" t="str">
        <x:v>The Dry.docx</x:v>
      </x:c>
      <x:c r="AA50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BritBox UK</x:v>
      </x:c>
      <x:c r="AI500" s="14" t="str">
        <x:v>Qualifying UK co-commission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qualifying uk co-commission.</x:v>
      </x:c>
      <x:c r="AM500" s="17" t="e">
        <x:f>HYPERLINK("https://en.wikipedia.org/wiki/Dry","Open source")</x:f>
        <x:v>HYPERLINK is not implemented. linkLocation=https://en.wikipedia.org/wiki/Dry,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24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1</x:v>
      </x:c>
      <x:c r="BS500" s="16" t="n">
        <x:v>0.041666666666666664</x:v>
      </x:c>
      <x:c r="BT500" s="14" t="str">
        <x:v>One episode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tt15210882|nm0730069|niamh</x:v>
      </x:c>
      <x:c r="B501" s="14" t="str">
        <x:v>05</x:v>
      </x:c>
      <x:c r="C501" s="14" t="str">
        <x:v>2022_IMDb_Cast_Lists_Batch_05(1).xlsx</x:v>
      </x:c>
      <x:c r="D501" s="14" t="str">
        <x:v>The Dry</x:v>
      </x:c>
      <x:c r="E501" s="14" t="n">
        <x:v>94</x:v>
      </x:c>
      <x:c r="F501" s="14" t="str">
        <x:v>The Dry</x:v>
      </x:c>
      <x:c r="G501" s="14" t="str">
        <x:v>tt15210882</x:v>
      </x:c>
      <x:c r="H501" s="14" t="n">
        <x:v>2022</x:v>
      </x:c>
      <x:c r="I501" s="14" t="n">
        <x:v>2023</x:v>
      </x:c>
      <x:c r="J501" s="14" t="str">
        <x:v>Future Carry-Forward Cohort</x:v>
      </x:c>
      <x:c r="K501" s="14" t="n">
        <x:v>2022</x:v>
      </x:c>
      <x:c r="L501" s="14" t="str">
        <x:v>Not inherited</x:v>
      </x:c>
      <x:c r="M501" s="15" t="n">
        <x:v>87</x:v>
      </x:c>
      <x:c r="N501" s="14" t="str">
        <x:v>Helen Roche</x:v>
      </x:c>
      <x:c r="O501" s="14" t="str">
        <x:v>nm0730069</x:v>
      </x:c>
      <x:c r="P501" s="14" t="str">
        <x:v>Niamh</x:v>
      </x:c>
      <x:c r="Q501" s="15" t="n">
        <x:v>1</x:v>
      </x:c>
      <x:c r="R501" s="14" t="str">
        <x:v>2024</x:v>
      </x:c>
      <x:c r="S501" s="14" t="n">
        <x:v>2024</x:v>
      </x:c>
      <x:c r="T501" s="14" t="n">
        <x:v>2024</x:v>
      </x:c>
      <x:c r="U501" s="14" t="str">
        <x:v>Explicit source first year retained</x:v>
      </x:c>
      <x:c r="V501" s="14" t="str">
        <x:v>Earliest supplied year is 2024.</x:v>
      </x:c>
      <x:c r="W501" s="14"/>
      <x:c r="X501" s="14" t="str">
        <x:v>Carried forward to 2024</x:v>
      </x:c>
      <x:c r="Y501" s="14"/>
      <x:c r="Z501" s="14" t="str">
        <x:v>The Dry.docx</x:v>
      </x:c>
      <x:c r="AA50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BritBox UK</x:v>
      </x:c>
      <x:c r="AI501" s="14" t="str">
        <x:v>Qualifying UK co-commission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qualifying uk co-commission.</x:v>
      </x:c>
      <x:c r="AM501" s="17" t="e">
        <x:f>HYPERLINK("https://en.wikipedia.org/wiki/Dry","Open source")</x:f>
        <x:v>HYPERLINK is not implemented. linkLocation=https://en.wikipedia.org/wiki/Dry,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24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1</x:v>
      </x:c>
      <x:c r="BS501" s="16" t="n">
        <x:v>0.041666666666666664</x:v>
      </x:c>
      <x:c r="BT501" s="14" t="str">
        <x:v>One episode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tt15210882|nm1676496|kwame</x:v>
      </x:c>
      <x:c r="B502" s="14" t="str">
        <x:v>05</x:v>
      </x:c>
      <x:c r="C502" s="14" t="str">
        <x:v>2022_IMDb_Cast_Lists_Batch_05(1).xlsx</x:v>
      </x:c>
      <x:c r="D502" s="14" t="str">
        <x:v>The Dry</x:v>
      </x:c>
      <x:c r="E502" s="14" t="n">
        <x:v>95</x:v>
      </x:c>
      <x:c r="F502" s="14" t="str">
        <x:v>The Dry</x:v>
      </x:c>
      <x:c r="G502" s="14" t="str">
        <x:v>tt15210882</x:v>
      </x:c>
      <x:c r="H502" s="14" t="n">
        <x:v>2022</x:v>
      </x:c>
      <x:c r="I502" s="14" t="n">
        <x:v>2023</x:v>
      </x:c>
      <x:c r="J502" s="14" t="str">
        <x:v>Future Carry-Forward Cohort</x:v>
      </x:c>
      <x:c r="K502" s="14" t="n">
        <x:v>2022</x:v>
      </x:c>
      <x:c r="L502" s="14" t="str">
        <x:v>Not inherited</x:v>
      </x:c>
      <x:c r="M502" s="15" t="n">
        <x:v>88</x:v>
      </x:c>
      <x:c r="N502" s="14" t="str">
        <x:v>Mark Asante</x:v>
      </x:c>
      <x:c r="O502" s="14" t="str">
        <x:v>nm1676496</x:v>
      </x:c>
      <x:c r="P502" s="14" t="str">
        <x:v>Kwame</x:v>
      </x:c>
      <x:c r="Q502" s="15" t="n">
        <x:v>1</x:v>
      </x:c>
      <x:c r="R502" s="14" t="str">
        <x:v>2024</x:v>
      </x:c>
      <x:c r="S502" s="14" t="n">
        <x:v>2024</x:v>
      </x:c>
      <x:c r="T502" s="14" t="n">
        <x:v>2024</x:v>
      </x:c>
      <x:c r="U502" s="14" t="str">
        <x:v>Explicit source first year retained</x:v>
      </x:c>
      <x:c r="V502" s="14" t="str">
        <x:v>Earliest supplied year is 2024.</x:v>
      </x:c>
      <x:c r="W502" s="14"/>
      <x:c r="X502" s="14" t="str">
        <x:v>Carried forward to 2024</x:v>
      </x:c>
      <x:c r="Y502" s="14"/>
      <x:c r="Z502" s="14" t="str">
        <x:v>The Dry.docx</x:v>
      </x:c>
      <x:c r="AA50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BritBox UK</x:v>
      </x:c>
      <x:c r="AI502" s="14" t="str">
        <x:v>Qualifying UK co-commission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qualifying uk co-commission.</x:v>
      </x:c>
      <x:c r="AM502" s="17" t="e">
        <x:f>HYPERLINK("https://en.wikipedia.org/wiki/Dry","Open source")</x:f>
        <x:v>HYPERLINK is not implemented. linkLocation=https://en.wikipedia.org/wiki/Dry,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24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1</x:v>
      </x:c>
      <x:c r="BS502" s="16" t="n">
        <x:v>0.041666666666666664</x:v>
      </x:c>
      <x:c r="BT502" s="14" t="str">
        <x:v>One episode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tt15210882|nm5079003|peadar</x:v>
      </x:c>
      <x:c r="B503" s="14" t="str">
        <x:v>05</x:v>
      </x:c>
      <x:c r="C503" s="14" t="str">
        <x:v>2022_IMDb_Cast_Lists_Batch_05(1).xlsx</x:v>
      </x:c>
      <x:c r="D503" s="14" t="str">
        <x:v>The Dry</x:v>
      </x:c>
      <x:c r="E503" s="14" t="n">
        <x:v>96</x:v>
      </x:c>
      <x:c r="F503" s="14" t="str">
        <x:v>The Dry</x:v>
      </x:c>
      <x:c r="G503" s="14" t="str">
        <x:v>tt15210882</x:v>
      </x:c>
      <x:c r="H503" s="14" t="n">
        <x:v>2022</x:v>
      </x:c>
      <x:c r="I503" s="14" t="n">
        <x:v>2023</x:v>
      </x:c>
      <x:c r="J503" s="14" t="str">
        <x:v>Future Carry-Forward Cohort</x:v>
      </x:c>
      <x:c r="K503" s="14" t="n">
        <x:v>2022</x:v>
      </x:c>
      <x:c r="L503" s="14" t="str">
        <x:v>Not inherited</x:v>
      </x:c>
      <x:c r="M503" s="15" t="n">
        <x:v>89</x:v>
      </x:c>
      <x:c r="N503" s="14" t="str">
        <x:v>George Bracebridge</x:v>
      </x:c>
      <x:c r="O503" s="14" t="str">
        <x:v>nm5079003</x:v>
      </x:c>
      <x:c r="P503" s="14" t="str">
        <x:v>Peadar</x:v>
      </x:c>
      <x:c r="Q503" s="15" t="n">
        <x:v>1</x:v>
      </x:c>
      <x:c r="R503" s="14" t="str">
        <x:v>2024</x:v>
      </x:c>
      <x:c r="S503" s="14" t="n">
        <x:v>2024</x:v>
      </x:c>
      <x:c r="T503" s="14" t="n">
        <x:v>2024</x:v>
      </x:c>
      <x:c r="U503" s="14" t="str">
        <x:v>Explicit source first year retained</x:v>
      </x:c>
      <x:c r="V503" s="14" t="str">
        <x:v>Earliest supplied year is 2024.</x:v>
      </x:c>
      <x:c r="W503" s="14"/>
      <x:c r="X503" s="14" t="str">
        <x:v>Carried forward to 2024</x:v>
      </x:c>
      <x:c r="Y503" s="14"/>
      <x:c r="Z503" s="14" t="str">
        <x:v>The Dry.docx</x:v>
      </x:c>
      <x:c r="AA50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BritBox UK</x:v>
      </x:c>
      <x:c r="AI503" s="14" t="str">
        <x:v>Qualifying UK co-commission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qualifying uk co-commission.</x:v>
      </x:c>
      <x:c r="AM503" s="17" t="e">
        <x:f>HYPERLINK("https://en.wikipedia.org/wiki/Dry","Open source")</x:f>
        <x:v>HYPERLINK is not implemented. linkLocation=https://en.wikipedia.org/wiki/Dry,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24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1</x:v>
      </x:c>
      <x:c r="BS503" s="16" t="n">
        <x:v>0.041666666666666664</x:v>
      </x:c>
      <x:c r="BT503" s="14" t="str">
        <x:v>One episode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tt15210882|nm5050979|alan</x:v>
      </x:c>
      <x:c r="B504" s="14" t="str">
        <x:v>05</x:v>
      </x:c>
      <x:c r="C504" s="14" t="str">
        <x:v>2022_IMDb_Cast_Lists_Batch_05(1).xlsx</x:v>
      </x:c>
      <x:c r="D504" s="14" t="str">
        <x:v>The Dry</x:v>
      </x:c>
      <x:c r="E504" s="14" t="n">
        <x:v>97</x:v>
      </x:c>
      <x:c r="F504" s="14" t="str">
        <x:v>The Dry</x:v>
      </x:c>
      <x:c r="G504" s="14" t="str">
        <x:v>tt15210882</x:v>
      </x:c>
      <x:c r="H504" s="14" t="n">
        <x:v>2022</x:v>
      </x:c>
      <x:c r="I504" s="14" t="n">
        <x:v>2023</x:v>
      </x:c>
      <x:c r="J504" s="14" t="str">
        <x:v>Future Carry-Forward Cohort</x:v>
      </x:c>
      <x:c r="K504" s="14" t="n">
        <x:v>2022</x:v>
      </x:c>
      <x:c r="L504" s="14" t="str">
        <x:v>Not inherited</x:v>
      </x:c>
      <x:c r="M504" s="15" t="n">
        <x:v>90</x:v>
      </x:c>
      <x:c r="N504" s="14" t="str">
        <x:v>Nathan O'Toole</x:v>
      </x:c>
      <x:c r="O504" s="14" t="str">
        <x:v>nm5050979</x:v>
      </x:c>
      <x:c r="P504" s="14" t="str">
        <x:v>Alan</x:v>
      </x:c>
      <x:c r="Q504" s="15" t="n">
        <x:v>1</x:v>
      </x:c>
      <x:c r="R504" s="14" t="str">
        <x:v>2024</x:v>
      </x:c>
      <x:c r="S504" s="14" t="n">
        <x:v>2024</x:v>
      </x:c>
      <x:c r="T504" s="14" t="n">
        <x:v>2024</x:v>
      </x:c>
      <x:c r="U504" s="14" t="str">
        <x:v>Explicit source first year retained</x:v>
      </x:c>
      <x:c r="V504" s="14" t="str">
        <x:v>Earliest supplied year is 2024.</x:v>
      </x:c>
      <x:c r="W504" s="14"/>
      <x:c r="X504" s="14" t="str">
        <x:v>Carried forward to 2024</x:v>
      </x:c>
      <x:c r="Y504" s="14"/>
      <x:c r="Z504" s="14" t="str">
        <x:v>The Dry.docx</x:v>
      </x:c>
      <x:c r="AA50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BritBox UK</x:v>
      </x:c>
      <x:c r="AI504" s="14" t="str">
        <x:v>Qualifying UK co-commission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qualifying uk co-commission.</x:v>
      </x:c>
      <x:c r="AM504" s="17" t="e">
        <x:f>HYPERLINK("https://en.wikipedia.org/wiki/Dry","Open source")</x:f>
        <x:v>HYPERLINK is not implemented. linkLocation=https://en.wikipedia.org/wiki/Dry,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24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0.041666666666666664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tt15210882|nm15934017|mags</x:v>
      </x:c>
      <x:c r="B505" s="14" t="str">
        <x:v>05</x:v>
      </x:c>
      <x:c r="C505" s="14" t="str">
        <x:v>2022_IMDb_Cast_Lists_Batch_05(1).xlsx</x:v>
      </x:c>
      <x:c r="D505" s="14" t="str">
        <x:v>The Dry</x:v>
      </x:c>
      <x:c r="E505" s="14" t="n">
        <x:v>98</x:v>
      </x:c>
      <x:c r="F505" s="14" t="str">
        <x:v>The Dry</x:v>
      </x:c>
      <x:c r="G505" s="14" t="str">
        <x:v>tt15210882</x:v>
      </x:c>
      <x:c r="H505" s="14" t="n">
        <x:v>2022</x:v>
      </x:c>
      <x:c r="I505" s="14" t="n">
        <x:v>2023</x:v>
      </x:c>
      <x:c r="J505" s="14" t="str">
        <x:v>Future Carry-Forward Cohort</x:v>
      </x:c>
      <x:c r="K505" s="14" t="n">
        <x:v>2022</x:v>
      </x:c>
      <x:c r="L505" s="14" t="str">
        <x:v>Not inherited</x:v>
      </x:c>
      <x:c r="M505" s="15" t="n">
        <x:v>91</x:v>
      </x:c>
      <x:c r="N505" s="14" t="str">
        <x:v>Jasmine Russel</x:v>
      </x:c>
      <x:c r="O505" s="14" t="str">
        <x:v>nm15934017</x:v>
      </x:c>
      <x:c r="P505" s="14" t="str">
        <x:v>Mags</x:v>
      </x:c>
      <x:c r="Q505" s="15" t="n">
        <x:v>1</x:v>
      </x:c>
      <x:c r="R505" s="14" t="str">
        <x:v>2024</x:v>
      </x:c>
      <x:c r="S505" s="14" t="n">
        <x:v>2024</x:v>
      </x:c>
      <x:c r="T505" s="14" t="n">
        <x:v>2024</x:v>
      </x:c>
      <x:c r="U505" s="14" t="str">
        <x:v>Explicit source first year retained</x:v>
      </x:c>
      <x:c r="V505" s="14" t="str">
        <x:v>Earliest supplied year is 2024.</x:v>
      </x:c>
      <x:c r="W505" s="14"/>
      <x:c r="X505" s="14" t="str">
        <x:v>Carried forward to 2024</x:v>
      </x:c>
      <x:c r="Y505" s="14"/>
      <x:c r="Z505" s="14" t="str">
        <x:v>The Dry.docx</x:v>
      </x:c>
      <x:c r="AA50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BritBox UK</x:v>
      </x:c>
      <x:c r="AI505" s="14" t="str">
        <x:v>Qualifying UK co-commission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qualifying uk co-commission.</x:v>
      </x:c>
      <x:c r="AM505" s="17" t="e">
        <x:f>HYPERLINK("https://en.wikipedia.org/wiki/Dry","Open source")</x:f>
        <x:v>HYPERLINK is not implemented. linkLocation=https://en.wikipedia.org/wiki/Dry,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24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0.041666666666666664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tt15210882|nm3208088|dr. morris</x:v>
      </x:c>
      <x:c r="B506" s="14" t="str">
        <x:v>05</x:v>
      </x:c>
      <x:c r="C506" s="14" t="str">
        <x:v>2022_IMDb_Cast_Lists_Batch_05(1).xlsx</x:v>
      </x:c>
      <x:c r="D506" s="14" t="str">
        <x:v>The Dry</x:v>
      </x:c>
      <x:c r="E506" s="14" t="n">
        <x:v>99</x:v>
      </x:c>
      <x:c r="F506" s="14" t="str">
        <x:v>The Dry</x:v>
      </x:c>
      <x:c r="G506" s="14" t="str">
        <x:v>tt15210882</x:v>
      </x:c>
      <x:c r="H506" s="14" t="n">
        <x:v>2022</x:v>
      </x:c>
      <x:c r="I506" s="14" t="n">
        <x:v>2023</x:v>
      </x:c>
      <x:c r="J506" s="14" t="str">
        <x:v>Future Carry-Forward Cohort</x:v>
      </x:c>
      <x:c r="K506" s="14" t="n">
        <x:v>2022</x:v>
      </x:c>
      <x:c r="L506" s="14" t="str">
        <x:v>Not inherited</x:v>
      </x:c>
      <x:c r="M506" s="15" t="n">
        <x:v>92</x:v>
      </x:c>
      <x:c r="N506" s="14" t="str">
        <x:v>Lauren Farrell</x:v>
      </x:c>
      <x:c r="O506" s="14" t="str">
        <x:v>nm3208088</x:v>
      </x:c>
      <x:c r="P506" s="14" t="str">
        <x:v>Dr. Morris</x:v>
      </x:c>
      <x:c r="Q506" s="15" t="n">
        <x:v>1</x:v>
      </x:c>
      <x:c r="R506" s="14" t="str">
        <x:v>2024</x:v>
      </x:c>
      <x:c r="S506" s="14" t="n">
        <x:v>2024</x:v>
      </x:c>
      <x:c r="T506" s="14" t="n">
        <x:v>2024</x:v>
      </x:c>
      <x:c r="U506" s="14" t="str">
        <x:v>Explicit source first year retained</x:v>
      </x:c>
      <x:c r="V506" s="14" t="str">
        <x:v>Earliest supplied year is 2024.</x:v>
      </x:c>
      <x:c r="W506" s="14"/>
      <x:c r="X506" s="14" t="str">
        <x:v>Carried forward to 2024</x:v>
      </x:c>
      <x:c r="Y506" s="14"/>
      <x:c r="Z506" s="14" t="str">
        <x:v>The Dry.docx</x:v>
      </x:c>
      <x:c r="AA50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BritBox UK</x:v>
      </x:c>
      <x:c r="AI506" s="14" t="str">
        <x:v>Qualifying UK co-commission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qualifying uk co-commission.</x:v>
      </x:c>
      <x:c r="AM506" s="17" t="e">
        <x:f>HYPERLINK("https://en.wikipedia.org/wiki/Dry","Open source")</x:f>
        <x:v>HYPERLINK is not implemented. linkLocation=https://en.wikipedia.org/wiki/Dry,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24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0.041666666666666664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tt11899030|nm0384060|tom carson</x:v>
      </x:c>
      <x:c r="B507" s="14" t="str">
        <x:v>06</x:v>
      </x:c>
      <x:c r="C507" s="14" t="str">
        <x:v>2022_IMDb_Cast_Lists_Batch_06(1).xlsx</x:v>
      </x:c>
      <x:c r="D507" s="14" t="str">
        <x:v>The Responder</x:v>
      </x:c>
      <x:c r="E507" s="14" t="n">
        <x:v>22</x:v>
      </x:c>
      <x:c r="F507" s="14" t="str">
        <x:v>The Responder</x:v>
      </x:c>
      <x:c r="G507" s="14" t="str">
        <x:v>tt11899030</x:v>
      </x:c>
      <x:c r="H507" s="14" t="n">
        <x:v>2022</x:v>
      </x:c>
      <x:c r="I507" s="14" t="n">
        <x:v>2023</x:v>
      </x:c>
      <x:c r="J507" s="14" t="str">
        <x:v>Future Carry-Forward Cohort</x:v>
      </x:c>
      <x:c r="K507" s="14" t="n">
        <x:v>2022</x:v>
      </x:c>
      <x:c r="L507" s="14" t="str">
        <x:v>Not inherited</x:v>
      </x:c>
      <x:c r="M507" s="15" t="n">
        <x:v>15</x:v>
      </x:c>
      <x:c r="N507" s="14" t="str">
        <x:v>Bernard Hill</x:v>
      </x:c>
      <x:c r="O507" s="14" t="str">
        <x:v>nm0384060</x:v>
      </x:c>
      <x:c r="P507" s="14" t="str">
        <x:v>Tom Carson</x:v>
      </x:c>
      <x:c r="Q507" s="15" t="n">
        <x:v>5</x:v>
      </x:c>
      <x:c r="R507" s="14" t="str">
        <x:v>2024</x:v>
      </x:c>
      <x:c r="S507" s="14" t="n">
        <x:v>2024</x:v>
      </x:c>
      <x:c r="T507" s="14" t="n">
        <x:v>2024</x:v>
      </x:c>
      <x:c r="U507" s="14" t="str">
        <x:v>Explicit source first year retained</x:v>
      </x:c>
      <x:c r="V507" s="14" t="str">
        <x:v>Earliest supplied year is 2024.</x:v>
      </x:c>
      <x:c r="W507" s="14"/>
      <x:c r="X507" s="14" t="str">
        <x:v>Carried forward to 2024</x:v>
      </x:c>
      <x:c r="Y507" s="14"/>
      <x:c r="Z507" s="14" t="str">
        <x:v>The Responder.docx</x:v>
      </x:c>
      <x:c r="AA50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BBC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HYPERLINK("https://en.wikipedia.org/wiki/The_Responder","Open source")</x:f>
        <x:v>HYPERLINK is not implemented. linkLocation=https://en.wikipedia.org/wiki/The_Responder, friendlyName=Open source</x:v>
      </x:c>
      <x:c r="AN507" s="14" t="str">
        <x:v>BBC public-service commission</x:v>
      </x:c>
      <x:c r="AO507" s="14" t="str">
        <x:v>Yes</x:v>
      </x:c>
      <x:c r="AP507" s="14" t="str">
        <x:v>Direct BBC public-service scope</x:v>
      </x:c>
      <x:c r="AQ507" s="14" t="str">
        <x:v>Yes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10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5</x:v>
      </x:c>
      <x:c r="BS507" s="16" t="n">
        <x:v>0.5</x:v>
      </x:c>
      <x:c r="BT507" s="14" t="str">
        <x:v>Minority of episodes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tt11899030|nm9287628|lorna</x:v>
      </x:c>
      <x:c r="B508" s="14" t="str">
        <x:v>06</x:v>
      </x:c>
      <x:c r="C508" s="14" t="str">
        <x:v>2022_IMDb_Cast_Lists_Batch_06(1).xlsx</x:v>
      </x:c>
      <x:c r="D508" s="14" t="str">
        <x:v>The Responder</x:v>
      </x:c>
      <x:c r="E508" s="14" t="n">
        <x:v>23</x:v>
      </x:c>
      <x:c r="F508" s="14" t="str">
        <x:v>The Responder</x:v>
      </x:c>
      <x:c r="G508" s="14" t="str">
        <x:v>tt11899030</x:v>
      </x:c>
      <x:c r="H508" s="14" t="n">
        <x:v>2022</x:v>
      </x:c>
      <x:c r="I508" s="14" t="n">
        <x:v>2023</x:v>
      </x:c>
      <x:c r="J508" s="14" t="str">
        <x:v>Future Carry-Forward Cohort</x:v>
      </x:c>
      <x:c r="K508" s="14" t="n">
        <x:v>2022</x:v>
      </x:c>
      <x:c r="L508" s="14" t="str">
        <x:v>Not inherited</x:v>
      </x:c>
      <x:c r="M508" s="15" t="n">
        <x:v>16</x:v>
      </x:c>
      <x:c r="N508" s="14" t="str">
        <x:v>Izuka Hoyle</x:v>
      </x:c>
      <x:c r="O508" s="14" t="str">
        <x:v>nm9287628</x:v>
      </x:c>
      <x:c r="P508" s="14" t="str">
        <x:v>Lorna</x:v>
      </x:c>
      <x:c r="Q508" s="15" t="n">
        <x:v>5</x:v>
      </x:c>
      <x:c r="R508" s="14" t="str">
        <x:v>2024</x:v>
      </x:c>
      <x:c r="S508" s="14" t="n">
        <x:v>2024</x:v>
      </x:c>
      <x:c r="T508" s="14" t="n">
        <x:v>2024</x:v>
      </x:c>
      <x:c r="U508" s="14" t="str">
        <x:v>Explicit source first year retained</x:v>
      </x:c>
      <x:c r="V508" s="14" t="str">
        <x:v>Earliest supplied year is 2024.</x:v>
      </x:c>
      <x:c r="W508" s="14"/>
      <x:c r="X508" s="14" t="str">
        <x:v>Carried forward to 2024</x:v>
      </x:c>
      <x:c r="Y508" s="14"/>
      <x:c r="Z508" s="14" t="str">
        <x:v>The Responder.docx</x:v>
      </x:c>
      <x:c r="AA50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BBC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HYPERLINK("https://en.wikipedia.org/wiki/The_Responder","Open source")</x:f>
        <x:v>HYPERLINK is not implemented. linkLocation=https://en.wikipedia.org/wiki/The_Responder, friendlyName=Open source</x:v>
      </x:c>
      <x:c r="AN508" s="14" t="str">
        <x:v>BBC public-service commission</x:v>
      </x:c>
      <x:c r="AO508" s="14" t="str">
        <x:v>Yes</x:v>
      </x:c>
      <x:c r="AP508" s="14" t="str">
        <x:v>Direct BBC public-service scope</x:v>
      </x:c>
      <x:c r="AQ508" s="14" t="str">
        <x:v>Yes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10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5</x:v>
      </x:c>
      <x:c r="BS508" s="16" t="n">
        <x:v>0.5</x:v>
      </x:c>
      <x:c r="BT508" s="14" t="str">
        <x:v>Minority of episodes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tt11899030|nm1835523|franny</x:v>
      </x:c>
      <x:c r="B509" s="14" t="str">
        <x:v>06</x:v>
      </x:c>
      <x:c r="C509" s="14" t="str">
        <x:v>2022_IMDb_Cast_Lists_Batch_06(1).xlsx</x:v>
      </x:c>
      <x:c r="D509" s="14" t="str">
        <x:v>The Responder</x:v>
      </x:c>
      <x:c r="E509" s="14" t="n">
        <x:v>24</x:v>
      </x:c>
      <x:c r="F509" s="14" t="str">
        <x:v>The Responder</x:v>
      </x:c>
      <x:c r="G509" s="14" t="str">
        <x:v>tt11899030</x:v>
      </x:c>
      <x:c r="H509" s="14" t="n">
        <x:v>2022</x:v>
      </x:c>
      <x:c r="I509" s="14" t="n">
        <x:v>2023</x:v>
      </x:c>
      <x:c r="J509" s="14" t="str">
        <x:v>Future Carry-Forward Cohort</x:v>
      </x:c>
      <x:c r="K509" s="14" t="n">
        <x:v>2022</x:v>
      </x:c>
      <x:c r="L509" s="14" t="str">
        <x:v>Not inherited</x:v>
      </x:c>
      <x:c r="M509" s="15" t="n">
        <x:v>17</x:v>
      </x:c>
      <x:c r="N509" s="14" t="str">
        <x:v>Adam Nagaitis</x:v>
      </x:c>
      <x:c r="O509" s="14" t="str">
        <x:v>nm1835523</x:v>
      </x:c>
      <x:c r="P509" s="14" t="str">
        <x:v>Franny</x:v>
      </x:c>
      <x:c r="Q509" s="15" t="n">
        <x:v>5</x:v>
      </x:c>
      <x:c r="R509" s="14" t="str">
        <x:v>2024</x:v>
      </x:c>
      <x:c r="S509" s="14" t="n">
        <x:v>2024</x:v>
      </x:c>
      <x:c r="T509" s="14" t="n">
        <x:v>2024</x:v>
      </x:c>
      <x:c r="U509" s="14" t="str">
        <x:v>Explicit source first year retained</x:v>
      </x:c>
      <x:c r="V509" s="14" t="str">
        <x:v>Earliest supplied year is 2024.</x:v>
      </x:c>
      <x:c r="W509" s="14"/>
      <x:c r="X509" s="14" t="str">
        <x:v>Carried forward to 2024</x:v>
      </x:c>
      <x:c r="Y509" s="14"/>
      <x:c r="Z509" s="14" t="str">
        <x:v>The Responder.docx</x:v>
      </x:c>
      <x:c r="AA50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BBC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HYPERLINK("https://en.wikipedia.org/wiki/The_Responder","Open source")</x:f>
        <x:v>HYPERLINK is not implemented. linkLocation=https://en.wikipedia.org/wiki/The_Responder, friendlyName=Open source</x:v>
      </x:c>
      <x:c r="AN509" s="14" t="str">
        <x:v>BBC public-service commission</x:v>
      </x:c>
      <x:c r="AO509" s="14" t="str">
        <x:v>Yes</x:v>
      </x:c>
      <x:c r="AP509" s="14" t="str">
        <x:v>Direct BBC public-service scope</x:v>
      </x:c>
      <x:c r="AQ509" s="14" t="str">
        <x:v>Yes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10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5</x:v>
      </x:c>
      <x:c r="BS509" s="16" t="n">
        <x:v>0.5</x:v>
      </x:c>
      <x:c r="BT509" s="14" t="str">
        <x:v>Minority of episodes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tt11899030|nm0700312|eric</x:v>
      </x:c>
      <x:c r="B510" s="14" t="str">
        <x:v>06</x:v>
      </x:c>
      <x:c r="C510" s="14" t="str">
        <x:v>2022_IMDb_Cast_Lists_Batch_06(1).xlsx</x:v>
      </x:c>
      <x:c r="D510" s="14" t="str">
        <x:v>The Responder</x:v>
      </x:c>
      <x:c r="E510" s="14" t="n">
        <x:v>25</x:v>
      </x:c>
      <x:c r="F510" s="14" t="str">
        <x:v>The Responder</x:v>
      </x:c>
      <x:c r="G510" s="14" t="str">
        <x:v>tt11899030</x:v>
      </x:c>
      <x:c r="H510" s="14" t="n">
        <x:v>2022</x:v>
      </x:c>
      <x:c r="I510" s="14" t="n">
        <x:v>2023</x:v>
      </x:c>
      <x:c r="J510" s="14" t="str">
        <x:v>Future Carry-Forward Cohort</x:v>
      </x:c>
      <x:c r="K510" s="14" t="n">
        <x:v>2022</x:v>
      </x:c>
      <x:c r="L510" s="14" t="str">
        <x:v>Not inherited</x:v>
      </x:c>
      <x:c r="M510" s="15" t="n">
        <x:v>18</x:v>
      </x:c>
      <x:c r="N510" s="14" t="str">
        <x:v>Ian Puleston-Davies</x:v>
      </x:c>
      <x:c r="O510" s="14" t="str">
        <x:v>nm0700312</x:v>
      </x:c>
      <x:c r="P510" s="14" t="str">
        <x:v>Eric</x:v>
      </x:c>
      <x:c r="Q510" s="15" t="n">
        <x:v>5</x:v>
      </x:c>
      <x:c r="R510" s="14" t="str">
        <x:v>2024</x:v>
      </x:c>
      <x:c r="S510" s="14" t="n">
        <x:v>2024</x:v>
      </x:c>
      <x:c r="T510" s="14" t="n">
        <x:v>2024</x:v>
      </x:c>
      <x:c r="U510" s="14" t="str">
        <x:v>Explicit source first year retained</x:v>
      </x:c>
      <x:c r="V510" s="14" t="str">
        <x:v>Earliest supplied year is 2024.</x:v>
      </x:c>
      <x:c r="W510" s="14"/>
      <x:c r="X510" s="14" t="str">
        <x:v>Carried forward to 2024</x:v>
      </x:c>
      <x:c r="Y510" s="14"/>
      <x:c r="Z510" s="14" t="str">
        <x:v>The Responder.docx</x:v>
      </x:c>
      <x:c r="AA51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BBC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HYPERLINK("https://en.wikipedia.org/wiki/The_Responder","Open source")</x:f>
        <x:v>HYPERLINK is not implemented. linkLocation=https://en.wikipedia.org/wiki/The_Responder, friendlyName=Open source</x:v>
      </x:c>
      <x:c r="AN510" s="14" t="str">
        <x:v>BBC public-service commission</x:v>
      </x:c>
      <x:c r="AO510" s="14" t="str">
        <x:v>Yes</x:v>
      </x:c>
      <x:c r="AP510" s="14" t="str">
        <x:v>Direct BBC public-service scope</x:v>
      </x:c>
      <x:c r="AQ510" s="14" t="str">
        <x:v>Yes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10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5</x:v>
      </x:c>
      <x:c r="BS510" s="16" t="n">
        <x:v>0.5</x:v>
      </x:c>
      <x:c r="BT510" s="14" t="str">
        <x:v>Minority of episodes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tt11899030|nm16277322|william</x:v>
      </x:c>
      <x:c r="B511" s="14" t="str">
        <x:v>06</x:v>
      </x:c>
      <x:c r="C511" s="14" t="str">
        <x:v>2022_IMDb_Cast_Lists_Batch_06(1).xlsx</x:v>
      </x:c>
      <x:c r="D511" s="14" t="str">
        <x:v>The Responder</x:v>
      </x:c>
      <x:c r="E511" s="14" t="n">
        <x:v>29</x:v>
      </x:c>
      <x:c r="F511" s="14" t="str">
        <x:v>The Responder</x:v>
      </x:c>
      <x:c r="G511" s="14" t="str">
        <x:v>tt11899030</x:v>
      </x:c>
      <x:c r="H511" s="14" t="n">
        <x:v>2022</x:v>
      </x:c>
      <x:c r="I511" s="14" t="n">
        <x:v>2023</x:v>
      </x:c>
      <x:c r="J511" s="14" t="str">
        <x:v>Future Carry-Forward Cohort</x:v>
      </x:c>
      <x:c r="K511" s="14" t="n">
        <x:v>2022</x:v>
      </x:c>
      <x:c r="L511" s="14" t="str">
        <x:v>Not inherited</x:v>
      </x:c>
      <x:c r="M511" s="15" t="n">
        <x:v>22</x:v>
      </x:c>
      <x:c r="N511" s="14" t="str">
        <x:v>Elijah Larsen</x:v>
      </x:c>
      <x:c r="O511" s="14" t="str">
        <x:v>nm16277322</x:v>
      </x:c>
      <x:c r="P511" s="14" t="str">
        <x:v>William</x:v>
      </x:c>
      <x:c r="Q511" s="15" t="n">
        <x:v>4</x:v>
      </x:c>
      <x:c r="R511" s="14" t="str">
        <x:v>2024</x:v>
      </x:c>
      <x:c r="S511" s="14" t="n">
        <x:v>2024</x:v>
      </x:c>
      <x:c r="T511" s="14" t="n">
        <x:v>2024</x:v>
      </x:c>
      <x:c r="U511" s="14" t="str">
        <x:v>Explicit source first year retained</x:v>
      </x:c>
      <x:c r="V511" s="14" t="str">
        <x:v>Earliest supplied year is 2024.</x:v>
      </x:c>
      <x:c r="W511" s="14"/>
      <x:c r="X511" s="14" t="str">
        <x:v>Carried forward to 2024</x:v>
      </x:c>
      <x:c r="Y511" s="14"/>
      <x:c r="Z511" s="14" t="str">
        <x:v>The Responder.docx</x:v>
      </x:c>
      <x:c r="AA51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BBC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HYPERLINK("https://en.wikipedia.org/wiki/The_Responder","Open source")</x:f>
        <x:v>HYPERLINK is not implemented. linkLocation=https://en.wikipedia.org/wiki/The_Responder, friendlyName=Open source</x:v>
      </x:c>
      <x:c r="AN511" s="14" t="str">
        <x:v>BBC public-service commission</x:v>
      </x:c>
      <x:c r="AO511" s="14" t="str">
        <x:v>Yes</x:v>
      </x:c>
      <x:c r="AP511" s="14" t="str">
        <x:v>Direct BBC public-service scope</x:v>
      </x:c>
      <x:c r="AQ511" s="14" t="str">
        <x:v>Yes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10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4</x:v>
      </x:c>
      <x:c r="BS511" s="16" t="n">
        <x:v>0.4</x:v>
      </x:c>
      <x:c r="BT511" s="14" t="str">
        <x:v>Minority of episodes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tt11899030|nm0256173|matty</x:v>
      </x:c>
      <x:c r="B512" s="14" t="str">
        <x:v>06</x:v>
      </x:c>
      <x:c r="C512" s="14" t="str">
        <x:v>2022_IMDb_Cast_Lists_Batch_06(1).xlsx</x:v>
      </x:c>
      <x:c r="D512" s="14" t="str">
        <x:v>The Responder</x:v>
      </x:c>
      <x:c r="E512" s="14" t="n">
        <x:v>36</x:v>
      </x:c>
      <x:c r="F512" s="14" t="str">
        <x:v>The Responder</x:v>
      </x:c>
      <x:c r="G512" s="14" t="str">
        <x:v>tt11899030</x:v>
      </x:c>
      <x:c r="H512" s="14" t="n">
        <x:v>2022</x:v>
      </x:c>
      <x:c r="I512" s="14" t="n">
        <x:v>2023</x:v>
      </x:c>
      <x:c r="J512" s="14" t="str">
        <x:v>Future Carry-Forward Cohort</x:v>
      </x:c>
      <x:c r="K512" s="14" t="n">
        <x:v>2022</x:v>
      </x:c>
      <x:c r="L512" s="14" t="str">
        <x:v>Not inherited</x:v>
      </x:c>
      <x:c r="M512" s="15" t="n">
        <x:v>29</x:v>
      </x:c>
      <x:c r="N512" s="14" t="str">
        <x:v>Louis Emerick</x:v>
      </x:c>
      <x:c r="O512" s="14" t="str">
        <x:v>nm0256173</x:v>
      </x:c>
      <x:c r="P512" s="14" t="str">
        <x:v>Matty</x:v>
      </x:c>
      <x:c r="Q512" s="15" t="n">
        <x:v>3</x:v>
      </x:c>
      <x:c r="R512" s="14" t="str">
        <x:v>2024</x:v>
      </x:c>
      <x:c r="S512" s="14" t="n">
        <x:v>2024</x:v>
      </x:c>
      <x:c r="T512" s="14" t="n">
        <x:v>2024</x:v>
      </x:c>
      <x:c r="U512" s="14" t="str">
        <x:v>Explicit source first year retained</x:v>
      </x:c>
      <x:c r="V512" s="14" t="str">
        <x:v>Earliest supplied year is 2024.</x:v>
      </x:c>
      <x:c r="W512" s="14"/>
      <x:c r="X512" s="14" t="str">
        <x:v>Carried forward to 2024</x:v>
      </x:c>
      <x:c r="Y512" s="14"/>
      <x:c r="Z512" s="14" t="str">
        <x:v>The Responder.docx</x:v>
      </x:c>
      <x:c r="AA51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BBC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HYPERLINK("https://en.wikipedia.org/wiki/The_Responder","Open source")</x:f>
        <x:v>HYPERLINK is not implemented. linkLocation=https://en.wikipedia.org/wiki/The_Responder, friendlyName=Open source</x:v>
      </x:c>
      <x:c r="AN512" s="14" t="str">
        <x:v>BBC public-service commission</x:v>
      </x:c>
      <x:c r="AO512" s="14" t="str">
        <x:v>Yes</x:v>
      </x:c>
      <x:c r="AP512" s="14" t="str">
        <x:v>Direct BBC public-service scope</x:v>
      </x:c>
      <x:c r="AQ512" s="14" t="str">
        <x:v>Yes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10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3</x:v>
      </x:c>
      <x:c r="BS512" s="16" t="n">
        <x:v>0.3</x:v>
      </x:c>
      <x:c r="BT512" s="14" t="str">
        <x:v>Minority of episodes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tt11899030|nm3381604|radio</x:v>
      </x:c>
      <x:c r="B513" s="14" t="str">
        <x:v>06</x:v>
      </x:c>
      <x:c r="C513" s="14" t="str">
        <x:v>2022_IMDb_Cast_Lists_Batch_06(1).xlsx</x:v>
      </x:c>
      <x:c r="D513" s="14" t="str">
        <x:v>The Responder</x:v>
      </x:c>
      <x:c r="E513" s="14" t="n">
        <x:v>37</x:v>
      </x:c>
      <x:c r="F513" s="14" t="str">
        <x:v>The Responder</x:v>
      </x:c>
      <x:c r="G513" s="14" t="str">
        <x:v>tt11899030</x:v>
      </x:c>
      <x:c r="H513" s="14" t="n">
        <x:v>2022</x:v>
      </x:c>
      <x:c r="I513" s="14" t="n">
        <x:v>2023</x:v>
      </x:c>
      <x:c r="J513" s="14" t="str">
        <x:v>Future Carry-Forward Cohort</x:v>
      </x:c>
      <x:c r="K513" s="14" t="n">
        <x:v>2022</x:v>
      </x:c>
      <x:c r="L513" s="14" t="str">
        <x:v>Not inherited</x:v>
      </x:c>
      <x:c r="M513" s="15" t="n">
        <x:v>30</x:v>
      </x:c>
      <x:c r="N513" s="14" t="str">
        <x:v>Tony Schumacher</x:v>
      </x:c>
      <x:c r="O513" s="14" t="str">
        <x:v>nm3381604</x:v>
      </x:c>
      <x:c r="P513" s="14" t="str">
        <x:v>Radio</x:v>
      </x:c>
      <x:c r="Q513" s="15" t="n">
        <x:v>3</x:v>
      </x:c>
      <x:c r="R513" s="14" t="str">
        <x:v>2024</x:v>
      </x:c>
      <x:c r="S513" s="14" t="n">
        <x:v>2024</x:v>
      </x:c>
      <x:c r="T513" s="14" t="n">
        <x:v>2024</x:v>
      </x:c>
      <x:c r="U513" s="14" t="str">
        <x:v>Explicit source first year retained</x:v>
      </x:c>
      <x:c r="V513" s="14" t="str">
        <x:v>Earliest supplied year is 2024.</x:v>
      </x:c>
      <x:c r="W513" s="14"/>
      <x:c r="X513" s="14" t="str">
        <x:v>Carried forward to 2024</x:v>
      </x:c>
      <x:c r="Y513" s="14"/>
      <x:c r="Z513" s="14" t="str">
        <x:v>The Responder.docx</x:v>
      </x:c>
      <x:c r="AA51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BBC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HYPERLINK("https://en.wikipedia.org/wiki/The_Responder","Open source")</x:f>
        <x:v>HYPERLINK is not implemented. linkLocation=https://en.wikipedia.org/wiki/The_Responder, friendlyName=Open source</x:v>
      </x:c>
      <x:c r="AN513" s="14" t="str">
        <x:v>BBC public-service commission</x:v>
      </x:c>
      <x:c r="AO513" s="14" t="str">
        <x:v>Yes</x:v>
      </x:c>
      <x:c r="AP513" s="14" t="str">
        <x:v>Direct BBC public-service scope</x:v>
      </x:c>
      <x:c r="AQ513" s="14" t="str">
        <x:v>Yes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10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3</x:v>
      </x:c>
      <x:c r="BS513" s="16" t="n">
        <x:v>0.3</x:v>
      </x:c>
      <x:c r="BT513" s="14" t="str">
        <x:v>Minority of episodes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tt11899030|nm1621668|ben</x:v>
      </x:c>
      <x:c r="B514" s="14" t="str">
        <x:v>06</x:v>
      </x:c>
      <x:c r="C514" s="14" t="str">
        <x:v>2022_IMDb_Cast_Lists_Batch_06(1).xlsx</x:v>
      </x:c>
      <x:c r="D514" s="14" t="str">
        <x:v>The Responder</x:v>
      </x:c>
      <x:c r="E514" s="14" t="n">
        <x:v>51</x:v>
      </x:c>
      <x:c r="F514" s="14" t="str">
        <x:v>The Responder</x:v>
      </x:c>
      <x:c r="G514" s="14" t="str">
        <x:v>tt11899030</x:v>
      </x:c>
      <x:c r="H514" s="14" t="n">
        <x:v>2022</x:v>
      </x:c>
      <x:c r="I514" s="14" t="n">
        <x:v>2023</x:v>
      </x:c>
      <x:c r="J514" s="14" t="str">
        <x:v>Future Carry-Forward Cohort</x:v>
      </x:c>
      <x:c r="K514" s="14" t="n">
        <x:v>2022</x:v>
      </x:c>
      <x:c r="L514" s="14" t="str">
        <x:v>Not inherited</x:v>
      </x:c>
      <x:c r="M514" s="15" t="n">
        <x:v>44</x:v>
      </x:c>
      <x:c r="N514" s="14" t="str">
        <x:v>Shaun Mason</x:v>
      </x:c>
      <x:c r="O514" s="14" t="str">
        <x:v>nm1621668</x:v>
      </x:c>
      <x:c r="P514" s="14" t="str">
        <x:v>Ben</x:v>
      </x:c>
      <x:c r="Q514" s="15" t="n">
        <x:v>2</x:v>
      </x:c>
      <x:c r="R514" s="14" t="str">
        <x:v>2024</x:v>
      </x:c>
      <x:c r="S514" s="14" t="n">
        <x:v>2024</x:v>
      </x:c>
      <x:c r="T514" s="14" t="n">
        <x:v>2024</x:v>
      </x:c>
      <x:c r="U514" s="14" t="str">
        <x:v>Explicit source first year retained</x:v>
      </x:c>
      <x:c r="V514" s="14" t="str">
        <x:v>Earliest supplied year is 2024.</x:v>
      </x:c>
      <x:c r="W514" s="14"/>
      <x:c r="X514" s="14" t="str">
        <x:v>Carried forward to 2024</x:v>
      </x:c>
      <x:c r="Y514" s="14"/>
      <x:c r="Z514" s="14" t="str">
        <x:v>The Responder.docx</x:v>
      </x:c>
      <x:c r="AA51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BBC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HYPERLINK("https://en.wikipedia.org/wiki/The_Responder","Open source")</x:f>
        <x:v>HYPERLINK is not implemented. linkLocation=https://en.wikipedia.org/wiki/The_Responder, friendlyName=Open source</x:v>
      </x:c>
      <x:c r="AN514" s="14" t="str">
        <x:v>BBC public-service commission</x:v>
      </x:c>
      <x:c r="AO514" s="14" t="str">
        <x:v>Yes</x:v>
      </x:c>
      <x:c r="AP514" s="14" t="str">
        <x:v>Direct BBC public-service scope</x:v>
      </x:c>
      <x:c r="AQ514" s="14" t="str">
        <x:v>Yes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10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2</x:v>
      </x:c>
      <x:c r="BS514" s="16" t="n">
        <x:v>0.2</x:v>
      </x:c>
      <x:c r="BT514" s="14" t="str">
        <x:v>Minority of episodes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tt11899030|nm4337707|moira</x:v>
      </x:c>
      <x:c r="B515" s="14" t="str">
        <x:v>06</x:v>
      </x:c>
      <x:c r="C515" s="14" t="str">
        <x:v>2022_IMDb_Cast_Lists_Batch_06(1).xlsx</x:v>
      </x:c>
      <x:c r="D515" s="14" t="str">
        <x:v>The Responder</x:v>
      </x:c>
      <x:c r="E515" s="14" t="n">
        <x:v>52</x:v>
      </x:c>
      <x:c r="F515" s="14" t="str">
        <x:v>The Responder</x:v>
      </x:c>
      <x:c r="G515" s="14" t="str">
        <x:v>tt11899030</x:v>
      </x:c>
      <x:c r="H515" s="14" t="n">
        <x:v>2022</x:v>
      </x:c>
      <x:c r="I515" s="14" t="n">
        <x:v>2023</x:v>
      </x:c>
      <x:c r="J515" s="14" t="str">
        <x:v>Future Carry-Forward Cohort</x:v>
      </x:c>
      <x:c r="K515" s="14" t="n">
        <x:v>2022</x:v>
      </x:c>
      <x:c r="L515" s="14" t="str">
        <x:v>Not inherited</x:v>
      </x:c>
      <x:c r="M515" s="15" t="n">
        <x:v>45</x:v>
      </x:c>
      <x:c r="N515" s="14" t="str">
        <x:v>Debbie Brannan</x:v>
      </x:c>
      <x:c r="O515" s="14" t="str">
        <x:v>nm4337707</x:v>
      </x:c>
      <x:c r="P515" s="14" t="str">
        <x:v>Moira</x:v>
      </x:c>
      <x:c r="Q515" s="15" t="n">
        <x:v>2</x:v>
      </x:c>
      <x:c r="R515" s="14" t="str">
        <x:v>2024</x:v>
      </x:c>
      <x:c r="S515" s="14" t="n">
        <x:v>2024</x:v>
      </x:c>
      <x:c r="T515" s="14" t="n">
        <x:v>2024</x:v>
      </x:c>
      <x:c r="U515" s="14" t="str">
        <x:v>Explicit source first year retained</x:v>
      </x:c>
      <x:c r="V515" s="14" t="str">
        <x:v>Earliest supplied year is 2024.</x:v>
      </x:c>
      <x:c r="W515" s="14"/>
      <x:c r="X515" s="14" t="str">
        <x:v>Carried forward to 2024</x:v>
      </x:c>
      <x:c r="Y515" s="14"/>
      <x:c r="Z515" s="14" t="str">
        <x:v>The Responder.docx</x:v>
      </x:c>
      <x:c r="AA51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BBC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HYPERLINK("https://en.wikipedia.org/wiki/The_Responder","Open source")</x:f>
        <x:v>HYPERLINK is not implemented. linkLocation=https://en.wikipedia.org/wiki/The_Responder, friendlyName=Open source</x:v>
      </x:c>
      <x:c r="AN515" s="14" t="str">
        <x:v>BBC public-service commission</x:v>
      </x:c>
      <x:c r="AO515" s="14" t="str">
        <x:v>Yes</x:v>
      </x:c>
      <x:c r="AP515" s="14" t="str">
        <x:v>Direct BBC public-service scope</x:v>
      </x:c>
      <x:c r="AQ515" s="14" t="str">
        <x:v>Yes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10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2</x:v>
      </x:c>
      <x:c r="BS515" s="16" t="n">
        <x:v>0.2</x:v>
      </x:c>
      <x:c r="BT515" s="14" t="str">
        <x:v>Minority of episodes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tt11899030|nm0114992|brenda</x:v>
      </x:c>
      <x:c r="B516" s="14" t="str">
        <x:v>06</x:v>
      </x:c>
      <x:c r="C516" s="14" t="str">
        <x:v>2022_IMDb_Cast_Lists_Batch_06(1).xlsx</x:v>
      </x:c>
      <x:c r="D516" s="14" t="str">
        <x:v>The Responder</x:v>
      </x:c>
      <x:c r="E516" s="14" t="n">
        <x:v>53</x:v>
      </x:c>
      <x:c r="F516" s="14" t="str">
        <x:v>The Responder</x:v>
      </x:c>
      <x:c r="G516" s="14" t="str">
        <x:v>tt11899030</x:v>
      </x:c>
      <x:c r="H516" s="14" t="n">
        <x:v>2022</x:v>
      </x:c>
      <x:c r="I516" s="14" t="n">
        <x:v>2023</x:v>
      </x:c>
      <x:c r="J516" s="14" t="str">
        <x:v>Future Carry-Forward Cohort</x:v>
      </x:c>
      <x:c r="K516" s="14" t="n">
        <x:v>2022</x:v>
      </x:c>
      <x:c r="L516" s="14" t="str">
        <x:v>Not inherited</x:v>
      </x:c>
      <x:c r="M516" s="15" t="n">
        <x:v>46</x:v>
      </x:c>
      <x:c r="N516" s="14" t="str">
        <x:v>Eithne Browne</x:v>
      </x:c>
      <x:c r="O516" s="14" t="str">
        <x:v>nm0114992</x:v>
      </x:c>
      <x:c r="P516" s="14" t="str">
        <x:v>Brenda</x:v>
      </x:c>
      <x:c r="Q516" s="15" t="n">
        <x:v>2</x:v>
      </x:c>
      <x:c r="R516" s="14" t="str">
        <x:v>2024</x:v>
      </x:c>
      <x:c r="S516" s="14" t="n">
        <x:v>2024</x:v>
      </x:c>
      <x:c r="T516" s="14" t="n">
        <x:v>2024</x:v>
      </x:c>
      <x:c r="U516" s="14" t="str">
        <x:v>Explicit source first year retained</x:v>
      </x:c>
      <x:c r="V516" s="14" t="str">
        <x:v>Earliest supplied year is 2024.</x:v>
      </x:c>
      <x:c r="W516" s="14"/>
      <x:c r="X516" s="14" t="str">
        <x:v>Carried forward to 2024</x:v>
      </x:c>
      <x:c r="Y516" s="14"/>
      <x:c r="Z516" s="14" t="str">
        <x:v>The Responder.docx</x:v>
      </x:c>
      <x:c r="AA51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BBC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HYPERLINK("https://en.wikipedia.org/wiki/The_Responder","Open source")</x:f>
        <x:v>HYPERLINK is not implemented. linkLocation=https://en.wikipedia.org/wiki/The_Responder, friendlyName=Open source</x:v>
      </x:c>
      <x:c r="AN516" s="14" t="str">
        <x:v>BBC public-service commission</x:v>
      </x:c>
      <x:c r="AO516" s="14" t="str">
        <x:v>Yes</x:v>
      </x:c>
      <x:c r="AP516" s="14" t="str">
        <x:v>Direct BBC public-service scope</x:v>
      </x:c>
      <x:c r="AQ516" s="14" t="str">
        <x:v>Yes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10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2</x:v>
      </x:c>
      <x:c r="BS516" s="16" t="n">
        <x:v>0.2</x:v>
      </x:c>
      <x:c r="BT516" s="14" t="str">
        <x:v>Minority of episodes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tt11899030|nm5361137|vernon</x:v>
      </x:c>
      <x:c r="B517" s="14" t="str">
        <x:v>06</x:v>
      </x:c>
      <x:c r="C517" s="14" t="str">
        <x:v>2022_IMDb_Cast_Lists_Batch_06(1).xlsx</x:v>
      </x:c>
      <x:c r="D517" s="14" t="str">
        <x:v>The Responder</x:v>
      </x:c>
      <x:c r="E517" s="14" t="n">
        <x:v>54</x:v>
      </x:c>
      <x:c r="F517" s="14" t="str">
        <x:v>The Responder</x:v>
      </x:c>
      <x:c r="G517" s="14" t="str">
        <x:v>tt11899030</x:v>
      </x:c>
      <x:c r="H517" s="14" t="n">
        <x:v>2022</x:v>
      </x:c>
      <x:c r="I517" s="14" t="n">
        <x:v>2023</x:v>
      </x:c>
      <x:c r="J517" s="14" t="str">
        <x:v>Future Carry-Forward Cohort</x:v>
      </x:c>
      <x:c r="K517" s="14" t="n">
        <x:v>2022</x:v>
      </x:c>
      <x:c r="L517" s="14" t="str">
        <x:v>Not inherited</x:v>
      </x:c>
      <x:c r="M517" s="15" t="n">
        <x:v>47</x:v>
      </x:c>
      <x:c r="N517" s="14" t="str">
        <x:v>Shaun Fagan</x:v>
      </x:c>
      <x:c r="O517" s="14" t="str">
        <x:v>nm5361137</x:v>
      </x:c>
      <x:c r="P517" s="14" t="str">
        <x:v>Vernon</x:v>
      </x:c>
      <x:c r="Q517" s="15" t="n">
        <x:v>2</x:v>
      </x:c>
      <x:c r="R517" s="14" t="str">
        <x:v>2024</x:v>
      </x:c>
      <x:c r="S517" s="14" t="n">
        <x:v>2024</x:v>
      </x:c>
      <x:c r="T517" s="14" t="n">
        <x:v>2024</x:v>
      </x:c>
      <x:c r="U517" s="14" t="str">
        <x:v>Explicit source first year retained</x:v>
      </x:c>
      <x:c r="V517" s="14" t="str">
        <x:v>Earliest supplied year is 2024.</x:v>
      </x:c>
      <x:c r="W517" s="14"/>
      <x:c r="X517" s="14" t="str">
        <x:v>Carried forward to 2024</x:v>
      </x:c>
      <x:c r="Y517" s="14"/>
      <x:c r="Z517" s="14" t="str">
        <x:v>The Responder.docx</x:v>
      </x:c>
      <x:c r="AA51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BBC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HYPERLINK("https://en.wikipedia.org/wiki/The_Responder","Open source")</x:f>
        <x:v>HYPERLINK is not implemented. linkLocation=https://en.wikipedia.org/wiki/The_Responder, friendlyName=Open source</x:v>
      </x:c>
      <x:c r="AN517" s="14" t="str">
        <x:v>BBC public-service commission</x:v>
      </x:c>
      <x:c r="AO517" s="14" t="str">
        <x:v>Yes</x:v>
      </x:c>
      <x:c r="AP517" s="14" t="str">
        <x:v>Direct BBC public-service scope</x:v>
      </x:c>
      <x:c r="AQ517" s="14" t="str">
        <x:v>Yes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10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2</x:v>
      </x:c>
      <x:c r="BS517" s="16" t="n">
        <x:v>0.2</x:v>
      </x:c>
      <x:c r="BT517" s="14" t="str">
        <x:v>Minority of episodes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tt11899030|nm0606655|gavin</x:v>
      </x:c>
      <x:c r="B518" s="14" t="str">
        <x:v>06</x:v>
      </x:c>
      <x:c r="C518" s="14" t="str">
        <x:v>2022_IMDb_Cast_Lists_Batch_06(1).xlsx</x:v>
      </x:c>
      <x:c r="D518" s="14" t="str">
        <x:v>The Responder</x:v>
      </x:c>
      <x:c r="E518" s="14" t="n">
        <x:v>55</x:v>
      </x:c>
      <x:c r="F518" s="14" t="str">
        <x:v>The Responder</x:v>
      </x:c>
      <x:c r="G518" s="14" t="str">
        <x:v>tt11899030</x:v>
      </x:c>
      <x:c r="H518" s="14" t="n">
        <x:v>2022</x:v>
      </x:c>
      <x:c r="I518" s="14" t="n">
        <x:v>2023</x:v>
      </x:c>
      <x:c r="J518" s="14" t="str">
        <x:v>Future Carry-Forward Cohort</x:v>
      </x:c>
      <x:c r="K518" s="14" t="n">
        <x:v>2022</x:v>
      </x:c>
      <x:c r="L518" s="14" t="str">
        <x:v>Not inherited</x:v>
      </x:c>
      <x:c r="M518" s="15" t="n">
        <x:v>48</x:v>
      </x:c>
      <x:c r="N518" s="14" t="str">
        <x:v>Joel Morris</x:v>
      </x:c>
      <x:c r="O518" s="14" t="str">
        <x:v>nm0606655</x:v>
      </x:c>
      <x:c r="P518" s="14" t="str">
        <x:v>Gavin</x:v>
      </x:c>
      <x:c r="Q518" s="15" t="n">
        <x:v>2</x:v>
      </x:c>
      <x:c r="R518" s="14" t="str">
        <x:v>2024</x:v>
      </x:c>
      <x:c r="S518" s="14" t="n">
        <x:v>2024</x:v>
      </x:c>
      <x:c r="T518" s="14" t="n">
        <x:v>2024</x:v>
      </x:c>
      <x:c r="U518" s="14" t="str">
        <x:v>Explicit source first year retained</x:v>
      </x:c>
      <x:c r="V518" s="14" t="str">
        <x:v>Earliest supplied year is 2024.</x:v>
      </x:c>
      <x:c r="W518" s="14"/>
      <x:c r="X518" s="14" t="str">
        <x:v>Carried forward to 2024</x:v>
      </x:c>
      <x:c r="Y518" s="14"/>
      <x:c r="Z518" s="14" t="str">
        <x:v>The Responder.docx</x:v>
      </x:c>
      <x:c r="AA51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BBC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HYPERLINK("https://en.wikipedia.org/wiki/The_Responder","Open source")</x:f>
        <x:v>HYPERLINK is not implemented. linkLocation=https://en.wikipedia.org/wiki/The_Responder, friendlyName=Open source</x:v>
      </x:c>
      <x:c r="AN518" s="14" t="str">
        <x:v>BBC public-service commission</x:v>
      </x:c>
      <x:c r="AO518" s="14" t="str">
        <x:v>Yes</x:v>
      </x:c>
      <x:c r="AP518" s="14" t="str">
        <x:v>Direct BBC public-service scope</x:v>
      </x:c>
      <x:c r="AQ518" s="14" t="str">
        <x:v>Yes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10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2</x:v>
      </x:c>
      <x:c r="BS518" s="16" t="n">
        <x:v>0.2</x:v>
      </x:c>
      <x:c r="BT518" s="14" t="str">
        <x:v>Minority of episodes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tt11899030|nm14321417|passerby / club guest</x:v>
      </x:c>
      <x:c r="B519" s="14" t="str">
        <x:v>06</x:v>
      </x:c>
      <x:c r="C519" s="14" t="str">
        <x:v>2022_IMDb_Cast_Lists_Batch_06(1).xlsx</x:v>
      </x:c>
      <x:c r="D519" s="14" t="str">
        <x:v>The Responder</x:v>
      </x:c>
      <x:c r="E519" s="14" t="n">
        <x:v>56</x:v>
      </x:c>
      <x:c r="F519" s="14" t="str">
        <x:v>The Responder</x:v>
      </x:c>
      <x:c r="G519" s="14" t="str">
        <x:v>tt11899030</x:v>
      </x:c>
      <x:c r="H519" s="14" t="n">
        <x:v>2022</x:v>
      </x:c>
      <x:c r="I519" s="14" t="n">
        <x:v>2023</x:v>
      </x:c>
      <x:c r="J519" s="14" t="str">
        <x:v>Future Carry-Forward Cohort</x:v>
      </x:c>
      <x:c r="K519" s="14" t="n">
        <x:v>2022</x:v>
      </x:c>
      <x:c r="L519" s="14" t="str">
        <x:v>Not inherited</x:v>
      </x:c>
      <x:c r="M519" s="15" t="n">
        <x:v>49</x:v>
      </x:c>
      <x:c r="N519" s="14" t="str">
        <x:v>Ravi Multani</x:v>
      </x:c>
      <x:c r="O519" s="14" t="str">
        <x:v>nm14321417</x:v>
      </x:c>
      <x:c r="P519" s="14" t="str">
        <x:v>Passerby / Club Guest</x:v>
      </x:c>
      <x:c r="Q519" s="15" t="n">
        <x:v>2</x:v>
      </x:c>
      <x:c r="R519" s="14" t="str">
        <x:v>2024</x:v>
      </x:c>
      <x:c r="S519" s="14" t="n">
        <x:v>2024</x:v>
      </x:c>
      <x:c r="T519" s="14" t="n">
        <x:v>2024</x:v>
      </x:c>
      <x:c r="U519" s="14" t="str">
        <x:v>Explicit source first year retained</x:v>
      </x:c>
      <x:c r="V519" s="14" t="str">
        <x:v>Earliest supplied year is 2024.</x:v>
      </x:c>
      <x:c r="W519" s="14"/>
      <x:c r="X519" s="14" t="str">
        <x:v>Carried forward to 2024</x:v>
      </x:c>
      <x:c r="Y519" s="14"/>
      <x:c r="Z519" s="14" t="str">
        <x:v>The Responder.docx</x:v>
      </x:c>
      <x:c r="AA51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BBC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HYPERLINK("https://en.wikipedia.org/wiki/The_Responder","Open source")</x:f>
        <x:v>HYPERLINK is not implemented. linkLocation=https://en.wikipedia.org/wiki/The_Responder, friendlyName=Open source</x:v>
      </x:c>
      <x:c r="AN519" s="14" t="str">
        <x:v>BBC public-service commission</x:v>
      </x:c>
      <x:c r="AO519" s="14" t="str">
        <x:v>Yes</x:v>
      </x:c>
      <x:c r="AP519" s="14" t="str">
        <x:v>Direct BBC public-service scope</x:v>
      </x:c>
      <x:c r="AQ519" s="14" t="str">
        <x:v>Yes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10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2</x:v>
      </x:c>
      <x:c r="BS519" s="16" t="n">
        <x:v>0.2</x:v>
      </x:c>
      <x:c r="BT519" s="14" t="str">
        <x:v>Minority of episodes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tt11899030|nm8325002|charlaine</x:v>
      </x:c>
      <x:c r="B520" s="14" t="str">
        <x:v>06</x:v>
      </x:c>
      <x:c r="C520" s="14" t="str">
        <x:v>2022_IMDb_Cast_Lists_Batch_06(1).xlsx</x:v>
      </x:c>
      <x:c r="D520" s="14" t="str">
        <x:v>The Responder</x:v>
      </x:c>
      <x:c r="E520" s="14" t="n">
        <x:v>57</x:v>
      </x:c>
      <x:c r="F520" s="14" t="str">
        <x:v>The Responder</x:v>
      </x:c>
      <x:c r="G520" s="14" t="str">
        <x:v>tt11899030</x:v>
      </x:c>
      <x:c r="H520" s="14" t="n">
        <x:v>2022</x:v>
      </x:c>
      <x:c r="I520" s="14" t="n">
        <x:v>2023</x:v>
      </x:c>
      <x:c r="J520" s="14" t="str">
        <x:v>Future Carry-Forward Cohort</x:v>
      </x:c>
      <x:c r="K520" s="14" t="n">
        <x:v>2022</x:v>
      </x:c>
      <x:c r="L520" s="14" t="str">
        <x:v>Not inherited</x:v>
      </x:c>
      <x:c r="M520" s="15" t="n">
        <x:v>50</x:v>
      </x:c>
      <x:c r="N520" s="14" t="str">
        <x:v>Emily Brady</x:v>
      </x:c>
      <x:c r="O520" s="14" t="str">
        <x:v>nm8325002</x:v>
      </x:c>
      <x:c r="P520" s="14" t="str">
        <x:v>Charlaine</x:v>
      </x:c>
      <x:c r="Q520" s="15" t="n">
        <x:v>2</x:v>
      </x:c>
      <x:c r="R520" s="14" t="str">
        <x:v>2024</x:v>
      </x:c>
      <x:c r="S520" s="14" t="n">
        <x:v>2024</x:v>
      </x:c>
      <x:c r="T520" s="14" t="n">
        <x:v>2024</x:v>
      </x:c>
      <x:c r="U520" s="14" t="str">
        <x:v>Explicit source first year retained</x:v>
      </x:c>
      <x:c r="V520" s="14" t="str">
        <x:v>Earliest supplied year is 2024.</x:v>
      </x:c>
      <x:c r="W520" s="14"/>
      <x:c r="X520" s="14" t="str">
        <x:v>Carried forward to 2024</x:v>
      </x:c>
      <x:c r="Y520" s="14"/>
      <x:c r="Z520" s="14" t="str">
        <x:v>The Responder.docx</x:v>
      </x:c>
      <x:c r="AA52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BBC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HYPERLINK("https://en.wikipedia.org/wiki/The_Responder","Open source")</x:f>
        <x:v>HYPERLINK is not implemented. linkLocation=https://en.wikipedia.org/wiki/The_Responder, friendlyName=Open source</x:v>
      </x:c>
      <x:c r="AN520" s="14" t="str">
        <x:v>BBC public-service commission</x:v>
      </x:c>
      <x:c r="AO520" s="14" t="str">
        <x:v>Yes</x:v>
      </x:c>
      <x:c r="AP520" s="14" t="str">
        <x:v>Direct BBC public-service scope</x:v>
      </x:c>
      <x:c r="AQ520" s="14" t="str">
        <x:v>Yes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10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2</x:v>
      </x:c>
      <x:c r="BS520" s="16" t="n">
        <x:v>0.2</x:v>
      </x:c>
      <x:c r="BT520" s="14" t="str">
        <x:v>Minority of episodes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tt11899030|nm16277323|sol</x:v>
      </x:c>
      <x:c r="B521" s="14" t="str">
        <x:v>06</x:v>
      </x:c>
      <x:c r="C521" s="14" t="str">
        <x:v>2022_IMDb_Cast_Lists_Batch_06(1).xlsx</x:v>
      </x:c>
      <x:c r="D521" s="14" t="str">
        <x:v>The Responder</x:v>
      </x:c>
      <x:c r="E521" s="14" t="n">
        <x:v>58</x:v>
      </x:c>
      <x:c r="F521" s="14" t="str">
        <x:v>The Responder</x:v>
      </x:c>
      <x:c r="G521" s="14" t="str">
        <x:v>tt11899030</x:v>
      </x:c>
      <x:c r="H521" s="14" t="n">
        <x:v>2022</x:v>
      </x:c>
      <x:c r="I521" s="14" t="n">
        <x:v>2023</x:v>
      </x:c>
      <x:c r="J521" s="14" t="str">
        <x:v>Future Carry-Forward Cohort</x:v>
      </x:c>
      <x:c r="K521" s="14" t="n">
        <x:v>2022</x:v>
      </x:c>
      <x:c r="L521" s="14" t="str">
        <x:v>Not inherited</x:v>
      </x:c>
      <x:c r="M521" s="15" t="n">
        <x:v>51</x:v>
      </x:c>
      <x:c r="N521" s="14" t="str">
        <x:v>Zach J. Levene</x:v>
      </x:c>
      <x:c r="O521" s="14" t="str">
        <x:v>nm16277323</x:v>
      </x:c>
      <x:c r="P521" s="14" t="str">
        <x:v>Sol</x:v>
      </x:c>
      <x:c r="Q521" s="15" t="n">
        <x:v>2</x:v>
      </x:c>
      <x:c r="R521" s="14" t="str">
        <x:v>2024</x:v>
      </x:c>
      <x:c r="S521" s="14" t="n">
        <x:v>2024</x:v>
      </x:c>
      <x:c r="T521" s="14" t="n">
        <x:v>2024</x:v>
      </x:c>
      <x:c r="U521" s="14" t="str">
        <x:v>Explicit source first year retained</x:v>
      </x:c>
      <x:c r="V521" s="14" t="str">
        <x:v>Earliest supplied year is 2024.</x:v>
      </x:c>
      <x:c r="W521" s="14"/>
      <x:c r="X521" s="14" t="str">
        <x:v>Carried forward to 2024</x:v>
      </x:c>
      <x:c r="Y521" s="14"/>
      <x:c r="Z521" s="14" t="str">
        <x:v>The Responder.docx</x:v>
      </x:c>
      <x:c r="AA52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HYPERLINK("https://en.wikipedia.org/wiki/The_Responder","Open source")</x:f>
        <x:v>HYPERLINK is not implemented. linkLocation=https://en.wikipedia.org/wiki/The_Responder,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10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2</x:v>
      </x:c>
      <x:c r="BS521" s="16" t="n">
        <x:v>0.2</x:v>
      </x:c>
      <x:c r="BT521" s="14" t="str">
        <x:v>Minority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tt11899030|nm12521459|dolly</x:v>
      </x:c>
      <x:c r="B522" s="14" t="str">
        <x:v>06</x:v>
      </x:c>
      <x:c r="C522" s="14" t="str">
        <x:v>2022_IMDb_Cast_Lists_Batch_06(1).xlsx</x:v>
      </x:c>
      <x:c r="D522" s="14" t="str">
        <x:v>The Responder</x:v>
      </x:c>
      <x:c r="E522" s="14" t="n">
        <x:v>59</x:v>
      </x:c>
      <x:c r="F522" s="14" t="str">
        <x:v>The Responder</x:v>
      </x:c>
      <x:c r="G522" s="14" t="str">
        <x:v>tt11899030</x:v>
      </x:c>
      <x:c r="H522" s="14" t="n">
        <x:v>2022</x:v>
      </x:c>
      <x:c r="I522" s="14" t="n">
        <x:v>2023</x:v>
      </x:c>
      <x:c r="J522" s="14" t="str">
        <x:v>Future Carry-Forward Cohort</x:v>
      </x:c>
      <x:c r="K522" s="14" t="n">
        <x:v>2022</x:v>
      </x:c>
      <x:c r="L522" s="14" t="str">
        <x:v>Not inherited</x:v>
      </x:c>
      <x:c r="M522" s="15" t="n">
        <x:v>52</x:v>
      </x:c>
      <x:c r="N522" s="14" t="str">
        <x:v>Julia Ross</x:v>
      </x:c>
      <x:c r="O522" s="14" t="str">
        <x:v>nm12521459</x:v>
      </x:c>
      <x:c r="P522" s="14" t="str">
        <x:v>Dolly</x:v>
      </x:c>
      <x:c r="Q522" s="15" t="n">
        <x:v>2</x:v>
      </x:c>
      <x:c r="R522" s="14" t="str">
        <x:v>2024</x:v>
      </x:c>
      <x:c r="S522" s="14" t="n">
        <x:v>2024</x:v>
      </x:c>
      <x:c r="T522" s="14" t="n">
        <x:v>2024</x:v>
      </x:c>
      <x:c r="U522" s="14" t="str">
        <x:v>Explicit source first year retained</x:v>
      </x:c>
      <x:c r="V522" s="14" t="str">
        <x:v>Earliest supplied year is 2024.</x:v>
      </x:c>
      <x:c r="W522" s="14"/>
      <x:c r="X522" s="14" t="str">
        <x:v>Carried forward to 2024</x:v>
      </x:c>
      <x:c r="Y522" s="14"/>
      <x:c r="Z522" s="14" t="str">
        <x:v>The Responder.docx</x:v>
      </x:c>
      <x:c r="AA52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HYPERLINK("https://en.wikipedia.org/wiki/The_Responder","Open source")</x:f>
        <x:v>HYPERLINK is not implemented. linkLocation=https://en.wikipedia.org/wiki/The_Responder,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10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2</x:v>
      </x:c>
      <x:c r="BS522" s="16" t="n">
        <x:v>0.2</x:v>
      </x:c>
      <x:c r="BT522" s="14" t="str">
        <x:v>Minority of episodes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tt11899030|nm16117741|damien</x:v>
      </x:c>
      <x:c r="B523" s="14" t="str">
        <x:v>06</x:v>
      </x:c>
      <x:c r="C523" s="14" t="str">
        <x:v>2022_IMDb_Cast_Lists_Batch_06(1).xlsx</x:v>
      </x:c>
      <x:c r="D523" s="14" t="str">
        <x:v>The Responder</x:v>
      </x:c>
      <x:c r="E523" s="14" t="n">
        <x:v>60</x:v>
      </x:c>
      <x:c r="F523" s="14" t="str">
        <x:v>The Responder</x:v>
      </x:c>
      <x:c r="G523" s="14" t="str">
        <x:v>tt11899030</x:v>
      </x:c>
      <x:c r="H523" s="14" t="n">
        <x:v>2022</x:v>
      </x:c>
      <x:c r="I523" s="14" t="n">
        <x:v>2023</x:v>
      </x:c>
      <x:c r="J523" s="14" t="str">
        <x:v>Future Carry-Forward Cohort</x:v>
      </x:c>
      <x:c r="K523" s="14" t="n">
        <x:v>2022</x:v>
      </x:c>
      <x:c r="L523" s="14" t="str">
        <x:v>Not inherited</x:v>
      </x:c>
      <x:c r="M523" s="15" t="n">
        <x:v>53</x:v>
      </x:c>
      <x:c r="N523" s="14" t="str">
        <x:v>Charlie Monaghan</x:v>
      </x:c>
      <x:c r="O523" s="14" t="str">
        <x:v>nm16117741</x:v>
      </x:c>
      <x:c r="P523" s="14" t="str">
        <x:v>Damien</x:v>
      </x:c>
      <x:c r="Q523" s="15" t="n">
        <x:v>2</x:v>
      </x:c>
      <x:c r="R523" s="14" t="str">
        <x:v>2024</x:v>
      </x:c>
      <x:c r="S523" s="14" t="n">
        <x:v>2024</x:v>
      </x:c>
      <x:c r="T523" s="14" t="n">
        <x:v>2024</x:v>
      </x:c>
      <x:c r="U523" s="14" t="str">
        <x:v>Explicit source first year retained</x:v>
      </x:c>
      <x:c r="V523" s="14" t="str">
        <x:v>Earliest supplied year is 2024.</x:v>
      </x:c>
      <x:c r="W523" s="14"/>
      <x:c r="X523" s="14" t="str">
        <x:v>Carried forward to 2024</x:v>
      </x:c>
      <x:c r="Y523" s="14"/>
      <x:c r="Z523" s="14" t="str">
        <x:v>The Responder.docx</x:v>
      </x:c>
      <x:c r="AA52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HYPERLINK("https://en.wikipedia.org/wiki/The_Responder","Open source")</x:f>
        <x:v>HYPERLINK is not implemented. linkLocation=https://en.wikipedia.org/wiki/The_Responder,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10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2</x:v>
      </x:c>
      <x:c r="BS523" s="16" t="n">
        <x:v>0.2</x:v>
      </x:c>
      <x:c r="BT523" s="14" t="str">
        <x:v>Minority of episodes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tt11899030|nm7672770|mark hodgkin</x:v>
      </x:c>
      <x:c r="B524" s="14" t="str">
        <x:v>06</x:v>
      </x:c>
      <x:c r="C524" s="14" t="str">
        <x:v>2022_IMDb_Cast_Lists_Batch_06(1).xlsx</x:v>
      </x:c>
      <x:c r="D524" s="14" t="str">
        <x:v>The Responder</x:v>
      </x:c>
      <x:c r="E524" s="14" t="n">
        <x:v>91</x:v>
      </x:c>
      <x:c r="F524" s="14" t="str">
        <x:v>The Responder</x:v>
      </x:c>
      <x:c r="G524" s="14" t="str">
        <x:v>tt11899030</x:v>
      </x:c>
      <x:c r="H524" s="14" t="n">
        <x:v>2022</x:v>
      </x:c>
      <x:c r="I524" s="14" t="n">
        <x:v>2023</x:v>
      </x:c>
      <x:c r="J524" s="14" t="str">
        <x:v>Future Carry-Forward Cohort</x:v>
      </x:c>
      <x:c r="K524" s="14" t="n">
        <x:v>2022</x:v>
      </x:c>
      <x:c r="L524" s="14" t="str">
        <x:v>Not inherited</x:v>
      </x:c>
      <x:c r="M524" s="15" t="n">
        <x:v>84</x:v>
      </x:c>
      <x:c r="N524" s="14" t="str">
        <x:v>Sam C. Wilson</x:v>
      </x:c>
      <x:c r="O524" s="14" t="str">
        <x:v>nm7672770</x:v>
      </x:c>
      <x:c r="P524" s="14" t="str">
        <x:v>Mark Hodgkin</x:v>
      </x:c>
      <x:c r="Q524" s="15" t="n">
        <x:v>1</x:v>
      </x:c>
      <x:c r="R524" s="14" t="str">
        <x:v>2024</x:v>
      </x:c>
      <x:c r="S524" s="14" t="n">
        <x:v>2024</x:v>
      </x:c>
      <x:c r="T524" s="14" t="n">
        <x:v>2024</x:v>
      </x:c>
      <x:c r="U524" s="14" t="str">
        <x:v>Explicit source first year retained</x:v>
      </x:c>
      <x:c r="V524" s="14" t="str">
        <x:v>Earliest supplied year is 2024.</x:v>
      </x:c>
      <x:c r="W524" s="14"/>
      <x:c r="X524" s="14" t="str">
        <x:v>Carried forward to 2024</x:v>
      </x:c>
      <x:c r="Y524" s="14"/>
      <x:c r="Z524" s="14" t="str">
        <x:v>The Responder.docx</x:v>
      </x:c>
      <x:c r="AA52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HYPERLINK("https://en.wikipedia.org/wiki/The_Responder","Open source")</x:f>
        <x:v>HYPERLINK is not implemented. linkLocation=https://en.wikipedia.org/wiki/The_Responder,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10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1</x:v>
      </x:c>
      <x:c r="BS524" s="16" t="n">
        <x:v>0.1</x:v>
      </x:c>
      <x:c r="BT524" s="14" t="str">
        <x:v>One episode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tt11899030|nm0426855|madge</x:v>
      </x:c>
      <x:c r="B525" s="14" t="str">
        <x:v>06</x:v>
      </x:c>
      <x:c r="C525" s="14" t="str">
        <x:v>2022_IMDb_Cast_Lists_Batch_06(1).xlsx</x:v>
      </x:c>
      <x:c r="D525" s="14" t="str">
        <x:v>The Responder</x:v>
      </x:c>
      <x:c r="E525" s="14" t="n">
        <x:v>92</x:v>
      </x:c>
      <x:c r="F525" s="14" t="str">
        <x:v>The Responder</x:v>
      </x:c>
      <x:c r="G525" s="14" t="str">
        <x:v>tt11899030</x:v>
      </x:c>
      <x:c r="H525" s="14" t="n">
        <x:v>2022</x:v>
      </x:c>
      <x:c r="I525" s="14" t="n">
        <x:v>2023</x:v>
      </x:c>
      <x:c r="J525" s="14" t="str">
        <x:v>Future Carry-Forward Cohort</x:v>
      </x:c>
      <x:c r="K525" s="14" t="n">
        <x:v>2022</x:v>
      </x:c>
      <x:c r="L525" s="14" t="str">
        <x:v>Not inherited</x:v>
      </x:c>
      <x:c r="M525" s="15" t="n">
        <x:v>85</x:v>
      </x:c>
      <x:c r="N525" s="14" t="str">
        <x:v>Sue Johnston</x:v>
      </x:c>
      <x:c r="O525" s="14" t="str">
        <x:v>nm0426855</x:v>
      </x:c>
      <x:c r="P525" s="14" t="str">
        <x:v>Madge</x:v>
      </x:c>
      <x:c r="Q525" s="15" t="n">
        <x:v>1</x:v>
      </x:c>
      <x:c r="R525" s="14" t="str">
        <x:v>2024</x:v>
      </x:c>
      <x:c r="S525" s="14" t="n">
        <x:v>2024</x:v>
      </x:c>
      <x:c r="T525" s="14" t="n">
        <x:v>2024</x:v>
      </x:c>
      <x:c r="U525" s="14" t="str">
        <x:v>Explicit source first year retained</x:v>
      </x:c>
      <x:c r="V525" s="14" t="str">
        <x:v>Earliest supplied year is 2024.</x:v>
      </x:c>
      <x:c r="W525" s="14"/>
      <x:c r="X525" s="14" t="str">
        <x:v>Carried forward to 2024</x:v>
      </x:c>
      <x:c r="Y525" s="14"/>
      <x:c r="Z525" s="14" t="str">
        <x:v>The Responder.docx</x:v>
      </x:c>
      <x:c r="AA52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HYPERLINK("https://en.wikipedia.org/wiki/The_Responder","Open source")</x:f>
        <x:v>HYPERLINK is not implemented. linkLocation=https://en.wikipedia.org/wiki/The_Responder,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10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1</x:v>
      </x:c>
      <x:c r="BS525" s="16" t="n">
        <x:v>0.1</x:v>
      </x:c>
      <x:c r="BT525" s="14" t="str">
        <x:v>One episode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tt11899030|nm0765285|gail</x:v>
      </x:c>
      <x:c r="B526" s="14" t="str">
        <x:v>06</x:v>
      </x:c>
      <x:c r="C526" s="14" t="str">
        <x:v>2022_IMDb_Cast_Lists_Batch_06(1).xlsx</x:v>
      </x:c>
      <x:c r="D526" s="14" t="str">
        <x:v>The Responder</x:v>
      </x:c>
      <x:c r="E526" s="14" t="n">
        <x:v>93</x:v>
      </x:c>
      <x:c r="F526" s="14" t="str">
        <x:v>The Responder</x:v>
      </x:c>
      <x:c r="G526" s="14" t="str">
        <x:v>tt11899030</x:v>
      </x:c>
      <x:c r="H526" s="14" t="n">
        <x:v>2022</x:v>
      </x:c>
      <x:c r="I526" s="14" t="n">
        <x:v>2023</x:v>
      </x:c>
      <x:c r="J526" s="14" t="str">
        <x:v>Future Carry-Forward Cohort</x:v>
      </x:c>
      <x:c r="K526" s="14" t="n">
        <x:v>2022</x:v>
      </x:c>
      <x:c r="L526" s="14" t="str">
        <x:v>Not inherited</x:v>
      </x:c>
      <x:c r="M526" s="15" t="n">
        <x:v>86</x:v>
      </x:c>
      <x:c r="N526" s="14" t="str">
        <x:v>Sunetra Sarker</x:v>
      </x:c>
      <x:c r="O526" s="14" t="str">
        <x:v>nm0765285</x:v>
      </x:c>
      <x:c r="P526" s="14" t="str">
        <x:v>Gail</x:v>
      </x:c>
      <x:c r="Q526" s="15" t="n">
        <x:v>1</x:v>
      </x:c>
      <x:c r="R526" s="14" t="str">
        <x:v>2024</x:v>
      </x:c>
      <x:c r="S526" s="14" t="n">
        <x:v>2024</x:v>
      </x:c>
      <x:c r="T526" s="14" t="n">
        <x:v>2024</x:v>
      </x:c>
      <x:c r="U526" s="14" t="str">
        <x:v>Explicit source first year retained</x:v>
      </x:c>
      <x:c r="V526" s="14" t="str">
        <x:v>Earliest supplied year is 2024.</x:v>
      </x:c>
      <x:c r="W526" s="14"/>
      <x:c r="X526" s="14" t="str">
        <x:v>Carried forward to 2024</x:v>
      </x:c>
      <x:c r="Y526" s="14"/>
      <x:c r="Z526" s="14" t="str">
        <x:v>The Responder.docx</x:v>
      </x:c>
      <x:c r="AA52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HYPERLINK("https://en.wikipedia.org/wiki/The_Responder","Open source")</x:f>
        <x:v>HYPERLINK is not implemented. linkLocation=https://en.wikipedia.org/wiki/The_Responder, friendlyName=Open source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10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1</x:v>
      </x:c>
      <x:c r="BS526" s="16" t="n">
        <x:v>0.1</x:v>
      </x:c>
      <x:c r="BT526" s="14" t="str">
        <x:v>One episode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tt11899030|nm0253126|neil</x:v>
      </x:c>
      <x:c r="B527" s="14" t="str">
        <x:v>06</x:v>
      </x:c>
      <x:c r="C527" s="14" t="str">
        <x:v>2022_IMDb_Cast_Lists_Batch_06(1).xlsx</x:v>
      </x:c>
      <x:c r="D527" s="14" t="str">
        <x:v>The Responder</x:v>
      </x:c>
      <x:c r="E527" s="14" t="n">
        <x:v>94</x:v>
      </x:c>
      <x:c r="F527" s="14" t="str">
        <x:v>The Responder</x:v>
      </x:c>
      <x:c r="G527" s="14" t="str">
        <x:v>tt11899030</x:v>
      </x:c>
      <x:c r="H527" s="14" t="n">
        <x:v>2022</x:v>
      </x:c>
      <x:c r="I527" s="14" t="n">
        <x:v>2023</x:v>
      </x:c>
      <x:c r="J527" s="14" t="str">
        <x:v>Future Carry-Forward Cohort</x:v>
      </x:c>
      <x:c r="K527" s="14" t="n">
        <x:v>2022</x:v>
      </x:c>
      <x:c r="L527" s="14" t="str">
        <x:v>Not inherited</x:v>
      </x:c>
      <x:c r="M527" s="15" t="n">
        <x:v>87</x:v>
      </x:c>
      <x:c r="N527" s="14" t="str">
        <x:v>Kevin Eldon</x:v>
      </x:c>
      <x:c r="O527" s="14" t="str">
        <x:v>nm0253126</x:v>
      </x:c>
      <x:c r="P527" s="14" t="str">
        <x:v>Neil</x:v>
      </x:c>
      <x:c r="Q527" s="15" t="n">
        <x:v>1</x:v>
      </x:c>
      <x:c r="R527" s="14" t="str">
        <x:v>2024</x:v>
      </x:c>
      <x:c r="S527" s="14" t="n">
        <x:v>2024</x:v>
      </x:c>
      <x:c r="T527" s="14" t="n">
        <x:v>2024</x:v>
      </x:c>
      <x:c r="U527" s="14" t="str">
        <x:v>Explicit source first year retained</x:v>
      </x:c>
      <x:c r="V527" s="14" t="str">
        <x:v>Earliest supplied year is 2024.</x:v>
      </x:c>
      <x:c r="W527" s="14"/>
      <x:c r="X527" s="14" t="str">
        <x:v>Carried forward to 2024</x:v>
      </x:c>
      <x:c r="Y527" s="14"/>
      <x:c r="Z527" s="14" t="str">
        <x:v>The Responder.docx</x:v>
      </x:c>
      <x:c r="AA52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HYPERLINK("https://en.wikipedia.org/wiki/The_Responder","Open source")</x:f>
        <x:v>HYPERLINK is not implemented. linkLocation=https://en.wikipedia.org/wiki/The_Responder, friendlyName=Open source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10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1</x:v>
      </x:c>
      <x:c r="BS527" s="16" t="n">
        <x:v>0.1</x:v>
      </x:c>
      <x:c r="BT527" s="14" t="str">
        <x:v>One episode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tt11899030|nm0420979|nora</x:v>
      </x:c>
      <x:c r="B528" s="14" t="str">
        <x:v>06</x:v>
      </x:c>
      <x:c r="C528" s="14" t="str">
        <x:v>2022_IMDb_Cast_Lists_Batch_06(1).xlsx</x:v>
      </x:c>
      <x:c r="D528" s="14" t="str">
        <x:v>The Responder</x:v>
      </x:c>
      <x:c r="E528" s="14" t="n">
        <x:v>95</x:v>
      </x:c>
      <x:c r="F528" s="14" t="str">
        <x:v>The Responder</x:v>
      </x:c>
      <x:c r="G528" s="14" t="str">
        <x:v>tt11899030</x:v>
      </x:c>
      <x:c r="H528" s="14" t="n">
        <x:v>2022</x:v>
      </x:c>
      <x:c r="I528" s="14" t="n">
        <x:v>2023</x:v>
      </x:c>
      <x:c r="J528" s="14" t="str">
        <x:v>Future Carry-Forward Cohort</x:v>
      </x:c>
      <x:c r="K528" s="14" t="n">
        <x:v>2022</x:v>
      </x:c>
      <x:c r="L528" s="14" t="str">
        <x:v>Not inherited</x:v>
      </x:c>
      <x:c r="M528" s="15" t="n">
        <x:v>88</x:v>
      </x:c>
      <x:c r="N528" s="14" t="str">
        <x:v>Sue Jenkins</x:v>
      </x:c>
      <x:c r="O528" s="14" t="str">
        <x:v>nm0420979</x:v>
      </x:c>
      <x:c r="P528" s="14" t="str">
        <x:v>Nora</x:v>
      </x:c>
      <x:c r="Q528" s="15" t="n">
        <x:v>1</x:v>
      </x:c>
      <x:c r="R528" s="14" t="str">
        <x:v>2024</x:v>
      </x:c>
      <x:c r="S528" s="14" t="n">
        <x:v>2024</x:v>
      </x:c>
      <x:c r="T528" s="14" t="n">
        <x:v>2024</x:v>
      </x:c>
      <x:c r="U528" s="14" t="str">
        <x:v>Explicit source first year retained</x:v>
      </x:c>
      <x:c r="V528" s="14" t="str">
        <x:v>Earliest supplied year is 2024.</x:v>
      </x:c>
      <x:c r="W528" s="14"/>
      <x:c r="X528" s="14" t="str">
        <x:v>Carried forward to 2024</x:v>
      </x:c>
      <x:c r="Y528" s="14"/>
      <x:c r="Z528" s="14" t="str">
        <x:v>The Responder.docx</x:v>
      </x:c>
      <x:c r="AA52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HYPERLINK("https://en.wikipedia.org/wiki/The_Responder","Open source")</x:f>
        <x:v>HYPERLINK is not implemented. linkLocation=https://en.wikipedia.org/wiki/The_Responder, friendlyName=Open source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10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1</x:v>
      </x:c>
      <x:c r="BS528" s="16" t="n">
        <x:v>0.1</x:v>
      </x:c>
      <x:c r="BT528" s="14" t="str">
        <x:v>One episode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tt11899030|nm15225464|bernard's carer</x:v>
      </x:c>
      <x:c r="B529" s="14" t="str">
        <x:v>06</x:v>
      </x:c>
      <x:c r="C529" s="14" t="str">
        <x:v>2022_IMDb_Cast_Lists_Batch_06(1).xlsx</x:v>
      </x:c>
      <x:c r="D529" s="14" t="str">
        <x:v>The Responder</x:v>
      </x:c>
      <x:c r="E529" s="14" t="n">
        <x:v>96</x:v>
      </x:c>
      <x:c r="F529" s="14" t="str">
        <x:v>The Responder</x:v>
      </x:c>
      <x:c r="G529" s="14" t="str">
        <x:v>tt11899030</x:v>
      </x:c>
      <x:c r="H529" s="14" t="n">
        <x:v>2022</x:v>
      </x:c>
      <x:c r="I529" s="14" t="n">
        <x:v>2023</x:v>
      </x:c>
      <x:c r="J529" s="14" t="str">
        <x:v>Future Carry-Forward Cohort</x:v>
      </x:c>
      <x:c r="K529" s="14" t="n">
        <x:v>2022</x:v>
      </x:c>
      <x:c r="L529" s="14" t="str">
        <x:v>Not inherited</x:v>
      </x:c>
      <x:c r="M529" s="15" t="n">
        <x:v>89</x:v>
      </x:c>
      <x:c r="N529" s="14" t="str">
        <x:v>Courtney Cash</x:v>
      </x:c>
      <x:c r="O529" s="14" t="str">
        <x:v>nm15225464</x:v>
      </x:c>
      <x:c r="P529" s="14" t="str">
        <x:v>Bernard's Carer</x:v>
      </x:c>
      <x:c r="Q529" s="15" t="n">
        <x:v>1</x:v>
      </x:c>
      <x:c r="R529" s="14" t="str">
        <x:v>2024</x:v>
      </x:c>
      <x:c r="S529" s="14" t="n">
        <x:v>2024</x:v>
      </x:c>
      <x:c r="T529" s="14" t="n">
        <x:v>2024</x:v>
      </x:c>
      <x:c r="U529" s="14" t="str">
        <x:v>Explicit source first year retained</x:v>
      </x:c>
      <x:c r="V529" s="14" t="str">
        <x:v>Earliest supplied year is 2024.</x:v>
      </x:c>
      <x:c r="W529" s="14"/>
      <x:c r="X529" s="14" t="str">
        <x:v>Carried forward to 2024</x:v>
      </x:c>
      <x:c r="Y529" s="14"/>
      <x:c r="Z529" s="14" t="str">
        <x:v>The Responder.docx</x:v>
      </x:c>
      <x:c r="AA52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HYPERLINK("https://en.wikipedia.org/wiki/The_Responder","Open source")</x:f>
        <x:v>HYPERLINK is not implemented. linkLocation=https://en.wikipedia.org/wiki/The_Responder, friendlyName=Open source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10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1</x:v>
      </x:c>
      <x:c r="BS529" s="16" t="n">
        <x:v>0.1</x:v>
      </x:c>
      <x:c r="BT529" s="14" t="str">
        <x:v>One episode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tt11899030|nm0030969|d.i. kennedy</x:v>
      </x:c>
      <x:c r="B530" s="14" t="str">
        <x:v>06</x:v>
      </x:c>
      <x:c r="C530" s="14" t="str">
        <x:v>2022_IMDb_Cast_Lists_Batch_06(1).xlsx</x:v>
      </x:c>
      <x:c r="D530" s="14" t="str">
        <x:v>The Responder</x:v>
      </x:c>
      <x:c r="E530" s="14" t="n">
        <x:v>97</x:v>
      </x:c>
      <x:c r="F530" s="14" t="str">
        <x:v>The Responder</x:v>
      </x:c>
      <x:c r="G530" s="14" t="str">
        <x:v>tt11899030</x:v>
      </x:c>
      <x:c r="H530" s="14" t="n">
        <x:v>2022</x:v>
      </x:c>
      <x:c r="I530" s="14" t="n">
        <x:v>2023</x:v>
      </x:c>
      <x:c r="J530" s="14" t="str">
        <x:v>Future Carry-Forward Cohort</x:v>
      </x:c>
      <x:c r="K530" s="14" t="n">
        <x:v>2022</x:v>
      </x:c>
      <x:c r="L530" s="14" t="str">
        <x:v>Not inherited</x:v>
      </x:c>
      <x:c r="M530" s="15" t="n">
        <x:v>90</x:v>
      </x:c>
      <x:c r="N530" s="14" t="str">
        <x:v>Neil Fitzmaurice</x:v>
      </x:c>
      <x:c r="O530" s="14" t="str">
        <x:v>nm0030969</x:v>
      </x:c>
      <x:c r="P530" s="14" t="str">
        <x:v>D.I. Kennedy</x:v>
      </x:c>
      <x:c r="Q530" s="15" t="n">
        <x:v>1</x:v>
      </x:c>
      <x:c r="R530" s="14" t="str">
        <x:v>2024</x:v>
      </x:c>
      <x:c r="S530" s="14" t="n">
        <x:v>2024</x:v>
      </x:c>
      <x:c r="T530" s="14" t="n">
        <x:v>2024</x:v>
      </x:c>
      <x:c r="U530" s="14" t="str">
        <x:v>Explicit source first year retained</x:v>
      </x:c>
      <x:c r="V530" s="14" t="str">
        <x:v>Earliest supplied year is 2024.</x:v>
      </x:c>
      <x:c r="W530" s="14"/>
      <x:c r="X530" s="14" t="str">
        <x:v>Carried forward to 2024</x:v>
      </x:c>
      <x:c r="Y530" s="14"/>
      <x:c r="Z530" s="14" t="str">
        <x:v>The Responder.docx</x:v>
      </x:c>
      <x:c r="AA53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HYPERLINK("https://en.wikipedia.org/wiki/The_Responder","Open source")</x:f>
        <x:v>HYPERLINK is not implemented. linkLocation=https://en.wikipedia.org/wiki/The_Responder, friendlyName=Open source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10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1</x:v>
      </x:c>
      <x:c r="BS530" s="16" t="n">
        <x:v>0.1</x:v>
      </x:c>
      <x:c r="BT530" s="14" t="str">
        <x:v>One episode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tt11899030|nm6551323|sgt edwards</x:v>
      </x:c>
      <x:c r="B531" s="14" t="str">
        <x:v>06</x:v>
      </x:c>
      <x:c r="C531" s="14" t="str">
        <x:v>2022_IMDb_Cast_Lists_Batch_06(1).xlsx</x:v>
      </x:c>
      <x:c r="D531" s="14" t="str">
        <x:v>The Responder</x:v>
      </x:c>
      <x:c r="E531" s="14" t="n">
        <x:v>98</x:v>
      </x:c>
      <x:c r="F531" s="14" t="str">
        <x:v>The Responder</x:v>
      </x:c>
      <x:c r="G531" s="14" t="str">
        <x:v>tt11899030</x:v>
      </x:c>
      <x:c r="H531" s="14" t="n">
        <x:v>2022</x:v>
      </x:c>
      <x:c r="I531" s="14" t="n">
        <x:v>2023</x:v>
      </x:c>
      <x:c r="J531" s="14" t="str">
        <x:v>Future Carry-Forward Cohort</x:v>
      </x:c>
      <x:c r="K531" s="14" t="n">
        <x:v>2022</x:v>
      </x:c>
      <x:c r="L531" s="14" t="str">
        <x:v>Not inherited</x:v>
      </x:c>
      <x:c r="M531" s="15" t="n">
        <x:v>91</x:v>
      </x:c>
      <x:c r="N531" s="14" t="str">
        <x:v>Robbie O'Neill</x:v>
      </x:c>
      <x:c r="O531" s="14" t="str">
        <x:v>nm6551323</x:v>
      </x:c>
      <x:c r="P531" s="14" t="str">
        <x:v>Sgt Edwards</x:v>
      </x:c>
      <x:c r="Q531" s="15" t="n">
        <x:v>1</x:v>
      </x:c>
      <x:c r="R531" s="14" t="str">
        <x:v>2024</x:v>
      </x:c>
      <x:c r="S531" s="14" t="n">
        <x:v>2024</x:v>
      </x:c>
      <x:c r="T531" s="14" t="n">
        <x:v>2024</x:v>
      </x:c>
      <x:c r="U531" s="14" t="str">
        <x:v>Explicit source first year retained</x:v>
      </x:c>
      <x:c r="V531" s="14" t="str">
        <x:v>Earliest supplied year is 2024.</x:v>
      </x:c>
      <x:c r="W531" s="14"/>
      <x:c r="X531" s="14" t="str">
        <x:v>Carried forward to 2024</x:v>
      </x:c>
      <x:c r="Y531" s="14"/>
      <x:c r="Z531" s="14" t="str">
        <x:v>The Responder.docx</x:v>
      </x:c>
      <x:c r="AA53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HYPERLINK("https://en.wikipedia.org/wiki/The_Responder","Open source")</x:f>
        <x:v>HYPERLINK is not implemented. linkLocation=https://en.wikipedia.org/wiki/The_Responder, friendlyName=Open source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10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1</x:v>
      </x:c>
      <x:c r="BS531" s="16" t="n">
        <x:v>0.1</x:v>
      </x:c>
      <x:c r="BT531" s="14" t="str">
        <x:v>One episode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tt11899030|nm3701357|intercom lady</x:v>
      </x:c>
      <x:c r="B532" s="14" t="str">
        <x:v>06</x:v>
      </x:c>
      <x:c r="C532" s="14" t="str">
        <x:v>2022_IMDb_Cast_Lists_Batch_06(1).xlsx</x:v>
      </x:c>
      <x:c r="D532" s="14" t="str">
        <x:v>The Responder</x:v>
      </x:c>
      <x:c r="E532" s="14" t="n">
        <x:v>99</x:v>
      </x:c>
      <x:c r="F532" s="14" t="str">
        <x:v>The Responder</x:v>
      </x:c>
      <x:c r="G532" s="14" t="str">
        <x:v>tt11899030</x:v>
      </x:c>
      <x:c r="H532" s="14" t="n">
        <x:v>2022</x:v>
      </x:c>
      <x:c r="I532" s="14" t="n">
        <x:v>2023</x:v>
      </x:c>
      <x:c r="J532" s="14" t="str">
        <x:v>Future Carry-Forward Cohort</x:v>
      </x:c>
      <x:c r="K532" s="14" t="n">
        <x:v>2022</x:v>
      </x:c>
      <x:c r="L532" s="14" t="str">
        <x:v>Not inherited</x:v>
      </x:c>
      <x:c r="M532" s="15" t="n">
        <x:v>92</x:v>
      </x:c>
      <x:c r="N532" s="14" t="str">
        <x:v>Mounia Akl</x:v>
      </x:c>
      <x:c r="O532" s="14" t="str">
        <x:v>nm3701357</x:v>
      </x:c>
      <x:c r="P532" s="14" t="str">
        <x:v>Intercom Lady</x:v>
      </x:c>
      <x:c r="Q532" s="15" t="n">
        <x:v>1</x:v>
      </x:c>
      <x:c r="R532" s="14" t="str">
        <x:v>2024</x:v>
      </x:c>
      <x:c r="S532" s="14" t="n">
        <x:v>2024</x:v>
      </x:c>
      <x:c r="T532" s="14" t="n">
        <x:v>2024</x:v>
      </x:c>
      <x:c r="U532" s="14" t="str">
        <x:v>Explicit source first year retained</x:v>
      </x:c>
      <x:c r="V532" s="14" t="str">
        <x:v>Earliest supplied year is 2024.</x:v>
      </x:c>
      <x:c r="W532" s="14"/>
      <x:c r="X532" s="14" t="str">
        <x:v>Carried forward to 2024</x:v>
      </x:c>
      <x:c r="Y532" s="14"/>
      <x:c r="Z532" s="14" t="str">
        <x:v>The Responder.docx</x:v>
      </x:c>
      <x:c r="AA53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HYPERLINK("https://en.wikipedia.org/wiki/The_Responder","Open source")</x:f>
        <x:v>HYPERLINK is not implemented. linkLocation=https://en.wikipedia.org/wiki/The_Responder, friendlyName=Open source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10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0.1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tt11899030|nm9512407|shelly</x:v>
      </x:c>
      <x:c r="B533" s="14" t="str">
        <x:v>06</x:v>
      </x:c>
      <x:c r="C533" s="14" t="str">
        <x:v>2022_IMDb_Cast_Lists_Batch_06(1).xlsx</x:v>
      </x:c>
      <x:c r="D533" s="14" t="str">
        <x:v>The Responder</x:v>
      </x:c>
      <x:c r="E533" s="14" t="n">
        <x:v>100</x:v>
      </x:c>
      <x:c r="F533" s="14" t="str">
        <x:v>The Responder</x:v>
      </x:c>
      <x:c r="G533" s="14" t="str">
        <x:v>tt11899030</x:v>
      </x:c>
      <x:c r="H533" s="14" t="n">
        <x:v>2022</x:v>
      </x:c>
      <x:c r="I533" s="14" t="n">
        <x:v>2023</x:v>
      </x:c>
      <x:c r="J533" s="14" t="str">
        <x:v>Future Carry-Forward Cohort</x:v>
      </x:c>
      <x:c r="K533" s="14" t="n">
        <x:v>2022</x:v>
      </x:c>
      <x:c r="L533" s="14" t="str">
        <x:v>Not inherited</x:v>
      </x:c>
      <x:c r="M533" s="15" t="n">
        <x:v>93</x:v>
      </x:c>
      <x:c r="N533" s="14" t="str">
        <x:v>Gina Fillingham</x:v>
      </x:c>
      <x:c r="O533" s="14" t="str">
        <x:v>nm9512407</x:v>
      </x:c>
      <x:c r="P533" s="14" t="str">
        <x:v>Shelly</x:v>
      </x:c>
      <x:c r="Q533" s="15" t="n">
        <x:v>1</x:v>
      </x:c>
      <x:c r="R533" s="14" t="str">
        <x:v>2024</x:v>
      </x:c>
      <x:c r="S533" s="14" t="n">
        <x:v>2024</x:v>
      </x:c>
      <x:c r="T533" s="14" t="n">
        <x:v>2024</x:v>
      </x:c>
      <x:c r="U533" s="14" t="str">
        <x:v>Explicit source first year retained</x:v>
      </x:c>
      <x:c r="V533" s="14" t="str">
        <x:v>Earliest supplied year is 2024.</x:v>
      </x:c>
      <x:c r="W533" s="14"/>
      <x:c r="X533" s="14" t="str">
        <x:v>Carried forward to 2024</x:v>
      </x:c>
      <x:c r="Y533" s="14"/>
      <x:c r="Z533" s="14" t="str">
        <x:v>The Responder.docx</x:v>
      </x:c>
      <x:c r="AA53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HYPERLINK("https://en.wikipedia.org/wiki/The_Responder","Open source")</x:f>
        <x:v>HYPERLINK is not implemented. linkLocation=https://en.wikipedia.org/wiki/The_Responder, friendlyName=Open source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10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0.1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tt11899030|nm6462592|danny</x:v>
      </x:c>
      <x:c r="B534" s="14" t="str">
        <x:v>06</x:v>
      </x:c>
      <x:c r="C534" s="14" t="str">
        <x:v>2022_IMDb_Cast_Lists_Batch_06(1).xlsx</x:v>
      </x:c>
      <x:c r="D534" s="14" t="str">
        <x:v>The Responder</x:v>
      </x:c>
      <x:c r="E534" s="14" t="n">
        <x:v>101</x:v>
      </x:c>
      <x:c r="F534" s="14" t="str">
        <x:v>The Responder</x:v>
      </x:c>
      <x:c r="G534" s="14" t="str">
        <x:v>tt11899030</x:v>
      </x:c>
      <x:c r="H534" s="14" t="n">
        <x:v>2022</x:v>
      </x:c>
      <x:c r="I534" s="14" t="n">
        <x:v>2023</x:v>
      </x:c>
      <x:c r="J534" s="14" t="str">
        <x:v>Future Carry-Forward Cohort</x:v>
      </x:c>
      <x:c r="K534" s="14" t="n">
        <x:v>2022</x:v>
      </x:c>
      <x:c r="L534" s="14" t="str">
        <x:v>Not inherited</x:v>
      </x:c>
      <x:c r="M534" s="15" t="n">
        <x:v>94</x:v>
      </x:c>
      <x:c r="N534" s="14" t="str">
        <x:v>Austin Haynes</x:v>
      </x:c>
      <x:c r="O534" s="14" t="str">
        <x:v>nm6462592</x:v>
      </x:c>
      <x:c r="P534" s="14" t="str">
        <x:v>Danny</x:v>
      </x:c>
      <x:c r="Q534" s="15" t="n">
        <x:v>1</x:v>
      </x:c>
      <x:c r="R534" s="14" t="str">
        <x:v>2024</x:v>
      </x:c>
      <x:c r="S534" s="14" t="n">
        <x:v>2024</x:v>
      </x:c>
      <x:c r="T534" s="14" t="n">
        <x:v>2024</x:v>
      </x:c>
      <x:c r="U534" s="14" t="str">
        <x:v>Explicit source first year retained</x:v>
      </x:c>
      <x:c r="V534" s="14" t="str">
        <x:v>Earliest supplied year is 2024.</x:v>
      </x:c>
      <x:c r="W534" s="14"/>
      <x:c r="X534" s="14" t="str">
        <x:v>Carried forward to 2024</x:v>
      </x:c>
      <x:c r="Y534" s="14"/>
      <x:c r="Z534" s="14" t="str">
        <x:v>The Responder.docx</x:v>
      </x:c>
      <x:c r="AA53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HYPERLINK("https://en.wikipedia.org/wiki/The_Responder","Open source")</x:f>
        <x:v>HYPERLINK is not implemented. linkLocation=https://en.wikipedia.org/wiki/The_Responder, friendlyName=Open source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10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0.1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tt11899030|nm8434585|emma</x:v>
      </x:c>
      <x:c r="B535" s="14" t="str">
        <x:v>06</x:v>
      </x:c>
      <x:c r="C535" s="14" t="str">
        <x:v>2022_IMDb_Cast_Lists_Batch_06(1).xlsx</x:v>
      </x:c>
      <x:c r="D535" s="14" t="str">
        <x:v>The Responder</x:v>
      </x:c>
      <x:c r="E535" s="14" t="n">
        <x:v>102</x:v>
      </x:c>
      <x:c r="F535" s="14" t="str">
        <x:v>The Responder</x:v>
      </x:c>
      <x:c r="G535" s="14" t="str">
        <x:v>tt11899030</x:v>
      </x:c>
      <x:c r="H535" s="14" t="n">
        <x:v>2022</x:v>
      </x:c>
      <x:c r="I535" s="14" t="n">
        <x:v>2023</x:v>
      </x:c>
      <x:c r="J535" s="14" t="str">
        <x:v>Future Carry-Forward Cohort</x:v>
      </x:c>
      <x:c r="K535" s="14" t="n">
        <x:v>2022</x:v>
      </x:c>
      <x:c r="L535" s="14" t="str">
        <x:v>Not inherited</x:v>
      </x:c>
      <x:c r="M535" s="15" t="n">
        <x:v>95</x:v>
      </x:c>
      <x:c r="N535" s="14" t="str">
        <x:v>Hannah Traylen</x:v>
      </x:c>
      <x:c r="O535" s="14" t="str">
        <x:v>nm8434585</x:v>
      </x:c>
      <x:c r="P535" s="14" t="str">
        <x:v>Emma</x:v>
      </x:c>
      <x:c r="Q535" s="15" t="n">
        <x:v>1</x:v>
      </x:c>
      <x:c r="R535" s="14" t="str">
        <x:v>2024</x:v>
      </x:c>
      <x:c r="S535" s="14" t="n">
        <x:v>2024</x:v>
      </x:c>
      <x:c r="T535" s="14" t="n">
        <x:v>2024</x:v>
      </x:c>
      <x:c r="U535" s="14" t="str">
        <x:v>Explicit source first year retained</x:v>
      </x:c>
      <x:c r="V535" s="14" t="str">
        <x:v>Earliest supplied year is 2024.</x:v>
      </x:c>
      <x:c r="W535" s="14"/>
      <x:c r="X535" s="14" t="str">
        <x:v>Carried forward to 2024</x:v>
      </x:c>
      <x:c r="Y535" s="14"/>
      <x:c r="Z535" s="14" t="str">
        <x:v>The Responder.docx</x:v>
      </x:c>
      <x:c r="AA53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HYPERLINK("https://en.wikipedia.org/wiki/The_Responder","Open source")</x:f>
        <x:v>HYPERLINK is not implemented. linkLocation=https://en.wikipedia.org/wiki/The_Responder, friendlyName=Open source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10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0.1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tt11899030|nm3026047|inspector johnson</x:v>
      </x:c>
      <x:c r="B536" s="14" t="str">
        <x:v>06</x:v>
      </x:c>
      <x:c r="C536" s="14" t="str">
        <x:v>2022_IMDb_Cast_Lists_Batch_06(1).xlsx</x:v>
      </x:c>
      <x:c r="D536" s="14" t="str">
        <x:v>The Responder</x:v>
      </x:c>
      <x:c r="E536" s="14" t="n">
        <x:v>103</x:v>
      </x:c>
      <x:c r="F536" s="14" t="str">
        <x:v>The Responder</x:v>
      </x:c>
      <x:c r="G536" s="14" t="str">
        <x:v>tt11899030</x:v>
      </x:c>
      <x:c r="H536" s="14" t="n">
        <x:v>2022</x:v>
      </x:c>
      <x:c r="I536" s="14" t="n">
        <x:v>2023</x:v>
      </x:c>
      <x:c r="J536" s="14" t="str">
        <x:v>Future Carry-Forward Cohort</x:v>
      </x:c>
      <x:c r="K536" s="14" t="n">
        <x:v>2022</x:v>
      </x:c>
      <x:c r="L536" s="14" t="str">
        <x:v>Not inherited</x:v>
      </x:c>
      <x:c r="M536" s="15" t="n">
        <x:v>96</x:v>
      </x:c>
      <x:c r="N536" s="14" t="str">
        <x:v>Craige Els</x:v>
      </x:c>
      <x:c r="O536" s="14" t="str">
        <x:v>nm3026047</x:v>
      </x:c>
      <x:c r="P536" s="14" t="str">
        <x:v>Inspector Johnson</x:v>
      </x:c>
      <x:c r="Q536" s="15" t="n">
        <x:v>1</x:v>
      </x:c>
      <x:c r="R536" s="14" t="str">
        <x:v>2024</x:v>
      </x:c>
      <x:c r="S536" s="14" t="n">
        <x:v>2024</x:v>
      </x:c>
      <x:c r="T536" s="14" t="n">
        <x:v>2024</x:v>
      </x:c>
      <x:c r="U536" s="14" t="str">
        <x:v>Explicit source first year retained</x:v>
      </x:c>
      <x:c r="V536" s="14" t="str">
        <x:v>Earliest supplied year is 2024.</x:v>
      </x:c>
      <x:c r="W536" s="14"/>
      <x:c r="X536" s="14" t="str">
        <x:v>Carried forward to 2024</x:v>
      </x:c>
      <x:c r="Y536" s="14"/>
      <x:c r="Z536" s="14" t="str">
        <x:v>The Responder.docx</x:v>
      </x:c>
      <x:c r="AA53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HYPERLINK("https://en.wikipedia.org/wiki/The_Responder","Open source")</x:f>
        <x:v>HYPERLINK is not implemented. linkLocation=https://en.wikipedia.org/wiki/The_Responder, friendlyName=Open source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10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0.1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tt11899030|nm8466330|mick</x:v>
      </x:c>
      <x:c r="B537" s="14" t="str">
        <x:v>06</x:v>
      </x:c>
      <x:c r="C537" s="14" t="str">
        <x:v>2022_IMDb_Cast_Lists_Batch_06(1).xlsx</x:v>
      </x:c>
      <x:c r="D537" s="14" t="str">
        <x:v>The Responder</x:v>
      </x:c>
      <x:c r="E537" s="14" t="n">
        <x:v>104</x:v>
      </x:c>
      <x:c r="F537" s="14" t="str">
        <x:v>The Responder</x:v>
      </x:c>
      <x:c r="G537" s="14" t="str">
        <x:v>tt11899030</x:v>
      </x:c>
      <x:c r="H537" s="14" t="n">
        <x:v>2022</x:v>
      </x:c>
      <x:c r="I537" s="14" t="n">
        <x:v>2023</x:v>
      </x:c>
      <x:c r="J537" s="14" t="str">
        <x:v>Future Carry-Forward Cohort</x:v>
      </x:c>
      <x:c r="K537" s="14" t="n">
        <x:v>2022</x:v>
      </x:c>
      <x:c r="L537" s="14" t="str">
        <x:v>Not inherited</x:v>
      </x:c>
      <x:c r="M537" s="15" t="n">
        <x:v>97</x:v>
      </x:c>
      <x:c r="N537" s="14" t="str">
        <x:v>John McGrellis</x:v>
      </x:c>
      <x:c r="O537" s="14" t="str">
        <x:v>nm8466330</x:v>
      </x:c>
      <x:c r="P537" s="14" t="str">
        <x:v>Mick</x:v>
      </x:c>
      <x:c r="Q537" s="15" t="n">
        <x:v>1</x:v>
      </x:c>
      <x:c r="R537" s="14" t="str">
        <x:v>2024</x:v>
      </x:c>
      <x:c r="S537" s="14" t="n">
        <x:v>2024</x:v>
      </x:c>
      <x:c r="T537" s="14" t="n">
        <x:v>2024</x:v>
      </x:c>
      <x:c r="U537" s="14" t="str">
        <x:v>Explicit source first year retained</x:v>
      </x:c>
      <x:c r="V537" s="14" t="str">
        <x:v>Earliest supplied year is 2024.</x:v>
      </x:c>
      <x:c r="W537" s="14"/>
      <x:c r="X537" s="14" t="str">
        <x:v>Carried forward to 2024</x:v>
      </x:c>
      <x:c r="Y537" s="14"/>
      <x:c r="Z537" s="14" t="str">
        <x:v>The Responder.docx</x:v>
      </x:c>
      <x:c r="AA53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HYPERLINK("https://en.wikipedia.org/wiki/The_Responder","Open source")</x:f>
        <x:v>HYPERLINK is not implemented. linkLocation=https://en.wikipedia.org/wiki/The_Responder, friendlyName=Open source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10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0.1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tt11899030|nm13628292|cathy</x:v>
      </x:c>
      <x:c r="B538" s="14" t="str">
        <x:v>06</x:v>
      </x:c>
      <x:c r="C538" s="14" t="str">
        <x:v>2022_IMDb_Cast_Lists_Batch_06(1).xlsx</x:v>
      </x:c>
      <x:c r="D538" s="14" t="str">
        <x:v>The Responder</x:v>
      </x:c>
      <x:c r="E538" s="14" t="n">
        <x:v>105</x:v>
      </x:c>
      <x:c r="F538" s="14" t="str">
        <x:v>The Responder</x:v>
      </x:c>
      <x:c r="G538" s="14" t="str">
        <x:v>tt11899030</x:v>
      </x:c>
      <x:c r="H538" s="14" t="n">
        <x:v>2022</x:v>
      </x:c>
      <x:c r="I538" s="14" t="n">
        <x:v>2023</x:v>
      </x:c>
      <x:c r="J538" s="14" t="str">
        <x:v>Future Carry-Forward Cohort</x:v>
      </x:c>
      <x:c r="K538" s="14" t="n">
        <x:v>2022</x:v>
      </x:c>
      <x:c r="L538" s="14" t="str">
        <x:v>Not inherited</x:v>
      </x:c>
      <x:c r="M538" s="15" t="n">
        <x:v>98</x:v>
      </x:c>
      <x:c r="N538" s="14" t="str">
        <x:v>Lola Campbell</x:v>
      </x:c>
      <x:c r="O538" s="14" t="str">
        <x:v>nm13628292</x:v>
      </x:c>
      <x:c r="P538" s="14" t="str">
        <x:v>Cathy</x:v>
      </x:c>
      <x:c r="Q538" s="15" t="n">
        <x:v>1</x:v>
      </x:c>
      <x:c r="R538" s="14" t="str">
        <x:v>2024</x:v>
      </x:c>
      <x:c r="S538" s="14" t="n">
        <x:v>2024</x:v>
      </x:c>
      <x:c r="T538" s="14" t="n">
        <x:v>2024</x:v>
      </x:c>
      <x:c r="U538" s="14" t="str">
        <x:v>Explicit source first year retained</x:v>
      </x:c>
      <x:c r="V538" s="14" t="str">
        <x:v>Earliest supplied year is 2024.</x:v>
      </x:c>
      <x:c r="W538" s="14"/>
      <x:c r="X538" s="14" t="str">
        <x:v>Carried forward to 2024</x:v>
      </x:c>
      <x:c r="Y538" s="14"/>
      <x:c r="Z538" s="14" t="str">
        <x:v>The Responder.docx</x:v>
      </x:c>
      <x:c r="AA53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HYPERLINK("https://en.wikipedia.org/wiki/The_Responder","Open source")</x:f>
        <x:v>HYPERLINK is not implemented. linkLocation=https://en.wikipedia.org/wiki/The_Responder, friendlyName=Open source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10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0.1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tt11899030|nm0419771|zed</x:v>
      </x:c>
      <x:c r="B539" s="14" t="str">
        <x:v>06</x:v>
      </x:c>
      <x:c r="C539" s="14" t="str">
        <x:v>2022_IMDb_Cast_Lists_Batch_06(1).xlsx</x:v>
      </x:c>
      <x:c r="D539" s="14" t="str">
        <x:v>The Responder</x:v>
      </x:c>
      <x:c r="E539" s="14" t="n">
        <x:v>106</x:v>
      </x:c>
      <x:c r="F539" s="14" t="str">
        <x:v>The Responder</x:v>
      </x:c>
      <x:c r="G539" s="14" t="str">
        <x:v>tt11899030</x:v>
      </x:c>
      <x:c r="H539" s="14" t="n">
        <x:v>2022</x:v>
      </x:c>
      <x:c r="I539" s="14" t="n">
        <x:v>2023</x:v>
      </x:c>
      <x:c r="J539" s="14" t="str">
        <x:v>Future Carry-Forward Cohort</x:v>
      </x:c>
      <x:c r="K539" s="14" t="n">
        <x:v>2022</x:v>
      </x:c>
      <x:c r="L539" s="14" t="str">
        <x:v>Not inherited</x:v>
      </x:c>
      <x:c r="M539" s="15" t="n">
        <x:v>99</x:v>
      </x:c>
      <x:c r="N539" s="14" t="str">
        <x:v>Jonathan Jaynes</x:v>
      </x:c>
      <x:c r="O539" s="14" t="str">
        <x:v>nm0419771</x:v>
      </x:c>
      <x:c r="P539" s="14" t="str">
        <x:v>Zed</x:v>
      </x:c>
      <x:c r="Q539" s="15" t="n">
        <x:v>1</x:v>
      </x:c>
      <x:c r="R539" s="14" t="str">
        <x:v>2024</x:v>
      </x:c>
      <x:c r="S539" s="14" t="n">
        <x:v>2024</x:v>
      </x:c>
      <x:c r="T539" s="14" t="n">
        <x:v>2024</x:v>
      </x:c>
      <x:c r="U539" s="14" t="str">
        <x:v>Explicit source first year retained</x:v>
      </x:c>
      <x:c r="V539" s="14" t="str">
        <x:v>Earliest supplied year is 2024.</x:v>
      </x:c>
      <x:c r="W539" s="14"/>
      <x:c r="X539" s="14" t="str">
        <x:v>Carried forward to 2024</x:v>
      </x:c>
      <x:c r="Y539" s="14"/>
      <x:c r="Z539" s="14" t="str">
        <x:v>The Responder.docx</x:v>
      </x:c>
      <x:c r="AA53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HYPERLINK("https://en.wikipedia.org/wiki/The_Responder","Open source")</x:f>
        <x:v>HYPERLINK is not implemented. linkLocation=https://en.wikipedia.org/wiki/The_Responder, friendlyName=Open source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10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0.1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tt11899030|nm2798117|neighbour 1</x:v>
      </x:c>
      <x:c r="B540" s="14" t="str">
        <x:v>06</x:v>
      </x:c>
      <x:c r="C540" s="14" t="str">
        <x:v>2022_IMDb_Cast_Lists_Batch_06(1).xlsx</x:v>
      </x:c>
      <x:c r="D540" s="14" t="str">
        <x:v>The Responder</x:v>
      </x:c>
      <x:c r="E540" s="14" t="n">
        <x:v>107</x:v>
      </x:c>
      <x:c r="F540" s="14" t="str">
        <x:v>The Responder</x:v>
      </x:c>
      <x:c r="G540" s="14" t="str">
        <x:v>tt11899030</x:v>
      </x:c>
      <x:c r="H540" s="14" t="n">
        <x:v>2022</x:v>
      </x:c>
      <x:c r="I540" s="14" t="n">
        <x:v>2023</x:v>
      </x:c>
      <x:c r="J540" s="14" t="str">
        <x:v>Future Carry-Forward Cohort</x:v>
      </x:c>
      <x:c r="K540" s="14" t="n">
        <x:v>2022</x:v>
      </x:c>
      <x:c r="L540" s="14" t="str">
        <x:v>Not inherited</x:v>
      </x:c>
      <x:c r="M540" s="15" t="n">
        <x:v>100</x:v>
      </x:c>
      <x:c r="N540" s="14" t="str">
        <x:v>Michael Swift</x:v>
      </x:c>
      <x:c r="O540" s="14" t="str">
        <x:v>nm2798117</x:v>
      </x:c>
      <x:c r="P540" s="14" t="str">
        <x:v>Neighbour 1</x:v>
      </x:c>
      <x:c r="Q540" s="15" t="n">
        <x:v>1</x:v>
      </x:c>
      <x:c r="R540" s="14" t="str">
        <x:v>2024</x:v>
      </x:c>
      <x:c r="S540" s="14" t="n">
        <x:v>2024</x:v>
      </x:c>
      <x:c r="T540" s="14" t="n">
        <x:v>2024</x:v>
      </x:c>
      <x:c r="U540" s="14" t="str">
        <x:v>Explicit source first year retained</x:v>
      </x:c>
      <x:c r="V540" s="14" t="str">
        <x:v>Earliest supplied year is 2024.</x:v>
      </x:c>
      <x:c r="W540" s="14"/>
      <x:c r="X540" s="14" t="str">
        <x:v>Carried forward to 2024</x:v>
      </x:c>
      <x:c r="Y540" s="14"/>
      <x:c r="Z540" s="14" t="str">
        <x:v>The Responder.docx</x:v>
      </x:c>
      <x:c r="AA54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HYPERLINK("https://en.wikipedia.org/wiki/The_Responder","Open source")</x:f>
        <x:v>HYPERLINK is not implemented. linkLocation=https://en.wikipedia.org/wiki/The_Responder, friendlyName=Open source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10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0.1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tt11899030|nm13580290|police response officer</x:v>
      </x:c>
      <x:c r="B541" s="14" t="str">
        <x:v>06</x:v>
      </x:c>
      <x:c r="C541" s="14" t="str">
        <x:v>2022_IMDb_Cast_Lists_Batch_06(1).xlsx</x:v>
      </x:c>
      <x:c r="D541" s="14" t="str">
        <x:v>The Responder</x:v>
      </x:c>
      <x:c r="E541" s="14" t="n">
        <x:v>108</x:v>
      </x:c>
      <x:c r="F541" s="14" t="str">
        <x:v>The Responder</x:v>
      </x:c>
      <x:c r="G541" s="14" t="str">
        <x:v>tt11899030</x:v>
      </x:c>
      <x:c r="H541" s="14" t="n">
        <x:v>2022</x:v>
      </x:c>
      <x:c r="I541" s="14" t="n">
        <x:v>2023</x:v>
      </x:c>
      <x:c r="J541" s="14" t="str">
        <x:v>Future Carry-Forward Cohort</x:v>
      </x:c>
      <x:c r="K541" s="14" t="n">
        <x:v>2022</x:v>
      </x:c>
      <x:c r="L541" s="14" t="str">
        <x:v>Not inherited</x:v>
      </x:c>
      <x:c r="M541" s="15" t="n">
        <x:v>101</x:v>
      </x:c>
      <x:c r="N541" s="14" t="str">
        <x:v>Andy M Milligan</x:v>
      </x:c>
      <x:c r="O541" s="14" t="str">
        <x:v>nm13580290</x:v>
      </x:c>
      <x:c r="P541" s="14" t="str">
        <x:v>Police Response Officer</x:v>
      </x:c>
      <x:c r="Q541" s="15" t="n">
        <x:v>1</x:v>
      </x:c>
      <x:c r="R541" s="14" t="str">
        <x:v>2024</x:v>
      </x:c>
      <x:c r="S541" s="14" t="n">
        <x:v>2024</x:v>
      </x:c>
      <x:c r="T541" s="14" t="n">
        <x:v>2024</x:v>
      </x:c>
      <x:c r="U541" s="14" t="str">
        <x:v>Explicit source first year retained</x:v>
      </x:c>
      <x:c r="V541" s="14" t="str">
        <x:v>Earliest supplied year is 2024.</x:v>
      </x:c>
      <x:c r="W541" s="14"/>
      <x:c r="X541" s="14" t="str">
        <x:v>Carried forward to 2024</x:v>
      </x:c>
      <x:c r="Y541" s="14"/>
      <x:c r="Z541" s="14" t="str">
        <x:v>The Responder.docx</x:v>
      </x:c>
      <x:c r="AA54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HYPERLINK("https://en.wikipedia.org/wiki/The_Responder","Open source")</x:f>
        <x:v>HYPERLINK is not implemented. linkLocation=https://en.wikipedia.org/wiki/The_Responder, friendlyName=Open source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10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1</x:v>
      </x:c>
      <x:c r="BS541" s="16" t="n">
        <x:v>0.1</x:v>
      </x:c>
      <x:c r="BT541" s="14" t="str">
        <x:v>One episode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tt11899030|nm2717572|alan</x:v>
      </x:c>
      <x:c r="B542" s="14" t="str">
        <x:v>06</x:v>
      </x:c>
      <x:c r="C542" s="14" t="str">
        <x:v>2022_IMDb_Cast_Lists_Batch_06(1).xlsx</x:v>
      </x:c>
      <x:c r="D542" s="14" t="str">
        <x:v>The Responder</x:v>
      </x:c>
      <x:c r="E542" s="14" t="n">
        <x:v>109</x:v>
      </x:c>
      <x:c r="F542" s="14" t="str">
        <x:v>The Responder</x:v>
      </x:c>
      <x:c r="G542" s="14" t="str">
        <x:v>tt11899030</x:v>
      </x:c>
      <x:c r="H542" s="14" t="n">
        <x:v>2022</x:v>
      </x:c>
      <x:c r="I542" s="14" t="n">
        <x:v>2023</x:v>
      </x:c>
      <x:c r="J542" s="14" t="str">
        <x:v>Future Carry-Forward Cohort</x:v>
      </x:c>
      <x:c r="K542" s="14" t="n">
        <x:v>2022</x:v>
      </x:c>
      <x:c r="L542" s="14" t="str">
        <x:v>Not inherited</x:v>
      </x:c>
      <x:c r="M542" s="15" t="n">
        <x:v>102</x:v>
      </x:c>
      <x:c r="N542" s="14" t="str">
        <x:v>Lenny Wood</x:v>
      </x:c>
      <x:c r="O542" s="14" t="str">
        <x:v>nm2717572</x:v>
      </x:c>
      <x:c r="P542" s="14" t="str">
        <x:v>Alan</x:v>
      </x:c>
      <x:c r="Q542" s="15" t="n">
        <x:v>1</x:v>
      </x:c>
      <x:c r="R542" s="14" t="str">
        <x:v>2024</x:v>
      </x:c>
      <x:c r="S542" s="14" t="n">
        <x:v>2024</x:v>
      </x:c>
      <x:c r="T542" s="14" t="n">
        <x:v>2024</x:v>
      </x:c>
      <x:c r="U542" s="14" t="str">
        <x:v>Explicit source first year retained</x:v>
      </x:c>
      <x:c r="V542" s="14" t="str">
        <x:v>Earliest supplied year is 2024.</x:v>
      </x:c>
      <x:c r="W542" s="14"/>
      <x:c r="X542" s="14" t="str">
        <x:v>Carried forward to 2024</x:v>
      </x:c>
      <x:c r="Y542" s="14"/>
      <x:c r="Z542" s="14" t="str">
        <x:v>The Responder.docx</x:v>
      </x:c>
      <x:c r="AA54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HYPERLINK("https://en.wikipedia.org/wiki/The_Responder","Open source")</x:f>
        <x:v>HYPERLINK is not implemented. linkLocation=https://en.wikipedia.org/wiki/The_Responder, friendlyName=Open source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10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1</x:v>
      </x:c>
      <x:c r="BS542" s="16" t="n">
        <x:v>0.1</x:v>
      </x:c>
      <x:c r="BT542" s="14" t="str">
        <x:v>One episode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tt11899030|nm6641776|graham</x:v>
      </x:c>
      <x:c r="B543" s="14" t="str">
        <x:v>06</x:v>
      </x:c>
      <x:c r="C543" s="14" t="str">
        <x:v>2022_IMDb_Cast_Lists_Batch_06(1).xlsx</x:v>
      </x:c>
      <x:c r="D543" s="14" t="str">
        <x:v>The Responder</x:v>
      </x:c>
      <x:c r="E543" s="14" t="n">
        <x:v>110</x:v>
      </x:c>
      <x:c r="F543" s="14" t="str">
        <x:v>The Responder</x:v>
      </x:c>
      <x:c r="G543" s="14" t="str">
        <x:v>tt11899030</x:v>
      </x:c>
      <x:c r="H543" s="14" t="n">
        <x:v>2022</x:v>
      </x:c>
      <x:c r="I543" s="14" t="n">
        <x:v>2023</x:v>
      </x:c>
      <x:c r="J543" s="14" t="str">
        <x:v>Future Carry-Forward Cohort</x:v>
      </x:c>
      <x:c r="K543" s="14" t="n">
        <x:v>2022</x:v>
      </x:c>
      <x:c r="L543" s="14" t="str">
        <x:v>Not inherited</x:v>
      </x:c>
      <x:c r="M543" s="15" t="n">
        <x:v>103</x:v>
      </x:c>
      <x:c r="N543" s="14" t="str">
        <x:v>Stephen Whitfield</x:v>
      </x:c>
      <x:c r="O543" s="14" t="str">
        <x:v>nm6641776</x:v>
      </x:c>
      <x:c r="P543" s="14" t="str">
        <x:v>Graham</x:v>
      </x:c>
      <x:c r="Q543" s="15" t="n">
        <x:v>1</x:v>
      </x:c>
      <x:c r="R543" s="14" t="str">
        <x:v>2024</x:v>
      </x:c>
      <x:c r="S543" s="14" t="n">
        <x:v>2024</x:v>
      </x:c>
      <x:c r="T543" s="14" t="n">
        <x:v>2024</x:v>
      </x:c>
      <x:c r="U543" s="14" t="str">
        <x:v>Explicit source first year retained</x:v>
      </x:c>
      <x:c r="V543" s="14" t="str">
        <x:v>Earliest supplied year is 2024.</x:v>
      </x:c>
      <x:c r="W543" s="14"/>
      <x:c r="X543" s="14" t="str">
        <x:v>Carried forward to 2024</x:v>
      </x:c>
      <x:c r="Y543" s="14"/>
      <x:c r="Z543" s="14" t="str">
        <x:v>The Responder.docx</x:v>
      </x:c>
      <x:c r="AA54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HYPERLINK("https://en.wikipedia.org/wiki/The_Responder","Open source")</x:f>
        <x:v>HYPERLINK is not implemented. linkLocation=https://en.wikipedia.org/wiki/The_Responder, friendlyName=Open source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10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1</x:v>
      </x:c>
      <x:c r="BS543" s="16" t="n">
        <x:v>0.1</x:v>
      </x:c>
      <x:c r="BT543" s="14" t="str">
        <x:v>One episode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tt11899030|nm1877404|kirsty</x:v>
      </x:c>
      <x:c r="B544" s="14" t="str">
        <x:v>06</x:v>
      </x:c>
      <x:c r="C544" s="14" t="str">
        <x:v>2022_IMDb_Cast_Lists_Batch_06(1).xlsx</x:v>
      </x:c>
      <x:c r="D544" s="14" t="str">
        <x:v>The Responder</x:v>
      </x:c>
      <x:c r="E544" s="14" t="n">
        <x:v>111</x:v>
      </x:c>
      <x:c r="F544" s="14" t="str">
        <x:v>The Responder</x:v>
      </x:c>
      <x:c r="G544" s="14" t="str">
        <x:v>tt11899030</x:v>
      </x:c>
      <x:c r="H544" s="14" t="n">
        <x:v>2022</x:v>
      </x:c>
      <x:c r="I544" s="14" t="n">
        <x:v>2023</x:v>
      </x:c>
      <x:c r="J544" s="14" t="str">
        <x:v>Future Carry-Forward Cohort</x:v>
      </x:c>
      <x:c r="K544" s="14" t="n">
        <x:v>2022</x:v>
      </x:c>
      <x:c r="L544" s="14" t="str">
        <x:v>Not inherited</x:v>
      </x:c>
      <x:c r="M544" s="15" t="n">
        <x:v>104</x:v>
      </x:c>
      <x:c r="N544" s="14" t="str">
        <x:v>Laura Dos Santos</x:v>
      </x:c>
      <x:c r="O544" s="14" t="str">
        <x:v>nm1877404</x:v>
      </x:c>
      <x:c r="P544" s="14" t="str">
        <x:v>Kirsty</x:v>
      </x:c>
      <x:c r="Q544" s="15" t="n">
        <x:v>1</x:v>
      </x:c>
      <x:c r="R544" s="14" t="str">
        <x:v>2024</x:v>
      </x:c>
      <x:c r="S544" s="14" t="n">
        <x:v>2024</x:v>
      </x:c>
      <x:c r="T544" s="14" t="n">
        <x:v>2024</x:v>
      </x:c>
      <x:c r="U544" s="14" t="str">
        <x:v>Explicit source first year retained</x:v>
      </x:c>
      <x:c r="V544" s="14" t="str">
        <x:v>Earliest supplied year is 2024.</x:v>
      </x:c>
      <x:c r="W544" s="14"/>
      <x:c r="X544" s="14" t="str">
        <x:v>Carried forward to 2024</x:v>
      </x:c>
      <x:c r="Y544" s="14"/>
      <x:c r="Z544" s="14" t="str">
        <x:v>The Responder.docx</x:v>
      </x:c>
      <x:c r="AA54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HYPERLINK("https://en.wikipedia.org/wiki/The_Responder","Open source")</x:f>
        <x:v>HYPERLINK is not implemented. linkLocation=https://en.wikipedia.org/wiki/The_Responder, friendlyName=Open source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10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1</x:v>
      </x:c>
      <x:c r="BS544" s="16" t="n">
        <x:v>0.1</x:v>
      </x:c>
      <x:c r="BT544" s="14" t="str">
        <x:v>One episode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tt11899030|nm9629569|parent</x:v>
      </x:c>
      <x:c r="B545" s="14" t="str">
        <x:v>06</x:v>
      </x:c>
      <x:c r="C545" s="14" t="str">
        <x:v>2022_IMDb_Cast_Lists_Batch_06(1).xlsx</x:v>
      </x:c>
      <x:c r="D545" s="14" t="str">
        <x:v>The Responder</x:v>
      </x:c>
      <x:c r="E545" s="14" t="n">
        <x:v>112</x:v>
      </x:c>
      <x:c r="F545" s="14" t="str">
        <x:v>The Responder</x:v>
      </x:c>
      <x:c r="G545" s="14" t="str">
        <x:v>tt11899030</x:v>
      </x:c>
      <x:c r="H545" s="14" t="n">
        <x:v>2022</x:v>
      </x:c>
      <x:c r="I545" s="14" t="n">
        <x:v>2023</x:v>
      </x:c>
      <x:c r="J545" s="14" t="str">
        <x:v>Future Carry-Forward Cohort</x:v>
      </x:c>
      <x:c r="K545" s="14" t="n">
        <x:v>2022</x:v>
      </x:c>
      <x:c r="L545" s="14" t="str">
        <x:v>Not inherited</x:v>
      </x:c>
      <x:c r="M545" s="15" t="n">
        <x:v>105</x:v>
      </x:c>
      <x:c r="N545" s="14" t="str">
        <x:v>Victoria Dutton-Hughes</x:v>
      </x:c>
      <x:c r="O545" s="14" t="str">
        <x:v>nm9629569</x:v>
      </x:c>
      <x:c r="P545" s="14" t="str">
        <x:v>Parent</x:v>
      </x:c>
      <x:c r="Q545" s="15" t="n">
        <x:v>1</x:v>
      </x:c>
      <x:c r="R545" s="14" t="str">
        <x:v>2024</x:v>
      </x:c>
      <x:c r="S545" s="14" t="n">
        <x:v>2024</x:v>
      </x:c>
      <x:c r="T545" s="14" t="n">
        <x:v>2024</x:v>
      </x:c>
      <x:c r="U545" s="14" t="str">
        <x:v>Explicit source first year retained</x:v>
      </x:c>
      <x:c r="V545" s="14" t="str">
        <x:v>Earliest supplied year is 2024.</x:v>
      </x:c>
      <x:c r="W545" s="14"/>
      <x:c r="X545" s="14" t="str">
        <x:v>Carried forward to 2024</x:v>
      </x:c>
      <x:c r="Y545" s="14"/>
      <x:c r="Z545" s="14" t="str">
        <x:v>The Responder.docx</x:v>
      </x:c>
      <x:c r="AA54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HYPERLINK("https://en.wikipedia.org/wiki/The_Responder","Open source")</x:f>
        <x:v>HYPERLINK is not implemented. linkLocation=https://en.wikipedia.org/wiki/The_Responder, friendlyName=Open source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10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1</x:v>
      </x:c>
      <x:c r="BS545" s="16" t="n">
        <x:v>0.1</x:v>
      </x:c>
      <x:c r="BT545" s="14" t="str">
        <x:v>One episode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tt11899030|nm3656240|hannah</x:v>
      </x:c>
      <x:c r="B546" s="14" t="str">
        <x:v>06</x:v>
      </x:c>
      <x:c r="C546" s="14" t="str">
        <x:v>2022_IMDb_Cast_Lists_Batch_06(1).xlsx</x:v>
      </x:c>
      <x:c r="D546" s="14" t="str">
        <x:v>The Responder</x:v>
      </x:c>
      <x:c r="E546" s="14" t="n">
        <x:v>113</x:v>
      </x:c>
      <x:c r="F546" s="14" t="str">
        <x:v>The Responder</x:v>
      </x:c>
      <x:c r="G546" s="14" t="str">
        <x:v>tt11899030</x:v>
      </x:c>
      <x:c r="H546" s="14" t="n">
        <x:v>2022</x:v>
      </x:c>
      <x:c r="I546" s="14" t="n">
        <x:v>2023</x:v>
      </x:c>
      <x:c r="J546" s="14" t="str">
        <x:v>Future Carry-Forward Cohort</x:v>
      </x:c>
      <x:c r="K546" s="14" t="n">
        <x:v>2022</x:v>
      </x:c>
      <x:c r="L546" s="14" t="str">
        <x:v>Not inherited</x:v>
      </x:c>
      <x:c r="M546" s="15" t="n">
        <x:v>106</x:v>
      </x:c>
      <x:c r="N546" s="14" t="str">
        <x:v>Louise Lee</x:v>
      </x:c>
      <x:c r="O546" s="14" t="str">
        <x:v>nm3656240</x:v>
      </x:c>
      <x:c r="P546" s="14" t="str">
        <x:v>Hannah</x:v>
      </x:c>
      <x:c r="Q546" s="15" t="n">
        <x:v>1</x:v>
      </x:c>
      <x:c r="R546" s="14" t="str">
        <x:v>2024</x:v>
      </x:c>
      <x:c r="S546" s="14" t="n">
        <x:v>2024</x:v>
      </x:c>
      <x:c r="T546" s="14" t="n">
        <x:v>2024</x:v>
      </x:c>
      <x:c r="U546" s="14" t="str">
        <x:v>Explicit source first year retained</x:v>
      </x:c>
      <x:c r="V546" s="14" t="str">
        <x:v>Earliest supplied year is 2024.</x:v>
      </x:c>
      <x:c r="W546" s="14"/>
      <x:c r="X546" s="14" t="str">
        <x:v>Carried forward to 2024</x:v>
      </x:c>
      <x:c r="Y546" s="14"/>
      <x:c r="Z546" s="14" t="str">
        <x:v>The Responder.docx</x:v>
      </x:c>
      <x:c r="AA54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HYPERLINK("https://en.wikipedia.org/wiki/The_Responder","Open source")</x:f>
        <x:v>HYPERLINK is not implemented. linkLocation=https://en.wikipedia.org/wiki/The_Responder, friendlyName=Open source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10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1</x:v>
      </x:c>
      <x:c r="BS546" s="16" t="n">
        <x:v>0.1</x:v>
      </x:c>
      <x:c r="BT546" s="14" t="str">
        <x:v>One episode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tt11899030|nm2168706|heavy 3</x:v>
      </x:c>
      <x:c r="B547" s="14" t="str">
        <x:v>06</x:v>
      </x:c>
      <x:c r="C547" s="14" t="str">
        <x:v>2022_IMDb_Cast_Lists_Batch_06(1).xlsx</x:v>
      </x:c>
      <x:c r="D547" s="14" t="str">
        <x:v>The Responder</x:v>
      </x:c>
      <x:c r="E547" s="14" t="n">
        <x:v>114</x:v>
      </x:c>
      <x:c r="F547" s="14" t="str">
        <x:v>The Responder</x:v>
      </x:c>
      <x:c r="G547" s="14" t="str">
        <x:v>tt11899030</x:v>
      </x:c>
      <x:c r="H547" s="14" t="n">
        <x:v>2022</x:v>
      </x:c>
      <x:c r="I547" s="14" t="n">
        <x:v>2023</x:v>
      </x:c>
      <x:c r="J547" s="14" t="str">
        <x:v>Future Carry-Forward Cohort</x:v>
      </x:c>
      <x:c r="K547" s="14" t="n">
        <x:v>2022</x:v>
      </x:c>
      <x:c r="L547" s="14" t="str">
        <x:v>Not inherited</x:v>
      </x:c>
      <x:c r="M547" s="15" t="n">
        <x:v>107</x:v>
      </x:c>
      <x:c r="N547" s="14" t="str">
        <x:v>Daniel Boyarsky</x:v>
      </x:c>
      <x:c r="O547" s="14" t="str">
        <x:v>nm2168706</x:v>
      </x:c>
      <x:c r="P547" s="14" t="str">
        <x:v>Heavy 3</x:v>
      </x:c>
      <x:c r="Q547" s="15" t="n">
        <x:v>1</x:v>
      </x:c>
      <x:c r="R547" s="14" t="str">
        <x:v>2024</x:v>
      </x:c>
      <x:c r="S547" s="14" t="n">
        <x:v>2024</x:v>
      </x:c>
      <x:c r="T547" s="14" t="n">
        <x:v>2024</x:v>
      </x:c>
      <x:c r="U547" s="14" t="str">
        <x:v>Explicit source first year retained</x:v>
      </x:c>
      <x:c r="V547" s="14" t="str">
        <x:v>Earliest supplied year is 2024.</x:v>
      </x:c>
      <x:c r="W547" s="14"/>
      <x:c r="X547" s="14" t="str">
        <x:v>Carried forward to 2024</x:v>
      </x:c>
      <x:c r="Y547" s="14"/>
      <x:c r="Z547" s="14" t="str">
        <x:v>The Responder.docx</x:v>
      </x:c>
      <x:c r="AA54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HYPERLINK("https://en.wikipedia.org/wiki/The_Responder","Open source")</x:f>
        <x:v>HYPERLINK is not implemented. linkLocation=https://en.wikipedia.org/wiki/The_Responder, friendlyName=Open source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10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1</x:v>
      </x:c>
      <x:c r="BS547" s="16" t="n">
        <x:v>0.1</x:v>
      </x:c>
      <x:c r="BT547" s="14" t="str">
        <x:v>One episode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tt11899030|nm1555396|joan</x:v>
      </x:c>
      <x:c r="B548" s="14" t="str">
        <x:v>06</x:v>
      </x:c>
      <x:c r="C548" s="14" t="str">
        <x:v>2022_IMDb_Cast_Lists_Batch_06(1).xlsx</x:v>
      </x:c>
      <x:c r="D548" s="14" t="str">
        <x:v>The Responder</x:v>
      </x:c>
      <x:c r="E548" s="14" t="n">
        <x:v>115</x:v>
      </x:c>
      <x:c r="F548" s="14" t="str">
        <x:v>The Responder</x:v>
      </x:c>
      <x:c r="G548" s="14" t="str">
        <x:v>tt11899030</x:v>
      </x:c>
      <x:c r="H548" s="14" t="n">
        <x:v>2022</x:v>
      </x:c>
      <x:c r="I548" s="14" t="n">
        <x:v>2023</x:v>
      </x:c>
      <x:c r="J548" s="14" t="str">
        <x:v>Future Carry-Forward Cohort</x:v>
      </x:c>
      <x:c r="K548" s="14" t="n">
        <x:v>2022</x:v>
      </x:c>
      <x:c r="L548" s="14" t="str">
        <x:v>Not inherited</x:v>
      </x:c>
      <x:c r="M548" s="15" t="n">
        <x:v>108</x:v>
      </x:c>
      <x:c r="N548" s="14" t="str">
        <x:v>Emma Dears</x:v>
      </x:c>
      <x:c r="O548" s="14" t="str">
        <x:v>nm1555396</x:v>
      </x:c>
      <x:c r="P548" s="14" t="str">
        <x:v>Joan</x:v>
      </x:c>
      <x:c r="Q548" s="15" t="n">
        <x:v>1</x:v>
      </x:c>
      <x:c r="R548" s="14" t="str">
        <x:v>2024</x:v>
      </x:c>
      <x:c r="S548" s="14" t="n">
        <x:v>2024</x:v>
      </x:c>
      <x:c r="T548" s="14" t="n">
        <x:v>2024</x:v>
      </x:c>
      <x:c r="U548" s="14" t="str">
        <x:v>Explicit source first year retained</x:v>
      </x:c>
      <x:c r="V548" s="14" t="str">
        <x:v>Earliest supplied year is 2024.</x:v>
      </x:c>
      <x:c r="W548" s="14"/>
      <x:c r="X548" s="14" t="str">
        <x:v>Carried forward to 2024</x:v>
      </x:c>
      <x:c r="Y548" s="14"/>
      <x:c r="Z548" s="14" t="str">
        <x:v>The Responder.docx</x:v>
      </x:c>
      <x:c r="AA54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HYPERLINK("https://en.wikipedia.org/wiki/The_Responder","Open source")</x:f>
        <x:v>HYPERLINK is not implemented. linkLocation=https://en.wikipedia.org/wiki/The_Responder, friendlyName=Open source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10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1</x:v>
      </x:c>
      <x:c r="BS548" s="16" t="n">
        <x:v>0.1</x:v>
      </x:c>
      <x:c r="BT548" s="14" t="str">
        <x:v>One episode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tt11899030|nm16277382|faith</x:v>
      </x:c>
      <x:c r="B549" s="14" t="str">
        <x:v>06</x:v>
      </x:c>
      <x:c r="C549" s="14" t="str">
        <x:v>2022_IMDb_Cast_Lists_Batch_06(1).xlsx</x:v>
      </x:c>
      <x:c r="D549" s="14" t="str">
        <x:v>The Responder</x:v>
      </x:c>
      <x:c r="E549" s="14" t="n">
        <x:v>116</x:v>
      </x:c>
      <x:c r="F549" s="14" t="str">
        <x:v>The Responder</x:v>
      </x:c>
      <x:c r="G549" s="14" t="str">
        <x:v>tt11899030</x:v>
      </x:c>
      <x:c r="H549" s="14" t="n">
        <x:v>2022</x:v>
      </x:c>
      <x:c r="I549" s="14" t="n">
        <x:v>2023</x:v>
      </x:c>
      <x:c r="J549" s="14" t="str">
        <x:v>Future Carry-Forward Cohort</x:v>
      </x:c>
      <x:c r="K549" s="14" t="n">
        <x:v>2022</x:v>
      </x:c>
      <x:c r="L549" s="14" t="str">
        <x:v>Not inherited</x:v>
      </x:c>
      <x:c r="M549" s="15" t="n">
        <x:v>109</x:v>
      </x:c>
      <x:c r="N549" s="14" t="str">
        <x:v>Phoebe Jasmine Hamilton</x:v>
      </x:c>
      <x:c r="O549" s="14" t="str">
        <x:v>nm16277382</x:v>
      </x:c>
      <x:c r="P549" s="14" t="str">
        <x:v>Faith</x:v>
      </x:c>
      <x:c r="Q549" s="15" t="n">
        <x:v>1</x:v>
      </x:c>
      <x:c r="R549" s="14" t="str">
        <x:v>2024</x:v>
      </x:c>
      <x:c r="S549" s="14" t="n">
        <x:v>2024</x:v>
      </x:c>
      <x:c r="T549" s="14" t="n">
        <x:v>2024</x:v>
      </x:c>
      <x:c r="U549" s="14" t="str">
        <x:v>Explicit source first year retained</x:v>
      </x:c>
      <x:c r="V549" s="14" t="str">
        <x:v>Earliest supplied year is 2024.</x:v>
      </x:c>
      <x:c r="W549" s="14"/>
      <x:c r="X549" s="14" t="str">
        <x:v>Carried forward to 2024</x:v>
      </x:c>
      <x:c r="Y549" s="14"/>
      <x:c r="Z549" s="14" t="str">
        <x:v>The Responder.docx</x:v>
      </x:c>
      <x:c r="AA54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HYPERLINK("https://en.wikipedia.org/wiki/The_Responder","Open source")</x:f>
        <x:v>HYPERLINK is not implemented. linkLocation=https://en.wikipedia.org/wiki/The_Responder, friendlyName=Open source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10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1</x:v>
      </x:c>
      <x:c r="BS549" s="16" t="n">
        <x:v>0.1</x:v>
      </x:c>
      <x:c r="BT549" s="14" t="str">
        <x:v>One episode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tt11899030|nm0383617|nanna pam</x:v>
      </x:c>
      <x:c r="B550" s="14" t="str">
        <x:v>06</x:v>
      </x:c>
      <x:c r="C550" s="14" t="str">
        <x:v>2022_IMDb_Cast_Lists_Batch_06(1).xlsx</x:v>
      </x:c>
      <x:c r="D550" s="14" t="str">
        <x:v>The Responder</x:v>
      </x:c>
      <x:c r="E550" s="14" t="n">
        <x:v>117</x:v>
      </x:c>
      <x:c r="F550" s="14" t="str">
        <x:v>The Responder</x:v>
      </x:c>
      <x:c r="G550" s="14" t="str">
        <x:v>tt11899030</x:v>
      </x:c>
      <x:c r="H550" s="14" t="n">
        <x:v>2022</x:v>
      </x:c>
      <x:c r="I550" s="14" t="n">
        <x:v>2023</x:v>
      </x:c>
      <x:c r="J550" s="14" t="str">
        <x:v>Future Carry-Forward Cohort</x:v>
      </x:c>
      <x:c r="K550" s="14" t="n">
        <x:v>2022</x:v>
      </x:c>
      <x:c r="L550" s="14" t="str">
        <x:v>Not inherited</x:v>
      </x:c>
      <x:c r="M550" s="15" t="n">
        <x:v>110</x:v>
      </x:c>
      <x:c r="N550" s="14" t="str">
        <x:v>Polly Highton</x:v>
      </x:c>
      <x:c r="O550" s="14" t="str">
        <x:v>nm0383617</x:v>
      </x:c>
      <x:c r="P550" s="14" t="str">
        <x:v>Nanna Pam</x:v>
      </x:c>
      <x:c r="Q550" s="15" t="n">
        <x:v>1</x:v>
      </x:c>
      <x:c r="R550" s="14" t="str">
        <x:v>2024</x:v>
      </x:c>
      <x:c r="S550" s="14" t="n">
        <x:v>2024</x:v>
      </x:c>
      <x:c r="T550" s="14" t="n">
        <x:v>2024</x:v>
      </x:c>
      <x:c r="U550" s="14" t="str">
        <x:v>Explicit source first year retained</x:v>
      </x:c>
      <x:c r="V550" s="14" t="str">
        <x:v>Earliest supplied year is 2024.</x:v>
      </x:c>
      <x:c r="W550" s="14"/>
      <x:c r="X550" s="14" t="str">
        <x:v>Carried forward to 2024</x:v>
      </x:c>
      <x:c r="Y550" s="14"/>
      <x:c r="Z550" s="14" t="str">
        <x:v>The Responder.docx</x:v>
      </x:c>
      <x:c r="AA55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HYPERLINK("https://en.wikipedia.org/wiki/The_Responder","Open source")</x:f>
        <x:v>HYPERLINK is not implemented. linkLocation=https://en.wikipedia.org/wiki/The_Responder, friendlyName=Open source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10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1</x:v>
      </x:c>
      <x:c r="BS550" s="16" t="n">
        <x:v>0.1</x:v>
      </x:c>
      <x:c r="BT550" s="14" t="str">
        <x:v>One episode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tt11899030|nm1580095|lee</x:v>
      </x:c>
      <x:c r="B551" s="14" t="str">
        <x:v>06</x:v>
      </x:c>
      <x:c r="C551" s="14" t="str">
        <x:v>2022_IMDb_Cast_Lists_Batch_06(1).xlsx</x:v>
      </x:c>
      <x:c r="D551" s="14" t="str">
        <x:v>The Responder</x:v>
      </x:c>
      <x:c r="E551" s="14" t="n">
        <x:v>118</x:v>
      </x:c>
      <x:c r="F551" s="14" t="str">
        <x:v>The Responder</x:v>
      </x:c>
      <x:c r="G551" s="14" t="str">
        <x:v>tt11899030</x:v>
      </x:c>
      <x:c r="H551" s="14" t="n">
        <x:v>2022</x:v>
      </x:c>
      <x:c r="I551" s="14" t="n">
        <x:v>2023</x:v>
      </x:c>
      <x:c r="J551" s="14" t="str">
        <x:v>Future Carry-Forward Cohort</x:v>
      </x:c>
      <x:c r="K551" s="14" t="n">
        <x:v>2022</x:v>
      </x:c>
      <x:c r="L551" s="14" t="str">
        <x:v>Not inherited</x:v>
      </x:c>
      <x:c r="M551" s="15" t="n">
        <x:v>111</x:v>
      </x:c>
      <x:c r="N551" s="14" t="str">
        <x:v>Paislie Reid</x:v>
      </x:c>
      <x:c r="O551" s="14" t="str">
        <x:v>nm1580095</x:v>
      </x:c>
      <x:c r="P551" s="14" t="str">
        <x:v>Lee</x:v>
      </x:c>
      <x:c r="Q551" s="15" t="n">
        <x:v>1</x:v>
      </x:c>
      <x:c r="R551" s="14" t="str">
        <x:v>2024</x:v>
      </x:c>
      <x:c r="S551" s="14" t="n">
        <x:v>2024</x:v>
      </x:c>
      <x:c r="T551" s="14" t="n">
        <x:v>2024</x:v>
      </x:c>
      <x:c r="U551" s="14" t="str">
        <x:v>Explicit source first year retained</x:v>
      </x:c>
      <x:c r="V551" s="14" t="str">
        <x:v>Earliest supplied year is 2024.</x:v>
      </x:c>
      <x:c r="W551" s="14"/>
      <x:c r="X551" s="14" t="str">
        <x:v>Carried forward to 2024</x:v>
      </x:c>
      <x:c r="Y551" s="14"/>
      <x:c r="Z551" s="14" t="str">
        <x:v>The Responder.docx</x:v>
      </x:c>
      <x:c r="AA55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HYPERLINK("https://en.wikipedia.org/wiki/The_Responder","Open source")</x:f>
        <x:v>HYPERLINK is not implemented. linkLocation=https://en.wikipedia.org/wiki/The_Responder, friendlyName=Open source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10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1</x:v>
      </x:c>
      <x:c r="BS551" s="16" t="n">
        <x:v>0.1</x:v>
      </x:c>
      <x:c r="BT551" s="14" t="str">
        <x:v>One episode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tt11899030|nm14397965|eddie</x:v>
      </x:c>
      <x:c r="B552" s="14" t="str">
        <x:v>06</x:v>
      </x:c>
      <x:c r="C552" s="14" t="str">
        <x:v>2022_IMDb_Cast_Lists_Batch_06(1).xlsx</x:v>
      </x:c>
      <x:c r="D552" s="14" t="str">
        <x:v>The Responder</x:v>
      </x:c>
      <x:c r="E552" s="14" t="n">
        <x:v>119</x:v>
      </x:c>
      <x:c r="F552" s="14" t="str">
        <x:v>The Responder</x:v>
      </x:c>
      <x:c r="G552" s="14" t="str">
        <x:v>tt11899030</x:v>
      </x:c>
      <x:c r="H552" s="14" t="n">
        <x:v>2022</x:v>
      </x:c>
      <x:c r="I552" s="14" t="n">
        <x:v>2023</x:v>
      </x:c>
      <x:c r="J552" s="14" t="str">
        <x:v>Future Carry-Forward Cohort</x:v>
      </x:c>
      <x:c r="K552" s="14" t="n">
        <x:v>2022</x:v>
      </x:c>
      <x:c r="L552" s="14" t="str">
        <x:v>Not inherited</x:v>
      </x:c>
      <x:c r="M552" s="15" t="n">
        <x:v>112</x:v>
      </x:c>
      <x:c r="N552" s="14" t="str">
        <x:v>Bill Caple</x:v>
      </x:c>
      <x:c r="O552" s="14" t="str">
        <x:v>nm14397965</x:v>
      </x:c>
      <x:c r="P552" s="14" t="str">
        <x:v>Eddie</x:v>
      </x:c>
      <x:c r="Q552" s="15" t="n">
        <x:v>1</x:v>
      </x:c>
      <x:c r="R552" s="14" t="str">
        <x:v>2024</x:v>
      </x:c>
      <x:c r="S552" s="14" t="n">
        <x:v>2024</x:v>
      </x:c>
      <x:c r="T552" s="14" t="n">
        <x:v>2024</x:v>
      </x:c>
      <x:c r="U552" s="14" t="str">
        <x:v>Explicit source first year retained</x:v>
      </x:c>
      <x:c r="V552" s="14" t="str">
        <x:v>Earliest supplied year is 2024.</x:v>
      </x:c>
      <x:c r="W552" s="14"/>
      <x:c r="X552" s="14" t="str">
        <x:v>Carried forward to 2024</x:v>
      </x:c>
      <x:c r="Y552" s="14"/>
      <x:c r="Z552" s="14" t="str">
        <x:v>The Responder.docx</x:v>
      </x:c>
      <x:c r="AA55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HYPERLINK("https://en.wikipedia.org/wiki/The_Responder","Open source")</x:f>
        <x:v>HYPERLINK is not implemented. linkLocation=https://en.wikipedia.org/wiki/The_Responder, friendlyName=Open source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10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1</x:v>
      </x:c>
      <x:c r="BS552" s="16" t="n">
        <x:v>0.1</x:v>
      </x:c>
      <x:c r="BT552" s="14" t="str">
        <x:v>One episode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tt11899030|nm0779488|price</x:v>
      </x:c>
      <x:c r="B553" s="14" t="str">
        <x:v>06</x:v>
      </x:c>
      <x:c r="C553" s="14" t="str">
        <x:v>2022_IMDb_Cast_Lists_Batch_06(1).xlsx</x:v>
      </x:c>
      <x:c r="D553" s="14" t="str">
        <x:v>The Responder</x:v>
      </x:c>
      <x:c r="E553" s="14" t="n">
        <x:v>120</x:v>
      </x:c>
      <x:c r="F553" s="14" t="str">
        <x:v>The Responder</x:v>
      </x:c>
      <x:c r="G553" s="14" t="str">
        <x:v>tt11899030</x:v>
      </x:c>
      <x:c r="H553" s="14" t="n">
        <x:v>2022</x:v>
      </x:c>
      <x:c r="I553" s="14" t="n">
        <x:v>2023</x:v>
      </x:c>
      <x:c r="J553" s="14" t="str">
        <x:v>Future Carry-Forward Cohort</x:v>
      </x:c>
      <x:c r="K553" s="14" t="n">
        <x:v>2022</x:v>
      </x:c>
      <x:c r="L553" s="14" t="str">
        <x:v>Not inherited</x:v>
      </x:c>
      <x:c r="M553" s="15" t="n">
        <x:v>113</x:v>
      </x:c>
      <x:c r="N553" s="14" t="str">
        <x:v>Liam Scott</x:v>
      </x:c>
      <x:c r="O553" s="14" t="str">
        <x:v>nm0779488</x:v>
      </x:c>
      <x:c r="P553" s="14" t="str">
        <x:v>Price</x:v>
      </x:c>
      <x:c r="Q553" s="15" t="n">
        <x:v>1</x:v>
      </x:c>
      <x:c r="R553" s="14" t="str">
        <x:v>2024</x:v>
      </x:c>
      <x:c r="S553" s="14" t="n">
        <x:v>2024</x:v>
      </x:c>
      <x:c r="T553" s="14" t="n">
        <x:v>2024</x:v>
      </x:c>
      <x:c r="U553" s="14" t="str">
        <x:v>Explicit source first year retained</x:v>
      </x:c>
      <x:c r="V553" s="14" t="str">
        <x:v>Earliest supplied year is 2024.</x:v>
      </x:c>
      <x:c r="W553" s="14"/>
      <x:c r="X553" s="14" t="str">
        <x:v>Carried forward to 2024</x:v>
      </x:c>
      <x:c r="Y553" s="14"/>
      <x:c r="Z553" s="14" t="str">
        <x:v>The Responder.docx</x:v>
      </x:c>
      <x:c r="AA55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HYPERLINK("https://en.wikipedia.org/wiki/The_Responder","Open source")</x:f>
        <x:v>HYPERLINK is not implemented. linkLocation=https://en.wikipedia.org/wiki/The_Responder, friendlyName=Open source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10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1</x:v>
      </x:c>
      <x:c r="BS553" s="16" t="n">
        <x:v>0.1</x:v>
      </x:c>
      <x:c r="BT553" s="14" t="str">
        <x:v>One episode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tt11899030|nm14052400|jimmy</x:v>
      </x:c>
      <x:c r="B554" s="14" t="str">
        <x:v>06</x:v>
      </x:c>
      <x:c r="C554" s="14" t="str">
        <x:v>2022_IMDb_Cast_Lists_Batch_06(1).xlsx</x:v>
      </x:c>
      <x:c r="D554" s="14" t="str">
        <x:v>The Responder</x:v>
      </x:c>
      <x:c r="E554" s="14" t="n">
        <x:v>121</x:v>
      </x:c>
      <x:c r="F554" s="14" t="str">
        <x:v>The Responder</x:v>
      </x:c>
      <x:c r="G554" s="14" t="str">
        <x:v>tt11899030</x:v>
      </x:c>
      <x:c r="H554" s="14" t="n">
        <x:v>2022</x:v>
      </x:c>
      <x:c r="I554" s="14" t="n">
        <x:v>2023</x:v>
      </x:c>
      <x:c r="J554" s="14" t="str">
        <x:v>Future Carry-Forward Cohort</x:v>
      </x:c>
      <x:c r="K554" s="14" t="n">
        <x:v>2022</x:v>
      </x:c>
      <x:c r="L554" s="14" t="str">
        <x:v>Not inherited</x:v>
      </x:c>
      <x:c r="M554" s="15" t="n">
        <x:v>114</x:v>
      </x:c>
      <x:c r="N554" s="14" t="str">
        <x:v>Philip Joslyn</x:v>
      </x:c>
      <x:c r="O554" s="14" t="str">
        <x:v>nm14052400</x:v>
      </x:c>
      <x:c r="P554" s="14" t="str">
        <x:v>Jimmy</x:v>
      </x:c>
      <x:c r="Q554" s="15" t="n">
        <x:v>1</x:v>
      </x:c>
      <x:c r="R554" s="14" t="str">
        <x:v>2024</x:v>
      </x:c>
      <x:c r="S554" s="14" t="n">
        <x:v>2024</x:v>
      </x:c>
      <x:c r="T554" s="14" t="n">
        <x:v>2024</x:v>
      </x:c>
      <x:c r="U554" s="14" t="str">
        <x:v>Explicit source first year retained</x:v>
      </x:c>
      <x:c r="V554" s="14" t="str">
        <x:v>Earliest supplied year is 2024.</x:v>
      </x:c>
      <x:c r="W554" s="14"/>
      <x:c r="X554" s="14" t="str">
        <x:v>Carried forward to 2024</x:v>
      </x:c>
      <x:c r="Y554" s="14"/>
      <x:c r="Z554" s="14" t="str">
        <x:v>The Responder.docx</x:v>
      </x:c>
      <x:c r="AA55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HYPERLINK("https://en.wikipedia.org/wiki/The_Responder","Open source")</x:f>
        <x:v>HYPERLINK is not implemented. linkLocation=https://en.wikipedia.org/wiki/The_Responder, friendlyName=Open source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10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1</x:v>
      </x:c>
      <x:c r="BS554" s="16" t="n">
        <x:v>0.1</x:v>
      </x:c>
      <x:c r="BT554" s="14" t="str">
        <x:v>One episode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tt11899030|nm1528283|lisa</x:v>
      </x:c>
      <x:c r="B555" s="14" t="str">
        <x:v>06</x:v>
      </x:c>
      <x:c r="C555" s="14" t="str">
        <x:v>2022_IMDb_Cast_Lists_Batch_06(1).xlsx</x:v>
      </x:c>
      <x:c r="D555" s="14" t="str">
        <x:v>The Responder</x:v>
      </x:c>
      <x:c r="E555" s="14" t="n">
        <x:v>122</x:v>
      </x:c>
      <x:c r="F555" s="14" t="str">
        <x:v>The Responder</x:v>
      </x:c>
      <x:c r="G555" s="14" t="str">
        <x:v>tt11899030</x:v>
      </x:c>
      <x:c r="H555" s="14" t="n">
        <x:v>2022</x:v>
      </x:c>
      <x:c r="I555" s="14" t="n">
        <x:v>2023</x:v>
      </x:c>
      <x:c r="J555" s="14" t="str">
        <x:v>Future Carry-Forward Cohort</x:v>
      </x:c>
      <x:c r="K555" s="14" t="n">
        <x:v>2022</x:v>
      </x:c>
      <x:c r="L555" s="14" t="str">
        <x:v>Not inherited</x:v>
      </x:c>
      <x:c r="M555" s="15" t="n">
        <x:v>115</x:v>
      </x:c>
      <x:c r="N555" s="14" t="str">
        <x:v>Christine Parle</x:v>
      </x:c>
      <x:c r="O555" s="14" t="str">
        <x:v>nm1528283</x:v>
      </x:c>
      <x:c r="P555" s="14" t="str">
        <x:v>Lisa</x:v>
      </x:c>
      <x:c r="Q555" s="15" t="n">
        <x:v>1</x:v>
      </x:c>
      <x:c r="R555" s="14" t="str">
        <x:v>2024</x:v>
      </x:c>
      <x:c r="S555" s="14" t="n">
        <x:v>2024</x:v>
      </x:c>
      <x:c r="T555" s="14" t="n">
        <x:v>2024</x:v>
      </x:c>
      <x:c r="U555" s="14" t="str">
        <x:v>Explicit source first year retained</x:v>
      </x:c>
      <x:c r="V555" s="14" t="str">
        <x:v>Earliest supplied year is 2024.</x:v>
      </x:c>
      <x:c r="W555" s="14"/>
      <x:c r="X555" s="14" t="str">
        <x:v>Carried forward to 2024</x:v>
      </x:c>
      <x:c r="Y555" s="14"/>
      <x:c r="Z555" s="14" t="str">
        <x:v>The Responder.docx</x:v>
      </x:c>
      <x:c r="AA55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HYPERLINK("https://en.wikipedia.org/wiki/The_Responder","Open source")</x:f>
        <x:v>HYPERLINK is not implemented. linkLocation=https://en.wikipedia.org/wiki/The_Responder, friendlyName=Open source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10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1</x:v>
      </x:c>
      <x:c r="BS555" s="16" t="n">
        <x:v>0.1</x:v>
      </x:c>
      <x:c r="BT555" s="14" t="str">
        <x:v>One episode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tt11899030|nm8559754|witness</x:v>
      </x:c>
      <x:c r="B556" s="14" t="str">
        <x:v>06</x:v>
      </x:c>
      <x:c r="C556" s="14" t="str">
        <x:v>2022_IMDb_Cast_Lists_Batch_06(1).xlsx</x:v>
      </x:c>
      <x:c r="D556" s="14" t="str">
        <x:v>The Responder</x:v>
      </x:c>
      <x:c r="E556" s="14" t="n">
        <x:v>123</x:v>
      </x:c>
      <x:c r="F556" s="14" t="str">
        <x:v>The Responder</x:v>
      </x:c>
      <x:c r="G556" s="14" t="str">
        <x:v>tt11899030</x:v>
      </x:c>
      <x:c r="H556" s="14" t="n">
        <x:v>2022</x:v>
      </x:c>
      <x:c r="I556" s="14" t="n">
        <x:v>2023</x:v>
      </x:c>
      <x:c r="J556" s="14" t="str">
        <x:v>Future Carry-Forward Cohort</x:v>
      </x:c>
      <x:c r="K556" s="14" t="n">
        <x:v>2022</x:v>
      </x:c>
      <x:c r="L556" s="14" t="str">
        <x:v>Not inherited</x:v>
      </x:c>
      <x:c r="M556" s="15" t="n">
        <x:v>116</x:v>
      </x:c>
      <x:c r="N556" s="14" t="str">
        <x:v>Darneil Owens</x:v>
      </x:c>
      <x:c r="O556" s="14" t="str">
        <x:v>nm8559754</x:v>
      </x:c>
      <x:c r="P556" s="14" t="str">
        <x:v>Witness</x:v>
      </x:c>
      <x:c r="Q556" s="15" t="n">
        <x:v>1</x:v>
      </x:c>
      <x:c r="R556" s="14" t="str">
        <x:v>2024</x:v>
      </x:c>
      <x:c r="S556" s="14" t="n">
        <x:v>2024</x:v>
      </x:c>
      <x:c r="T556" s="14" t="n">
        <x:v>2024</x:v>
      </x:c>
      <x:c r="U556" s="14" t="str">
        <x:v>Explicit source first year retained</x:v>
      </x:c>
      <x:c r="V556" s="14" t="str">
        <x:v>Earliest supplied year is 2024.</x:v>
      </x:c>
      <x:c r="W556" s="14"/>
      <x:c r="X556" s="14" t="str">
        <x:v>Carried forward to 2024</x:v>
      </x:c>
      <x:c r="Y556" s="14"/>
      <x:c r="Z556" s="14" t="str">
        <x:v>The Responder.docx</x:v>
      </x:c>
      <x:c r="AA55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HYPERLINK("https://en.wikipedia.org/wiki/The_Responder","Open source")</x:f>
        <x:v>HYPERLINK is not implemented. linkLocation=https://en.wikipedia.org/wiki/The_Responder, friendlyName=Open source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10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1</x:v>
      </x:c>
      <x:c r="BS556" s="16" t="n">
        <x:v>0.1</x:v>
      </x:c>
      <x:c r="BT556" s="14" t="str">
        <x:v>One episode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tt11899030|nm1622698|dave</x:v>
      </x:c>
      <x:c r="B557" s="14" t="str">
        <x:v>06</x:v>
      </x:c>
      <x:c r="C557" s="14" t="str">
        <x:v>2022_IMDb_Cast_Lists_Batch_06(1).xlsx</x:v>
      </x:c>
      <x:c r="D557" s="14" t="str">
        <x:v>The Responder</x:v>
      </x:c>
      <x:c r="E557" s="14" t="n">
        <x:v>124</x:v>
      </x:c>
      <x:c r="F557" s="14" t="str">
        <x:v>The Responder</x:v>
      </x:c>
      <x:c r="G557" s="14" t="str">
        <x:v>tt11899030</x:v>
      </x:c>
      <x:c r="H557" s="14" t="n">
        <x:v>2022</x:v>
      </x:c>
      <x:c r="I557" s="14" t="n">
        <x:v>2023</x:v>
      </x:c>
      <x:c r="J557" s="14" t="str">
        <x:v>Future Carry-Forward Cohort</x:v>
      </x:c>
      <x:c r="K557" s="14" t="n">
        <x:v>2022</x:v>
      </x:c>
      <x:c r="L557" s="14" t="str">
        <x:v>Not inherited</x:v>
      </x:c>
      <x:c r="M557" s="15" t="n">
        <x:v>117</x:v>
      </x:c>
      <x:c r="N557" s="14" t="str">
        <x:v>Sean Kingsley</x:v>
      </x:c>
      <x:c r="O557" s="14" t="str">
        <x:v>nm1622698</x:v>
      </x:c>
      <x:c r="P557" s="14" t="str">
        <x:v>Dave</x:v>
      </x:c>
      <x:c r="Q557" s="15" t="n">
        <x:v>1</x:v>
      </x:c>
      <x:c r="R557" s="14" t="str">
        <x:v>2024</x:v>
      </x:c>
      <x:c r="S557" s="14" t="n">
        <x:v>2024</x:v>
      </x:c>
      <x:c r="T557" s="14" t="n">
        <x:v>2024</x:v>
      </x:c>
      <x:c r="U557" s="14" t="str">
        <x:v>Explicit source first year retained</x:v>
      </x:c>
      <x:c r="V557" s="14" t="str">
        <x:v>Earliest supplied year is 2024.</x:v>
      </x:c>
      <x:c r="W557" s="14"/>
      <x:c r="X557" s="14" t="str">
        <x:v>Carried forward to 2024</x:v>
      </x:c>
      <x:c r="Y557" s="14"/>
      <x:c r="Z557" s="14" t="str">
        <x:v>The Responder.docx</x:v>
      </x:c>
      <x:c r="AA55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HYPERLINK("https://en.wikipedia.org/wiki/The_Responder","Open source")</x:f>
        <x:v>HYPERLINK is not implemented. linkLocation=https://en.wikipedia.org/wiki/The_Responder, friendlyName=Open source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10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1</x:v>
      </x:c>
      <x:c r="BS557" s="16" t="n">
        <x:v>0.1</x:v>
      </x:c>
      <x:c r="BT557" s="14" t="str">
        <x:v>One episode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tt11899030|nm2531332|jane</x:v>
      </x:c>
      <x:c r="B558" s="14" t="str">
        <x:v>06</x:v>
      </x:c>
      <x:c r="C558" s="14" t="str">
        <x:v>2022_IMDb_Cast_Lists_Batch_06(1).xlsx</x:v>
      </x:c>
      <x:c r="D558" s="14" t="str">
        <x:v>The Responder</x:v>
      </x:c>
      <x:c r="E558" s="14" t="n">
        <x:v>125</x:v>
      </x:c>
      <x:c r="F558" s="14" t="str">
        <x:v>The Responder</x:v>
      </x:c>
      <x:c r="G558" s="14" t="str">
        <x:v>tt11899030</x:v>
      </x:c>
      <x:c r="H558" s="14" t="n">
        <x:v>2022</x:v>
      </x:c>
      <x:c r="I558" s="14" t="n">
        <x:v>2023</x:v>
      </x:c>
      <x:c r="J558" s="14" t="str">
        <x:v>Future Carry-Forward Cohort</x:v>
      </x:c>
      <x:c r="K558" s="14" t="n">
        <x:v>2022</x:v>
      </x:c>
      <x:c r="L558" s="14" t="str">
        <x:v>Not inherited</x:v>
      </x:c>
      <x:c r="M558" s="15" t="n">
        <x:v>118</x:v>
      </x:c>
      <x:c r="N558" s="14" t="str">
        <x:v>Menyee Lai</x:v>
      </x:c>
      <x:c r="O558" s="14" t="str">
        <x:v>nm2531332</x:v>
      </x:c>
      <x:c r="P558" s="14" t="str">
        <x:v>Jane</x:v>
      </x:c>
      <x:c r="Q558" s="15" t="n">
        <x:v>1</x:v>
      </x:c>
      <x:c r="R558" s="14" t="str">
        <x:v>2024</x:v>
      </x:c>
      <x:c r="S558" s="14" t="n">
        <x:v>2024</x:v>
      </x:c>
      <x:c r="T558" s="14" t="n">
        <x:v>2024</x:v>
      </x:c>
      <x:c r="U558" s="14" t="str">
        <x:v>Explicit source first year retained</x:v>
      </x:c>
      <x:c r="V558" s="14" t="str">
        <x:v>Earliest supplied year is 2024.</x:v>
      </x:c>
      <x:c r="W558" s="14"/>
      <x:c r="X558" s="14" t="str">
        <x:v>Carried forward to 2024</x:v>
      </x:c>
      <x:c r="Y558" s="14"/>
      <x:c r="Z558" s="14" t="str">
        <x:v>The Responder.docx</x:v>
      </x:c>
      <x:c r="AA55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HYPERLINK("https://en.wikipedia.org/wiki/The_Responder","Open source")</x:f>
        <x:v>HYPERLINK is not implemented. linkLocation=https://en.wikipedia.org/wiki/The_Responder, friendlyName=Open source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10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0.1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tt11899030|nm0866845|operator one</x:v>
      </x:c>
      <x:c r="B559" s="14" t="str">
        <x:v>06</x:v>
      </x:c>
      <x:c r="C559" s="14" t="str">
        <x:v>2022_IMDb_Cast_Lists_Batch_06(1).xlsx</x:v>
      </x:c>
      <x:c r="D559" s="14" t="str">
        <x:v>The Responder</x:v>
      </x:c>
      <x:c r="E559" s="14" t="n">
        <x:v>126</x:v>
      </x:c>
      <x:c r="F559" s="14" t="str">
        <x:v>The Responder</x:v>
      </x:c>
      <x:c r="G559" s="14" t="str">
        <x:v>tt11899030</x:v>
      </x:c>
      <x:c r="H559" s="14" t="n">
        <x:v>2022</x:v>
      </x:c>
      <x:c r="I559" s="14" t="n">
        <x:v>2023</x:v>
      </x:c>
      <x:c r="J559" s="14" t="str">
        <x:v>Future Carry-Forward Cohort</x:v>
      </x:c>
      <x:c r="K559" s="14" t="n">
        <x:v>2022</x:v>
      </x:c>
      <x:c r="L559" s="14" t="str">
        <x:v>Not inherited</x:v>
      </x:c>
      <x:c r="M559" s="15" t="n">
        <x:v>119</x:v>
      </x:c>
      <x:c r="N559" s="14" t="str">
        <x:v>Heather Tomlinson</x:v>
      </x:c>
      <x:c r="O559" s="14" t="str">
        <x:v>nm0866845</x:v>
      </x:c>
      <x:c r="P559" s="14" t="str">
        <x:v>Operator One</x:v>
      </x:c>
      <x:c r="Q559" s="15" t="n">
        <x:v>1</x:v>
      </x:c>
      <x:c r="R559" s="14" t="str">
        <x:v>2024</x:v>
      </x:c>
      <x:c r="S559" s="14" t="n">
        <x:v>2024</x:v>
      </x:c>
      <x:c r="T559" s="14" t="n">
        <x:v>2024</x:v>
      </x:c>
      <x:c r="U559" s="14" t="str">
        <x:v>Explicit source first year retained</x:v>
      </x:c>
      <x:c r="V559" s="14" t="str">
        <x:v>Earliest supplied year is 2024.</x:v>
      </x:c>
      <x:c r="W559" s="14"/>
      <x:c r="X559" s="14" t="str">
        <x:v>Carried forward to 2024</x:v>
      </x:c>
      <x:c r="Y559" s="14"/>
      <x:c r="Z559" s="14" t="str">
        <x:v>The Responder.docx</x:v>
      </x:c>
      <x:c r="AA55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HYPERLINK("https://en.wikipedia.org/wiki/The_Responder","Open source")</x:f>
        <x:v>HYPERLINK is not implemented. linkLocation=https://en.wikipedia.org/wiki/The_Responder, friendlyName=Open source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10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1</x:v>
      </x:c>
      <x:c r="BS559" s="16" t="n">
        <x:v>0.1</x:v>
      </x:c>
      <x:c r="BT559" s="14" t="str">
        <x:v>One episode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tt11899030|nm12521456|police station scally</x:v>
      </x:c>
      <x:c r="B560" s="14" t="str">
        <x:v>06</x:v>
      </x:c>
      <x:c r="C560" s="14" t="str">
        <x:v>2022_IMDb_Cast_Lists_Batch_06(1).xlsx</x:v>
      </x:c>
      <x:c r="D560" s="14" t="str">
        <x:v>The Responder</x:v>
      </x:c>
      <x:c r="E560" s="14" t="n">
        <x:v>127</x:v>
      </x:c>
      <x:c r="F560" s="14" t="str">
        <x:v>The Responder</x:v>
      </x:c>
      <x:c r="G560" s="14" t="str">
        <x:v>tt11899030</x:v>
      </x:c>
      <x:c r="H560" s="14" t="n">
        <x:v>2022</x:v>
      </x:c>
      <x:c r="I560" s="14" t="n">
        <x:v>2023</x:v>
      </x:c>
      <x:c r="J560" s="14" t="str">
        <x:v>Future Carry-Forward Cohort</x:v>
      </x:c>
      <x:c r="K560" s="14" t="n">
        <x:v>2022</x:v>
      </x:c>
      <x:c r="L560" s="14" t="str">
        <x:v>Not inherited</x:v>
      </x:c>
      <x:c r="M560" s="15" t="n">
        <x:v>120</x:v>
      </x:c>
      <x:c r="N560" s="14" t="str">
        <x:v>Michael Dolan</x:v>
      </x:c>
      <x:c r="O560" s="14" t="str">
        <x:v>nm12521456</x:v>
      </x:c>
      <x:c r="P560" s="14" t="str">
        <x:v>Police station Scally</x:v>
      </x:c>
      <x:c r="Q560" s="15" t="n">
        <x:v>1</x:v>
      </x:c>
      <x:c r="R560" s="14" t="str">
        <x:v>2024</x:v>
      </x:c>
      <x:c r="S560" s="14" t="n">
        <x:v>2024</x:v>
      </x:c>
      <x:c r="T560" s="14" t="n">
        <x:v>2024</x:v>
      </x:c>
      <x:c r="U560" s="14" t="str">
        <x:v>Explicit source first year retained</x:v>
      </x:c>
      <x:c r="V560" s="14" t="str">
        <x:v>Earliest supplied year is 2024.</x:v>
      </x:c>
      <x:c r="W560" s="14"/>
      <x:c r="X560" s="14" t="str">
        <x:v>Carried forward to 2024</x:v>
      </x:c>
      <x:c r="Y560" s="14"/>
      <x:c r="Z560" s="14" t="str">
        <x:v>The Responder.docx</x:v>
      </x:c>
      <x:c r="AA56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HYPERLINK("https://en.wikipedia.org/wiki/The_Responder","Open source")</x:f>
        <x:v>HYPERLINK is not implemented. linkLocation=https://en.wikipedia.org/wiki/The_Responder, friendlyName=Open source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10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1</x:v>
      </x:c>
      <x:c r="BS560" s="16" t="n">
        <x:v>0.1</x:v>
      </x:c>
      <x:c r="BT560" s="14" t="str">
        <x:v>One episode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tt11899030|nm1873289|op 2</x:v>
      </x:c>
      <x:c r="B561" s="14" t="str">
        <x:v>06</x:v>
      </x:c>
      <x:c r="C561" s="14" t="str">
        <x:v>2022_IMDb_Cast_Lists_Batch_06(1).xlsx</x:v>
      </x:c>
      <x:c r="D561" s="14" t="str">
        <x:v>The Responder</x:v>
      </x:c>
      <x:c r="E561" s="14" t="n">
        <x:v>128</x:v>
      </x:c>
      <x:c r="F561" s="14" t="str">
        <x:v>The Responder</x:v>
      </x:c>
      <x:c r="G561" s="14" t="str">
        <x:v>tt11899030</x:v>
      </x:c>
      <x:c r="H561" s="14" t="n">
        <x:v>2022</x:v>
      </x:c>
      <x:c r="I561" s="14" t="n">
        <x:v>2023</x:v>
      </x:c>
      <x:c r="J561" s="14" t="str">
        <x:v>Future Carry-Forward Cohort</x:v>
      </x:c>
      <x:c r="K561" s="14" t="n">
        <x:v>2022</x:v>
      </x:c>
      <x:c r="L561" s="14" t="str">
        <x:v>Not inherited</x:v>
      </x:c>
      <x:c r="M561" s="15" t="n">
        <x:v>121</x:v>
      </x:c>
      <x:c r="N561" s="14" t="str">
        <x:v>Kevin Davids</x:v>
      </x:c>
      <x:c r="O561" s="14" t="str">
        <x:v>nm1873289</x:v>
      </x:c>
      <x:c r="P561" s="14" t="str">
        <x:v>OP 2</x:v>
      </x:c>
      <x:c r="Q561" s="15" t="n">
        <x:v>1</x:v>
      </x:c>
      <x:c r="R561" s="14" t="str">
        <x:v>2024</x:v>
      </x:c>
      <x:c r="S561" s="14" t="n">
        <x:v>2024</x:v>
      </x:c>
      <x:c r="T561" s="14" t="n">
        <x:v>2024</x:v>
      </x:c>
      <x:c r="U561" s="14" t="str">
        <x:v>Explicit source first year retained</x:v>
      </x:c>
      <x:c r="V561" s="14" t="str">
        <x:v>Earliest supplied year is 2024.</x:v>
      </x:c>
      <x:c r="W561" s="14"/>
      <x:c r="X561" s="14" t="str">
        <x:v>Carried forward to 2024</x:v>
      </x:c>
      <x:c r="Y561" s="14"/>
      <x:c r="Z561" s="14" t="str">
        <x:v>The Responder.docx</x:v>
      </x:c>
      <x:c r="AA56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HYPERLINK("https://en.wikipedia.org/wiki/The_Responder","Open source")</x:f>
        <x:v>HYPERLINK is not implemented. linkLocation=https://en.wikipedia.org/wiki/The_Responder, friendlyName=Open source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10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1</x:v>
      </x:c>
      <x:c r="BS561" s="16" t="n">
        <x:v>0.1</x:v>
      </x:c>
      <x:c r="BT561" s="14" t="str">
        <x:v>One episode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tt11899030|nm9051944|communion parent</x:v>
      </x:c>
      <x:c r="B562" s="14" t="str">
        <x:v>06</x:v>
      </x:c>
      <x:c r="C562" s="14" t="str">
        <x:v>2022_IMDb_Cast_Lists_Batch_06(1).xlsx</x:v>
      </x:c>
      <x:c r="D562" s="14" t="str">
        <x:v>The Responder</x:v>
      </x:c>
      <x:c r="E562" s="14" t="n">
        <x:v>129</x:v>
      </x:c>
      <x:c r="F562" s="14" t="str">
        <x:v>The Responder</x:v>
      </x:c>
      <x:c r="G562" s="14" t="str">
        <x:v>tt11899030</x:v>
      </x:c>
      <x:c r="H562" s="14" t="n">
        <x:v>2022</x:v>
      </x:c>
      <x:c r="I562" s="14" t="n">
        <x:v>2023</x:v>
      </x:c>
      <x:c r="J562" s="14" t="str">
        <x:v>Future Carry-Forward Cohort</x:v>
      </x:c>
      <x:c r="K562" s="14" t="n">
        <x:v>2022</x:v>
      </x:c>
      <x:c r="L562" s="14" t="str">
        <x:v>Not inherited</x:v>
      </x:c>
      <x:c r="M562" s="15" t="n">
        <x:v>122</x:v>
      </x:c>
      <x:c r="N562" s="14" t="str">
        <x:v>George Gjiggy Francis</x:v>
      </x:c>
      <x:c r="O562" s="14" t="str">
        <x:v>nm9051944</x:v>
      </x:c>
      <x:c r="P562" s="14" t="str">
        <x:v>Communion Parent</x:v>
      </x:c>
      <x:c r="Q562" s="15" t="n">
        <x:v>1</x:v>
      </x:c>
      <x:c r="R562" s="14" t="str">
        <x:v>2024</x:v>
      </x:c>
      <x:c r="S562" s="14" t="n">
        <x:v>2024</x:v>
      </x:c>
      <x:c r="T562" s="14" t="n">
        <x:v>2024</x:v>
      </x:c>
      <x:c r="U562" s="14" t="str">
        <x:v>Explicit source first year retained</x:v>
      </x:c>
      <x:c r="V562" s="14" t="str">
        <x:v>Earliest supplied year is 2024.</x:v>
      </x:c>
      <x:c r="W562" s="14"/>
      <x:c r="X562" s="14" t="str">
        <x:v>Carried forward to 2024</x:v>
      </x:c>
      <x:c r="Y562" s="14"/>
      <x:c r="Z562" s="14" t="str">
        <x:v>The Responder.docx</x:v>
      </x:c>
      <x:c r="AA56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HYPERLINK("https://en.wikipedia.org/wiki/The_Responder","Open source")</x:f>
        <x:v>HYPERLINK is not implemented. linkLocation=https://en.wikipedia.org/wiki/The_Responder, friendlyName=Open source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10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0.1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tt11899030|nm16277321|kid</x:v>
      </x:c>
      <x:c r="B563" s="14" t="str">
        <x:v>06</x:v>
      </x:c>
      <x:c r="C563" s="14" t="str">
        <x:v>2022_IMDb_Cast_Lists_Batch_06(1).xlsx</x:v>
      </x:c>
      <x:c r="D563" s="14" t="str">
        <x:v>The Responder</x:v>
      </x:c>
      <x:c r="E563" s="14" t="n">
        <x:v>130</x:v>
      </x:c>
      <x:c r="F563" s="14" t="str">
        <x:v>The Responder</x:v>
      </x:c>
      <x:c r="G563" s="14" t="str">
        <x:v>tt11899030</x:v>
      </x:c>
      <x:c r="H563" s="14" t="n">
        <x:v>2022</x:v>
      </x:c>
      <x:c r="I563" s="14" t="n">
        <x:v>2023</x:v>
      </x:c>
      <x:c r="J563" s="14" t="str">
        <x:v>Future Carry-Forward Cohort</x:v>
      </x:c>
      <x:c r="K563" s="14" t="n">
        <x:v>2022</x:v>
      </x:c>
      <x:c r="L563" s="14" t="str">
        <x:v>Not inherited</x:v>
      </x:c>
      <x:c r="M563" s="15" t="n">
        <x:v>123</x:v>
      </x:c>
      <x:c r="N563" s="14" t="str">
        <x:v>Harlow Felton</x:v>
      </x:c>
      <x:c r="O563" s="14" t="str">
        <x:v>nm16277321</x:v>
      </x:c>
      <x:c r="P563" s="14" t="str">
        <x:v>Kid</x:v>
      </x:c>
      <x:c r="Q563" s="15" t="n">
        <x:v>1</x:v>
      </x:c>
      <x:c r="R563" s="14" t="str">
        <x:v>2024</x:v>
      </x:c>
      <x:c r="S563" s="14" t="n">
        <x:v>2024</x:v>
      </x:c>
      <x:c r="T563" s="14" t="n">
        <x:v>2024</x:v>
      </x:c>
      <x:c r="U563" s="14" t="str">
        <x:v>Explicit source first year retained</x:v>
      </x:c>
      <x:c r="V563" s="14" t="str">
        <x:v>Earliest supplied year is 2024.</x:v>
      </x:c>
      <x:c r="W563" s="14"/>
      <x:c r="X563" s="14" t="str">
        <x:v>Carried forward to 2024</x:v>
      </x:c>
      <x:c r="Y563" s="14"/>
      <x:c r="Z563" s="14" t="str">
        <x:v>The Responder.docx</x:v>
      </x:c>
      <x:c r="AA56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HYPERLINK("https://en.wikipedia.org/wiki/The_Responder","Open source")</x:f>
        <x:v>HYPERLINK is not implemented. linkLocation=https://en.wikipedia.org/wiki/The_Responder, friendlyName=Open source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10</x:v>
      </x:c>
      <x:c r="BP563" s="14" t="str">
        <x:v>Maximum supplied eligible IMDb cast-credit total; annual episode total not independently verified.</x:v>
      </x:c>
      <x:c r="BQ563" s="14" t="str">
        <x:v>Medium</x:v>
      </x:c>
      <x:c r="BR563" s="15" t="n">
        <x:v>1</x:v>
      </x:c>
      <x:c r="BS563" s="16" t="n">
        <x:v>0.1</x:v>
      </x:c>
      <x:c r="BT563" s="14" t="str">
        <x:v>One episode</x:v>
      </x:c>
      <x:c r="BU563" s="14" t="str">
        <x:v>Medium</x:v>
      </x:c>
      <x:c r="BV563" s="14" t="str">
        <x:v>Derived from the supplied IMDb episode count and documented production-total proxy.</x:v>
      </x:c>
      <x:c r="BW563" s="14" t="str">
        <x:v>Unable to determine</x:v>
      </x:c>
      <x:c r="BX563" s="14" t="str">
        <x:v>Cast-list and episode data do not establish narrative prominence.</x:v>
      </x:c>
      <x:c r="BY563" s="14" t="str">
        <x:v>Supplied IMDb cast-list workbook</x:v>
      </x:c>
      <x:c r="BZ56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tt11899030|nm13672324|woman on train</x:v>
      </x:c>
      <x:c r="B564" s="14" t="str">
        <x:v>06</x:v>
      </x:c>
      <x:c r="C564" s="14" t="str">
        <x:v>2022_IMDb_Cast_Lists_Batch_06(1).xlsx</x:v>
      </x:c>
      <x:c r="D564" s="14" t="str">
        <x:v>The Responder</x:v>
      </x:c>
      <x:c r="E564" s="14" t="n">
        <x:v>131</x:v>
      </x:c>
      <x:c r="F564" s="14" t="str">
        <x:v>The Responder</x:v>
      </x:c>
      <x:c r="G564" s="14" t="str">
        <x:v>tt11899030</x:v>
      </x:c>
      <x:c r="H564" s="14" t="n">
        <x:v>2022</x:v>
      </x:c>
      <x:c r="I564" s="14" t="n">
        <x:v>2023</x:v>
      </x:c>
      <x:c r="J564" s="14" t="str">
        <x:v>Future Carry-Forward Cohort</x:v>
      </x:c>
      <x:c r="K564" s="14" t="n">
        <x:v>2022</x:v>
      </x:c>
      <x:c r="L564" s="14" t="str">
        <x:v>Not inherited</x:v>
      </x:c>
      <x:c r="M564" s="15" t="n">
        <x:v>124</x:v>
      </x:c>
      <x:c r="N564" s="14" t="str">
        <x:v>Pamela Rose-Taylor</x:v>
      </x:c>
      <x:c r="O564" s="14" t="str">
        <x:v>nm13672324</x:v>
      </x:c>
      <x:c r="P564" s="14" t="str">
        <x:v>Woman on train</x:v>
      </x:c>
      <x:c r="Q564" s="15" t="n">
        <x:v>1</x:v>
      </x:c>
      <x:c r="R564" s="14" t="str">
        <x:v>2024</x:v>
      </x:c>
      <x:c r="S564" s="14" t="n">
        <x:v>2024</x:v>
      </x:c>
      <x:c r="T564" s="14" t="n">
        <x:v>2024</x:v>
      </x:c>
      <x:c r="U564" s="14" t="str">
        <x:v>Explicit source first year retained</x:v>
      </x:c>
      <x:c r="V564" s="14" t="str">
        <x:v>Earliest supplied year is 2024.</x:v>
      </x:c>
      <x:c r="W564" s="14"/>
      <x:c r="X564" s="14" t="str">
        <x:v>Carried forward to 2024</x:v>
      </x:c>
      <x:c r="Y564" s="14"/>
      <x:c r="Z564" s="14" t="str">
        <x:v>The Responder.docx</x:v>
      </x:c>
      <x:c r="AA56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HYPERLINK("https://en.wikipedia.org/wiki/The_Responder","Open source")</x:f>
        <x:v>HYPERLINK is not implemented. linkLocation=https://en.wikipedia.org/wiki/The_Responder, friendlyName=Open source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10</x:v>
      </x:c>
      <x:c r="BP564" s="14" t="str">
        <x:v>Maximum supplied eligible IMDb cast-credit total; annual episode total not independently verified.</x:v>
      </x:c>
      <x:c r="BQ564" s="14" t="str">
        <x:v>Medium</x:v>
      </x:c>
      <x:c r="BR564" s="15" t="n">
        <x:v>1</x:v>
      </x:c>
      <x:c r="BS564" s="16" t="n">
        <x:v>0.1</x:v>
      </x:c>
      <x:c r="BT564" s="14" t="str">
        <x:v>One episode</x:v>
      </x:c>
      <x:c r="BU564" s="14" t="str">
        <x:v>Medium</x:v>
      </x:c>
      <x:c r="BV564" s="14" t="str">
        <x:v>Derived from the supplied IMDb episode count and documented production-total proxy.</x:v>
      </x:c>
      <x:c r="BW564" s="14" t="str">
        <x:v>Unable to determine</x:v>
      </x:c>
      <x:c r="BX564" s="14" t="str">
        <x:v>Cast-list and episode data do not establish narrative prominence.</x:v>
      </x:c>
      <x:c r="BY564" s="14" t="str">
        <x:v>Supplied IMDb cast-list workbook</x:v>
      </x:c>
      <x:c r="BZ56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tt11899030|nm14328662|nan</x:v>
      </x:c>
      <x:c r="B565" s="14" t="str">
        <x:v>06</x:v>
      </x:c>
      <x:c r="C565" s="14" t="str">
        <x:v>2022_IMDb_Cast_Lists_Batch_06(1).xlsx</x:v>
      </x:c>
      <x:c r="D565" s="14" t="str">
        <x:v>The Responder</x:v>
      </x:c>
      <x:c r="E565" s="14" t="n">
        <x:v>132</x:v>
      </x:c>
      <x:c r="F565" s="14" t="str">
        <x:v>The Responder</x:v>
      </x:c>
      <x:c r="G565" s="14" t="str">
        <x:v>tt11899030</x:v>
      </x:c>
      <x:c r="H565" s="14" t="n">
        <x:v>2022</x:v>
      </x:c>
      <x:c r="I565" s="14" t="n">
        <x:v>2023</x:v>
      </x:c>
      <x:c r="J565" s="14" t="str">
        <x:v>Future Carry-Forward Cohort</x:v>
      </x:c>
      <x:c r="K565" s="14" t="n">
        <x:v>2022</x:v>
      </x:c>
      <x:c r="L565" s="14" t="str">
        <x:v>Not inherited</x:v>
      </x:c>
      <x:c r="M565" s="15" t="n">
        <x:v>125</x:v>
      </x:c>
      <x:c r="N565" s="14" t="str">
        <x:v>Tracey K Maddock</x:v>
      </x:c>
      <x:c r="O565" s="14" t="str">
        <x:v>nm14328662</x:v>
      </x:c>
      <x:c r="P565" s="14" t="str">
        <x:v>Nan</x:v>
      </x:c>
      <x:c r="Q565" s="15" t="n">
        <x:v>1</x:v>
      </x:c>
      <x:c r="R565" s="14" t="str">
        <x:v>2024</x:v>
      </x:c>
      <x:c r="S565" s="14" t="n">
        <x:v>2024</x:v>
      </x:c>
      <x:c r="T565" s="14" t="n">
        <x:v>2024</x:v>
      </x:c>
      <x:c r="U565" s="14" t="str">
        <x:v>Explicit source first year retained</x:v>
      </x:c>
      <x:c r="V565" s="14" t="str">
        <x:v>Earliest supplied year is 2024.</x:v>
      </x:c>
      <x:c r="W565" s="14"/>
      <x:c r="X565" s="14" t="str">
        <x:v>Carried forward to 2024</x:v>
      </x:c>
      <x:c r="Y565" s="14"/>
      <x:c r="Z565" s="14" t="str">
        <x:v>The Responder.docx</x:v>
      </x:c>
      <x:c r="AA56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HYPERLINK("https://en.wikipedia.org/wiki/The_Responder","Open source")</x:f>
        <x:v>HYPERLINK is not implemented. linkLocation=https://en.wikipedia.org/wiki/The_Responder, friendlyName=Open source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10</x:v>
      </x:c>
      <x:c r="BP565" s="14" t="str">
        <x:v>Maximum supplied eligible IMDb cast-credit total; annual episode total not independently verified.</x:v>
      </x:c>
      <x:c r="BQ565" s="14" t="str">
        <x:v>Medium</x:v>
      </x:c>
      <x:c r="BR565" s="15" t="n">
        <x:v>1</x:v>
      </x:c>
      <x:c r="BS565" s="16" t="n">
        <x:v>0.1</x:v>
      </x:c>
      <x:c r="BT565" s="14" t="str">
        <x:v>One episode</x:v>
      </x:c>
      <x:c r="BU565" s="14" t="str">
        <x:v>Medium</x:v>
      </x:c>
      <x:c r="BV565" s="14" t="str">
        <x:v>Derived from the supplied IMDb episode count and documented production-total proxy.</x:v>
      </x:c>
      <x:c r="BW565" s="14" t="str">
        <x:v>Unable to determine</x:v>
      </x:c>
      <x:c r="BX565" s="14" t="str">
        <x:v>Cast-list and episode data do not establish narrative prominence.</x:v>
      </x:c>
      <x:c r="BY565" s="14" t="str">
        <x:v>Supplied IMDb cast-list workbook</x:v>
      </x:c>
      <x:c r="BZ56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tt11899030|nm16277402|chip kid</x:v>
      </x:c>
      <x:c r="B566" s="14" t="str">
        <x:v>06</x:v>
      </x:c>
      <x:c r="C566" s="14" t="str">
        <x:v>2022_IMDb_Cast_Lists_Batch_06(1).xlsx</x:v>
      </x:c>
      <x:c r="D566" s="14" t="str">
        <x:v>The Responder</x:v>
      </x:c>
      <x:c r="E566" s="14" t="n">
        <x:v>133</x:v>
      </x:c>
      <x:c r="F566" s="14" t="str">
        <x:v>The Responder</x:v>
      </x:c>
      <x:c r="G566" s="14" t="str">
        <x:v>tt11899030</x:v>
      </x:c>
      <x:c r="H566" s="14" t="n">
        <x:v>2022</x:v>
      </x:c>
      <x:c r="I566" s="14" t="n">
        <x:v>2023</x:v>
      </x:c>
      <x:c r="J566" s="14" t="str">
        <x:v>Future Carry-Forward Cohort</x:v>
      </x:c>
      <x:c r="K566" s="14" t="n">
        <x:v>2022</x:v>
      </x:c>
      <x:c r="L566" s="14" t="str">
        <x:v>Not inherited</x:v>
      </x:c>
      <x:c r="M566" s="15" t="n">
        <x:v>126</x:v>
      </x:c>
      <x:c r="N566" s="14" t="str">
        <x:v>Darcy Ria-Ayuya</x:v>
      </x:c>
      <x:c r="O566" s="14" t="str">
        <x:v>nm16277402</x:v>
      </x:c>
      <x:c r="P566" s="14" t="str">
        <x:v>Chip Kid</x:v>
      </x:c>
      <x:c r="Q566" s="15" t="n">
        <x:v>1</x:v>
      </x:c>
      <x:c r="R566" s="14" t="str">
        <x:v>2024</x:v>
      </x:c>
      <x:c r="S566" s="14" t="n">
        <x:v>2024</x:v>
      </x:c>
      <x:c r="T566" s="14" t="n">
        <x:v>2024</x:v>
      </x:c>
      <x:c r="U566" s="14" t="str">
        <x:v>Explicit source first year retained</x:v>
      </x:c>
      <x:c r="V566" s="14" t="str">
        <x:v>Earliest supplied year is 2024.</x:v>
      </x:c>
      <x:c r="W566" s="14"/>
      <x:c r="X566" s="14" t="str">
        <x:v>Carried forward to 2024</x:v>
      </x:c>
      <x:c r="Y566" s="14"/>
      <x:c r="Z566" s="14" t="str">
        <x:v>The Responder.docx</x:v>
      </x:c>
      <x:c r="AA56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HYPERLINK("https://en.wikipedia.org/wiki/The_Responder","Open source")</x:f>
        <x:v>HYPERLINK is not implemented. linkLocation=https://en.wikipedia.org/wiki/The_Responder, friendlyName=Open source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10</x:v>
      </x:c>
      <x:c r="BP566" s="14" t="str">
        <x:v>Maximum supplied eligible IMDb cast-credit total; annual episode total not independently verified.</x:v>
      </x:c>
      <x:c r="BQ566" s="14" t="str">
        <x:v>Medium</x:v>
      </x:c>
      <x:c r="BR566" s="15" t="n">
        <x:v>1</x:v>
      </x:c>
      <x:c r="BS566" s="16" t="n">
        <x:v>0.1</x:v>
      </x:c>
      <x:c r="BT566" s="14" t="str">
        <x:v>One episode</x:v>
      </x:c>
      <x:c r="BU566" s="14" t="str">
        <x:v>Medium</x:v>
      </x:c>
      <x:c r="BV566" s="14" t="str">
        <x:v>Derived from the supplied IMDb episode count and documented production-total proxy.</x:v>
      </x:c>
      <x:c r="BW566" s="14" t="str">
        <x:v>Unable to determine</x:v>
      </x:c>
      <x:c r="BX566" s="14" t="str">
        <x:v>Cast-list and episode data do not establish narrative prominence.</x:v>
      </x:c>
      <x:c r="BY566" s="14" t="str">
        <x:v>Supplied IMDb cast-list workbook</x:v>
      </x:c>
      <x:c r="BZ56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tt11899030|nm16277381|tommy</x:v>
      </x:c>
      <x:c r="B567" s="14" t="str">
        <x:v>06</x:v>
      </x:c>
      <x:c r="C567" s="14" t="str">
        <x:v>2022_IMDb_Cast_Lists_Batch_06(1).xlsx</x:v>
      </x:c>
      <x:c r="D567" s="14" t="str">
        <x:v>The Responder</x:v>
      </x:c>
      <x:c r="E567" s="14" t="n">
        <x:v>134</x:v>
      </x:c>
      <x:c r="F567" s="14" t="str">
        <x:v>The Responder</x:v>
      </x:c>
      <x:c r="G567" s="14" t="str">
        <x:v>tt11899030</x:v>
      </x:c>
      <x:c r="H567" s="14" t="n">
        <x:v>2022</x:v>
      </x:c>
      <x:c r="I567" s="14" t="n">
        <x:v>2023</x:v>
      </x:c>
      <x:c r="J567" s="14" t="str">
        <x:v>Future Carry-Forward Cohort</x:v>
      </x:c>
      <x:c r="K567" s="14" t="n">
        <x:v>2022</x:v>
      </x:c>
      <x:c r="L567" s="14" t="str">
        <x:v>Not inherited</x:v>
      </x:c>
      <x:c r="M567" s="15" t="n">
        <x:v>127</x:v>
      </x:c>
      <x:c r="N567" s="14" t="str">
        <x:v>Joseph Clarendon</x:v>
      </x:c>
      <x:c r="O567" s="14" t="str">
        <x:v>nm16277381</x:v>
      </x:c>
      <x:c r="P567" s="14" t="str">
        <x:v>Tommy</x:v>
      </x:c>
      <x:c r="Q567" s="15" t="n">
        <x:v>1</x:v>
      </x:c>
      <x:c r="R567" s="14" t="str">
        <x:v>2024</x:v>
      </x:c>
      <x:c r="S567" s="14" t="n">
        <x:v>2024</x:v>
      </x:c>
      <x:c r="T567" s="14" t="n">
        <x:v>2024</x:v>
      </x:c>
      <x:c r="U567" s="14" t="str">
        <x:v>Explicit source first year retained</x:v>
      </x:c>
      <x:c r="V567" s="14" t="str">
        <x:v>Earliest supplied year is 2024.</x:v>
      </x:c>
      <x:c r="W567" s="14"/>
      <x:c r="X567" s="14" t="str">
        <x:v>Carried forward to 2024</x:v>
      </x:c>
      <x:c r="Y567" s="14"/>
      <x:c r="Z567" s="14" t="str">
        <x:v>The Responder.docx</x:v>
      </x:c>
      <x:c r="AA56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HYPERLINK("https://en.wikipedia.org/wiki/The_Responder","Open source")</x:f>
        <x:v>HYPERLINK is not implemented. linkLocation=https://en.wikipedia.org/wiki/The_Responder, friendlyName=Open source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10</x:v>
      </x:c>
      <x:c r="BP567" s="14" t="str">
        <x:v>Maximum supplied eligible IMDb cast-credit total; annual episode total not independently verified.</x:v>
      </x:c>
      <x:c r="BQ567" s="14" t="str">
        <x:v>Medium</x:v>
      </x:c>
      <x:c r="BR567" s="15" t="n">
        <x:v>1</x:v>
      </x:c>
      <x:c r="BS567" s="16" t="n">
        <x:v>0.1</x:v>
      </x:c>
      <x:c r="BT567" s="14" t="str">
        <x:v>One episode</x:v>
      </x:c>
      <x:c r="BU567" s="14" t="str">
        <x:v>Medium</x:v>
      </x:c>
      <x:c r="BV567" s="14" t="str">
        <x:v>Derived from the supplied IMDb episode count and documented production-total proxy.</x:v>
      </x:c>
      <x:c r="BW567" s="14" t="str">
        <x:v>Unable to determine</x:v>
      </x:c>
      <x:c r="BX567" s="14" t="str">
        <x:v>Cast-list and episode data do not establish narrative prominence.</x:v>
      </x:c>
      <x:c r="BY567" s="14" t="str">
        <x:v>Supplied IMDb cast-list workbook</x:v>
      </x:c>
      <x:c r="BZ56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tt11899030|nm16277360|operator</x:v>
      </x:c>
      <x:c r="B568" s="14" t="str">
        <x:v>06</x:v>
      </x:c>
      <x:c r="C568" s="14" t="str">
        <x:v>2022_IMDb_Cast_Lists_Batch_06(1).xlsx</x:v>
      </x:c>
      <x:c r="D568" s="14" t="str">
        <x:v>The Responder</x:v>
      </x:c>
      <x:c r="E568" s="14" t="n">
        <x:v>135</x:v>
      </x:c>
      <x:c r="F568" s="14" t="str">
        <x:v>The Responder</x:v>
      </x:c>
      <x:c r="G568" s="14" t="str">
        <x:v>tt11899030</x:v>
      </x:c>
      <x:c r="H568" s="14" t="n">
        <x:v>2022</x:v>
      </x:c>
      <x:c r="I568" s="14" t="n">
        <x:v>2023</x:v>
      </x:c>
      <x:c r="J568" s="14" t="str">
        <x:v>Future Carry-Forward Cohort</x:v>
      </x:c>
      <x:c r="K568" s="14" t="n">
        <x:v>2022</x:v>
      </x:c>
      <x:c r="L568" s="14" t="str">
        <x:v>Not inherited</x:v>
      </x:c>
      <x:c r="M568" s="15" t="n">
        <x:v>128</x:v>
      </x:c>
      <x:c r="N568" s="14" t="str">
        <x:v>Beth Eden</x:v>
      </x:c>
      <x:c r="O568" s="14" t="str">
        <x:v>nm16277360</x:v>
      </x:c>
      <x:c r="P568" s="14" t="str">
        <x:v>Operator</x:v>
      </x:c>
      <x:c r="Q568" s="15" t="n">
        <x:v>1</x:v>
      </x:c>
      <x:c r="R568" s="14" t="str">
        <x:v>2024</x:v>
      </x:c>
      <x:c r="S568" s="14" t="n">
        <x:v>2024</x:v>
      </x:c>
      <x:c r="T568" s="14" t="n">
        <x:v>2024</x:v>
      </x:c>
      <x:c r="U568" s="14" t="str">
        <x:v>Explicit source first year retained</x:v>
      </x:c>
      <x:c r="V568" s="14" t="str">
        <x:v>Earliest supplied year is 2024.</x:v>
      </x:c>
      <x:c r="W568" s="14"/>
      <x:c r="X568" s="14" t="str">
        <x:v>Carried forward to 2024</x:v>
      </x:c>
      <x:c r="Y568" s="14"/>
      <x:c r="Z568" s="14" t="str">
        <x:v>The Responder.docx</x:v>
      </x:c>
      <x:c r="AA56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HYPERLINK("https://en.wikipedia.org/wiki/The_Responder","Open source")</x:f>
        <x:v>HYPERLINK is not implemented. linkLocation=https://en.wikipedia.org/wiki/The_Responder, friendlyName=Open source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10</x:v>
      </x:c>
      <x:c r="BP568" s="14" t="str">
        <x:v>Maximum supplied eligible IMDb cast-credit total; annual episode total not independently verified.</x:v>
      </x:c>
      <x:c r="BQ568" s="14" t="str">
        <x:v>Medium</x:v>
      </x:c>
      <x:c r="BR568" s="15" t="n">
        <x:v>1</x:v>
      </x:c>
      <x:c r="BS568" s="16" t="n">
        <x:v>0.1</x:v>
      </x:c>
      <x:c r="BT568" s="14" t="str">
        <x:v>One episode</x:v>
      </x:c>
      <x:c r="BU568" s="14" t="str">
        <x:v>Medium</x:v>
      </x:c>
      <x:c r="BV568" s="14" t="str">
        <x:v>Derived from the supplied IMDb episode count and documented production-total proxy.</x:v>
      </x:c>
      <x:c r="BW568" s="14" t="str">
        <x:v>Unable to determine</x:v>
      </x:c>
      <x:c r="BX568" s="14" t="str">
        <x:v>Cast-list and episode data do not establish narrative prominence.</x:v>
      </x:c>
      <x:c r="BY568" s="14" t="str">
        <x:v>Supplied IMDb cast-list workbook</x:v>
      </x:c>
      <x:c r="BZ56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tt11899030|nm16277380|betty</x:v>
      </x:c>
      <x:c r="B569" s="14" t="str">
        <x:v>06</x:v>
      </x:c>
      <x:c r="C569" s="14" t="str">
        <x:v>2022_IMDb_Cast_Lists_Batch_06(1).xlsx</x:v>
      </x:c>
      <x:c r="D569" s="14" t="str">
        <x:v>The Responder</x:v>
      </x:c>
      <x:c r="E569" s="14" t="n">
        <x:v>136</x:v>
      </x:c>
      <x:c r="F569" s="14" t="str">
        <x:v>The Responder</x:v>
      </x:c>
      <x:c r="G569" s="14" t="str">
        <x:v>tt11899030</x:v>
      </x:c>
      <x:c r="H569" s="14" t="n">
        <x:v>2022</x:v>
      </x:c>
      <x:c r="I569" s="14" t="n">
        <x:v>2023</x:v>
      </x:c>
      <x:c r="J569" s="14" t="str">
        <x:v>Future Carry-Forward Cohort</x:v>
      </x:c>
      <x:c r="K569" s="14" t="n">
        <x:v>2022</x:v>
      </x:c>
      <x:c r="L569" s="14" t="str">
        <x:v>Not inherited</x:v>
      </x:c>
      <x:c r="M569" s="15" t="n">
        <x:v>129</x:v>
      </x:c>
      <x:c r="N569" s="14" t="str">
        <x:v>Pauline Dainiels</x:v>
      </x:c>
      <x:c r="O569" s="14" t="str">
        <x:v>nm16277380</x:v>
      </x:c>
      <x:c r="P569" s="14" t="str">
        <x:v>Betty</x:v>
      </x:c>
      <x:c r="Q569" s="15" t="n">
        <x:v>1</x:v>
      </x:c>
      <x:c r="R569" s="14" t="str">
        <x:v>2024</x:v>
      </x:c>
      <x:c r="S569" s="14" t="n">
        <x:v>2024</x:v>
      </x:c>
      <x:c r="T569" s="14" t="n">
        <x:v>2024</x:v>
      </x:c>
      <x:c r="U569" s="14" t="str">
        <x:v>Explicit source first year retained</x:v>
      </x:c>
      <x:c r="V569" s="14" t="str">
        <x:v>Earliest supplied year is 2024.</x:v>
      </x:c>
      <x:c r="W569" s="14"/>
      <x:c r="X569" s="14" t="str">
        <x:v>Carried forward to 2024</x:v>
      </x:c>
      <x:c r="Y569" s="14"/>
      <x:c r="Z569" s="14" t="str">
        <x:v>The Responder.docx</x:v>
      </x:c>
      <x:c r="AA56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BBC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HYPERLINK("https://en.wikipedia.org/wiki/The_Responder","Open source")</x:f>
        <x:v>HYPERLINK is not implemented. linkLocation=https://en.wikipedia.org/wiki/The_Responder, friendlyName=Open source</x:v>
      </x:c>
      <x:c r="AN569" s="14" t="str">
        <x:v>BBC public-service commission</x:v>
      </x:c>
      <x:c r="AO569" s="14" t="str">
        <x:v>Yes</x:v>
      </x:c>
      <x:c r="AP569" s="14" t="str">
        <x:v>Direct BBC public-service scope</x:v>
      </x:c>
      <x:c r="AQ569" s="14" t="str">
        <x:v>Yes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10</x:v>
      </x:c>
      <x:c r="BP569" s="14" t="str">
        <x:v>Maximum supplied eligible IMDb cast-credit total; annual episode total not independently verified.</x:v>
      </x:c>
      <x:c r="BQ569" s="14" t="str">
        <x:v>Medium</x:v>
      </x:c>
      <x:c r="BR569" s="15" t="n">
        <x:v>1</x:v>
      </x:c>
      <x:c r="BS569" s="16" t="n">
        <x:v>0.1</x:v>
      </x:c>
      <x:c r="BT569" s="14" t="str">
        <x:v>One episode</x:v>
      </x:c>
      <x:c r="BU569" s="14" t="str">
        <x:v>Medium</x:v>
      </x:c>
      <x:c r="BV569" s="14" t="str">
        <x:v>Derived from the supplied IMDb episode count and documented production-total proxy.</x:v>
      </x:c>
      <x:c r="BW569" s="14" t="str">
        <x:v>Unable to determine</x:v>
      </x:c>
      <x:c r="BX569" s="14" t="str">
        <x:v>Cast-list and episode data do not establish narrative prominence.</x:v>
      </x:c>
      <x:c r="BY569" s="14" t="str">
        <x:v>Supplied IMDb cast-list workbook</x:v>
      </x:c>
      <x:c r="BZ56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tt11899030|nm16277320|jerry</x:v>
      </x:c>
      <x:c r="B570" s="14" t="str">
        <x:v>06</x:v>
      </x:c>
      <x:c r="C570" s="14" t="str">
        <x:v>2022_IMDb_Cast_Lists_Batch_06(1).xlsx</x:v>
      </x:c>
      <x:c r="D570" s="14" t="str">
        <x:v>The Responder</x:v>
      </x:c>
      <x:c r="E570" s="14" t="n">
        <x:v>137</x:v>
      </x:c>
      <x:c r="F570" s="14" t="str">
        <x:v>The Responder</x:v>
      </x:c>
      <x:c r="G570" s="14" t="str">
        <x:v>tt11899030</x:v>
      </x:c>
      <x:c r="H570" s="14" t="n">
        <x:v>2022</x:v>
      </x:c>
      <x:c r="I570" s="14" t="n">
        <x:v>2023</x:v>
      </x:c>
      <x:c r="J570" s="14" t="str">
        <x:v>Future Carry-Forward Cohort</x:v>
      </x:c>
      <x:c r="K570" s="14" t="n">
        <x:v>2022</x:v>
      </x:c>
      <x:c r="L570" s="14" t="str">
        <x:v>Not inherited</x:v>
      </x:c>
      <x:c r="M570" s="15" t="n">
        <x:v>130</x:v>
      </x:c>
      <x:c r="N570" s="14" t="str">
        <x:v>Dominic Muldoon</x:v>
      </x:c>
      <x:c r="O570" s="14" t="str">
        <x:v>nm16277320</x:v>
      </x:c>
      <x:c r="P570" s="14" t="str">
        <x:v>Jerry</x:v>
      </x:c>
      <x:c r="Q570" s="15" t="n">
        <x:v>1</x:v>
      </x:c>
      <x:c r="R570" s="14" t="str">
        <x:v>2024</x:v>
      </x:c>
      <x:c r="S570" s="14" t="n">
        <x:v>2024</x:v>
      </x:c>
      <x:c r="T570" s="14" t="n">
        <x:v>2024</x:v>
      </x:c>
      <x:c r="U570" s="14" t="str">
        <x:v>Explicit source first year retained</x:v>
      </x:c>
      <x:c r="V570" s="14" t="str">
        <x:v>Earliest supplied year is 2024.</x:v>
      </x:c>
      <x:c r="W570" s="14"/>
      <x:c r="X570" s="14" t="str">
        <x:v>Carried forward to 2024</x:v>
      </x:c>
      <x:c r="Y570" s="14"/>
      <x:c r="Z570" s="14" t="str">
        <x:v>The Responder.docx</x:v>
      </x:c>
      <x:c r="AA57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BBC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HYPERLINK("https://en.wikipedia.org/wiki/The_Responder","Open source")</x:f>
        <x:v>HYPERLINK is not implemented. linkLocation=https://en.wikipedia.org/wiki/The_Responder, friendlyName=Open source</x:v>
      </x:c>
      <x:c r="AN570" s="14" t="str">
        <x:v>BBC public-service commission</x:v>
      </x:c>
      <x:c r="AO570" s="14" t="str">
        <x:v>Yes</x:v>
      </x:c>
      <x:c r="AP570" s="14" t="str">
        <x:v>Direct BBC public-service scope</x:v>
      </x:c>
      <x:c r="AQ570" s="14" t="str">
        <x:v>Yes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10</x:v>
      </x:c>
      <x:c r="BP570" s="14" t="str">
        <x:v>Maximum supplied eligible IMDb cast-credit total; annual episode total not independently verified.</x:v>
      </x:c>
      <x:c r="BQ570" s="14" t="str">
        <x:v>Medium</x:v>
      </x:c>
      <x:c r="BR570" s="15" t="n">
        <x:v>1</x:v>
      </x:c>
      <x:c r="BS570" s="16" t="n">
        <x:v>0.1</x:v>
      </x:c>
      <x:c r="BT570" s="14" t="str">
        <x:v>One episode</x:v>
      </x:c>
      <x:c r="BU570" s="14" t="str">
        <x:v>Medium</x:v>
      </x:c>
      <x:c r="BV570" s="14" t="str">
        <x:v>Derived from the supplied IMDb episode count and documented production-total proxy.</x:v>
      </x:c>
      <x:c r="BW570" s="14" t="str">
        <x:v>Unable to determine</x:v>
      </x:c>
      <x:c r="BX570" s="14" t="str">
        <x:v>Cast-list and episode data do not establish narrative prominence.</x:v>
      </x:c>
      <x:c r="BY570" s="14" t="str">
        <x:v>Supplied IMDb cast-list workbook</x:v>
      </x:c>
      <x:c r="BZ57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tt11847842|nm0288260|niamh cassidy</x:v>
      </x:c>
      <x:c r="B571" s="14" t="str">
        <x:v>07</x:v>
      </x:c>
      <x:c r="C571" s="14" t="str">
        <x:v>2022_IMDb_Cast_Lists_Batch_07(1).xlsx</x:v>
      </x:c>
      <x:c r="D571" s="14" t="str">
        <x:v>The Tourist</x:v>
      </x:c>
      <x:c r="E571" s="14" t="n">
        <x:v>13</x:v>
      </x:c>
      <x:c r="F571" s="14" t="str">
        <x:v>The Tourist</x:v>
      </x:c>
      <x:c r="G571" s="14" t="str">
        <x:v>tt11847842</x:v>
      </x:c>
      <x:c r="H571" s="14" t="n">
        <x:v>2022</x:v>
      </x:c>
      <x:c r="I571" s="14" t="n">
        <x:v>2023</x:v>
      </x:c>
      <x:c r="J571" s="14" t="str">
        <x:v>Future Carry-Forward Cohort</x:v>
      </x:c>
      <x:c r="K571" s="14" t="n">
        <x:v>2022</x:v>
      </x:c>
      <x:c r="L571" s="14" t="str">
        <x:v>Not inherited</x:v>
      </x:c>
      <x:c r="M571" s="15" t="n">
        <x:v>6</x:v>
      </x:c>
      <x:c r="N571" s="14" t="str">
        <x:v>Olwen Fouéré</x:v>
      </x:c>
      <x:c r="O571" s="14" t="str">
        <x:v>nm0288260</x:v>
      </x:c>
      <x:c r="P571" s="14" t="str">
        <x:v>Niamh Cassidy</x:v>
      </x:c>
      <x:c r="Q571" s="15" t="n">
        <x:v>6</x:v>
      </x:c>
      <x:c r="R571" s="14" t="str">
        <x:v>2024</x:v>
      </x:c>
      <x:c r="S571" s="14" t="n">
        <x:v>2024</x:v>
      </x:c>
      <x:c r="T571" s="14" t="n">
        <x:v>2024</x:v>
      </x:c>
      <x:c r="U571" s="14" t="str">
        <x:v>Explicit source first year retained</x:v>
      </x:c>
      <x:c r="V571" s="14" t="str">
        <x:v>Earliest supplied year is 2024.</x:v>
      </x:c>
      <x:c r="W571" s="14"/>
      <x:c r="X571" s="14" t="str">
        <x:v>Carried forward to 2024</x:v>
      </x:c>
      <x:c r="Y571" s="14"/>
      <x:c r="Z571" s="14" t="str">
        <x:v>The Tourist.docx</x:v>
      </x:c>
      <x:c r="AA57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BBC</x:v>
      </x:c>
      <x:c r="AI571" s="14" t="str">
        <x:v>Qualifying UK co-commission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qualifying uk co-commission.</x:v>
      </x:c>
      <x:c r="AM57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1" s="14" t="str">
        <x:v>BBC public-service co-commission</x:v>
      </x:c>
      <x:c r="AO571" s="14" t="str">
        <x:v>Yes</x:v>
      </x:c>
      <x:c r="AP571" s="14" t="str">
        <x:v>Direct BBC public-service scope</x:v>
      </x:c>
      <x:c r="AQ571" s="14" t="str">
        <x:v>Yes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12</x:v>
      </x:c>
      <x:c r="BP571" s="14" t="str">
        <x:v>Maximum supplied eligible IMDb cast-credit total; annual episode total not independently verified.</x:v>
      </x:c>
      <x:c r="BQ571" s="14" t="str">
        <x:v>Medium</x:v>
      </x:c>
      <x:c r="BR571" s="15" t="n">
        <x:v>6</x:v>
      </x:c>
      <x:c r="BS571" s="16" t="n">
        <x:v>0.5</x:v>
      </x:c>
      <x:c r="BT571" s="14" t="str">
        <x:v>Minority of episodes</x:v>
      </x:c>
      <x:c r="BU571" s="14" t="str">
        <x:v>Medium</x:v>
      </x:c>
      <x:c r="BV571" s="14" t="str">
        <x:v>Derived from the supplied IMDb episode count and documented production-total proxy.</x:v>
      </x:c>
      <x:c r="BW571" s="14" t="str">
        <x:v>Unable to determine</x:v>
      </x:c>
      <x:c r="BX571" s="14" t="str">
        <x:v>Cast-list and episode data do not establish narrative prominence.</x:v>
      </x:c>
      <x:c r="BY571" s="14" t="str">
        <x:v>Supplied IMDb cast-list workbook</x:v>
      </x:c>
      <x:c r="BZ57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tt11847842|nm2736817|detective ruairi slater</x:v>
      </x:c>
      <x:c r="B572" s="14" t="str">
        <x:v>07</x:v>
      </x:c>
      <x:c r="C572" s="14" t="str">
        <x:v>2022_IMDb_Cast_Lists_Batch_07(1).xlsx</x:v>
      </x:c>
      <x:c r="D572" s="14" t="str">
        <x:v>The Tourist</x:v>
      </x:c>
      <x:c r="E572" s="14" t="n">
        <x:v>15</x:v>
      </x:c>
      <x:c r="F572" s="14" t="str">
        <x:v>The Tourist</x:v>
      </x:c>
      <x:c r="G572" s="14" t="str">
        <x:v>tt11847842</x:v>
      </x:c>
      <x:c r="H572" s="14" t="n">
        <x:v>2022</x:v>
      </x:c>
      <x:c r="I572" s="14" t="n">
        <x:v>2023</x:v>
      </x:c>
      <x:c r="J572" s="14" t="str">
        <x:v>Future Carry-Forward Cohort</x:v>
      </x:c>
      <x:c r="K572" s="14" t="n">
        <x:v>2022</x:v>
      </x:c>
      <x:c r="L572" s="14" t="str">
        <x:v>Not inherited</x:v>
      </x:c>
      <x:c r="M572" s="15" t="n">
        <x:v>8</x:v>
      </x:c>
      <x:c r="N572" s="14" t="str">
        <x:v>Conor MacNeill</x:v>
      </x:c>
      <x:c r="O572" s="14" t="str">
        <x:v>nm2736817</x:v>
      </x:c>
      <x:c r="P572" s="14" t="str">
        <x:v>Detective Ruairi Slater</x:v>
      </x:c>
      <x:c r="Q572" s="15" t="n">
        <x:v>6</x:v>
      </x:c>
      <x:c r="R572" s="14" t="str">
        <x:v>2024</x:v>
      </x:c>
      <x:c r="S572" s="14" t="n">
        <x:v>2024</x:v>
      </x:c>
      <x:c r="T572" s="14" t="n">
        <x:v>2024</x:v>
      </x:c>
      <x:c r="U572" s="14" t="str">
        <x:v>Explicit source first year retained</x:v>
      </x:c>
      <x:c r="V572" s="14" t="str">
        <x:v>Earliest supplied year is 2024.</x:v>
      </x:c>
      <x:c r="W572" s="14"/>
      <x:c r="X572" s="14" t="str">
        <x:v>Carried forward to 2024</x:v>
      </x:c>
      <x:c r="Y572" s="14"/>
      <x:c r="Z572" s="14" t="str">
        <x:v>The Tourist.docx</x:v>
      </x:c>
      <x:c r="AA57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BBC</x:v>
      </x:c>
      <x:c r="AI572" s="14" t="str">
        <x:v>Qualifying UK co-commission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qualifying uk co-commission.</x:v>
      </x:c>
      <x:c r="AM57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2" s="14" t="str">
        <x:v>BBC public-service co-commission</x:v>
      </x:c>
      <x:c r="AO572" s="14" t="str">
        <x:v>Yes</x:v>
      </x:c>
      <x:c r="AP572" s="14" t="str">
        <x:v>Direct BBC public-service scope</x:v>
      </x:c>
      <x:c r="AQ572" s="14" t="str">
        <x:v>Yes</x:v>
      </x:c>
      <x:c r="AR572" s="14" t="str">
        <x:v>Resolved from master register</x:v>
      </x:c>
      <x:c r="AS572" s="14" t="str">
        <x:v>No established-register match</x:v>
      </x:c>
      <x:c r="AT572" s="14"/>
      <x:c r="AU572" s="14"/>
      <x:c r="AV572" s="14" t="str">
        <x:v>No established apparent-disability match</x:v>
      </x:c>
      <x:c r="AW572" s="14"/>
      <x:c r="AX572" s="14" t="str">
        <x:v>No</x:v>
      </x:c>
      <x:c r="AY572" s="14" t="str">
        <x:v>Unmatched</x:v>
      </x:c>
      <x:c r="AZ572" s="14" t="str">
        <x:v>Final supplied register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12</x:v>
      </x:c>
      <x:c r="BP572" s="14" t="str">
        <x:v>Maximum supplied eligible IMDb cast-credit total; annual episode total not independently verified.</x:v>
      </x:c>
      <x:c r="BQ572" s="14" t="str">
        <x:v>Medium</x:v>
      </x:c>
      <x:c r="BR572" s="15" t="n">
        <x:v>6</x:v>
      </x:c>
      <x:c r="BS572" s="16" t="n">
        <x:v>0.5</x:v>
      </x:c>
      <x:c r="BT572" s="14" t="str">
        <x:v>Minority of episodes</x:v>
      </x:c>
      <x:c r="BU572" s="14" t="str">
        <x:v>Medium</x:v>
      </x:c>
      <x:c r="BV572" s="14" t="str">
        <x:v>Derived from the supplied IMDb episode count and documented production-total proxy.</x:v>
      </x:c>
      <x:c r="BW572" s="14" t="str">
        <x:v>Unable to determine</x:v>
      </x:c>
      <x:c r="BX572" s="14" t="str">
        <x:v>Cast-list and episode data do not establish narrative prominence.</x:v>
      </x:c>
      <x:c r="BY572" s="14" t="str">
        <x:v>Supplied IMDb cast-list workbook</x:v>
      </x:c>
      <x:c r="BZ57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tt11847842|nm7603308|fergal mcdonnell</x:v>
      </x:c>
      <x:c r="B573" s="14" t="str">
        <x:v>07</x:v>
      </x:c>
      <x:c r="C573" s="14" t="str">
        <x:v>2022_IMDb_Cast_Lists_Batch_07(1).xlsx</x:v>
      </x:c>
      <x:c r="D573" s="14" t="str">
        <x:v>The Tourist</x:v>
      </x:c>
      <x:c r="E573" s="14" t="n">
        <x:v>16</x:v>
      </x:c>
      <x:c r="F573" s="14" t="str">
        <x:v>The Tourist</x:v>
      </x:c>
      <x:c r="G573" s="14" t="str">
        <x:v>tt11847842</x:v>
      </x:c>
      <x:c r="H573" s="14" t="n">
        <x:v>2022</x:v>
      </x:c>
      <x:c r="I573" s="14" t="n">
        <x:v>2023</x:v>
      </x:c>
      <x:c r="J573" s="14" t="str">
        <x:v>Future Carry-Forward Cohort</x:v>
      </x:c>
      <x:c r="K573" s="14" t="n">
        <x:v>2022</x:v>
      </x:c>
      <x:c r="L573" s="14" t="str">
        <x:v>Not inherited</x:v>
      </x:c>
      <x:c r="M573" s="15" t="n">
        <x:v>9</x:v>
      </x:c>
      <x:c r="N573" s="14" t="str">
        <x:v>Mark McKenna</x:v>
      </x:c>
      <x:c r="O573" s="14" t="str">
        <x:v>nm7603308</x:v>
      </x:c>
      <x:c r="P573" s="14" t="str">
        <x:v>Fergal McDonnell</x:v>
      </x:c>
      <x:c r="Q573" s="15" t="n">
        <x:v>6</x:v>
      </x:c>
      <x:c r="R573" s="14" t="str">
        <x:v>2024</x:v>
      </x:c>
      <x:c r="S573" s="14" t="n">
        <x:v>2024</x:v>
      </x:c>
      <x:c r="T573" s="14" t="n">
        <x:v>2024</x:v>
      </x:c>
      <x:c r="U573" s="14" t="str">
        <x:v>Explicit source first year retained</x:v>
      </x:c>
      <x:c r="V573" s="14" t="str">
        <x:v>Earliest supplied year is 2024.</x:v>
      </x:c>
      <x:c r="W573" s="14"/>
      <x:c r="X573" s="14" t="str">
        <x:v>Carried forward to 2024</x:v>
      </x:c>
      <x:c r="Y573" s="14"/>
      <x:c r="Z573" s="14" t="str">
        <x:v>The Tourist.docx</x:v>
      </x:c>
      <x:c r="AA57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BBC</x:v>
      </x:c>
      <x:c r="AI573" s="14" t="str">
        <x:v>Qualifying UK co-commission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qualifying uk co-commission.</x:v>
      </x:c>
      <x:c r="AM57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3" s="14" t="str">
        <x:v>BBC public-service co-commission</x:v>
      </x:c>
      <x:c r="AO573" s="14" t="str">
        <x:v>Yes</x:v>
      </x:c>
      <x:c r="AP573" s="14" t="str">
        <x:v>Direct BBC public-service scope</x:v>
      </x:c>
      <x:c r="AQ573" s="14" t="str">
        <x:v>Yes</x:v>
      </x:c>
      <x:c r="AR573" s="14" t="str">
        <x:v>Resolved from master register</x:v>
      </x:c>
      <x:c r="AS573" s="14" t="str">
        <x:v>No established-register match</x:v>
      </x:c>
      <x:c r="AT573" s="14"/>
      <x:c r="AU573" s="14"/>
      <x:c r="AV573" s="14" t="str">
        <x:v>No established apparent-disability match</x:v>
      </x:c>
      <x:c r="AW573" s="14"/>
      <x:c r="AX573" s="14" t="str">
        <x:v>No</x:v>
      </x:c>
      <x:c r="AY573" s="14" t="str">
        <x:v>Unmatched</x:v>
      </x:c>
      <x:c r="AZ573" s="14" t="str">
        <x:v>Final supplied register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12</x:v>
      </x:c>
      <x:c r="BP573" s="14" t="str">
        <x:v>Maximum supplied eligible IMDb cast-credit total; annual episode total not independently verified.</x:v>
      </x:c>
      <x:c r="BQ573" s="14" t="str">
        <x:v>Medium</x:v>
      </x:c>
      <x:c r="BR573" s="15" t="n">
        <x:v>6</x:v>
      </x:c>
      <x:c r="BS573" s="16" t="n">
        <x:v>0.5</x:v>
      </x:c>
      <x:c r="BT573" s="14" t="str">
        <x:v>Minority of episodes</x:v>
      </x:c>
      <x:c r="BU573" s="14" t="str">
        <x:v>Medium</x:v>
      </x:c>
      <x:c r="BV573" s="14" t="str">
        <x:v>Derived from the supplied IMDb episode count and documented production-total proxy.</x:v>
      </x:c>
      <x:c r="BW573" s="14" t="str">
        <x:v>Unable to determine</x:v>
      </x:c>
      <x:c r="BX573" s="14" t="str">
        <x:v>Cast-list and episode data do not establish narrative prominence.</x:v>
      </x:c>
      <x:c r="BY573" s="14" t="str">
        <x:v>Supplied IMDb cast-list workbook</x:v>
      </x:c>
      <x:c r="BZ57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tt11847842|nm8916925|orla mcdonnell</x:v>
      </x:c>
      <x:c r="B574" s="14" t="str">
        <x:v>07</x:v>
      </x:c>
      <x:c r="C574" s="14" t="str">
        <x:v>2022_IMDb_Cast_Lists_Batch_07(1).xlsx</x:v>
      </x:c>
      <x:c r="D574" s="14" t="str">
        <x:v>The Tourist</x:v>
      </x:c>
      <x:c r="E574" s="14" t="n">
        <x:v>17</x:v>
      </x:c>
      <x:c r="F574" s="14" t="str">
        <x:v>The Tourist</x:v>
      </x:c>
      <x:c r="G574" s="14" t="str">
        <x:v>tt11847842</x:v>
      </x:c>
      <x:c r="H574" s="14" t="n">
        <x:v>2022</x:v>
      </x:c>
      <x:c r="I574" s="14" t="n">
        <x:v>2023</x:v>
      </x:c>
      <x:c r="J574" s="14" t="str">
        <x:v>Future Carry-Forward Cohort</x:v>
      </x:c>
      <x:c r="K574" s="14" t="n">
        <x:v>2022</x:v>
      </x:c>
      <x:c r="L574" s="14" t="str">
        <x:v>Not inherited</x:v>
      </x:c>
      <x:c r="M574" s="15" t="n">
        <x:v>10</x:v>
      </x:c>
      <x:c r="N574" s="14" t="str">
        <x:v>Nessa Matthews</x:v>
      </x:c>
      <x:c r="O574" s="14" t="str">
        <x:v>nm8916925</x:v>
      </x:c>
      <x:c r="P574" s="14" t="str">
        <x:v>Orla McDonnell</x:v>
      </x:c>
      <x:c r="Q574" s="15" t="n">
        <x:v>6</x:v>
      </x:c>
      <x:c r="R574" s="14" t="str">
        <x:v>2024</x:v>
      </x:c>
      <x:c r="S574" s="14" t="n">
        <x:v>2024</x:v>
      </x:c>
      <x:c r="T574" s="14" t="n">
        <x:v>2024</x:v>
      </x:c>
      <x:c r="U574" s="14" t="str">
        <x:v>Explicit source first year retained</x:v>
      </x:c>
      <x:c r="V574" s="14" t="str">
        <x:v>Earliest supplied year is 2024.</x:v>
      </x:c>
      <x:c r="W574" s="14"/>
      <x:c r="X574" s="14" t="str">
        <x:v>Carried forward to 2024</x:v>
      </x:c>
      <x:c r="Y574" s="14"/>
      <x:c r="Z574" s="14" t="str">
        <x:v>The Tourist.docx</x:v>
      </x:c>
      <x:c r="AA57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BBC</x:v>
      </x:c>
      <x:c r="AI574" s="14" t="str">
        <x:v>Qualifying UK co-commission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qualifying uk co-commission.</x:v>
      </x:c>
      <x:c r="AM57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4" s="14" t="str">
        <x:v>BBC public-service co-commission</x:v>
      </x:c>
      <x:c r="AO574" s="14" t="str">
        <x:v>Yes</x:v>
      </x:c>
      <x:c r="AP574" s="14" t="str">
        <x:v>Direct BBC public-service scope</x:v>
      </x:c>
      <x:c r="AQ574" s="14" t="str">
        <x:v>Yes</x:v>
      </x:c>
      <x:c r="AR574" s="14" t="str">
        <x:v>Resolved from master register</x:v>
      </x:c>
      <x:c r="AS574" s="14" t="str">
        <x:v>No established-register match</x:v>
      </x:c>
      <x:c r="AT574" s="14"/>
      <x:c r="AU574" s="14"/>
      <x:c r="AV574" s="14" t="str">
        <x:v>No established apparent-disability match</x:v>
      </x:c>
      <x:c r="AW574" s="14"/>
      <x:c r="AX574" s="14" t="str">
        <x:v>No</x:v>
      </x:c>
      <x:c r="AY574" s="14" t="str">
        <x:v>Unmatched</x:v>
      </x:c>
      <x:c r="AZ574" s="14" t="str">
        <x:v>Final supplied register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12</x:v>
      </x:c>
      <x:c r="BP574" s="14" t="str">
        <x:v>Maximum supplied eligible IMDb cast-credit total; annual episode total not independently verified.</x:v>
      </x:c>
      <x:c r="BQ574" s="14" t="str">
        <x:v>Medium</x:v>
      </x:c>
      <x:c r="BR574" s="15" t="n">
        <x:v>6</x:v>
      </x:c>
      <x:c r="BS574" s="16" t="n">
        <x:v>0.5</x:v>
      </x:c>
      <x:c r="BT574" s="14" t="str">
        <x:v>Minority of episodes</x:v>
      </x:c>
      <x:c r="BU574" s="14" t="str">
        <x:v>Medium</x:v>
      </x:c>
      <x:c r="BV574" s="14" t="str">
        <x:v>Derived from the supplied IMDb episode count and documented production-total proxy.</x:v>
      </x:c>
      <x:c r="BW574" s="14" t="str">
        <x:v>Unable to determine</x:v>
      </x:c>
      <x:c r="BX574" s="14" t="str">
        <x:v>Cast-list and episode data do not establish narrative prominence.</x:v>
      </x:c>
      <x:c r="BY574" s="14" t="str">
        <x:v>Supplied IMDb cast-list workbook</x:v>
      </x:c>
      <x:c r="BZ57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tt11847842|nm2846393|donal mcdonnell</x:v>
      </x:c>
      <x:c r="B575" s="14" t="str">
        <x:v>07</x:v>
      </x:c>
      <x:c r="C575" s="14" t="str">
        <x:v>2022_IMDb_Cast_Lists_Batch_07(1).xlsx</x:v>
      </x:c>
      <x:c r="D575" s="14" t="str">
        <x:v>The Tourist</x:v>
      </x:c>
      <x:c r="E575" s="14" t="n">
        <x:v>18</x:v>
      </x:c>
      <x:c r="F575" s="14" t="str">
        <x:v>The Tourist</x:v>
      </x:c>
      <x:c r="G575" s="14" t="str">
        <x:v>tt11847842</x:v>
      </x:c>
      <x:c r="H575" s="14" t="n">
        <x:v>2022</x:v>
      </x:c>
      <x:c r="I575" s="14" t="n">
        <x:v>2023</x:v>
      </x:c>
      <x:c r="J575" s="14" t="str">
        <x:v>Future Carry-Forward Cohort</x:v>
      </x:c>
      <x:c r="K575" s="14" t="n">
        <x:v>2022</x:v>
      </x:c>
      <x:c r="L575" s="14" t="str">
        <x:v>Not inherited</x:v>
      </x:c>
      <x:c r="M575" s="15" t="n">
        <x:v>11</x:v>
      </x:c>
      <x:c r="N575" s="14" t="str">
        <x:v>Diarmaid Murtagh</x:v>
      </x:c>
      <x:c r="O575" s="14" t="str">
        <x:v>nm2846393</x:v>
      </x:c>
      <x:c r="P575" s="14" t="str">
        <x:v>Donal McDonnell</x:v>
      </x:c>
      <x:c r="Q575" s="15" t="n">
        <x:v>6</x:v>
      </x:c>
      <x:c r="R575" s="14" t="str">
        <x:v>2024</x:v>
      </x:c>
      <x:c r="S575" s="14" t="n">
        <x:v>2024</x:v>
      </x:c>
      <x:c r="T575" s="14" t="n">
        <x:v>2024</x:v>
      </x:c>
      <x:c r="U575" s="14" t="str">
        <x:v>Explicit source first year retained</x:v>
      </x:c>
      <x:c r="V575" s="14" t="str">
        <x:v>Earliest supplied year is 2024.</x:v>
      </x:c>
      <x:c r="W575" s="14"/>
      <x:c r="X575" s="14" t="str">
        <x:v>Carried forward to 2024</x:v>
      </x:c>
      <x:c r="Y575" s="14"/>
      <x:c r="Z575" s="14" t="str">
        <x:v>The Tourist.docx</x:v>
      </x:c>
      <x:c r="AA57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BBC</x:v>
      </x:c>
      <x:c r="AI575" s="14" t="str">
        <x:v>Qualifying UK co-commission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qualifying uk co-commission.</x:v>
      </x:c>
      <x:c r="AM57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5" s="14" t="str">
        <x:v>BBC public-service co-commission</x:v>
      </x:c>
      <x:c r="AO575" s="14" t="str">
        <x:v>Yes</x:v>
      </x:c>
      <x:c r="AP575" s="14" t="str">
        <x:v>Direct BBC public-service scope</x:v>
      </x:c>
      <x:c r="AQ575" s="14" t="str">
        <x:v>Yes</x:v>
      </x:c>
      <x:c r="AR575" s="14" t="str">
        <x:v>Resolved from master register</x:v>
      </x:c>
      <x:c r="AS575" s="14" t="str">
        <x:v>No established-register match</x:v>
      </x:c>
      <x:c r="AT575" s="14"/>
      <x:c r="AU575" s="14"/>
      <x:c r="AV575" s="14" t="str">
        <x:v>No established apparent-disability match</x:v>
      </x:c>
      <x:c r="AW575" s="14"/>
      <x:c r="AX575" s="14" t="str">
        <x:v>No</x:v>
      </x:c>
      <x:c r="AY575" s="14" t="str">
        <x:v>Unmatched</x:v>
      </x:c>
      <x:c r="AZ575" s="14" t="str">
        <x:v>Final supplied register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12</x:v>
      </x:c>
      <x:c r="BP575" s="14" t="str">
        <x:v>Maximum supplied eligible IMDb cast-credit total; annual episode total not independently verified.</x:v>
      </x:c>
      <x:c r="BQ575" s="14" t="str">
        <x:v>Medium</x:v>
      </x:c>
      <x:c r="BR575" s="15" t="n">
        <x:v>6</x:v>
      </x:c>
      <x:c r="BS575" s="16" t="n">
        <x:v>0.5</x:v>
      </x:c>
      <x:c r="BT575" s="14" t="str">
        <x:v>Minority of episodes</x:v>
      </x:c>
      <x:c r="BU575" s="14" t="str">
        <x:v>Medium</x:v>
      </x:c>
      <x:c r="BV575" s="14" t="str">
        <x:v>Derived from the supplied IMDb episode count and documented production-total proxy.</x:v>
      </x:c>
      <x:c r="BW575" s="14" t="str">
        <x:v>Unable to determine</x:v>
      </x:c>
      <x:c r="BX575" s="14" t="str">
        <x:v>Cast-list and episode data do not establish narrative prominence.</x:v>
      </x:c>
      <x:c r="BY575" s="14" t="str">
        <x:v>Supplied IMDb cast-list workbook</x:v>
      </x:c>
      <x:c r="BZ57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tt11847842|nm0535837|frank mcdonnell</x:v>
      </x:c>
      <x:c r="B576" s="14" t="str">
        <x:v>07</x:v>
      </x:c>
      <x:c r="C576" s="14" t="str">
        <x:v>2022_IMDb_Cast_Lists_Batch_07(1).xlsx</x:v>
      </x:c>
      <x:c r="D576" s="14" t="str">
        <x:v>The Tourist</x:v>
      </x:c>
      <x:c r="E576" s="14" t="n">
        <x:v>19</x:v>
      </x:c>
      <x:c r="F576" s="14" t="str">
        <x:v>The Tourist</x:v>
      </x:c>
      <x:c r="G576" s="14" t="str">
        <x:v>tt11847842</x:v>
      </x:c>
      <x:c r="H576" s="14" t="n">
        <x:v>2022</x:v>
      </x:c>
      <x:c r="I576" s="14" t="n">
        <x:v>2023</x:v>
      </x:c>
      <x:c r="J576" s="14" t="str">
        <x:v>Future Carry-Forward Cohort</x:v>
      </x:c>
      <x:c r="K576" s="14" t="n">
        <x:v>2022</x:v>
      </x:c>
      <x:c r="L576" s="14" t="str">
        <x:v>Not inherited</x:v>
      </x:c>
      <x:c r="M576" s="15" t="n">
        <x:v>12</x:v>
      </x:c>
      <x:c r="N576" s="14" t="str">
        <x:v>Francis Magee</x:v>
      </x:c>
      <x:c r="O576" s="14" t="str">
        <x:v>nm0535837</x:v>
      </x:c>
      <x:c r="P576" s="14" t="str">
        <x:v>Frank McDonnell</x:v>
      </x:c>
      <x:c r="Q576" s="15" t="n">
        <x:v>5</x:v>
      </x:c>
      <x:c r="R576" s="14" t="str">
        <x:v>2024</x:v>
      </x:c>
      <x:c r="S576" s="14" t="n">
        <x:v>2024</x:v>
      </x:c>
      <x:c r="T576" s="14" t="n">
        <x:v>2024</x:v>
      </x:c>
      <x:c r="U576" s="14" t="str">
        <x:v>Explicit source first year retained</x:v>
      </x:c>
      <x:c r="V576" s="14" t="str">
        <x:v>Earliest supplied year is 2024.</x:v>
      </x:c>
      <x:c r="W576" s="14"/>
      <x:c r="X576" s="14" t="str">
        <x:v>Carried forward to 2024</x:v>
      </x:c>
      <x:c r="Y576" s="14"/>
      <x:c r="Z576" s="14" t="str">
        <x:v>The Tourist.docx</x:v>
      </x:c>
      <x:c r="AA57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BBC</x:v>
      </x:c>
      <x:c r="AI576" s="14" t="str">
        <x:v>Qualifying UK co-commission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qualifying uk co-commission.</x:v>
      </x:c>
      <x:c r="AM57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6" s="14" t="str">
        <x:v>BBC public-service co-commission</x:v>
      </x:c>
      <x:c r="AO576" s="14" t="str">
        <x:v>Yes</x:v>
      </x:c>
      <x:c r="AP576" s="14" t="str">
        <x:v>Direct BBC public-service scope</x:v>
      </x:c>
      <x:c r="AQ576" s="14" t="str">
        <x:v>Yes</x:v>
      </x:c>
      <x:c r="AR576" s="14" t="str">
        <x:v>Resolved from master register</x:v>
      </x:c>
      <x:c r="AS576" s="14" t="str">
        <x:v>No established-register match</x:v>
      </x:c>
      <x:c r="AT576" s="14"/>
      <x:c r="AU576" s="14"/>
      <x:c r="AV576" s="14" t="str">
        <x:v>No established apparent-disability match</x:v>
      </x:c>
      <x:c r="AW576" s="14"/>
      <x:c r="AX576" s="14" t="str">
        <x:v>No</x:v>
      </x:c>
      <x:c r="AY576" s="14" t="str">
        <x:v>Unmatched</x:v>
      </x:c>
      <x:c r="AZ576" s="14" t="str">
        <x:v>Final supplied register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12</x:v>
      </x:c>
      <x:c r="BP576" s="14" t="str">
        <x:v>Maximum supplied eligible IMDb cast-credit total; annual episode total not independently verified.</x:v>
      </x:c>
      <x:c r="BQ576" s="14" t="str">
        <x:v>Medium</x:v>
      </x:c>
      <x:c r="BR576" s="15" t="n">
        <x:v>5</x:v>
      </x:c>
      <x:c r="BS576" s="16" t="n">
        <x:v>0.4166666666666667</x:v>
      </x:c>
      <x:c r="BT576" s="14" t="str">
        <x:v>Minority of episodes</x:v>
      </x:c>
      <x:c r="BU576" s="14" t="str">
        <x:v>Medium</x:v>
      </x:c>
      <x:c r="BV576" s="14" t="str">
        <x:v>Derived from the supplied IMDb episode count and documented production-total proxy.</x:v>
      </x:c>
      <x:c r="BW576" s="14" t="str">
        <x:v>Unable to determine</x:v>
      </x:c>
      <x:c r="BX576" s="14" t="str">
        <x:v>Cast-list and episode data do not establish narrative prominence.</x:v>
      </x:c>
      <x:c r="BY576" s="14" t="str">
        <x:v>Supplied IMDb cast-list workbook</x:v>
      </x:c>
      <x:c r="BZ57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tt11847842|nm2286983|tomasz</x:v>
      </x:c>
      <x:c r="B577" s="14" t="str">
        <x:v>07</x:v>
      </x:c>
      <x:c r="C577" s="14" t="str">
        <x:v>2022_IMDb_Cast_Lists_Batch_07(1).xlsx</x:v>
      </x:c>
      <x:c r="D577" s="14" t="str">
        <x:v>The Tourist</x:v>
      </x:c>
      <x:c r="E577" s="14" t="n">
        <x:v>27</x:v>
      </x:c>
      <x:c r="F577" s="14" t="str">
        <x:v>The Tourist</x:v>
      </x:c>
      <x:c r="G577" s="14" t="str">
        <x:v>tt11847842</x:v>
      </x:c>
      <x:c r="H577" s="14" t="n">
        <x:v>2022</x:v>
      </x:c>
      <x:c r="I577" s="14" t="n">
        <x:v>2023</x:v>
      </x:c>
      <x:c r="J577" s="14" t="str">
        <x:v>Future Carry-Forward Cohort</x:v>
      </x:c>
      <x:c r="K577" s="14" t="n">
        <x:v>2022</x:v>
      </x:c>
      <x:c r="L577" s="14" t="str">
        <x:v>Not inherited</x:v>
      </x:c>
      <x:c r="M577" s="15" t="n">
        <x:v>20</x:v>
      </x:c>
      <x:c r="N577" s="14" t="str">
        <x:v>Raresh DiMofte</x:v>
      </x:c>
      <x:c r="O577" s="14" t="str">
        <x:v>nm2286983</x:v>
      </x:c>
      <x:c r="P577" s="14" t="str">
        <x:v>Tomasz</x:v>
      </x:c>
      <x:c r="Q577" s="15" t="n">
        <x:v>4</x:v>
      </x:c>
      <x:c r="R577" s="14" t="str">
        <x:v>2024</x:v>
      </x:c>
      <x:c r="S577" s="14" t="n">
        <x:v>2024</x:v>
      </x:c>
      <x:c r="T577" s="14" t="n">
        <x:v>2024</x:v>
      </x:c>
      <x:c r="U577" s="14" t="str">
        <x:v>Explicit source first year retained</x:v>
      </x:c>
      <x:c r="V577" s="14" t="str">
        <x:v>Earliest supplied year is 2024.</x:v>
      </x:c>
      <x:c r="W577" s="14"/>
      <x:c r="X577" s="14" t="str">
        <x:v>Carried forward to 2024</x:v>
      </x:c>
      <x:c r="Y577" s="14"/>
      <x:c r="Z577" s="14" t="str">
        <x:v>The Tourist.docx</x:v>
      </x:c>
      <x:c r="AA57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BBC</x:v>
      </x:c>
      <x:c r="AI577" s="14" t="str">
        <x:v>Qualifying UK co-commission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qualifying uk co-commission.</x:v>
      </x:c>
      <x:c r="AM57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7" s="14" t="str">
        <x:v>BBC public-service co-commission</x:v>
      </x:c>
      <x:c r="AO577" s="14" t="str">
        <x:v>Yes</x:v>
      </x:c>
      <x:c r="AP577" s="14" t="str">
        <x:v>Direct BBC public-service scope</x:v>
      </x:c>
      <x:c r="AQ577" s="14" t="str">
        <x:v>Yes</x:v>
      </x:c>
      <x:c r="AR577" s="14" t="str">
        <x:v>Resolved from master register</x:v>
      </x:c>
      <x:c r="AS577" s="14" t="str">
        <x:v>No established-register match</x:v>
      </x:c>
      <x:c r="AT577" s="14"/>
      <x:c r="AU577" s="14"/>
      <x:c r="AV577" s="14" t="str">
        <x:v>No established apparent-disability match</x:v>
      </x:c>
      <x:c r="AW577" s="14"/>
      <x:c r="AX577" s="14" t="str">
        <x:v>No</x:v>
      </x:c>
      <x:c r="AY577" s="14" t="str">
        <x:v>Unmatched</x:v>
      </x:c>
      <x:c r="AZ577" s="14" t="str">
        <x:v>Final supplied register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12</x:v>
      </x:c>
      <x:c r="BP577" s="14" t="str">
        <x:v>Maximum supplied eligible IMDb cast-credit total; annual episode total not independently verified.</x:v>
      </x:c>
      <x:c r="BQ577" s="14" t="str">
        <x:v>Medium</x:v>
      </x:c>
      <x:c r="BR577" s="15" t="n">
        <x:v>4</x:v>
      </x:c>
      <x:c r="BS577" s="16" t="n">
        <x:v>0.3333333333333333</x:v>
      </x:c>
      <x:c r="BT577" s="14" t="str">
        <x:v>Minority of episodes</x:v>
      </x:c>
      <x:c r="BU577" s="14" t="str">
        <x:v>Medium</x:v>
      </x:c>
      <x:c r="BV577" s="14" t="str">
        <x:v>Derived from the supplied IMDb episode count and documented production-total proxy.</x:v>
      </x:c>
      <x:c r="BW577" s="14" t="str">
        <x:v>Unable to determine</x:v>
      </x:c>
      <x:c r="BX577" s="14" t="str">
        <x:v>Cast-list and episode data do not establish narrative prominence.</x:v>
      </x:c>
      <x:c r="BY577" s="14" t="str">
        <x:v>Supplied IMDb cast-list workbook</x:v>
      </x:c>
      <x:c r="BZ57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tt11847842|nm4147043|monsieur tioté</x:v>
      </x:c>
      <x:c r="B578" s="14" t="str">
        <x:v>07</x:v>
      </x:c>
      <x:c r="C578" s="14" t="str">
        <x:v>2022_IMDb_Cast_Lists_Batch_07(1).xlsx</x:v>
      </x:c>
      <x:c r="D578" s="14" t="str">
        <x:v>The Tourist</x:v>
      </x:c>
      <x:c r="E578" s="14" t="n">
        <x:v>32</x:v>
      </x:c>
      <x:c r="F578" s="14" t="str">
        <x:v>The Tourist</x:v>
      </x:c>
      <x:c r="G578" s="14" t="str">
        <x:v>tt11847842</x:v>
      </x:c>
      <x:c r="H578" s="14" t="n">
        <x:v>2022</x:v>
      </x:c>
      <x:c r="I578" s="14" t="n">
        <x:v>2023</x:v>
      </x:c>
      <x:c r="J578" s="14" t="str">
        <x:v>Future Carry-Forward Cohort</x:v>
      </x:c>
      <x:c r="K578" s="14" t="n">
        <x:v>2022</x:v>
      </x:c>
      <x:c r="L578" s="14" t="str">
        <x:v>Not inherited</x:v>
      </x:c>
      <x:c r="M578" s="15" t="n">
        <x:v>25</x:v>
      </x:c>
      <x:c r="N578" s="14" t="str">
        <x:v>Réginal Kudiwu</x:v>
      </x:c>
      <x:c r="O578" s="14" t="str">
        <x:v>nm4147043</x:v>
      </x:c>
      <x:c r="P578" s="14" t="str">
        <x:v>Monsieur Tioté</x:v>
      </x:c>
      <x:c r="Q578" s="15" t="n">
        <x:v>3</x:v>
      </x:c>
      <x:c r="R578" s="14" t="str">
        <x:v>2024</x:v>
      </x:c>
      <x:c r="S578" s="14" t="n">
        <x:v>2024</x:v>
      </x:c>
      <x:c r="T578" s="14" t="n">
        <x:v>2024</x:v>
      </x:c>
      <x:c r="U578" s="14" t="str">
        <x:v>Explicit source first year retained</x:v>
      </x:c>
      <x:c r="V578" s="14" t="str">
        <x:v>Earliest supplied year is 2024.</x:v>
      </x:c>
      <x:c r="W578" s="14"/>
      <x:c r="X578" s="14" t="str">
        <x:v>Carried forward to 2024</x:v>
      </x:c>
      <x:c r="Y578" s="14"/>
      <x:c r="Z578" s="14" t="str">
        <x:v>The Tourist.docx</x:v>
      </x:c>
      <x:c r="AA57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BBC</x:v>
      </x:c>
      <x:c r="AI578" s="14" t="str">
        <x:v>Qualifying UK co-commission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qualifying uk co-commission.</x:v>
      </x:c>
      <x:c r="AM57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8" s="14" t="str">
        <x:v>BBC public-service co-commission</x:v>
      </x:c>
      <x:c r="AO578" s="14" t="str">
        <x:v>Yes</x:v>
      </x:c>
      <x:c r="AP578" s="14" t="str">
        <x:v>Direct BBC public-service scope</x:v>
      </x:c>
      <x:c r="AQ578" s="14" t="str">
        <x:v>Yes</x:v>
      </x:c>
      <x:c r="AR578" s="14" t="str">
        <x:v>Resolved from master register</x:v>
      </x:c>
      <x:c r="AS578" s="14" t="str">
        <x:v>No established-register match</x:v>
      </x:c>
      <x:c r="AT578" s="14"/>
      <x:c r="AU578" s="14"/>
      <x:c r="AV578" s="14" t="str">
        <x:v>No established apparent-disability match</x:v>
      </x:c>
      <x:c r="AW578" s="14"/>
      <x:c r="AX578" s="14" t="str">
        <x:v>No</x:v>
      </x:c>
      <x:c r="AY578" s="14" t="str">
        <x:v>Unmatched</x:v>
      </x:c>
      <x:c r="AZ578" s="14" t="str">
        <x:v>Final supplied register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12</x:v>
      </x:c>
      <x:c r="BP578" s="14" t="str">
        <x:v>Maximum supplied eligible IMDb cast-credit total; annual episode total not independently verified.</x:v>
      </x:c>
      <x:c r="BQ578" s="14" t="str">
        <x:v>Medium</x:v>
      </x:c>
      <x:c r="BR578" s="15" t="n">
        <x:v>3</x:v>
      </x:c>
      <x:c r="BS578" s="16" t="n">
        <x:v>0.25</x:v>
      </x:c>
      <x:c r="BT578" s="14" t="str">
        <x:v>Minority of episodes</x:v>
      </x:c>
      <x:c r="BU578" s="14" t="str">
        <x:v>Medium</x:v>
      </x:c>
      <x:c r="BV578" s="14" t="str">
        <x:v>Derived from the supplied IMDb episode count and documented production-total proxy.</x:v>
      </x:c>
      <x:c r="BW578" s="14" t="str">
        <x:v>Unable to determine</x:v>
      </x:c>
      <x:c r="BX578" s="14" t="str">
        <x:v>Cast-list and episode data do not establish narrative prominence.</x:v>
      </x:c>
      <x:c r="BY578" s="14" t="str">
        <x:v>Supplied IMDb cast-list workbook</x:v>
      </x:c>
      <x:c r="BZ57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tt11847842|nm4692390|deirdre</x:v>
      </x:c>
      <x:c r="B579" s="14" t="str">
        <x:v>07</x:v>
      </x:c>
      <x:c r="C579" s="14" t="str">
        <x:v>2022_IMDb_Cast_Lists_Batch_07(1).xlsx</x:v>
      </x:c>
      <x:c r="D579" s="14" t="str">
        <x:v>The Tourist</x:v>
      </x:c>
      <x:c r="E579" s="14" t="n">
        <x:v>33</x:v>
      </x:c>
      <x:c r="F579" s="14" t="str">
        <x:v>The Tourist</x:v>
      </x:c>
      <x:c r="G579" s="14" t="str">
        <x:v>tt11847842</x:v>
      </x:c>
      <x:c r="H579" s="14" t="n">
        <x:v>2022</x:v>
      </x:c>
      <x:c r="I579" s="14" t="n">
        <x:v>2023</x:v>
      </x:c>
      <x:c r="J579" s="14" t="str">
        <x:v>Future Carry-Forward Cohort</x:v>
      </x:c>
      <x:c r="K579" s="14" t="n">
        <x:v>2022</x:v>
      </x:c>
      <x:c r="L579" s="14" t="str">
        <x:v>Not inherited</x:v>
      </x:c>
      <x:c r="M579" s="15" t="n">
        <x:v>26</x:v>
      </x:c>
      <x:c r="N579" s="14" t="str">
        <x:v>Alma Kickham</x:v>
      </x:c>
      <x:c r="O579" s="14" t="str">
        <x:v>nm4692390</x:v>
      </x:c>
      <x:c r="P579" s="14" t="str">
        <x:v>Deirdre</x:v>
      </x:c>
      <x:c r="Q579" s="15" t="n">
        <x:v>3</x:v>
      </x:c>
      <x:c r="R579" s="14" t="str">
        <x:v>2024</x:v>
      </x:c>
      <x:c r="S579" s="14" t="n">
        <x:v>2024</x:v>
      </x:c>
      <x:c r="T579" s="14" t="n">
        <x:v>2024</x:v>
      </x:c>
      <x:c r="U579" s="14" t="str">
        <x:v>Explicit source first year retained</x:v>
      </x:c>
      <x:c r="V579" s="14" t="str">
        <x:v>Earliest supplied year is 2024.</x:v>
      </x:c>
      <x:c r="W579" s="14"/>
      <x:c r="X579" s="14" t="str">
        <x:v>Carried forward to 2024</x:v>
      </x:c>
      <x:c r="Y579" s="14"/>
      <x:c r="Z579" s="14" t="str">
        <x:v>The Tourist.docx</x:v>
      </x:c>
      <x:c r="AA57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BBC</x:v>
      </x:c>
      <x:c r="AI579" s="14" t="str">
        <x:v>Qualifying UK co-commission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qualifying uk co-commission.</x:v>
      </x:c>
      <x:c r="AM57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9" s="14" t="str">
        <x:v>BBC public-service co-commission</x:v>
      </x:c>
      <x:c r="AO579" s="14" t="str">
        <x:v>Yes</x:v>
      </x:c>
      <x:c r="AP579" s="14" t="str">
        <x:v>Direct BBC public-service scope</x:v>
      </x:c>
      <x:c r="AQ579" s="14" t="str">
        <x:v>Yes</x:v>
      </x:c>
      <x:c r="AR579" s="14" t="str">
        <x:v>Resolved from master register</x:v>
      </x:c>
      <x:c r="AS579" s="14" t="str">
        <x:v>No established-register match</x:v>
      </x:c>
      <x:c r="AT579" s="14"/>
      <x:c r="AU579" s="14"/>
      <x:c r="AV579" s="14" t="str">
        <x:v>No established apparent-disability match</x:v>
      </x:c>
      <x:c r="AW579" s="14"/>
      <x:c r="AX579" s="14" t="str">
        <x:v>No</x:v>
      </x:c>
      <x:c r="AY579" s="14" t="str">
        <x:v>Unmatched</x:v>
      </x:c>
      <x:c r="AZ579" s="14" t="str">
        <x:v>Final supplied register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12</x:v>
      </x:c>
      <x:c r="BP579" s="14" t="str">
        <x:v>Maximum supplied eligible IMDb cast-credit total; annual episode total not independently verified.</x:v>
      </x:c>
      <x:c r="BQ579" s="14" t="str">
        <x:v>Medium</x:v>
      </x:c>
      <x:c r="BR579" s="15" t="n">
        <x:v>3</x:v>
      </x:c>
      <x:c r="BS579" s="16" t="n">
        <x:v>0.25</x:v>
      </x:c>
      <x:c r="BT579" s="14" t="str">
        <x:v>Minority of episodes</x:v>
      </x:c>
      <x:c r="BU579" s="14" t="str">
        <x:v>Medium</x:v>
      </x:c>
      <x:c r="BV579" s="14" t="str">
        <x:v>Derived from the supplied IMDb episode count and documented production-total proxy.</x:v>
      </x:c>
      <x:c r="BW579" s="14" t="str">
        <x:v>Unable to determine</x:v>
      </x:c>
      <x:c r="BX579" s="14" t="str">
        <x:v>Cast-list and episode data do not establish narrative prominence.</x:v>
      </x:c>
      <x:c r="BY579" s="14" t="str">
        <x:v>Supplied IMDb cast-list workbook</x:v>
      </x:c>
      <x:c r="BZ57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tt11847842|nm6430721|fiona (ruairi's mum)</x:v>
      </x:c>
      <x:c r="B580" s="14" t="str">
        <x:v>07</x:v>
      </x:c>
      <x:c r="C580" s="14" t="str">
        <x:v>2022_IMDb_Cast_Lists_Batch_07(1).xlsx</x:v>
      </x:c>
      <x:c r="D580" s="14" t="str">
        <x:v>The Tourist</x:v>
      </x:c>
      <x:c r="E580" s="14" t="n">
        <x:v>34</x:v>
      </x:c>
      <x:c r="F580" s="14" t="str">
        <x:v>The Tourist</x:v>
      </x:c>
      <x:c r="G580" s="14" t="str">
        <x:v>tt11847842</x:v>
      </x:c>
      <x:c r="H580" s="14" t="n">
        <x:v>2022</x:v>
      </x:c>
      <x:c r="I580" s="14" t="n">
        <x:v>2023</x:v>
      </x:c>
      <x:c r="J580" s="14" t="str">
        <x:v>Future Carry-Forward Cohort</x:v>
      </x:c>
      <x:c r="K580" s="14" t="n">
        <x:v>2022</x:v>
      </x:c>
      <x:c r="L580" s="14" t="str">
        <x:v>Not inherited</x:v>
      </x:c>
      <x:c r="M580" s="15" t="n">
        <x:v>27</x:v>
      </x:c>
      <x:c r="N580" s="14" t="str">
        <x:v>Emer Casey</x:v>
      </x:c>
      <x:c r="O580" s="14" t="str">
        <x:v>nm6430721</x:v>
      </x:c>
      <x:c r="P580" s="14" t="str">
        <x:v>Fiona (Ruairi's Mum)</x:v>
      </x:c>
      <x:c r="Q580" s="15" t="n">
        <x:v>3</x:v>
      </x:c>
      <x:c r="R580" s="14" t="str">
        <x:v>2024</x:v>
      </x:c>
      <x:c r="S580" s="14" t="n">
        <x:v>2024</x:v>
      </x:c>
      <x:c r="T580" s="14" t="n">
        <x:v>2024</x:v>
      </x:c>
      <x:c r="U580" s="14" t="str">
        <x:v>Explicit source first year retained</x:v>
      </x:c>
      <x:c r="V580" s="14" t="str">
        <x:v>Earliest supplied year is 2024.</x:v>
      </x:c>
      <x:c r="W580" s="14"/>
      <x:c r="X580" s="14" t="str">
        <x:v>Carried forward to 2024</x:v>
      </x:c>
      <x:c r="Y580" s="14"/>
      <x:c r="Z580" s="14" t="str">
        <x:v>The Tourist.docx</x:v>
      </x:c>
      <x:c r="AA58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BBC</x:v>
      </x:c>
      <x:c r="AI580" s="14" t="str">
        <x:v>Qualifying UK co-commission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qualifying uk co-commission.</x:v>
      </x:c>
      <x:c r="AM58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0" s="14" t="str">
        <x:v>BBC public-service co-commission</x:v>
      </x:c>
      <x:c r="AO580" s="14" t="str">
        <x:v>Yes</x:v>
      </x:c>
      <x:c r="AP580" s="14" t="str">
        <x:v>Direct BBC public-service scope</x:v>
      </x:c>
      <x:c r="AQ580" s="14" t="str">
        <x:v>Yes</x:v>
      </x:c>
      <x:c r="AR580" s="14" t="str">
        <x:v>Resolved from master register</x:v>
      </x:c>
      <x:c r="AS580" s="14" t="str">
        <x:v>No established-register match</x:v>
      </x:c>
      <x:c r="AT580" s="14"/>
      <x:c r="AU580" s="14"/>
      <x:c r="AV580" s="14" t="str">
        <x:v>No established apparent-disability match</x:v>
      </x:c>
      <x:c r="AW580" s="14"/>
      <x:c r="AX580" s="14" t="str">
        <x:v>No</x:v>
      </x:c>
      <x:c r="AY580" s="14" t="str">
        <x:v>Unmatched</x:v>
      </x:c>
      <x:c r="AZ580" s="14" t="str">
        <x:v>Final supplied register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12</x:v>
      </x:c>
      <x:c r="BP580" s="14" t="str">
        <x:v>Maximum supplied eligible IMDb cast-credit total; annual episode total not independently verified.</x:v>
      </x:c>
      <x:c r="BQ580" s="14" t="str">
        <x:v>Medium</x:v>
      </x:c>
      <x:c r="BR580" s="15" t="n">
        <x:v>3</x:v>
      </x:c>
      <x:c r="BS580" s="16" t="n">
        <x:v>0.25</x:v>
      </x:c>
      <x:c r="BT580" s="14" t="str">
        <x:v>Minority of episodes</x:v>
      </x:c>
      <x:c r="BU580" s="14" t="str">
        <x:v>Medium</x:v>
      </x:c>
      <x:c r="BV580" s="14" t="str">
        <x:v>Derived from the supplied IMDb episode count and documented production-total proxy.</x:v>
      </x:c>
      <x:c r="BW580" s="14" t="str">
        <x:v>Unable to determine</x:v>
      </x:c>
      <x:c r="BX580" s="14" t="str">
        <x:v>Cast-list and episode data do not establish narrative prominence.</x:v>
      </x:c>
      <x:c r="BY580" s="14" t="str">
        <x:v>Supplied IMDb cast-list workbook</x:v>
      </x:c>
      <x:c r="BZ58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tt11847842|nm8651742|sergeant o'brien</x:v>
      </x:c>
      <x:c r="B581" s="14" t="str">
        <x:v>07</x:v>
      </x:c>
      <x:c r="C581" s="14" t="str">
        <x:v>2022_IMDb_Cast_Lists_Batch_07(1).xlsx</x:v>
      </x:c>
      <x:c r="D581" s="14" t="str">
        <x:v>The Tourist</x:v>
      </x:c>
      <x:c r="E581" s="14" t="n">
        <x:v>35</x:v>
      </x:c>
      <x:c r="F581" s="14" t="str">
        <x:v>The Tourist</x:v>
      </x:c>
      <x:c r="G581" s="14" t="str">
        <x:v>tt11847842</x:v>
      </x:c>
      <x:c r="H581" s="14" t="n">
        <x:v>2022</x:v>
      </x:c>
      <x:c r="I581" s="14" t="n">
        <x:v>2023</x:v>
      </x:c>
      <x:c r="J581" s="14" t="str">
        <x:v>Future Carry-Forward Cohort</x:v>
      </x:c>
      <x:c r="K581" s="14" t="n">
        <x:v>2022</x:v>
      </x:c>
      <x:c r="L581" s="14" t="str">
        <x:v>Not inherited</x:v>
      </x:c>
      <x:c r="M581" s="15" t="n">
        <x:v>28</x:v>
      </x:c>
      <x:c r="N581" s="14" t="str">
        <x:v>Eoin Duffy</x:v>
      </x:c>
      <x:c r="O581" s="14" t="str">
        <x:v>nm8651742</x:v>
      </x:c>
      <x:c r="P581" s="14" t="str">
        <x:v>Sergeant O'Brien</x:v>
      </x:c>
      <x:c r="Q581" s="15" t="n">
        <x:v>3</x:v>
      </x:c>
      <x:c r="R581" s="14" t="str">
        <x:v>2024</x:v>
      </x:c>
      <x:c r="S581" s="14" t="n">
        <x:v>2024</x:v>
      </x:c>
      <x:c r="T581" s="14" t="n">
        <x:v>2024</x:v>
      </x:c>
      <x:c r="U581" s="14" t="str">
        <x:v>Explicit source first year retained</x:v>
      </x:c>
      <x:c r="V581" s="14" t="str">
        <x:v>Earliest supplied year is 2024.</x:v>
      </x:c>
      <x:c r="W581" s="14"/>
      <x:c r="X581" s="14" t="str">
        <x:v>Carried forward to 2024</x:v>
      </x:c>
      <x:c r="Y581" s="14"/>
      <x:c r="Z581" s="14" t="str">
        <x:v>The Tourist.docx</x:v>
      </x:c>
      <x:c r="AA58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BBC</x:v>
      </x:c>
      <x:c r="AI581" s="14" t="str">
        <x:v>Qualifying UK co-commission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qualifying uk co-commission.</x:v>
      </x:c>
      <x:c r="AM58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1" s="14" t="str">
        <x:v>BBC public-service co-commission</x:v>
      </x:c>
      <x:c r="AO581" s="14" t="str">
        <x:v>Yes</x:v>
      </x:c>
      <x:c r="AP581" s="14" t="str">
        <x:v>Direct BBC public-service scope</x:v>
      </x:c>
      <x:c r="AQ581" s="14" t="str">
        <x:v>Yes</x:v>
      </x:c>
      <x:c r="AR581" s="14" t="str">
        <x:v>Resolved from master register</x:v>
      </x:c>
      <x:c r="AS581" s="14" t="str">
        <x:v>No established-register match</x:v>
      </x:c>
      <x:c r="AT581" s="14"/>
      <x:c r="AU581" s="14"/>
      <x:c r="AV581" s="14" t="str">
        <x:v>No established apparent-disability match</x:v>
      </x:c>
      <x:c r="AW581" s="14"/>
      <x:c r="AX581" s="14" t="str">
        <x:v>No</x:v>
      </x:c>
      <x:c r="AY581" s="14" t="str">
        <x:v>Unmatched</x:v>
      </x:c>
      <x:c r="AZ581" s="14" t="str">
        <x:v>Final supplied register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12</x:v>
      </x:c>
      <x:c r="BP581" s="14" t="str">
        <x:v>Maximum supplied eligible IMDb cast-credit total; annual episode total not independently verified.</x:v>
      </x:c>
      <x:c r="BQ581" s="14" t="str">
        <x:v>Medium</x:v>
      </x:c>
      <x:c r="BR581" s="15" t="n">
        <x:v>3</x:v>
      </x:c>
      <x:c r="BS581" s="16" t="n">
        <x:v>0.25</x:v>
      </x:c>
      <x:c r="BT581" s="14" t="str">
        <x:v>Minority of episodes</x:v>
      </x:c>
      <x:c r="BU581" s="14" t="str">
        <x:v>Medium</x:v>
      </x:c>
      <x:c r="BV581" s="14" t="str">
        <x:v>Derived from the supplied IMDb episode count and documented production-total proxy.</x:v>
      </x:c>
      <x:c r="BW581" s="14" t="str">
        <x:v>Unable to determine</x:v>
      </x:c>
      <x:c r="BX581" s="14" t="str">
        <x:v>Cast-list and episode data do not establish narrative prominence.</x:v>
      </x:c>
      <x:c r="BY581" s="14" t="str">
        <x:v>Supplied IMDb cast-list workbook</x:v>
      </x:c>
      <x:c r="BZ58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tt11847842|nm9111156|ricky</x:v>
      </x:c>
      <x:c r="B582" s="14" t="str">
        <x:v>07</x:v>
      </x:c>
      <x:c r="C582" s="14" t="str">
        <x:v>2022_IMDb_Cast_Lists_Batch_07(1).xlsx</x:v>
      </x:c>
      <x:c r="D582" s="14" t="str">
        <x:v>The Tourist</x:v>
      </x:c>
      <x:c r="E582" s="14" t="n">
        <x:v>43</x:v>
      </x:c>
      <x:c r="F582" s="14" t="str">
        <x:v>The Tourist</x:v>
      </x:c>
      <x:c r="G582" s="14" t="str">
        <x:v>tt11847842</x:v>
      </x:c>
      <x:c r="H582" s="14" t="n">
        <x:v>2022</x:v>
      </x:c>
      <x:c r="I582" s="14" t="n">
        <x:v>2023</x:v>
      </x:c>
      <x:c r="J582" s="14" t="str">
        <x:v>Future Carry-Forward Cohort</x:v>
      </x:c>
      <x:c r="K582" s="14" t="n">
        <x:v>2022</x:v>
      </x:c>
      <x:c r="L582" s="14" t="str">
        <x:v>Not inherited</x:v>
      </x:c>
      <x:c r="M582" s="15" t="n">
        <x:v>36</x:v>
      </x:c>
      <x:c r="N582" s="14" t="str">
        <x:v>Chris McCurry</x:v>
      </x:c>
      <x:c r="O582" s="14" t="str">
        <x:v>nm9111156</x:v>
      </x:c>
      <x:c r="P582" s="14" t="str">
        <x:v>Ricky</x:v>
      </x:c>
      <x:c r="Q582" s="15" t="n">
        <x:v>2</x:v>
      </x:c>
      <x:c r="R582" s="14" t="str">
        <x:v>2024</x:v>
      </x:c>
      <x:c r="S582" s="14" t="n">
        <x:v>2024</x:v>
      </x:c>
      <x:c r="T582" s="14" t="n">
        <x:v>2024</x:v>
      </x:c>
      <x:c r="U582" s="14" t="str">
        <x:v>Explicit source first year retained</x:v>
      </x:c>
      <x:c r="V582" s="14" t="str">
        <x:v>Earliest supplied year is 2024.</x:v>
      </x:c>
      <x:c r="W582" s="14"/>
      <x:c r="X582" s="14" t="str">
        <x:v>Carried forward to 2024</x:v>
      </x:c>
      <x:c r="Y582" s="14"/>
      <x:c r="Z582" s="14" t="str">
        <x:v>The Tourist.docx</x:v>
      </x:c>
      <x:c r="AA58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BBC</x:v>
      </x:c>
      <x:c r="AI582" s="14" t="str">
        <x:v>Qualifying UK co-commission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qualifying uk co-commission.</x:v>
      </x:c>
      <x:c r="AM58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2" s="14" t="str">
        <x:v>BBC public-service co-commission</x:v>
      </x:c>
      <x:c r="AO582" s="14" t="str">
        <x:v>Yes</x:v>
      </x:c>
      <x:c r="AP582" s="14" t="str">
        <x:v>Direct BBC public-service scope</x:v>
      </x:c>
      <x:c r="AQ582" s="14" t="str">
        <x:v>Yes</x:v>
      </x:c>
      <x:c r="AR582" s="14" t="str">
        <x:v>Resolved from master register</x:v>
      </x:c>
      <x:c r="AS582" s="14" t="str">
        <x:v>No established-register match</x:v>
      </x:c>
      <x:c r="AT582" s="14"/>
      <x:c r="AU582" s="14"/>
      <x:c r="AV582" s="14" t="str">
        <x:v>No established apparent-disability match</x:v>
      </x:c>
      <x:c r="AW582" s="14"/>
      <x:c r="AX582" s="14" t="str">
        <x:v>No</x:v>
      </x:c>
      <x:c r="AY582" s="14" t="str">
        <x:v>Unmatched</x:v>
      </x:c>
      <x:c r="AZ582" s="14" t="str">
        <x:v>Final supplied register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12</x:v>
      </x:c>
      <x:c r="BP582" s="14" t="str">
        <x:v>Maximum supplied eligible IMDb cast-credit total; annual episode total not independently verified.</x:v>
      </x:c>
      <x:c r="BQ582" s="14" t="str">
        <x:v>Medium</x:v>
      </x:c>
      <x:c r="BR582" s="15" t="n">
        <x:v>2</x:v>
      </x:c>
      <x:c r="BS582" s="16" t="n">
        <x:v>0.16666666666666666</x:v>
      </x:c>
      <x:c r="BT582" s="14" t="str">
        <x:v>Minority of episodes</x:v>
      </x:c>
      <x:c r="BU582" s="14" t="str">
        <x:v>Medium</x:v>
      </x:c>
      <x:c r="BV582" s="14" t="str">
        <x:v>Derived from the supplied IMDb episode count and documented production-total proxy.</x:v>
      </x:c>
      <x:c r="BW582" s="14" t="str">
        <x:v>Unable to determine</x:v>
      </x:c>
      <x:c r="BX582" s="14" t="str">
        <x:v>Cast-list and episode data do not establish narrative prominence.</x:v>
      </x:c>
      <x:c r="BY582" s="14" t="str">
        <x:v>Supplied IMDb cast-list workbook</x:v>
      </x:c>
      <x:c r="BZ58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tt11847842|nm2410356|sean</x:v>
      </x:c>
      <x:c r="B583" s="14" t="str">
        <x:v>07</x:v>
      </x:c>
      <x:c r="C583" s="14" t="str">
        <x:v>2022_IMDb_Cast_Lists_Batch_07(1).xlsx</x:v>
      </x:c>
      <x:c r="D583" s="14" t="str">
        <x:v>The Tourist</x:v>
      </x:c>
      <x:c r="E583" s="14" t="n">
        <x:v>44</x:v>
      </x:c>
      <x:c r="F583" s="14" t="str">
        <x:v>The Tourist</x:v>
      </x:c>
      <x:c r="G583" s="14" t="str">
        <x:v>tt11847842</x:v>
      </x:c>
      <x:c r="H583" s="14" t="n">
        <x:v>2022</x:v>
      </x:c>
      <x:c r="I583" s="14" t="n">
        <x:v>2023</x:v>
      </x:c>
      <x:c r="J583" s="14" t="str">
        <x:v>Future Carry-Forward Cohort</x:v>
      </x:c>
      <x:c r="K583" s="14" t="n">
        <x:v>2022</x:v>
      </x:c>
      <x:c r="L583" s="14" t="str">
        <x:v>Not inherited</x:v>
      </x:c>
      <x:c r="M583" s="15" t="n">
        <x:v>37</x:v>
      </x:c>
      <x:c r="N583" s="14" t="str">
        <x:v>Brian Robinson</x:v>
      </x:c>
      <x:c r="O583" s="14" t="str">
        <x:v>nm2410356</x:v>
      </x:c>
      <x:c r="P583" s="14" t="str">
        <x:v>Sean</x:v>
      </x:c>
      <x:c r="Q583" s="15" t="n">
        <x:v>2</x:v>
      </x:c>
      <x:c r="R583" s="14" t="str">
        <x:v>2024</x:v>
      </x:c>
      <x:c r="S583" s="14" t="n">
        <x:v>2024</x:v>
      </x:c>
      <x:c r="T583" s="14" t="n">
        <x:v>2024</x:v>
      </x:c>
      <x:c r="U583" s="14" t="str">
        <x:v>Explicit source first year retained</x:v>
      </x:c>
      <x:c r="V583" s="14" t="str">
        <x:v>Earliest supplied year is 2024.</x:v>
      </x:c>
      <x:c r="W583" s="14"/>
      <x:c r="X583" s="14" t="str">
        <x:v>Carried forward to 2024</x:v>
      </x:c>
      <x:c r="Y583" s="14"/>
      <x:c r="Z583" s="14" t="str">
        <x:v>The Tourist.docx</x:v>
      </x:c>
      <x:c r="AA58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BBC</x:v>
      </x:c>
      <x:c r="AI583" s="14" t="str">
        <x:v>Qualifying UK co-commission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qualifying uk co-commission.</x:v>
      </x:c>
      <x:c r="AM58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3" s="14" t="str">
        <x:v>BBC public-service co-commission</x:v>
      </x:c>
      <x:c r="AO583" s="14" t="str">
        <x:v>Yes</x:v>
      </x:c>
      <x:c r="AP583" s="14" t="str">
        <x:v>Direct BBC public-service scope</x:v>
      </x:c>
      <x:c r="AQ583" s="14" t="str">
        <x:v>Yes</x:v>
      </x:c>
      <x:c r="AR583" s="14" t="str">
        <x:v>Resolved from master register</x:v>
      </x:c>
      <x:c r="AS583" s="14" t="str">
        <x:v>No established-register match</x:v>
      </x:c>
      <x:c r="AT583" s="14"/>
      <x:c r="AU583" s="14"/>
      <x:c r="AV583" s="14" t="str">
        <x:v>No established apparent-disability match</x:v>
      </x:c>
      <x:c r="AW583" s="14"/>
      <x:c r="AX583" s="14" t="str">
        <x:v>No</x:v>
      </x:c>
      <x:c r="AY583" s="14" t="str">
        <x:v>Unmatched</x:v>
      </x:c>
      <x:c r="AZ583" s="14" t="str">
        <x:v>Final supplied register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12</x:v>
      </x:c>
      <x:c r="BP583" s="14" t="str">
        <x:v>Maximum supplied eligible IMDb cast-credit total; annual episode total not independently verified.</x:v>
      </x:c>
      <x:c r="BQ583" s="14" t="str">
        <x:v>Medium</x:v>
      </x:c>
      <x:c r="BR583" s="15" t="n">
        <x:v>2</x:v>
      </x:c>
      <x:c r="BS583" s="16" t="n">
        <x:v>0.16666666666666666</x:v>
      </x:c>
      <x:c r="BT583" s="14" t="str">
        <x:v>Minority of episodes</x:v>
      </x:c>
      <x:c r="BU583" s="14" t="str">
        <x:v>Medium</x:v>
      </x:c>
      <x:c r="BV583" s="14" t="str">
        <x:v>Derived from the supplied IMDb episode count and documented production-total proxy.</x:v>
      </x:c>
      <x:c r="BW583" s="14" t="str">
        <x:v>Unable to determine</x:v>
      </x:c>
      <x:c r="BX583" s="14" t="str">
        <x:v>Cast-list and episode data do not establish narrative prominence.</x:v>
      </x:c>
      <x:c r="BY583" s="14" t="str">
        <x:v>Supplied IMDb cast-list workbook</x:v>
      </x:c>
      <x:c r="BZ58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tt11847842|nm8719478|young woman / young niamh</x:v>
      </x:c>
      <x:c r="B584" s="14" t="str">
        <x:v>07</x:v>
      </x:c>
      <x:c r="C584" s="14" t="str">
        <x:v>2022_IMDb_Cast_Lists_Batch_07(1).xlsx</x:v>
      </x:c>
      <x:c r="D584" s="14" t="str">
        <x:v>The Tourist</x:v>
      </x:c>
      <x:c r="E584" s="14" t="n">
        <x:v>45</x:v>
      </x:c>
      <x:c r="F584" s="14" t="str">
        <x:v>The Tourist</x:v>
      </x:c>
      <x:c r="G584" s="14" t="str">
        <x:v>tt11847842</x:v>
      </x:c>
      <x:c r="H584" s="14" t="n">
        <x:v>2022</x:v>
      </x:c>
      <x:c r="I584" s="14" t="n">
        <x:v>2023</x:v>
      </x:c>
      <x:c r="J584" s="14" t="str">
        <x:v>Future Carry-Forward Cohort</x:v>
      </x:c>
      <x:c r="K584" s="14" t="n">
        <x:v>2022</x:v>
      </x:c>
      <x:c r="L584" s="14" t="str">
        <x:v>Not inherited</x:v>
      </x:c>
      <x:c r="M584" s="15" t="n">
        <x:v>38</x:v>
      </x:c>
      <x:c r="N584" s="14" t="str">
        <x:v>Maeve Smyth</x:v>
      </x:c>
      <x:c r="O584" s="14" t="str">
        <x:v>nm8719478</x:v>
      </x:c>
      <x:c r="P584" s="14" t="str">
        <x:v>Young Woman / Young Niamh</x:v>
      </x:c>
      <x:c r="Q584" s="15" t="n">
        <x:v>2</x:v>
      </x:c>
      <x:c r="R584" s="14" t="str">
        <x:v>2024</x:v>
      </x:c>
      <x:c r="S584" s="14" t="n">
        <x:v>2024</x:v>
      </x:c>
      <x:c r="T584" s="14" t="n">
        <x:v>2024</x:v>
      </x:c>
      <x:c r="U584" s="14" t="str">
        <x:v>Explicit source first year retained</x:v>
      </x:c>
      <x:c r="V584" s="14" t="str">
        <x:v>Earliest supplied year is 2024.</x:v>
      </x:c>
      <x:c r="W584" s="14"/>
      <x:c r="X584" s="14" t="str">
        <x:v>Carried forward to 2024</x:v>
      </x:c>
      <x:c r="Y584" s="14"/>
      <x:c r="Z584" s="14" t="str">
        <x:v>The Tourist.docx</x:v>
      </x:c>
      <x:c r="AA58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BBC</x:v>
      </x:c>
      <x:c r="AI584" s="14" t="str">
        <x:v>Qualifying UK co-commission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qualifying uk co-commission.</x:v>
      </x:c>
      <x:c r="AM58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4" s="14" t="str">
        <x:v>BBC public-service co-commission</x:v>
      </x:c>
      <x:c r="AO584" s="14" t="str">
        <x:v>Yes</x:v>
      </x:c>
      <x:c r="AP584" s="14" t="str">
        <x:v>Direct BBC public-service scope</x:v>
      </x:c>
      <x:c r="AQ584" s="14" t="str">
        <x:v>Yes</x:v>
      </x:c>
      <x:c r="AR584" s="14" t="str">
        <x:v>Resolved from master register</x:v>
      </x:c>
      <x:c r="AS584" s="14" t="str">
        <x:v>No established-register match</x:v>
      </x:c>
      <x:c r="AT584" s="14"/>
      <x:c r="AU584" s="14"/>
      <x:c r="AV584" s="14" t="str">
        <x:v>No established apparent-disability match</x:v>
      </x:c>
      <x:c r="AW584" s="14"/>
      <x:c r="AX584" s="14" t="str">
        <x:v>No</x:v>
      </x:c>
      <x:c r="AY584" s="14" t="str">
        <x:v>Unmatched</x:v>
      </x:c>
      <x:c r="AZ584" s="14" t="str">
        <x:v>Final supplied register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12</x:v>
      </x:c>
      <x:c r="BP584" s="14" t="str">
        <x:v>Maximum supplied eligible IMDb cast-credit total; annual episode total not independently verified.</x:v>
      </x:c>
      <x:c r="BQ584" s="14" t="str">
        <x:v>Medium</x:v>
      </x:c>
      <x:c r="BR584" s="15" t="n">
        <x:v>2</x:v>
      </x:c>
      <x:c r="BS584" s="16" t="n">
        <x:v>0.16666666666666666</x:v>
      </x:c>
      <x:c r="BT584" s="14" t="str">
        <x:v>Minority of episodes</x:v>
      </x:c>
      <x:c r="BU584" s="14" t="str">
        <x:v>Medium</x:v>
      </x:c>
      <x:c r="BV584" s="14" t="str">
        <x:v>Derived from the supplied IMDb episode count and documented production-total proxy.</x:v>
      </x:c>
      <x:c r="BW584" s="14" t="str">
        <x:v>Unable to determine</x:v>
      </x:c>
      <x:c r="BX584" s="14" t="str">
        <x:v>Cast-list and episode data do not establish narrative prominence.</x:v>
      </x:c>
      <x:c r="BY584" s="14" t="str">
        <x:v>Supplied IMDb cast-list workbook</x:v>
      </x:c>
      <x:c r="BZ58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tt11847842|nm0237699|cassidy's barman</x:v>
      </x:c>
      <x:c r="B585" s="14" t="str">
        <x:v>07</x:v>
      </x:c>
      <x:c r="C585" s="14" t="str">
        <x:v>2022_IMDb_Cast_Lists_Batch_07(1).xlsx</x:v>
      </x:c>
      <x:c r="D585" s="14" t="str">
        <x:v>The Tourist</x:v>
      </x:c>
      <x:c r="E585" s="14" t="n">
        <x:v>46</x:v>
      </x:c>
      <x:c r="F585" s="14" t="str">
        <x:v>The Tourist</x:v>
      </x:c>
      <x:c r="G585" s="14" t="str">
        <x:v>tt11847842</x:v>
      </x:c>
      <x:c r="H585" s="14" t="n">
        <x:v>2022</x:v>
      </x:c>
      <x:c r="I585" s="14" t="n">
        <x:v>2023</x:v>
      </x:c>
      <x:c r="J585" s="14" t="str">
        <x:v>Future Carry-Forward Cohort</x:v>
      </x:c>
      <x:c r="K585" s="14" t="n">
        <x:v>2022</x:v>
      </x:c>
      <x:c r="L585" s="14" t="str">
        <x:v>Not inherited</x:v>
      </x:c>
      <x:c r="M585" s="15" t="n">
        <x:v>39</x:v>
      </x:c>
      <x:c r="N585" s="14" t="str">
        <x:v>Phelim Drew</x:v>
      </x:c>
      <x:c r="O585" s="14" t="str">
        <x:v>nm0237699</x:v>
      </x:c>
      <x:c r="P585" s="14" t="str">
        <x:v>Cassidy's Barman</x:v>
      </x:c>
      <x:c r="Q585" s="15" t="n">
        <x:v>2</x:v>
      </x:c>
      <x:c r="R585" s="14" t="str">
        <x:v>2024</x:v>
      </x:c>
      <x:c r="S585" s="14" t="n">
        <x:v>2024</x:v>
      </x:c>
      <x:c r="T585" s="14" t="n">
        <x:v>2024</x:v>
      </x:c>
      <x:c r="U585" s="14" t="str">
        <x:v>Explicit source first year retained</x:v>
      </x:c>
      <x:c r="V585" s="14" t="str">
        <x:v>Earliest supplied year is 2024.</x:v>
      </x:c>
      <x:c r="W585" s="14"/>
      <x:c r="X585" s="14" t="str">
        <x:v>Carried forward to 2024</x:v>
      </x:c>
      <x:c r="Y585" s="14"/>
      <x:c r="Z585" s="14" t="str">
        <x:v>The Tourist.docx</x:v>
      </x:c>
      <x:c r="AA58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BBC</x:v>
      </x:c>
      <x:c r="AI585" s="14" t="str">
        <x:v>Qualifying UK co-commission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qualifying uk co-commission.</x:v>
      </x:c>
      <x:c r="AM58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5" s="14" t="str">
        <x:v>BBC public-service co-commission</x:v>
      </x:c>
      <x:c r="AO585" s="14" t="str">
        <x:v>Yes</x:v>
      </x:c>
      <x:c r="AP585" s="14" t="str">
        <x:v>Direct BBC public-service scope</x:v>
      </x:c>
      <x:c r="AQ585" s="14" t="str">
        <x:v>Yes</x:v>
      </x:c>
      <x:c r="AR585" s="14" t="str">
        <x:v>Resolved from master register</x:v>
      </x:c>
      <x:c r="AS585" s="14" t="str">
        <x:v>No established-register match</x:v>
      </x:c>
      <x:c r="AT585" s="14"/>
      <x:c r="AU585" s="14"/>
      <x:c r="AV585" s="14" t="str">
        <x:v>No established apparent-disability match</x:v>
      </x:c>
      <x:c r="AW585" s="14"/>
      <x:c r="AX585" s="14" t="str">
        <x:v>No</x:v>
      </x:c>
      <x:c r="AY585" s="14" t="str">
        <x:v>Unmatched</x:v>
      </x:c>
      <x:c r="AZ585" s="14" t="str">
        <x:v>Final supplied register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12</x:v>
      </x:c>
      <x:c r="BP585" s="14" t="str">
        <x:v>Maximum supplied eligible IMDb cast-credit total; annual episode total not independently verified.</x:v>
      </x:c>
      <x:c r="BQ585" s="14" t="str">
        <x:v>Medium</x:v>
      </x:c>
      <x:c r="BR585" s="15" t="n">
        <x:v>2</x:v>
      </x:c>
      <x:c r="BS585" s="16" t="n">
        <x:v>0.16666666666666666</x:v>
      </x:c>
      <x:c r="BT585" s="14" t="str">
        <x:v>Minority of episodes</x:v>
      </x:c>
      <x:c r="BU585" s="14" t="str">
        <x:v>Medium</x:v>
      </x:c>
      <x:c r="BV585" s="14" t="str">
        <x:v>Derived from the supplied IMDb episode count and documented production-total proxy.</x:v>
      </x:c>
      <x:c r="BW585" s="14" t="str">
        <x:v>Unable to determine</x:v>
      </x:c>
      <x:c r="BX585" s="14" t="str">
        <x:v>Cast-list and episode data do not establish narrative prominence.</x:v>
      </x:c>
      <x:c r="BY585" s="14" t="str">
        <x:v>Supplied IMDb cast-list workbook</x:v>
      </x:c>
      <x:c r="BZ58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tt11847842|nm1156017|claire mcdonnell</x:v>
      </x:c>
      <x:c r="B586" s="14" t="str">
        <x:v>07</x:v>
      </x:c>
      <x:c r="C586" s="14" t="str">
        <x:v>2022_IMDb_Cast_Lists_Batch_07(1).xlsx</x:v>
      </x:c>
      <x:c r="D586" s="14" t="str">
        <x:v>The Tourist</x:v>
      </x:c>
      <x:c r="E586" s="14" t="n">
        <x:v>47</x:v>
      </x:c>
      <x:c r="F586" s="14" t="str">
        <x:v>The Tourist</x:v>
      </x:c>
      <x:c r="G586" s="14" t="str">
        <x:v>tt11847842</x:v>
      </x:c>
      <x:c r="H586" s="14" t="n">
        <x:v>2022</x:v>
      </x:c>
      <x:c r="I586" s="14" t="n">
        <x:v>2023</x:v>
      </x:c>
      <x:c r="J586" s="14" t="str">
        <x:v>Future Carry-Forward Cohort</x:v>
      </x:c>
      <x:c r="K586" s="14" t="n">
        <x:v>2022</x:v>
      </x:c>
      <x:c r="L586" s="14" t="str">
        <x:v>Not inherited</x:v>
      </x:c>
      <x:c r="M586" s="15" t="n">
        <x:v>40</x:v>
      </x:c>
      <x:c r="N586" s="14" t="str">
        <x:v>Siobhán O'Kelly</x:v>
      </x:c>
      <x:c r="O586" s="14" t="str">
        <x:v>nm1156017</x:v>
      </x:c>
      <x:c r="P586" s="14" t="str">
        <x:v>Claire McDonnell</x:v>
      </x:c>
      <x:c r="Q586" s="15" t="n">
        <x:v>2</x:v>
      </x:c>
      <x:c r="R586" s="14" t="str">
        <x:v>2024</x:v>
      </x:c>
      <x:c r="S586" s="14" t="n">
        <x:v>2024</x:v>
      </x:c>
      <x:c r="T586" s="14" t="n">
        <x:v>2024</x:v>
      </x:c>
      <x:c r="U586" s="14" t="str">
        <x:v>Explicit source first year retained</x:v>
      </x:c>
      <x:c r="V586" s="14" t="str">
        <x:v>Earliest supplied year is 2024.</x:v>
      </x:c>
      <x:c r="W586" s="14"/>
      <x:c r="X586" s="14" t="str">
        <x:v>Carried forward to 2024</x:v>
      </x:c>
      <x:c r="Y586" s="14" t="str">
        <x:v>(as Siobhan O'Kelly)</x:v>
      </x:c>
      <x:c r="Z586" s="14" t="str">
        <x:v>The Tourist.docx</x:v>
      </x:c>
      <x:c r="AA58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BBC</x:v>
      </x:c>
      <x:c r="AI586" s="14" t="str">
        <x:v>Qualifying UK co-commission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qualifying uk co-commission.</x:v>
      </x:c>
      <x:c r="AM58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6" s="14" t="str">
        <x:v>BBC public-service co-commission</x:v>
      </x:c>
      <x:c r="AO586" s="14" t="str">
        <x:v>Yes</x:v>
      </x:c>
      <x:c r="AP586" s="14" t="str">
        <x:v>Direct BBC public-service scope</x:v>
      </x:c>
      <x:c r="AQ586" s="14" t="str">
        <x:v>Yes</x:v>
      </x:c>
      <x:c r="AR586" s="14" t="str">
        <x:v>Resolved from master register</x:v>
      </x:c>
      <x:c r="AS586" s="14" t="str">
        <x:v>No established-register match</x:v>
      </x:c>
      <x:c r="AT586" s="14"/>
      <x:c r="AU586" s="14"/>
      <x:c r="AV586" s="14" t="str">
        <x:v>No established apparent-disability match</x:v>
      </x:c>
      <x:c r="AW586" s="14"/>
      <x:c r="AX586" s="14" t="str">
        <x:v>No</x:v>
      </x:c>
      <x:c r="AY586" s="14" t="str">
        <x:v>Unmatched</x:v>
      </x:c>
      <x:c r="AZ586" s="14" t="str">
        <x:v>Final supplied register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12</x:v>
      </x:c>
      <x:c r="BP586" s="14" t="str">
        <x:v>Maximum supplied eligible IMDb cast-credit total; annual episode total not independently verified.</x:v>
      </x:c>
      <x:c r="BQ586" s="14" t="str">
        <x:v>Medium</x:v>
      </x:c>
      <x:c r="BR586" s="15" t="n">
        <x:v>2</x:v>
      </x:c>
      <x:c r="BS586" s="16" t="n">
        <x:v>0.16666666666666666</x:v>
      </x:c>
      <x:c r="BT586" s="14" t="str">
        <x:v>Minority of episodes</x:v>
      </x:c>
      <x:c r="BU586" s="14" t="str">
        <x:v>Medium</x:v>
      </x:c>
      <x:c r="BV586" s="14" t="str">
        <x:v>Derived from the supplied IMDb episode count and documented production-total proxy.</x:v>
      </x:c>
      <x:c r="BW586" s="14" t="str">
        <x:v>Unable to determine</x:v>
      </x:c>
      <x:c r="BX586" s="14" t="str">
        <x:v>Cast-list and episode data do not establish narrative prominence.</x:v>
      </x:c>
      <x:c r="BY586" s="14" t="str">
        <x:v>Supplied IMDb cast-list workbook</x:v>
      </x:c>
      <x:c r="BZ58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tt11847842|nm1259150|liam</x:v>
      </x:c>
      <x:c r="B587" s="14" t="str">
        <x:v>07</x:v>
      </x:c>
      <x:c r="C587" s="14" t="str">
        <x:v>2022_IMDb_Cast_Lists_Batch_07(1).xlsx</x:v>
      </x:c>
      <x:c r="D587" s="14" t="str">
        <x:v>The Tourist</x:v>
      </x:c>
      <x:c r="E587" s="14" t="n">
        <x:v>52</x:v>
      </x:c>
      <x:c r="F587" s="14" t="str">
        <x:v>The Tourist</x:v>
      </x:c>
      <x:c r="G587" s="14" t="str">
        <x:v>tt11847842</x:v>
      </x:c>
      <x:c r="H587" s="14" t="n">
        <x:v>2022</x:v>
      </x:c>
      <x:c r="I587" s="14" t="n">
        <x:v>2023</x:v>
      </x:c>
      <x:c r="J587" s="14" t="str">
        <x:v>Future Carry-Forward Cohort</x:v>
      </x:c>
      <x:c r="K587" s="14" t="n">
        <x:v>2022</x:v>
      </x:c>
      <x:c r="L587" s="14" t="str">
        <x:v>Not inherited</x:v>
      </x:c>
      <x:c r="M587" s="15" t="n">
        <x:v>45</x:v>
      </x:c>
      <x:c r="N587" s="14" t="str">
        <x:v>Rory Mullen</x:v>
      </x:c>
      <x:c r="O587" s="14" t="str">
        <x:v>nm1259150</x:v>
      </x:c>
      <x:c r="P587" s="14" t="str">
        <x:v>Liam</x:v>
      </x:c>
      <x:c r="Q587" s="15" t="n">
        <x:v>2</x:v>
      </x:c>
      <x:c r="R587" s="14" t="str">
        <x:v>2024</x:v>
      </x:c>
      <x:c r="S587" s="14" t="n">
        <x:v>2024</x:v>
      </x:c>
      <x:c r="T587" s="14" t="n">
        <x:v>2024</x:v>
      </x:c>
      <x:c r="U587" s="14" t="str">
        <x:v>Explicit source first year retained</x:v>
      </x:c>
      <x:c r="V587" s="14" t="str">
        <x:v>Earliest supplied year is 2024.</x:v>
      </x:c>
      <x:c r="W587" s="14"/>
      <x:c r="X587" s="14" t="str">
        <x:v>Carried forward to 2024</x:v>
      </x:c>
      <x:c r="Y587" s="14"/>
      <x:c r="Z587" s="14" t="str">
        <x:v>The Tourist.docx</x:v>
      </x:c>
      <x:c r="AA58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BBC</x:v>
      </x:c>
      <x:c r="AI587" s="14" t="str">
        <x:v>Qualifying UK co-commission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qualifying uk co-commission.</x:v>
      </x:c>
      <x:c r="AM58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7" s="14" t="str">
        <x:v>BBC public-service co-commission</x:v>
      </x:c>
      <x:c r="AO587" s="14" t="str">
        <x:v>Yes</x:v>
      </x:c>
      <x:c r="AP587" s="14" t="str">
        <x:v>Direct BBC public-service scope</x:v>
      </x:c>
      <x:c r="AQ587" s="14" t="str">
        <x:v>Yes</x:v>
      </x:c>
      <x:c r="AR587" s="14" t="str">
        <x:v>Resolved from master register</x:v>
      </x:c>
      <x:c r="AS587" s="14" t="str">
        <x:v>No established-register match</x:v>
      </x:c>
      <x:c r="AT587" s="14"/>
      <x:c r="AU587" s="14"/>
      <x:c r="AV587" s="14" t="str">
        <x:v>No established apparent-disability match</x:v>
      </x:c>
      <x:c r="AW587" s="14"/>
      <x:c r="AX587" s="14" t="str">
        <x:v>No</x:v>
      </x:c>
      <x:c r="AY587" s="14" t="str">
        <x:v>Unmatched</x:v>
      </x:c>
      <x:c r="AZ587" s="14" t="str">
        <x:v>Final supplied register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12</x:v>
      </x:c>
      <x:c r="BP587" s="14" t="str">
        <x:v>Maximum supplied eligible IMDb cast-credit total; annual episode total not independently verified.</x:v>
      </x:c>
      <x:c r="BQ587" s="14" t="str">
        <x:v>Medium</x:v>
      </x:c>
      <x:c r="BR587" s="15" t="n">
        <x:v>2</x:v>
      </x:c>
      <x:c r="BS587" s="16" t="n">
        <x:v>0.16666666666666666</x:v>
      </x:c>
      <x:c r="BT587" s="14" t="str">
        <x:v>Minority of episodes</x:v>
      </x:c>
      <x:c r="BU587" s="14" t="str">
        <x:v>Medium</x:v>
      </x:c>
      <x:c r="BV587" s="14" t="str">
        <x:v>Derived from the supplied IMDb episode count and documented production-total proxy.</x:v>
      </x:c>
      <x:c r="BW587" s="14" t="str">
        <x:v>Unable to determine</x:v>
      </x:c>
      <x:c r="BX587" s="14" t="str">
        <x:v>Cast-list and episode data do not establish narrative prominence.</x:v>
      </x:c>
      <x:c r="BY587" s="14" t="str">
        <x:v>Supplied IMDb cast-list workbook</x:v>
      </x:c>
      <x:c r="BZ58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tt11847842|nm8792413|briain / brian mcdonnell</x:v>
      </x:c>
      <x:c r="B588" s="14" t="str">
        <x:v>07</x:v>
      </x:c>
      <x:c r="C588" s="14" t="str">
        <x:v>2022_IMDb_Cast_Lists_Batch_07(1).xlsx</x:v>
      </x:c>
      <x:c r="D588" s="14" t="str">
        <x:v>The Tourist</x:v>
      </x:c>
      <x:c r="E588" s="14" t="n">
        <x:v>53</x:v>
      </x:c>
      <x:c r="F588" s="14" t="str">
        <x:v>The Tourist</x:v>
      </x:c>
      <x:c r="G588" s="14" t="str">
        <x:v>tt11847842</x:v>
      </x:c>
      <x:c r="H588" s="14" t="n">
        <x:v>2022</x:v>
      </x:c>
      <x:c r="I588" s="14" t="n">
        <x:v>2023</x:v>
      </x:c>
      <x:c r="J588" s="14" t="str">
        <x:v>Future Carry-Forward Cohort</x:v>
      </x:c>
      <x:c r="K588" s="14" t="n">
        <x:v>2022</x:v>
      </x:c>
      <x:c r="L588" s="14" t="str">
        <x:v>Not inherited</x:v>
      </x:c>
      <x:c r="M588" s="15" t="n">
        <x:v>46</x:v>
      </x:c>
      <x:c r="N588" s="14" t="str">
        <x:v>David Greene</x:v>
      </x:c>
      <x:c r="O588" s="14" t="str">
        <x:v>nm8792413</x:v>
      </x:c>
      <x:c r="P588" s="14" t="str">
        <x:v>Briain / Brian McDonnell</x:v>
      </x:c>
      <x:c r="Q588" s="15" t="n">
        <x:v>2</x:v>
      </x:c>
      <x:c r="R588" s="14" t="str">
        <x:v>2024</x:v>
      </x:c>
      <x:c r="S588" s="14" t="n">
        <x:v>2024</x:v>
      </x:c>
      <x:c r="T588" s="14" t="n">
        <x:v>2024</x:v>
      </x:c>
      <x:c r="U588" s="14" t="str">
        <x:v>Explicit source first year retained</x:v>
      </x:c>
      <x:c r="V588" s="14" t="str">
        <x:v>Earliest supplied year is 2024.</x:v>
      </x:c>
      <x:c r="W588" s="14"/>
      <x:c r="X588" s="14" t="str">
        <x:v>Carried forward to 2024</x:v>
      </x:c>
      <x:c r="Y588" s="14"/>
      <x:c r="Z588" s="14" t="str">
        <x:v>The Tourist.docx</x:v>
      </x:c>
      <x:c r="AA58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8" s="14" t="str">
        <x:v>No established-register match</x:v>
      </x:c>
      <x:c r="AC588" s="14"/>
      <x:c r="AD588" s="14"/>
      <x:c r="AE588" s="14"/>
      <x:c r="AF588" s="14"/>
      <x:c r="AG588" s="14" t="str">
        <x:v>No qualifying conclusion recorded. Absence from the register is not evidence that the performer is not disabled.</x:v>
      </x:c>
      <x:c r="AH588" s="14" t="str">
        <x:v>BBC</x:v>
      </x:c>
      <x:c r="AI588" s="14" t="str">
        <x:v>Qualifying UK co-commission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qualifying uk co-commission.</x:v>
      </x:c>
      <x:c r="AM58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8" s="14" t="str">
        <x:v>BBC public-service co-commission</x:v>
      </x:c>
      <x:c r="AO588" s="14" t="str">
        <x:v>Yes</x:v>
      </x:c>
      <x:c r="AP588" s="14" t="str">
        <x:v>Direct BBC public-service scope</x:v>
      </x:c>
      <x:c r="AQ588" s="14" t="str">
        <x:v>Yes</x:v>
      </x:c>
      <x:c r="AR588" s="14" t="str">
        <x:v>Resolved from master register</x:v>
      </x:c>
      <x:c r="AS588" s="14" t="str">
        <x:v>No established-register match</x:v>
      </x:c>
      <x:c r="AT588" s="14"/>
      <x:c r="AU588" s="14"/>
      <x:c r="AV588" s="14" t="str">
        <x:v>No established apparent-disability match</x:v>
      </x:c>
      <x:c r="AW588" s="14"/>
      <x:c r="AX588" s="14" t="str">
        <x:v>No</x:v>
      </x:c>
      <x:c r="AY588" s="14" t="str">
        <x:v>Unmatched</x:v>
      </x:c>
      <x:c r="AZ588" s="14" t="str">
        <x:v>Final supplied register</x:v>
      </x:c>
      <x:c r="BA588" s="14" t="str">
        <x:v>Absence from the register is not evidence that the performer is not disabled.</x:v>
      </x:c>
      <x:c r="BB588" s="14" t="str">
        <x:v>No established-register match</x:v>
      </x:c>
      <x:c r="BC588" s="14"/>
      <x:c r="BD588" s="14"/>
      <x:c r="BE588" s="14"/>
      <x:c r="BF588" s="14" t="str">
        <x:v>No established apparent-disability match</x:v>
      </x:c>
      <x:c r="BG588" s="14"/>
      <x:c r="BH588" s="14" t="str">
        <x:v>No</x:v>
      </x:c>
      <x:c r="BI588" s="14"/>
      <x:c r="BJ588" s="14"/>
      <x:c r="BK588" s="14"/>
      <x:c r="BL588" s="14" t="str">
        <x:v>Unmatched</x:v>
      </x:c>
      <x:c r="BM588" s="14" t="str">
        <x:v>Final supplied register</x:v>
      </x:c>
      <x:c r="BN588" s="14" t="str">
        <x:v>Absence from the register is not evidence that the performer is not disabled.</x:v>
      </x:c>
      <x:c r="BO588" s="14" t="n">
        <x:v>12</x:v>
      </x:c>
      <x:c r="BP588" s="14" t="str">
        <x:v>Maximum supplied eligible IMDb cast-credit total; annual episode total not independently verified.</x:v>
      </x:c>
      <x:c r="BQ588" s="14" t="str">
        <x:v>Medium</x:v>
      </x:c>
      <x:c r="BR588" s="15" t="n">
        <x:v>2</x:v>
      </x:c>
      <x:c r="BS588" s="16" t="n">
        <x:v>0.16666666666666666</x:v>
      </x:c>
      <x:c r="BT588" s="14" t="str">
        <x:v>Minority of episodes</x:v>
      </x:c>
      <x:c r="BU588" s="14" t="str">
        <x:v>Medium</x:v>
      </x:c>
      <x:c r="BV588" s="14" t="str">
        <x:v>Derived from the supplied IMDb episode count and documented production-total proxy.</x:v>
      </x:c>
      <x:c r="BW588" s="14" t="str">
        <x:v>Unable to determine</x:v>
      </x:c>
      <x:c r="BX588" s="14" t="str">
        <x:v>Cast-list and episode data do not establish narrative prominence.</x:v>
      </x:c>
      <x:c r="BY588" s="14" t="str">
        <x:v>Supplied IMDb cast-list workbook</x:v>
      </x:c>
      <x:c r="BZ58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tt11847842|nm14083059|ticket inspector</x:v>
      </x:c>
      <x:c r="B589" s="14" t="str">
        <x:v>07</x:v>
      </x:c>
      <x:c r="C589" s="14" t="str">
        <x:v>2022_IMDb_Cast_Lists_Batch_07(1).xlsx</x:v>
      </x:c>
      <x:c r="D589" s="14" t="str">
        <x:v>The Tourist</x:v>
      </x:c>
      <x:c r="E589" s="14" t="n">
        <x:v>60</x:v>
      </x:c>
      <x:c r="F589" s="14" t="str">
        <x:v>The Tourist</x:v>
      </x:c>
      <x:c r="G589" s="14" t="str">
        <x:v>tt11847842</x:v>
      </x:c>
      <x:c r="H589" s="14" t="n">
        <x:v>2022</x:v>
      </x:c>
      <x:c r="I589" s="14" t="n">
        <x:v>2023</x:v>
      </x:c>
      <x:c r="J589" s="14" t="str">
        <x:v>Future Carry-Forward Cohort</x:v>
      </x:c>
      <x:c r="K589" s="14" t="n">
        <x:v>2022</x:v>
      </x:c>
      <x:c r="L589" s="14" t="str">
        <x:v>Not inherited</x:v>
      </x:c>
      <x:c r="M589" s="15" t="n">
        <x:v>53</x:v>
      </x:c>
      <x:c r="N589" s="14" t="str">
        <x:v>Oat Jenner</x:v>
      </x:c>
      <x:c r="O589" s="14" t="str">
        <x:v>nm14083059</x:v>
      </x:c>
      <x:c r="P589" s="14" t="str">
        <x:v>Ticket Inspector</x:v>
      </x:c>
      <x:c r="Q589" s="15" t="n">
        <x:v>1</x:v>
      </x:c>
      <x:c r="R589" s="14" t="str">
        <x:v>2024</x:v>
      </x:c>
      <x:c r="S589" s="14" t="n">
        <x:v>2024</x:v>
      </x:c>
      <x:c r="T589" s="14" t="n">
        <x:v>2024</x:v>
      </x:c>
      <x:c r="U589" s="14" t="str">
        <x:v>Explicit source first year retained</x:v>
      </x:c>
      <x:c r="V589" s="14" t="str">
        <x:v>Earliest supplied year is 2024.</x:v>
      </x:c>
      <x:c r="W589" s="14"/>
      <x:c r="X589" s="14" t="str">
        <x:v>Carried forward to 2024</x:v>
      </x:c>
      <x:c r="Y589" s="14"/>
      <x:c r="Z589" s="14" t="str">
        <x:v>The Tourist.docx</x:v>
      </x:c>
      <x:c r="AA58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BBC</x:v>
      </x:c>
      <x:c r="AI589" s="14" t="str">
        <x:v>Qualifying UK co-commission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qualifying uk co-commission.</x:v>
      </x:c>
      <x:c r="AM58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9" s="14" t="str">
        <x:v>BBC public-service co-commission</x:v>
      </x:c>
      <x:c r="AO589" s="14" t="str">
        <x:v>Yes</x:v>
      </x:c>
      <x:c r="AP589" s="14" t="str">
        <x:v>Direct BBC public-service scope</x:v>
      </x:c>
      <x:c r="AQ589" s="14" t="str">
        <x:v>Yes</x:v>
      </x:c>
      <x:c r="AR589" s="14" t="str">
        <x:v>Resolved from master register</x:v>
      </x:c>
      <x:c r="AS589" s="14" t="str">
        <x:v>No established-register match</x:v>
      </x:c>
      <x:c r="AT589" s="14"/>
      <x:c r="AU589" s="14"/>
      <x:c r="AV589" s="14" t="str">
        <x:v>No established apparent-disability match</x:v>
      </x:c>
      <x:c r="AW589" s="14"/>
      <x:c r="AX589" s="14" t="str">
        <x:v>No</x:v>
      </x:c>
      <x:c r="AY589" s="14" t="str">
        <x:v>Unmatched</x:v>
      </x:c>
      <x:c r="AZ589" s="14" t="str">
        <x:v>Final supplied register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12</x:v>
      </x:c>
      <x:c r="BP589" s="14" t="str">
        <x:v>Maximum supplied eligible IMDb cast-credit total; annual episode total not independently verified.</x:v>
      </x:c>
      <x:c r="BQ589" s="14" t="str">
        <x:v>Medium</x:v>
      </x:c>
      <x:c r="BR589" s="15" t="n">
        <x:v>1</x:v>
      </x:c>
      <x:c r="BS589" s="16" t="n">
        <x:v>0.08333333333333333</x:v>
      </x:c>
      <x:c r="BT589" s="14" t="str">
        <x:v>One episode</x:v>
      </x:c>
      <x:c r="BU589" s="14" t="str">
        <x:v>Medium</x:v>
      </x:c>
      <x:c r="BV589" s="14" t="str">
        <x:v>Derived from the supplied IMDb episode count and documented production-total proxy.</x:v>
      </x:c>
      <x:c r="BW589" s="14" t="str">
        <x:v>Unable to determine</x:v>
      </x:c>
      <x:c r="BX589" s="14" t="str">
        <x:v>Cast-list and episode data do not establish narrative prominence.</x:v>
      </x:c>
      <x:c r="BY589" s="14" t="str">
        <x:v>Supplied IMDb cast-list workbook</x:v>
      </x:c>
      <x:c r="BZ58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tt11847842|nm10676786|garda</x:v>
      </x:c>
      <x:c r="B590" s="14" t="str">
        <x:v>07</x:v>
      </x:c>
      <x:c r="C590" s="14" t="str">
        <x:v>2022_IMDb_Cast_Lists_Batch_07(1).xlsx</x:v>
      </x:c>
      <x:c r="D590" s="14" t="str">
        <x:v>The Tourist</x:v>
      </x:c>
      <x:c r="E590" s="14" t="n">
        <x:v>61</x:v>
      </x:c>
      <x:c r="F590" s="14" t="str">
        <x:v>The Tourist</x:v>
      </x:c>
      <x:c r="G590" s="14" t="str">
        <x:v>tt11847842</x:v>
      </x:c>
      <x:c r="H590" s="14" t="n">
        <x:v>2022</x:v>
      </x:c>
      <x:c r="I590" s="14" t="n">
        <x:v>2023</x:v>
      </x:c>
      <x:c r="J590" s="14" t="str">
        <x:v>Future Carry-Forward Cohort</x:v>
      </x:c>
      <x:c r="K590" s="14" t="n">
        <x:v>2022</x:v>
      </x:c>
      <x:c r="L590" s="14" t="str">
        <x:v>Not inherited</x:v>
      </x:c>
      <x:c r="M590" s="15" t="n">
        <x:v>54</x:v>
      </x:c>
      <x:c r="N590" s="14" t="str">
        <x:v>Kevin Oliver Lynch</x:v>
      </x:c>
      <x:c r="O590" s="14" t="str">
        <x:v>nm10676786</x:v>
      </x:c>
      <x:c r="P590" s="14" t="str">
        <x:v>Garda</x:v>
      </x:c>
      <x:c r="Q590" s="15" t="n">
        <x:v>1</x:v>
      </x:c>
      <x:c r="R590" s="14" t="str">
        <x:v>2024</x:v>
      </x:c>
      <x:c r="S590" s="14" t="n">
        <x:v>2024</x:v>
      </x:c>
      <x:c r="T590" s="14" t="n">
        <x:v>2024</x:v>
      </x:c>
      <x:c r="U590" s="14" t="str">
        <x:v>Explicit source first year retained</x:v>
      </x:c>
      <x:c r="V590" s="14" t="str">
        <x:v>Earliest supplied year is 2024.</x:v>
      </x:c>
      <x:c r="W590" s="14"/>
      <x:c r="X590" s="14" t="str">
        <x:v>Carried forward to 2024</x:v>
      </x:c>
      <x:c r="Y590" s="14"/>
      <x:c r="Z590" s="14" t="str">
        <x:v>The Tourist.docx</x:v>
      </x:c>
      <x:c r="AA59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BBC</x:v>
      </x:c>
      <x:c r="AI590" s="14" t="str">
        <x:v>Qualifying UK co-commission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qualifying uk co-commission.</x:v>
      </x:c>
      <x:c r="AM59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0" s="14" t="str">
        <x:v>BBC public-service co-commission</x:v>
      </x:c>
      <x:c r="AO590" s="14" t="str">
        <x:v>Yes</x:v>
      </x:c>
      <x:c r="AP590" s="14" t="str">
        <x:v>Direct BBC public-service scope</x:v>
      </x:c>
      <x:c r="AQ590" s="14" t="str">
        <x:v>Yes</x:v>
      </x:c>
      <x:c r="AR590" s="14" t="str">
        <x:v>Resolved from master register</x:v>
      </x:c>
      <x:c r="AS590" s="14" t="str">
        <x:v>No established-register match</x:v>
      </x:c>
      <x:c r="AT590" s="14"/>
      <x:c r="AU590" s="14"/>
      <x:c r="AV590" s="14" t="str">
        <x:v>No established apparent-disability match</x:v>
      </x:c>
      <x:c r="AW590" s="14"/>
      <x:c r="AX590" s="14" t="str">
        <x:v>No</x:v>
      </x:c>
      <x:c r="AY590" s="14" t="str">
        <x:v>Unmatched</x:v>
      </x:c>
      <x:c r="AZ590" s="14" t="str">
        <x:v>Final supplied register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12</x:v>
      </x:c>
      <x:c r="BP590" s="14" t="str">
        <x:v>Maximum supplied eligible IMDb cast-credit total; annual episode total not independently verified.</x:v>
      </x:c>
      <x:c r="BQ590" s="14" t="str">
        <x:v>Medium</x:v>
      </x:c>
      <x:c r="BR590" s="15" t="n">
        <x:v>1</x:v>
      </x:c>
      <x:c r="BS590" s="16" t="n">
        <x:v>0.08333333333333333</x:v>
      </x:c>
      <x:c r="BT590" s="14" t="str">
        <x:v>One episode</x:v>
      </x:c>
      <x:c r="BU590" s="14" t="str">
        <x:v>Medium</x:v>
      </x:c>
      <x:c r="BV590" s="14" t="str">
        <x:v>Derived from the supplied IMDb episode count and documented production-total proxy.</x:v>
      </x:c>
      <x:c r="BW590" s="14" t="str">
        <x:v>Unable to determine</x:v>
      </x:c>
      <x:c r="BX590" s="14" t="str">
        <x:v>Cast-list and episode data do not establish narrative prominence.</x:v>
      </x:c>
      <x:c r="BY590" s="14" t="str">
        <x:v>Supplied IMDb cast-list workbook</x:v>
      </x:c>
      <x:c r="BZ59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tt11847842|nm13521815|hooded man</x:v>
      </x:c>
      <x:c r="B591" s="14" t="str">
        <x:v>07</x:v>
      </x:c>
      <x:c r="C591" s="14" t="str">
        <x:v>2022_IMDb_Cast_Lists_Batch_07(1).xlsx</x:v>
      </x:c>
      <x:c r="D591" s="14" t="str">
        <x:v>The Tourist</x:v>
      </x:c>
      <x:c r="E591" s="14" t="n">
        <x:v>64</x:v>
      </x:c>
      <x:c r="F591" s="14" t="str">
        <x:v>The Tourist</x:v>
      </x:c>
      <x:c r="G591" s="14" t="str">
        <x:v>tt11847842</x:v>
      </x:c>
      <x:c r="H591" s="14" t="n">
        <x:v>2022</x:v>
      </x:c>
      <x:c r="I591" s="14" t="n">
        <x:v>2023</x:v>
      </x:c>
      <x:c r="J591" s="14" t="str">
        <x:v>Future Carry-Forward Cohort</x:v>
      </x:c>
      <x:c r="K591" s="14" t="n">
        <x:v>2022</x:v>
      </x:c>
      <x:c r="L591" s="14" t="str">
        <x:v>Not inherited</x:v>
      </x:c>
      <x:c r="M591" s="15" t="n">
        <x:v>57</x:v>
      </x:c>
      <x:c r="N591" s="14" t="str">
        <x:v>Rob McCarthy</x:v>
      </x:c>
      <x:c r="O591" s="14" t="str">
        <x:v>nm13521815</x:v>
      </x:c>
      <x:c r="P591" s="14" t="str">
        <x:v>Hooded Man</x:v>
      </x:c>
      <x:c r="Q591" s="15" t="n">
        <x:v>1</x:v>
      </x:c>
      <x:c r="R591" s="14" t="str">
        <x:v>2024</x:v>
      </x:c>
      <x:c r="S591" s="14" t="n">
        <x:v>2024</x:v>
      </x:c>
      <x:c r="T591" s="14" t="n">
        <x:v>2024</x:v>
      </x:c>
      <x:c r="U591" s="14" t="str">
        <x:v>Explicit source first year retained</x:v>
      </x:c>
      <x:c r="V591" s="14" t="str">
        <x:v>Earliest supplied year is 2024.</x:v>
      </x:c>
      <x:c r="W591" s="14"/>
      <x:c r="X591" s="14" t="str">
        <x:v>Carried forward to 2024</x:v>
      </x:c>
      <x:c r="Y591" s="14"/>
      <x:c r="Z591" s="14" t="str">
        <x:v>The Tourist.docx</x:v>
      </x:c>
      <x:c r="AA59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BBC</x:v>
      </x:c>
      <x:c r="AI591" s="14" t="str">
        <x:v>Qualifying UK co-commission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qualifying uk co-commission.</x:v>
      </x:c>
      <x:c r="AM59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1" s="14" t="str">
        <x:v>BBC public-service co-commission</x:v>
      </x:c>
      <x:c r="AO591" s="14" t="str">
        <x:v>Yes</x:v>
      </x:c>
      <x:c r="AP591" s="14" t="str">
        <x:v>Direct BBC public-service scope</x:v>
      </x:c>
      <x:c r="AQ591" s="14" t="str">
        <x:v>Yes</x:v>
      </x:c>
      <x:c r="AR591" s="14" t="str">
        <x:v>Resolved from master register</x:v>
      </x:c>
      <x:c r="AS591" s="14" t="str">
        <x:v>No established-register match</x:v>
      </x:c>
      <x:c r="AT591" s="14"/>
      <x:c r="AU591" s="14"/>
      <x:c r="AV591" s="14" t="str">
        <x:v>No established apparent-disability match</x:v>
      </x:c>
      <x:c r="AW591" s="14"/>
      <x:c r="AX591" s="14" t="str">
        <x:v>No</x:v>
      </x:c>
      <x:c r="AY591" s="14" t="str">
        <x:v>Unmatched</x:v>
      </x:c>
      <x:c r="AZ591" s="14" t="str">
        <x:v>Final supplied register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12</x:v>
      </x:c>
      <x:c r="BP591" s="14" t="str">
        <x:v>Maximum supplied eligible IMDb cast-credit total; annual episode total not independently verified.</x:v>
      </x:c>
      <x:c r="BQ591" s="14" t="str">
        <x:v>Medium</x:v>
      </x:c>
      <x:c r="BR591" s="15" t="n">
        <x:v>1</x:v>
      </x:c>
      <x:c r="BS591" s="16" t="n">
        <x:v>0.08333333333333333</x:v>
      </x:c>
      <x:c r="BT591" s="14" t="str">
        <x:v>One episode</x:v>
      </x:c>
      <x:c r="BU591" s="14" t="str">
        <x:v>Medium</x:v>
      </x:c>
      <x:c r="BV591" s="14" t="str">
        <x:v>Derived from the supplied IMDb episode count and documented production-total proxy.</x:v>
      </x:c>
      <x:c r="BW591" s="14" t="str">
        <x:v>Unable to determine</x:v>
      </x:c>
      <x:c r="BX591" s="14" t="str">
        <x:v>Cast-list and episode data do not establish narrative prominence.</x:v>
      </x:c>
      <x:c r="BY591" s="14" t="str">
        <x:v>Supplied IMDb cast-list workbook</x:v>
      </x:c>
      <x:c r="BZ59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tt11847842|nm9767996|tioté's father</x:v>
      </x:c>
      <x:c r="B592" s="14" t="str">
        <x:v>07</x:v>
      </x:c>
      <x:c r="C592" s="14" t="str">
        <x:v>2022_IMDb_Cast_Lists_Batch_07(1).xlsx</x:v>
      </x:c>
      <x:c r="D592" s="14" t="str">
        <x:v>The Tourist</x:v>
      </x:c>
      <x:c r="E592" s="14" t="n">
        <x:v>68</x:v>
      </x:c>
      <x:c r="F592" s="14" t="str">
        <x:v>The Tourist</x:v>
      </x:c>
      <x:c r="G592" s="14" t="str">
        <x:v>tt11847842</x:v>
      </x:c>
      <x:c r="H592" s="14" t="n">
        <x:v>2022</x:v>
      </x:c>
      <x:c r="I592" s="14" t="n">
        <x:v>2023</x:v>
      </x:c>
      <x:c r="J592" s="14" t="str">
        <x:v>Future Carry-Forward Cohort</x:v>
      </x:c>
      <x:c r="K592" s="14" t="n">
        <x:v>2022</x:v>
      </x:c>
      <x:c r="L592" s="14" t="str">
        <x:v>Not inherited</x:v>
      </x:c>
      <x:c r="M592" s="15" t="n">
        <x:v>61</x:v>
      </x:c>
      <x:c r="N592" s="14" t="str">
        <x:v>Hanz Gal</x:v>
      </x:c>
      <x:c r="O592" s="14" t="str">
        <x:v>nm9767996</x:v>
      </x:c>
      <x:c r="P592" s="14" t="str">
        <x:v>Tioté's Father</x:v>
      </x:c>
      <x:c r="Q592" s="15" t="n">
        <x:v>1</x:v>
      </x:c>
      <x:c r="R592" s="14" t="str">
        <x:v>2024</x:v>
      </x:c>
      <x:c r="S592" s="14" t="n">
        <x:v>2024</x:v>
      </x:c>
      <x:c r="T592" s="14" t="n">
        <x:v>2024</x:v>
      </x:c>
      <x:c r="U592" s="14" t="str">
        <x:v>Explicit source first year retained</x:v>
      </x:c>
      <x:c r="V592" s="14" t="str">
        <x:v>Earliest supplied year is 2024.</x:v>
      </x:c>
      <x:c r="W592" s="14"/>
      <x:c r="X592" s="14" t="str">
        <x:v>Carried forward to 2024</x:v>
      </x:c>
      <x:c r="Y592" s="14"/>
      <x:c r="Z592" s="14" t="str">
        <x:v>The Tourist.docx</x:v>
      </x:c>
      <x:c r="AA59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BBC</x:v>
      </x:c>
      <x:c r="AI592" s="14" t="str">
        <x:v>Qualifying UK co-commission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qualifying uk co-commission.</x:v>
      </x:c>
      <x:c r="AM59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2" s="14" t="str">
        <x:v>BBC public-service co-commission</x:v>
      </x:c>
      <x:c r="AO592" s="14" t="str">
        <x:v>Yes</x:v>
      </x:c>
      <x:c r="AP592" s="14" t="str">
        <x:v>Direct BBC public-service scope</x:v>
      </x:c>
      <x:c r="AQ592" s="14" t="str">
        <x:v>Yes</x:v>
      </x:c>
      <x:c r="AR592" s="14" t="str">
        <x:v>Resolved from master register</x:v>
      </x:c>
      <x:c r="AS592" s="14" t="str">
        <x:v>No established-register match</x:v>
      </x:c>
      <x:c r="AT592" s="14"/>
      <x:c r="AU592" s="14"/>
      <x:c r="AV592" s="14" t="str">
        <x:v>No established apparent-disability match</x:v>
      </x:c>
      <x:c r="AW592" s="14"/>
      <x:c r="AX592" s="14" t="str">
        <x:v>No</x:v>
      </x:c>
      <x:c r="AY592" s="14" t="str">
        <x:v>Unmatched</x:v>
      </x:c>
      <x:c r="AZ592" s="14" t="str">
        <x:v>Final supplied register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12</x:v>
      </x:c>
      <x:c r="BP592" s="14" t="str">
        <x:v>Maximum supplied eligible IMDb cast-credit total; annual episode total not independently verified.</x:v>
      </x:c>
      <x:c r="BQ592" s="14" t="str">
        <x:v>Medium</x:v>
      </x:c>
      <x:c r="BR592" s="15" t="n">
        <x:v>1</x:v>
      </x:c>
      <x:c r="BS592" s="16" t="n">
        <x:v>0.08333333333333333</x:v>
      </x:c>
      <x:c r="BT592" s="14" t="str">
        <x:v>One episode</x:v>
      </x:c>
      <x:c r="BU592" s="14" t="str">
        <x:v>Medium</x:v>
      </x:c>
      <x:c r="BV592" s="14" t="str">
        <x:v>Derived from the supplied IMDb episode count and documented production-total proxy.</x:v>
      </x:c>
      <x:c r="BW592" s="14" t="str">
        <x:v>Unable to determine</x:v>
      </x:c>
      <x:c r="BX592" s="14" t="str">
        <x:v>Cast-list and episode data do not establish narrative prominence.</x:v>
      </x:c>
      <x:c r="BY592" s="14" t="str">
        <x:v>Supplied IMDb cast-list workbook</x:v>
      </x:c>
      <x:c r="BZ59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tt11847842|nm11847069|eunan</x:v>
      </x:c>
      <x:c r="B593" s="14" t="str">
        <x:v>07</x:v>
      </x:c>
      <x:c r="C593" s="14" t="str">
        <x:v>2022_IMDb_Cast_Lists_Batch_07(1).xlsx</x:v>
      </x:c>
      <x:c r="D593" s="14" t="str">
        <x:v>The Tourist</x:v>
      </x:c>
      <x:c r="E593" s="14" t="n">
        <x:v>69</x:v>
      </x:c>
      <x:c r="F593" s="14" t="str">
        <x:v>The Tourist</x:v>
      </x:c>
      <x:c r="G593" s="14" t="str">
        <x:v>tt11847842</x:v>
      </x:c>
      <x:c r="H593" s="14" t="n">
        <x:v>2022</x:v>
      </x:c>
      <x:c r="I593" s="14" t="n">
        <x:v>2023</x:v>
      </x:c>
      <x:c r="J593" s="14" t="str">
        <x:v>Future Carry-Forward Cohort</x:v>
      </x:c>
      <x:c r="K593" s="14" t="n">
        <x:v>2022</x:v>
      </x:c>
      <x:c r="L593" s="14" t="str">
        <x:v>Not inherited</x:v>
      </x:c>
      <x:c r="M593" s="15" t="n">
        <x:v>62</x:v>
      </x:c>
      <x:c r="N593" s="14" t="str">
        <x:v>Henry Murphy</x:v>
      </x:c>
      <x:c r="O593" s="14" t="str">
        <x:v>nm11847069</x:v>
      </x:c>
      <x:c r="P593" s="14" t="str">
        <x:v>Eunan</x:v>
      </x:c>
      <x:c r="Q593" s="15" t="n">
        <x:v>1</x:v>
      </x:c>
      <x:c r="R593" s="14" t="str">
        <x:v>2024</x:v>
      </x:c>
      <x:c r="S593" s="14" t="n">
        <x:v>2024</x:v>
      </x:c>
      <x:c r="T593" s="14" t="n">
        <x:v>2024</x:v>
      </x:c>
      <x:c r="U593" s="14" t="str">
        <x:v>Explicit source first year retained</x:v>
      </x:c>
      <x:c r="V593" s="14" t="str">
        <x:v>Earliest supplied year is 2024.</x:v>
      </x:c>
      <x:c r="W593" s="14"/>
      <x:c r="X593" s="14" t="str">
        <x:v>Carried forward to 2024</x:v>
      </x:c>
      <x:c r="Y593" s="14"/>
      <x:c r="Z593" s="14" t="str">
        <x:v>The Tourist.docx</x:v>
      </x:c>
      <x:c r="AA59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BBC</x:v>
      </x:c>
      <x:c r="AI593" s="14" t="str">
        <x:v>Qualifying UK co-commission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qualifying uk co-commission.</x:v>
      </x:c>
      <x:c r="AM59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3" s="14" t="str">
        <x:v>BBC public-service co-commission</x:v>
      </x:c>
      <x:c r="AO593" s="14" t="str">
        <x:v>Yes</x:v>
      </x:c>
      <x:c r="AP593" s="14" t="str">
        <x:v>Direct BBC public-service scope</x:v>
      </x:c>
      <x:c r="AQ593" s="14" t="str">
        <x:v>Yes</x:v>
      </x:c>
      <x:c r="AR593" s="14" t="str">
        <x:v>Resolved from master register</x:v>
      </x:c>
      <x:c r="AS593" s="14" t="str">
        <x:v>No established-register match</x:v>
      </x:c>
      <x:c r="AT593" s="14"/>
      <x:c r="AU593" s="14"/>
      <x:c r="AV593" s="14" t="str">
        <x:v>No established apparent-disability match</x:v>
      </x:c>
      <x:c r="AW593" s="14"/>
      <x:c r="AX593" s="14" t="str">
        <x:v>No</x:v>
      </x:c>
      <x:c r="AY593" s="14" t="str">
        <x:v>Unmatched</x:v>
      </x:c>
      <x:c r="AZ593" s="14" t="str">
        <x:v>Final supplied register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12</x:v>
      </x:c>
      <x:c r="BP593" s="14" t="str">
        <x:v>Maximum supplied eligible IMDb cast-credit total; annual episode total not independently verified.</x:v>
      </x:c>
      <x:c r="BQ593" s="14" t="str">
        <x:v>Medium</x:v>
      </x:c>
      <x:c r="BR593" s="15" t="n">
        <x:v>1</x:v>
      </x:c>
      <x:c r="BS593" s="16" t="n">
        <x:v>0.08333333333333333</x:v>
      </x:c>
      <x:c r="BT593" s="14" t="str">
        <x:v>One episode</x:v>
      </x:c>
      <x:c r="BU593" s="14" t="str">
        <x:v>Medium</x:v>
      </x:c>
      <x:c r="BV593" s="14" t="str">
        <x:v>Derived from the supplied IMDb episode count and documented production-total proxy.</x:v>
      </x:c>
      <x:c r="BW593" s="14" t="str">
        <x:v>Unable to determine</x:v>
      </x:c>
      <x:c r="BX593" s="14" t="str">
        <x:v>Cast-list and episode data do not establish narrative prominence.</x:v>
      </x:c>
      <x:c r="BY593" s="14" t="str">
        <x:v>Supplied IMDb cast-list workbook</x:v>
      </x:c>
      <x:c r="BZ59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tt11847842|nm15671760|ned tooley</x:v>
      </x:c>
      <x:c r="B594" s="14" t="str">
        <x:v>07</x:v>
      </x:c>
      <x:c r="C594" s="14" t="str">
        <x:v>2022_IMDb_Cast_Lists_Batch_07(1).xlsx</x:v>
      </x:c>
      <x:c r="D594" s="14" t="str">
        <x:v>The Tourist</x:v>
      </x:c>
      <x:c r="E594" s="14" t="n">
        <x:v>70</x:v>
      </x:c>
      <x:c r="F594" s="14" t="str">
        <x:v>The Tourist</x:v>
      </x:c>
      <x:c r="G594" s="14" t="str">
        <x:v>tt11847842</x:v>
      </x:c>
      <x:c r="H594" s="14" t="n">
        <x:v>2022</x:v>
      </x:c>
      <x:c r="I594" s="14" t="n">
        <x:v>2023</x:v>
      </x:c>
      <x:c r="J594" s="14" t="str">
        <x:v>Future Carry-Forward Cohort</x:v>
      </x:c>
      <x:c r="K594" s="14" t="n">
        <x:v>2022</x:v>
      </x:c>
      <x:c r="L594" s="14" t="str">
        <x:v>Not inherited</x:v>
      </x:c>
      <x:c r="M594" s="15" t="n">
        <x:v>63</x:v>
      </x:c>
      <x:c r="N594" s="14" t="str">
        <x:v>Fin Dowling</x:v>
      </x:c>
      <x:c r="O594" s="14" t="str">
        <x:v>nm15671760</x:v>
      </x:c>
      <x:c r="P594" s="14" t="str">
        <x:v>Ned Tooley</x:v>
      </x:c>
      <x:c r="Q594" s="15" t="n">
        <x:v>1</x:v>
      </x:c>
      <x:c r="R594" s="14" t="str">
        <x:v>2024</x:v>
      </x:c>
      <x:c r="S594" s="14" t="n">
        <x:v>2024</x:v>
      </x:c>
      <x:c r="T594" s="14" t="n">
        <x:v>2024</x:v>
      </x:c>
      <x:c r="U594" s="14" t="str">
        <x:v>Explicit source first year retained</x:v>
      </x:c>
      <x:c r="V594" s="14" t="str">
        <x:v>Earliest supplied year is 2024.</x:v>
      </x:c>
      <x:c r="W594" s="14"/>
      <x:c r="X594" s="14" t="str">
        <x:v>Carried forward to 2024</x:v>
      </x:c>
      <x:c r="Y594" s="14"/>
      <x:c r="Z594" s="14" t="str">
        <x:v>The Tourist.docx</x:v>
      </x:c>
      <x:c r="AA59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BBC</x:v>
      </x:c>
      <x:c r="AI594" s="14" t="str">
        <x:v>Qualifying UK co-commission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qualifying uk co-commission.</x:v>
      </x:c>
      <x:c r="AM59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4" s="14" t="str">
        <x:v>BBC public-service co-commission</x:v>
      </x:c>
      <x:c r="AO594" s="14" t="str">
        <x:v>Yes</x:v>
      </x:c>
      <x:c r="AP594" s="14" t="str">
        <x:v>Direct BBC public-service scope</x:v>
      </x:c>
      <x:c r="AQ594" s="14" t="str">
        <x:v>Yes</x:v>
      </x:c>
      <x:c r="AR594" s="14" t="str">
        <x:v>Resolved from master register</x:v>
      </x:c>
      <x:c r="AS594" s="14" t="str">
        <x:v>No established-register match</x:v>
      </x:c>
      <x:c r="AT594" s="14"/>
      <x:c r="AU594" s="14"/>
      <x:c r="AV594" s="14" t="str">
        <x:v>No established apparent-disability match</x:v>
      </x:c>
      <x:c r="AW594" s="14"/>
      <x:c r="AX594" s="14" t="str">
        <x:v>No</x:v>
      </x:c>
      <x:c r="AY594" s="14" t="str">
        <x:v>Unmatched</x:v>
      </x:c>
      <x:c r="AZ594" s="14" t="str">
        <x:v>Final supplied register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12</x:v>
      </x:c>
      <x:c r="BP594" s="14" t="str">
        <x:v>Maximum supplied eligible IMDb cast-credit total; annual episode total not independently verified.</x:v>
      </x:c>
      <x:c r="BQ594" s="14" t="str">
        <x:v>Medium</x:v>
      </x:c>
      <x:c r="BR594" s="15" t="n">
        <x:v>1</x:v>
      </x:c>
      <x:c r="BS594" s="16" t="n">
        <x:v>0.08333333333333333</x:v>
      </x:c>
      <x:c r="BT594" s="14" t="str">
        <x:v>One episode</x:v>
      </x:c>
      <x:c r="BU594" s="14" t="str">
        <x:v>Medium</x:v>
      </x:c>
      <x:c r="BV594" s="14" t="str">
        <x:v>Derived from the supplied IMDb episode count and documented production-total proxy.</x:v>
      </x:c>
      <x:c r="BW594" s="14" t="str">
        <x:v>Unable to determine</x:v>
      </x:c>
      <x:c r="BX594" s="14" t="str">
        <x:v>Cast-list and episode data do not establish narrative prominence.</x:v>
      </x:c>
      <x:c r="BY594" s="14" t="str">
        <x:v>Supplied IMDb cast-list workbook</x:v>
      </x:c>
      <x:c r="BZ59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tt11847842|nm8923497|doctor</x:v>
      </x:c>
      <x:c r="B595" s="14" t="str">
        <x:v>07</x:v>
      </x:c>
      <x:c r="C595" s="14" t="str">
        <x:v>2022_IMDb_Cast_Lists_Batch_07(1).xlsx</x:v>
      </x:c>
      <x:c r="D595" s="14" t="str">
        <x:v>The Tourist</x:v>
      </x:c>
      <x:c r="E595" s="14" t="n">
        <x:v>76</x:v>
      </x:c>
      <x:c r="F595" s="14" t="str">
        <x:v>The Tourist</x:v>
      </x:c>
      <x:c r="G595" s="14" t="str">
        <x:v>tt11847842</x:v>
      </x:c>
      <x:c r="H595" s="14" t="n">
        <x:v>2022</x:v>
      </x:c>
      <x:c r="I595" s="14" t="n">
        <x:v>2023</x:v>
      </x:c>
      <x:c r="J595" s="14" t="str">
        <x:v>Future Carry-Forward Cohort</x:v>
      </x:c>
      <x:c r="K595" s="14" t="n">
        <x:v>2022</x:v>
      </x:c>
      <x:c r="L595" s="14" t="str">
        <x:v>Not inherited</x:v>
      </x:c>
      <x:c r="M595" s="15" t="n">
        <x:v>69</x:v>
      </x:c>
      <x:c r="N595" s="14" t="str">
        <x:v>Mark Lawrence</x:v>
      </x:c>
      <x:c r="O595" s="14" t="str">
        <x:v>nm8923497</x:v>
      </x:c>
      <x:c r="P595" s="14" t="str">
        <x:v>Doctor</x:v>
      </x:c>
      <x:c r="Q595" s="15" t="n">
        <x:v>1</x:v>
      </x:c>
      <x:c r="R595" s="14" t="str">
        <x:v>2024</x:v>
      </x:c>
      <x:c r="S595" s="14" t="n">
        <x:v>2024</x:v>
      </x:c>
      <x:c r="T595" s="14" t="n">
        <x:v>2024</x:v>
      </x:c>
      <x:c r="U595" s="14" t="str">
        <x:v>Explicit source first year retained</x:v>
      </x:c>
      <x:c r="V595" s="14" t="str">
        <x:v>Earliest supplied year is 2024.</x:v>
      </x:c>
      <x:c r="W595" s="14"/>
      <x:c r="X595" s="14" t="str">
        <x:v>Carried forward to 2024</x:v>
      </x:c>
      <x:c r="Y595" s="14"/>
      <x:c r="Z595" s="14" t="str">
        <x:v>The Tourist.docx</x:v>
      </x:c>
      <x:c r="AA59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BBC</x:v>
      </x:c>
      <x:c r="AI595" s="14" t="str">
        <x:v>Qualifying UK co-commission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qualifying uk co-commission.</x:v>
      </x:c>
      <x:c r="AM59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5" s="14" t="str">
        <x:v>BBC public-service co-commission</x:v>
      </x:c>
      <x:c r="AO595" s="14" t="str">
        <x:v>Yes</x:v>
      </x:c>
      <x:c r="AP595" s="14" t="str">
        <x:v>Direct BBC public-service scope</x:v>
      </x:c>
      <x:c r="AQ595" s="14" t="str">
        <x:v>Yes</x:v>
      </x:c>
      <x:c r="AR595" s="14" t="str">
        <x:v>Resolved from master register</x:v>
      </x:c>
      <x:c r="AS595" s="14" t="str">
        <x:v>No established-register match</x:v>
      </x:c>
      <x:c r="AT595" s="14"/>
      <x:c r="AU595" s="14"/>
      <x:c r="AV595" s="14" t="str">
        <x:v>No established apparent-disability match</x:v>
      </x:c>
      <x:c r="AW595" s="14"/>
      <x:c r="AX595" s="14" t="str">
        <x:v>No</x:v>
      </x:c>
      <x:c r="AY595" s="14" t="str">
        <x:v>Unmatched</x:v>
      </x:c>
      <x:c r="AZ595" s="14" t="str">
        <x:v>Final supplied register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12</x:v>
      </x:c>
      <x:c r="BP595" s="14" t="str">
        <x:v>Maximum supplied eligible IMDb cast-credit total; annual episode total not independently verified.</x:v>
      </x:c>
      <x:c r="BQ595" s="14" t="str">
        <x:v>Medium</x:v>
      </x:c>
      <x:c r="BR595" s="15" t="n">
        <x:v>1</x:v>
      </x:c>
      <x:c r="BS595" s="16" t="n">
        <x:v>0.08333333333333333</x:v>
      </x:c>
      <x:c r="BT595" s="14" t="str">
        <x:v>One episode</x:v>
      </x:c>
      <x:c r="BU595" s="14" t="str">
        <x:v>Medium</x:v>
      </x:c>
      <x:c r="BV595" s="14" t="str">
        <x:v>Derived from the supplied IMDb episode count and documented production-total proxy.</x:v>
      </x:c>
      <x:c r="BW595" s="14" t="str">
        <x:v>Unable to determine</x:v>
      </x:c>
      <x:c r="BX595" s="14" t="str">
        <x:v>Cast-list and episode data do not establish narrative prominence.</x:v>
      </x:c>
      <x:c r="BY595" s="14" t="str">
        <x:v>Supplied IMDb cast-list workbook</x:v>
      </x:c>
      <x:c r="BZ59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tt11847842|nm10694318|cashier</x:v>
      </x:c>
      <x:c r="B596" s="14" t="str">
        <x:v>07</x:v>
      </x:c>
      <x:c r="C596" s="14" t="str">
        <x:v>2022_IMDb_Cast_Lists_Batch_07(1).xlsx</x:v>
      </x:c>
      <x:c r="D596" s="14" t="str">
        <x:v>The Tourist</x:v>
      </x:c>
      <x:c r="E596" s="14" t="n">
        <x:v>78</x:v>
      </x:c>
      <x:c r="F596" s="14" t="str">
        <x:v>The Tourist</x:v>
      </x:c>
      <x:c r="G596" s="14" t="str">
        <x:v>tt11847842</x:v>
      </x:c>
      <x:c r="H596" s="14" t="n">
        <x:v>2022</x:v>
      </x:c>
      <x:c r="I596" s="14" t="n">
        <x:v>2023</x:v>
      </x:c>
      <x:c r="J596" s="14" t="str">
        <x:v>Future Carry-Forward Cohort</x:v>
      </x:c>
      <x:c r="K596" s="14" t="n">
        <x:v>2022</x:v>
      </x:c>
      <x:c r="L596" s="14" t="str">
        <x:v>Not inherited</x:v>
      </x:c>
      <x:c r="M596" s="15" t="n">
        <x:v>71</x:v>
      </x:c>
      <x:c r="N596" s="14" t="str">
        <x:v>Louis McCartney</x:v>
      </x:c>
      <x:c r="O596" s="14" t="str">
        <x:v>nm10694318</x:v>
      </x:c>
      <x:c r="P596" s="14" t="str">
        <x:v>Cashier</x:v>
      </x:c>
      <x:c r="Q596" s="15" t="n">
        <x:v>1</x:v>
      </x:c>
      <x:c r="R596" s="14" t="str">
        <x:v>2024</x:v>
      </x:c>
      <x:c r="S596" s="14" t="n">
        <x:v>2024</x:v>
      </x:c>
      <x:c r="T596" s="14" t="n">
        <x:v>2024</x:v>
      </x:c>
      <x:c r="U596" s="14" t="str">
        <x:v>Explicit source first year retained</x:v>
      </x:c>
      <x:c r="V596" s="14" t="str">
        <x:v>Earliest supplied year is 2024.</x:v>
      </x:c>
      <x:c r="W596" s="14"/>
      <x:c r="X596" s="14" t="str">
        <x:v>Carried forward to 2024</x:v>
      </x:c>
      <x:c r="Y596" s="14"/>
      <x:c r="Z596" s="14" t="str">
        <x:v>The Tourist.docx</x:v>
      </x:c>
      <x:c r="AA59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BBC</x:v>
      </x:c>
      <x:c r="AI596" s="14" t="str">
        <x:v>Qualifying UK co-commission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qualifying uk co-commission.</x:v>
      </x:c>
      <x:c r="AM59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6" s="14" t="str">
        <x:v>BBC public-service co-commission</x:v>
      </x:c>
      <x:c r="AO596" s="14" t="str">
        <x:v>Yes</x:v>
      </x:c>
      <x:c r="AP596" s="14" t="str">
        <x:v>Direct BBC public-service scope</x:v>
      </x:c>
      <x:c r="AQ596" s="14" t="str">
        <x:v>Yes</x:v>
      </x:c>
      <x:c r="AR596" s="14" t="str">
        <x:v>Resolved from master register</x:v>
      </x:c>
      <x:c r="AS596" s="14" t="str">
        <x:v>No established-register match</x:v>
      </x:c>
      <x:c r="AT596" s="14"/>
      <x:c r="AU596" s="14"/>
      <x:c r="AV596" s="14" t="str">
        <x:v>No established apparent-disability match</x:v>
      </x:c>
      <x:c r="AW596" s="14"/>
      <x:c r="AX596" s="14" t="str">
        <x:v>No</x:v>
      </x:c>
      <x:c r="AY596" s="14" t="str">
        <x:v>Unmatched</x:v>
      </x:c>
      <x:c r="AZ596" s="14" t="str">
        <x:v>Final supplied register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12</x:v>
      </x:c>
      <x:c r="BP596" s="14" t="str">
        <x:v>Maximum supplied eligible IMDb cast-credit total; annual episode total not independently verified.</x:v>
      </x:c>
      <x:c r="BQ596" s="14" t="str">
        <x:v>Medium</x:v>
      </x:c>
      <x:c r="BR596" s="15" t="n">
        <x:v>1</x:v>
      </x:c>
      <x:c r="BS596" s="16" t="n">
        <x:v>0.08333333333333333</x:v>
      </x:c>
      <x:c r="BT596" s="14" t="str">
        <x:v>One episode</x:v>
      </x:c>
      <x:c r="BU596" s="14" t="str">
        <x:v>Medium</x:v>
      </x:c>
      <x:c r="BV596" s="14" t="str">
        <x:v>Derived from the supplied IMDb episode count and documented production-total proxy.</x:v>
      </x:c>
      <x:c r="BW596" s="14" t="str">
        <x:v>Unable to determine</x:v>
      </x:c>
      <x:c r="BX596" s="14" t="str">
        <x:v>Cast-list and episode data do not establish narrative prominence.</x:v>
      </x:c>
      <x:c r="BY596" s="14" t="str">
        <x:v>Supplied IMDb cast-list workbook</x:v>
      </x:c>
      <x:c r="BZ59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tt11847842|nm4502483|colin</x:v>
      </x:c>
      <x:c r="B597" s="14" t="str">
        <x:v>07</x:v>
      </x:c>
      <x:c r="C597" s="14" t="str">
        <x:v>2022_IMDb_Cast_Lists_Batch_07(1).xlsx</x:v>
      </x:c>
      <x:c r="D597" s="14" t="str">
        <x:v>The Tourist</x:v>
      </x:c>
      <x:c r="E597" s="14" t="n">
        <x:v>79</x:v>
      </x:c>
      <x:c r="F597" s="14" t="str">
        <x:v>The Tourist</x:v>
      </x:c>
      <x:c r="G597" s="14" t="str">
        <x:v>tt11847842</x:v>
      </x:c>
      <x:c r="H597" s="14" t="n">
        <x:v>2022</x:v>
      </x:c>
      <x:c r="I597" s="14" t="n">
        <x:v>2023</x:v>
      </x:c>
      <x:c r="J597" s="14" t="str">
        <x:v>Future Carry-Forward Cohort</x:v>
      </x:c>
      <x:c r="K597" s="14" t="n">
        <x:v>2022</x:v>
      </x:c>
      <x:c r="L597" s="14" t="str">
        <x:v>Not inherited</x:v>
      </x:c>
      <x:c r="M597" s="15" t="n">
        <x:v>72</x:v>
      </x:c>
      <x:c r="N597" s="14" t="str">
        <x:v>Kevin Kiernan-Molloy</x:v>
      </x:c>
      <x:c r="O597" s="14" t="str">
        <x:v>nm4502483</x:v>
      </x:c>
      <x:c r="P597" s="14" t="str">
        <x:v>Colin</x:v>
      </x:c>
      <x:c r="Q597" s="15" t="n">
        <x:v>1</x:v>
      </x:c>
      <x:c r="R597" s="14" t="str">
        <x:v>2024</x:v>
      </x:c>
      <x:c r="S597" s="14" t="n">
        <x:v>2024</x:v>
      </x:c>
      <x:c r="T597" s="14" t="n">
        <x:v>2024</x:v>
      </x:c>
      <x:c r="U597" s="14" t="str">
        <x:v>Explicit source first year retained</x:v>
      </x:c>
      <x:c r="V597" s="14" t="str">
        <x:v>Earliest supplied year is 2024.</x:v>
      </x:c>
      <x:c r="W597" s="14"/>
      <x:c r="X597" s="14" t="str">
        <x:v>Carried forward to 2024</x:v>
      </x:c>
      <x:c r="Y597" s="14"/>
      <x:c r="Z597" s="14" t="str">
        <x:v>The Tourist.docx</x:v>
      </x:c>
      <x:c r="AA59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BBC</x:v>
      </x:c>
      <x:c r="AI597" s="14" t="str">
        <x:v>Qualifying UK co-commission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qualifying uk co-commission.</x:v>
      </x:c>
      <x:c r="AM59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7" s="14" t="str">
        <x:v>BBC public-service co-commission</x:v>
      </x:c>
      <x:c r="AO597" s="14" t="str">
        <x:v>Yes</x:v>
      </x:c>
      <x:c r="AP597" s="14" t="str">
        <x:v>Direct BBC public-service scope</x:v>
      </x:c>
      <x:c r="AQ597" s="14" t="str">
        <x:v>Yes</x:v>
      </x:c>
      <x:c r="AR597" s="14" t="str">
        <x:v>Resolved from master register</x:v>
      </x:c>
      <x:c r="AS597" s="14" t="str">
        <x:v>No established-register match</x:v>
      </x:c>
      <x:c r="AT597" s="14"/>
      <x:c r="AU597" s="14"/>
      <x:c r="AV597" s="14" t="str">
        <x:v>No established apparent-disability match</x:v>
      </x:c>
      <x:c r="AW597" s="14"/>
      <x:c r="AX597" s="14" t="str">
        <x:v>No</x:v>
      </x:c>
      <x:c r="AY597" s="14" t="str">
        <x:v>Unmatched</x:v>
      </x:c>
      <x:c r="AZ597" s="14" t="str">
        <x:v>Final supplied register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12</x:v>
      </x:c>
      <x:c r="BP597" s="14" t="str">
        <x:v>Maximum supplied eligible IMDb cast-credit total; annual episode total not independently verified.</x:v>
      </x:c>
      <x:c r="BQ597" s="14" t="str">
        <x:v>Medium</x:v>
      </x:c>
      <x:c r="BR597" s="15" t="n">
        <x:v>1</x:v>
      </x:c>
      <x:c r="BS597" s="16" t="n">
        <x:v>0.08333333333333333</x:v>
      </x:c>
      <x:c r="BT597" s="14" t="str">
        <x:v>One episode</x:v>
      </x:c>
      <x:c r="BU597" s="14" t="str">
        <x:v>Medium</x:v>
      </x:c>
      <x:c r="BV597" s="14" t="str">
        <x:v>Derived from the supplied IMDb episode count and documented production-total proxy.</x:v>
      </x:c>
      <x:c r="BW597" s="14" t="str">
        <x:v>Unable to determine</x:v>
      </x:c>
      <x:c r="BX597" s="14" t="str">
        <x:v>Cast-list and episode data do not establish narrative prominence.</x:v>
      </x:c>
      <x:c r="BY597" s="14" t="str">
        <x:v>Supplied IMDb cast-list workbook</x:v>
      </x:c>
      <x:c r="BZ59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tt11847842|nm11565722|tioté's man 2</x:v>
      </x:c>
      <x:c r="B598" s="14" t="str">
        <x:v>07</x:v>
      </x:c>
      <x:c r="C598" s="14" t="str">
        <x:v>2022_IMDb_Cast_Lists_Batch_07(1).xlsx</x:v>
      </x:c>
      <x:c r="D598" s="14" t="str">
        <x:v>The Tourist</x:v>
      </x:c>
      <x:c r="E598" s="14" t="n">
        <x:v>80</x:v>
      </x:c>
      <x:c r="F598" s="14" t="str">
        <x:v>The Tourist</x:v>
      </x:c>
      <x:c r="G598" s="14" t="str">
        <x:v>tt11847842</x:v>
      </x:c>
      <x:c r="H598" s="14" t="n">
        <x:v>2022</x:v>
      </x:c>
      <x:c r="I598" s="14" t="n">
        <x:v>2023</x:v>
      </x:c>
      <x:c r="J598" s="14" t="str">
        <x:v>Future Carry-Forward Cohort</x:v>
      </x:c>
      <x:c r="K598" s="14" t="n">
        <x:v>2022</x:v>
      </x:c>
      <x:c r="L598" s="14" t="str">
        <x:v>Not inherited</x:v>
      </x:c>
      <x:c r="M598" s="15" t="n">
        <x:v>73</x:v>
      </x:c>
      <x:c r="N598" s="14" t="str">
        <x:v>James Whelan</x:v>
      </x:c>
      <x:c r="O598" s="14" t="str">
        <x:v>nm11565722</x:v>
      </x:c>
      <x:c r="P598" s="14" t="str">
        <x:v>Tioté's Man 2</x:v>
      </x:c>
      <x:c r="Q598" s="15" t="n">
        <x:v>1</x:v>
      </x:c>
      <x:c r="R598" s="14" t="str">
        <x:v>2024</x:v>
      </x:c>
      <x:c r="S598" s="14" t="n">
        <x:v>2024</x:v>
      </x:c>
      <x:c r="T598" s="14" t="n">
        <x:v>2024</x:v>
      </x:c>
      <x:c r="U598" s="14" t="str">
        <x:v>Explicit source first year retained</x:v>
      </x:c>
      <x:c r="V598" s="14" t="str">
        <x:v>Earliest supplied year is 2024.</x:v>
      </x:c>
      <x:c r="W598" s="14"/>
      <x:c r="X598" s="14" t="str">
        <x:v>Carried forward to 2024</x:v>
      </x:c>
      <x:c r="Y598" s="14"/>
      <x:c r="Z598" s="14" t="str">
        <x:v>The Tourist.docx</x:v>
      </x:c>
      <x:c r="AA59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BBC</x:v>
      </x:c>
      <x:c r="AI598" s="14" t="str">
        <x:v>Qualifying UK co-commission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qualifying uk co-commission.</x:v>
      </x:c>
      <x:c r="AM59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8" s="14" t="str">
        <x:v>BBC public-service co-commission</x:v>
      </x:c>
      <x:c r="AO598" s="14" t="str">
        <x:v>Yes</x:v>
      </x:c>
      <x:c r="AP598" s="14" t="str">
        <x:v>Direct BBC public-service scope</x:v>
      </x:c>
      <x:c r="AQ598" s="14" t="str">
        <x:v>Yes</x:v>
      </x:c>
      <x:c r="AR598" s="14" t="str">
        <x:v>Resolved from master register</x:v>
      </x:c>
      <x:c r="AS598" s="14" t="str">
        <x:v>No established-register match</x:v>
      </x:c>
      <x:c r="AT598" s="14"/>
      <x:c r="AU598" s="14"/>
      <x:c r="AV598" s="14" t="str">
        <x:v>No established apparent-disability match</x:v>
      </x:c>
      <x:c r="AW598" s="14"/>
      <x:c r="AX598" s="14" t="str">
        <x:v>No</x:v>
      </x:c>
      <x:c r="AY598" s="14" t="str">
        <x:v>Unmatched</x:v>
      </x:c>
      <x:c r="AZ598" s="14" t="str">
        <x:v>Final supplied register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12</x:v>
      </x:c>
      <x:c r="BP598" s="14" t="str">
        <x:v>Maximum supplied eligible IMDb cast-credit total; annual episode total not independently verified.</x:v>
      </x:c>
      <x:c r="BQ598" s="14" t="str">
        <x:v>Medium</x:v>
      </x:c>
      <x:c r="BR598" s="15" t="n">
        <x:v>1</x:v>
      </x:c>
      <x:c r="BS598" s="16" t="n">
        <x:v>0.08333333333333333</x:v>
      </x:c>
      <x:c r="BT598" s="14" t="str">
        <x:v>One episode</x:v>
      </x:c>
      <x:c r="BU598" s="14" t="str">
        <x:v>Medium</x:v>
      </x:c>
      <x:c r="BV598" s="14" t="str">
        <x:v>Derived from the supplied IMDb episode count and documented production-total proxy.</x:v>
      </x:c>
      <x:c r="BW598" s="14" t="str">
        <x:v>Unable to determine</x:v>
      </x:c>
      <x:c r="BX598" s="14" t="str">
        <x:v>Cast-list and episode data do not establish narrative prominence.</x:v>
      </x:c>
      <x:c r="BY598" s="14" t="str">
        <x:v>Supplied IMDb cast-list workbook</x:v>
      </x:c>
      <x:c r="BZ59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tt11847842|nm15671706|nurse 1</x:v>
      </x:c>
      <x:c r="B599" s="14" t="str">
        <x:v>07</x:v>
      </x:c>
      <x:c r="C599" s="14" t="str">
        <x:v>2022_IMDb_Cast_Lists_Batch_07(1).xlsx</x:v>
      </x:c>
      <x:c r="D599" s="14" t="str">
        <x:v>The Tourist</x:v>
      </x:c>
      <x:c r="E599" s="14" t="n">
        <x:v>81</x:v>
      </x:c>
      <x:c r="F599" s="14" t="str">
        <x:v>The Tourist</x:v>
      </x:c>
      <x:c r="G599" s="14" t="str">
        <x:v>tt11847842</x:v>
      </x:c>
      <x:c r="H599" s="14" t="n">
        <x:v>2022</x:v>
      </x:c>
      <x:c r="I599" s="14" t="n">
        <x:v>2023</x:v>
      </x:c>
      <x:c r="J599" s="14" t="str">
        <x:v>Future Carry-Forward Cohort</x:v>
      </x:c>
      <x:c r="K599" s="14" t="n">
        <x:v>2022</x:v>
      </x:c>
      <x:c r="L599" s="14" t="str">
        <x:v>Not inherited</x:v>
      </x:c>
      <x:c r="M599" s="15" t="n">
        <x:v>74</x:v>
      </x:c>
      <x:c r="N599" s="14" t="str">
        <x:v>Tabitha Ruigu</x:v>
      </x:c>
      <x:c r="O599" s="14" t="str">
        <x:v>nm15671706</x:v>
      </x:c>
      <x:c r="P599" s="14" t="str">
        <x:v>Nurse 1</x:v>
      </x:c>
      <x:c r="Q599" s="15" t="n">
        <x:v>1</x:v>
      </x:c>
      <x:c r="R599" s="14" t="str">
        <x:v>2024</x:v>
      </x:c>
      <x:c r="S599" s="14" t="n">
        <x:v>2024</x:v>
      </x:c>
      <x:c r="T599" s="14" t="n">
        <x:v>2024</x:v>
      </x:c>
      <x:c r="U599" s="14" t="str">
        <x:v>Explicit source first year retained</x:v>
      </x:c>
      <x:c r="V599" s="14" t="str">
        <x:v>Earliest supplied year is 2024.</x:v>
      </x:c>
      <x:c r="W599" s="14"/>
      <x:c r="X599" s="14" t="str">
        <x:v>Carried forward to 2024</x:v>
      </x:c>
      <x:c r="Y599" s="14"/>
      <x:c r="Z599" s="14" t="str">
        <x:v>The Tourist.docx</x:v>
      </x:c>
      <x:c r="AA59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BBC</x:v>
      </x:c>
      <x:c r="AI599" s="14" t="str">
        <x:v>Qualifying UK co-commission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qualifying uk co-commission.</x:v>
      </x:c>
      <x:c r="AM59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9" s="14" t="str">
        <x:v>BBC public-service co-commission</x:v>
      </x:c>
      <x:c r="AO599" s="14" t="str">
        <x:v>Yes</x:v>
      </x:c>
      <x:c r="AP599" s="14" t="str">
        <x:v>Direct BBC public-service scope</x:v>
      </x:c>
      <x:c r="AQ599" s="14" t="str">
        <x:v>Yes</x:v>
      </x:c>
      <x:c r="AR599" s="14" t="str">
        <x:v>Resolved from master register</x:v>
      </x:c>
      <x:c r="AS599" s="14" t="str">
        <x:v>No established-register match</x:v>
      </x:c>
      <x:c r="AT599" s="14"/>
      <x:c r="AU599" s="14"/>
      <x:c r="AV599" s="14" t="str">
        <x:v>No established apparent-disability match</x:v>
      </x:c>
      <x:c r="AW599" s="14"/>
      <x:c r="AX599" s="14" t="str">
        <x:v>No</x:v>
      </x:c>
      <x:c r="AY599" s="14" t="str">
        <x:v>Unmatched</x:v>
      </x:c>
      <x:c r="AZ599" s="14" t="str">
        <x:v>Final supplied register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12</x:v>
      </x:c>
      <x:c r="BP599" s="14" t="str">
        <x:v>Maximum supplied eligible IMDb cast-credit total; annual episode total not independently verified.</x:v>
      </x:c>
      <x:c r="BQ599" s="14" t="str">
        <x:v>Medium</x:v>
      </x:c>
      <x:c r="BR599" s="15" t="n">
        <x:v>1</x:v>
      </x:c>
      <x:c r="BS599" s="16" t="n">
        <x:v>0.08333333333333333</x:v>
      </x:c>
      <x:c r="BT599" s="14" t="str">
        <x:v>One episode</x:v>
      </x:c>
      <x:c r="BU599" s="14" t="str">
        <x:v>Medium</x:v>
      </x:c>
      <x:c r="BV599" s="14" t="str">
        <x:v>Derived from the supplied IMDb episode count and documented production-total proxy.</x:v>
      </x:c>
      <x:c r="BW599" s="14" t="str">
        <x:v>Unable to determine</x:v>
      </x:c>
      <x:c r="BX599" s="14" t="str">
        <x:v>Cast-list and episode data do not establish narrative prominence.</x:v>
      </x:c>
      <x:c r="BY599" s="14" t="str">
        <x:v>Supplied IMDb cast-list workbook</x:v>
      </x:c>
      <x:c r="BZ59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tt11847842|nm11609815|sophie</x:v>
      </x:c>
      <x:c r="B600" s="14" t="str">
        <x:v>07</x:v>
      </x:c>
      <x:c r="C600" s="14" t="str">
        <x:v>2022_IMDb_Cast_Lists_Batch_07(1).xlsx</x:v>
      </x:c>
      <x:c r="D600" s="14" t="str">
        <x:v>The Tourist</x:v>
      </x:c>
      <x:c r="E600" s="14" t="n">
        <x:v>85</x:v>
      </x:c>
      <x:c r="F600" s="14" t="str">
        <x:v>The Tourist</x:v>
      </x:c>
      <x:c r="G600" s="14" t="str">
        <x:v>tt11847842</x:v>
      </x:c>
      <x:c r="H600" s="14" t="n">
        <x:v>2022</x:v>
      </x:c>
      <x:c r="I600" s="14" t="n">
        <x:v>2023</x:v>
      </x:c>
      <x:c r="J600" s="14" t="str">
        <x:v>Future Carry-Forward Cohort</x:v>
      </x:c>
      <x:c r="K600" s="14" t="n">
        <x:v>2022</x:v>
      </x:c>
      <x:c r="L600" s="14" t="str">
        <x:v>Not inherited</x:v>
      </x:c>
      <x:c r="M600" s="15" t="n">
        <x:v>78</x:v>
      </x:c>
      <x:c r="N600" s="14" t="str">
        <x:v>Rosaleen Cox</x:v>
      </x:c>
      <x:c r="O600" s="14" t="str">
        <x:v>nm11609815</x:v>
      </x:c>
      <x:c r="P600" s="14" t="str">
        <x:v>Sophie</x:v>
      </x:c>
      <x:c r="Q600" s="15" t="n">
        <x:v>1</x:v>
      </x:c>
      <x:c r="R600" s="14" t="str">
        <x:v>2024</x:v>
      </x:c>
      <x:c r="S600" s="14" t="n">
        <x:v>2024</x:v>
      </x:c>
      <x:c r="T600" s="14" t="n">
        <x:v>2024</x:v>
      </x:c>
      <x:c r="U600" s="14" t="str">
        <x:v>Explicit source first year retained</x:v>
      </x:c>
      <x:c r="V600" s="14" t="str">
        <x:v>Earliest supplied year is 2024.</x:v>
      </x:c>
      <x:c r="W600" s="14"/>
      <x:c r="X600" s="14" t="str">
        <x:v>Carried forward to 2024</x:v>
      </x:c>
      <x:c r="Y600" s="14"/>
      <x:c r="Z600" s="14" t="str">
        <x:v>The Tourist.docx</x:v>
      </x:c>
      <x:c r="AA60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0" s="14" t="str">
        <x:v>No established-register match</x:v>
      </x:c>
      <x:c r="AC600" s="14"/>
      <x:c r="AD600" s="14"/>
      <x:c r="AE600" s="14"/>
      <x:c r="AF600" s="14"/>
      <x:c r="AG600" s="14" t="str">
        <x:v>No qualifying conclusion recorded. Absence from the register is not evidence that the performer is not disabled.</x:v>
      </x:c>
      <x:c r="AH600" s="14" t="str">
        <x:v>BBC</x:v>
      </x:c>
      <x:c r="AI600" s="14" t="str">
        <x:v>Qualifying UK co-commission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qualifying uk co-commission.</x:v>
      </x:c>
      <x:c r="AM60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0" s="14" t="str">
        <x:v>BBC public-service co-commission</x:v>
      </x:c>
      <x:c r="AO600" s="14" t="str">
        <x:v>Yes</x:v>
      </x:c>
      <x:c r="AP600" s="14" t="str">
        <x:v>Direct BBC public-service scope</x:v>
      </x:c>
      <x:c r="AQ600" s="14" t="str">
        <x:v>Yes</x:v>
      </x:c>
      <x:c r="AR600" s="14" t="str">
        <x:v>Resolved from master register</x:v>
      </x:c>
      <x:c r="AS600" s="14" t="str">
        <x:v>No established-register match</x:v>
      </x:c>
      <x:c r="AT600" s="14"/>
      <x:c r="AU600" s="14"/>
      <x:c r="AV600" s="14" t="str">
        <x:v>No established apparent-disability match</x:v>
      </x:c>
      <x:c r="AW600" s="14"/>
      <x:c r="AX600" s="14" t="str">
        <x:v>No</x:v>
      </x:c>
      <x:c r="AY600" s="14" t="str">
        <x:v>Unmatched</x:v>
      </x:c>
      <x:c r="AZ600" s="14" t="str">
        <x:v>Final supplied register</x:v>
      </x:c>
      <x:c r="BA600" s="14" t="str">
        <x:v>Absence from the register is not evidence that the performer is not disabled.</x:v>
      </x:c>
      <x:c r="BB600" s="14" t="str">
        <x:v>No established-register match</x:v>
      </x:c>
      <x:c r="BC600" s="14"/>
      <x:c r="BD600" s="14"/>
      <x:c r="BE600" s="14"/>
      <x:c r="BF600" s="14" t="str">
        <x:v>No established apparent-disability match</x:v>
      </x:c>
      <x:c r="BG600" s="14"/>
      <x:c r="BH600" s="14" t="str">
        <x:v>No</x:v>
      </x:c>
      <x:c r="BI600" s="14"/>
      <x:c r="BJ600" s="14"/>
      <x:c r="BK600" s="14"/>
      <x:c r="BL600" s="14" t="str">
        <x:v>Unmatched</x:v>
      </x:c>
      <x:c r="BM600" s="14" t="str">
        <x:v>Final supplied register</x:v>
      </x:c>
      <x:c r="BN600" s="14" t="str">
        <x:v>Absence from the register is not evidence that the performer is not disabled.</x:v>
      </x:c>
      <x:c r="BO600" s="14" t="n">
        <x:v>12</x:v>
      </x:c>
      <x:c r="BP600" s="14" t="str">
        <x:v>Maximum supplied eligible IMDb cast-credit total; annual episode total not independently verified.</x:v>
      </x:c>
      <x:c r="BQ600" s="14" t="str">
        <x:v>Medium</x:v>
      </x:c>
      <x:c r="BR600" s="15" t="n">
        <x:v>1</x:v>
      </x:c>
      <x:c r="BS600" s="16" t="n">
        <x:v>0.08333333333333333</x:v>
      </x:c>
      <x:c r="BT600" s="14" t="str">
        <x:v>One episode</x:v>
      </x:c>
      <x:c r="BU600" s="14" t="str">
        <x:v>Medium</x:v>
      </x:c>
      <x:c r="BV600" s="14" t="str">
        <x:v>Derived from the supplied IMDb episode count and documented production-total proxy.</x:v>
      </x:c>
      <x:c r="BW600" s="14" t="str">
        <x:v>Unable to determine</x:v>
      </x:c>
      <x:c r="BX600" s="14" t="str">
        <x:v>Cast-list and episode data do not establish narrative prominence.</x:v>
      </x:c>
      <x:c r="BY600" s="14" t="str">
        <x:v>Supplied IMDb cast-list workbook</x:v>
      </x:c>
      <x:c r="BZ60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tt11847842|nm1074361|marlowe / dr watkins</x:v>
      </x:c>
      <x:c r="B601" s="14" t="str">
        <x:v>07</x:v>
      </x:c>
      <x:c r="C601" s="14" t="str">
        <x:v>2022_IMDb_Cast_Lists_Batch_07(1).xlsx</x:v>
      </x:c>
      <x:c r="D601" s="14" t="str">
        <x:v>The Tourist</x:v>
      </x:c>
      <x:c r="E601" s="14" t="n">
        <x:v>87</x:v>
      </x:c>
      <x:c r="F601" s="14" t="str">
        <x:v>The Tourist</x:v>
      </x:c>
      <x:c r="G601" s="14" t="str">
        <x:v>tt11847842</x:v>
      </x:c>
      <x:c r="H601" s="14" t="n">
        <x:v>2022</x:v>
      </x:c>
      <x:c r="I601" s="14" t="n">
        <x:v>2023</x:v>
      </x:c>
      <x:c r="J601" s="14" t="str">
        <x:v>Future Carry-Forward Cohort</x:v>
      </x:c>
      <x:c r="K601" s="14" t="n">
        <x:v>2022</x:v>
      </x:c>
      <x:c r="L601" s="14" t="str">
        <x:v>Not inherited</x:v>
      </x:c>
      <x:c r="M601" s="15" t="n">
        <x:v>80</x:v>
      </x:c>
      <x:c r="N601" s="14" t="str">
        <x:v>Luke Roberts</x:v>
      </x:c>
      <x:c r="O601" s="14" t="str">
        <x:v>nm1074361</x:v>
      </x:c>
      <x:c r="P601" s="14" t="str">
        <x:v>Marlowe / Dr Watkins</x:v>
      </x:c>
      <x:c r="Q601" s="15" t="n">
        <x:v>1</x:v>
      </x:c>
      <x:c r="R601" s="14" t="str">
        <x:v>2024</x:v>
      </x:c>
      <x:c r="S601" s="14" t="n">
        <x:v>2024</x:v>
      </x:c>
      <x:c r="T601" s="14" t="n">
        <x:v>2024</x:v>
      </x:c>
      <x:c r="U601" s="14" t="str">
        <x:v>Explicit source first year retained</x:v>
      </x:c>
      <x:c r="V601" s="14" t="str">
        <x:v>Earliest supplied year is 2024.</x:v>
      </x:c>
      <x:c r="W601" s="14"/>
      <x:c r="X601" s="14" t="str">
        <x:v>Carried forward to 2024</x:v>
      </x:c>
      <x:c r="Y601" s="14"/>
      <x:c r="Z601" s="14" t="str">
        <x:v>The Tourist.docx</x:v>
      </x:c>
      <x:c r="AA60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BBC</x:v>
      </x:c>
      <x:c r="AI601" s="14" t="str">
        <x:v>Qualifying UK co-commission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qualifying uk co-commission.</x:v>
      </x:c>
      <x:c r="AM60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1" s="14" t="str">
        <x:v>BBC public-service co-commission</x:v>
      </x:c>
      <x:c r="AO601" s="14" t="str">
        <x:v>Yes</x:v>
      </x:c>
      <x:c r="AP601" s="14" t="str">
        <x:v>Direct BBC public-service scope</x:v>
      </x:c>
      <x:c r="AQ601" s="14" t="str">
        <x:v>Yes</x:v>
      </x:c>
      <x:c r="AR601" s="14" t="str">
        <x:v>Resolved from master register</x:v>
      </x:c>
      <x:c r="AS601" s="14" t="str">
        <x:v>No established-register match</x:v>
      </x:c>
      <x:c r="AT601" s="14"/>
      <x:c r="AU601" s="14"/>
      <x:c r="AV601" s="14" t="str">
        <x:v>No established apparent-disability match</x:v>
      </x:c>
      <x:c r="AW601" s="14"/>
      <x:c r="AX601" s="14" t="str">
        <x:v>No</x:v>
      </x:c>
      <x:c r="AY601" s="14" t="str">
        <x:v>Unmatched</x:v>
      </x:c>
      <x:c r="AZ601" s="14" t="str">
        <x:v>Final supplied register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12</x:v>
      </x:c>
      <x:c r="BP601" s="14" t="str">
        <x:v>Maximum supplied eligible IMDb cast-credit total; annual episode total not independently verified.</x:v>
      </x:c>
      <x:c r="BQ601" s="14" t="str">
        <x:v>Medium</x:v>
      </x:c>
      <x:c r="BR601" s="15" t="n">
        <x:v>1</x:v>
      </x:c>
      <x:c r="BS601" s="16" t="n">
        <x:v>0.08333333333333333</x:v>
      </x:c>
      <x:c r="BT601" s="14" t="str">
        <x:v>One episode</x:v>
      </x:c>
      <x:c r="BU601" s="14" t="str">
        <x:v>Medium</x:v>
      </x:c>
      <x:c r="BV601" s="14" t="str">
        <x:v>Derived from the supplied IMDb episode count and documented production-total proxy.</x:v>
      </x:c>
      <x:c r="BW601" s="14" t="str">
        <x:v>Unable to determine</x:v>
      </x:c>
      <x:c r="BX601" s="14" t="str">
        <x:v>Cast-list and episode data do not establish narrative prominence.</x:v>
      </x:c>
      <x:c r="BY601" s="14" t="str">
        <x:v>Supplied IMDb cast-list workbook</x:v>
      </x:c>
      <x:c r="BZ60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tt11847842|nm8353312|mike</x:v>
      </x:c>
      <x:c r="B602" s="14" t="str">
        <x:v>07</x:v>
      </x:c>
      <x:c r="C602" s="14" t="str">
        <x:v>2022_IMDb_Cast_Lists_Batch_07(1).xlsx</x:v>
      </x:c>
      <x:c r="D602" s="14" t="str">
        <x:v>The Tourist</x:v>
      </x:c>
      <x:c r="E602" s="14" t="n">
        <x:v>88</x:v>
      </x:c>
      <x:c r="F602" s="14" t="str">
        <x:v>The Tourist</x:v>
      </x:c>
      <x:c r="G602" s="14" t="str">
        <x:v>tt11847842</x:v>
      </x:c>
      <x:c r="H602" s="14" t="n">
        <x:v>2022</x:v>
      </x:c>
      <x:c r="I602" s="14" t="n">
        <x:v>2023</x:v>
      </x:c>
      <x:c r="J602" s="14" t="str">
        <x:v>Future Carry-Forward Cohort</x:v>
      </x:c>
      <x:c r="K602" s="14" t="n">
        <x:v>2022</x:v>
      </x:c>
      <x:c r="L602" s="14" t="str">
        <x:v>Not inherited</x:v>
      </x:c>
      <x:c r="M602" s="15" t="n">
        <x:v>81</x:v>
      </x:c>
      <x:c r="N602" s="14" t="str">
        <x:v>Michael Kavanagh</x:v>
      </x:c>
      <x:c r="O602" s="14" t="str">
        <x:v>nm8353312</x:v>
      </x:c>
      <x:c r="P602" s="14" t="str">
        <x:v>Mike</x:v>
      </x:c>
      <x:c r="Q602" s="15" t="n">
        <x:v>1</x:v>
      </x:c>
      <x:c r="R602" s="14" t="str">
        <x:v>2024</x:v>
      </x:c>
      <x:c r="S602" s="14" t="n">
        <x:v>2024</x:v>
      </x:c>
      <x:c r="T602" s="14" t="n">
        <x:v>2024</x:v>
      </x:c>
      <x:c r="U602" s="14" t="str">
        <x:v>Explicit source first year retained</x:v>
      </x:c>
      <x:c r="V602" s="14" t="str">
        <x:v>Earliest supplied year is 2024.</x:v>
      </x:c>
      <x:c r="W602" s="14"/>
      <x:c r="X602" s="14" t="str">
        <x:v>Carried forward to 2024</x:v>
      </x:c>
      <x:c r="Y602" s="14"/>
      <x:c r="Z602" s="14" t="str">
        <x:v>The Tourist.docx</x:v>
      </x:c>
      <x:c r="AA60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BBC</x:v>
      </x:c>
      <x:c r="AI602" s="14" t="str">
        <x:v>Qualifying UK co-commission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qualifying uk co-commission.</x:v>
      </x:c>
      <x:c r="AM60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2" s="14" t="str">
        <x:v>BBC public-service co-commission</x:v>
      </x:c>
      <x:c r="AO602" s="14" t="str">
        <x:v>Yes</x:v>
      </x:c>
      <x:c r="AP602" s="14" t="str">
        <x:v>Direct BBC public-service scope</x:v>
      </x:c>
      <x:c r="AQ602" s="14" t="str">
        <x:v>Yes</x:v>
      </x:c>
      <x:c r="AR602" s="14" t="str">
        <x:v>Resolved from master register</x:v>
      </x:c>
      <x:c r="AS602" s="14" t="str">
        <x:v>No established-register match</x:v>
      </x:c>
      <x:c r="AT602" s="14"/>
      <x:c r="AU602" s="14"/>
      <x:c r="AV602" s="14" t="str">
        <x:v>No established apparent-disability match</x:v>
      </x:c>
      <x:c r="AW602" s="14"/>
      <x:c r="AX602" s="14" t="str">
        <x:v>No</x:v>
      </x:c>
      <x:c r="AY602" s="14" t="str">
        <x:v>Unmatched</x:v>
      </x:c>
      <x:c r="AZ602" s="14" t="str">
        <x:v>Final supplied register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12</x:v>
      </x:c>
      <x:c r="BP602" s="14" t="str">
        <x:v>Maximum supplied eligible IMDb cast-credit total; annual episode total not independently verified.</x:v>
      </x:c>
      <x:c r="BQ602" s="14" t="str">
        <x:v>Medium</x:v>
      </x:c>
      <x:c r="BR602" s="15" t="n">
        <x:v>1</x:v>
      </x:c>
      <x:c r="BS602" s="16" t="n">
        <x:v>0.08333333333333333</x:v>
      </x:c>
      <x:c r="BT602" s="14" t="str">
        <x:v>One episode</x:v>
      </x:c>
      <x:c r="BU602" s="14" t="str">
        <x:v>Medium</x:v>
      </x:c>
      <x:c r="BV602" s="14" t="str">
        <x:v>Derived from the supplied IMDb episode count and documented production-total proxy.</x:v>
      </x:c>
      <x:c r="BW602" s="14" t="str">
        <x:v>Unable to determine</x:v>
      </x:c>
      <x:c r="BX602" s="14" t="str">
        <x:v>Cast-list and episode data do not establish narrative prominence.</x:v>
      </x:c>
      <x:c r="BY602" s="14" t="str">
        <x:v>Supplied IMDb cast-list workbook</x:v>
      </x:c>
      <x:c r="BZ60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tt11847842|nm5678173|woman at desk</x:v>
      </x:c>
      <x:c r="B603" s="14" t="str">
        <x:v>07</x:v>
      </x:c>
      <x:c r="C603" s="14" t="str">
        <x:v>2022_IMDb_Cast_Lists_Batch_07(1).xlsx</x:v>
      </x:c>
      <x:c r="D603" s="14" t="str">
        <x:v>The Tourist</x:v>
      </x:c>
      <x:c r="E603" s="14" t="n">
        <x:v>89</x:v>
      </x:c>
      <x:c r="F603" s="14" t="str">
        <x:v>The Tourist</x:v>
      </x:c>
      <x:c r="G603" s="14" t="str">
        <x:v>tt11847842</x:v>
      </x:c>
      <x:c r="H603" s="14" t="n">
        <x:v>2022</x:v>
      </x:c>
      <x:c r="I603" s="14" t="n">
        <x:v>2023</x:v>
      </x:c>
      <x:c r="J603" s="14" t="str">
        <x:v>Future Carry-Forward Cohort</x:v>
      </x:c>
      <x:c r="K603" s="14" t="n">
        <x:v>2022</x:v>
      </x:c>
      <x:c r="L603" s="14" t="str">
        <x:v>Not inherited</x:v>
      </x:c>
      <x:c r="M603" s="15" t="n">
        <x:v>82</x:v>
      </x:c>
      <x:c r="N603" s="14" t="str">
        <x:v>Pauline O'Driscoll</x:v>
      </x:c>
      <x:c r="O603" s="14" t="str">
        <x:v>nm5678173</x:v>
      </x:c>
      <x:c r="P603" s="14" t="str">
        <x:v>Woman at Desk</x:v>
      </x:c>
      <x:c r="Q603" s="15" t="n">
        <x:v>1</x:v>
      </x:c>
      <x:c r="R603" s="14" t="str">
        <x:v>2024</x:v>
      </x:c>
      <x:c r="S603" s="14" t="n">
        <x:v>2024</x:v>
      </x:c>
      <x:c r="T603" s="14" t="n">
        <x:v>2024</x:v>
      </x:c>
      <x:c r="U603" s="14" t="str">
        <x:v>Explicit source first year retained</x:v>
      </x:c>
      <x:c r="V603" s="14" t="str">
        <x:v>Earliest supplied year is 2024.</x:v>
      </x:c>
      <x:c r="W603" s="14"/>
      <x:c r="X603" s="14" t="str">
        <x:v>Carried forward to 2024</x:v>
      </x:c>
      <x:c r="Y603" s="14"/>
      <x:c r="Z603" s="14" t="str">
        <x:v>The Tourist.docx</x:v>
      </x:c>
      <x:c r="AA60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BBC</x:v>
      </x:c>
      <x:c r="AI603" s="14" t="str">
        <x:v>Qualifying UK co-commission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qualifying uk co-commission.</x:v>
      </x:c>
      <x:c r="AM60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3" s="14" t="str">
        <x:v>BBC public-service co-commission</x:v>
      </x:c>
      <x:c r="AO603" s="14" t="str">
        <x:v>Yes</x:v>
      </x:c>
      <x:c r="AP603" s="14" t="str">
        <x:v>Direct BBC public-service scope</x:v>
      </x:c>
      <x:c r="AQ603" s="14" t="str">
        <x:v>Yes</x:v>
      </x:c>
      <x:c r="AR603" s="14" t="str">
        <x:v>Resolved from master register</x:v>
      </x:c>
      <x:c r="AS603" s="14" t="str">
        <x:v>No established-register match</x:v>
      </x:c>
      <x:c r="AT603" s="14"/>
      <x:c r="AU603" s="14"/>
      <x:c r="AV603" s="14" t="str">
        <x:v>No established apparent-disability match</x:v>
      </x:c>
      <x:c r="AW603" s="14"/>
      <x:c r="AX603" s="14" t="str">
        <x:v>No</x:v>
      </x:c>
      <x:c r="AY603" s="14" t="str">
        <x:v>Unmatched</x:v>
      </x:c>
      <x:c r="AZ603" s="14" t="str">
        <x:v>Final supplied register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12</x:v>
      </x:c>
      <x:c r="BP603" s="14" t="str">
        <x:v>Maximum supplied eligible IMDb cast-credit total; annual episode total not independently verified.</x:v>
      </x:c>
      <x:c r="BQ603" s="14" t="str">
        <x:v>Medium</x:v>
      </x:c>
      <x:c r="BR603" s="15" t="n">
        <x:v>1</x:v>
      </x:c>
      <x:c r="BS603" s="16" t="n">
        <x:v>0.08333333333333333</x:v>
      </x:c>
      <x:c r="BT603" s="14" t="str">
        <x:v>One episode</x:v>
      </x:c>
      <x:c r="BU603" s="14" t="str">
        <x:v>Medium</x:v>
      </x:c>
      <x:c r="BV603" s="14" t="str">
        <x:v>Derived from the supplied IMDb episode count and documented production-total proxy.</x:v>
      </x:c>
      <x:c r="BW603" s="14" t="str">
        <x:v>Unable to determine</x:v>
      </x:c>
      <x:c r="BX603" s="14" t="str">
        <x:v>Cast-list and episode data do not establish narrative prominence.</x:v>
      </x:c>
      <x:c r="BY603" s="14" t="str">
        <x:v>Supplied IMDb cast-list workbook</x:v>
      </x:c>
      <x:c r="BZ60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tt11847842|nm13646261|barman 2</x:v>
      </x:c>
      <x:c r="B604" s="14" t="str">
        <x:v>07</x:v>
      </x:c>
      <x:c r="C604" s="14" t="str">
        <x:v>2022_IMDb_Cast_Lists_Batch_07(1).xlsx</x:v>
      </x:c>
      <x:c r="D604" s="14" t="str">
        <x:v>The Tourist</x:v>
      </x:c>
      <x:c r="E604" s="14" t="n">
        <x:v>91</x:v>
      </x:c>
      <x:c r="F604" s="14" t="str">
        <x:v>The Tourist</x:v>
      </x:c>
      <x:c r="G604" s="14" t="str">
        <x:v>tt11847842</x:v>
      </x:c>
      <x:c r="H604" s="14" t="n">
        <x:v>2022</x:v>
      </x:c>
      <x:c r="I604" s="14" t="n">
        <x:v>2023</x:v>
      </x:c>
      <x:c r="J604" s="14" t="str">
        <x:v>Future Carry-Forward Cohort</x:v>
      </x:c>
      <x:c r="K604" s="14" t="n">
        <x:v>2022</x:v>
      </x:c>
      <x:c r="L604" s="14" t="str">
        <x:v>Not inherited</x:v>
      </x:c>
      <x:c r="M604" s="15" t="n">
        <x:v>84</x:v>
      </x:c>
      <x:c r="N604" s="14" t="str">
        <x:v>Justin Daniels Anene</x:v>
      </x:c>
      <x:c r="O604" s="14" t="str">
        <x:v>nm13646261</x:v>
      </x:c>
      <x:c r="P604" s="14" t="str">
        <x:v>Barman 2</x:v>
      </x:c>
      <x:c r="Q604" s="15" t="n">
        <x:v>1</x:v>
      </x:c>
      <x:c r="R604" s="14" t="str">
        <x:v>2024</x:v>
      </x:c>
      <x:c r="S604" s="14" t="n">
        <x:v>2024</x:v>
      </x:c>
      <x:c r="T604" s="14" t="n">
        <x:v>2024</x:v>
      </x:c>
      <x:c r="U604" s="14" t="str">
        <x:v>Explicit source first year retained</x:v>
      </x:c>
      <x:c r="V604" s="14" t="str">
        <x:v>Earliest supplied year is 2024.</x:v>
      </x:c>
      <x:c r="W604" s="14"/>
      <x:c r="X604" s="14" t="str">
        <x:v>Carried forward to 2024</x:v>
      </x:c>
      <x:c r="Y604" s="14"/>
      <x:c r="Z604" s="14" t="str">
        <x:v>The Tourist.docx</x:v>
      </x:c>
      <x:c r="AA60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BBC</x:v>
      </x:c>
      <x:c r="AI604" s="14" t="str">
        <x:v>Qualifying UK co-commission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qualifying uk co-commission.</x:v>
      </x:c>
      <x:c r="AM60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4" s="14" t="str">
        <x:v>BBC public-service co-commission</x:v>
      </x:c>
      <x:c r="AO604" s="14" t="str">
        <x:v>Yes</x:v>
      </x:c>
      <x:c r="AP604" s="14" t="str">
        <x:v>Direct BBC public-service scope</x:v>
      </x:c>
      <x:c r="AQ604" s="14" t="str">
        <x:v>Yes</x:v>
      </x:c>
      <x:c r="AR604" s="14" t="str">
        <x:v>Resolved from master register</x:v>
      </x:c>
      <x:c r="AS604" s="14" t="str">
        <x:v>No established-register match</x:v>
      </x:c>
      <x:c r="AT604" s="14"/>
      <x:c r="AU604" s="14"/>
      <x:c r="AV604" s="14" t="str">
        <x:v>No established apparent-disability match</x:v>
      </x:c>
      <x:c r="AW604" s="14"/>
      <x:c r="AX604" s="14" t="str">
        <x:v>No</x:v>
      </x:c>
      <x:c r="AY604" s="14" t="str">
        <x:v>Unmatched</x:v>
      </x:c>
      <x:c r="AZ604" s="14" t="str">
        <x:v>Final supplied register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12</x:v>
      </x:c>
      <x:c r="BP604" s="14" t="str">
        <x:v>Maximum supplied eligible IMDb cast-credit total; annual episode total not independently verified.</x:v>
      </x:c>
      <x:c r="BQ604" s="14" t="str">
        <x:v>Medium</x:v>
      </x:c>
      <x:c r="BR604" s="15" t="n">
        <x:v>1</x:v>
      </x:c>
      <x:c r="BS604" s="16" t="n">
        <x:v>0.08333333333333333</x:v>
      </x:c>
      <x:c r="BT604" s="14" t="str">
        <x:v>One episode</x:v>
      </x:c>
      <x:c r="BU604" s="14" t="str">
        <x:v>Medium</x:v>
      </x:c>
      <x:c r="BV604" s="14" t="str">
        <x:v>Derived from the supplied IMDb episode count and documented production-total proxy.</x:v>
      </x:c>
      <x:c r="BW604" s="14" t="str">
        <x:v>Unable to determine</x:v>
      </x:c>
      <x:c r="BX604" s="14" t="str">
        <x:v>Cast-list and episode data do not establish narrative prominence.</x:v>
      </x:c>
      <x:c r="BY604" s="14" t="str">
        <x:v>Supplied IMDb cast-list workbook</x:v>
      </x:c>
      <x:c r="BZ60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tt11847842|nm0188771|patrick (taxi driver)</x:v>
      </x:c>
      <x:c r="B605" s="14" t="str">
        <x:v>07</x:v>
      </x:c>
      <x:c r="C605" s="14" t="str">
        <x:v>2022_IMDb_Cast_Lists_Batch_07(1).xlsx</x:v>
      </x:c>
      <x:c r="D605" s="14" t="str">
        <x:v>The Tourist</x:v>
      </x:c>
      <x:c r="E605" s="14" t="n">
        <x:v>92</x:v>
      </x:c>
      <x:c r="F605" s="14" t="str">
        <x:v>The Tourist</x:v>
      </x:c>
      <x:c r="G605" s="14" t="str">
        <x:v>tt11847842</x:v>
      </x:c>
      <x:c r="H605" s="14" t="n">
        <x:v>2022</x:v>
      </x:c>
      <x:c r="I605" s="14" t="n">
        <x:v>2023</x:v>
      </x:c>
      <x:c r="J605" s="14" t="str">
        <x:v>Future Carry-Forward Cohort</x:v>
      </x:c>
      <x:c r="K605" s="14" t="n">
        <x:v>2022</x:v>
      </x:c>
      <x:c r="L605" s="14" t="str">
        <x:v>Not inherited</x:v>
      </x:c>
      <x:c r="M605" s="15" t="n">
        <x:v>85</x:v>
      </x:c>
      <x:c r="N605" s="14" t="str">
        <x:v>John Cronin</x:v>
      </x:c>
      <x:c r="O605" s="14" t="str">
        <x:v>nm0188771</x:v>
      </x:c>
      <x:c r="P605" s="14" t="str">
        <x:v>Patrick (Taxi Driver)</x:v>
      </x:c>
      <x:c r="Q605" s="15" t="n">
        <x:v>1</x:v>
      </x:c>
      <x:c r="R605" s="14" t="str">
        <x:v>2024</x:v>
      </x:c>
      <x:c r="S605" s="14" t="n">
        <x:v>2024</x:v>
      </x:c>
      <x:c r="T605" s="14" t="n">
        <x:v>2024</x:v>
      </x:c>
      <x:c r="U605" s="14" t="str">
        <x:v>Explicit source first year retained</x:v>
      </x:c>
      <x:c r="V605" s="14" t="str">
        <x:v>Earliest supplied year is 2024.</x:v>
      </x:c>
      <x:c r="W605" s="14"/>
      <x:c r="X605" s="14" t="str">
        <x:v>Carried forward to 2024</x:v>
      </x:c>
      <x:c r="Y605" s="14"/>
      <x:c r="Z605" s="14" t="str">
        <x:v>The Tourist.docx</x:v>
      </x:c>
      <x:c r="AA60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BBC</x:v>
      </x:c>
      <x:c r="AI605" s="14" t="str">
        <x:v>Qualifying UK co-commission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qualifying uk co-commission.</x:v>
      </x:c>
      <x:c r="AM60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5" s="14" t="str">
        <x:v>BBC public-service co-commission</x:v>
      </x:c>
      <x:c r="AO605" s="14" t="str">
        <x:v>Yes</x:v>
      </x:c>
      <x:c r="AP605" s="14" t="str">
        <x:v>Direct BBC public-service scope</x:v>
      </x:c>
      <x:c r="AQ605" s="14" t="str">
        <x:v>Yes</x:v>
      </x:c>
      <x:c r="AR605" s="14" t="str">
        <x:v>Resolved from master register</x:v>
      </x:c>
      <x:c r="AS605" s="14" t="str">
        <x:v>No established-register match</x:v>
      </x:c>
      <x:c r="AT605" s="14"/>
      <x:c r="AU605" s="14"/>
      <x:c r="AV605" s="14" t="str">
        <x:v>No established apparent-disability match</x:v>
      </x:c>
      <x:c r="AW605" s="14"/>
      <x:c r="AX605" s="14" t="str">
        <x:v>No</x:v>
      </x:c>
      <x:c r="AY605" s="14" t="str">
        <x:v>Unmatched</x:v>
      </x:c>
      <x:c r="AZ605" s="14" t="str">
        <x:v>Final supplied register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12</x:v>
      </x:c>
      <x:c r="BP605" s="14" t="str">
        <x:v>Maximum supplied eligible IMDb cast-credit total; annual episode total not independently verified.</x:v>
      </x:c>
      <x:c r="BQ605" s="14" t="str">
        <x:v>Medium</x:v>
      </x:c>
      <x:c r="BR605" s="15" t="n">
        <x:v>1</x:v>
      </x:c>
      <x:c r="BS605" s="16" t="n">
        <x:v>0.08333333333333333</x:v>
      </x:c>
      <x:c r="BT605" s="14" t="str">
        <x:v>One episode</x:v>
      </x:c>
      <x:c r="BU605" s="14" t="str">
        <x:v>Medium</x:v>
      </x:c>
      <x:c r="BV605" s="14" t="str">
        <x:v>Derived from the supplied IMDb episode count and documented production-total proxy.</x:v>
      </x:c>
      <x:c r="BW605" s="14" t="str">
        <x:v>Unable to determine</x:v>
      </x:c>
      <x:c r="BX605" s="14" t="str">
        <x:v>Cast-list and episode data do not establish narrative prominence.</x:v>
      </x:c>
      <x:c r="BY605" s="14" t="str">
        <x:v>Supplied IMDb cast-list workbook</x:v>
      </x:c>
      <x:c r="BZ60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tt11847842|nm8162275|nurse galvin</x:v>
      </x:c>
      <x:c r="B606" s="14" t="str">
        <x:v>07</x:v>
      </x:c>
      <x:c r="C606" s="14" t="str">
        <x:v>2022_IMDb_Cast_Lists_Batch_07(1).xlsx</x:v>
      </x:c>
      <x:c r="D606" s="14" t="str">
        <x:v>The Tourist</x:v>
      </x:c>
      <x:c r="E606" s="14" t="n">
        <x:v>93</x:v>
      </x:c>
      <x:c r="F606" s="14" t="str">
        <x:v>The Tourist</x:v>
      </x:c>
      <x:c r="G606" s="14" t="str">
        <x:v>tt11847842</x:v>
      </x:c>
      <x:c r="H606" s="14" t="n">
        <x:v>2022</x:v>
      </x:c>
      <x:c r="I606" s="14" t="n">
        <x:v>2023</x:v>
      </x:c>
      <x:c r="J606" s="14" t="str">
        <x:v>Future Carry-Forward Cohort</x:v>
      </x:c>
      <x:c r="K606" s="14" t="n">
        <x:v>2022</x:v>
      </x:c>
      <x:c r="L606" s="14" t="str">
        <x:v>Not inherited</x:v>
      </x:c>
      <x:c r="M606" s="15" t="n">
        <x:v>86</x:v>
      </x:c>
      <x:c r="N606" s="14" t="str">
        <x:v>Madi O'Carroll</x:v>
      </x:c>
      <x:c r="O606" s="14" t="str">
        <x:v>nm8162275</x:v>
      </x:c>
      <x:c r="P606" s="14" t="str">
        <x:v>Nurse Galvin</x:v>
      </x:c>
      <x:c r="Q606" s="15" t="n">
        <x:v>1</x:v>
      </x:c>
      <x:c r="R606" s="14" t="str">
        <x:v>2024</x:v>
      </x:c>
      <x:c r="S606" s="14" t="n">
        <x:v>2024</x:v>
      </x:c>
      <x:c r="T606" s="14" t="n">
        <x:v>2024</x:v>
      </x:c>
      <x:c r="U606" s="14" t="str">
        <x:v>Explicit source first year retained</x:v>
      </x:c>
      <x:c r="V606" s="14" t="str">
        <x:v>Earliest supplied year is 2024.</x:v>
      </x:c>
      <x:c r="W606" s="14"/>
      <x:c r="X606" s="14" t="str">
        <x:v>Carried forward to 2024</x:v>
      </x:c>
      <x:c r="Y606" s="14"/>
      <x:c r="Z606" s="14" t="str">
        <x:v>The Tourist.docx</x:v>
      </x:c>
      <x:c r="AA60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BBC</x:v>
      </x:c>
      <x:c r="AI606" s="14" t="str">
        <x:v>Qualifying UK co-commission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qualifying uk co-commission.</x:v>
      </x:c>
      <x:c r="AM60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6" s="14" t="str">
        <x:v>BBC public-service co-commission</x:v>
      </x:c>
      <x:c r="AO606" s="14" t="str">
        <x:v>Yes</x:v>
      </x:c>
      <x:c r="AP606" s="14" t="str">
        <x:v>Direct BBC public-service scope</x:v>
      </x:c>
      <x:c r="AQ606" s="14" t="str">
        <x:v>Yes</x:v>
      </x:c>
      <x:c r="AR606" s="14" t="str">
        <x:v>Resolved from master register</x:v>
      </x:c>
      <x:c r="AS606" s="14" t="str">
        <x:v>No established-register match</x:v>
      </x:c>
      <x:c r="AT606" s="14"/>
      <x:c r="AU606" s="14"/>
      <x:c r="AV606" s="14" t="str">
        <x:v>No established apparent-disability match</x:v>
      </x:c>
      <x:c r="AW606" s="14"/>
      <x:c r="AX606" s="14" t="str">
        <x:v>No</x:v>
      </x:c>
      <x:c r="AY606" s="14" t="str">
        <x:v>Unmatched</x:v>
      </x:c>
      <x:c r="AZ606" s="14" t="str">
        <x:v>Final supplied register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12</x:v>
      </x:c>
      <x:c r="BP606" s="14" t="str">
        <x:v>Maximum supplied eligible IMDb cast-credit total; annual episode total not independently verified.</x:v>
      </x:c>
      <x:c r="BQ606" s="14" t="str">
        <x:v>Medium</x:v>
      </x:c>
      <x:c r="BR606" s="15" t="n">
        <x:v>1</x:v>
      </x:c>
      <x:c r="BS606" s="16" t="n">
        <x:v>0.08333333333333333</x:v>
      </x:c>
      <x:c r="BT606" s="14" t="str">
        <x:v>One episode</x:v>
      </x:c>
      <x:c r="BU606" s="14" t="str">
        <x:v>Medium</x:v>
      </x:c>
      <x:c r="BV606" s="14" t="str">
        <x:v>Derived from the supplied IMDb episode count and documented production-total proxy.</x:v>
      </x:c>
      <x:c r="BW606" s="14" t="str">
        <x:v>Unable to determine</x:v>
      </x:c>
      <x:c r="BX606" s="14" t="str">
        <x:v>Cast-list and episode data do not establish narrative prominence.</x:v>
      </x:c>
      <x:c r="BY606" s="14" t="str">
        <x:v>Supplied IMDb cast-list workbook</x:v>
      </x:c>
      <x:c r="BZ60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tt11847842|nm8272760|hotel receptionist</x:v>
      </x:c>
      <x:c r="B607" s="14" t="str">
        <x:v>07</x:v>
      </x:c>
      <x:c r="C607" s="14" t="str">
        <x:v>2022_IMDb_Cast_Lists_Batch_07(1).xlsx</x:v>
      </x:c>
      <x:c r="D607" s="14" t="str">
        <x:v>The Tourist</x:v>
      </x:c>
      <x:c r="E607" s="14" t="n">
        <x:v>99</x:v>
      </x:c>
      <x:c r="F607" s="14" t="str">
        <x:v>The Tourist</x:v>
      </x:c>
      <x:c r="G607" s="14" t="str">
        <x:v>tt11847842</x:v>
      </x:c>
      <x:c r="H607" s="14" t="n">
        <x:v>2022</x:v>
      </x:c>
      <x:c r="I607" s="14" t="n">
        <x:v>2023</x:v>
      </x:c>
      <x:c r="J607" s="14" t="str">
        <x:v>Future Carry-Forward Cohort</x:v>
      </x:c>
      <x:c r="K607" s="14" t="n">
        <x:v>2022</x:v>
      </x:c>
      <x:c r="L607" s="14" t="str">
        <x:v>Not inherited</x:v>
      </x:c>
      <x:c r="M607" s="15" t="n">
        <x:v>92</x:v>
      </x:c>
      <x:c r="N607" s="14" t="str">
        <x:v>Anaïs Rizzo</x:v>
      </x:c>
      <x:c r="O607" s="14" t="str">
        <x:v>nm8272760</x:v>
      </x:c>
      <x:c r="P607" s="14" t="str">
        <x:v>Hotel Receptionist</x:v>
      </x:c>
      <x:c r="Q607" s="15" t="n">
        <x:v>1</x:v>
      </x:c>
      <x:c r="R607" s="14" t="str">
        <x:v>2024</x:v>
      </x:c>
      <x:c r="S607" s="14" t="n">
        <x:v>2024</x:v>
      </x:c>
      <x:c r="T607" s="14" t="n">
        <x:v>2024</x:v>
      </x:c>
      <x:c r="U607" s="14" t="str">
        <x:v>Explicit source first year retained</x:v>
      </x:c>
      <x:c r="V607" s="14" t="str">
        <x:v>Earliest supplied year is 2024.</x:v>
      </x:c>
      <x:c r="W607" s="14"/>
      <x:c r="X607" s="14" t="str">
        <x:v>Carried forward to 2024</x:v>
      </x:c>
      <x:c r="Y607" s="14"/>
      <x:c r="Z607" s="14" t="str">
        <x:v>The Tourist.docx</x:v>
      </x:c>
      <x:c r="AA60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BBC</x:v>
      </x:c>
      <x:c r="AI607" s="14" t="str">
        <x:v>Qualifying UK co-commission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qualifying uk co-commission.</x:v>
      </x:c>
      <x:c r="AM60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7" s="14" t="str">
        <x:v>BBC public-service co-commission</x:v>
      </x:c>
      <x:c r="AO607" s="14" t="str">
        <x:v>Yes</x:v>
      </x:c>
      <x:c r="AP607" s="14" t="str">
        <x:v>Direct BBC public-service scope</x:v>
      </x:c>
      <x:c r="AQ607" s="14" t="str">
        <x:v>Yes</x:v>
      </x:c>
      <x:c r="AR607" s="14" t="str">
        <x:v>Resolved from master register</x:v>
      </x:c>
      <x:c r="AS607" s="14" t="str">
        <x:v>No established-register match</x:v>
      </x:c>
      <x:c r="AT607" s="14"/>
      <x:c r="AU607" s="14"/>
      <x:c r="AV607" s="14" t="str">
        <x:v>No established apparent-disability match</x:v>
      </x:c>
      <x:c r="AW607" s="14"/>
      <x:c r="AX607" s="14" t="str">
        <x:v>No</x:v>
      </x:c>
      <x:c r="AY607" s="14" t="str">
        <x:v>Unmatched</x:v>
      </x:c>
      <x:c r="AZ607" s="14" t="str">
        <x:v>Final supplied register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12</x:v>
      </x:c>
      <x:c r="BP607" s="14" t="str">
        <x:v>Maximum supplied eligible IMDb cast-credit total; annual episode total not independently verified.</x:v>
      </x:c>
      <x:c r="BQ607" s="14" t="str">
        <x:v>Medium</x:v>
      </x:c>
      <x:c r="BR607" s="15" t="n">
        <x:v>1</x:v>
      </x:c>
      <x:c r="BS607" s="16" t="n">
        <x:v>0.08333333333333333</x:v>
      </x:c>
      <x:c r="BT607" s="14" t="str">
        <x:v>One episode</x:v>
      </x:c>
      <x:c r="BU607" s="14" t="str">
        <x:v>Medium</x:v>
      </x:c>
      <x:c r="BV607" s="14" t="str">
        <x:v>Derived from the supplied IMDb episode count and documented production-total proxy.</x:v>
      </x:c>
      <x:c r="BW607" s="14" t="str">
        <x:v>Unable to determine</x:v>
      </x:c>
      <x:c r="BX607" s="14" t="str">
        <x:v>Cast-list and episode data do not establish narrative prominence.</x:v>
      </x:c>
      <x:c r="BY607" s="14" t="str">
        <x:v>Supplied IMDb cast-list workbook</x:v>
      </x:c>
      <x:c r="BZ60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tt11847842|nm15642493|tiote's man</x:v>
      </x:c>
      <x:c r="B608" s="14" t="str">
        <x:v>07</x:v>
      </x:c>
      <x:c r="C608" s="14" t="str">
        <x:v>2022_IMDb_Cast_Lists_Batch_07(1).xlsx</x:v>
      </x:c>
      <x:c r="D608" s="14" t="str">
        <x:v>The Tourist</x:v>
      </x:c>
      <x:c r="E608" s="14" t="n">
        <x:v>100</x:v>
      </x:c>
      <x:c r="F608" s="14" t="str">
        <x:v>The Tourist</x:v>
      </x:c>
      <x:c r="G608" s="14" t="str">
        <x:v>tt11847842</x:v>
      </x:c>
      <x:c r="H608" s="14" t="n">
        <x:v>2022</x:v>
      </x:c>
      <x:c r="I608" s="14" t="n">
        <x:v>2023</x:v>
      </x:c>
      <x:c r="J608" s="14" t="str">
        <x:v>Future Carry-Forward Cohort</x:v>
      </x:c>
      <x:c r="K608" s="14" t="n">
        <x:v>2022</x:v>
      </x:c>
      <x:c r="L608" s="14" t="str">
        <x:v>Not inherited</x:v>
      </x:c>
      <x:c r="M608" s="15" t="n">
        <x:v>93</x:v>
      </x:c>
      <x:c r="N608" s="14" t="str">
        <x:v>Sodiq Ajibola Abiola</x:v>
      </x:c>
      <x:c r="O608" s="14" t="str">
        <x:v>nm15642493</x:v>
      </x:c>
      <x:c r="P608" s="14" t="str">
        <x:v>Tiote's Man</x:v>
      </x:c>
      <x:c r="Q608" s="15" t="n">
        <x:v>1</x:v>
      </x:c>
      <x:c r="R608" s="14" t="str">
        <x:v>2024</x:v>
      </x:c>
      <x:c r="S608" s="14" t="n">
        <x:v>2024</x:v>
      </x:c>
      <x:c r="T608" s="14" t="n">
        <x:v>2024</x:v>
      </x:c>
      <x:c r="U608" s="14" t="str">
        <x:v>Explicit source first year retained</x:v>
      </x:c>
      <x:c r="V608" s="14" t="str">
        <x:v>Earliest supplied year is 2024.</x:v>
      </x:c>
      <x:c r="W608" s="14"/>
      <x:c r="X608" s="14" t="str">
        <x:v>Carried forward to 2024</x:v>
      </x:c>
      <x:c r="Y608" s="14"/>
      <x:c r="Z608" s="14" t="str">
        <x:v>The Tourist.docx</x:v>
      </x:c>
      <x:c r="AA60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BBC</x:v>
      </x:c>
      <x:c r="AI608" s="14" t="str">
        <x:v>Qualifying UK co-commission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qualifying uk co-commission.</x:v>
      </x:c>
      <x:c r="AM60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8" s="14" t="str">
        <x:v>BBC public-service co-commission</x:v>
      </x:c>
      <x:c r="AO608" s="14" t="str">
        <x:v>Yes</x:v>
      </x:c>
      <x:c r="AP608" s="14" t="str">
        <x:v>Direct BBC public-service scope</x:v>
      </x:c>
      <x:c r="AQ608" s="14" t="str">
        <x:v>Yes</x:v>
      </x:c>
      <x:c r="AR608" s="14" t="str">
        <x:v>Resolved from master register</x:v>
      </x:c>
      <x:c r="AS608" s="14" t="str">
        <x:v>No established-register match</x:v>
      </x:c>
      <x:c r="AT608" s="14"/>
      <x:c r="AU608" s="14"/>
      <x:c r="AV608" s="14" t="str">
        <x:v>No established apparent-disability match</x:v>
      </x:c>
      <x:c r="AW608" s="14"/>
      <x:c r="AX608" s="14" t="str">
        <x:v>No</x:v>
      </x:c>
      <x:c r="AY608" s="14" t="str">
        <x:v>Unmatched</x:v>
      </x:c>
      <x:c r="AZ608" s="14" t="str">
        <x:v>Final supplied register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12</x:v>
      </x:c>
      <x:c r="BP608" s="14" t="str">
        <x:v>Maximum supplied eligible IMDb cast-credit total; annual episode total not independently verified.</x:v>
      </x:c>
      <x:c r="BQ608" s="14" t="str">
        <x:v>Medium</x:v>
      </x:c>
      <x:c r="BR608" s="15" t="n">
        <x:v>1</x:v>
      </x:c>
      <x:c r="BS608" s="16" t="n">
        <x:v>0.08333333333333333</x:v>
      </x:c>
      <x:c r="BT608" s="14" t="str">
        <x:v>One episode</x:v>
      </x:c>
      <x:c r="BU608" s="14" t="str">
        <x:v>Medium</x:v>
      </x:c>
      <x:c r="BV608" s="14" t="str">
        <x:v>Derived from the supplied IMDb episode count and documented production-total proxy.</x:v>
      </x:c>
      <x:c r="BW608" s="14" t="str">
        <x:v>Unable to determine</x:v>
      </x:c>
      <x:c r="BX608" s="14" t="str">
        <x:v>Cast-list and episode data do not establish narrative prominence.</x:v>
      </x:c>
      <x:c r="BY608" s="14" t="str">
        <x:v>Supplied IMDb cast-list workbook</x:v>
      </x:c>
      <x:c r="BZ60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tt11847842|nm2959570|teacher</x:v>
      </x:c>
      <x:c r="B609" s="14" t="str">
        <x:v>07</x:v>
      </x:c>
      <x:c r="C609" s="14" t="str">
        <x:v>2022_IMDb_Cast_Lists_Batch_07(1).xlsx</x:v>
      </x:c>
      <x:c r="D609" s="14" t="str">
        <x:v>The Tourist</x:v>
      </x:c>
      <x:c r="E609" s="14" t="n">
        <x:v>101</x:v>
      </x:c>
      <x:c r="F609" s="14" t="str">
        <x:v>The Tourist</x:v>
      </x:c>
      <x:c r="G609" s="14" t="str">
        <x:v>tt11847842</x:v>
      </x:c>
      <x:c r="H609" s="14" t="n">
        <x:v>2022</x:v>
      </x:c>
      <x:c r="I609" s="14" t="n">
        <x:v>2023</x:v>
      </x:c>
      <x:c r="J609" s="14" t="str">
        <x:v>Future Carry-Forward Cohort</x:v>
      </x:c>
      <x:c r="K609" s="14" t="n">
        <x:v>2022</x:v>
      </x:c>
      <x:c r="L609" s="14" t="str">
        <x:v>Not inherited</x:v>
      </x:c>
      <x:c r="M609" s="15" t="n">
        <x:v>94</x:v>
      </x:c>
      <x:c r="N609" s="14" t="str">
        <x:v>Aoife Nic Ardghail</x:v>
      </x:c>
      <x:c r="O609" s="14" t="str">
        <x:v>nm2959570</x:v>
      </x:c>
      <x:c r="P609" s="14" t="str">
        <x:v>Teacher</x:v>
      </x:c>
      <x:c r="Q609" s="15" t="n">
        <x:v>1</x:v>
      </x:c>
      <x:c r="R609" s="14" t="str">
        <x:v>2024</x:v>
      </x:c>
      <x:c r="S609" s="14" t="n">
        <x:v>2024</x:v>
      </x:c>
      <x:c r="T609" s="14" t="n">
        <x:v>2024</x:v>
      </x:c>
      <x:c r="U609" s="14" t="str">
        <x:v>Explicit source first year retained</x:v>
      </x:c>
      <x:c r="V609" s="14" t="str">
        <x:v>Earliest supplied year is 2024.</x:v>
      </x:c>
      <x:c r="W609" s="14"/>
      <x:c r="X609" s="14" t="str">
        <x:v>Carried forward to 2024</x:v>
      </x:c>
      <x:c r="Y609" s="14"/>
      <x:c r="Z609" s="14" t="str">
        <x:v>The Tourist.docx</x:v>
      </x:c>
      <x:c r="AA60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BBC</x:v>
      </x:c>
      <x:c r="AI609" s="14" t="str">
        <x:v>Qualifying UK co-commission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qualifying uk co-commission.</x:v>
      </x:c>
      <x:c r="AM60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9" s="14" t="str">
        <x:v>BBC public-service co-commission</x:v>
      </x:c>
      <x:c r="AO609" s="14" t="str">
        <x:v>Yes</x:v>
      </x:c>
      <x:c r="AP609" s="14" t="str">
        <x:v>Direct BBC public-service scope</x:v>
      </x:c>
      <x:c r="AQ609" s="14" t="str">
        <x:v>Yes</x:v>
      </x:c>
      <x:c r="AR609" s="14" t="str">
        <x:v>Resolved from master register</x:v>
      </x:c>
      <x:c r="AS609" s="14" t="str">
        <x:v>No established-register match</x:v>
      </x:c>
      <x:c r="AT609" s="14"/>
      <x:c r="AU609" s="14"/>
      <x:c r="AV609" s="14" t="str">
        <x:v>No established apparent-disability match</x:v>
      </x:c>
      <x:c r="AW609" s="14"/>
      <x:c r="AX609" s="14" t="str">
        <x:v>No</x:v>
      </x:c>
      <x:c r="AY609" s="14" t="str">
        <x:v>Unmatched</x:v>
      </x:c>
      <x:c r="AZ609" s="14" t="str">
        <x:v>Final supplied register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12</x:v>
      </x:c>
      <x:c r="BP609" s="14" t="str">
        <x:v>Maximum supplied eligible IMDb cast-credit total; annual episode total not independently verified.</x:v>
      </x:c>
      <x:c r="BQ609" s="14" t="str">
        <x:v>Medium</x:v>
      </x:c>
      <x:c r="BR609" s="15" t="n">
        <x:v>1</x:v>
      </x:c>
      <x:c r="BS609" s="16" t="n">
        <x:v>0.08333333333333333</x:v>
      </x:c>
      <x:c r="BT609" s="14" t="str">
        <x:v>One episode</x:v>
      </x:c>
      <x:c r="BU609" s="14" t="str">
        <x:v>Medium</x:v>
      </x:c>
      <x:c r="BV609" s="14" t="str">
        <x:v>Derived from the supplied IMDb episode count and documented production-total proxy.</x:v>
      </x:c>
      <x:c r="BW609" s="14" t="str">
        <x:v>Unable to determine</x:v>
      </x:c>
      <x:c r="BX609" s="14" t="str">
        <x:v>Cast-list and episode data do not establish narrative prominence.</x:v>
      </x:c>
      <x:c r="BY609" s="14" t="str">
        <x:v>Supplied IMDb cast-list workbook</x:v>
      </x:c>
      <x:c r="BZ60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tt11847842|nm5260178|mcdonnell thug</x:v>
      </x:c>
      <x:c r="B610" s="14" t="str">
        <x:v>07</x:v>
      </x:c>
      <x:c r="C610" s="14" t="str">
        <x:v>2022_IMDb_Cast_Lists_Batch_07(1).xlsx</x:v>
      </x:c>
      <x:c r="D610" s="14" t="str">
        <x:v>The Tourist</x:v>
      </x:c>
      <x:c r="E610" s="14" t="n">
        <x:v>104</x:v>
      </x:c>
      <x:c r="F610" s="14" t="str">
        <x:v>The Tourist</x:v>
      </x:c>
      <x:c r="G610" s="14" t="str">
        <x:v>tt11847842</x:v>
      </x:c>
      <x:c r="H610" s="14" t="n">
        <x:v>2022</x:v>
      </x:c>
      <x:c r="I610" s="14" t="n">
        <x:v>2023</x:v>
      </x:c>
      <x:c r="J610" s="14" t="str">
        <x:v>Future Carry-Forward Cohort</x:v>
      </x:c>
      <x:c r="K610" s="14" t="n">
        <x:v>2022</x:v>
      </x:c>
      <x:c r="L610" s="14" t="str">
        <x:v>Not inherited</x:v>
      </x:c>
      <x:c r="M610" s="15" t="n">
        <x:v>97</x:v>
      </x:c>
      <x:c r="N610" s="14" t="str">
        <x:v>Gavan O'Connor-Duffy</x:v>
      </x:c>
      <x:c r="O610" s="14" t="str">
        <x:v>nm5260178</x:v>
      </x:c>
      <x:c r="P610" s="14" t="str">
        <x:v>McDonnell Thug</x:v>
      </x:c>
      <x:c r="Q610" s="15" t="n">
        <x:v>1</x:v>
      </x:c>
      <x:c r="R610" s="14" t="str">
        <x:v>2024</x:v>
      </x:c>
      <x:c r="S610" s="14" t="n">
        <x:v>2024</x:v>
      </x:c>
      <x:c r="T610" s="14" t="n">
        <x:v>2024</x:v>
      </x:c>
      <x:c r="U610" s="14" t="str">
        <x:v>Explicit source first year retained</x:v>
      </x:c>
      <x:c r="V610" s="14" t="str">
        <x:v>Earliest supplied year is 2024.</x:v>
      </x:c>
      <x:c r="W610" s="14"/>
      <x:c r="X610" s="14" t="str">
        <x:v>Carried forward to 2024</x:v>
      </x:c>
      <x:c r="Y610" s="14" t="str">
        <x:v>(as Gavan O'Connor Duffy)</x:v>
      </x:c>
      <x:c r="Z610" s="14" t="str">
        <x:v>The Tourist.docx</x:v>
      </x:c>
      <x:c r="AA61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BBC</x:v>
      </x:c>
      <x:c r="AI610" s="14" t="str">
        <x:v>Qualifying UK co-commission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qualifying uk co-commission.</x:v>
      </x:c>
      <x:c r="AM61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0" s="14" t="str">
        <x:v>BBC public-service co-commission</x:v>
      </x:c>
      <x:c r="AO610" s="14" t="str">
        <x:v>Yes</x:v>
      </x:c>
      <x:c r="AP610" s="14" t="str">
        <x:v>Direct BBC public-service scope</x:v>
      </x:c>
      <x:c r="AQ610" s="14" t="str">
        <x:v>Yes</x:v>
      </x:c>
      <x:c r="AR610" s="14" t="str">
        <x:v>Resolved from master register</x:v>
      </x:c>
      <x:c r="AS610" s="14" t="str">
        <x:v>No established-register match</x:v>
      </x:c>
      <x:c r="AT610" s="14"/>
      <x:c r="AU610" s="14"/>
      <x:c r="AV610" s="14" t="str">
        <x:v>No established apparent-disability match</x:v>
      </x:c>
      <x:c r="AW610" s="14"/>
      <x:c r="AX610" s="14" t="str">
        <x:v>No</x:v>
      </x:c>
      <x:c r="AY610" s="14" t="str">
        <x:v>Unmatched</x:v>
      </x:c>
      <x:c r="AZ610" s="14" t="str">
        <x:v>Final supplied register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12</x:v>
      </x:c>
      <x:c r="BP610" s="14" t="str">
        <x:v>Maximum supplied eligible IMDb cast-credit total; annual episode total not independently verified.</x:v>
      </x:c>
      <x:c r="BQ610" s="14" t="str">
        <x:v>Medium</x:v>
      </x:c>
      <x:c r="BR610" s="15" t="n">
        <x:v>1</x:v>
      </x:c>
      <x:c r="BS610" s="16" t="n">
        <x:v>0.08333333333333333</x:v>
      </x:c>
      <x:c r="BT610" s="14" t="str">
        <x:v>One episode</x:v>
      </x:c>
      <x:c r="BU610" s="14" t="str">
        <x:v>Medium</x:v>
      </x:c>
      <x:c r="BV610" s="14" t="str">
        <x:v>Derived from the supplied IMDb episode count and documented production-total proxy.</x:v>
      </x:c>
      <x:c r="BW610" s="14" t="str">
        <x:v>Unable to determine</x:v>
      </x:c>
      <x:c r="BX610" s="14" t="str">
        <x:v>Cast-list and episode data do not establish narrative prominence.</x:v>
      </x:c>
      <x:c r="BY610" s="14" t="str">
        <x:v>Supplied IMDb cast-list workbook</x:v>
      </x:c>
      <x:c r="BZ61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tt11847842|nm13908247|carlos</x:v>
      </x:c>
      <x:c r="B611" s="14" t="str">
        <x:v>07</x:v>
      </x:c>
      <x:c r="C611" s="14" t="str">
        <x:v>2022_IMDb_Cast_Lists_Batch_07(1).xlsx</x:v>
      </x:c>
      <x:c r="D611" s="14" t="str">
        <x:v>The Tourist</x:v>
      </x:c>
      <x:c r="E611" s="14" t="n">
        <x:v>106</x:v>
      </x:c>
      <x:c r="F611" s="14" t="str">
        <x:v>The Tourist</x:v>
      </x:c>
      <x:c r="G611" s="14" t="str">
        <x:v>tt11847842</x:v>
      </x:c>
      <x:c r="H611" s="14" t="n">
        <x:v>2022</x:v>
      </x:c>
      <x:c r="I611" s="14" t="n">
        <x:v>2023</x:v>
      </x:c>
      <x:c r="J611" s="14" t="str">
        <x:v>Future Carry-Forward Cohort</x:v>
      </x:c>
      <x:c r="K611" s="14" t="n">
        <x:v>2022</x:v>
      </x:c>
      <x:c r="L611" s="14" t="str">
        <x:v>Not inherited</x:v>
      </x:c>
      <x:c r="M611" s="15" t="n">
        <x:v>99</x:v>
      </x:c>
      <x:c r="N611" s="14" t="str">
        <x:v>Ramiro Danza</x:v>
      </x:c>
      <x:c r="O611" s="14" t="str">
        <x:v>nm13908247</x:v>
      </x:c>
      <x:c r="P611" s="14" t="str">
        <x:v>Carlos</x:v>
      </x:c>
      <x:c r="Q611" s="15" t="n">
        <x:v>1</x:v>
      </x:c>
      <x:c r="R611" s="14" t="str">
        <x:v>2024</x:v>
      </x:c>
      <x:c r="S611" s="14" t="n">
        <x:v>2024</x:v>
      </x:c>
      <x:c r="T611" s="14" t="n">
        <x:v>2024</x:v>
      </x:c>
      <x:c r="U611" s="14" t="str">
        <x:v>Explicit source first year retained</x:v>
      </x:c>
      <x:c r="V611" s="14" t="str">
        <x:v>Earliest supplied year is 2024.</x:v>
      </x:c>
      <x:c r="W611" s="14"/>
      <x:c r="X611" s="14" t="str">
        <x:v>Carried forward to 2024</x:v>
      </x:c>
      <x:c r="Y611" s="14"/>
      <x:c r="Z611" s="14" t="str">
        <x:v>The Tourist.docx</x:v>
      </x:c>
      <x:c r="AA61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BBC</x:v>
      </x:c>
      <x:c r="AI611" s="14" t="str">
        <x:v>Qualifying UK co-commission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qualifying uk co-commission.</x:v>
      </x:c>
      <x:c r="AM61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1" s="14" t="str">
        <x:v>BBC public-service co-commission</x:v>
      </x:c>
      <x:c r="AO611" s="14" t="str">
        <x:v>Yes</x:v>
      </x:c>
      <x:c r="AP611" s="14" t="str">
        <x:v>Direct BBC public-service scope</x:v>
      </x:c>
      <x:c r="AQ611" s="14" t="str">
        <x:v>Yes</x:v>
      </x:c>
      <x:c r="AR611" s="14" t="str">
        <x:v>Resolved from master register</x:v>
      </x:c>
      <x:c r="AS611" s="14" t="str">
        <x:v>No established-register match</x:v>
      </x:c>
      <x:c r="AT611" s="14"/>
      <x:c r="AU611" s="14"/>
      <x:c r="AV611" s="14" t="str">
        <x:v>No established apparent-disability match</x:v>
      </x:c>
      <x:c r="AW611" s="14"/>
      <x:c r="AX611" s="14" t="str">
        <x:v>No</x:v>
      </x:c>
      <x:c r="AY611" s="14" t="str">
        <x:v>Unmatched</x:v>
      </x:c>
      <x:c r="AZ611" s="14" t="str">
        <x:v>Final supplied register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12</x:v>
      </x:c>
      <x:c r="BP611" s="14" t="str">
        <x:v>Maximum supplied eligible IMDb cast-credit total; annual episode total not independently verified.</x:v>
      </x:c>
      <x:c r="BQ611" s="14" t="str">
        <x:v>Medium</x:v>
      </x:c>
      <x:c r="BR611" s="15" t="n">
        <x:v>1</x:v>
      </x:c>
      <x:c r="BS611" s="16" t="n">
        <x:v>0.08333333333333333</x:v>
      </x:c>
      <x:c r="BT611" s="14" t="str">
        <x:v>One episode</x:v>
      </x:c>
      <x:c r="BU611" s="14" t="str">
        <x:v>Medium</x:v>
      </x:c>
      <x:c r="BV611" s="14" t="str">
        <x:v>Derived from the supplied IMDb episode count and documented production-total proxy.</x:v>
      </x:c>
      <x:c r="BW611" s="14" t="str">
        <x:v>Unable to determine</x:v>
      </x:c>
      <x:c r="BX611" s="14" t="str">
        <x:v>Cast-list and episode data do not establish narrative prominence.</x:v>
      </x:c>
      <x:c r="BY611" s="14" t="str">
        <x:v>Supplied IMDb cast-list workbook</x:v>
      </x:c>
      <x:c r="BZ61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tt11847842|nm8038916|news reader</x:v>
      </x:c>
      <x:c r="B612" s="14" t="str">
        <x:v>07</x:v>
      </x:c>
      <x:c r="C612" s="14" t="str">
        <x:v>2022_IMDb_Cast_Lists_Batch_07(1).xlsx</x:v>
      </x:c>
      <x:c r="D612" s="14" t="str">
        <x:v>The Tourist</x:v>
      </x:c>
      <x:c r="E612" s="14" t="n">
        <x:v>109</x:v>
      </x:c>
      <x:c r="F612" s="14" t="str">
        <x:v>The Tourist</x:v>
      </x:c>
      <x:c r="G612" s="14" t="str">
        <x:v>tt11847842</x:v>
      </x:c>
      <x:c r="H612" s="14" t="n">
        <x:v>2022</x:v>
      </x:c>
      <x:c r="I612" s="14" t="n">
        <x:v>2023</x:v>
      </x:c>
      <x:c r="J612" s="14" t="str">
        <x:v>Future Carry-Forward Cohort</x:v>
      </x:c>
      <x:c r="K612" s="14" t="n">
        <x:v>2022</x:v>
      </x:c>
      <x:c r="L612" s="14" t="str">
        <x:v>Not inherited</x:v>
      </x:c>
      <x:c r="M612" s="15" t="n">
        <x:v>102</x:v>
      </x:c>
      <x:c r="N612" s="14" t="str">
        <x:v>Katie McCann</x:v>
      </x:c>
      <x:c r="O612" s="14" t="str">
        <x:v>nm8038916</x:v>
      </x:c>
      <x:c r="P612" s="14" t="str">
        <x:v>News Reader</x:v>
      </x:c>
      <x:c r="Q612" s="15" t="n">
        <x:v>1</x:v>
      </x:c>
      <x:c r="R612" s="14" t="str">
        <x:v>2024</x:v>
      </x:c>
      <x:c r="S612" s="14" t="n">
        <x:v>2024</x:v>
      </x:c>
      <x:c r="T612" s="14" t="n">
        <x:v>2024</x:v>
      </x:c>
      <x:c r="U612" s="14" t="str">
        <x:v>Explicit source first year retained</x:v>
      </x:c>
      <x:c r="V612" s="14" t="str">
        <x:v>Earliest supplied year is 2024.</x:v>
      </x:c>
      <x:c r="W612" s="14"/>
      <x:c r="X612" s="14" t="str">
        <x:v>Carried forward to 2024</x:v>
      </x:c>
      <x:c r="Y612" s="14"/>
      <x:c r="Z612" s="14" t="str">
        <x:v>The Tourist.docx</x:v>
      </x:c>
      <x:c r="AA61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BBC</x:v>
      </x:c>
      <x:c r="AI612" s="14" t="str">
        <x:v>Qualifying UK co-commission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qualifying uk co-commission.</x:v>
      </x:c>
      <x:c r="AM61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2" s="14" t="str">
        <x:v>BBC public-service co-commission</x:v>
      </x:c>
      <x:c r="AO612" s="14" t="str">
        <x:v>Yes</x:v>
      </x:c>
      <x:c r="AP612" s="14" t="str">
        <x:v>Direct BBC public-service scope</x:v>
      </x:c>
      <x:c r="AQ612" s="14" t="str">
        <x:v>Yes</x:v>
      </x:c>
      <x:c r="AR612" s="14" t="str">
        <x:v>Resolved from master register</x:v>
      </x:c>
      <x:c r="AS612" s="14" t="str">
        <x:v>No established-register match</x:v>
      </x:c>
      <x:c r="AT612" s="14"/>
      <x:c r="AU612" s="14"/>
      <x:c r="AV612" s="14" t="str">
        <x:v>No established apparent-disability match</x:v>
      </x:c>
      <x:c r="AW612" s="14"/>
      <x:c r="AX612" s="14" t="str">
        <x:v>No</x:v>
      </x:c>
      <x:c r="AY612" s="14" t="str">
        <x:v>Unmatched</x:v>
      </x:c>
      <x:c r="AZ612" s="14" t="str">
        <x:v>Final supplied register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12</x:v>
      </x:c>
      <x:c r="BP612" s="14" t="str">
        <x:v>Maximum supplied eligible IMDb cast-credit total; annual episode total not independently verified.</x:v>
      </x:c>
      <x:c r="BQ612" s="14" t="str">
        <x:v>Medium</x:v>
      </x:c>
      <x:c r="BR612" s="15" t="n">
        <x:v>1</x:v>
      </x:c>
      <x:c r="BS612" s="16" t="n">
        <x:v>0.08333333333333333</x:v>
      </x:c>
      <x:c r="BT612" s="14" t="str">
        <x:v>One episode</x:v>
      </x:c>
      <x:c r="BU612" s="14" t="str">
        <x:v>Medium</x:v>
      </x:c>
      <x:c r="BV612" s="14" t="str">
        <x:v>Derived from the supplied IMDb episode count and documented production-total proxy.</x:v>
      </x:c>
      <x:c r="BW612" s="14" t="str">
        <x:v>Unable to determine</x:v>
      </x:c>
      <x:c r="BX612" s="14" t="str">
        <x:v>Cast-list and episode data do not establish narrative prominence.</x:v>
      </x:c>
      <x:c r="BY612" s="14" t="str">
        <x:v>Supplied IMDb cast-list workbook</x:v>
      </x:c>
      <x:c r="BZ61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tt11847842|nm15642492|daniel</x:v>
      </x:c>
      <x:c r="B613" s="14" t="str">
        <x:v>07</x:v>
      </x:c>
      <x:c r="C613" s="14" t="str">
        <x:v>2022_IMDb_Cast_Lists_Batch_07(1).xlsx</x:v>
      </x:c>
      <x:c r="D613" s="14" t="str">
        <x:v>The Tourist</x:v>
      </x:c>
      <x:c r="E613" s="14" t="n">
        <x:v>110</x:v>
      </x:c>
      <x:c r="F613" s="14" t="str">
        <x:v>The Tourist</x:v>
      </x:c>
      <x:c r="G613" s="14" t="str">
        <x:v>tt11847842</x:v>
      </x:c>
      <x:c r="H613" s="14" t="n">
        <x:v>2022</x:v>
      </x:c>
      <x:c r="I613" s="14" t="n">
        <x:v>2023</x:v>
      </x:c>
      <x:c r="J613" s="14" t="str">
        <x:v>Future Carry-Forward Cohort</x:v>
      </x:c>
      <x:c r="K613" s="14" t="n">
        <x:v>2022</x:v>
      </x:c>
      <x:c r="L613" s="14" t="str">
        <x:v>Not inherited</x:v>
      </x:c>
      <x:c r="M613" s="15" t="n">
        <x:v>103</x:v>
      </x:c>
      <x:c r="N613" s="14" t="str">
        <x:v>Fergal Kelly</x:v>
      </x:c>
      <x:c r="O613" s="14" t="str">
        <x:v>nm15642492</x:v>
      </x:c>
      <x:c r="P613" s="14" t="str">
        <x:v>Daniel</x:v>
      </x:c>
      <x:c r="Q613" s="15" t="n">
        <x:v>1</x:v>
      </x:c>
      <x:c r="R613" s="14" t="str">
        <x:v>2024</x:v>
      </x:c>
      <x:c r="S613" s="14" t="n">
        <x:v>2024</x:v>
      </x:c>
      <x:c r="T613" s="14" t="n">
        <x:v>2024</x:v>
      </x:c>
      <x:c r="U613" s="14" t="str">
        <x:v>Explicit source first year retained</x:v>
      </x:c>
      <x:c r="V613" s="14" t="str">
        <x:v>Earliest supplied year is 2024.</x:v>
      </x:c>
      <x:c r="W613" s="14"/>
      <x:c r="X613" s="14" t="str">
        <x:v>Carried forward to 2024</x:v>
      </x:c>
      <x:c r="Y613" s="14"/>
      <x:c r="Z613" s="14" t="str">
        <x:v>The Tourist.docx</x:v>
      </x:c>
      <x:c r="AA61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BBC</x:v>
      </x:c>
      <x:c r="AI613" s="14" t="str">
        <x:v>Qualifying UK co-commission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qualifying uk co-commission.</x:v>
      </x:c>
      <x:c r="AM61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3" s="14" t="str">
        <x:v>BBC public-service co-commission</x:v>
      </x:c>
      <x:c r="AO613" s="14" t="str">
        <x:v>Yes</x:v>
      </x:c>
      <x:c r="AP613" s="14" t="str">
        <x:v>Direct BBC public-service scope</x:v>
      </x:c>
      <x:c r="AQ613" s="14" t="str">
        <x:v>Yes</x:v>
      </x:c>
      <x:c r="AR613" s="14" t="str">
        <x:v>Resolved from master register</x:v>
      </x:c>
      <x:c r="AS613" s="14" t="str">
        <x:v>No established-register match</x:v>
      </x:c>
      <x:c r="AT613" s="14"/>
      <x:c r="AU613" s="14"/>
      <x:c r="AV613" s="14" t="str">
        <x:v>No established apparent-disability match</x:v>
      </x:c>
      <x:c r="AW613" s="14"/>
      <x:c r="AX613" s="14" t="str">
        <x:v>No</x:v>
      </x:c>
      <x:c r="AY613" s="14" t="str">
        <x:v>Unmatched</x:v>
      </x:c>
      <x:c r="AZ613" s="14" t="str">
        <x:v>Final supplied register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12</x:v>
      </x:c>
      <x:c r="BP613" s="14" t="str">
        <x:v>Maximum supplied eligible IMDb cast-credit total; annual episode total not independently verified.</x:v>
      </x:c>
      <x:c r="BQ613" s="14" t="str">
        <x:v>Medium</x:v>
      </x:c>
      <x:c r="BR613" s="15" t="n">
        <x:v>1</x:v>
      </x:c>
      <x:c r="BS613" s="16" t="n">
        <x:v>0.08333333333333333</x:v>
      </x:c>
      <x:c r="BT613" s="14" t="str">
        <x:v>One episode</x:v>
      </x:c>
      <x:c r="BU613" s="14" t="str">
        <x:v>Medium</x:v>
      </x:c>
      <x:c r="BV613" s="14" t="str">
        <x:v>Derived from the supplied IMDb episode count and documented production-total proxy.</x:v>
      </x:c>
      <x:c r="BW613" s="14" t="str">
        <x:v>Unable to determine</x:v>
      </x:c>
      <x:c r="BX613" s="14" t="str">
        <x:v>Cast-list and episode data do not establish narrative prominence.</x:v>
      </x:c>
      <x:c r="BY613" s="14" t="str">
        <x:v>Supplied IMDb cast-list workbook</x:v>
      </x:c>
      <x:c r="BZ61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tt15309272|nm1587813|marc allen</x:v>
      </x:c>
      <x:c r="B614" s="14" t="str">
        <x:v>08</x:v>
      </x:c>
      <x:c r="C614" s="14" t="str">
        <x:v>2022_IMDb_Cast_Lists_Batch_08(1).xlsx</x:v>
      </x:c>
      <x:c r="D614" s="14" t="str">
        <x:v>Funny Woman</x:v>
      </x:c>
      <x:c r="E614" s="14" t="n">
        <x:v>25</x:v>
      </x:c>
      <x:c r="F614" s="14" t="str">
        <x:v>Funny Woman</x:v>
      </x:c>
      <x:c r="G614" s="14" t="str">
        <x:v>tt15309272</x:v>
      </x:c>
      <x:c r="H614" s="14" t="n">
        <x:v>2023</x:v>
      </x:c>
      <x:c r="I614" s="14" t="n">
        <x:v>2023</x:v>
      </x:c>
      <x:c r="J614" s="14" t="str">
        <x:v>Future Carry-Forward Cohort</x:v>
      </x:c>
      <x:c r="K614" s="14" t="n">
        <x:v>2022</x:v>
      </x:c>
      <x:c r="L614" s="14" t="str">
        <x:v>Not inherited</x:v>
      </x:c>
      <x:c r="M614" s="15" t="n">
        <x:v>18</x:v>
      </x:c>
      <x:c r="N614" s="14" t="str">
        <x:v>Steve Zissis</x:v>
      </x:c>
      <x:c r="O614" s="14" t="str">
        <x:v>nm1587813</x:v>
      </x:c>
      <x:c r="P614" s="14" t="str">
        <x:v>Marc Allen</x:v>
      </x:c>
      <x:c r="Q614" s="15" t="n">
        <x:v>4</x:v>
      </x:c>
      <x:c r="R614" s="14" t="str">
        <x:v>2024</x:v>
      </x:c>
      <x:c r="S614" s="14" t="n">
        <x:v>2024</x:v>
      </x:c>
      <x:c r="T614" s="14" t="n">
        <x:v>2024</x:v>
      </x:c>
      <x:c r="U614" s="14" t="str">
        <x:v>Production assigned to future entry year</x:v>
      </x:c>
      <x:c r="V614" s="14" t="str">
        <x:v>Master register assigns production to 2023, not 2022.</x:v>
      </x:c>
      <x:c r="W614" s="14" t="str">
        <x:v>Annual source/master-register conflict</x:v>
      </x:c>
      <x:c r="X614" s="14" t="str">
        <x:v>Carried forward to 2024</x:v>
      </x:c>
      <x:c r="Y614" s="14"/>
      <x:c r="Z614" s="14" t="str">
        <x:v>Funny Woman.docx</x:v>
      </x:c>
      <x:c r="AA61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Sky / NOW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7" t="e">
        <x:f>HYPERLINK("https://en.wikipedia.org/wiki/Funny_Woman","Open source")</x:f>
        <x:v>HYPERLINK is not implemented. linkLocation=https://en.wikipedia.org/wiki/Funny_Woman, friendlyName=Open source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 t="str">
        <x:v>No established-register match</x:v>
      </x:c>
      <x:c r="AT614" s="14"/>
      <x:c r="AU614" s="14"/>
      <x:c r="AV614" s="14" t="str">
        <x:v>No established apparent-disability match</x:v>
      </x:c>
      <x:c r="AW614" s="14"/>
      <x:c r="AX614" s="14" t="str">
        <x:v>No</x:v>
      </x:c>
      <x:c r="AY614" s="14" t="str">
        <x:v>Unmatched</x:v>
      </x:c>
      <x:c r="AZ614" s="14" t="str">
        <x:v>Final supplied register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/>
      <x:c r="BP614" s="14" t="str">
        <x:v>Unable to calculate from supplied records.</x:v>
      </x:c>
      <x:c r="BQ614" s="14" t="str">
        <x:v>Unable to determine</x:v>
      </x:c>
      <x:c r="BR614" s="15" t="n">
        <x:v>4</x:v>
      </x:c>
      <x:c r="BS614" s="16"/>
      <x:c r="BT614" s="14" t="str">
        <x:v>Unable to calculate</x:v>
      </x:c>
      <x:c r="BU614" s="14" t="str">
        <x:v>Unable to determine</x:v>
      </x:c>
      <x:c r="BV614" s="14" t="str">
        <x:v>Episode count or production-total proxy unavailable.</x:v>
      </x:c>
      <x:c r="BW614" s="14" t="str">
        <x:v>Unable to determine</x:v>
      </x:c>
      <x:c r="BX614" s="14" t="str">
        <x:v>Cast-list and episode data do not establish narrative prominence.</x:v>
      </x:c>
      <x:c r="BY614" s="14" t="str">
        <x:v>Supplied IMDb cast-list workbook</x:v>
      </x:c>
      <x:c r="BZ61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tt15309272|nm8519744|roger</x:v>
      </x:c>
      <x:c r="B615" s="14" t="str">
        <x:v>08</x:v>
      </x:c>
      <x:c r="C615" s="14" t="str">
        <x:v>2022_IMDb_Cast_Lists_Batch_08(1).xlsx</x:v>
      </x:c>
      <x:c r="D615" s="14" t="str">
        <x:v>Funny Woman</x:v>
      </x:c>
      <x:c r="E615" s="14" t="n">
        <x:v>26</x:v>
      </x:c>
      <x:c r="F615" s="14" t="str">
        <x:v>Funny Woman</x:v>
      </x:c>
      <x:c r="G615" s="14" t="str">
        <x:v>tt15309272</x:v>
      </x:c>
      <x:c r="H615" s="14" t="n">
        <x:v>2023</x:v>
      </x:c>
      <x:c r="I615" s="14" t="n">
        <x:v>2023</x:v>
      </x:c>
      <x:c r="J615" s="14" t="str">
        <x:v>Future Carry-Forward Cohort</x:v>
      </x:c>
      <x:c r="K615" s="14" t="n">
        <x:v>2022</x:v>
      </x:c>
      <x:c r="L615" s="14" t="str">
        <x:v>Not inherited</x:v>
      </x:c>
      <x:c r="M615" s="15" t="n">
        <x:v>19</x:v>
      </x:c>
      <x:c r="N615" s="14" t="str">
        <x:v>Marcus Rutherford</x:v>
      </x:c>
      <x:c r="O615" s="14" t="str">
        <x:v>nm8519744</x:v>
      </x:c>
      <x:c r="P615" s="14" t="str">
        <x:v>Roger</x:v>
      </x:c>
      <x:c r="Q615" s="15" t="n">
        <x:v>4</x:v>
      </x:c>
      <x:c r="R615" s="14" t="str">
        <x:v>2024</x:v>
      </x:c>
      <x:c r="S615" s="14" t="n">
        <x:v>2024</x:v>
      </x:c>
      <x:c r="T615" s="14" t="n">
        <x:v>2024</x:v>
      </x:c>
      <x:c r="U615" s="14" t="str">
        <x:v>Production assigned to future entry year</x:v>
      </x:c>
      <x:c r="V615" s="14" t="str">
        <x:v>Master register assigns production to 2023, not 2022.</x:v>
      </x:c>
      <x:c r="W615" s="14" t="str">
        <x:v>Annual source/master-register conflict</x:v>
      </x:c>
      <x:c r="X615" s="14" t="str">
        <x:v>Carried forward to 2024</x:v>
      </x:c>
      <x:c r="Y615" s="14"/>
      <x:c r="Z615" s="14" t="str">
        <x:v>Funny Woman.docx</x:v>
      </x:c>
      <x:c r="AA61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Sky / NOW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7" t="e">
        <x:f>HYPERLINK("https://en.wikipedia.org/wiki/Funny_Woman","Open source")</x:f>
        <x:v>HYPERLINK is not implemented. linkLocation=https://en.wikipedia.org/wiki/Funny_Woman, friendlyName=Open source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 t="str">
        <x:v>No established-register match</x:v>
      </x:c>
      <x:c r="AT615" s="14"/>
      <x:c r="AU615" s="14"/>
      <x:c r="AV615" s="14" t="str">
        <x:v>No established apparent-disability match</x:v>
      </x:c>
      <x:c r="AW615" s="14"/>
      <x:c r="AX615" s="14" t="str">
        <x:v>No</x:v>
      </x:c>
      <x:c r="AY615" s="14" t="str">
        <x:v>Unmatched</x:v>
      </x:c>
      <x:c r="AZ615" s="14" t="str">
        <x:v>Final supplied register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/>
      <x:c r="BP615" s="14" t="str">
        <x:v>Unable to calculate from supplied records.</x:v>
      </x:c>
      <x:c r="BQ615" s="14" t="str">
        <x:v>Unable to determine</x:v>
      </x:c>
      <x:c r="BR615" s="15" t="n">
        <x:v>4</x:v>
      </x:c>
      <x:c r="BS615" s="16"/>
      <x:c r="BT615" s="14" t="str">
        <x:v>Unable to calculate</x:v>
      </x:c>
      <x:c r="BU615" s="14" t="str">
        <x:v>Unable to determine</x:v>
      </x:c>
      <x:c r="BV615" s="14" t="str">
        <x:v>Episode count or production-total proxy unavailable.</x:v>
      </x:c>
      <x:c r="BW615" s="14" t="str">
        <x:v>Unable to determine</x:v>
      </x:c>
      <x:c r="BX615" s="14" t="str">
        <x:v>Cast-list and episode data do not establish narrative prominence.</x:v>
      </x:c>
      <x:c r="BY615" s="14" t="str">
        <x:v>Supplied IMDb cast-list workbook</x:v>
      </x:c>
      <x:c r="BZ61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tt15309272|nm3575723|june holmes</x:v>
      </x:c>
      <x:c r="B616" s="14" t="str">
        <x:v>08</x:v>
      </x:c>
      <x:c r="C616" s="14" t="str">
        <x:v>2022_IMDb_Cast_Lists_Batch_08(1).xlsx</x:v>
      </x:c>
      <x:c r="D616" s="14" t="str">
        <x:v>Funny Woman</x:v>
      </x:c>
      <x:c r="E616" s="14" t="n">
        <x:v>31</x:v>
      </x:c>
      <x:c r="F616" s="14" t="str">
        <x:v>Funny Woman</x:v>
      </x:c>
      <x:c r="G616" s="14" t="str">
        <x:v>tt15309272</x:v>
      </x:c>
      <x:c r="H616" s="14" t="n">
        <x:v>2023</x:v>
      </x:c>
      <x:c r="I616" s="14" t="n">
        <x:v>2023</x:v>
      </x:c>
      <x:c r="J616" s="14" t="str">
        <x:v>Future Carry-Forward Cohort</x:v>
      </x:c>
      <x:c r="K616" s="14" t="n">
        <x:v>2022</x:v>
      </x:c>
      <x:c r="L616" s="14" t="str">
        <x:v>Not inherited</x:v>
      </x:c>
      <x:c r="M616" s="15" t="n">
        <x:v>24</x:v>
      </x:c>
      <x:c r="N616" s="14" t="str">
        <x:v>Lydia Wilson</x:v>
      </x:c>
      <x:c r="O616" s="14" t="str">
        <x:v>nm3575723</x:v>
      </x:c>
      <x:c r="P616" s="14" t="str">
        <x:v>June Holmes</x:v>
      </x:c>
      <x:c r="Q616" s="15" t="n">
        <x:v>3</x:v>
      </x:c>
      <x:c r="R616" s="14" t="str">
        <x:v>2024</x:v>
      </x:c>
      <x:c r="S616" s="14" t="n">
        <x:v>2024</x:v>
      </x:c>
      <x:c r="T616" s="14" t="n">
        <x:v>2024</x:v>
      </x:c>
      <x:c r="U616" s="14" t="str">
        <x:v>Production assigned to future entry year</x:v>
      </x:c>
      <x:c r="V616" s="14" t="str">
        <x:v>Master register assigns production to 2023, not 2022.</x:v>
      </x:c>
      <x:c r="W616" s="14" t="str">
        <x:v>Annual source/master-register conflict</x:v>
      </x:c>
      <x:c r="X616" s="14" t="str">
        <x:v>Carried forward to 2024</x:v>
      </x:c>
      <x:c r="Y616" s="14"/>
      <x:c r="Z616" s="14" t="str">
        <x:v>Funny Woman.docx</x:v>
      </x:c>
      <x:c r="AA61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Sky / NOW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7" t="e">
        <x:f>HYPERLINK("https://en.wikipedia.org/wiki/Funny_Woman","Open source")</x:f>
        <x:v>HYPERLINK is not implemented. linkLocation=https://en.wikipedia.org/wiki/Funny_Woman, friendlyName=Open source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 t="str">
        <x:v>No established-register match</x:v>
      </x:c>
      <x:c r="AT616" s="14"/>
      <x:c r="AU616" s="14"/>
      <x:c r="AV616" s="14" t="str">
        <x:v>No established apparent-disability match</x:v>
      </x:c>
      <x:c r="AW616" s="14"/>
      <x:c r="AX616" s="14" t="str">
        <x:v>No</x:v>
      </x:c>
      <x:c r="AY616" s="14" t="str">
        <x:v>Unmatched</x:v>
      </x:c>
      <x:c r="AZ616" s="14" t="str">
        <x:v>Final supplied register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/>
      <x:c r="BP616" s="14" t="str">
        <x:v>Unable to calculate from supplied records.</x:v>
      </x:c>
      <x:c r="BQ616" s="14" t="str">
        <x:v>Unable to determine</x:v>
      </x:c>
      <x:c r="BR616" s="15" t="n">
        <x:v>3</x:v>
      </x:c>
      <x:c r="BS616" s="16"/>
      <x:c r="BT616" s="14" t="str">
        <x:v>Unable to calculate</x:v>
      </x:c>
      <x:c r="BU616" s="14" t="str">
        <x:v>Unable to determine</x:v>
      </x:c>
      <x:c r="BV616" s="14" t="str">
        <x:v>Episode count or production-total proxy unavailable.</x:v>
      </x:c>
      <x:c r="BW616" s="14" t="str">
        <x:v>Unable to determine</x:v>
      </x:c>
      <x:c r="BX616" s="14" t="str">
        <x:v>Cast-list and episode data do not establish narrative prominence.</x:v>
      </x:c>
      <x:c r="BY616" s="14" t="str">
        <x:v>Supplied IMDb cast-list workbook</x:v>
      </x:c>
      <x:c r="BZ61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tt15309272|nm2247629|lynda jay</x:v>
      </x:c>
      <x:c r="B617" s="14" t="str">
        <x:v>08</x:v>
      </x:c>
      <x:c r="C617" s="14" t="str">
        <x:v>2022_IMDb_Cast_Lists_Batch_08(1).xlsx</x:v>
      </x:c>
      <x:c r="D617" s="14" t="str">
        <x:v>Funny Woman</x:v>
      </x:c>
      <x:c r="E617" s="14" t="n">
        <x:v>32</x:v>
      </x:c>
      <x:c r="F617" s="14" t="str">
        <x:v>Funny Woman</x:v>
      </x:c>
      <x:c r="G617" s="14" t="str">
        <x:v>tt15309272</x:v>
      </x:c>
      <x:c r="H617" s="14" t="n">
        <x:v>2023</x:v>
      </x:c>
      <x:c r="I617" s="14" t="n">
        <x:v>2023</x:v>
      </x:c>
      <x:c r="J617" s="14" t="str">
        <x:v>Future Carry-Forward Cohort</x:v>
      </x:c>
      <x:c r="K617" s="14" t="n">
        <x:v>2022</x:v>
      </x:c>
      <x:c r="L617" s="14" t="str">
        <x:v>Not inherited</x:v>
      </x:c>
      <x:c r="M617" s="15" t="n">
        <x:v>25</x:v>
      </x:c>
      <x:c r="N617" s="14" t="str">
        <x:v>Gemma Whelan</x:v>
      </x:c>
      <x:c r="O617" s="14" t="str">
        <x:v>nm2247629</x:v>
      </x:c>
      <x:c r="P617" s="14" t="str">
        <x:v>Lynda Jay</x:v>
      </x:c>
      <x:c r="Q617" s="15" t="n">
        <x:v>3</x:v>
      </x:c>
      <x:c r="R617" s="14" t="str">
        <x:v>2024</x:v>
      </x:c>
      <x:c r="S617" s="14" t="n">
        <x:v>2024</x:v>
      </x:c>
      <x:c r="T617" s="14" t="n">
        <x:v>2024</x:v>
      </x:c>
      <x:c r="U617" s="14" t="str">
        <x:v>Production assigned to future entry year</x:v>
      </x:c>
      <x:c r="V617" s="14" t="str">
        <x:v>Master register assigns production to 2023, not 2022.</x:v>
      </x:c>
      <x:c r="W617" s="14" t="str">
        <x:v>Annual source/master-register conflict</x:v>
      </x:c>
      <x:c r="X617" s="14" t="str">
        <x:v>Carried forward to 2024</x:v>
      </x:c>
      <x:c r="Y617" s="14"/>
      <x:c r="Z617" s="14" t="str">
        <x:v>Funny Woman.docx</x:v>
      </x:c>
      <x:c r="AA61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Sky / NOW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7" t="e">
        <x:f>HYPERLINK("https://en.wikipedia.org/wiki/Funny_Woman","Open source")</x:f>
        <x:v>HYPERLINK is not implemented. linkLocation=https://en.wikipedia.org/wiki/Funny_Woman, friendlyName=Open source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 t="str">
        <x:v>No established-register match</x:v>
      </x:c>
      <x:c r="AT617" s="14"/>
      <x:c r="AU617" s="14"/>
      <x:c r="AV617" s="14" t="str">
        <x:v>No established apparent-disability match</x:v>
      </x:c>
      <x:c r="AW617" s="14"/>
      <x:c r="AX617" s="14" t="str">
        <x:v>No</x:v>
      </x:c>
      <x:c r="AY617" s="14" t="str">
        <x:v>Unmatched</x:v>
      </x:c>
      <x:c r="AZ617" s="14" t="str">
        <x:v>Final supplied register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/>
      <x:c r="BP617" s="14" t="str">
        <x:v>Unable to calculate from supplied records.</x:v>
      </x:c>
      <x:c r="BQ617" s="14" t="str">
        <x:v>Unable to determine</x:v>
      </x:c>
      <x:c r="BR617" s="15" t="n">
        <x:v>3</x:v>
      </x:c>
      <x:c r="BS617" s="16"/>
      <x:c r="BT617" s="14" t="str">
        <x:v>Unable to calculate</x:v>
      </x:c>
      <x:c r="BU617" s="14" t="str">
        <x:v>Unable to determine</x:v>
      </x:c>
      <x:c r="BV617" s="14" t="str">
        <x:v>Episode count or production-total proxy unavailable.</x:v>
      </x:c>
      <x:c r="BW617" s="14" t="str">
        <x:v>Unable to determine</x:v>
      </x:c>
      <x:c r="BX617" s="14" t="str">
        <x:v>Cast-list and episode data do not establish narrative prominence.</x:v>
      </x:c>
      <x:c r="BY617" s="14" t="str">
        <x:v>Supplied IMDb cast-list workbook</x:v>
      </x:c>
      <x:c r="BZ61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tt15309272|nm1705083|lady pandora</x:v>
      </x:c>
      <x:c r="B618" s="14" t="str">
        <x:v>08</x:v>
      </x:c>
      <x:c r="C618" s="14" t="str">
        <x:v>2022_IMDb_Cast_Lists_Batch_08(1).xlsx</x:v>
      </x:c>
      <x:c r="D618" s="14" t="str">
        <x:v>Funny Woman</x:v>
      </x:c>
      <x:c r="E618" s="14" t="n">
        <x:v>33</x:v>
      </x:c>
      <x:c r="F618" s="14" t="str">
        <x:v>Funny Woman</x:v>
      </x:c>
      <x:c r="G618" s="14" t="str">
        <x:v>tt15309272</x:v>
      </x:c>
      <x:c r="H618" s="14" t="n">
        <x:v>2023</x:v>
      </x:c>
      <x:c r="I618" s="14" t="n">
        <x:v>2023</x:v>
      </x:c>
      <x:c r="J618" s="14" t="str">
        <x:v>Future Carry-Forward Cohort</x:v>
      </x:c>
      <x:c r="K618" s="14" t="n">
        <x:v>2022</x:v>
      </x:c>
      <x:c r="L618" s="14" t="str">
        <x:v>Not inherited</x:v>
      </x:c>
      <x:c r="M618" s="15" t="n">
        <x:v>26</x:v>
      </x:c>
      <x:c r="N618" s="14" t="str">
        <x:v>Lydia Leonard</x:v>
      </x:c>
      <x:c r="O618" s="14" t="str">
        <x:v>nm1705083</x:v>
      </x:c>
      <x:c r="P618" s="14" t="str">
        <x:v>Lady Pandora</x:v>
      </x:c>
      <x:c r="Q618" s="15" t="n">
        <x:v>3</x:v>
      </x:c>
      <x:c r="R618" s="14" t="str">
        <x:v>2024</x:v>
      </x:c>
      <x:c r="S618" s="14" t="n">
        <x:v>2024</x:v>
      </x:c>
      <x:c r="T618" s="14" t="n">
        <x:v>2024</x:v>
      </x:c>
      <x:c r="U618" s="14" t="str">
        <x:v>Production assigned to future entry year</x:v>
      </x:c>
      <x:c r="V618" s="14" t="str">
        <x:v>Master register assigns production to 2023, not 2022.</x:v>
      </x:c>
      <x:c r="W618" s="14" t="str">
        <x:v>Annual source/master-register conflict</x:v>
      </x:c>
      <x:c r="X618" s="14" t="str">
        <x:v>Carried forward to 2024</x:v>
      </x:c>
      <x:c r="Y618" s="14"/>
      <x:c r="Z618" s="14" t="str">
        <x:v>Funny Woman.docx</x:v>
      </x:c>
      <x:c r="AA61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Sky / NOW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7" t="e">
        <x:f>HYPERLINK("https://en.wikipedia.org/wiki/Funny_Woman","Open source")</x:f>
        <x:v>HYPERLINK is not implemented. linkLocation=https://en.wikipedia.org/wiki/Funny_Woman, friendlyName=Open source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 t="str">
        <x:v>No established-register match</x:v>
      </x:c>
      <x:c r="AT618" s="14"/>
      <x:c r="AU618" s="14"/>
      <x:c r="AV618" s="14" t="str">
        <x:v>No established apparent-disability match</x:v>
      </x:c>
      <x:c r="AW618" s="14"/>
      <x:c r="AX618" s="14" t="str">
        <x:v>No</x:v>
      </x:c>
      <x:c r="AY618" s="14" t="str">
        <x:v>Unmatched</x:v>
      </x:c>
      <x:c r="AZ618" s="14" t="str">
        <x:v>Final supplied register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/>
      <x:c r="BP618" s="14" t="str">
        <x:v>Unable to calculate from supplied records.</x:v>
      </x:c>
      <x:c r="BQ618" s="14" t="str">
        <x:v>Unable to determine</x:v>
      </x:c>
      <x:c r="BR618" s="15" t="n">
        <x:v>3</x:v>
      </x:c>
      <x:c r="BS618" s="16"/>
      <x:c r="BT618" s="14" t="str">
        <x:v>Unable to calculate</x:v>
      </x:c>
      <x:c r="BU618" s="14" t="str">
        <x:v>Unable to determine</x:v>
      </x:c>
      <x:c r="BV618" s="14" t="str">
        <x:v>Episode count or production-total proxy unavailable.</x:v>
      </x:c>
      <x:c r="BW618" s="14" t="str">
        <x:v>Unable to determine</x:v>
      </x:c>
      <x:c r="BX618" s="14" t="str">
        <x:v>Cast-list and episode data do not establish narrative prominence.</x:v>
      </x:c>
      <x:c r="BY618" s="14" t="str">
        <x:v>Supplied IMDb cast-list workbook</x:v>
      </x:c>
      <x:c r="BZ61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tt15309272|nm6307330|jean-paul solo</x:v>
      </x:c>
      <x:c r="B619" s="14" t="str">
        <x:v>08</x:v>
      </x:c>
      <x:c r="C619" s="14" t="str">
        <x:v>2022_IMDb_Cast_Lists_Batch_08(1).xlsx</x:v>
      </x:c>
      <x:c r="D619" s="14" t="str">
        <x:v>Funny Woman</x:v>
      </x:c>
      <x:c r="E619" s="14" t="n">
        <x:v>36</x:v>
      </x:c>
      <x:c r="F619" s="14" t="str">
        <x:v>Funny Woman</x:v>
      </x:c>
      <x:c r="G619" s="14" t="str">
        <x:v>tt15309272</x:v>
      </x:c>
      <x:c r="H619" s="14" t="n">
        <x:v>2023</x:v>
      </x:c>
      <x:c r="I619" s="14" t="n">
        <x:v>2023</x:v>
      </x:c>
      <x:c r="J619" s="14" t="str">
        <x:v>Future Carry-Forward Cohort</x:v>
      </x:c>
      <x:c r="K619" s="14" t="n">
        <x:v>2022</x:v>
      </x:c>
      <x:c r="L619" s="14" t="str">
        <x:v>Not inherited</x:v>
      </x:c>
      <x:c r="M619" s="15" t="n">
        <x:v>29</x:v>
      </x:c>
      <x:c r="N619" s="14" t="str">
        <x:v>Zachary Fall</x:v>
      </x:c>
      <x:c r="O619" s="14" t="str">
        <x:v>nm6307330</x:v>
      </x:c>
      <x:c r="P619" s="14" t="str">
        <x:v>Jean-Paul Solo</x:v>
      </x:c>
      <x:c r="Q619" s="15" t="n">
        <x:v>2</x:v>
      </x:c>
      <x:c r="R619" s="14" t="str">
        <x:v>2024</x:v>
      </x:c>
      <x:c r="S619" s="14" t="n">
        <x:v>2024</x:v>
      </x:c>
      <x:c r="T619" s="14" t="n">
        <x:v>2024</x:v>
      </x:c>
      <x:c r="U619" s="14" t="str">
        <x:v>Production assigned to future entry year</x:v>
      </x:c>
      <x:c r="V619" s="14" t="str">
        <x:v>Master register assigns production to 2023, not 2022.</x:v>
      </x:c>
      <x:c r="W619" s="14" t="str">
        <x:v>Annual source/master-register conflict</x:v>
      </x:c>
      <x:c r="X619" s="14" t="str">
        <x:v>Carried forward to 2024</x:v>
      </x:c>
      <x:c r="Y619" s="14"/>
      <x:c r="Z619" s="14" t="str">
        <x:v>Funny Woman.docx</x:v>
      </x:c>
      <x:c r="AA61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Sky / NOW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7" t="e">
        <x:f>HYPERLINK("https://en.wikipedia.org/wiki/Funny_Woman","Open source")</x:f>
        <x:v>HYPERLINK is not implemented. linkLocation=https://en.wikipedia.org/wiki/Funny_Woman, friendlyName=Open source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 t="str">
        <x:v>No established-register match</x:v>
      </x:c>
      <x:c r="AT619" s="14"/>
      <x:c r="AU619" s="14"/>
      <x:c r="AV619" s="14" t="str">
        <x:v>No established apparent-disability match</x:v>
      </x:c>
      <x:c r="AW619" s="14"/>
      <x:c r="AX619" s="14" t="str">
        <x:v>No</x:v>
      </x:c>
      <x:c r="AY619" s="14" t="str">
        <x:v>Unmatched</x:v>
      </x:c>
      <x:c r="AZ619" s="14" t="str">
        <x:v>Final supplied register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/>
      <x:c r="BP619" s="14" t="str">
        <x:v>Unable to calculate from supplied records.</x:v>
      </x:c>
      <x:c r="BQ619" s="14" t="str">
        <x:v>Unable to determine</x:v>
      </x:c>
      <x:c r="BR619" s="15" t="n">
        <x:v>2</x:v>
      </x:c>
      <x:c r="BS619" s="16"/>
      <x:c r="BT619" s="14" t="str">
        <x:v>Unable to calculate</x:v>
      </x:c>
      <x:c r="BU619" s="14" t="str">
        <x:v>Unable to determine</x:v>
      </x:c>
      <x:c r="BV619" s="14" t="str">
        <x:v>Episode count or production-total proxy unavailable.</x:v>
      </x:c>
      <x:c r="BW619" s="14" t="str">
        <x:v>Unable to determine</x:v>
      </x:c>
      <x:c r="BX619" s="14" t="str">
        <x:v>Cast-list and episode data do not establish narrative prominence.</x:v>
      </x:c>
      <x:c r="BY619" s="14" t="str">
        <x:v>Supplied IMDb cast-list workbook</x:v>
      </x:c>
      <x:c r="BZ61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tt15309272|nm4421176|greta</x:v>
      </x:c>
      <x:c r="B620" s="14" t="str">
        <x:v>08</x:v>
      </x:c>
      <x:c r="C620" s="14" t="str">
        <x:v>2022_IMDb_Cast_Lists_Batch_08(1).xlsx</x:v>
      </x:c>
      <x:c r="D620" s="14" t="str">
        <x:v>Funny Woman</x:v>
      </x:c>
      <x:c r="E620" s="14" t="n">
        <x:v>39</x:v>
      </x:c>
      <x:c r="F620" s="14" t="str">
        <x:v>Funny Woman</x:v>
      </x:c>
      <x:c r="G620" s="14" t="str">
        <x:v>tt15309272</x:v>
      </x:c>
      <x:c r="H620" s="14" t="n">
        <x:v>2023</x:v>
      </x:c>
      <x:c r="I620" s="14" t="n">
        <x:v>2023</x:v>
      </x:c>
      <x:c r="J620" s="14" t="str">
        <x:v>Future Carry-Forward Cohort</x:v>
      </x:c>
      <x:c r="K620" s="14" t="n">
        <x:v>2022</x:v>
      </x:c>
      <x:c r="L620" s="14" t="str">
        <x:v>Not inherited</x:v>
      </x:c>
      <x:c r="M620" s="15" t="n">
        <x:v>32</x:v>
      </x:c>
      <x:c r="N620" s="14" t="str">
        <x:v>Roisin Conaty</x:v>
      </x:c>
      <x:c r="O620" s="14" t="str">
        <x:v>nm4421176</x:v>
      </x:c>
      <x:c r="P620" s="14" t="str">
        <x:v>Greta</x:v>
      </x:c>
      <x:c r="Q620" s="15" t="n">
        <x:v>2</x:v>
      </x:c>
      <x:c r="R620" s="14" t="str">
        <x:v>2024</x:v>
      </x:c>
      <x:c r="S620" s="14" t="n">
        <x:v>2024</x:v>
      </x:c>
      <x:c r="T620" s="14" t="n">
        <x:v>2024</x:v>
      </x:c>
      <x:c r="U620" s="14" t="str">
        <x:v>Production assigned to future entry year</x:v>
      </x:c>
      <x:c r="V620" s="14" t="str">
        <x:v>Master register assigns production to 2023, not 2022.</x:v>
      </x:c>
      <x:c r="W620" s="14" t="str">
        <x:v>Annual source/master-register conflict</x:v>
      </x:c>
      <x:c r="X620" s="14" t="str">
        <x:v>Carried forward to 2024</x:v>
      </x:c>
      <x:c r="Y620" s="14"/>
      <x:c r="Z620" s="14" t="str">
        <x:v>Funny Woman.docx</x:v>
      </x:c>
      <x:c r="AA62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Sky / NOW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7" t="e">
        <x:f>HYPERLINK("https://en.wikipedia.org/wiki/Funny_Woman","Open source")</x:f>
        <x:v>HYPERLINK is not implemented. linkLocation=https://en.wikipedia.org/wiki/Funny_Woman, friendlyName=Open source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 t="str">
        <x:v>No established-register match</x:v>
      </x:c>
      <x:c r="AT620" s="14"/>
      <x:c r="AU620" s="14"/>
      <x:c r="AV620" s="14" t="str">
        <x:v>No established apparent-disability match</x:v>
      </x:c>
      <x:c r="AW620" s="14"/>
      <x:c r="AX620" s="14" t="str">
        <x:v>No</x:v>
      </x:c>
      <x:c r="AY620" s="14" t="str">
        <x:v>Unmatched</x:v>
      </x:c>
      <x:c r="AZ620" s="14" t="str">
        <x:v>Final supplied register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/>
      <x:c r="BP620" s="14" t="str">
        <x:v>Unable to calculate from supplied records.</x:v>
      </x:c>
      <x:c r="BQ620" s="14" t="str">
        <x:v>Unable to determine</x:v>
      </x:c>
      <x:c r="BR620" s="15" t="n">
        <x:v>2</x:v>
      </x:c>
      <x:c r="BS620" s="16"/>
      <x:c r="BT620" s="14" t="str">
        <x:v>Unable to calculate</x:v>
      </x:c>
      <x:c r="BU620" s="14" t="str">
        <x:v>Unable to determine</x:v>
      </x:c>
      <x:c r="BV620" s="14" t="str">
        <x:v>Episode count or production-total proxy unavailable.</x:v>
      </x:c>
      <x:c r="BW620" s="14" t="str">
        <x:v>Unable to determine</x:v>
      </x:c>
      <x:c r="BX620" s="14" t="str">
        <x:v>Cast-list and episode data do not establish narrative prominence.</x:v>
      </x:c>
      <x:c r="BY620" s="14" t="str">
        <x:v>Supplied IMDb cast-list workbook</x:v>
      </x:c>
      <x:c r="BZ62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tt15309272|nm7672770|charlie</x:v>
      </x:c>
      <x:c r="B621" s="14" t="str">
        <x:v>08</x:v>
      </x:c>
      <x:c r="C621" s="14" t="str">
        <x:v>2022_IMDb_Cast_Lists_Batch_08(1).xlsx</x:v>
      </x:c>
      <x:c r="D621" s="14" t="str">
        <x:v>Funny Woman</x:v>
      </x:c>
      <x:c r="E621" s="14" t="n">
        <x:v>43</x:v>
      </x:c>
      <x:c r="F621" s="14" t="str">
        <x:v>Funny Woman</x:v>
      </x:c>
      <x:c r="G621" s="14" t="str">
        <x:v>tt15309272</x:v>
      </x:c>
      <x:c r="H621" s="14" t="n">
        <x:v>2023</x:v>
      </x:c>
      <x:c r="I621" s="14" t="n">
        <x:v>2023</x:v>
      </x:c>
      <x:c r="J621" s="14" t="str">
        <x:v>Future Carry-Forward Cohort</x:v>
      </x:c>
      <x:c r="K621" s="14" t="n">
        <x:v>2022</x:v>
      </x:c>
      <x:c r="L621" s="14" t="str">
        <x:v>Not inherited</x:v>
      </x:c>
      <x:c r="M621" s="15" t="n">
        <x:v>36</x:v>
      </x:c>
      <x:c r="N621" s="14" t="str">
        <x:v>Sam C. Wilson</x:v>
      </x:c>
      <x:c r="O621" s="14" t="str">
        <x:v>nm7672770</x:v>
      </x:c>
      <x:c r="P621" s="14" t="str">
        <x:v>Charlie</x:v>
      </x:c>
      <x:c r="Q621" s="15" t="n">
        <x:v>2</x:v>
      </x:c>
      <x:c r="R621" s="14" t="str">
        <x:v>2024</x:v>
      </x:c>
      <x:c r="S621" s="14" t="n">
        <x:v>2024</x:v>
      </x:c>
      <x:c r="T621" s="14" t="n">
        <x:v>2024</x:v>
      </x:c>
      <x:c r="U621" s="14" t="str">
        <x:v>Production assigned to future entry year</x:v>
      </x:c>
      <x:c r="V621" s="14" t="str">
        <x:v>Master register assigns production to 2023, not 2022.</x:v>
      </x:c>
      <x:c r="W621" s="14" t="str">
        <x:v>Annual source/master-register conflict</x:v>
      </x:c>
      <x:c r="X621" s="14" t="str">
        <x:v>Carried forward to 2024</x:v>
      </x:c>
      <x:c r="Y621" s="14"/>
      <x:c r="Z621" s="14" t="str">
        <x:v>Funny Woman.docx</x:v>
      </x:c>
      <x:c r="AA62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Sky / NOW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7" t="e">
        <x:f>HYPERLINK("https://en.wikipedia.org/wiki/Funny_Woman","Open source")</x:f>
        <x:v>HYPERLINK is not implemented. linkLocation=https://en.wikipedia.org/wiki/Funny_Woman, friendlyName=Open source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 t="str">
        <x:v>No established-register match</x:v>
      </x:c>
      <x:c r="AT621" s="14"/>
      <x:c r="AU621" s="14"/>
      <x:c r="AV621" s="14" t="str">
        <x:v>No established apparent-disability match</x:v>
      </x:c>
      <x:c r="AW621" s="14"/>
      <x:c r="AX621" s="14" t="str">
        <x:v>No</x:v>
      </x:c>
      <x:c r="AY621" s="14" t="str">
        <x:v>Unmatched</x:v>
      </x:c>
      <x:c r="AZ621" s="14" t="str">
        <x:v>Final supplied register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/>
      <x:c r="BP621" s="14" t="str">
        <x:v>Unable to calculate from supplied records.</x:v>
      </x:c>
      <x:c r="BQ621" s="14" t="str">
        <x:v>Unable to determine</x:v>
      </x:c>
      <x:c r="BR621" s="15" t="n">
        <x:v>2</x:v>
      </x:c>
      <x:c r="BS621" s="16"/>
      <x:c r="BT621" s="14" t="str">
        <x:v>Unable to calculate</x:v>
      </x:c>
      <x:c r="BU621" s="14" t="str">
        <x:v>Unable to determine</x:v>
      </x:c>
      <x:c r="BV621" s="14" t="str">
        <x:v>Episode count or production-total proxy unavailable.</x:v>
      </x:c>
      <x:c r="BW621" s="14" t="str">
        <x:v>Unable to determine</x:v>
      </x:c>
      <x:c r="BX621" s="14" t="str">
        <x:v>Cast-list and episode data do not establish narrative prominence.</x:v>
      </x:c>
      <x:c r="BY621" s="14" t="str">
        <x:v>Supplied IMDb cast-list workbook</x:v>
      </x:c>
      <x:c r="BZ62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tt15309272|nm0492856|dilys</x:v>
      </x:c>
      <x:c r="B622" s="14" t="str">
        <x:v>08</x:v>
      </x:c>
      <x:c r="C622" s="14" t="str">
        <x:v>2022_IMDb_Cast_Lists_Batch_08(1).xlsx</x:v>
      </x:c>
      <x:c r="D622" s="14" t="str">
        <x:v>Funny Woman</x:v>
      </x:c>
      <x:c r="E622" s="14" t="n">
        <x:v>51</x:v>
      </x:c>
      <x:c r="F622" s="14" t="str">
        <x:v>Funny Woman</x:v>
      </x:c>
      <x:c r="G622" s="14" t="str">
        <x:v>tt15309272</x:v>
      </x:c>
      <x:c r="H622" s="14" t="n">
        <x:v>2023</x:v>
      </x:c>
      <x:c r="I622" s="14" t="n">
        <x:v>2023</x:v>
      </x:c>
      <x:c r="J622" s="14" t="str">
        <x:v>Future Carry-Forward Cohort</x:v>
      </x:c>
      <x:c r="K622" s="14" t="n">
        <x:v>2022</x:v>
      </x:c>
      <x:c r="L622" s="14" t="str">
        <x:v>Not inherited</x:v>
      </x:c>
      <x:c r="M622" s="15" t="n">
        <x:v>44</x:v>
      </x:c>
      <x:c r="N622" s="14" t="str">
        <x:v>Josie Lawrence</x:v>
      </x:c>
      <x:c r="O622" s="14" t="str">
        <x:v>nm0492856</x:v>
      </x:c>
      <x:c r="P622" s="14" t="str">
        <x:v>Dilys</x:v>
      </x:c>
      <x:c r="Q622" s="15" t="n">
        <x:v>1</x:v>
      </x:c>
      <x:c r="R622" s="14" t="str">
        <x:v>2024</x:v>
      </x:c>
      <x:c r="S622" s="14" t="n">
        <x:v>2024</x:v>
      </x:c>
      <x:c r="T622" s="14" t="n">
        <x:v>2024</x:v>
      </x:c>
      <x:c r="U622" s="14" t="str">
        <x:v>Production assigned to future entry year</x:v>
      </x:c>
      <x:c r="V622" s="14" t="str">
        <x:v>Master register assigns production to 2023, not 2022.</x:v>
      </x:c>
      <x:c r="W622" s="14" t="str">
        <x:v>Annual source/master-register conflict</x:v>
      </x:c>
      <x:c r="X622" s="14" t="str">
        <x:v>Carried forward to 2024</x:v>
      </x:c>
      <x:c r="Y622" s="14"/>
      <x:c r="Z622" s="14" t="str">
        <x:v>Funny Woman.docx</x:v>
      </x:c>
      <x:c r="AA62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Sky / NOW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7" t="e">
        <x:f>HYPERLINK("https://en.wikipedia.org/wiki/Funny_Woman","Open source")</x:f>
        <x:v>HYPERLINK is not implemented. linkLocation=https://en.wikipedia.org/wiki/Funny_Woman, friendlyName=Open source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 t="str">
        <x:v>No established-register match</x:v>
      </x:c>
      <x:c r="AT622" s="14"/>
      <x:c r="AU622" s="14"/>
      <x:c r="AV622" s="14" t="str">
        <x:v>No established apparent-disability match</x:v>
      </x:c>
      <x:c r="AW622" s="14"/>
      <x:c r="AX622" s="14" t="str">
        <x:v>No</x:v>
      </x:c>
      <x:c r="AY622" s="14" t="str">
        <x:v>Unmatched</x:v>
      </x:c>
      <x:c r="AZ622" s="14" t="str">
        <x:v>Final supplied register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/>
      <x:c r="BP622" s="14" t="str">
        <x:v>Unable to calculate from supplied records.</x:v>
      </x:c>
      <x:c r="BQ622" s="14" t="str">
        <x:v>Unable to determine</x:v>
      </x:c>
      <x:c r="BR622" s="15" t="n">
        <x:v>1</x:v>
      </x:c>
      <x:c r="BS622" s="16"/>
      <x:c r="BT622" s="14" t="str">
        <x:v>Unable to calculate</x:v>
      </x:c>
      <x:c r="BU622" s="14" t="str">
        <x:v>Unable to determine</x:v>
      </x:c>
      <x:c r="BV622" s="14" t="str">
        <x:v>Episode count or production-total proxy unavailable.</x:v>
      </x:c>
      <x:c r="BW622" s="14" t="str">
        <x:v>Unable to determine</x:v>
      </x:c>
      <x:c r="BX622" s="14" t="str">
        <x:v>Cast-list and episode data do not establish narrative prominence.</x:v>
      </x:c>
      <x:c r="BY622" s="14" t="str">
        <x:v>Supplied IMDb cast-list workbook</x:v>
      </x:c>
      <x:c r="BZ62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tt15309272|nm0229970|ronald</x:v>
      </x:c>
      <x:c r="B623" s="14" t="str">
        <x:v>08</x:v>
      </x:c>
      <x:c r="C623" s="14" t="str">
        <x:v>2022_IMDb_Cast_Lists_Batch_08(1).xlsx</x:v>
      </x:c>
      <x:c r="D623" s="14" t="str">
        <x:v>Funny Woman</x:v>
      </x:c>
      <x:c r="E623" s="14" t="n">
        <x:v>52</x:v>
      </x:c>
      <x:c r="F623" s="14" t="str">
        <x:v>Funny Woman</x:v>
      </x:c>
      <x:c r="G623" s="14" t="str">
        <x:v>tt15309272</x:v>
      </x:c>
      <x:c r="H623" s="14" t="n">
        <x:v>2023</x:v>
      </x:c>
      <x:c r="I623" s="14" t="n">
        <x:v>2023</x:v>
      </x:c>
      <x:c r="J623" s="14" t="str">
        <x:v>Future Carry-Forward Cohort</x:v>
      </x:c>
      <x:c r="K623" s="14" t="n">
        <x:v>2022</x:v>
      </x:c>
      <x:c r="L623" s="14" t="str">
        <x:v>Not inherited</x:v>
      </x:c>
      <x:c r="M623" s="15" t="n">
        <x:v>45</x:v>
      </x:c>
      <x:c r="N623" s="14" t="str">
        <x:v>Jack Docherty</x:v>
      </x:c>
      <x:c r="O623" s="14" t="str">
        <x:v>nm0229970</x:v>
      </x:c>
      <x:c r="P623" s="14" t="str">
        <x:v>Ronald</x:v>
      </x:c>
      <x:c r="Q623" s="15" t="n">
        <x:v>1</x:v>
      </x:c>
      <x:c r="R623" s="14" t="str">
        <x:v>2024</x:v>
      </x:c>
      <x:c r="S623" s="14" t="n">
        <x:v>2024</x:v>
      </x:c>
      <x:c r="T623" s="14" t="n">
        <x:v>2024</x:v>
      </x:c>
      <x:c r="U623" s="14" t="str">
        <x:v>Production assigned to future entry year</x:v>
      </x:c>
      <x:c r="V623" s="14" t="str">
        <x:v>Master register assigns production to 2023, not 2022.</x:v>
      </x:c>
      <x:c r="W623" s="14" t="str">
        <x:v>Annual source/master-register conflict</x:v>
      </x:c>
      <x:c r="X623" s="14" t="str">
        <x:v>Carried forward to 2024</x:v>
      </x:c>
      <x:c r="Y623" s="14"/>
      <x:c r="Z623" s="14" t="str">
        <x:v>Funny Woman.docx</x:v>
      </x:c>
      <x:c r="AA62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Sky / NOW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7" t="e">
        <x:f>HYPERLINK("https://en.wikipedia.org/wiki/Funny_Woman","Open source")</x:f>
        <x:v>HYPERLINK is not implemented. linkLocation=https://en.wikipedia.org/wiki/Funny_Woman, friendlyName=Open source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 t="str">
        <x:v>No established-register match</x:v>
      </x:c>
      <x:c r="AT623" s="14"/>
      <x:c r="AU623" s="14"/>
      <x:c r="AV623" s="14" t="str">
        <x:v>No established apparent-disability match</x:v>
      </x:c>
      <x:c r="AW623" s="14"/>
      <x:c r="AX623" s="14" t="str">
        <x:v>No</x:v>
      </x:c>
      <x:c r="AY623" s="14" t="str">
        <x:v>Unmatched</x:v>
      </x:c>
      <x:c r="AZ623" s="14" t="str">
        <x:v>Final supplied register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/>
      <x:c r="BP623" s="14" t="str">
        <x:v>Unable to calculate from supplied records.</x:v>
      </x:c>
      <x:c r="BQ623" s="14" t="str">
        <x:v>Unable to determine</x:v>
      </x:c>
      <x:c r="BR623" s="15" t="n">
        <x:v>1</x:v>
      </x:c>
      <x:c r="BS623" s="16"/>
      <x:c r="BT623" s="14" t="str">
        <x:v>Unable to calculate</x:v>
      </x:c>
      <x:c r="BU623" s="14" t="str">
        <x:v>Unable to determine</x:v>
      </x:c>
      <x:c r="BV623" s="14" t="str">
        <x:v>Episode count or production-total proxy unavailable.</x:v>
      </x:c>
      <x:c r="BW623" s="14" t="str">
        <x:v>Unable to determine</x:v>
      </x:c>
      <x:c r="BX623" s="14" t="str">
        <x:v>Cast-list and episode data do not establish narrative prominence.</x:v>
      </x:c>
      <x:c r="BY623" s="14" t="str">
        <x:v>Supplied IMDb cast-list workbook</x:v>
      </x:c>
      <x:c r="BZ62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tt15309272|nm0444676|vernon whitfield</x:v>
      </x:c>
      <x:c r="B624" s="14" t="str">
        <x:v>08</x:v>
      </x:c>
      <x:c r="C624" s="14" t="str">
        <x:v>2022_IMDb_Cast_Lists_Batch_08(1).xlsx</x:v>
      </x:c>
      <x:c r="D624" s="14" t="str">
        <x:v>Funny Woman</x:v>
      </x:c>
      <x:c r="E624" s="14" t="n">
        <x:v>54</x:v>
      </x:c>
      <x:c r="F624" s="14" t="str">
        <x:v>Funny Woman</x:v>
      </x:c>
      <x:c r="G624" s="14" t="str">
        <x:v>tt15309272</x:v>
      </x:c>
      <x:c r="H624" s="14" t="n">
        <x:v>2023</x:v>
      </x:c>
      <x:c r="I624" s="14" t="n">
        <x:v>2023</x:v>
      </x:c>
      <x:c r="J624" s="14" t="str">
        <x:v>Future Carry-Forward Cohort</x:v>
      </x:c>
      <x:c r="K624" s="14" t="n">
        <x:v>2022</x:v>
      </x:c>
      <x:c r="L624" s="14" t="str">
        <x:v>Not inherited</x:v>
      </x:c>
      <x:c r="M624" s="15" t="n">
        <x:v>47</x:v>
      </x:c>
      <x:c r="N624" s="14" t="str">
        <x:v>Rory Keenan</x:v>
      </x:c>
      <x:c r="O624" s="14" t="str">
        <x:v>nm0444676</x:v>
      </x:c>
      <x:c r="P624" s="14" t="str">
        <x:v>Vernon Whitfield</x:v>
      </x:c>
      <x:c r="Q624" s="15" t="n">
        <x:v>1</x:v>
      </x:c>
      <x:c r="R624" s="14" t="str">
        <x:v>2024</x:v>
      </x:c>
      <x:c r="S624" s="14" t="n">
        <x:v>2024</x:v>
      </x:c>
      <x:c r="T624" s="14" t="n">
        <x:v>2024</x:v>
      </x:c>
      <x:c r="U624" s="14" t="str">
        <x:v>Production assigned to future entry year</x:v>
      </x:c>
      <x:c r="V624" s="14" t="str">
        <x:v>Master register assigns production to 2023, not 2022.</x:v>
      </x:c>
      <x:c r="W624" s="14" t="str">
        <x:v>Annual source/master-register conflict</x:v>
      </x:c>
      <x:c r="X624" s="14" t="str">
        <x:v>Carried forward to 2024</x:v>
      </x:c>
      <x:c r="Y624" s="14"/>
      <x:c r="Z624" s="14" t="str">
        <x:v>Funny Woman.docx</x:v>
      </x:c>
      <x:c r="AA62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Sky / NOW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7" t="e">
        <x:f>HYPERLINK("https://en.wikipedia.org/wiki/Funny_Woman","Open source")</x:f>
        <x:v>HYPERLINK is not implemented. linkLocation=https://en.wikipedia.org/wiki/Funny_Woman, friendlyName=Open source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 t="str">
        <x:v>No established-register match</x:v>
      </x:c>
      <x:c r="AT624" s="14"/>
      <x:c r="AU624" s="14"/>
      <x:c r="AV624" s="14" t="str">
        <x:v>No established apparent-disability match</x:v>
      </x:c>
      <x:c r="AW624" s="14"/>
      <x:c r="AX624" s="14" t="str">
        <x:v>No</x:v>
      </x:c>
      <x:c r="AY624" s="14" t="str">
        <x:v>Unmatched</x:v>
      </x:c>
      <x:c r="AZ624" s="14" t="str">
        <x:v>Final supplied register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/>
      <x:c r="BP624" s="14" t="str">
        <x:v>Unable to calculate from supplied records.</x:v>
      </x:c>
      <x:c r="BQ624" s="14" t="str">
        <x:v>Unable to determine</x:v>
      </x:c>
      <x:c r="BR624" s="15" t="n">
        <x:v>1</x:v>
      </x:c>
      <x:c r="BS624" s="16"/>
      <x:c r="BT624" s="14" t="str">
        <x:v>Unable to calculate</x:v>
      </x:c>
      <x:c r="BU624" s="14" t="str">
        <x:v>Unable to determine</x:v>
      </x:c>
      <x:c r="BV624" s="14" t="str">
        <x:v>Episode count or production-total proxy unavailable.</x:v>
      </x:c>
      <x:c r="BW624" s="14" t="str">
        <x:v>Unable to determine</x:v>
      </x:c>
      <x:c r="BX624" s="14" t="str">
        <x:v>Cast-list and episode data do not establish narrative prominence.</x:v>
      </x:c>
      <x:c r="BY624" s="14" t="str">
        <x:v>Supplied IMDb cast-list workbook</x:v>
      </x:c>
      <x:c r="BZ62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tt15309272|nm0020776|landlady</x:v>
      </x:c>
      <x:c r="B625" s="14" t="str">
        <x:v>08</x:v>
      </x:c>
      <x:c r="C625" s="14" t="str">
        <x:v>2022_IMDb_Cast_Lists_Batch_08(1).xlsx</x:v>
      </x:c>
      <x:c r="D625" s="14" t="str">
        <x:v>Funny Woman</x:v>
      </x:c>
      <x:c r="E625" s="14" t="n">
        <x:v>55</x:v>
      </x:c>
      <x:c r="F625" s="14" t="str">
        <x:v>Funny Woman</x:v>
      </x:c>
      <x:c r="G625" s="14" t="str">
        <x:v>tt15309272</x:v>
      </x:c>
      <x:c r="H625" s="14" t="n">
        <x:v>2023</x:v>
      </x:c>
      <x:c r="I625" s="14" t="n">
        <x:v>2023</x:v>
      </x:c>
      <x:c r="J625" s="14" t="str">
        <x:v>Future Carry-Forward Cohort</x:v>
      </x:c>
      <x:c r="K625" s="14" t="n">
        <x:v>2022</x:v>
      </x:c>
      <x:c r="L625" s="14" t="str">
        <x:v>Not inherited</x:v>
      </x:c>
      <x:c r="M625" s="15" t="n">
        <x:v>48</x:v>
      </x:c>
      <x:c r="N625" s="14" t="str">
        <x:v>Lisa Allen</x:v>
      </x:c>
      <x:c r="O625" s="14" t="str">
        <x:v>nm0020776</x:v>
      </x:c>
      <x:c r="P625" s="14" t="str">
        <x:v>Landlady</x:v>
      </x:c>
      <x:c r="Q625" s="15" t="n">
        <x:v>1</x:v>
      </x:c>
      <x:c r="R625" s="14" t="str">
        <x:v>2024</x:v>
      </x:c>
      <x:c r="S625" s="14" t="n">
        <x:v>2024</x:v>
      </x:c>
      <x:c r="T625" s="14" t="n">
        <x:v>2024</x:v>
      </x:c>
      <x:c r="U625" s="14" t="str">
        <x:v>Production assigned to future entry year</x:v>
      </x:c>
      <x:c r="V625" s="14" t="str">
        <x:v>Master register assigns production to 2023, not 2022.</x:v>
      </x:c>
      <x:c r="W625" s="14" t="str">
        <x:v>Annual source/master-register conflict</x:v>
      </x:c>
      <x:c r="X625" s="14" t="str">
        <x:v>Carried forward to 2024</x:v>
      </x:c>
      <x:c r="Y625" s="14"/>
      <x:c r="Z625" s="14" t="str">
        <x:v>Funny Woman.docx</x:v>
      </x:c>
      <x:c r="AA62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Sky / NOW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7" t="e">
        <x:f>HYPERLINK("https://en.wikipedia.org/wiki/Funny_Woman","Open source")</x:f>
        <x:v>HYPERLINK is not implemented. linkLocation=https://en.wikipedia.org/wiki/Funny_Woman, friendlyName=Open source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 t="str">
        <x:v>No established-register match</x:v>
      </x:c>
      <x:c r="AT625" s="14"/>
      <x:c r="AU625" s="14"/>
      <x:c r="AV625" s="14" t="str">
        <x:v>No established apparent-disability match</x:v>
      </x:c>
      <x:c r="AW625" s="14"/>
      <x:c r="AX625" s="14" t="str">
        <x:v>No</x:v>
      </x:c>
      <x:c r="AY625" s="14" t="str">
        <x:v>Unmatched</x:v>
      </x:c>
      <x:c r="AZ625" s="14" t="str">
        <x:v>Final supplied register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/>
      <x:c r="BP625" s="14" t="str">
        <x:v>Unable to calculate from supplied records.</x:v>
      </x:c>
      <x:c r="BQ625" s="14" t="str">
        <x:v>Unable to determine</x:v>
      </x:c>
      <x:c r="BR625" s="15" t="n">
        <x:v>1</x:v>
      </x:c>
      <x:c r="BS625" s="16"/>
      <x:c r="BT625" s="14" t="str">
        <x:v>Unable to calculate</x:v>
      </x:c>
      <x:c r="BU625" s="14" t="str">
        <x:v>Unable to determine</x:v>
      </x:c>
      <x:c r="BV625" s="14" t="str">
        <x:v>Episode count or production-total proxy unavailable.</x:v>
      </x:c>
      <x:c r="BW625" s="14" t="str">
        <x:v>Unable to determine</x:v>
      </x:c>
      <x:c r="BX625" s="14" t="str">
        <x:v>Cast-list and episode data do not establish narrative prominence.</x:v>
      </x:c>
      <x:c r="BY625" s="14" t="str">
        <x:v>Supplied IMDb cast-list workbook</x:v>
      </x:c>
      <x:c r="BZ62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tt15309272|nm1276507|colin curry</x:v>
      </x:c>
      <x:c r="B626" s="14" t="str">
        <x:v>08</x:v>
      </x:c>
      <x:c r="C626" s="14" t="str">
        <x:v>2022_IMDb_Cast_Lists_Batch_08(1).xlsx</x:v>
      </x:c>
      <x:c r="D626" s="14" t="str">
        <x:v>Funny Woman</x:v>
      </x:c>
      <x:c r="E626" s="14" t="n">
        <x:v>58</x:v>
      </x:c>
      <x:c r="F626" s="14" t="str">
        <x:v>Funny Woman</x:v>
      </x:c>
      <x:c r="G626" s="14" t="str">
        <x:v>tt15309272</x:v>
      </x:c>
      <x:c r="H626" s="14" t="n">
        <x:v>2023</x:v>
      </x:c>
      <x:c r="I626" s="14" t="n">
        <x:v>2023</x:v>
      </x:c>
      <x:c r="J626" s="14" t="str">
        <x:v>Future Carry-Forward Cohort</x:v>
      </x:c>
      <x:c r="K626" s="14" t="n">
        <x:v>2022</x:v>
      </x:c>
      <x:c r="L626" s="14" t="str">
        <x:v>Not inherited</x:v>
      </x:c>
      <x:c r="M626" s="15" t="n">
        <x:v>51</x:v>
      </x:c>
      <x:c r="N626" s="14" t="str">
        <x:v>Alex Macqueen</x:v>
      </x:c>
      <x:c r="O626" s="14" t="str">
        <x:v>nm1276507</x:v>
      </x:c>
      <x:c r="P626" s="14" t="str">
        <x:v>Colin Curry</x:v>
      </x:c>
      <x:c r="Q626" s="15" t="n">
        <x:v>1</x:v>
      </x:c>
      <x:c r="R626" s="14" t="str">
        <x:v>2024</x:v>
      </x:c>
      <x:c r="S626" s="14" t="n">
        <x:v>2024</x:v>
      </x:c>
      <x:c r="T626" s="14" t="n">
        <x:v>2024</x:v>
      </x:c>
      <x:c r="U626" s="14" t="str">
        <x:v>Production assigned to future entry year</x:v>
      </x:c>
      <x:c r="V626" s="14" t="str">
        <x:v>Master register assigns production to 2023, not 2022.</x:v>
      </x:c>
      <x:c r="W626" s="14" t="str">
        <x:v>Annual source/master-register conflict</x:v>
      </x:c>
      <x:c r="X626" s="14" t="str">
        <x:v>Carried forward to 2024</x:v>
      </x:c>
      <x:c r="Y626" s="14"/>
      <x:c r="Z626" s="14" t="str">
        <x:v>Funny Woman.docx</x:v>
      </x:c>
      <x:c r="AA62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Sky / NOW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7" t="e">
        <x:f>HYPERLINK("https://en.wikipedia.org/wiki/Funny_Woman","Open source")</x:f>
        <x:v>HYPERLINK is not implemented. linkLocation=https://en.wikipedia.org/wiki/Funny_Woman, friendlyName=Open source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 t="str">
        <x:v>No established-register match</x:v>
      </x:c>
      <x:c r="AT626" s="14"/>
      <x:c r="AU626" s="14"/>
      <x:c r="AV626" s="14" t="str">
        <x:v>No established apparent-disability match</x:v>
      </x:c>
      <x:c r="AW626" s="14"/>
      <x:c r="AX626" s="14" t="str">
        <x:v>No</x:v>
      </x:c>
      <x:c r="AY626" s="14" t="str">
        <x:v>Unmatched</x:v>
      </x:c>
      <x:c r="AZ626" s="14" t="str">
        <x:v>Final supplied register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/>
      <x:c r="BP626" s="14" t="str">
        <x:v>Unable to calculate from supplied records.</x:v>
      </x:c>
      <x:c r="BQ626" s="14" t="str">
        <x:v>Unable to determine</x:v>
      </x:c>
      <x:c r="BR626" s="15" t="n">
        <x:v>1</x:v>
      </x:c>
      <x:c r="BS626" s="16"/>
      <x:c r="BT626" s="14" t="str">
        <x:v>Unable to calculate</x:v>
      </x:c>
      <x:c r="BU626" s="14" t="str">
        <x:v>Unable to determine</x:v>
      </x:c>
      <x:c r="BV626" s="14" t="str">
        <x:v>Episode count or production-total proxy unavailable.</x:v>
      </x:c>
      <x:c r="BW626" s="14" t="str">
        <x:v>Unable to determine</x:v>
      </x:c>
      <x:c r="BX626" s="14" t="str">
        <x:v>Cast-list and episode data do not establish narrative prominence.</x:v>
      </x:c>
      <x:c r="BY626" s="14" t="str">
        <x:v>Supplied IMDb cast-list workbook</x:v>
      </x:c>
      <x:c r="BZ62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tt15309272|nm5628404|gentleman</x:v>
      </x:c>
      <x:c r="B627" s="14" t="str">
        <x:v>08</x:v>
      </x:c>
      <x:c r="C627" s="14" t="str">
        <x:v>2022_IMDb_Cast_Lists_Batch_08(1).xlsx</x:v>
      </x:c>
      <x:c r="D627" s="14" t="str">
        <x:v>Funny Woman</x:v>
      </x:c>
      <x:c r="E627" s="14" t="n">
        <x:v>59</x:v>
      </x:c>
      <x:c r="F627" s="14" t="str">
        <x:v>Funny Woman</x:v>
      </x:c>
      <x:c r="G627" s="14" t="str">
        <x:v>tt15309272</x:v>
      </x:c>
      <x:c r="H627" s="14" t="n">
        <x:v>2023</x:v>
      </x:c>
      <x:c r="I627" s="14" t="n">
        <x:v>2023</x:v>
      </x:c>
      <x:c r="J627" s="14" t="str">
        <x:v>Future Carry-Forward Cohort</x:v>
      </x:c>
      <x:c r="K627" s="14" t="n">
        <x:v>2022</x:v>
      </x:c>
      <x:c r="L627" s="14" t="str">
        <x:v>Not inherited</x:v>
      </x:c>
      <x:c r="M627" s="15" t="n">
        <x:v>52</x:v>
      </x:c>
      <x:c r="N627" s="14" t="str">
        <x:v>Oliver Devoti</x:v>
      </x:c>
      <x:c r="O627" s="14" t="str">
        <x:v>nm5628404</x:v>
      </x:c>
      <x:c r="P627" s="14" t="str">
        <x:v>Gentleman</x:v>
      </x:c>
      <x:c r="Q627" s="15" t="n">
        <x:v>1</x:v>
      </x:c>
      <x:c r="R627" s="14" t="str">
        <x:v>2024</x:v>
      </x:c>
      <x:c r="S627" s="14" t="n">
        <x:v>2024</x:v>
      </x:c>
      <x:c r="T627" s="14" t="n">
        <x:v>2024</x:v>
      </x:c>
      <x:c r="U627" s="14" t="str">
        <x:v>Production assigned to future entry year</x:v>
      </x:c>
      <x:c r="V627" s="14" t="str">
        <x:v>Master register assigns production to 2023, not 2022.</x:v>
      </x:c>
      <x:c r="W627" s="14" t="str">
        <x:v>Annual source/master-register conflict</x:v>
      </x:c>
      <x:c r="X627" s="14" t="str">
        <x:v>Carried forward to 2024</x:v>
      </x:c>
      <x:c r="Y627" s="14" t="str">
        <x:v>(as Oliver John Devoti)</x:v>
      </x:c>
      <x:c r="Z627" s="14" t="str">
        <x:v>Funny Woman.docx</x:v>
      </x:c>
      <x:c r="AA62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Sky / NOW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7" t="e">
        <x:f>HYPERLINK("https://en.wikipedia.org/wiki/Funny_Woman","Open source")</x:f>
        <x:v>HYPERLINK is not implemented. linkLocation=https://en.wikipedia.org/wiki/Funny_Woman, friendlyName=Open source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 t="str">
        <x:v>No established-register match</x:v>
      </x:c>
      <x:c r="AT627" s="14"/>
      <x:c r="AU627" s="14"/>
      <x:c r="AV627" s="14" t="str">
        <x:v>No established apparent-disability match</x:v>
      </x:c>
      <x:c r="AW627" s="14"/>
      <x:c r="AX627" s="14" t="str">
        <x:v>No</x:v>
      </x:c>
      <x:c r="AY627" s="14" t="str">
        <x:v>Unmatched</x:v>
      </x:c>
      <x:c r="AZ627" s="14" t="str">
        <x:v>Final supplied register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/>
      <x:c r="BP627" s="14" t="str">
        <x:v>Unable to calculate from supplied records.</x:v>
      </x:c>
      <x:c r="BQ627" s="14" t="str">
        <x:v>Unable to determine</x:v>
      </x:c>
      <x:c r="BR627" s="15" t="n">
        <x:v>1</x:v>
      </x:c>
      <x:c r="BS627" s="16"/>
      <x:c r="BT627" s="14" t="str">
        <x:v>Unable to calculate</x:v>
      </x:c>
      <x:c r="BU627" s="14" t="str">
        <x:v>Unable to determine</x:v>
      </x:c>
      <x:c r="BV627" s="14" t="str">
        <x:v>Episode count or production-total proxy unavailable.</x:v>
      </x:c>
      <x:c r="BW627" s="14" t="str">
        <x:v>Unable to determine</x:v>
      </x:c>
      <x:c r="BX627" s="14" t="str">
        <x:v>Cast-list and episode data do not establish narrative prominence.</x:v>
      </x:c>
      <x:c r="BY627" s="14" t="str">
        <x:v>Supplied IMDb cast-list workbook</x:v>
      </x:c>
      <x:c r="BZ62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tt15309272|nm7326710|mr. edwards</x:v>
      </x:c>
      <x:c r="B628" s="14" t="str">
        <x:v>08</x:v>
      </x:c>
      <x:c r="C628" s="14" t="str">
        <x:v>2022_IMDb_Cast_Lists_Batch_08(1).xlsx</x:v>
      </x:c>
      <x:c r="D628" s="14" t="str">
        <x:v>Funny Woman</x:v>
      </x:c>
      <x:c r="E628" s="14" t="n">
        <x:v>60</x:v>
      </x:c>
      <x:c r="F628" s="14" t="str">
        <x:v>Funny Woman</x:v>
      </x:c>
      <x:c r="G628" s="14" t="str">
        <x:v>tt15309272</x:v>
      </x:c>
      <x:c r="H628" s="14" t="n">
        <x:v>2023</x:v>
      </x:c>
      <x:c r="I628" s="14" t="n">
        <x:v>2023</x:v>
      </x:c>
      <x:c r="J628" s="14" t="str">
        <x:v>Future Carry-Forward Cohort</x:v>
      </x:c>
      <x:c r="K628" s="14" t="n">
        <x:v>2022</x:v>
      </x:c>
      <x:c r="L628" s="14" t="str">
        <x:v>Not inherited</x:v>
      </x:c>
      <x:c r="M628" s="15" t="n">
        <x:v>53</x:v>
      </x:c>
      <x:c r="N628" s="14" t="str">
        <x:v>Guy Slocombe</x:v>
      </x:c>
      <x:c r="O628" s="14" t="str">
        <x:v>nm7326710</x:v>
      </x:c>
      <x:c r="P628" s="14" t="str">
        <x:v>Mr. Edwards</x:v>
      </x:c>
      <x:c r="Q628" s="15" t="n">
        <x:v>1</x:v>
      </x:c>
      <x:c r="R628" s="14" t="str">
        <x:v>2024</x:v>
      </x:c>
      <x:c r="S628" s="14" t="n">
        <x:v>2024</x:v>
      </x:c>
      <x:c r="T628" s="14" t="n">
        <x:v>2024</x:v>
      </x:c>
      <x:c r="U628" s="14" t="str">
        <x:v>Production assigned to future entry year</x:v>
      </x:c>
      <x:c r="V628" s="14" t="str">
        <x:v>Master register assigns production to 2023, not 2022.</x:v>
      </x:c>
      <x:c r="W628" s="14" t="str">
        <x:v>Annual source/master-register conflict</x:v>
      </x:c>
      <x:c r="X628" s="14" t="str">
        <x:v>Carried forward to 2024</x:v>
      </x:c>
      <x:c r="Y628" s="14"/>
      <x:c r="Z628" s="14" t="str">
        <x:v>Funny Woman.docx</x:v>
      </x:c>
      <x:c r="AA62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Sky / NOW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7" t="e">
        <x:f>HYPERLINK("https://en.wikipedia.org/wiki/Funny_Woman","Open source")</x:f>
        <x:v>HYPERLINK is not implemented. linkLocation=https://en.wikipedia.org/wiki/Funny_Woman, friendlyName=Open source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 t="str">
        <x:v>No established-register match</x:v>
      </x:c>
      <x:c r="AT628" s="14"/>
      <x:c r="AU628" s="14"/>
      <x:c r="AV628" s="14" t="str">
        <x:v>No established apparent-disability match</x:v>
      </x:c>
      <x:c r="AW628" s="14"/>
      <x:c r="AX628" s="14" t="str">
        <x:v>No</x:v>
      </x:c>
      <x:c r="AY628" s="14" t="str">
        <x:v>Unmatched</x:v>
      </x:c>
      <x:c r="AZ628" s="14" t="str">
        <x:v>Final supplied register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/>
      <x:c r="BP628" s="14" t="str">
        <x:v>Unable to calculate from supplied records.</x:v>
      </x:c>
      <x:c r="BQ628" s="14" t="str">
        <x:v>Unable to determine</x:v>
      </x:c>
      <x:c r="BR628" s="15" t="n">
        <x:v>1</x:v>
      </x:c>
      <x:c r="BS628" s="16"/>
      <x:c r="BT628" s="14" t="str">
        <x:v>Unable to calculate</x:v>
      </x:c>
      <x:c r="BU628" s="14" t="str">
        <x:v>Unable to determine</x:v>
      </x:c>
      <x:c r="BV628" s="14" t="str">
        <x:v>Episode count or production-total proxy unavailable.</x:v>
      </x:c>
      <x:c r="BW628" s="14" t="str">
        <x:v>Unable to determine</x:v>
      </x:c>
      <x:c r="BX628" s="14" t="str">
        <x:v>Cast-list and episode data do not establish narrative prominence.</x:v>
      </x:c>
      <x:c r="BY628" s="14" t="str">
        <x:v>Supplied IMDb cast-list workbook</x:v>
      </x:c>
      <x:c r="BZ62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tt15309272|nm1941093|les lanagan</x:v>
      </x:c>
      <x:c r="B629" s="14" t="str">
        <x:v>08</x:v>
      </x:c>
      <x:c r="C629" s="14" t="str">
        <x:v>2022_IMDb_Cast_Lists_Batch_08(1).xlsx</x:v>
      </x:c>
      <x:c r="D629" s="14" t="str">
        <x:v>Funny Woman</x:v>
      </x:c>
      <x:c r="E629" s="14" t="n">
        <x:v>64</x:v>
      </x:c>
      <x:c r="F629" s="14" t="str">
        <x:v>Funny Woman</x:v>
      </x:c>
      <x:c r="G629" s="14" t="str">
        <x:v>tt15309272</x:v>
      </x:c>
      <x:c r="H629" s="14" t="n">
        <x:v>2023</x:v>
      </x:c>
      <x:c r="I629" s="14" t="n">
        <x:v>2023</x:v>
      </x:c>
      <x:c r="J629" s="14" t="str">
        <x:v>Future Carry-Forward Cohort</x:v>
      </x:c>
      <x:c r="K629" s="14" t="n">
        <x:v>2022</x:v>
      </x:c>
      <x:c r="L629" s="14" t="str">
        <x:v>Not inherited</x:v>
      </x:c>
      <x:c r="M629" s="15" t="n">
        <x:v>57</x:v>
      </x:c>
      <x:c r="N629" s="14" t="str">
        <x:v>Ben Willbond</x:v>
      </x:c>
      <x:c r="O629" s="14" t="str">
        <x:v>nm1941093</x:v>
      </x:c>
      <x:c r="P629" s="14" t="str">
        <x:v>Les Lanagan</x:v>
      </x:c>
      <x:c r="Q629" s="15" t="n">
        <x:v>1</x:v>
      </x:c>
      <x:c r="R629" s="14" t="str">
        <x:v>2024</x:v>
      </x:c>
      <x:c r="S629" s="14" t="n">
        <x:v>2024</x:v>
      </x:c>
      <x:c r="T629" s="14" t="n">
        <x:v>2024</x:v>
      </x:c>
      <x:c r="U629" s="14" t="str">
        <x:v>Production assigned to future entry year</x:v>
      </x:c>
      <x:c r="V629" s="14" t="str">
        <x:v>Master register assigns production to 2023, not 2022.</x:v>
      </x:c>
      <x:c r="W629" s="14" t="str">
        <x:v>Annual source/master-register conflict</x:v>
      </x:c>
      <x:c r="X629" s="14" t="str">
        <x:v>Carried forward to 2024</x:v>
      </x:c>
      <x:c r="Y629" s="14"/>
      <x:c r="Z629" s="14" t="str">
        <x:v>Funny Woman.docx</x:v>
      </x:c>
      <x:c r="AA62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Sky / NOW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7" t="e">
        <x:f>HYPERLINK("https://en.wikipedia.org/wiki/Funny_Woman","Open source")</x:f>
        <x:v>HYPERLINK is not implemented. linkLocation=https://en.wikipedia.org/wiki/Funny_Woman, friendlyName=Open source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 t="str">
        <x:v>No established-register match</x:v>
      </x:c>
      <x:c r="AT629" s="14"/>
      <x:c r="AU629" s="14"/>
      <x:c r="AV629" s="14" t="str">
        <x:v>No established apparent-disability match</x:v>
      </x:c>
      <x:c r="AW629" s="14"/>
      <x:c r="AX629" s="14" t="str">
        <x:v>No</x:v>
      </x:c>
      <x:c r="AY629" s="14" t="str">
        <x:v>Unmatched</x:v>
      </x:c>
      <x:c r="AZ629" s="14" t="str">
        <x:v>Final supplied register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/>
      <x:c r="BP629" s="14" t="str">
        <x:v>Unable to calculate from supplied records.</x:v>
      </x:c>
      <x:c r="BQ629" s="14" t="str">
        <x:v>Unable to determine</x:v>
      </x:c>
      <x:c r="BR629" s="15" t="n">
        <x:v>1</x:v>
      </x:c>
      <x:c r="BS629" s="16"/>
      <x:c r="BT629" s="14" t="str">
        <x:v>Unable to calculate</x:v>
      </x:c>
      <x:c r="BU629" s="14" t="str">
        <x:v>Unable to determine</x:v>
      </x:c>
      <x:c r="BV629" s="14" t="str">
        <x:v>Episode count or production-total proxy unavailable.</x:v>
      </x:c>
      <x:c r="BW629" s="14" t="str">
        <x:v>Unable to determine</x:v>
      </x:c>
      <x:c r="BX629" s="14" t="str">
        <x:v>Cast-list and episode data do not establish narrative prominence.</x:v>
      </x:c>
      <x:c r="BY629" s="14" t="str">
        <x:v>Supplied IMDb cast-list workbook</x:v>
      </x:c>
      <x:c r="BZ62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tt15309272|nm8714389|nathan</x:v>
      </x:c>
      <x:c r="B630" s="14" t="str">
        <x:v>08</x:v>
      </x:c>
      <x:c r="C630" s="14" t="str">
        <x:v>2022_IMDb_Cast_Lists_Batch_08(1).xlsx</x:v>
      </x:c>
      <x:c r="D630" s="14" t="str">
        <x:v>Funny Woman</x:v>
      </x:c>
      <x:c r="E630" s="14" t="n">
        <x:v>65</x:v>
      </x:c>
      <x:c r="F630" s="14" t="str">
        <x:v>Funny Woman</x:v>
      </x:c>
      <x:c r="G630" s="14" t="str">
        <x:v>tt15309272</x:v>
      </x:c>
      <x:c r="H630" s="14" t="n">
        <x:v>2023</x:v>
      </x:c>
      <x:c r="I630" s="14" t="n">
        <x:v>2023</x:v>
      </x:c>
      <x:c r="J630" s="14" t="str">
        <x:v>Future Carry-Forward Cohort</x:v>
      </x:c>
      <x:c r="K630" s="14" t="n">
        <x:v>2022</x:v>
      </x:c>
      <x:c r="L630" s="14" t="str">
        <x:v>Not inherited</x:v>
      </x:c>
      <x:c r="M630" s="15" t="n">
        <x:v>58</x:v>
      </x:c>
      <x:c r="N630" s="14" t="str">
        <x:v>Curt Faulkner</x:v>
      </x:c>
      <x:c r="O630" s="14" t="str">
        <x:v>nm8714389</x:v>
      </x:c>
      <x:c r="P630" s="14" t="str">
        <x:v>Nathan</x:v>
      </x:c>
      <x:c r="Q630" s="15" t="n">
        <x:v>1</x:v>
      </x:c>
      <x:c r="R630" s="14" t="str">
        <x:v>2024</x:v>
      </x:c>
      <x:c r="S630" s="14" t="n">
        <x:v>2024</x:v>
      </x:c>
      <x:c r="T630" s="14" t="n">
        <x:v>2024</x:v>
      </x:c>
      <x:c r="U630" s="14" t="str">
        <x:v>Production assigned to future entry year</x:v>
      </x:c>
      <x:c r="V630" s="14" t="str">
        <x:v>Master register assigns production to 2023, not 2022.</x:v>
      </x:c>
      <x:c r="W630" s="14" t="str">
        <x:v>Annual source/master-register conflict</x:v>
      </x:c>
      <x:c r="X630" s="14" t="str">
        <x:v>Carried forward to 2024</x:v>
      </x:c>
      <x:c r="Y630" s="14"/>
      <x:c r="Z630" s="14" t="str">
        <x:v>Funny Woman.docx</x:v>
      </x:c>
      <x:c r="AA63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Sky / NOW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7" t="e">
        <x:f>HYPERLINK("https://en.wikipedia.org/wiki/Funny_Woman","Open source")</x:f>
        <x:v>HYPERLINK is not implemented. linkLocation=https://en.wikipedia.org/wiki/Funny_Woman, friendlyName=Open source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 t="str">
        <x:v>No established-register match</x:v>
      </x:c>
      <x:c r="AT630" s="14"/>
      <x:c r="AU630" s="14"/>
      <x:c r="AV630" s="14" t="str">
        <x:v>No established apparent-disability match</x:v>
      </x:c>
      <x:c r="AW630" s="14"/>
      <x:c r="AX630" s="14" t="str">
        <x:v>No</x:v>
      </x:c>
      <x:c r="AY630" s="14" t="str">
        <x:v>Unmatched</x:v>
      </x:c>
      <x:c r="AZ630" s="14" t="str">
        <x:v>Final supplied register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/>
      <x:c r="BP630" s="14" t="str">
        <x:v>Unable to calculate from supplied records.</x:v>
      </x:c>
      <x:c r="BQ630" s="14" t="str">
        <x:v>Unable to determine</x:v>
      </x:c>
      <x:c r="BR630" s="15" t="n">
        <x:v>1</x:v>
      </x:c>
      <x:c r="BS630" s="16"/>
      <x:c r="BT630" s="14" t="str">
        <x:v>Unable to calculate</x:v>
      </x:c>
      <x:c r="BU630" s="14" t="str">
        <x:v>Unable to determine</x:v>
      </x:c>
      <x:c r="BV630" s="14" t="str">
        <x:v>Episode count or production-total proxy unavailable.</x:v>
      </x:c>
      <x:c r="BW630" s="14" t="str">
        <x:v>Unable to determine</x:v>
      </x:c>
      <x:c r="BX630" s="14" t="str">
        <x:v>Cast-list and episode data do not establish narrative prominence.</x:v>
      </x:c>
      <x:c r="BY630" s="14" t="str">
        <x:v>Supplied IMDb cast-list workbook</x:v>
      </x:c>
      <x:c r="BZ63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tt15309272|nm16942508|arresting officer crane</x:v>
      </x:c>
      <x:c r="B631" s="14" t="str">
        <x:v>08</x:v>
      </x:c>
      <x:c r="C631" s="14" t="str">
        <x:v>2022_IMDb_Cast_Lists_Batch_08(1).xlsx</x:v>
      </x:c>
      <x:c r="D631" s="14" t="str">
        <x:v>Funny Woman</x:v>
      </x:c>
      <x:c r="E631" s="14" t="n">
        <x:v>66</x:v>
      </x:c>
      <x:c r="F631" s="14" t="str">
        <x:v>Funny Woman</x:v>
      </x:c>
      <x:c r="G631" s="14" t="str">
        <x:v>tt15309272</x:v>
      </x:c>
      <x:c r="H631" s="14" t="n">
        <x:v>2023</x:v>
      </x:c>
      <x:c r="I631" s="14" t="n">
        <x:v>2023</x:v>
      </x:c>
      <x:c r="J631" s="14" t="str">
        <x:v>Future Carry-Forward Cohort</x:v>
      </x:c>
      <x:c r="K631" s="14" t="n">
        <x:v>2022</x:v>
      </x:c>
      <x:c r="L631" s="14" t="str">
        <x:v>Not inherited</x:v>
      </x:c>
      <x:c r="M631" s="15" t="n">
        <x:v>59</x:v>
      </x:c>
      <x:c r="N631" s="14" t="str">
        <x:v>Michael Parker</x:v>
      </x:c>
      <x:c r="O631" s="14" t="str">
        <x:v>nm16942508</x:v>
      </x:c>
      <x:c r="P631" s="14" t="str">
        <x:v>Arresting Officer Crane</x:v>
      </x:c>
      <x:c r="Q631" s="15" t="n">
        <x:v>1</x:v>
      </x:c>
      <x:c r="R631" s="14" t="str">
        <x:v>2024</x:v>
      </x:c>
      <x:c r="S631" s="14" t="n">
        <x:v>2024</x:v>
      </x:c>
      <x:c r="T631" s="14" t="n">
        <x:v>2024</x:v>
      </x:c>
      <x:c r="U631" s="14" t="str">
        <x:v>Production assigned to future entry year</x:v>
      </x:c>
      <x:c r="V631" s="14" t="str">
        <x:v>Master register assigns production to 2023, not 2022.</x:v>
      </x:c>
      <x:c r="W631" s="14" t="str">
        <x:v>Annual source/master-register conflict</x:v>
      </x:c>
      <x:c r="X631" s="14" t="str">
        <x:v>Carried forward to 2024</x:v>
      </x:c>
      <x:c r="Y631" s="14"/>
      <x:c r="Z631" s="14" t="str">
        <x:v>Funny Woman.docx</x:v>
      </x:c>
      <x:c r="AA63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Sky / NOW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7" t="e">
        <x:f>HYPERLINK("https://en.wikipedia.org/wiki/Funny_Woman","Open source")</x:f>
        <x:v>HYPERLINK is not implemented. linkLocation=https://en.wikipedia.org/wiki/Funny_Woman, friendlyName=Open source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 t="str">
        <x:v>No established-register match</x:v>
      </x:c>
      <x:c r="AT631" s="14"/>
      <x:c r="AU631" s="14"/>
      <x:c r="AV631" s="14" t="str">
        <x:v>No established apparent-disability match</x:v>
      </x:c>
      <x:c r="AW631" s="14"/>
      <x:c r="AX631" s="14" t="str">
        <x:v>No</x:v>
      </x:c>
      <x:c r="AY631" s="14" t="str">
        <x:v>Unmatched</x:v>
      </x:c>
      <x:c r="AZ631" s="14" t="str">
        <x:v>Final supplied register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/>
      <x:c r="BP631" s="14" t="str">
        <x:v>Unable to calculate from supplied records.</x:v>
      </x:c>
      <x:c r="BQ631" s="14" t="str">
        <x:v>Unable to determine</x:v>
      </x:c>
      <x:c r="BR631" s="15" t="n">
        <x:v>1</x:v>
      </x:c>
      <x:c r="BS631" s="16"/>
      <x:c r="BT631" s="14" t="str">
        <x:v>Unable to calculate</x:v>
      </x:c>
      <x:c r="BU631" s="14" t="str">
        <x:v>Unable to determine</x:v>
      </x:c>
      <x:c r="BV631" s="14" t="str">
        <x:v>Episode count or production-total proxy unavailable.</x:v>
      </x:c>
      <x:c r="BW631" s="14" t="str">
        <x:v>Unable to determine</x:v>
      </x:c>
      <x:c r="BX631" s="14" t="str">
        <x:v>Cast-list and episode data do not establish narrative prominence.</x:v>
      </x:c>
      <x:c r="BY631" s="14" t="str">
        <x:v>Supplied IMDb cast-list workbook</x:v>
      </x:c>
      <x:c r="BZ63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tt15309272|nm2764713|jeremy</x:v>
      </x:c>
      <x:c r="B632" s="14" t="str">
        <x:v>08</x:v>
      </x:c>
      <x:c r="C632" s="14" t="str">
        <x:v>2022_IMDb_Cast_Lists_Batch_08(1).xlsx</x:v>
      </x:c>
      <x:c r="D632" s="14" t="str">
        <x:v>Funny Woman</x:v>
      </x:c>
      <x:c r="E632" s="14" t="n">
        <x:v>74</x:v>
      </x:c>
      <x:c r="F632" s="14" t="str">
        <x:v>Funny Woman</x:v>
      </x:c>
      <x:c r="G632" s="14" t="str">
        <x:v>tt15309272</x:v>
      </x:c>
      <x:c r="H632" s="14" t="n">
        <x:v>2023</x:v>
      </x:c>
      <x:c r="I632" s="14" t="n">
        <x:v>2023</x:v>
      </x:c>
      <x:c r="J632" s="14" t="str">
        <x:v>Future Carry-Forward Cohort</x:v>
      </x:c>
      <x:c r="K632" s="14" t="n">
        <x:v>2022</x:v>
      </x:c>
      <x:c r="L632" s="14" t="str">
        <x:v>Not inherited</x:v>
      </x:c>
      <x:c r="M632" s="15" t="n">
        <x:v>67</x:v>
      </x:c>
      <x:c r="N632" s="14" t="str">
        <x:v>Tim Key</x:v>
      </x:c>
      <x:c r="O632" s="14" t="str">
        <x:v>nm2764713</x:v>
      </x:c>
      <x:c r="P632" s="14" t="str">
        <x:v>Jeremy</x:v>
      </x:c>
      <x:c r="Q632" s="15" t="n">
        <x:v>1</x:v>
      </x:c>
      <x:c r="R632" s="14" t="str">
        <x:v>2024</x:v>
      </x:c>
      <x:c r="S632" s="14" t="n">
        <x:v>2024</x:v>
      </x:c>
      <x:c r="T632" s="14" t="n">
        <x:v>2024</x:v>
      </x:c>
      <x:c r="U632" s="14" t="str">
        <x:v>Production assigned to future entry year</x:v>
      </x:c>
      <x:c r="V632" s="14" t="str">
        <x:v>Master register assigns production to 2023, not 2022.</x:v>
      </x:c>
      <x:c r="W632" s="14" t="str">
        <x:v>Annual source/master-register conflict</x:v>
      </x:c>
      <x:c r="X632" s="14" t="str">
        <x:v>Carried forward to 2024</x:v>
      </x:c>
      <x:c r="Y632" s="14"/>
      <x:c r="Z632" s="14" t="str">
        <x:v>Funny Woman.docx</x:v>
      </x:c>
      <x:c r="AA63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Sky / NOW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7" t="e">
        <x:f>HYPERLINK("https://en.wikipedia.org/wiki/Funny_Woman","Open source")</x:f>
        <x:v>HYPERLINK is not implemented. linkLocation=https://en.wikipedia.org/wiki/Funny_Woman, friendlyName=Open source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 t="str">
        <x:v>No established-register match</x:v>
      </x:c>
      <x:c r="AT632" s="14"/>
      <x:c r="AU632" s="14"/>
      <x:c r="AV632" s="14" t="str">
        <x:v>No established apparent-disability match</x:v>
      </x:c>
      <x:c r="AW632" s="14"/>
      <x:c r="AX632" s="14" t="str">
        <x:v>No</x:v>
      </x:c>
      <x:c r="AY632" s="14" t="str">
        <x:v>Unmatched</x:v>
      </x:c>
      <x:c r="AZ632" s="14" t="str">
        <x:v>Final supplied register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/>
      <x:c r="BP632" s="14" t="str">
        <x:v>Unable to calculate from supplied records.</x:v>
      </x:c>
      <x:c r="BQ632" s="14" t="str">
        <x:v>Unable to determine</x:v>
      </x:c>
      <x:c r="BR632" s="15" t="n">
        <x:v>1</x:v>
      </x:c>
      <x:c r="BS632" s="16"/>
      <x:c r="BT632" s="14" t="str">
        <x:v>Unable to calculate</x:v>
      </x:c>
      <x:c r="BU632" s="14" t="str">
        <x:v>Unable to determine</x:v>
      </x:c>
      <x:c r="BV632" s="14" t="str">
        <x:v>Episode count or production-total proxy unavailable.</x:v>
      </x:c>
      <x:c r="BW632" s="14" t="str">
        <x:v>Unable to determine</x:v>
      </x:c>
      <x:c r="BX632" s="14" t="str">
        <x:v>Cast-list and episode data do not establish narrative prominence.</x:v>
      </x:c>
      <x:c r="BY632" s="14" t="str">
        <x:v>Supplied IMDb cast-list workbook</x:v>
      </x:c>
      <x:c r="BZ63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tt15309272|nm11398578|makeup artist</x:v>
      </x:c>
      <x:c r="B633" s="14" t="str">
        <x:v>08</x:v>
      </x:c>
      <x:c r="C633" s="14" t="str">
        <x:v>2022_IMDb_Cast_Lists_Batch_08(1).xlsx</x:v>
      </x:c>
      <x:c r="D633" s="14" t="str">
        <x:v>Funny Woman</x:v>
      </x:c>
      <x:c r="E633" s="14" t="n">
        <x:v>75</x:v>
      </x:c>
      <x:c r="F633" s="14" t="str">
        <x:v>Funny Woman</x:v>
      </x:c>
      <x:c r="G633" s="14" t="str">
        <x:v>tt15309272</x:v>
      </x:c>
      <x:c r="H633" s="14" t="n">
        <x:v>2023</x:v>
      </x:c>
      <x:c r="I633" s="14" t="n">
        <x:v>2023</x:v>
      </x:c>
      <x:c r="J633" s="14" t="str">
        <x:v>Future Carry-Forward Cohort</x:v>
      </x:c>
      <x:c r="K633" s="14" t="n">
        <x:v>2022</x:v>
      </x:c>
      <x:c r="L633" s="14" t="str">
        <x:v>Not inherited</x:v>
      </x:c>
      <x:c r="M633" s="15" t="n">
        <x:v>68</x:v>
      </x:c>
      <x:c r="N633" s="14" t="str">
        <x:v>Holly Maguire</x:v>
      </x:c>
      <x:c r="O633" s="14" t="str">
        <x:v>nm11398578</x:v>
      </x:c>
      <x:c r="P633" s="14" t="str">
        <x:v>Makeup Artist</x:v>
      </x:c>
      <x:c r="Q633" s="15" t="n">
        <x:v>1</x:v>
      </x:c>
      <x:c r="R633" s="14" t="str">
        <x:v>2024</x:v>
      </x:c>
      <x:c r="S633" s="14" t="n">
        <x:v>2024</x:v>
      </x:c>
      <x:c r="T633" s="14" t="n">
        <x:v>2024</x:v>
      </x:c>
      <x:c r="U633" s="14" t="str">
        <x:v>Production assigned to future entry year</x:v>
      </x:c>
      <x:c r="V633" s="14" t="str">
        <x:v>Master register assigns production to 2023, not 2022.</x:v>
      </x:c>
      <x:c r="W633" s="14" t="str">
        <x:v>Annual source/master-register conflict</x:v>
      </x:c>
      <x:c r="X633" s="14" t="str">
        <x:v>Carried forward to 2024</x:v>
      </x:c>
      <x:c r="Y633" s="14"/>
      <x:c r="Z633" s="14" t="str">
        <x:v>Funny Woman.docx</x:v>
      </x:c>
      <x:c r="AA63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Sky / NOW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7" t="e">
        <x:f>HYPERLINK("https://en.wikipedia.org/wiki/Funny_Woman","Open source")</x:f>
        <x:v>HYPERLINK is not implemented. linkLocation=https://en.wikipedia.org/wiki/Funny_Woman, friendlyName=Open source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 t="str">
        <x:v>No established-register match</x:v>
      </x:c>
      <x:c r="AT633" s="14"/>
      <x:c r="AU633" s="14"/>
      <x:c r="AV633" s="14" t="str">
        <x:v>No established apparent-disability match</x:v>
      </x:c>
      <x:c r="AW633" s="14"/>
      <x:c r="AX633" s="14" t="str">
        <x:v>No</x:v>
      </x:c>
      <x:c r="AY633" s="14" t="str">
        <x:v>Unmatched</x:v>
      </x:c>
      <x:c r="AZ633" s="14" t="str">
        <x:v>Final supplied register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/>
      <x:c r="BP633" s="14" t="str">
        <x:v>Unable to calculate from supplied records.</x:v>
      </x:c>
      <x:c r="BQ633" s="14" t="str">
        <x:v>Unable to determine</x:v>
      </x:c>
      <x:c r="BR633" s="15" t="n">
        <x:v>1</x:v>
      </x:c>
      <x:c r="BS633" s="16"/>
      <x:c r="BT633" s="14" t="str">
        <x:v>Unable to calculate</x:v>
      </x:c>
      <x:c r="BU633" s="14" t="str">
        <x:v>Unable to determine</x:v>
      </x:c>
      <x:c r="BV633" s="14" t="str">
        <x:v>Episode count or production-total proxy unavailable.</x:v>
      </x:c>
      <x:c r="BW633" s="14" t="str">
        <x:v>Unable to determine</x:v>
      </x:c>
      <x:c r="BX633" s="14" t="str">
        <x:v>Cast-list and episode data do not establish narrative prominence.</x:v>
      </x:c>
      <x:c r="BY633" s="14" t="str">
        <x:v>Supplied IMDb cast-list workbook</x:v>
      </x:c>
      <x:c r="BZ63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tt15309272|nm2580267|bishop of barnstable</x:v>
      </x:c>
      <x:c r="B634" s="14" t="str">
        <x:v>08</x:v>
      </x:c>
      <x:c r="C634" s="14" t="str">
        <x:v>2022_IMDb_Cast_Lists_Batch_08(1).xlsx</x:v>
      </x:c>
      <x:c r="D634" s="14" t="str">
        <x:v>Funny Woman</x:v>
      </x:c>
      <x:c r="E634" s="14" t="n">
        <x:v>78</x:v>
      </x:c>
      <x:c r="F634" s="14" t="str">
        <x:v>Funny Woman</x:v>
      </x:c>
      <x:c r="G634" s="14" t="str">
        <x:v>tt15309272</x:v>
      </x:c>
      <x:c r="H634" s="14" t="n">
        <x:v>2023</x:v>
      </x:c>
      <x:c r="I634" s="14" t="n">
        <x:v>2023</x:v>
      </x:c>
      <x:c r="J634" s="14" t="str">
        <x:v>Future Carry-Forward Cohort</x:v>
      </x:c>
      <x:c r="K634" s="14" t="n">
        <x:v>2022</x:v>
      </x:c>
      <x:c r="L634" s="14" t="str">
        <x:v>Not inherited</x:v>
      </x:c>
      <x:c r="M634" s="15" t="n">
        <x:v>71</x:v>
      </x:c>
      <x:c r="N634" s="14" t="str">
        <x:v>Hamish Gray</x:v>
      </x:c>
      <x:c r="O634" s="14" t="str">
        <x:v>nm2580267</x:v>
      </x:c>
      <x:c r="P634" s="14" t="str">
        <x:v>Bishop of Barnstable</x:v>
      </x:c>
      <x:c r="Q634" s="15" t="n">
        <x:v>1</x:v>
      </x:c>
      <x:c r="R634" s="14" t="str">
        <x:v>2024</x:v>
      </x:c>
      <x:c r="S634" s="14" t="n">
        <x:v>2024</x:v>
      </x:c>
      <x:c r="T634" s="14" t="n">
        <x:v>2024</x:v>
      </x:c>
      <x:c r="U634" s="14" t="str">
        <x:v>Production assigned to future entry year</x:v>
      </x:c>
      <x:c r="V634" s="14" t="str">
        <x:v>Master register assigns production to 2023, not 2022.</x:v>
      </x:c>
      <x:c r="W634" s="14" t="str">
        <x:v>Annual source/master-register conflict</x:v>
      </x:c>
      <x:c r="X634" s="14" t="str">
        <x:v>Carried forward to 2024</x:v>
      </x:c>
      <x:c r="Y634" s="14"/>
      <x:c r="Z634" s="14" t="str">
        <x:v>Funny Woman.docx</x:v>
      </x:c>
      <x:c r="AA63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Sky / NOW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7" t="e">
        <x:f>HYPERLINK("https://en.wikipedia.org/wiki/Funny_Woman","Open source")</x:f>
        <x:v>HYPERLINK is not implemented. linkLocation=https://en.wikipedia.org/wiki/Funny_Woman, friendlyName=Open source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 t="str">
        <x:v>No established-register match</x:v>
      </x:c>
      <x:c r="AT634" s="14"/>
      <x:c r="AU634" s="14"/>
      <x:c r="AV634" s="14" t="str">
        <x:v>No established apparent-disability match</x:v>
      </x:c>
      <x:c r="AW634" s="14"/>
      <x:c r="AX634" s="14" t="str">
        <x:v>No</x:v>
      </x:c>
      <x:c r="AY634" s="14" t="str">
        <x:v>Unmatched</x:v>
      </x:c>
      <x:c r="AZ634" s="14" t="str">
        <x:v>Final supplied register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/>
      <x:c r="BP634" s="14" t="str">
        <x:v>Unable to calculate from supplied records.</x:v>
      </x:c>
      <x:c r="BQ634" s="14" t="str">
        <x:v>Unable to determine</x:v>
      </x:c>
      <x:c r="BR634" s="15" t="n">
        <x:v>1</x:v>
      </x:c>
      <x:c r="BS634" s="16"/>
      <x:c r="BT634" s="14" t="str">
        <x:v>Unable to calculate</x:v>
      </x:c>
      <x:c r="BU634" s="14" t="str">
        <x:v>Unable to determine</x:v>
      </x:c>
      <x:c r="BV634" s="14" t="str">
        <x:v>Episode count or production-total proxy unavailable.</x:v>
      </x:c>
      <x:c r="BW634" s="14" t="str">
        <x:v>Unable to determine</x:v>
      </x:c>
      <x:c r="BX634" s="14" t="str">
        <x:v>Cast-list and episode data do not establish narrative prominence.</x:v>
      </x:c>
      <x:c r="BY634" s="14" t="str">
        <x:v>Supplied IMDb cast-list workbook</x:v>
      </x:c>
      <x:c r="BZ63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tt15309272|nm4452704|prosecution barrister</x:v>
      </x:c>
      <x:c r="B635" s="14" t="str">
        <x:v>08</x:v>
      </x:c>
      <x:c r="C635" s="14" t="str">
        <x:v>2022_IMDb_Cast_Lists_Batch_08(1).xlsx</x:v>
      </x:c>
      <x:c r="D635" s="14" t="str">
        <x:v>Funny Woman</x:v>
      </x:c>
      <x:c r="E635" s="14" t="n">
        <x:v>79</x:v>
      </x:c>
      <x:c r="F635" s="14" t="str">
        <x:v>Funny Woman</x:v>
      </x:c>
      <x:c r="G635" s="14" t="str">
        <x:v>tt15309272</x:v>
      </x:c>
      <x:c r="H635" s="14" t="n">
        <x:v>2023</x:v>
      </x:c>
      <x:c r="I635" s="14" t="n">
        <x:v>2023</x:v>
      </x:c>
      <x:c r="J635" s="14" t="str">
        <x:v>Future Carry-Forward Cohort</x:v>
      </x:c>
      <x:c r="K635" s="14" t="n">
        <x:v>2022</x:v>
      </x:c>
      <x:c r="L635" s="14" t="str">
        <x:v>Not inherited</x:v>
      </x:c>
      <x:c r="M635" s="15" t="n">
        <x:v>72</x:v>
      </x:c>
      <x:c r="N635" s="14" t="str">
        <x:v>Ben Rigby</x:v>
      </x:c>
      <x:c r="O635" s="14" t="str">
        <x:v>nm4452704</x:v>
      </x:c>
      <x:c r="P635" s="14" t="str">
        <x:v>Prosecution Barrister</x:v>
      </x:c>
      <x:c r="Q635" s="15" t="n">
        <x:v>1</x:v>
      </x:c>
      <x:c r="R635" s="14" t="str">
        <x:v>2024</x:v>
      </x:c>
      <x:c r="S635" s="14" t="n">
        <x:v>2024</x:v>
      </x:c>
      <x:c r="T635" s="14" t="n">
        <x:v>2024</x:v>
      </x:c>
      <x:c r="U635" s="14" t="str">
        <x:v>Production assigned to future entry year</x:v>
      </x:c>
      <x:c r="V635" s="14" t="str">
        <x:v>Master register assigns production to 2023, not 2022.</x:v>
      </x:c>
      <x:c r="W635" s="14" t="str">
        <x:v>Annual source/master-register conflict</x:v>
      </x:c>
      <x:c r="X635" s="14" t="str">
        <x:v>Carried forward to 2024</x:v>
      </x:c>
      <x:c r="Y635" s="14"/>
      <x:c r="Z635" s="14" t="str">
        <x:v>Funny Woman.docx</x:v>
      </x:c>
      <x:c r="AA63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Sky / NOW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7" t="e">
        <x:f>HYPERLINK("https://en.wikipedia.org/wiki/Funny_Woman","Open source")</x:f>
        <x:v>HYPERLINK is not implemented. linkLocation=https://en.wikipedia.org/wiki/Funny_Woman, friendlyName=Open source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 t="str">
        <x:v>No established-register match</x:v>
      </x:c>
      <x:c r="AT635" s="14"/>
      <x:c r="AU635" s="14"/>
      <x:c r="AV635" s="14" t="str">
        <x:v>No established apparent-disability match</x:v>
      </x:c>
      <x:c r="AW635" s="14"/>
      <x:c r="AX635" s="14" t="str">
        <x:v>No</x:v>
      </x:c>
      <x:c r="AY635" s="14" t="str">
        <x:v>Unmatched</x:v>
      </x:c>
      <x:c r="AZ635" s="14" t="str">
        <x:v>Final supplied register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/>
      <x:c r="BP635" s="14" t="str">
        <x:v>Unable to calculate from supplied records.</x:v>
      </x:c>
      <x:c r="BQ635" s="14" t="str">
        <x:v>Unable to determine</x:v>
      </x:c>
      <x:c r="BR635" s="15" t="n">
        <x:v>1</x:v>
      </x:c>
      <x:c r="BS635" s="16"/>
      <x:c r="BT635" s="14" t="str">
        <x:v>Unable to calculate</x:v>
      </x:c>
      <x:c r="BU635" s="14" t="str">
        <x:v>Unable to determine</x:v>
      </x:c>
      <x:c r="BV635" s="14" t="str">
        <x:v>Episode count or production-total proxy unavailable.</x:v>
      </x:c>
      <x:c r="BW635" s="14" t="str">
        <x:v>Unable to determine</x:v>
      </x:c>
      <x:c r="BX635" s="14" t="str">
        <x:v>Cast-list and episode data do not establish narrative prominence.</x:v>
      </x:c>
      <x:c r="BY635" s="14" t="str">
        <x:v>Supplied IMDb cast-list workbook</x:v>
      </x:c>
      <x:c r="BZ63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tt15309272|nm0638762|mr. travis</x:v>
      </x:c>
      <x:c r="B636" s="14" t="str">
        <x:v>08</x:v>
      </x:c>
      <x:c r="C636" s="14" t="str">
        <x:v>2022_IMDb_Cast_Lists_Batch_08(1).xlsx</x:v>
      </x:c>
      <x:c r="D636" s="14" t="str">
        <x:v>Funny Woman</x:v>
      </x:c>
      <x:c r="E636" s="14" t="n">
        <x:v>82</x:v>
      </x:c>
      <x:c r="F636" s="14" t="str">
        <x:v>Funny Woman</x:v>
      </x:c>
      <x:c r="G636" s="14" t="str">
        <x:v>tt15309272</x:v>
      </x:c>
      <x:c r="H636" s="14" t="n">
        <x:v>2023</x:v>
      </x:c>
      <x:c r="I636" s="14" t="n">
        <x:v>2023</x:v>
      </x:c>
      <x:c r="J636" s="14" t="str">
        <x:v>Future Carry-Forward Cohort</x:v>
      </x:c>
      <x:c r="K636" s="14" t="n">
        <x:v>2022</x:v>
      </x:c>
      <x:c r="L636" s="14" t="str">
        <x:v>Not inherited</x:v>
      </x:c>
      <x:c r="M636" s="15" t="n">
        <x:v>75</x:v>
      </x:c>
      <x:c r="N636" s="14" t="str">
        <x:v>Andy Nyman</x:v>
      </x:c>
      <x:c r="O636" s="14" t="str">
        <x:v>nm0638762</x:v>
      </x:c>
      <x:c r="P636" s="14" t="str">
        <x:v>Mr. Travis</x:v>
      </x:c>
      <x:c r="Q636" s="15" t="n">
        <x:v>1</x:v>
      </x:c>
      <x:c r="R636" s="14" t="str">
        <x:v>2024</x:v>
      </x:c>
      <x:c r="S636" s="14" t="n">
        <x:v>2024</x:v>
      </x:c>
      <x:c r="T636" s="14" t="n">
        <x:v>2024</x:v>
      </x:c>
      <x:c r="U636" s="14" t="str">
        <x:v>Production assigned to future entry year</x:v>
      </x:c>
      <x:c r="V636" s="14" t="str">
        <x:v>Master register assigns production to 2023, not 2022.</x:v>
      </x:c>
      <x:c r="W636" s="14" t="str">
        <x:v>Annual source/master-register conflict</x:v>
      </x:c>
      <x:c r="X636" s="14" t="str">
        <x:v>Carried forward to 2024</x:v>
      </x:c>
      <x:c r="Y636" s="14"/>
      <x:c r="Z636" s="14" t="str">
        <x:v>Funny Woman.docx</x:v>
      </x:c>
      <x:c r="AA63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Sky / NOW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7" t="e">
        <x:f>HYPERLINK("https://en.wikipedia.org/wiki/Funny_Woman","Open source")</x:f>
        <x:v>HYPERLINK is not implemented. linkLocation=https://en.wikipedia.org/wiki/Funny_Woman, friendlyName=Open source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 t="str">
        <x:v>No established-register match</x:v>
      </x:c>
      <x:c r="AT636" s="14"/>
      <x:c r="AU636" s="14"/>
      <x:c r="AV636" s="14" t="str">
        <x:v>No established apparent-disability match</x:v>
      </x:c>
      <x:c r="AW636" s="14"/>
      <x:c r="AX636" s="14" t="str">
        <x:v>No</x:v>
      </x:c>
      <x:c r="AY636" s="14" t="str">
        <x:v>Unmatched</x:v>
      </x:c>
      <x:c r="AZ636" s="14" t="str">
        <x:v>Final supplied register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/>
      <x:c r="BP636" s="14" t="str">
        <x:v>Unable to calculate from supplied records.</x:v>
      </x:c>
      <x:c r="BQ636" s="14" t="str">
        <x:v>Unable to determine</x:v>
      </x:c>
      <x:c r="BR636" s="15" t="n">
        <x:v>1</x:v>
      </x:c>
      <x:c r="BS636" s="16"/>
      <x:c r="BT636" s="14" t="str">
        <x:v>Unable to calculate</x:v>
      </x:c>
      <x:c r="BU636" s="14" t="str">
        <x:v>Unable to determine</x:v>
      </x:c>
      <x:c r="BV636" s="14" t="str">
        <x:v>Episode count or production-total proxy unavailable.</x:v>
      </x:c>
      <x:c r="BW636" s="14" t="str">
        <x:v>Unable to determine</x:v>
      </x:c>
      <x:c r="BX636" s="14" t="str">
        <x:v>Cast-list and episode data do not establish narrative prominence.</x:v>
      </x:c>
      <x:c r="BY636" s="14" t="str">
        <x:v>Supplied IMDb cast-list workbook</x:v>
      </x:c>
      <x:c r="BZ63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tt15309272|nm1555032|geoffrey lomax</x:v>
      </x:c>
      <x:c r="B637" s="14" t="str">
        <x:v>08</x:v>
      </x:c>
      <x:c r="C637" s="14" t="str">
        <x:v>2022_IMDb_Cast_Lists_Batch_08(1).xlsx</x:v>
      </x:c>
      <x:c r="D637" s="14" t="str">
        <x:v>Funny Woman</x:v>
      </x:c>
      <x:c r="E637" s="14" t="n">
        <x:v>83</x:v>
      </x:c>
      <x:c r="F637" s="14" t="str">
        <x:v>Funny Woman</x:v>
      </x:c>
      <x:c r="G637" s="14" t="str">
        <x:v>tt15309272</x:v>
      </x:c>
      <x:c r="H637" s="14" t="n">
        <x:v>2023</x:v>
      </x:c>
      <x:c r="I637" s="14" t="n">
        <x:v>2023</x:v>
      </x:c>
      <x:c r="J637" s="14" t="str">
        <x:v>Future Carry-Forward Cohort</x:v>
      </x:c>
      <x:c r="K637" s="14" t="n">
        <x:v>2022</x:v>
      </x:c>
      <x:c r="L637" s="14" t="str">
        <x:v>Not inherited</x:v>
      </x:c>
      <x:c r="M637" s="15" t="n">
        <x:v>76</x:v>
      </x:c>
      <x:c r="N637" s="14" t="str">
        <x:v>Matt Sutton</x:v>
      </x:c>
      <x:c r="O637" s="14" t="str">
        <x:v>nm1555032</x:v>
      </x:c>
      <x:c r="P637" s="14" t="str">
        <x:v>Geoffrey Lomax</x:v>
      </x:c>
      <x:c r="Q637" s="15" t="n">
        <x:v>1</x:v>
      </x:c>
      <x:c r="R637" s="14" t="str">
        <x:v>2024</x:v>
      </x:c>
      <x:c r="S637" s="14" t="n">
        <x:v>2024</x:v>
      </x:c>
      <x:c r="T637" s="14" t="n">
        <x:v>2024</x:v>
      </x:c>
      <x:c r="U637" s="14" t="str">
        <x:v>Production assigned to future entry year</x:v>
      </x:c>
      <x:c r="V637" s="14" t="str">
        <x:v>Master register assigns production to 2023, not 2022.</x:v>
      </x:c>
      <x:c r="W637" s="14" t="str">
        <x:v>Annual source/master-register conflict</x:v>
      </x:c>
      <x:c r="X637" s="14" t="str">
        <x:v>Carried forward to 2024</x:v>
      </x:c>
      <x:c r="Y637" s="14"/>
      <x:c r="Z637" s="14" t="str">
        <x:v>Funny Woman.docx</x:v>
      </x:c>
      <x:c r="AA63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Sky / NOW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7" t="e">
        <x:f>HYPERLINK("https://en.wikipedia.org/wiki/Funny_Woman","Open source")</x:f>
        <x:v>HYPERLINK is not implemented. linkLocation=https://en.wikipedia.org/wiki/Funny_Woman, friendlyName=Open source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 t="str">
        <x:v>No established-register match</x:v>
      </x:c>
      <x:c r="AT637" s="14"/>
      <x:c r="AU637" s="14"/>
      <x:c r="AV637" s="14" t="str">
        <x:v>No established apparent-disability match</x:v>
      </x:c>
      <x:c r="AW637" s="14"/>
      <x:c r="AX637" s="14" t="str">
        <x:v>No</x:v>
      </x:c>
      <x:c r="AY637" s="14" t="str">
        <x:v>Unmatched</x:v>
      </x:c>
      <x:c r="AZ637" s="14" t="str">
        <x:v>Final supplied register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/>
      <x:c r="BP637" s="14" t="str">
        <x:v>Unable to calculate from supplied records.</x:v>
      </x:c>
      <x:c r="BQ637" s="14" t="str">
        <x:v>Unable to determine</x:v>
      </x:c>
      <x:c r="BR637" s="15" t="n">
        <x:v>1</x:v>
      </x:c>
      <x:c r="BS637" s="16"/>
      <x:c r="BT637" s="14" t="str">
        <x:v>Unable to calculate</x:v>
      </x:c>
      <x:c r="BU637" s="14" t="str">
        <x:v>Unable to determine</x:v>
      </x:c>
      <x:c r="BV637" s="14" t="str">
        <x:v>Episode count or production-total proxy unavailable.</x:v>
      </x:c>
      <x:c r="BW637" s="14" t="str">
        <x:v>Unable to determine</x:v>
      </x:c>
      <x:c r="BX637" s="14" t="str">
        <x:v>Cast-list and episode data do not establish narrative prominence.</x:v>
      </x:c>
      <x:c r="BY637" s="14" t="str">
        <x:v>Supplied IMDb cast-list workbook</x:v>
      </x:c>
      <x:c r="BZ63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tt15309272|nm2946284|doctor on tv</x:v>
      </x:c>
      <x:c r="B638" s="14" t="str">
        <x:v>08</x:v>
      </x:c>
      <x:c r="C638" s="14" t="str">
        <x:v>2022_IMDb_Cast_Lists_Batch_08(1).xlsx</x:v>
      </x:c>
      <x:c r="D638" s="14" t="str">
        <x:v>Funny Woman</x:v>
      </x:c>
      <x:c r="E638" s="14" t="n">
        <x:v>84</x:v>
      </x:c>
      <x:c r="F638" s="14" t="str">
        <x:v>Funny Woman</x:v>
      </x:c>
      <x:c r="G638" s="14" t="str">
        <x:v>tt15309272</x:v>
      </x:c>
      <x:c r="H638" s="14" t="n">
        <x:v>2023</x:v>
      </x:c>
      <x:c r="I638" s="14" t="n">
        <x:v>2023</x:v>
      </x:c>
      <x:c r="J638" s="14" t="str">
        <x:v>Future Carry-Forward Cohort</x:v>
      </x:c>
      <x:c r="K638" s="14" t="n">
        <x:v>2022</x:v>
      </x:c>
      <x:c r="L638" s="14" t="str">
        <x:v>Not inherited</x:v>
      </x:c>
      <x:c r="M638" s="15" t="n">
        <x:v>77</x:v>
      </x:c>
      <x:c r="N638" s="14" t="str">
        <x:v>Joel Quinn</x:v>
      </x:c>
      <x:c r="O638" s="14" t="str">
        <x:v>nm2946284</x:v>
      </x:c>
      <x:c r="P638" s="14" t="str">
        <x:v>Doctor on TV</x:v>
      </x:c>
      <x:c r="Q638" s="15" t="n">
        <x:v>1</x:v>
      </x:c>
      <x:c r="R638" s="14" t="str">
        <x:v>2024</x:v>
      </x:c>
      <x:c r="S638" s="14" t="n">
        <x:v>2024</x:v>
      </x:c>
      <x:c r="T638" s="14" t="n">
        <x:v>2024</x:v>
      </x:c>
      <x:c r="U638" s="14" t="str">
        <x:v>Production assigned to future entry year</x:v>
      </x:c>
      <x:c r="V638" s="14" t="str">
        <x:v>Master register assigns production to 2023, not 2022.</x:v>
      </x:c>
      <x:c r="W638" s="14" t="str">
        <x:v>Annual source/master-register conflict</x:v>
      </x:c>
      <x:c r="X638" s="14" t="str">
        <x:v>Carried forward to 2024</x:v>
      </x:c>
      <x:c r="Y638" s="14"/>
      <x:c r="Z638" s="14" t="str">
        <x:v>Funny Woman.docx</x:v>
      </x:c>
      <x:c r="AA63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Sky / NOW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7" t="e">
        <x:f>HYPERLINK("https://en.wikipedia.org/wiki/Funny_Woman","Open source")</x:f>
        <x:v>HYPERLINK is not implemented. linkLocation=https://en.wikipedia.org/wiki/Funny_Woman, friendlyName=Open source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 t="str">
        <x:v>No established-register match</x:v>
      </x:c>
      <x:c r="AT638" s="14"/>
      <x:c r="AU638" s="14"/>
      <x:c r="AV638" s="14" t="str">
        <x:v>No established apparent-disability match</x:v>
      </x:c>
      <x:c r="AW638" s="14"/>
      <x:c r="AX638" s="14" t="str">
        <x:v>No</x:v>
      </x:c>
      <x:c r="AY638" s="14" t="str">
        <x:v>Unmatched</x:v>
      </x:c>
      <x:c r="AZ638" s="14" t="str">
        <x:v>Final supplied register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/>
      <x:c r="BP638" s="14" t="str">
        <x:v>Unable to calculate from supplied records.</x:v>
      </x:c>
      <x:c r="BQ638" s="14" t="str">
        <x:v>Unable to determine</x:v>
      </x:c>
      <x:c r="BR638" s="15" t="n">
        <x:v>1</x:v>
      </x:c>
      <x:c r="BS638" s="16"/>
      <x:c r="BT638" s="14" t="str">
        <x:v>Unable to calculate</x:v>
      </x:c>
      <x:c r="BU638" s="14" t="str">
        <x:v>Unable to determine</x:v>
      </x:c>
      <x:c r="BV638" s="14" t="str">
        <x:v>Episode count or production-total proxy unavailable.</x:v>
      </x:c>
      <x:c r="BW638" s="14" t="str">
        <x:v>Unable to determine</x:v>
      </x:c>
      <x:c r="BX638" s="14" t="str">
        <x:v>Cast-list and episode data do not establish narrative prominence.</x:v>
      </x:c>
      <x:c r="BY638" s="14" t="str">
        <x:v>Supplied IMDb cast-list workbook</x:v>
      </x:c>
      <x:c r="BZ63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tt15309272|nm8318479|judge</x:v>
      </x:c>
      <x:c r="B639" s="14" t="str">
        <x:v>08</x:v>
      </x:c>
      <x:c r="C639" s="14" t="str">
        <x:v>2022_IMDb_Cast_Lists_Batch_08(1).xlsx</x:v>
      </x:c>
      <x:c r="D639" s="14" t="str">
        <x:v>Funny Woman</x:v>
      </x:c>
      <x:c r="E639" s="14" t="n">
        <x:v>85</x:v>
      </x:c>
      <x:c r="F639" s="14" t="str">
        <x:v>Funny Woman</x:v>
      </x:c>
      <x:c r="G639" s="14" t="str">
        <x:v>tt15309272</x:v>
      </x:c>
      <x:c r="H639" s="14" t="n">
        <x:v>2023</x:v>
      </x:c>
      <x:c r="I639" s="14" t="n">
        <x:v>2023</x:v>
      </x:c>
      <x:c r="J639" s="14" t="str">
        <x:v>Future Carry-Forward Cohort</x:v>
      </x:c>
      <x:c r="K639" s="14" t="n">
        <x:v>2022</x:v>
      </x:c>
      <x:c r="L639" s="14" t="str">
        <x:v>Not inherited</x:v>
      </x:c>
      <x:c r="M639" s="15" t="n">
        <x:v>78</x:v>
      </x:c>
      <x:c r="N639" s="14" t="str">
        <x:v>Simon Underdown</x:v>
      </x:c>
      <x:c r="O639" s="14" t="str">
        <x:v>nm8318479</x:v>
      </x:c>
      <x:c r="P639" s="14" t="str">
        <x:v>Judge</x:v>
      </x:c>
      <x:c r="Q639" s="15" t="n">
        <x:v>1</x:v>
      </x:c>
      <x:c r="R639" s="14" t="str">
        <x:v>2024</x:v>
      </x:c>
      <x:c r="S639" s="14" t="n">
        <x:v>2024</x:v>
      </x:c>
      <x:c r="T639" s="14" t="n">
        <x:v>2024</x:v>
      </x:c>
      <x:c r="U639" s="14" t="str">
        <x:v>Production assigned to future entry year</x:v>
      </x:c>
      <x:c r="V639" s="14" t="str">
        <x:v>Master register assigns production to 2023, not 2022.</x:v>
      </x:c>
      <x:c r="W639" s="14" t="str">
        <x:v>Annual source/master-register conflict</x:v>
      </x:c>
      <x:c r="X639" s="14" t="str">
        <x:v>Carried forward to 2024</x:v>
      </x:c>
      <x:c r="Y639" s="14"/>
      <x:c r="Z639" s="14" t="str">
        <x:v>Funny Woman.docx</x:v>
      </x:c>
      <x:c r="AA63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Sky / NOW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7" t="e">
        <x:f>HYPERLINK("https://en.wikipedia.org/wiki/Funny_Woman","Open source")</x:f>
        <x:v>HYPERLINK is not implemented. linkLocation=https://en.wikipedia.org/wiki/Funny_Woman, friendlyName=Open source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 t="str">
        <x:v>No established-register match</x:v>
      </x:c>
      <x:c r="AT639" s="14"/>
      <x:c r="AU639" s="14"/>
      <x:c r="AV639" s="14" t="str">
        <x:v>No established apparent-disability match</x:v>
      </x:c>
      <x:c r="AW639" s="14"/>
      <x:c r="AX639" s="14" t="str">
        <x:v>No</x:v>
      </x:c>
      <x:c r="AY639" s="14" t="str">
        <x:v>Unmatched</x:v>
      </x:c>
      <x:c r="AZ639" s="14" t="str">
        <x:v>Final supplied register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/>
      <x:c r="BP639" s="14" t="str">
        <x:v>Unable to calculate from supplied records.</x:v>
      </x:c>
      <x:c r="BQ639" s="14" t="str">
        <x:v>Unable to determine</x:v>
      </x:c>
      <x:c r="BR639" s="15" t="n">
        <x:v>1</x:v>
      </x:c>
      <x:c r="BS639" s="16"/>
      <x:c r="BT639" s="14" t="str">
        <x:v>Unable to calculate</x:v>
      </x:c>
      <x:c r="BU639" s="14" t="str">
        <x:v>Unable to determine</x:v>
      </x:c>
      <x:c r="BV639" s="14" t="str">
        <x:v>Episode count or production-total proxy unavailable.</x:v>
      </x:c>
      <x:c r="BW639" s="14" t="str">
        <x:v>Unable to determine</x:v>
      </x:c>
      <x:c r="BX639" s="14" t="str">
        <x:v>Cast-list and episode data do not establish narrative prominence.</x:v>
      </x:c>
      <x:c r="BY639" s="14" t="str">
        <x:v>Supplied IMDb cast-list workbook</x:v>
      </x:c>
      <x:c r="BZ63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tt11958610|nm5344731|ds helen morgan</x:v>
      </x:c>
      <x:c r="B640" s="14" t="str">
        <x:v>08</x:v>
      </x:c>
      <x:c r="C640" s="14" t="str">
        <x:v>2022_IMDb_Cast_Lists_Batch_08(1).xlsx</x:v>
      </x:c>
      <x:c r="D640" s="14" t="str">
        <x:v>Trigger Point</x:v>
      </x:c>
      <x:c r="E640" s="14" t="n">
        <x:v>10</x:v>
      </x:c>
      <x:c r="F640" s="14" t="str">
        <x:v>Trigger Point</x:v>
      </x:c>
      <x:c r="G640" s="14" t="str">
        <x:v>tt11958610</x:v>
      </x:c>
      <x:c r="H640" s="14" t="n">
        <x:v>2022</x:v>
      </x:c>
      <x:c r="I640" s="14" t="n">
        <x:v>2023</x:v>
      </x:c>
      <x:c r="J640" s="14" t="str">
        <x:v>Future Carry-Forward Cohort</x:v>
      </x:c>
      <x:c r="K640" s="14" t="n">
        <x:v>2022</x:v>
      </x:c>
      <x:c r="L640" s="14" t="str">
        <x:v>Not inherited</x:v>
      </x:c>
      <x:c r="M640" s="15" t="n">
        <x:v>3</x:v>
      </x:c>
      <x:c r="N640" s="14" t="str">
        <x:v>Natalie Simpson</x:v>
      </x:c>
      <x:c r="O640" s="14" t="str">
        <x:v>nm5344731</x:v>
      </x:c>
      <x:c r="P640" s="14" t="str">
        <x:v>DS Helen Morgan</x:v>
      </x:c>
      <x:c r="Q640" s="15" t="n">
        <x:v>18</x:v>
      </x:c>
      <x:c r="R640" s="14" t="str">
        <x:v>2024–2026</x:v>
      </x:c>
      <x:c r="S640" s="14" t="n">
        <x:v>2024</x:v>
      </x:c>
      <x:c r="T640" s="14" t="n">
        <x:v>2024</x:v>
      </x:c>
      <x:c r="U640" s="14" t="str">
        <x:v>Explicit source first year retained</x:v>
      </x:c>
      <x:c r="V640" s="14" t="str">
        <x:v>Earliest supplied year is 2024.</x:v>
      </x:c>
      <x:c r="W640" s="14"/>
      <x:c r="X640" s="14" t="str">
        <x:v>Carried forward to 2024</x:v>
      </x:c>
      <x:c r="Y640" s="14"/>
      <x:c r="Z640" s="14" t="str">
        <x:v>Trigger Point.docx</x:v>
      </x:c>
      <x:c r="AA64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7" t="e">
        <x:f>HYPERLINK("https://en.wikipedia.org/wiki/Trigger_Point","Open source")</x:f>
        <x:v>HYPERLINK is not implemented. linkLocation=https://en.wikipedia.org/wiki/Trigger_Point, friendlyName=Open source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 t="str">
        <x:v>No established-register match</x:v>
      </x:c>
      <x:c r="AT640" s="14"/>
      <x:c r="AU640" s="14"/>
      <x:c r="AV640" s="14" t="str">
        <x:v>No established apparent-disability match</x:v>
      </x:c>
      <x:c r="AW640" s="14"/>
      <x:c r="AX640" s="14" t="str">
        <x:v>No</x:v>
      </x:c>
      <x:c r="AY640" s="14" t="str">
        <x:v>Unmatched</x:v>
      </x:c>
      <x:c r="AZ640" s="14" t="str">
        <x:v>Final supplied register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24</x:v>
      </x:c>
      <x:c r="BP640" s="14" t="str">
        <x:v>Maximum supplied eligible IMDb cast-credit total; annual episode total not independently verified.</x:v>
      </x:c>
      <x:c r="BQ640" s="14" t="str">
        <x:v>Medium</x:v>
      </x:c>
      <x:c r="BR640" s="15" t="n">
        <x:v>18</x:v>
      </x:c>
      <x:c r="BS640" s="16" t="n">
        <x:v>0.75</x:v>
      </x:c>
      <x:c r="BT640" s="14" t="str">
        <x:v>Majority of episodes</x:v>
      </x:c>
      <x:c r="BU640" s="14" t="str">
        <x:v>Medium</x:v>
      </x:c>
      <x:c r="BV640" s="14" t="str">
        <x:v>Derived from the supplied IMDb episode count and documented production-total proxy.</x:v>
      </x:c>
      <x:c r="BW640" s="14" t="str">
        <x:v>Unable to determine</x:v>
      </x:c>
      <x:c r="BX640" s="14" t="str">
        <x:v>Cast-list and episode data do not establish narrative prominence.</x:v>
      </x:c>
      <x:c r="BY640" s="14" t="str">
        <x:v>Supplied IMDb cast-list workbook</x:v>
      </x:c>
      <x:c r="BZ64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tt11958610|nm9015299|dci amar batra / di amar batra</x:v>
      </x:c>
      <x:c r="B641" s="14" t="str">
        <x:v>08</x:v>
      </x:c>
      <x:c r="C641" s="14" t="str">
        <x:v>2022_IMDb_Cast_Lists_Batch_08(1).xlsx</x:v>
      </x:c>
      <x:c r="D641" s="14" t="str">
        <x:v>Trigger Point</x:v>
      </x:c>
      <x:c r="E641" s="14" t="n">
        <x:v>11</x:v>
      </x:c>
      <x:c r="F641" s="14" t="str">
        <x:v>Trigger Point</x:v>
      </x:c>
      <x:c r="G641" s="14" t="str">
        <x:v>tt11958610</x:v>
      </x:c>
      <x:c r="H641" s="14" t="n">
        <x:v>2022</x:v>
      </x:c>
      <x:c r="I641" s="14" t="n">
        <x:v>2023</x:v>
      </x:c>
      <x:c r="J641" s="14" t="str">
        <x:v>Future Carry-Forward Cohort</x:v>
      </x:c>
      <x:c r="K641" s="14" t="n">
        <x:v>2022</x:v>
      </x:c>
      <x:c r="L641" s="14" t="str">
        <x:v>Not inherited</x:v>
      </x:c>
      <x:c r="M641" s="15" t="n">
        <x:v>4</x:v>
      </x:c>
      <x:c r="N641" s="14" t="str">
        <x:v>Maanuv Thiara</x:v>
      </x:c>
      <x:c r="O641" s="14" t="str">
        <x:v>nm9015299</x:v>
      </x:c>
      <x:c r="P641" s="14" t="str">
        <x:v>DCI Amar Batra / DI Amar Batra</x:v>
      </x:c>
      <x:c r="Q641" s="15" t="n">
        <x:v>18</x:v>
      </x:c>
      <x:c r="R641" s="14" t="str">
        <x:v>2024–2026</x:v>
      </x:c>
      <x:c r="S641" s="14" t="n">
        <x:v>2024</x:v>
      </x:c>
      <x:c r="T641" s="14" t="n">
        <x:v>2024</x:v>
      </x:c>
      <x:c r="U641" s="14" t="str">
        <x:v>Explicit source first year retained</x:v>
      </x:c>
      <x:c r="V641" s="14" t="str">
        <x:v>Earliest supplied year is 2024.</x:v>
      </x:c>
      <x:c r="W641" s="14"/>
      <x:c r="X641" s="14" t="str">
        <x:v>Carried forward to 2024</x:v>
      </x:c>
      <x:c r="Y641" s="14"/>
      <x:c r="Z641" s="14" t="str">
        <x:v>Trigger Point.docx</x:v>
      </x:c>
      <x:c r="AA64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7" t="e">
        <x:f>HYPERLINK("https://en.wikipedia.org/wiki/Trigger_Point","Open source")</x:f>
        <x:v>HYPERLINK is not implemented. linkLocation=https://en.wikipedia.org/wiki/Trigger_Point, friendlyName=Open source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 t="str">
        <x:v>No established-register match</x:v>
      </x:c>
      <x:c r="AT641" s="14"/>
      <x:c r="AU641" s="14"/>
      <x:c r="AV641" s="14" t="str">
        <x:v>No established apparent-disability match</x:v>
      </x:c>
      <x:c r="AW641" s="14"/>
      <x:c r="AX641" s="14" t="str">
        <x:v>No</x:v>
      </x:c>
      <x:c r="AY641" s="14" t="str">
        <x:v>Unmatched</x:v>
      </x:c>
      <x:c r="AZ641" s="14" t="str">
        <x:v>Final supplied register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24</x:v>
      </x:c>
      <x:c r="BP641" s="14" t="str">
        <x:v>Maximum supplied eligible IMDb cast-credit total; annual episode total not independently verified.</x:v>
      </x:c>
      <x:c r="BQ641" s="14" t="str">
        <x:v>Medium</x:v>
      </x:c>
      <x:c r="BR641" s="15" t="n">
        <x:v>18</x:v>
      </x:c>
      <x:c r="BS641" s="16" t="n">
        <x:v>0.75</x:v>
      </x:c>
      <x:c r="BT641" s="14" t="str">
        <x:v>Majority of episodes</x:v>
      </x:c>
      <x:c r="BU641" s="14" t="str">
        <x:v>Medium</x:v>
      </x:c>
      <x:c r="BV641" s="14" t="str">
        <x:v>Derived from the supplied IMDb episode count and documented production-total proxy.</x:v>
      </x:c>
      <x:c r="BW641" s="14" t="str">
        <x:v>Unable to determine</x:v>
      </x:c>
      <x:c r="BX641" s="14" t="str">
        <x:v>Cast-list and episode data do not establish narrative prominence.</x:v>
      </x:c>
      <x:c r="BY641" s="14" t="str">
        <x:v>Supplied IMDb cast-list workbook</x:v>
      </x:c>
      <x:c r="BZ64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tt11958610|nm1099188|commander john francis</x:v>
      </x:c>
      <x:c r="B642" s="14" t="str">
        <x:v>08</x:v>
      </x:c>
      <x:c r="C642" s="14" t="str">
        <x:v>2022_IMDb_Cast_Lists_Batch_08(1).xlsx</x:v>
      </x:c>
      <x:c r="D642" s="14" t="str">
        <x:v>Trigger Point</x:v>
      </x:c>
      <x:c r="E642" s="14" t="n">
        <x:v>24</x:v>
      </x:c>
      <x:c r="F642" s="14" t="str">
        <x:v>Trigger Point</x:v>
      </x:c>
      <x:c r="G642" s="14" t="str">
        <x:v>tt11958610</x:v>
      </x:c>
      <x:c r="H642" s="14" t="n">
        <x:v>2022</x:v>
      </x:c>
      <x:c r="I642" s="14" t="n">
        <x:v>2023</x:v>
      </x:c>
      <x:c r="J642" s="14" t="str">
        <x:v>Future Carry-Forward Cohort</x:v>
      </x:c>
      <x:c r="K642" s="14" t="n">
        <x:v>2022</x:v>
      </x:c>
      <x:c r="L642" s="14" t="str">
        <x:v>Not inherited</x:v>
      </x:c>
      <x:c r="M642" s="15" t="n">
        <x:v>17</x:v>
      </x:c>
      <x:c r="N642" s="14" t="str">
        <x:v>Julian Ovenden</x:v>
      </x:c>
      <x:c r="O642" s="14" t="str">
        <x:v>nm1099188</x:v>
      </x:c>
      <x:c r="P642" s="14" t="str">
        <x:v>Commander John Francis</x:v>
      </x:c>
      <x:c r="Q642" s="15" t="n">
        <x:v>6</x:v>
      </x:c>
      <x:c r="R642" s="14" t="str">
        <x:v>2024</x:v>
      </x:c>
      <x:c r="S642" s="14" t="n">
        <x:v>2024</x:v>
      </x:c>
      <x:c r="T642" s="14" t="n">
        <x:v>2024</x:v>
      </x:c>
      <x:c r="U642" s="14" t="str">
        <x:v>Explicit source first year retained</x:v>
      </x:c>
      <x:c r="V642" s="14" t="str">
        <x:v>Earliest supplied year is 2024.</x:v>
      </x:c>
      <x:c r="W642" s="14"/>
      <x:c r="X642" s="14" t="str">
        <x:v>Carried forward to 2024</x:v>
      </x:c>
      <x:c r="Y642" s="14"/>
      <x:c r="Z642" s="14" t="str">
        <x:v>Trigger Point.docx</x:v>
      </x:c>
      <x:c r="AA64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7" t="e">
        <x:f>HYPERLINK("https://en.wikipedia.org/wiki/Trigger_Point","Open source")</x:f>
        <x:v>HYPERLINK is not implemented. linkLocation=https://en.wikipedia.org/wiki/Trigger_Point, friendlyName=Open source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 t="str">
        <x:v>No established-register match</x:v>
      </x:c>
      <x:c r="AT642" s="14"/>
      <x:c r="AU642" s="14"/>
      <x:c r="AV642" s="14" t="str">
        <x:v>No established apparent-disability match</x:v>
      </x:c>
      <x:c r="AW642" s="14"/>
      <x:c r="AX642" s="14" t="str">
        <x:v>No</x:v>
      </x:c>
      <x:c r="AY642" s="14" t="str">
        <x:v>Unmatched</x:v>
      </x:c>
      <x:c r="AZ642" s="14" t="str">
        <x:v>Final supplied register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24</x:v>
      </x:c>
      <x:c r="BP642" s="14" t="str">
        <x:v>Maximum supplied eligible IMDb cast-credit total; annual episode total not independently verified.</x:v>
      </x:c>
      <x:c r="BQ642" s="14" t="str">
        <x:v>Medium</x:v>
      </x:c>
      <x:c r="BR642" s="15" t="n">
        <x:v>6</x:v>
      </x:c>
      <x:c r="BS642" s="16" t="n">
        <x:v>0.25</x:v>
      </x:c>
      <x:c r="BT642" s="14" t="str">
        <x:v>Minority of episodes</x:v>
      </x:c>
      <x:c r="BU642" s="14" t="str">
        <x:v>Medium</x:v>
      </x:c>
      <x:c r="BV642" s="14" t="str">
        <x:v>Derived from the supplied IMDb episode count and documented production-total proxy.</x:v>
      </x:c>
      <x:c r="BW642" s="14" t="str">
        <x:v>Unable to determine</x:v>
      </x:c>
      <x:c r="BX642" s="14" t="str">
        <x:v>Cast-list and episode data do not establish narrative prominence.</x:v>
      </x:c>
      <x:c r="BY642" s="14" t="str">
        <x:v>Supplied IMDb cast-list workbook</x:v>
      </x:c>
      <x:c r="BZ64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tt11958610|nm15698687|self - hair and make up trainee</x:v>
      </x:c>
      <x:c r="B643" s="14" t="str">
        <x:v>08</x:v>
      </x:c>
      <x:c r="C643" s="14" t="str">
        <x:v>2022_IMDb_Cast_Lists_Batch_08(1).xlsx</x:v>
      </x:c>
      <x:c r="D643" s="14" t="str">
        <x:v>Trigger Point</x:v>
      </x:c>
      <x:c r="E643" s="14" t="n">
        <x:v>27</x:v>
      </x:c>
      <x:c r="F643" s="14" t="str">
        <x:v>Trigger Point</x:v>
      </x:c>
      <x:c r="G643" s="14" t="str">
        <x:v>tt11958610</x:v>
      </x:c>
      <x:c r="H643" s="14" t="n">
        <x:v>2022</x:v>
      </x:c>
      <x:c r="I643" s="14" t="n">
        <x:v>2023</x:v>
      </x:c>
      <x:c r="J643" s="14" t="str">
        <x:v>Future Carry-Forward Cohort</x:v>
      </x:c>
      <x:c r="K643" s="14" t="n">
        <x:v>2022</x:v>
      </x:c>
      <x:c r="L643" s="14" t="str">
        <x:v>Not inherited</x:v>
      </x:c>
      <x:c r="M643" s="15" t="n">
        <x:v>20</x:v>
      </x:c>
      <x:c r="N643" s="14" t="str">
        <x:v>Juliana Masivi</x:v>
      </x:c>
      <x:c r="O643" s="14" t="str">
        <x:v>nm15698687</x:v>
      </x:c>
      <x:c r="P643" s="14" t="str">
        <x:v>Self - Hair and make up trainee</x:v>
      </x:c>
      <x:c r="Q643" s="15" t="n">
        <x:v>6</x:v>
      </x:c>
      <x:c r="R643" s="14" t="str">
        <x:v>2024</x:v>
      </x:c>
      <x:c r="S643" s="14" t="n">
        <x:v>2024</x:v>
      </x:c>
      <x:c r="T643" s="14" t="n">
        <x:v>2024</x:v>
      </x:c>
      <x:c r="U643" s="14" t="str">
        <x:v>Explicit source first year retained</x:v>
      </x:c>
      <x:c r="V643" s="14" t="str">
        <x:v>Earliest supplied year is 2024.</x:v>
      </x:c>
      <x:c r="W643" s="14"/>
      <x:c r="X643" s="14" t="str">
        <x:v>Carried forward to 2024</x:v>
      </x:c>
      <x:c r="Y643" s="14"/>
      <x:c r="Z643" s="14" t="str">
        <x:v>Trigger Point.docx</x:v>
      </x:c>
      <x:c r="AA64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7" t="e">
        <x:f>HYPERLINK("https://en.wikipedia.org/wiki/Trigger_Point","Open source")</x:f>
        <x:v>HYPERLINK is not implemented. linkLocation=https://en.wikipedia.org/wiki/Trigger_Point, friendlyName=Open source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 t="str">
        <x:v>No established-register match</x:v>
      </x:c>
      <x:c r="AT643" s="14"/>
      <x:c r="AU643" s="14"/>
      <x:c r="AV643" s="14" t="str">
        <x:v>No established apparent-disability match</x:v>
      </x:c>
      <x:c r="AW643" s="14"/>
      <x:c r="AX643" s="14" t="str">
        <x:v>No</x:v>
      </x:c>
      <x:c r="AY643" s="14" t="str">
        <x:v>Unmatched</x:v>
      </x:c>
      <x:c r="AZ643" s="14" t="str">
        <x:v>Final supplied register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24</x:v>
      </x:c>
      <x:c r="BP643" s="14" t="str">
        <x:v>Maximum supplied eligible IMDb cast-credit total; annual episode total not independently verified.</x:v>
      </x:c>
      <x:c r="BQ643" s="14" t="str">
        <x:v>Medium</x:v>
      </x:c>
      <x:c r="BR643" s="15" t="n">
        <x:v>6</x:v>
      </x:c>
      <x:c r="BS643" s="16" t="n">
        <x:v>0.25</x:v>
      </x:c>
      <x:c r="BT643" s="14" t="str">
        <x:v>Minority of episodes</x:v>
      </x:c>
      <x:c r="BU643" s="14" t="str">
        <x:v>Medium</x:v>
      </x:c>
      <x:c r="BV643" s="14" t="str">
        <x:v>Derived from the supplied IMDb episode count and documented production-total proxy.</x:v>
      </x:c>
      <x:c r="BW643" s="14" t="str">
        <x:v>Unable to determine</x:v>
      </x:c>
      <x:c r="BX643" s="14" t="str">
        <x:v>Cast-list and episode data do not establish narrative prominence.</x:v>
      </x:c>
      <x:c r="BY643" s="14" t="str">
        <x:v>Supplied IMDb cast-list workbook</x:v>
      </x:c>
      <x:c r="BZ64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tt11958610|nm5251540|hope</x:v>
      </x:c>
      <x:c r="B644" s="14" t="str">
        <x:v>08</x:v>
      </x:c>
      <x:c r="C644" s="14" t="str">
        <x:v>2022_IMDb_Cast_Lists_Batch_08(1).xlsx</x:v>
      </x:c>
      <x:c r="D644" s="14" t="str">
        <x:v>Trigger Point</x:v>
      </x:c>
      <x:c r="E644" s="14" t="n">
        <x:v>30</x:v>
      </x:c>
      <x:c r="F644" s="14" t="str">
        <x:v>Trigger Point</x:v>
      </x:c>
      <x:c r="G644" s="14" t="str">
        <x:v>tt11958610</x:v>
      </x:c>
      <x:c r="H644" s="14" t="n">
        <x:v>2022</x:v>
      </x:c>
      <x:c r="I644" s="14" t="n">
        <x:v>2023</x:v>
      </x:c>
      <x:c r="J644" s="14" t="str">
        <x:v>Future Carry-Forward Cohort</x:v>
      </x:c>
      <x:c r="K644" s="14" t="n">
        <x:v>2022</x:v>
      </x:c>
      <x:c r="L644" s="14" t="str">
        <x:v>Not inherited</x:v>
      </x:c>
      <x:c r="M644" s="15" t="n">
        <x:v>23</x:v>
      </x:c>
      <x:c r="N644" s="14" t="str">
        <x:v>Bethan Cullinane</x:v>
      </x:c>
      <x:c r="O644" s="14" t="str">
        <x:v>nm5251540</x:v>
      </x:c>
      <x:c r="P644" s="14" t="str">
        <x:v>Hope</x:v>
      </x:c>
      <x:c r="Q644" s="15" t="n">
        <x:v>5</x:v>
      </x:c>
      <x:c r="R644" s="14" t="str">
        <x:v>2024</x:v>
      </x:c>
      <x:c r="S644" s="14" t="n">
        <x:v>2024</x:v>
      </x:c>
      <x:c r="T644" s="14" t="n">
        <x:v>2024</x:v>
      </x:c>
      <x:c r="U644" s="14" t="str">
        <x:v>Explicit source first year retained</x:v>
      </x:c>
      <x:c r="V644" s="14" t="str">
        <x:v>Earliest supplied year is 2024.</x:v>
      </x:c>
      <x:c r="W644" s="14"/>
      <x:c r="X644" s="14" t="str">
        <x:v>Carried forward to 2024</x:v>
      </x:c>
      <x:c r="Y644" s="14"/>
      <x:c r="Z644" s="14" t="str">
        <x:v>Trigger Point.docx</x:v>
      </x:c>
      <x:c r="AA64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7" t="e">
        <x:f>HYPERLINK("https://en.wikipedia.org/wiki/Trigger_Point","Open source")</x:f>
        <x:v>HYPERLINK is not implemented. linkLocation=https://en.wikipedia.org/wiki/Trigger_Point, friendlyName=Open source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 t="str">
        <x:v>No established-register match</x:v>
      </x:c>
      <x:c r="AT644" s="14"/>
      <x:c r="AU644" s="14"/>
      <x:c r="AV644" s="14" t="str">
        <x:v>No established apparent-disability match</x:v>
      </x:c>
      <x:c r="AW644" s="14"/>
      <x:c r="AX644" s="14" t="str">
        <x:v>No</x:v>
      </x:c>
      <x:c r="AY644" s="14" t="str">
        <x:v>Unmatched</x:v>
      </x:c>
      <x:c r="AZ644" s="14" t="str">
        <x:v>Final supplied register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24</x:v>
      </x:c>
      <x:c r="BP644" s="14" t="str">
        <x:v>Maximum supplied eligible IMDb cast-credit total; annual episode total not independently verified.</x:v>
      </x:c>
      <x:c r="BQ644" s="14" t="str">
        <x:v>Medium</x:v>
      </x:c>
      <x:c r="BR644" s="15" t="n">
        <x:v>5</x:v>
      </x:c>
      <x:c r="BS644" s="16" t="n">
        <x:v>0.20833333333333334</x:v>
      </x:c>
      <x:c r="BT644" s="14" t="str">
        <x:v>Minority of episodes</x:v>
      </x:c>
      <x:c r="BU644" s="14" t="str">
        <x:v>Medium</x:v>
      </x:c>
      <x:c r="BV644" s="14" t="str">
        <x:v>Derived from the supplied IMDb episode count and documented production-total proxy.</x:v>
      </x:c>
      <x:c r="BW644" s="14" t="str">
        <x:v>Unable to determine</x:v>
      </x:c>
      <x:c r="BX644" s="14" t="str">
        <x:v>Cast-list and episode data do not establish narrative prominence.</x:v>
      </x:c>
      <x:c r="BY644" s="14" t="str">
        <x:v>Supplied IMDb cast-list workbook</x:v>
      </x:c>
      <x:c r="BZ64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tt11958610|nm3643989|alex</x:v>
      </x:c>
      <x:c r="B645" s="14" t="str">
        <x:v>08</x:v>
      </x:c>
      <x:c r="C645" s="14" t="str">
        <x:v>2022_IMDb_Cast_Lists_Batch_08(1).xlsx</x:v>
      </x:c>
      <x:c r="D645" s="14" t="str">
        <x:v>Trigger Point</x:v>
      </x:c>
      <x:c r="E645" s="14" t="n">
        <x:v>32</x:v>
      </x:c>
      <x:c r="F645" s="14" t="str">
        <x:v>Trigger Point</x:v>
      </x:c>
      <x:c r="G645" s="14" t="str">
        <x:v>tt11958610</x:v>
      </x:c>
      <x:c r="H645" s="14" t="n">
        <x:v>2022</x:v>
      </x:c>
      <x:c r="I645" s="14" t="n">
        <x:v>2023</x:v>
      </x:c>
      <x:c r="J645" s="14" t="str">
        <x:v>Future Carry-Forward Cohort</x:v>
      </x:c>
      <x:c r="K645" s="14" t="n">
        <x:v>2022</x:v>
      </x:c>
      <x:c r="L645" s="14" t="str">
        <x:v>Not inherited</x:v>
      </x:c>
      <x:c r="M645" s="15" t="n">
        <x:v>25</x:v>
      </x:c>
      <x:c r="N645" s="14" t="str">
        <x:v>Tomiwa Edun</x:v>
      </x:c>
      <x:c r="O645" s="14" t="str">
        <x:v>nm3643989</x:v>
      </x:c>
      <x:c r="P645" s="14" t="str">
        <x:v>Alex</x:v>
      </x:c>
      <x:c r="Q645" s="15" t="n">
        <x:v>5</x:v>
      </x:c>
      <x:c r="R645" s="14" t="str">
        <x:v>2024</x:v>
      </x:c>
      <x:c r="S645" s="14" t="n">
        <x:v>2024</x:v>
      </x:c>
      <x:c r="T645" s="14" t="n">
        <x:v>2024</x:v>
      </x:c>
      <x:c r="U645" s="14" t="str">
        <x:v>Explicit source first year retained</x:v>
      </x:c>
      <x:c r="V645" s="14" t="str">
        <x:v>Earliest supplied year is 2024.</x:v>
      </x:c>
      <x:c r="W645" s="14"/>
      <x:c r="X645" s="14" t="str">
        <x:v>Carried forward to 2024</x:v>
      </x:c>
      <x:c r="Y645" s="14"/>
      <x:c r="Z645" s="14" t="str">
        <x:v>Trigger Point.docx</x:v>
      </x:c>
      <x:c r="AA64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7" t="e">
        <x:f>HYPERLINK("https://en.wikipedia.org/wiki/Trigger_Point","Open source")</x:f>
        <x:v>HYPERLINK is not implemented. linkLocation=https://en.wikipedia.org/wiki/Trigger_Point, friendlyName=Open source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 t="str">
        <x:v>No established-register match</x:v>
      </x:c>
      <x:c r="AT645" s="14"/>
      <x:c r="AU645" s="14"/>
      <x:c r="AV645" s="14" t="str">
        <x:v>No established apparent-disability match</x:v>
      </x:c>
      <x:c r="AW645" s="14"/>
      <x:c r="AX645" s="14" t="str">
        <x:v>No</x:v>
      </x:c>
      <x:c r="AY645" s="14" t="str">
        <x:v>Unmatched</x:v>
      </x:c>
      <x:c r="AZ645" s="14" t="str">
        <x:v>Final supplied register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24</x:v>
      </x:c>
      <x:c r="BP645" s="14" t="str">
        <x:v>Maximum supplied eligible IMDb cast-credit total; annual episode total not independently verified.</x:v>
      </x:c>
      <x:c r="BQ645" s="14" t="str">
        <x:v>Medium</x:v>
      </x:c>
      <x:c r="BR645" s="15" t="n">
        <x:v>5</x:v>
      </x:c>
      <x:c r="BS645" s="16" t="n">
        <x:v>0.20833333333333334</x:v>
      </x:c>
      <x:c r="BT645" s="14" t="str">
        <x:v>Minority of episodes</x:v>
      </x:c>
      <x:c r="BU645" s="14" t="str">
        <x:v>Medium</x:v>
      </x:c>
      <x:c r="BV645" s="14" t="str">
        <x:v>Derived from the supplied IMDb episode count and documented production-total proxy.</x:v>
      </x:c>
      <x:c r="BW645" s="14" t="str">
        <x:v>Unable to determine</x:v>
      </x:c>
      <x:c r="BX645" s="14" t="str">
        <x:v>Cast-list and episode data do not establish narrative prominence.</x:v>
      </x:c>
      <x:c r="BY645" s="14" t="str">
        <x:v>Supplied IMDb cast-list workbook</x:v>
      </x:c>
      <x:c r="BZ64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tt11958610|nm6439956|tim</x:v>
      </x:c>
      <x:c r="B646" s="14" t="str">
        <x:v>08</x:v>
      </x:c>
      <x:c r="C646" s="14" t="str">
        <x:v>2022_IMDb_Cast_Lists_Batch_08(1).xlsx</x:v>
      </x:c>
      <x:c r="D646" s="14" t="str">
        <x:v>Trigger Point</x:v>
      </x:c>
      <x:c r="E646" s="14" t="n">
        <x:v>35</x:v>
      </x:c>
      <x:c r="F646" s="14" t="str">
        <x:v>Trigger Point</x:v>
      </x:c>
      <x:c r="G646" s="14" t="str">
        <x:v>tt11958610</x:v>
      </x:c>
      <x:c r="H646" s="14" t="n">
        <x:v>2022</x:v>
      </x:c>
      <x:c r="I646" s="14" t="n">
        <x:v>2023</x:v>
      </x:c>
      <x:c r="J646" s="14" t="str">
        <x:v>Future Carry-Forward Cohort</x:v>
      </x:c>
      <x:c r="K646" s="14" t="n">
        <x:v>2022</x:v>
      </x:c>
      <x:c r="L646" s="14" t="str">
        <x:v>Not inherited</x:v>
      </x:c>
      <x:c r="M646" s="15" t="n">
        <x:v>28</x:v>
      </x:c>
      <x:c r="N646" s="14" t="str">
        <x:v>Dan Whitlam</x:v>
      </x:c>
      <x:c r="O646" s="14" t="str">
        <x:v>nm6439956</x:v>
      </x:c>
      <x:c r="P646" s="14" t="str">
        <x:v>Tim</x:v>
      </x:c>
      <x:c r="Q646" s="15" t="n">
        <x:v>5</x:v>
      </x:c>
      <x:c r="R646" s="14" t="str">
        <x:v>2024</x:v>
      </x:c>
      <x:c r="S646" s="14" t="n">
        <x:v>2024</x:v>
      </x:c>
      <x:c r="T646" s="14" t="n">
        <x:v>2024</x:v>
      </x:c>
      <x:c r="U646" s="14" t="str">
        <x:v>Explicit source first year retained</x:v>
      </x:c>
      <x:c r="V646" s="14" t="str">
        <x:v>Earliest supplied year is 2024.</x:v>
      </x:c>
      <x:c r="W646" s="14"/>
      <x:c r="X646" s="14" t="str">
        <x:v>Carried forward to 2024</x:v>
      </x:c>
      <x:c r="Y646" s="14"/>
      <x:c r="Z646" s="14" t="str">
        <x:v>Trigger Point.docx</x:v>
      </x:c>
      <x:c r="AA64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7" t="e">
        <x:f>HYPERLINK("https://en.wikipedia.org/wiki/Trigger_Point","Open source")</x:f>
        <x:v>HYPERLINK is not implemented. linkLocation=https://en.wikipedia.org/wiki/Trigger_Point, friendlyName=Open source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 t="str">
        <x:v>No established-register match</x:v>
      </x:c>
      <x:c r="AT646" s="14"/>
      <x:c r="AU646" s="14"/>
      <x:c r="AV646" s="14" t="str">
        <x:v>No established apparent-disability match</x:v>
      </x:c>
      <x:c r="AW646" s="14"/>
      <x:c r="AX646" s="14" t="str">
        <x:v>No</x:v>
      </x:c>
      <x:c r="AY646" s="14" t="str">
        <x:v>Unmatched</x:v>
      </x:c>
      <x:c r="AZ646" s="14" t="str">
        <x:v>Final supplied register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24</x:v>
      </x:c>
      <x:c r="BP646" s="14" t="str">
        <x:v>Maximum supplied eligible IMDb cast-credit total; annual episode total not independently verified.</x:v>
      </x:c>
      <x:c r="BQ646" s="14" t="str">
        <x:v>Medium</x:v>
      </x:c>
      <x:c r="BR646" s="15" t="n">
        <x:v>5</x:v>
      </x:c>
      <x:c r="BS646" s="16" t="n">
        <x:v>0.20833333333333334</x:v>
      </x:c>
      <x:c r="BT646" s="14" t="str">
        <x:v>Minority of episodes</x:v>
      </x:c>
      <x:c r="BU646" s="14" t="str">
        <x:v>Medium</x:v>
      </x:c>
      <x:c r="BV646" s="14" t="str">
        <x:v>Derived from the supplied IMDb episode count and documented production-total proxy.</x:v>
      </x:c>
      <x:c r="BW646" s="14" t="str">
        <x:v>Unable to determine</x:v>
      </x:c>
      <x:c r="BX646" s="14" t="str">
        <x:v>Cast-list and episode data do not establish narrative prominence.</x:v>
      </x:c>
      <x:c r="BY646" s="14" t="str">
        <x:v>Supplied IMDb cast-list workbook</x:v>
      </x:c>
      <x:c r="BZ64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tt11958610|nm9118434|nick hood</x:v>
      </x:c>
      <x:c r="B647" s="14" t="str">
        <x:v>08</x:v>
      </x:c>
      <x:c r="C647" s="14" t="str">
        <x:v>2022_IMDb_Cast_Lists_Batch_08(1).xlsx</x:v>
      </x:c>
      <x:c r="D647" s="14" t="str">
        <x:v>Trigger Point</x:v>
      </x:c>
      <x:c r="E647" s="14" t="n">
        <x:v>40</x:v>
      </x:c>
      <x:c r="F647" s="14" t="str">
        <x:v>Trigger Point</x:v>
      </x:c>
      <x:c r="G647" s="14" t="str">
        <x:v>tt11958610</x:v>
      </x:c>
      <x:c r="H647" s="14" t="n">
        <x:v>2022</x:v>
      </x:c>
      <x:c r="I647" s="14" t="n">
        <x:v>2023</x:v>
      </x:c>
      <x:c r="J647" s="14" t="str">
        <x:v>Future Carry-Forward Cohort</x:v>
      </x:c>
      <x:c r="K647" s="14" t="n">
        <x:v>2022</x:v>
      </x:c>
      <x:c r="L647" s="14" t="str">
        <x:v>Not inherited</x:v>
      </x:c>
      <x:c r="M647" s="15" t="n">
        <x:v>33</x:v>
      </x:c>
      <x:c r="N647" s="14" t="str">
        <x:v>Thom Ashley</x:v>
      </x:c>
      <x:c r="O647" s="14" t="str">
        <x:v>nm9118434</x:v>
      </x:c>
      <x:c r="P647" s="14" t="str">
        <x:v>Nick Hood</x:v>
      </x:c>
      <x:c r="Q647" s="15" t="n">
        <x:v>3</x:v>
      </x:c>
      <x:c r="R647" s="14" t="str">
        <x:v>2024</x:v>
      </x:c>
      <x:c r="S647" s="14" t="n">
        <x:v>2024</x:v>
      </x:c>
      <x:c r="T647" s="14" t="n">
        <x:v>2024</x:v>
      </x:c>
      <x:c r="U647" s="14" t="str">
        <x:v>Explicit source first year retained</x:v>
      </x:c>
      <x:c r="V647" s="14" t="str">
        <x:v>Earliest supplied year is 2024.</x:v>
      </x:c>
      <x:c r="W647" s="14"/>
      <x:c r="X647" s="14" t="str">
        <x:v>Carried forward to 2024</x:v>
      </x:c>
      <x:c r="Y647" s="14"/>
      <x:c r="Z647" s="14" t="str">
        <x:v>Trigger Point.docx</x:v>
      </x:c>
      <x:c r="AA64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7" t="e">
        <x:f>HYPERLINK("https://en.wikipedia.org/wiki/Trigger_Point","Open source")</x:f>
        <x:v>HYPERLINK is not implemented. linkLocation=https://en.wikipedia.org/wiki/Trigger_Point, friendlyName=Open source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 t="str">
        <x:v>No established-register match</x:v>
      </x:c>
      <x:c r="AT647" s="14"/>
      <x:c r="AU647" s="14"/>
      <x:c r="AV647" s="14" t="str">
        <x:v>No established apparent-disability match</x:v>
      </x:c>
      <x:c r="AW647" s="14"/>
      <x:c r="AX647" s="14" t="str">
        <x:v>No</x:v>
      </x:c>
      <x:c r="AY647" s="14" t="str">
        <x:v>Unmatched</x:v>
      </x:c>
      <x:c r="AZ647" s="14" t="str">
        <x:v>Final supplied register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24</x:v>
      </x:c>
      <x:c r="BP647" s="14" t="str">
        <x:v>Maximum supplied eligible IMDb cast-credit total; annual episode total not independently verified.</x:v>
      </x:c>
      <x:c r="BQ647" s="14" t="str">
        <x:v>Medium</x:v>
      </x:c>
      <x:c r="BR647" s="15" t="n">
        <x:v>3</x:v>
      </x:c>
      <x:c r="BS647" s="16" t="n">
        <x:v>0.125</x:v>
      </x:c>
      <x:c r="BT647" s="14" t="str">
        <x:v>Minority of episodes</x:v>
      </x:c>
      <x:c r="BU647" s="14" t="str">
        <x:v>Medium</x:v>
      </x:c>
      <x:c r="BV647" s="14" t="str">
        <x:v>Derived from the supplied IMDb episode count and documented production-total proxy.</x:v>
      </x:c>
      <x:c r="BW647" s="14" t="str">
        <x:v>Unable to determine</x:v>
      </x:c>
      <x:c r="BX647" s="14" t="str">
        <x:v>Cast-list and episode data do not establish narrative prominence.</x:v>
      </x:c>
      <x:c r="BY647" s="14" t="str">
        <x:v>Supplied IMDb cast-list workbook</x:v>
      </x:c>
      <x:c r="BZ64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tt11958610|nm9351103|josh</x:v>
      </x:c>
      <x:c r="B648" s="14" t="str">
        <x:v>08</x:v>
      </x:c>
      <x:c r="C648" s="14" t="str">
        <x:v>2022_IMDb_Cast_Lists_Batch_08(1).xlsx</x:v>
      </x:c>
      <x:c r="D648" s="14" t="str">
        <x:v>Trigger Point</x:v>
      </x:c>
      <x:c r="E648" s="14" t="n">
        <x:v>45</x:v>
      </x:c>
      <x:c r="F648" s="14" t="str">
        <x:v>Trigger Point</x:v>
      </x:c>
      <x:c r="G648" s="14" t="str">
        <x:v>tt11958610</x:v>
      </x:c>
      <x:c r="H648" s="14" t="n">
        <x:v>2022</x:v>
      </x:c>
      <x:c r="I648" s="14" t="n">
        <x:v>2023</x:v>
      </x:c>
      <x:c r="J648" s="14" t="str">
        <x:v>Future Carry-Forward Cohort</x:v>
      </x:c>
      <x:c r="K648" s="14" t="n">
        <x:v>2022</x:v>
      </x:c>
      <x:c r="L648" s="14" t="str">
        <x:v>Not inherited</x:v>
      </x:c>
      <x:c r="M648" s="15" t="n">
        <x:v>38</x:v>
      </x:c>
      <x:c r="N648" s="14" t="str">
        <x:v>Lewis Jamison</x:v>
      </x:c>
      <x:c r="O648" s="14" t="str">
        <x:v>nm9351103</x:v>
      </x:c>
      <x:c r="P648" s="14" t="str">
        <x:v>Josh</x:v>
      </x:c>
      <x:c r="Q648" s="15" t="n">
        <x:v>3</x:v>
      </x:c>
      <x:c r="R648" s="14" t="str">
        <x:v>2024</x:v>
      </x:c>
      <x:c r="S648" s="14" t="n">
        <x:v>2024</x:v>
      </x:c>
      <x:c r="T648" s="14" t="n">
        <x:v>2024</x:v>
      </x:c>
      <x:c r="U648" s="14" t="str">
        <x:v>Explicit source first year retained</x:v>
      </x:c>
      <x:c r="V648" s="14" t="str">
        <x:v>Earliest supplied year is 2024.</x:v>
      </x:c>
      <x:c r="W648" s="14"/>
      <x:c r="X648" s="14" t="str">
        <x:v>Carried forward to 2024</x:v>
      </x:c>
      <x:c r="Y648" s="14"/>
      <x:c r="Z648" s="14" t="str">
        <x:v>Trigger Point.docx</x:v>
      </x:c>
      <x:c r="AA64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7" t="e">
        <x:f>HYPERLINK("https://en.wikipedia.org/wiki/Trigger_Point","Open source")</x:f>
        <x:v>HYPERLINK is not implemented. linkLocation=https://en.wikipedia.org/wiki/Trigger_Point, friendlyName=Open source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 t="str">
        <x:v>No established-register match</x:v>
      </x:c>
      <x:c r="AT648" s="14"/>
      <x:c r="AU648" s="14"/>
      <x:c r="AV648" s="14" t="str">
        <x:v>No established apparent-disability match</x:v>
      </x:c>
      <x:c r="AW648" s="14"/>
      <x:c r="AX648" s="14" t="str">
        <x:v>No</x:v>
      </x:c>
      <x:c r="AY648" s="14" t="str">
        <x:v>Unmatched</x:v>
      </x:c>
      <x:c r="AZ648" s="14" t="str">
        <x:v>Final supplied register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24</x:v>
      </x:c>
      <x:c r="BP648" s="14" t="str">
        <x:v>Maximum supplied eligible IMDb cast-credit total; annual episode total not independently verified.</x:v>
      </x:c>
      <x:c r="BQ648" s="14" t="str">
        <x:v>Medium</x:v>
      </x:c>
      <x:c r="BR648" s="15" t="n">
        <x:v>3</x:v>
      </x:c>
      <x:c r="BS648" s="16" t="n">
        <x:v>0.125</x:v>
      </x:c>
      <x:c r="BT648" s="14" t="str">
        <x:v>Minority of episodes</x:v>
      </x:c>
      <x:c r="BU648" s="14" t="str">
        <x:v>Medium</x:v>
      </x:c>
      <x:c r="BV648" s="14" t="str">
        <x:v>Derived from the supplied IMDb episode count and documented production-total proxy.</x:v>
      </x:c>
      <x:c r="BW648" s="14" t="str">
        <x:v>Unable to determine</x:v>
      </x:c>
      <x:c r="BX648" s="14" t="str">
        <x:v>Cast-list and episode data do not establish narrative prominence.</x:v>
      </x:c>
      <x:c r="BY648" s="14" t="str">
        <x:v>Supplied IMDb cast-list workbook</x:v>
      </x:c>
      <x:c r="BZ64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tt11958610|nm1117771|hanson</x:v>
      </x:c>
      <x:c r="B649" s="14" t="str">
        <x:v>08</x:v>
      </x:c>
      <x:c r="C649" s="14" t="str">
        <x:v>2022_IMDb_Cast_Lists_Batch_08(1).xlsx</x:v>
      </x:c>
      <x:c r="D649" s="14" t="str">
        <x:v>Trigger Point</x:v>
      </x:c>
      <x:c r="E649" s="14" t="n">
        <x:v>53</x:v>
      </x:c>
      <x:c r="F649" s="14" t="str">
        <x:v>Trigger Point</x:v>
      </x:c>
      <x:c r="G649" s="14" t="str">
        <x:v>tt11958610</x:v>
      </x:c>
      <x:c r="H649" s="14" t="n">
        <x:v>2022</x:v>
      </x:c>
      <x:c r="I649" s="14" t="n">
        <x:v>2023</x:v>
      </x:c>
      <x:c r="J649" s="14" t="str">
        <x:v>Future Carry-Forward Cohort</x:v>
      </x:c>
      <x:c r="K649" s="14" t="n">
        <x:v>2022</x:v>
      </x:c>
      <x:c r="L649" s="14" t="str">
        <x:v>Not inherited</x:v>
      </x:c>
      <x:c r="M649" s="15" t="n">
        <x:v>46</x:v>
      </x:c>
      <x:c r="N649" s="14" t="str">
        <x:v>Lee Colley</x:v>
      </x:c>
      <x:c r="O649" s="14" t="str">
        <x:v>nm1117771</x:v>
      </x:c>
      <x:c r="P649" s="14" t="str">
        <x:v>Hanson</x:v>
      </x:c>
      <x:c r="Q649" s="15" t="n">
        <x:v>2</x:v>
      </x:c>
      <x:c r="R649" s="14" t="str">
        <x:v>2024</x:v>
      </x:c>
      <x:c r="S649" s="14" t="n">
        <x:v>2024</x:v>
      </x:c>
      <x:c r="T649" s="14" t="n">
        <x:v>2024</x:v>
      </x:c>
      <x:c r="U649" s="14" t="str">
        <x:v>Explicit source first year retained</x:v>
      </x:c>
      <x:c r="V649" s="14" t="str">
        <x:v>Earliest supplied year is 2024.</x:v>
      </x:c>
      <x:c r="W649" s="14"/>
      <x:c r="X649" s="14" t="str">
        <x:v>Carried forward to 2024</x:v>
      </x:c>
      <x:c r="Y649" s="14"/>
      <x:c r="Z649" s="14" t="str">
        <x:v>Trigger Point.docx</x:v>
      </x:c>
      <x:c r="AA64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9" s="14" t="str">
        <x:v>No established-register match</x:v>
      </x:c>
      <x:c r="AC649" s="14"/>
      <x:c r="AD649" s="14"/>
      <x:c r="AE649" s="14"/>
      <x:c r="AF649" s="14"/>
      <x:c r="AG649" s="14" t="str">
        <x:v>No qualifying conclusion recorded. Absence from the register is not evidence that the performer is not disabled.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7" t="e">
        <x:f>HYPERLINK("https://en.wikipedia.org/wiki/Trigger_Point","Open source")</x:f>
        <x:v>HYPERLINK is not implemented. linkLocation=https://en.wikipedia.org/wiki/Trigger_Point, friendlyName=Open source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No established-register match</x:v>
      </x:c>
      <x:c r="AT649" s="14"/>
      <x:c r="AU649" s="14"/>
      <x:c r="AV649" s="14" t="str">
        <x:v>No established apparent-disability match</x:v>
      </x:c>
      <x:c r="AW649" s="14"/>
      <x:c r="AX649" s="14" t="str">
        <x:v>No</x:v>
      </x:c>
      <x:c r="AY649" s="14" t="str">
        <x:v>Unmatched</x:v>
      </x:c>
      <x:c r="AZ649" s="14" t="str">
        <x:v>Final supplied register</x:v>
      </x:c>
      <x:c r="BA649" s="14" t="str">
        <x:v>Absence from the register is not evidence that the performer is not disabled.</x:v>
      </x:c>
      <x:c r="BB649" s="14" t="str">
        <x:v>No established-register match</x:v>
      </x:c>
      <x:c r="BC649" s="14"/>
      <x:c r="BD649" s="14"/>
      <x:c r="BE649" s="14"/>
      <x:c r="BF649" s="14" t="str">
        <x:v>No established apparent-disability match</x:v>
      </x:c>
      <x:c r="BG649" s="14"/>
      <x:c r="BH649" s="14" t="str">
        <x:v>No</x:v>
      </x:c>
      <x:c r="BI649" s="14"/>
      <x:c r="BJ649" s="14"/>
      <x:c r="BK649" s="14"/>
      <x:c r="BL649" s="14" t="str">
        <x:v>Unmatched</x:v>
      </x:c>
      <x:c r="BM649" s="14" t="str">
        <x:v>Final supplied register</x:v>
      </x:c>
      <x:c r="BN649" s="14" t="str">
        <x:v>Absence from the register is not evidence that the performer is not disabled.</x:v>
      </x:c>
      <x:c r="BO649" s="14" t="n">
        <x:v>24</x:v>
      </x:c>
      <x:c r="BP649" s="14" t="str">
        <x:v>Maximum supplied eligible IMDb cast-credit total; annual episode total not independently verified.</x:v>
      </x:c>
      <x:c r="BQ649" s="14" t="str">
        <x:v>Medium</x:v>
      </x:c>
      <x:c r="BR649" s="15" t="n">
        <x:v>2</x:v>
      </x:c>
      <x:c r="BS649" s="16" t="n">
        <x:v>0.08333333333333333</x:v>
      </x:c>
      <x:c r="BT649" s="14" t="str">
        <x:v>Minority of episodes</x:v>
      </x:c>
      <x:c r="BU649" s="14" t="str">
        <x:v>Medium</x:v>
      </x:c>
      <x:c r="BV649" s="14" t="str">
        <x:v>Derived from the supplied IMDb episode count and documented production-total proxy.</x:v>
      </x:c>
      <x:c r="BW649" s="14" t="str">
        <x:v>Unable to determine</x:v>
      </x:c>
      <x:c r="BX649" s="14" t="str">
        <x:v>Cast-list and episode data do not establish narrative prominence.</x:v>
      </x:c>
      <x:c r="BY649" s="14" t="str">
        <x:v>Supplied IMDb cast-list workbook</x:v>
      </x:c>
      <x:c r="BZ64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tt11958610|nm7610492|mac</x:v>
      </x:c>
      <x:c r="B650" s="14" t="str">
        <x:v>08</x:v>
      </x:c>
      <x:c r="C650" s="14" t="str">
        <x:v>2022_IMDb_Cast_Lists_Batch_08(1).xlsx</x:v>
      </x:c>
      <x:c r="D650" s="14" t="str">
        <x:v>Trigger Point</x:v>
      </x:c>
      <x:c r="E650" s="14" t="n">
        <x:v>56</x:v>
      </x:c>
      <x:c r="F650" s="14" t="str">
        <x:v>Trigger Point</x:v>
      </x:c>
      <x:c r="G650" s="14" t="str">
        <x:v>tt11958610</x:v>
      </x:c>
      <x:c r="H650" s="14" t="n">
        <x:v>2022</x:v>
      </x:c>
      <x:c r="I650" s="14" t="n">
        <x:v>2023</x:v>
      </x:c>
      <x:c r="J650" s="14" t="str">
        <x:v>Future Carry-Forward Cohort</x:v>
      </x:c>
      <x:c r="K650" s="14" t="n">
        <x:v>2022</x:v>
      </x:c>
      <x:c r="L650" s="14" t="str">
        <x:v>Not inherited</x:v>
      </x:c>
      <x:c r="M650" s="15" t="n">
        <x:v>49</x:v>
      </x:c>
      <x:c r="N650" s="14" t="str">
        <x:v>Dino Kelly</x:v>
      </x:c>
      <x:c r="O650" s="14" t="str">
        <x:v>nm7610492</x:v>
      </x:c>
      <x:c r="P650" s="14" t="str">
        <x:v>Mac</x:v>
      </x:c>
      <x:c r="Q650" s="15" t="n">
        <x:v>2</x:v>
      </x:c>
      <x:c r="R650" s="14" t="str">
        <x:v>2024</x:v>
      </x:c>
      <x:c r="S650" s="14" t="n">
        <x:v>2024</x:v>
      </x:c>
      <x:c r="T650" s="14" t="n">
        <x:v>2024</x:v>
      </x:c>
      <x:c r="U650" s="14" t="str">
        <x:v>Explicit source first year retained</x:v>
      </x:c>
      <x:c r="V650" s="14" t="str">
        <x:v>Earliest supplied year is 2024.</x:v>
      </x:c>
      <x:c r="W650" s="14"/>
      <x:c r="X650" s="14" t="str">
        <x:v>Carried forward to 2024</x:v>
      </x:c>
      <x:c r="Y650" s="14"/>
      <x:c r="Z650" s="14" t="str">
        <x:v>Trigger Point.docx</x:v>
      </x:c>
      <x:c r="AA65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7" t="e">
        <x:f>HYPERLINK("https://en.wikipedia.org/wiki/Trigger_Point","Open source")</x:f>
        <x:v>HYPERLINK is not implemented. linkLocation=https://en.wikipedia.org/wiki/Trigger_Point, friendlyName=Open source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 t="str">
        <x:v>No established-register match</x:v>
      </x:c>
      <x:c r="AT650" s="14"/>
      <x:c r="AU650" s="14"/>
      <x:c r="AV650" s="14" t="str">
        <x:v>No established apparent-disability match</x:v>
      </x:c>
      <x:c r="AW650" s="14"/>
      <x:c r="AX650" s="14" t="str">
        <x:v>No</x:v>
      </x:c>
      <x:c r="AY650" s="14" t="str">
        <x:v>Unmatched</x:v>
      </x:c>
      <x:c r="AZ650" s="14" t="str">
        <x:v>Final supplied register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24</x:v>
      </x:c>
      <x:c r="BP650" s="14" t="str">
        <x:v>Maximum supplied eligible IMDb cast-credit total; annual episode total not independently verified.</x:v>
      </x:c>
      <x:c r="BQ650" s="14" t="str">
        <x:v>Medium</x:v>
      </x:c>
      <x:c r="BR650" s="15" t="n">
        <x:v>2</x:v>
      </x:c>
      <x:c r="BS650" s="16" t="n">
        <x:v>0.08333333333333333</x:v>
      </x:c>
      <x:c r="BT650" s="14" t="str">
        <x:v>Minority of episodes</x:v>
      </x:c>
      <x:c r="BU650" s="14" t="str">
        <x:v>Medium</x:v>
      </x:c>
      <x:c r="BV650" s="14" t="str">
        <x:v>Derived from the supplied IMDb episode count and documented production-total proxy.</x:v>
      </x:c>
      <x:c r="BW650" s="14" t="str">
        <x:v>Unable to determine</x:v>
      </x:c>
      <x:c r="BX650" s="14" t="str">
        <x:v>Cast-list and episode data do not establish narrative prominence.</x:v>
      </x:c>
      <x:c r="BY650" s="14" t="str">
        <x:v>Supplied IMDb cast-list workbook</x:v>
      </x:c>
      <x:c r="BZ65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tt11958610|nm9502207|hugo</x:v>
      </x:c>
      <x:c r="B651" s="14" t="str">
        <x:v>08</x:v>
      </x:c>
      <x:c r="C651" s="14" t="str">
        <x:v>2022_IMDb_Cast_Lists_Batch_08(1).xlsx</x:v>
      </x:c>
      <x:c r="D651" s="14" t="str">
        <x:v>Trigger Point</x:v>
      </x:c>
      <x:c r="E651" s="14" t="n">
        <x:v>57</x:v>
      </x:c>
      <x:c r="F651" s="14" t="str">
        <x:v>Trigger Point</x:v>
      </x:c>
      <x:c r="G651" s="14" t="str">
        <x:v>tt11958610</x:v>
      </x:c>
      <x:c r="H651" s="14" t="n">
        <x:v>2022</x:v>
      </x:c>
      <x:c r="I651" s="14" t="n">
        <x:v>2023</x:v>
      </x:c>
      <x:c r="J651" s="14" t="str">
        <x:v>Future Carry-Forward Cohort</x:v>
      </x:c>
      <x:c r="K651" s="14" t="n">
        <x:v>2022</x:v>
      </x:c>
      <x:c r="L651" s="14" t="str">
        <x:v>Not inherited</x:v>
      </x:c>
      <x:c r="M651" s="15" t="n">
        <x:v>50</x:v>
      </x:c>
      <x:c r="N651" s="14" t="str">
        <x:v>Os Leanse</x:v>
      </x:c>
      <x:c r="O651" s="14" t="str">
        <x:v>nm9502207</x:v>
      </x:c>
      <x:c r="P651" s="14" t="str">
        <x:v>Hugo</x:v>
      </x:c>
      <x:c r="Q651" s="15" t="n">
        <x:v>2</x:v>
      </x:c>
      <x:c r="R651" s="14" t="str">
        <x:v>2024</x:v>
      </x:c>
      <x:c r="S651" s="14" t="n">
        <x:v>2024</x:v>
      </x:c>
      <x:c r="T651" s="14" t="n">
        <x:v>2024</x:v>
      </x:c>
      <x:c r="U651" s="14" t="str">
        <x:v>Explicit source first year retained</x:v>
      </x:c>
      <x:c r="V651" s="14" t="str">
        <x:v>Earliest supplied year is 2024.</x:v>
      </x:c>
      <x:c r="W651" s="14"/>
      <x:c r="X651" s="14" t="str">
        <x:v>Carried forward to 2024</x:v>
      </x:c>
      <x:c r="Y651" s="14"/>
      <x:c r="Z651" s="14" t="str">
        <x:v>Trigger Point.docx</x:v>
      </x:c>
      <x:c r="AA65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7" t="e">
        <x:f>HYPERLINK("https://en.wikipedia.org/wiki/Trigger_Point","Open source")</x:f>
        <x:v>HYPERLINK is not implemented. linkLocation=https://en.wikipedia.org/wiki/Trigger_Point, friendlyName=Open source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 t="str">
        <x:v>No established-register match</x:v>
      </x:c>
      <x:c r="AT651" s="14"/>
      <x:c r="AU651" s="14"/>
      <x:c r="AV651" s="14" t="str">
        <x:v>No established apparent-disability match</x:v>
      </x:c>
      <x:c r="AW651" s="14"/>
      <x:c r="AX651" s="14" t="str">
        <x:v>No</x:v>
      </x:c>
      <x:c r="AY651" s="14" t="str">
        <x:v>Unmatched</x:v>
      </x:c>
      <x:c r="AZ651" s="14" t="str">
        <x:v>Final supplied register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24</x:v>
      </x:c>
      <x:c r="BP651" s="14" t="str">
        <x:v>Maximum supplied eligible IMDb cast-credit total; annual episode total not independently verified.</x:v>
      </x:c>
      <x:c r="BQ651" s="14" t="str">
        <x:v>Medium</x:v>
      </x:c>
      <x:c r="BR651" s="15" t="n">
        <x:v>2</x:v>
      </x:c>
      <x:c r="BS651" s="16" t="n">
        <x:v>0.08333333333333333</x:v>
      </x:c>
      <x:c r="BT651" s="14" t="str">
        <x:v>Minority of episodes</x:v>
      </x:c>
      <x:c r="BU651" s="14" t="str">
        <x:v>Medium</x:v>
      </x:c>
      <x:c r="BV651" s="14" t="str">
        <x:v>Derived from the supplied IMDb episode count and documented production-total proxy.</x:v>
      </x:c>
      <x:c r="BW651" s="14" t="str">
        <x:v>Unable to determine</x:v>
      </x:c>
      <x:c r="BX651" s="14" t="str">
        <x:v>Cast-list and episode data do not establish narrative prominence.</x:v>
      </x:c>
      <x:c r="BY651" s="14" t="str">
        <x:v>Supplied IMDb cast-list workbook</x:v>
      </x:c>
      <x:c r="BZ65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tt11958610|nm1336710|webster king</x:v>
      </x:c>
      <x:c r="B652" s="14" t="str">
        <x:v>08</x:v>
      </x:c>
      <x:c r="C652" s="14" t="str">
        <x:v>2022_IMDb_Cast_Lists_Batch_08(1).xlsx</x:v>
      </x:c>
      <x:c r="D652" s="14" t="str">
        <x:v>Trigger Point</x:v>
      </x:c>
      <x:c r="E652" s="14" t="n">
        <x:v>59</x:v>
      </x:c>
      <x:c r="F652" s="14" t="str">
        <x:v>Trigger Point</x:v>
      </x:c>
      <x:c r="G652" s="14" t="str">
        <x:v>tt11958610</x:v>
      </x:c>
      <x:c r="H652" s="14" t="n">
        <x:v>2022</x:v>
      </x:c>
      <x:c r="I652" s="14" t="n">
        <x:v>2023</x:v>
      </x:c>
      <x:c r="J652" s="14" t="str">
        <x:v>Future Carry-Forward Cohort</x:v>
      </x:c>
      <x:c r="K652" s="14" t="n">
        <x:v>2022</x:v>
      </x:c>
      <x:c r="L652" s="14" t="str">
        <x:v>Not inherited</x:v>
      </x:c>
      <x:c r="M652" s="15" t="n">
        <x:v>52</x:v>
      </x:c>
      <x:c r="N652" s="14" t="str">
        <x:v>Oliver Senton</x:v>
      </x:c>
      <x:c r="O652" s="14" t="str">
        <x:v>nm1336710</x:v>
      </x:c>
      <x:c r="P652" s="14" t="str">
        <x:v>Webster King</x:v>
      </x:c>
      <x:c r="Q652" s="15" t="n">
        <x:v>2</x:v>
      </x:c>
      <x:c r="R652" s="14" t="str">
        <x:v>2024</x:v>
      </x:c>
      <x:c r="S652" s="14" t="n">
        <x:v>2024</x:v>
      </x:c>
      <x:c r="T652" s="14" t="n">
        <x:v>2024</x:v>
      </x:c>
      <x:c r="U652" s="14" t="str">
        <x:v>Explicit source first year retained</x:v>
      </x:c>
      <x:c r="V652" s="14" t="str">
        <x:v>Earliest supplied year is 2024.</x:v>
      </x:c>
      <x:c r="W652" s="14"/>
      <x:c r="X652" s="14" t="str">
        <x:v>Carried forward to 2024</x:v>
      </x:c>
      <x:c r="Y652" s="14"/>
      <x:c r="Z652" s="14" t="str">
        <x:v>Trigger Point.docx</x:v>
      </x:c>
      <x:c r="AA65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7" t="e">
        <x:f>HYPERLINK("https://en.wikipedia.org/wiki/Trigger_Point","Open source")</x:f>
        <x:v>HYPERLINK is not implemented. linkLocation=https://en.wikipedia.org/wiki/Trigger_Point, friendlyName=Open source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 t="str">
        <x:v>No established-register match</x:v>
      </x:c>
      <x:c r="AT652" s="14"/>
      <x:c r="AU652" s="14"/>
      <x:c r="AV652" s="14" t="str">
        <x:v>No established apparent-disability match</x:v>
      </x:c>
      <x:c r="AW652" s="14"/>
      <x:c r="AX652" s="14" t="str">
        <x:v>No</x:v>
      </x:c>
      <x:c r="AY652" s="14" t="str">
        <x:v>Unmatched</x:v>
      </x:c>
      <x:c r="AZ652" s="14" t="str">
        <x:v>Final supplied register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24</x:v>
      </x:c>
      <x:c r="BP652" s="14" t="str">
        <x:v>Maximum supplied eligible IMDb cast-credit total; annual episode total not independently verified.</x:v>
      </x:c>
      <x:c r="BQ652" s="14" t="str">
        <x:v>Medium</x:v>
      </x:c>
      <x:c r="BR652" s="15" t="n">
        <x:v>2</x:v>
      </x:c>
      <x:c r="BS652" s="16" t="n">
        <x:v>0.08333333333333333</x:v>
      </x:c>
      <x:c r="BT652" s="14" t="str">
        <x:v>Minority of episodes</x:v>
      </x:c>
      <x:c r="BU652" s="14" t="str">
        <x:v>Medium</x:v>
      </x:c>
      <x:c r="BV652" s="14" t="str">
        <x:v>Derived from the supplied IMDb episode count and documented production-total proxy.</x:v>
      </x:c>
      <x:c r="BW652" s="14" t="str">
        <x:v>Unable to determine</x:v>
      </x:c>
      <x:c r="BX652" s="14" t="str">
        <x:v>Cast-list and episode data do not establish narrative prominence.</x:v>
      </x:c>
      <x:c r="BY652" s="14" t="str">
        <x:v>Supplied IMDb cast-list workbook</x:v>
      </x:c>
      <x:c r="BZ65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tt11958610|nm0126119|shaun hodge</x:v>
      </x:c>
      <x:c r="B653" s="14" t="str">
        <x:v>08</x:v>
      </x:c>
      <x:c r="C653" s="14" t="str">
        <x:v>2022_IMDb_Cast_Lists_Batch_08(1).xlsx</x:v>
      </x:c>
      <x:c r="D653" s="14" t="str">
        <x:v>Trigger Point</x:v>
      </x:c>
      <x:c r="E653" s="14" t="n">
        <x:v>73</x:v>
      </x:c>
      <x:c r="F653" s="14" t="str">
        <x:v>Trigger Point</x:v>
      </x:c>
      <x:c r="G653" s="14" t="str">
        <x:v>tt11958610</x:v>
      </x:c>
      <x:c r="H653" s="14" t="n">
        <x:v>2022</x:v>
      </x:c>
      <x:c r="I653" s="14" t="n">
        <x:v>2023</x:v>
      </x:c>
      <x:c r="J653" s="14" t="str">
        <x:v>Future Carry-Forward Cohort</x:v>
      </x:c>
      <x:c r="K653" s="14" t="n">
        <x:v>2022</x:v>
      </x:c>
      <x:c r="L653" s="14" t="str">
        <x:v>Not inherited</x:v>
      </x:c>
      <x:c r="M653" s="15" t="n">
        <x:v>66</x:v>
      </x:c>
      <x:c r="N653" s="14" t="str">
        <x:v>Antony Byrne</x:v>
      </x:c>
      <x:c r="O653" s="14" t="str">
        <x:v>nm0126119</x:v>
      </x:c>
      <x:c r="P653" s="14" t="str">
        <x:v>Shaun Hodge</x:v>
      </x:c>
      <x:c r="Q653" s="15" t="n">
        <x:v>1</x:v>
      </x:c>
      <x:c r="R653" s="14" t="str">
        <x:v>2024</x:v>
      </x:c>
      <x:c r="S653" s="14" t="n">
        <x:v>2024</x:v>
      </x:c>
      <x:c r="T653" s="14" t="n">
        <x:v>2024</x:v>
      </x:c>
      <x:c r="U653" s="14" t="str">
        <x:v>Explicit source first year retained</x:v>
      </x:c>
      <x:c r="V653" s="14" t="str">
        <x:v>Earliest supplied year is 2024.</x:v>
      </x:c>
      <x:c r="W653" s="14"/>
      <x:c r="X653" s="14" t="str">
        <x:v>Carried forward to 2024</x:v>
      </x:c>
      <x:c r="Y653" s="14"/>
      <x:c r="Z653" s="14" t="str">
        <x:v>Trigger Point.docx</x:v>
      </x:c>
      <x:c r="AA65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7" t="e">
        <x:f>HYPERLINK("https://en.wikipedia.org/wiki/Trigger_Point","Open source")</x:f>
        <x:v>HYPERLINK is not implemented. linkLocation=https://en.wikipedia.org/wiki/Trigger_Point, friendlyName=Open source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 t="str">
        <x:v>No established-register match</x:v>
      </x:c>
      <x:c r="AT653" s="14"/>
      <x:c r="AU653" s="14"/>
      <x:c r="AV653" s="14" t="str">
        <x:v>No established apparent-disability match</x:v>
      </x:c>
      <x:c r="AW653" s="14"/>
      <x:c r="AX653" s="14" t="str">
        <x:v>No</x:v>
      </x:c>
      <x:c r="AY653" s="14" t="str">
        <x:v>Unmatched</x:v>
      </x:c>
      <x:c r="AZ653" s="14" t="str">
        <x:v>Final supplied register</x:v>
      </x:c>
      <x:c r="BA653" s="14" t="str">
        <x:v>Absence from the register is not evidence that the performer is not disabled.</x:v>
      </x:c>
      <x:c r="BB653" s="14" t="str">
        <x:v>No established-register match</x:v>
      </x:c>
      <x:c r="BC653" s="14"/>
      <x:c r="BD653" s="14"/>
      <x:c r="BE653" s="14"/>
      <x:c r="BF653" s="14" t="str">
        <x:v>No established apparent-disability match</x:v>
      </x:c>
      <x:c r="BG653" s="14"/>
      <x:c r="BH653" s="14" t="str">
        <x:v>No</x:v>
      </x:c>
      <x:c r="BI653" s="14"/>
      <x:c r="BJ653" s="14"/>
      <x:c r="BK653" s="14"/>
      <x:c r="BL653" s="14" t="str">
        <x:v>Unmatched</x:v>
      </x:c>
      <x:c r="BM653" s="14" t="str">
        <x:v>Final supplied register</x:v>
      </x:c>
      <x:c r="BN653" s="14" t="str">
        <x:v>Absence from the register is not evidence that the performer is not disabled.</x:v>
      </x:c>
      <x:c r="BO653" s="14" t="n">
        <x:v>24</x:v>
      </x:c>
      <x:c r="BP653" s="14" t="str">
        <x:v>Maximum supplied eligible IMDb cast-credit total; annual episode total not independently verified.</x:v>
      </x:c>
      <x:c r="BQ653" s="14" t="str">
        <x:v>Medium</x:v>
      </x:c>
      <x:c r="BR653" s="15" t="n">
        <x:v>1</x:v>
      </x:c>
      <x:c r="BS653" s="16" t="n">
        <x:v>0.041666666666666664</x:v>
      </x:c>
      <x:c r="BT653" s="14" t="str">
        <x:v>One episode</x:v>
      </x:c>
      <x:c r="BU653" s="14" t="str">
        <x:v>Medium</x:v>
      </x:c>
      <x:c r="BV653" s="14" t="str">
        <x:v>Derived from the supplied IMDb episode count and documented production-total proxy.</x:v>
      </x:c>
      <x:c r="BW653" s="14" t="str">
        <x:v>Unable to determine</x:v>
      </x:c>
      <x:c r="BX653" s="14" t="str">
        <x:v>Cast-list and episode data do not establish narrative prominence.</x:v>
      </x:c>
      <x:c r="BY653" s="14" t="str">
        <x:v>Supplied IMDb cast-list workbook</x:v>
      </x:c>
      <x:c r="BZ65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tt11958610|nm5222012|inspector pierce</x:v>
      </x:c>
      <x:c r="B654" s="14" t="str">
        <x:v>08</x:v>
      </x:c>
      <x:c r="C654" s="14" t="str">
        <x:v>2022_IMDb_Cast_Lists_Batch_08(1).xlsx</x:v>
      </x:c>
      <x:c r="D654" s="14" t="str">
        <x:v>Trigger Point</x:v>
      </x:c>
      <x:c r="E654" s="14" t="n">
        <x:v>74</x:v>
      </x:c>
      <x:c r="F654" s="14" t="str">
        <x:v>Trigger Point</x:v>
      </x:c>
      <x:c r="G654" s="14" t="str">
        <x:v>tt11958610</x:v>
      </x:c>
      <x:c r="H654" s="14" t="n">
        <x:v>2022</x:v>
      </x:c>
      <x:c r="I654" s="14" t="n">
        <x:v>2023</x:v>
      </x:c>
      <x:c r="J654" s="14" t="str">
        <x:v>Future Carry-Forward Cohort</x:v>
      </x:c>
      <x:c r="K654" s="14" t="n">
        <x:v>2022</x:v>
      </x:c>
      <x:c r="L654" s="14" t="str">
        <x:v>Not inherited</x:v>
      </x:c>
      <x:c r="M654" s="15" t="n">
        <x:v>67</x:v>
      </x:c>
      <x:c r="N654" s="14" t="str">
        <x:v>Jarren Dalmeda</x:v>
      </x:c>
      <x:c r="O654" s="14" t="str">
        <x:v>nm5222012</x:v>
      </x:c>
      <x:c r="P654" s="14" t="str">
        <x:v>Inspector Pierce</x:v>
      </x:c>
      <x:c r="Q654" s="15" t="n">
        <x:v>1</x:v>
      </x:c>
      <x:c r="R654" s="14" t="str">
        <x:v>2024</x:v>
      </x:c>
      <x:c r="S654" s="14" t="n">
        <x:v>2024</x:v>
      </x:c>
      <x:c r="T654" s="14" t="n">
        <x:v>2024</x:v>
      </x:c>
      <x:c r="U654" s="14" t="str">
        <x:v>Explicit source first year retained</x:v>
      </x:c>
      <x:c r="V654" s="14" t="str">
        <x:v>Earliest supplied year is 2024.</x:v>
      </x:c>
      <x:c r="W654" s="14"/>
      <x:c r="X654" s="14" t="str">
        <x:v>Carried forward to 2024</x:v>
      </x:c>
      <x:c r="Y654" s="14"/>
      <x:c r="Z654" s="14" t="str">
        <x:v>Trigger Point.docx</x:v>
      </x:c>
      <x:c r="AA65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7" t="e">
        <x:f>HYPERLINK("https://en.wikipedia.org/wiki/Trigger_Point","Open source")</x:f>
        <x:v>HYPERLINK is not implemented. linkLocation=https://en.wikipedia.org/wiki/Trigger_Point, friendlyName=Open source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 t="str">
        <x:v>No established-register match</x:v>
      </x:c>
      <x:c r="AT654" s="14"/>
      <x:c r="AU654" s="14"/>
      <x:c r="AV654" s="14" t="str">
        <x:v>No established apparent-disability match</x:v>
      </x:c>
      <x:c r="AW654" s="14"/>
      <x:c r="AX654" s="14" t="str">
        <x:v>No</x:v>
      </x:c>
      <x:c r="AY654" s="14" t="str">
        <x:v>Unmatched</x:v>
      </x:c>
      <x:c r="AZ654" s="14" t="str">
        <x:v>Final supplied register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24</x:v>
      </x:c>
      <x:c r="BP654" s="14" t="str">
        <x:v>Maximum supplied eligible IMDb cast-credit total; annual episode total not independently verified.</x:v>
      </x:c>
      <x:c r="BQ654" s="14" t="str">
        <x:v>Medium</x:v>
      </x:c>
      <x:c r="BR654" s="15" t="n">
        <x:v>1</x:v>
      </x:c>
      <x:c r="BS654" s="16" t="n">
        <x:v>0.041666666666666664</x:v>
      </x:c>
      <x:c r="BT654" s="14" t="str">
        <x:v>One episode</x:v>
      </x:c>
      <x:c r="BU654" s="14" t="str">
        <x:v>Medium</x:v>
      </x:c>
      <x:c r="BV654" s="14" t="str">
        <x:v>Derived from the supplied IMDb episode count and documented production-total proxy.</x:v>
      </x:c>
      <x:c r="BW654" s="14" t="str">
        <x:v>Unable to determine</x:v>
      </x:c>
      <x:c r="BX654" s="14" t="str">
        <x:v>Cast-list and episode data do not establish narrative prominence.</x:v>
      </x:c>
      <x:c r="BY654" s="14" t="str">
        <x:v>Supplied IMDb cast-list workbook</x:v>
      </x:c>
      <x:c r="BZ65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tt11958610|nm14046696|suzie</x:v>
      </x:c>
      <x:c r="B655" s="14" t="str">
        <x:v>08</x:v>
      </x:c>
      <x:c r="C655" s="14" t="str">
        <x:v>2022_IMDb_Cast_Lists_Batch_08(1).xlsx</x:v>
      </x:c>
      <x:c r="D655" s="14" t="str">
        <x:v>Trigger Point</x:v>
      </x:c>
      <x:c r="E655" s="14" t="n">
        <x:v>75</x:v>
      </x:c>
      <x:c r="F655" s="14" t="str">
        <x:v>Trigger Point</x:v>
      </x:c>
      <x:c r="G655" s="14" t="str">
        <x:v>tt11958610</x:v>
      </x:c>
      <x:c r="H655" s="14" t="n">
        <x:v>2022</x:v>
      </x:c>
      <x:c r="I655" s="14" t="n">
        <x:v>2023</x:v>
      </x:c>
      <x:c r="J655" s="14" t="str">
        <x:v>Future Carry-Forward Cohort</x:v>
      </x:c>
      <x:c r="K655" s="14" t="n">
        <x:v>2022</x:v>
      </x:c>
      <x:c r="L655" s="14" t="str">
        <x:v>Not inherited</x:v>
      </x:c>
      <x:c r="M655" s="15" t="n">
        <x:v>68</x:v>
      </x:c>
      <x:c r="N655" s="14" t="str">
        <x:v>Rose Basista</x:v>
      </x:c>
      <x:c r="O655" s="14" t="str">
        <x:v>nm14046696</x:v>
      </x:c>
      <x:c r="P655" s="14" t="str">
        <x:v>Suzie</x:v>
      </x:c>
      <x:c r="Q655" s="15" t="n">
        <x:v>1</x:v>
      </x:c>
      <x:c r="R655" s="14" t="str">
        <x:v>2024</x:v>
      </x:c>
      <x:c r="S655" s="14" t="n">
        <x:v>2024</x:v>
      </x:c>
      <x:c r="T655" s="14" t="n">
        <x:v>2024</x:v>
      </x:c>
      <x:c r="U655" s="14" t="str">
        <x:v>Explicit source first year retained</x:v>
      </x:c>
      <x:c r="V655" s="14" t="str">
        <x:v>Earliest supplied year is 2024.</x:v>
      </x:c>
      <x:c r="W655" s="14"/>
      <x:c r="X655" s="14" t="str">
        <x:v>Carried forward to 2024</x:v>
      </x:c>
      <x:c r="Y655" s="14"/>
      <x:c r="Z655" s="14" t="str">
        <x:v>Trigger Point.docx</x:v>
      </x:c>
      <x:c r="AA65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7" t="e">
        <x:f>HYPERLINK("https://en.wikipedia.org/wiki/Trigger_Point","Open source")</x:f>
        <x:v>HYPERLINK is not implemented. linkLocation=https://en.wikipedia.org/wiki/Trigger_Point, friendlyName=Open source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 t="str">
        <x:v>No established-register match</x:v>
      </x:c>
      <x:c r="AT655" s="14"/>
      <x:c r="AU655" s="14"/>
      <x:c r="AV655" s="14" t="str">
        <x:v>No established apparent-disability match</x:v>
      </x:c>
      <x:c r="AW655" s="14"/>
      <x:c r="AX655" s="14" t="str">
        <x:v>No</x:v>
      </x:c>
      <x:c r="AY655" s="14" t="str">
        <x:v>Unmatched</x:v>
      </x:c>
      <x:c r="AZ655" s="14" t="str">
        <x:v>Final supplied register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24</x:v>
      </x:c>
      <x:c r="BP655" s="14" t="str">
        <x:v>Maximum supplied eligible IMDb cast-credit total; annual episode total not independently verified.</x:v>
      </x:c>
      <x:c r="BQ655" s="14" t="str">
        <x:v>Medium</x:v>
      </x:c>
      <x:c r="BR655" s="15" t="n">
        <x:v>1</x:v>
      </x:c>
      <x:c r="BS655" s="16" t="n">
        <x:v>0.041666666666666664</x:v>
      </x:c>
      <x:c r="BT655" s="14" t="str">
        <x:v>One episode</x:v>
      </x:c>
      <x:c r="BU655" s="14" t="str">
        <x:v>Medium</x:v>
      </x:c>
      <x:c r="BV655" s="14" t="str">
        <x:v>Derived from the supplied IMDb episode count and documented production-total proxy.</x:v>
      </x:c>
      <x:c r="BW655" s="14" t="str">
        <x:v>Unable to determine</x:v>
      </x:c>
      <x:c r="BX655" s="14" t="str">
        <x:v>Cast-list and episode data do not establish narrative prominence.</x:v>
      </x:c>
      <x:c r="BY655" s="14" t="str">
        <x:v>Supplied IMDb cast-list workbook</x:v>
      </x:c>
      <x:c r="BZ65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tt11958610|nm15824236|royal engineer</x:v>
      </x:c>
      <x:c r="B656" s="14" t="str">
        <x:v>08</x:v>
      </x:c>
      <x:c r="C656" s="14" t="str">
        <x:v>2022_IMDb_Cast_Lists_Batch_08(1).xlsx</x:v>
      </x:c>
      <x:c r="D656" s="14" t="str">
        <x:v>Trigger Point</x:v>
      </x:c>
      <x:c r="E656" s="14" t="n">
        <x:v>76</x:v>
      </x:c>
      <x:c r="F656" s="14" t="str">
        <x:v>Trigger Point</x:v>
      </x:c>
      <x:c r="G656" s="14" t="str">
        <x:v>tt11958610</x:v>
      </x:c>
      <x:c r="H656" s="14" t="n">
        <x:v>2022</x:v>
      </x:c>
      <x:c r="I656" s="14" t="n">
        <x:v>2023</x:v>
      </x:c>
      <x:c r="J656" s="14" t="str">
        <x:v>Future Carry-Forward Cohort</x:v>
      </x:c>
      <x:c r="K656" s="14" t="n">
        <x:v>2022</x:v>
      </x:c>
      <x:c r="L656" s="14" t="str">
        <x:v>Not inherited</x:v>
      </x:c>
      <x:c r="M656" s="15" t="n">
        <x:v>69</x:v>
      </x:c>
      <x:c r="N656" s="14" t="str">
        <x:v>Ashley Sean Cooke</x:v>
      </x:c>
      <x:c r="O656" s="14" t="str">
        <x:v>nm15824236</x:v>
      </x:c>
      <x:c r="P656" s="14" t="str">
        <x:v>Royal Engineer</x:v>
      </x:c>
      <x:c r="Q656" s="15" t="n">
        <x:v>1</x:v>
      </x:c>
      <x:c r="R656" s="14" t="str">
        <x:v>2024</x:v>
      </x:c>
      <x:c r="S656" s="14" t="n">
        <x:v>2024</x:v>
      </x:c>
      <x:c r="T656" s="14" t="n">
        <x:v>2024</x:v>
      </x:c>
      <x:c r="U656" s="14" t="str">
        <x:v>Explicit source first year retained</x:v>
      </x:c>
      <x:c r="V656" s="14" t="str">
        <x:v>Earliest supplied year is 2024.</x:v>
      </x:c>
      <x:c r="W656" s="14"/>
      <x:c r="X656" s="14" t="str">
        <x:v>Carried forward to 2024</x:v>
      </x:c>
      <x:c r="Y656" s="14"/>
      <x:c r="Z656" s="14" t="str">
        <x:v>Trigger Point.docx</x:v>
      </x:c>
      <x:c r="AA65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7" t="e">
        <x:f>HYPERLINK("https://en.wikipedia.org/wiki/Trigger_Point","Open source")</x:f>
        <x:v>HYPERLINK is not implemented. linkLocation=https://en.wikipedia.org/wiki/Trigger_Point, friendlyName=Open source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 t="str">
        <x:v>No established-register match</x:v>
      </x:c>
      <x:c r="AT656" s="14"/>
      <x:c r="AU656" s="14"/>
      <x:c r="AV656" s="14" t="str">
        <x:v>No established apparent-disability match</x:v>
      </x:c>
      <x:c r="AW656" s="14"/>
      <x:c r="AX656" s="14" t="str">
        <x:v>No</x:v>
      </x:c>
      <x:c r="AY656" s="14" t="str">
        <x:v>Unmatched</x:v>
      </x:c>
      <x:c r="AZ656" s="14" t="str">
        <x:v>Final supplied register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24</x:v>
      </x:c>
      <x:c r="BP656" s="14" t="str">
        <x:v>Maximum supplied eligible IMDb cast-credit total; annual episode total not independently verified.</x:v>
      </x:c>
      <x:c r="BQ656" s="14" t="str">
        <x:v>Medium</x:v>
      </x:c>
      <x:c r="BR656" s="15" t="n">
        <x:v>1</x:v>
      </x:c>
      <x:c r="BS656" s="16" t="n">
        <x:v>0.041666666666666664</x:v>
      </x:c>
      <x:c r="BT656" s="14" t="str">
        <x:v>One episode</x:v>
      </x:c>
      <x:c r="BU656" s="14" t="str">
        <x:v>Medium</x:v>
      </x:c>
      <x:c r="BV656" s="14" t="str">
        <x:v>Derived from the supplied IMDb episode count and documented production-total proxy.</x:v>
      </x:c>
      <x:c r="BW656" s="14" t="str">
        <x:v>Unable to determine</x:v>
      </x:c>
      <x:c r="BX656" s="14" t="str">
        <x:v>Cast-list and episode data do not establish narrative prominence.</x:v>
      </x:c>
      <x:c r="BY656" s="14" t="str">
        <x:v>Supplied IMDb cast-list workbook</x:v>
      </x:c>
      <x:c r="BZ65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tt11958610|nm0212524|matthew palfrey</x:v>
      </x:c>
      <x:c r="B657" s="14" t="str">
        <x:v>08</x:v>
      </x:c>
      <x:c r="C657" s="14" t="str">
        <x:v>2022_IMDb_Cast_Lists_Batch_08(1).xlsx</x:v>
      </x:c>
      <x:c r="D657" s="14" t="str">
        <x:v>Trigger Point</x:v>
      </x:c>
      <x:c r="E657" s="14" t="n">
        <x:v>77</x:v>
      </x:c>
      <x:c r="F657" s="14" t="str">
        <x:v>Trigger Point</x:v>
      </x:c>
      <x:c r="G657" s="14" t="str">
        <x:v>tt11958610</x:v>
      </x:c>
      <x:c r="H657" s="14" t="n">
        <x:v>2022</x:v>
      </x:c>
      <x:c r="I657" s="14" t="n">
        <x:v>2023</x:v>
      </x:c>
      <x:c r="J657" s="14" t="str">
        <x:v>Future Carry-Forward Cohort</x:v>
      </x:c>
      <x:c r="K657" s="14" t="n">
        <x:v>2022</x:v>
      </x:c>
      <x:c r="L657" s="14" t="str">
        <x:v>Not inherited</x:v>
      </x:c>
      <x:c r="M657" s="15" t="n">
        <x:v>70</x:v>
      </x:c>
      <x:c r="N657" s="14" t="str">
        <x:v>Charlie De'Ath</x:v>
      </x:c>
      <x:c r="O657" s="14" t="str">
        <x:v>nm0212524</x:v>
      </x:c>
      <x:c r="P657" s="14" t="str">
        <x:v>Matthew Palfrey</x:v>
      </x:c>
      <x:c r="Q657" s="15" t="n">
        <x:v>1</x:v>
      </x:c>
      <x:c r="R657" s="14" t="str">
        <x:v>2024</x:v>
      </x:c>
      <x:c r="S657" s="14" t="n">
        <x:v>2024</x:v>
      </x:c>
      <x:c r="T657" s="14" t="n">
        <x:v>2024</x:v>
      </x:c>
      <x:c r="U657" s="14" t="str">
        <x:v>Explicit source first year retained</x:v>
      </x:c>
      <x:c r="V657" s="14" t="str">
        <x:v>Earliest supplied year is 2024.</x:v>
      </x:c>
      <x:c r="W657" s="14"/>
      <x:c r="X657" s="14" t="str">
        <x:v>Carried forward to 2024</x:v>
      </x:c>
      <x:c r="Y657" s="14" t="str">
        <x:v>(as Charles De'Ath)</x:v>
      </x:c>
      <x:c r="Z657" s="14" t="str">
        <x:v>Trigger Point.docx</x:v>
      </x:c>
      <x:c r="AA65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7" t="e">
        <x:f>HYPERLINK("https://en.wikipedia.org/wiki/Trigger_Point","Open source")</x:f>
        <x:v>HYPERLINK is not implemented. linkLocation=https://en.wikipedia.org/wiki/Trigger_Point, friendlyName=Open source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 t="str">
        <x:v>No established-register match</x:v>
      </x:c>
      <x:c r="AT657" s="14"/>
      <x:c r="AU657" s="14"/>
      <x:c r="AV657" s="14" t="str">
        <x:v>No established apparent-disability match</x:v>
      </x:c>
      <x:c r="AW657" s="14"/>
      <x:c r="AX657" s="14" t="str">
        <x:v>No</x:v>
      </x:c>
      <x:c r="AY657" s="14" t="str">
        <x:v>Unmatched</x:v>
      </x:c>
      <x:c r="AZ657" s="14" t="str">
        <x:v>Final supplied register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24</x:v>
      </x:c>
      <x:c r="BP657" s="14" t="str">
        <x:v>Maximum supplied eligible IMDb cast-credit total; annual episode total not independently verified.</x:v>
      </x:c>
      <x:c r="BQ657" s="14" t="str">
        <x:v>Medium</x:v>
      </x:c>
      <x:c r="BR657" s="15" t="n">
        <x:v>1</x:v>
      </x:c>
      <x:c r="BS657" s="16" t="n">
        <x:v>0.041666666666666664</x:v>
      </x:c>
      <x:c r="BT657" s="14" t="str">
        <x:v>One episode</x:v>
      </x:c>
      <x:c r="BU657" s="14" t="str">
        <x:v>Medium</x:v>
      </x:c>
      <x:c r="BV657" s="14" t="str">
        <x:v>Derived from the supplied IMDb episode count and documented production-total proxy.</x:v>
      </x:c>
      <x:c r="BW657" s="14" t="str">
        <x:v>Unable to determine</x:v>
      </x:c>
      <x:c r="BX657" s="14" t="str">
        <x:v>Cast-list and episode data do not establish narrative prominence.</x:v>
      </x:c>
      <x:c r="BY657" s="14" t="str">
        <x:v>Supplied IMDb cast-list workbook</x:v>
      </x:c>
      <x:c r="BZ65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tt11958610|nm15777563|ctsfo 2</x:v>
      </x:c>
      <x:c r="B658" s="14" t="str">
        <x:v>08</x:v>
      </x:c>
      <x:c r="C658" s="14" t="str">
        <x:v>2022_IMDb_Cast_Lists_Batch_08(1).xlsx</x:v>
      </x:c>
      <x:c r="D658" s="14" t="str">
        <x:v>Trigger Point</x:v>
      </x:c>
      <x:c r="E658" s="14" t="n">
        <x:v>78</x:v>
      </x:c>
      <x:c r="F658" s="14" t="str">
        <x:v>Trigger Point</x:v>
      </x:c>
      <x:c r="G658" s="14" t="str">
        <x:v>tt11958610</x:v>
      </x:c>
      <x:c r="H658" s="14" t="n">
        <x:v>2022</x:v>
      </x:c>
      <x:c r="I658" s="14" t="n">
        <x:v>2023</x:v>
      </x:c>
      <x:c r="J658" s="14" t="str">
        <x:v>Future Carry-Forward Cohort</x:v>
      </x:c>
      <x:c r="K658" s="14" t="n">
        <x:v>2022</x:v>
      </x:c>
      <x:c r="L658" s="14" t="str">
        <x:v>Not inherited</x:v>
      </x:c>
      <x:c r="M658" s="15" t="n">
        <x:v>71</x:v>
      </x:c>
      <x:c r="N658" s="14" t="str">
        <x:v>Anthony D'Arcy</x:v>
      </x:c>
      <x:c r="O658" s="14" t="str">
        <x:v>nm15777563</x:v>
      </x:c>
      <x:c r="P658" s="14" t="str">
        <x:v>CTSFO 2</x:v>
      </x:c>
      <x:c r="Q658" s="15" t="n">
        <x:v>1</x:v>
      </x:c>
      <x:c r="R658" s="14" t="str">
        <x:v>2024</x:v>
      </x:c>
      <x:c r="S658" s="14" t="n">
        <x:v>2024</x:v>
      </x:c>
      <x:c r="T658" s="14" t="n">
        <x:v>2024</x:v>
      </x:c>
      <x:c r="U658" s="14" t="str">
        <x:v>Explicit source first year retained</x:v>
      </x:c>
      <x:c r="V658" s="14" t="str">
        <x:v>Earliest supplied year is 2024.</x:v>
      </x:c>
      <x:c r="W658" s="14"/>
      <x:c r="X658" s="14" t="str">
        <x:v>Carried forward to 2024</x:v>
      </x:c>
      <x:c r="Y658" s="14"/>
      <x:c r="Z658" s="14" t="str">
        <x:v>Trigger Point.docx</x:v>
      </x:c>
      <x:c r="AA65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7" t="e">
        <x:f>HYPERLINK("https://en.wikipedia.org/wiki/Trigger_Point","Open source")</x:f>
        <x:v>HYPERLINK is not implemented. linkLocation=https://en.wikipedia.org/wiki/Trigger_Point, friendlyName=Open source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 t="str">
        <x:v>No established-register match</x:v>
      </x:c>
      <x:c r="AT658" s="14"/>
      <x:c r="AU658" s="14"/>
      <x:c r="AV658" s="14" t="str">
        <x:v>No established apparent-disability match</x:v>
      </x:c>
      <x:c r="AW658" s="14"/>
      <x:c r="AX658" s="14" t="str">
        <x:v>No</x:v>
      </x:c>
      <x:c r="AY658" s="14" t="str">
        <x:v>Unmatched</x:v>
      </x:c>
      <x:c r="AZ658" s="14" t="str">
        <x:v>Final supplied register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24</x:v>
      </x:c>
      <x:c r="BP658" s="14" t="str">
        <x:v>Maximum supplied eligible IMDb cast-credit total; annual episode total not independently verified.</x:v>
      </x:c>
      <x:c r="BQ658" s="14" t="str">
        <x:v>Medium</x:v>
      </x:c>
      <x:c r="BR658" s="15" t="n">
        <x:v>1</x:v>
      </x:c>
      <x:c r="BS658" s="16" t="n">
        <x:v>0.041666666666666664</x:v>
      </x:c>
      <x:c r="BT658" s="14" t="str">
        <x:v>One episode</x:v>
      </x:c>
      <x:c r="BU658" s="14" t="str">
        <x:v>Medium</x:v>
      </x:c>
      <x:c r="BV658" s="14" t="str">
        <x:v>Derived from the supplied IMDb episode count and documented production-total proxy.</x:v>
      </x:c>
      <x:c r="BW658" s="14" t="str">
        <x:v>Unable to determine</x:v>
      </x:c>
      <x:c r="BX658" s="14" t="str">
        <x:v>Cast-list and episode data do not establish narrative prominence.</x:v>
      </x:c>
      <x:c r="BY658" s="14" t="str">
        <x:v>Supplied IMDb cast-list workbook</x:v>
      </x:c>
      <x:c r="BZ65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tt11958610|nm10326483|luke</x:v>
      </x:c>
      <x:c r="B659" s="14" t="str">
        <x:v>08</x:v>
      </x:c>
      <x:c r="C659" s="14" t="str">
        <x:v>2022_IMDb_Cast_Lists_Batch_08(1).xlsx</x:v>
      </x:c>
      <x:c r="D659" s="14" t="str">
        <x:v>Trigger Point</x:v>
      </x:c>
      <x:c r="E659" s="14" t="n">
        <x:v>80</x:v>
      </x:c>
      <x:c r="F659" s="14" t="str">
        <x:v>Trigger Point</x:v>
      </x:c>
      <x:c r="G659" s="14" t="str">
        <x:v>tt11958610</x:v>
      </x:c>
      <x:c r="H659" s="14" t="n">
        <x:v>2022</x:v>
      </x:c>
      <x:c r="I659" s="14" t="n">
        <x:v>2023</x:v>
      </x:c>
      <x:c r="J659" s="14" t="str">
        <x:v>Future Carry-Forward Cohort</x:v>
      </x:c>
      <x:c r="K659" s="14" t="n">
        <x:v>2022</x:v>
      </x:c>
      <x:c r="L659" s="14" t="str">
        <x:v>Not inherited</x:v>
      </x:c>
      <x:c r="M659" s="15" t="n">
        <x:v>73</x:v>
      </x:c>
      <x:c r="N659" s="14" t="str">
        <x:v>Alexander Eliot</x:v>
      </x:c>
      <x:c r="O659" s="14" t="str">
        <x:v>nm10326483</x:v>
      </x:c>
      <x:c r="P659" s="14" t="str">
        <x:v>Luke</x:v>
      </x:c>
      <x:c r="Q659" s="15" t="n">
        <x:v>1</x:v>
      </x:c>
      <x:c r="R659" s="14" t="str">
        <x:v>2024</x:v>
      </x:c>
      <x:c r="S659" s="14" t="n">
        <x:v>2024</x:v>
      </x:c>
      <x:c r="T659" s="14" t="n">
        <x:v>2024</x:v>
      </x:c>
      <x:c r="U659" s="14" t="str">
        <x:v>Explicit source first year retained</x:v>
      </x:c>
      <x:c r="V659" s="14" t="str">
        <x:v>Earliest supplied year is 2024.</x:v>
      </x:c>
      <x:c r="W659" s="14"/>
      <x:c r="X659" s="14" t="str">
        <x:v>Carried forward to 2024</x:v>
      </x:c>
      <x:c r="Y659" s="14"/>
      <x:c r="Z659" s="14" t="str">
        <x:v>Trigger Point.docx</x:v>
      </x:c>
      <x:c r="AA65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7" t="e">
        <x:f>HYPERLINK("https://en.wikipedia.org/wiki/Trigger_Point","Open source")</x:f>
        <x:v>HYPERLINK is not implemented. linkLocation=https://en.wikipedia.org/wiki/Trigger_Point, friendlyName=Open source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 t="str">
        <x:v>No established-register match</x:v>
      </x:c>
      <x:c r="AT659" s="14"/>
      <x:c r="AU659" s="14"/>
      <x:c r="AV659" s="14" t="str">
        <x:v>No established apparent-disability match</x:v>
      </x:c>
      <x:c r="AW659" s="14"/>
      <x:c r="AX659" s="14" t="str">
        <x:v>No</x:v>
      </x:c>
      <x:c r="AY659" s="14" t="str">
        <x:v>Unmatched</x:v>
      </x:c>
      <x:c r="AZ659" s="14" t="str">
        <x:v>Final supplied register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24</x:v>
      </x:c>
      <x:c r="BP659" s="14" t="str">
        <x:v>Maximum supplied eligible IMDb cast-credit total; annual episode total not independently verified.</x:v>
      </x:c>
      <x:c r="BQ659" s="14" t="str">
        <x:v>Medium</x:v>
      </x:c>
      <x:c r="BR659" s="15" t="n">
        <x:v>1</x:v>
      </x:c>
      <x:c r="BS659" s="16" t="n">
        <x:v>0.041666666666666664</x:v>
      </x:c>
      <x:c r="BT659" s="14" t="str">
        <x:v>One episode</x:v>
      </x:c>
      <x:c r="BU659" s="14" t="str">
        <x:v>Medium</x:v>
      </x:c>
      <x:c r="BV659" s="14" t="str">
        <x:v>Derived from the supplied IMDb episode count and documented production-total proxy.</x:v>
      </x:c>
      <x:c r="BW659" s="14" t="str">
        <x:v>Unable to determine</x:v>
      </x:c>
      <x:c r="BX659" s="14" t="str">
        <x:v>Cast-list and episode data do not establish narrative prominence.</x:v>
      </x:c>
      <x:c r="BY659" s="14" t="str">
        <x:v>Supplied IMDb cast-list workbook</x:v>
      </x:c>
      <x:c r="BZ65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tt11958610|nm1627489|home secretary</x:v>
      </x:c>
      <x:c r="B660" s="14" t="str">
        <x:v>08</x:v>
      </x:c>
      <x:c r="C660" s="14" t="str">
        <x:v>2022_IMDb_Cast_Lists_Batch_08(1).xlsx</x:v>
      </x:c>
      <x:c r="D660" s="14" t="str">
        <x:v>Trigger Point</x:v>
      </x:c>
      <x:c r="E660" s="14" t="n">
        <x:v>81</x:v>
      </x:c>
      <x:c r="F660" s="14" t="str">
        <x:v>Trigger Point</x:v>
      </x:c>
      <x:c r="G660" s="14" t="str">
        <x:v>tt11958610</x:v>
      </x:c>
      <x:c r="H660" s="14" t="n">
        <x:v>2022</x:v>
      </x:c>
      <x:c r="I660" s="14" t="n">
        <x:v>2023</x:v>
      </x:c>
      <x:c r="J660" s="14" t="str">
        <x:v>Future Carry-Forward Cohort</x:v>
      </x:c>
      <x:c r="K660" s="14" t="n">
        <x:v>2022</x:v>
      </x:c>
      <x:c r="L660" s="14" t="str">
        <x:v>Not inherited</x:v>
      </x:c>
      <x:c r="M660" s="15" t="n">
        <x:v>74</x:v>
      </x:c>
      <x:c r="N660" s="14" t="str">
        <x:v>Hilary Greatorex</x:v>
      </x:c>
      <x:c r="O660" s="14" t="str">
        <x:v>nm1627489</x:v>
      </x:c>
      <x:c r="P660" s="14" t="str">
        <x:v>Home Secretary</x:v>
      </x:c>
      <x:c r="Q660" s="15" t="n">
        <x:v>1</x:v>
      </x:c>
      <x:c r="R660" s="14" t="str">
        <x:v>2024</x:v>
      </x:c>
      <x:c r="S660" s="14" t="n">
        <x:v>2024</x:v>
      </x:c>
      <x:c r="T660" s="14" t="n">
        <x:v>2024</x:v>
      </x:c>
      <x:c r="U660" s="14" t="str">
        <x:v>Explicit source first year retained</x:v>
      </x:c>
      <x:c r="V660" s="14" t="str">
        <x:v>Earliest supplied year is 2024.</x:v>
      </x:c>
      <x:c r="W660" s="14"/>
      <x:c r="X660" s="14" t="str">
        <x:v>Carried forward to 2024</x:v>
      </x:c>
      <x:c r="Y660" s="14"/>
      <x:c r="Z660" s="14" t="str">
        <x:v>Trigger Point.docx</x:v>
      </x:c>
      <x:c r="AA66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7" t="e">
        <x:f>HYPERLINK("https://en.wikipedia.org/wiki/Trigger_Point","Open source")</x:f>
        <x:v>HYPERLINK is not implemented. linkLocation=https://en.wikipedia.org/wiki/Trigger_Point, friendlyName=Open source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 t="str">
        <x:v>No established-register match</x:v>
      </x:c>
      <x:c r="AT660" s="14"/>
      <x:c r="AU660" s="14"/>
      <x:c r="AV660" s="14" t="str">
        <x:v>No established apparent-disability match</x:v>
      </x:c>
      <x:c r="AW660" s="14"/>
      <x:c r="AX660" s="14" t="str">
        <x:v>No</x:v>
      </x:c>
      <x:c r="AY660" s="14" t="str">
        <x:v>Unmatched</x:v>
      </x:c>
      <x:c r="AZ660" s="14" t="str">
        <x:v>Final supplied register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24</x:v>
      </x:c>
      <x:c r="BP660" s="14" t="str">
        <x:v>Maximum supplied eligible IMDb cast-credit total; annual episode total not independently verified.</x:v>
      </x:c>
      <x:c r="BQ660" s="14" t="str">
        <x:v>Medium</x:v>
      </x:c>
      <x:c r="BR660" s="15" t="n">
        <x:v>1</x:v>
      </x:c>
      <x:c r="BS660" s="16" t="n">
        <x:v>0.041666666666666664</x:v>
      </x:c>
      <x:c r="BT660" s="14" t="str">
        <x:v>One episode</x:v>
      </x:c>
      <x:c r="BU660" s="14" t="str">
        <x:v>Medium</x:v>
      </x:c>
      <x:c r="BV660" s="14" t="str">
        <x:v>Derived from the supplied IMDb episode count and documented production-total proxy.</x:v>
      </x:c>
      <x:c r="BW660" s="14" t="str">
        <x:v>Unable to determine</x:v>
      </x:c>
      <x:c r="BX660" s="14" t="str">
        <x:v>Cast-list and episode data do not establish narrative prominence.</x:v>
      </x:c>
      <x:c r="BY660" s="14" t="str">
        <x:v>Supplied IMDb cast-list workbook</x:v>
      </x:c>
      <x:c r="BZ66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tt11958610|nm13650465|fran</x:v>
      </x:c>
      <x:c r="B661" s="14" t="str">
        <x:v>08</x:v>
      </x:c>
      <x:c r="C661" s="14" t="str">
        <x:v>2022_IMDb_Cast_Lists_Batch_08(1).xlsx</x:v>
      </x:c>
      <x:c r="D661" s="14" t="str">
        <x:v>Trigger Point</x:v>
      </x:c>
      <x:c r="E661" s="14" t="n">
        <x:v>82</x:v>
      </x:c>
      <x:c r="F661" s="14" t="str">
        <x:v>Trigger Point</x:v>
      </x:c>
      <x:c r="G661" s="14" t="str">
        <x:v>tt11958610</x:v>
      </x:c>
      <x:c r="H661" s="14" t="n">
        <x:v>2022</x:v>
      </x:c>
      <x:c r="I661" s="14" t="n">
        <x:v>2023</x:v>
      </x:c>
      <x:c r="J661" s="14" t="str">
        <x:v>Future Carry-Forward Cohort</x:v>
      </x:c>
      <x:c r="K661" s="14" t="n">
        <x:v>2022</x:v>
      </x:c>
      <x:c r="L661" s="14" t="str">
        <x:v>Not inherited</x:v>
      </x:c>
      <x:c r="M661" s="15" t="n">
        <x:v>75</x:v>
      </x:c>
      <x:c r="N661" s="14" t="str">
        <x:v>Zoe Goriely</x:v>
      </x:c>
      <x:c r="O661" s="14" t="str">
        <x:v>nm13650465</x:v>
      </x:c>
      <x:c r="P661" s="14" t="str">
        <x:v>Fran</x:v>
      </x:c>
      <x:c r="Q661" s="15" t="n">
        <x:v>1</x:v>
      </x:c>
      <x:c r="R661" s="14" t="str">
        <x:v>2024</x:v>
      </x:c>
      <x:c r="S661" s="14" t="n">
        <x:v>2024</x:v>
      </x:c>
      <x:c r="T661" s="14" t="n">
        <x:v>2024</x:v>
      </x:c>
      <x:c r="U661" s="14" t="str">
        <x:v>Explicit source first year retained</x:v>
      </x:c>
      <x:c r="V661" s="14" t="str">
        <x:v>Earliest supplied year is 2024.</x:v>
      </x:c>
      <x:c r="W661" s="14"/>
      <x:c r="X661" s="14" t="str">
        <x:v>Carried forward to 2024</x:v>
      </x:c>
      <x:c r="Y661" s="14"/>
      <x:c r="Z661" s="14" t="str">
        <x:v>Trigger Point.docx</x:v>
      </x:c>
      <x:c r="AA66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7" t="e">
        <x:f>HYPERLINK("https://en.wikipedia.org/wiki/Trigger_Point","Open source")</x:f>
        <x:v>HYPERLINK is not implemented. linkLocation=https://en.wikipedia.org/wiki/Trigger_Point, friendlyName=Open source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 t="str">
        <x:v>No established-register match</x:v>
      </x:c>
      <x:c r="AT661" s="14"/>
      <x:c r="AU661" s="14"/>
      <x:c r="AV661" s="14" t="str">
        <x:v>No established apparent-disability match</x:v>
      </x:c>
      <x:c r="AW661" s="14"/>
      <x:c r="AX661" s="14" t="str">
        <x:v>No</x:v>
      </x:c>
      <x:c r="AY661" s="14" t="str">
        <x:v>Unmatched</x:v>
      </x:c>
      <x:c r="AZ661" s="14" t="str">
        <x:v>Final supplied register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24</x:v>
      </x:c>
      <x:c r="BP661" s="14" t="str">
        <x:v>Maximum supplied eligible IMDb cast-credit total; annual episode total not independently verified.</x:v>
      </x:c>
      <x:c r="BQ661" s="14" t="str">
        <x:v>Medium</x:v>
      </x:c>
      <x:c r="BR661" s="15" t="n">
        <x:v>1</x:v>
      </x:c>
      <x:c r="BS661" s="16" t="n">
        <x:v>0.041666666666666664</x:v>
      </x:c>
      <x:c r="BT661" s="14" t="str">
        <x:v>One episode</x:v>
      </x:c>
      <x:c r="BU661" s="14" t="str">
        <x:v>Medium</x:v>
      </x:c>
      <x:c r="BV661" s="14" t="str">
        <x:v>Derived from the supplied IMDb episode count and documented production-total proxy.</x:v>
      </x:c>
      <x:c r="BW661" s="14" t="str">
        <x:v>Unable to determine</x:v>
      </x:c>
      <x:c r="BX661" s="14" t="str">
        <x:v>Cast-list and episode data do not establish narrative prominence.</x:v>
      </x:c>
      <x:c r="BY661" s="14" t="str">
        <x:v>Supplied IMDb cast-list workbook</x:v>
      </x:c>
      <x:c r="BZ66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tt11958610|nm0321699|martina wyatt</x:v>
      </x:c>
      <x:c r="B662" s="14" t="str">
        <x:v>08</x:v>
      </x:c>
      <x:c r="C662" s="14" t="str">
        <x:v>2022_IMDb_Cast_Lists_Batch_08(1).xlsx</x:v>
      </x:c>
      <x:c r="D662" s="14" t="str">
        <x:v>Trigger Point</x:v>
      </x:c>
      <x:c r="E662" s="14" t="n">
        <x:v>83</x:v>
      </x:c>
      <x:c r="F662" s="14" t="str">
        <x:v>Trigger Point</x:v>
      </x:c>
      <x:c r="G662" s="14" t="str">
        <x:v>tt11958610</x:v>
      </x:c>
      <x:c r="H662" s="14" t="n">
        <x:v>2022</x:v>
      </x:c>
      <x:c r="I662" s="14" t="n">
        <x:v>2023</x:v>
      </x:c>
      <x:c r="J662" s="14" t="str">
        <x:v>Future Carry-Forward Cohort</x:v>
      </x:c>
      <x:c r="K662" s="14" t="n">
        <x:v>2022</x:v>
      </x:c>
      <x:c r="L662" s="14" t="str">
        <x:v>Not inherited</x:v>
      </x:c>
      <x:c r="M662" s="15" t="n">
        <x:v>76</x:v>
      </x:c>
      <x:c r="N662" s="14" t="str">
        <x:v>Gabrielle Glaister</x:v>
      </x:c>
      <x:c r="O662" s="14" t="str">
        <x:v>nm0321699</x:v>
      </x:c>
      <x:c r="P662" s="14" t="str">
        <x:v>Martina Wyatt</x:v>
      </x:c>
      <x:c r="Q662" s="15" t="n">
        <x:v>1</x:v>
      </x:c>
      <x:c r="R662" s="14" t="str">
        <x:v>2024</x:v>
      </x:c>
      <x:c r="S662" s="14" t="n">
        <x:v>2024</x:v>
      </x:c>
      <x:c r="T662" s="14" t="n">
        <x:v>2024</x:v>
      </x:c>
      <x:c r="U662" s="14" t="str">
        <x:v>Explicit source first year retained</x:v>
      </x:c>
      <x:c r="V662" s="14" t="str">
        <x:v>Earliest supplied year is 2024.</x:v>
      </x:c>
      <x:c r="W662" s="14"/>
      <x:c r="X662" s="14" t="str">
        <x:v>Carried forward to 2024</x:v>
      </x:c>
      <x:c r="Y662" s="14"/>
      <x:c r="Z662" s="14" t="str">
        <x:v>Trigger Point.docx</x:v>
      </x:c>
      <x:c r="AA66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7" t="e">
        <x:f>HYPERLINK("https://en.wikipedia.org/wiki/Trigger_Point","Open source")</x:f>
        <x:v>HYPERLINK is not implemented. linkLocation=https://en.wikipedia.org/wiki/Trigger_Point, friendlyName=Open source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 t="str">
        <x:v>No established-register match</x:v>
      </x:c>
      <x:c r="AT662" s="14"/>
      <x:c r="AU662" s="14"/>
      <x:c r="AV662" s="14" t="str">
        <x:v>No established apparent-disability match</x:v>
      </x:c>
      <x:c r="AW662" s="14"/>
      <x:c r="AX662" s="14" t="str">
        <x:v>No</x:v>
      </x:c>
      <x:c r="AY662" s="14" t="str">
        <x:v>Unmatched</x:v>
      </x:c>
      <x:c r="AZ662" s="14" t="str">
        <x:v>Final supplied register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24</x:v>
      </x:c>
      <x:c r="BP662" s="14" t="str">
        <x:v>Maximum supplied eligible IMDb cast-credit total; annual episode total not independently verified.</x:v>
      </x:c>
      <x:c r="BQ662" s="14" t="str">
        <x:v>Medium</x:v>
      </x:c>
      <x:c r="BR662" s="15" t="n">
        <x:v>1</x:v>
      </x:c>
      <x:c r="BS662" s="16" t="n">
        <x:v>0.041666666666666664</x:v>
      </x:c>
      <x:c r="BT662" s="14" t="str">
        <x:v>One episode</x:v>
      </x:c>
      <x:c r="BU662" s="14" t="str">
        <x:v>Medium</x:v>
      </x:c>
      <x:c r="BV662" s="14" t="str">
        <x:v>Derived from the supplied IMDb episode count and documented production-total proxy.</x:v>
      </x:c>
      <x:c r="BW662" s="14" t="str">
        <x:v>Unable to determine</x:v>
      </x:c>
      <x:c r="BX662" s="14" t="str">
        <x:v>Cast-list and episode data do not establish narrative prominence.</x:v>
      </x:c>
      <x:c r="BY662" s="14" t="str">
        <x:v>Supplied IMDb cast-list workbook</x:v>
      </x:c>
      <x:c r="BZ66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tt11958610|nm9345002|security guard</x:v>
      </x:c>
      <x:c r="B663" s="14" t="str">
        <x:v>08</x:v>
      </x:c>
      <x:c r="C663" s="14" t="str">
        <x:v>2022_IMDb_Cast_Lists_Batch_08(1).xlsx</x:v>
      </x:c>
      <x:c r="D663" s="14" t="str">
        <x:v>Trigger Point</x:v>
      </x:c>
      <x:c r="E663" s="14" t="n">
        <x:v>84</x:v>
      </x:c>
      <x:c r="F663" s="14" t="str">
        <x:v>Trigger Point</x:v>
      </x:c>
      <x:c r="G663" s="14" t="str">
        <x:v>tt11958610</x:v>
      </x:c>
      <x:c r="H663" s="14" t="n">
        <x:v>2022</x:v>
      </x:c>
      <x:c r="I663" s="14" t="n">
        <x:v>2023</x:v>
      </x:c>
      <x:c r="J663" s="14" t="str">
        <x:v>Future Carry-Forward Cohort</x:v>
      </x:c>
      <x:c r="K663" s="14" t="n">
        <x:v>2022</x:v>
      </x:c>
      <x:c r="L663" s="14" t="str">
        <x:v>Not inherited</x:v>
      </x:c>
      <x:c r="M663" s="15" t="n">
        <x:v>77</x:v>
      </x:c>
      <x:c r="N663" s="14" t="str">
        <x:v>Lloyd James</x:v>
      </x:c>
      <x:c r="O663" s="14" t="str">
        <x:v>nm9345002</x:v>
      </x:c>
      <x:c r="P663" s="14" t="str">
        <x:v>Security Guard</x:v>
      </x:c>
      <x:c r="Q663" s="15" t="n">
        <x:v>1</x:v>
      </x:c>
      <x:c r="R663" s="14" t="str">
        <x:v>2024</x:v>
      </x:c>
      <x:c r="S663" s="14" t="n">
        <x:v>2024</x:v>
      </x:c>
      <x:c r="T663" s="14" t="n">
        <x:v>2024</x:v>
      </x:c>
      <x:c r="U663" s="14" t="str">
        <x:v>Explicit source first year retained</x:v>
      </x:c>
      <x:c r="V663" s="14" t="str">
        <x:v>Earliest supplied year is 2024.</x:v>
      </x:c>
      <x:c r="W663" s="14"/>
      <x:c r="X663" s="14" t="str">
        <x:v>Carried forward to 2024</x:v>
      </x:c>
      <x:c r="Y663" s="14"/>
      <x:c r="Z663" s="14" t="str">
        <x:v>Trigger Point.docx</x:v>
      </x:c>
      <x:c r="AA66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7" t="e">
        <x:f>HYPERLINK("https://en.wikipedia.org/wiki/Trigger_Point","Open source")</x:f>
        <x:v>HYPERLINK is not implemented. linkLocation=https://en.wikipedia.org/wiki/Trigger_Point, friendlyName=Open source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 t="str">
        <x:v>No established-register match</x:v>
      </x:c>
      <x:c r="AT663" s="14"/>
      <x:c r="AU663" s="14"/>
      <x:c r="AV663" s="14" t="str">
        <x:v>No established apparent-disability match</x:v>
      </x:c>
      <x:c r="AW663" s="14"/>
      <x:c r="AX663" s="14" t="str">
        <x:v>No</x:v>
      </x:c>
      <x:c r="AY663" s="14" t="str">
        <x:v>Unmatched</x:v>
      </x:c>
      <x:c r="AZ663" s="14" t="str">
        <x:v>Final supplied register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24</x:v>
      </x:c>
      <x:c r="BP663" s="14" t="str">
        <x:v>Maximum supplied eligible IMDb cast-credit total; annual episode total not independently verified.</x:v>
      </x:c>
      <x:c r="BQ663" s="14" t="str">
        <x:v>Medium</x:v>
      </x:c>
      <x:c r="BR663" s="15" t="n">
        <x:v>1</x:v>
      </x:c>
      <x:c r="BS663" s="16" t="n">
        <x:v>0.041666666666666664</x:v>
      </x:c>
      <x:c r="BT663" s="14" t="str">
        <x:v>One episode</x:v>
      </x:c>
      <x:c r="BU663" s="14" t="str">
        <x:v>Medium</x:v>
      </x:c>
      <x:c r="BV663" s="14" t="str">
        <x:v>Derived from the supplied IMDb episode count and documented production-total proxy.</x:v>
      </x:c>
      <x:c r="BW663" s="14" t="str">
        <x:v>Unable to determine</x:v>
      </x:c>
      <x:c r="BX663" s="14" t="str">
        <x:v>Cast-list and episode data do not establish narrative prominence.</x:v>
      </x:c>
      <x:c r="BY663" s="14" t="str">
        <x:v>Supplied IMDb cast-list workbook</x:v>
      </x:c>
      <x:c r="BZ66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tt11958610|nm1301410|superintendent byrne</x:v>
      </x:c>
      <x:c r="B664" s="14" t="str">
        <x:v>08</x:v>
      </x:c>
      <x:c r="C664" s="14" t="str">
        <x:v>2022_IMDb_Cast_Lists_Batch_08(1).xlsx</x:v>
      </x:c>
      <x:c r="D664" s="14" t="str">
        <x:v>Trigger Point</x:v>
      </x:c>
      <x:c r="E664" s="14" t="n">
        <x:v>88</x:v>
      </x:c>
      <x:c r="F664" s="14" t="str">
        <x:v>Trigger Point</x:v>
      </x:c>
      <x:c r="G664" s="14" t="str">
        <x:v>tt11958610</x:v>
      </x:c>
      <x:c r="H664" s="14" t="n">
        <x:v>2022</x:v>
      </x:c>
      <x:c r="I664" s="14" t="n">
        <x:v>2023</x:v>
      </x:c>
      <x:c r="J664" s="14" t="str">
        <x:v>Future Carry-Forward Cohort</x:v>
      </x:c>
      <x:c r="K664" s="14" t="n">
        <x:v>2022</x:v>
      </x:c>
      <x:c r="L664" s="14" t="str">
        <x:v>Not inherited</x:v>
      </x:c>
      <x:c r="M664" s="15" t="n">
        <x:v>81</x:v>
      </x:c>
      <x:c r="N664" s="14" t="str">
        <x:v>Christopher Patrick Nolan</x:v>
      </x:c>
      <x:c r="O664" s="14" t="str">
        <x:v>nm1301410</x:v>
      </x:c>
      <x:c r="P664" s="14" t="str">
        <x:v>Superintendent Byrne</x:v>
      </x:c>
      <x:c r="Q664" s="15" t="n">
        <x:v>1</x:v>
      </x:c>
      <x:c r="R664" s="14" t="str">
        <x:v>2024</x:v>
      </x:c>
      <x:c r="S664" s="14" t="n">
        <x:v>2024</x:v>
      </x:c>
      <x:c r="T664" s="14" t="n">
        <x:v>2024</x:v>
      </x:c>
      <x:c r="U664" s="14" t="str">
        <x:v>Explicit source first year retained</x:v>
      </x:c>
      <x:c r="V664" s="14" t="str">
        <x:v>Earliest supplied year is 2024.</x:v>
      </x:c>
      <x:c r="W664" s="14"/>
      <x:c r="X664" s="14" t="str">
        <x:v>Carried forward to 2024</x:v>
      </x:c>
      <x:c r="Y664" s="14"/>
      <x:c r="Z664" s="14" t="str">
        <x:v>Trigger Point.docx</x:v>
      </x:c>
      <x:c r="AA66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7" t="e">
        <x:f>HYPERLINK("https://en.wikipedia.org/wiki/Trigger_Point","Open source")</x:f>
        <x:v>HYPERLINK is not implemented. linkLocation=https://en.wikipedia.org/wiki/Trigger_Point, friendlyName=Open source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 t="str">
        <x:v>No established-register match</x:v>
      </x:c>
      <x:c r="AT664" s="14"/>
      <x:c r="AU664" s="14"/>
      <x:c r="AV664" s="14" t="str">
        <x:v>No established apparent-disability match</x:v>
      </x:c>
      <x:c r="AW664" s="14"/>
      <x:c r="AX664" s="14" t="str">
        <x:v>No</x:v>
      </x:c>
      <x:c r="AY664" s="14" t="str">
        <x:v>Unmatched</x:v>
      </x:c>
      <x:c r="AZ664" s="14" t="str">
        <x:v>Final supplied register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24</x:v>
      </x:c>
      <x:c r="BP664" s="14" t="str">
        <x:v>Maximum supplied eligible IMDb cast-credit total; annual episode total not independently verified.</x:v>
      </x:c>
      <x:c r="BQ664" s="14" t="str">
        <x:v>Medium</x:v>
      </x:c>
      <x:c r="BR664" s="15" t="n">
        <x:v>1</x:v>
      </x:c>
      <x:c r="BS664" s="16" t="n">
        <x:v>0.041666666666666664</x:v>
      </x:c>
      <x:c r="BT664" s="14" t="str">
        <x:v>One episode</x:v>
      </x:c>
      <x:c r="BU664" s="14" t="str">
        <x:v>Medium</x:v>
      </x:c>
      <x:c r="BV664" s="14" t="str">
        <x:v>Derived from the supplied IMDb episode count and documented production-total proxy.</x:v>
      </x:c>
      <x:c r="BW664" s="14" t="str">
        <x:v>Unable to determine</x:v>
      </x:c>
      <x:c r="BX664" s="14" t="str">
        <x:v>Cast-list and episode data do not establish narrative prominence.</x:v>
      </x:c>
      <x:c r="BY664" s="14" t="str">
        <x:v>Supplied IMDb cast-list workbook</x:v>
      </x:c>
      <x:c r="BZ66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tt11958610|nm13041094|zara</x:v>
      </x:c>
      <x:c r="B665" s="14" t="str">
        <x:v>08</x:v>
      </x:c>
      <x:c r="C665" s="14" t="str">
        <x:v>2022_IMDb_Cast_Lists_Batch_08(1).xlsx</x:v>
      </x:c>
      <x:c r="D665" s="14" t="str">
        <x:v>Trigger Point</x:v>
      </x:c>
      <x:c r="E665" s="14" t="n">
        <x:v>89</x:v>
      </x:c>
      <x:c r="F665" s="14" t="str">
        <x:v>Trigger Point</x:v>
      </x:c>
      <x:c r="G665" s="14" t="str">
        <x:v>tt11958610</x:v>
      </x:c>
      <x:c r="H665" s="14" t="n">
        <x:v>2022</x:v>
      </x:c>
      <x:c r="I665" s="14" t="n">
        <x:v>2023</x:v>
      </x:c>
      <x:c r="J665" s="14" t="str">
        <x:v>Future Carry-Forward Cohort</x:v>
      </x:c>
      <x:c r="K665" s="14" t="n">
        <x:v>2022</x:v>
      </x:c>
      <x:c r="L665" s="14" t="str">
        <x:v>Not inherited</x:v>
      </x:c>
      <x:c r="M665" s="15" t="n">
        <x:v>82</x:v>
      </x:c>
      <x:c r="N665" s="14" t="str">
        <x:v>Victoria Lloyd</x:v>
      </x:c>
      <x:c r="O665" s="14" t="str">
        <x:v>nm13041094</x:v>
      </x:c>
      <x:c r="P665" s="14" t="str">
        <x:v>Zara</x:v>
      </x:c>
      <x:c r="Q665" s="15" t="n">
        <x:v>1</x:v>
      </x:c>
      <x:c r="R665" s="14" t="str">
        <x:v>2024</x:v>
      </x:c>
      <x:c r="S665" s="14" t="n">
        <x:v>2024</x:v>
      </x:c>
      <x:c r="T665" s="14" t="n">
        <x:v>2024</x:v>
      </x:c>
      <x:c r="U665" s="14" t="str">
        <x:v>Explicit source first year retained</x:v>
      </x:c>
      <x:c r="V665" s="14" t="str">
        <x:v>Earliest supplied year is 2024.</x:v>
      </x:c>
      <x:c r="W665" s="14"/>
      <x:c r="X665" s="14" t="str">
        <x:v>Carried forward to 2024</x:v>
      </x:c>
      <x:c r="Y665" s="14"/>
      <x:c r="Z665" s="14" t="str">
        <x:v>Trigger Point.docx</x:v>
      </x:c>
      <x:c r="AA66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7" t="e">
        <x:f>HYPERLINK("https://en.wikipedia.org/wiki/Trigger_Point","Open source")</x:f>
        <x:v>HYPERLINK is not implemented. linkLocation=https://en.wikipedia.org/wiki/Trigger_Point, friendlyName=Open source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 t="str">
        <x:v>No established-register match</x:v>
      </x:c>
      <x:c r="AT665" s="14"/>
      <x:c r="AU665" s="14"/>
      <x:c r="AV665" s="14" t="str">
        <x:v>No established apparent-disability match</x:v>
      </x:c>
      <x:c r="AW665" s="14"/>
      <x:c r="AX665" s="14" t="str">
        <x:v>No</x:v>
      </x:c>
      <x:c r="AY665" s="14" t="str">
        <x:v>Unmatched</x:v>
      </x:c>
      <x:c r="AZ665" s="14" t="str">
        <x:v>Final supplied register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24</x:v>
      </x:c>
      <x:c r="BP665" s="14" t="str">
        <x:v>Maximum supplied eligible IMDb cast-credit total; annual episode total not independently verified.</x:v>
      </x:c>
      <x:c r="BQ665" s="14" t="str">
        <x:v>Medium</x:v>
      </x:c>
      <x:c r="BR665" s="15" t="n">
        <x:v>1</x:v>
      </x:c>
      <x:c r="BS665" s="16" t="n">
        <x:v>0.041666666666666664</x:v>
      </x:c>
      <x:c r="BT665" s="14" t="str">
        <x:v>One episode</x:v>
      </x:c>
      <x:c r="BU665" s="14" t="str">
        <x:v>Medium</x:v>
      </x:c>
      <x:c r="BV665" s="14" t="str">
        <x:v>Derived from the supplied IMDb episode count and documented production-total proxy.</x:v>
      </x:c>
      <x:c r="BW665" s="14" t="str">
        <x:v>Unable to determine</x:v>
      </x:c>
      <x:c r="BX665" s="14" t="str">
        <x:v>Cast-list and episode data do not establish narrative prominence.</x:v>
      </x:c>
      <x:c r="BY665" s="14" t="str">
        <x:v>Supplied IMDb cast-list workbook</x:v>
      </x:c>
      <x:c r="BZ66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tt11958610|nm15905500|ctsfo commander</x:v>
      </x:c>
      <x:c r="B666" s="14" t="str">
        <x:v>08</x:v>
      </x:c>
      <x:c r="C666" s="14" t="str">
        <x:v>2022_IMDb_Cast_Lists_Batch_08(1).xlsx</x:v>
      </x:c>
      <x:c r="D666" s="14" t="str">
        <x:v>Trigger Point</x:v>
      </x:c>
      <x:c r="E666" s="14" t="n">
        <x:v>90</x:v>
      </x:c>
      <x:c r="F666" s="14" t="str">
        <x:v>Trigger Point</x:v>
      </x:c>
      <x:c r="G666" s="14" t="str">
        <x:v>tt11958610</x:v>
      </x:c>
      <x:c r="H666" s="14" t="n">
        <x:v>2022</x:v>
      </x:c>
      <x:c r="I666" s="14" t="n">
        <x:v>2023</x:v>
      </x:c>
      <x:c r="J666" s="14" t="str">
        <x:v>Future Carry-Forward Cohort</x:v>
      </x:c>
      <x:c r="K666" s="14" t="n">
        <x:v>2022</x:v>
      </x:c>
      <x:c r="L666" s="14" t="str">
        <x:v>Not inherited</x:v>
      </x:c>
      <x:c r="M666" s="15" t="n">
        <x:v>83</x:v>
      </x:c>
      <x:c r="N666" s="14" t="str">
        <x:v>Janet Jones</x:v>
      </x:c>
      <x:c r="O666" s="14" t="str">
        <x:v>nm15905500</x:v>
      </x:c>
      <x:c r="P666" s="14" t="str">
        <x:v>CTSFO Commander</x:v>
      </x:c>
      <x:c r="Q666" s="15" t="n">
        <x:v>1</x:v>
      </x:c>
      <x:c r="R666" s="14" t="str">
        <x:v>2024</x:v>
      </x:c>
      <x:c r="S666" s="14" t="n">
        <x:v>2024</x:v>
      </x:c>
      <x:c r="T666" s="14" t="n">
        <x:v>2024</x:v>
      </x:c>
      <x:c r="U666" s="14" t="str">
        <x:v>Explicit source first year retained</x:v>
      </x:c>
      <x:c r="V666" s="14" t="str">
        <x:v>Earliest supplied year is 2024.</x:v>
      </x:c>
      <x:c r="W666" s="14"/>
      <x:c r="X666" s="14" t="str">
        <x:v>Carried forward to 2024</x:v>
      </x:c>
      <x:c r="Y666" s="14"/>
      <x:c r="Z666" s="14" t="str">
        <x:v>Trigger Point.docx</x:v>
      </x:c>
      <x:c r="AA66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7" t="e">
        <x:f>HYPERLINK("https://en.wikipedia.org/wiki/Trigger_Point","Open source")</x:f>
        <x:v>HYPERLINK is not implemented. linkLocation=https://en.wikipedia.org/wiki/Trigger_Point, friendlyName=Open source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 t="str">
        <x:v>No established-register match</x:v>
      </x:c>
      <x:c r="AT666" s="14"/>
      <x:c r="AU666" s="14"/>
      <x:c r="AV666" s="14" t="str">
        <x:v>No established apparent-disability match</x:v>
      </x:c>
      <x:c r="AW666" s="14"/>
      <x:c r="AX666" s="14" t="str">
        <x:v>No</x:v>
      </x:c>
      <x:c r="AY666" s="14" t="str">
        <x:v>Unmatched</x:v>
      </x:c>
      <x:c r="AZ666" s="14" t="str">
        <x:v>Final supplied register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24</x:v>
      </x:c>
      <x:c r="BP666" s="14" t="str">
        <x:v>Maximum supplied eligible IMDb cast-credit total; annual episode total not independently verified.</x:v>
      </x:c>
      <x:c r="BQ666" s="14" t="str">
        <x:v>Medium</x:v>
      </x:c>
      <x:c r="BR666" s="15" t="n">
        <x:v>1</x:v>
      </x:c>
      <x:c r="BS666" s="16" t="n">
        <x:v>0.041666666666666664</x:v>
      </x:c>
      <x:c r="BT666" s="14" t="str">
        <x:v>One episode</x:v>
      </x:c>
      <x:c r="BU666" s="14" t="str">
        <x:v>Medium</x:v>
      </x:c>
      <x:c r="BV666" s="14" t="str">
        <x:v>Derived from the supplied IMDb episode count and documented production-total proxy.</x:v>
      </x:c>
      <x:c r="BW666" s="14" t="str">
        <x:v>Unable to determine</x:v>
      </x:c>
      <x:c r="BX666" s="14" t="str">
        <x:v>Cast-list and episode data do not establish narrative prominence.</x:v>
      </x:c>
      <x:c r="BY666" s="14" t="str">
        <x:v>Supplied IMDb cast-list workbook</x:v>
      </x:c>
      <x:c r="BZ66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tt11958610|nm5124151|carter</x:v>
      </x:c>
      <x:c r="B667" s="14" t="str">
        <x:v>08</x:v>
      </x:c>
      <x:c r="C667" s="14" t="str">
        <x:v>2022_IMDb_Cast_Lists_Batch_08(1).xlsx</x:v>
      </x:c>
      <x:c r="D667" s="14" t="str">
        <x:v>Trigger Point</x:v>
      </x:c>
      <x:c r="E667" s="14" t="n">
        <x:v>93</x:v>
      </x:c>
      <x:c r="F667" s="14" t="str">
        <x:v>Trigger Point</x:v>
      </x:c>
      <x:c r="G667" s="14" t="str">
        <x:v>tt11958610</x:v>
      </x:c>
      <x:c r="H667" s="14" t="n">
        <x:v>2022</x:v>
      </x:c>
      <x:c r="I667" s="14" t="n">
        <x:v>2023</x:v>
      </x:c>
      <x:c r="J667" s="14" t="str">
        <x:v>Future Carry-Forward Cohort</x:v>
      </x:c>
      <x:c r="K667" s="14" t="n">
        <x:v>2022</x:v>
      </x:c>
      <x:c r="L667" s="14" t="str">
        <x:v>Not inherited</x:v>
      </x:c>
      <x:c r="M667" s="15" t="n">
        <x:v>86</x:v>
      </x:c>
      <x:c r="N667" s="14" t="str">
        <x:v>Nick Denning-Read</x:v>
      </x:c>
      <x:c r="O667" s="14" t="str">
        <x:v>nm5124151</x:v>
      </x:c>
      <x:c r="P667" s="14" t="str">
        <x:v>Carter</x:v>
      </x:c>
      <x:c r="Q667" s="15" t="n">
        <x:v>1</x:v>
      </x:c>
      <x:c r="R667" s="14" t="str">
        <x:v>2024</x:v>
      </x:c>
      <x:c r="S667" s="14" t="n">
        <x:v>2024</x:v>
      </x:c>
      <x:c r="T667" s="14" t="n">
        <x:v>2024</x:v>
      </x:c>
      <x:c r="U667" s="14" t="str">
        <x:v>Explicit source first year retained</x:v>
      </x:c>
      <x:c r="V667" s="14" t="str">
        <x:v>Earliest supplied year is 2024.</x:v>
      </x:c>
      <x:c r="W667" s="14"/>
      <x:c r="X667" s="14" t="str">
        <x:v>Carried forward to 2024</x:v>
      </x:c>
      <x:c r="Y667" s="14" t="str">
        <x:v>(as Nick Read)</x:v>
      </x:c>
      <x:c r="Z667" s="14" t="str">
        <x:v>Trigger Point.docx</x:v>
      </x:c>
      <x:c r="AA66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7" t="e">
        <x:f>HYPERLINK("https://en.wikipedia.org/wiki/Trigger_Point","Open source")</x:f>
        <x:v>HYPERLINK is not implemented. linkLocation=https://en.wikipedia.org/wiki/Trigger_Point, friendlyName=Open source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 t="str">
        <x:v>No established-register match</x:v>
      </x:c>
      <x:c r="AT667" s="14"/>
      <x:c r="AU667" s="14"/>
      <x:c r="AV667" s="14" t="str">
        <x:v>No established apparent-disability match</x:v>
      </x:c>
      <x:c r="AW667" s="14"/>
      <x:c r="AX667" s="14" t="str">
        <x:v>No</x:v>
      </x:c>
      <x:c r="AY667" s="14" t="str">
        <x:v>Unmatched</x:v>
      </x:c>
      <x:c r="AZ667" s="14" t="str">
        <x:v>Final supplied register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24</x:v>
      </x:c>
      <x:c r="BP667" s="14" t="str">
        <x:v>Maximum supplied eligible IMDb cast-credit total; annual episode total not independently verified.</x:v>
      </x:c>
      <x:c r="BQ667" s="14" t="str">
        <x:v>Medium</x:v>
      </x:c>
      <x:c r="BR667" s="15" t="n">
        <x:v>1</x:v>
      </x:c>
      <x:c r="BS667" s="16" t="n">
        <x:v>0.041666666666666664</x:v>
      </x:c>
      <x:c r="BT667" s="14" t="str">
        <x:v>One episode</x:v>
      </x:c>
      <x:c r="BU667" s="14" t="str">
        <x:v>Medium</x:v>
      </x:c>
      <x:c r="BV667" s="14" t="str">
        <x:v>Derived from the supplied IMDb episode count and documented production-total proxy.</x:v>
      </x:c>
      <x:c r="BW667" s="14" t="str">
        <x:v>Unable to determine</x:v>
      </x:c>
      <x:c r="BX667" s="14" t="str">
        <x:v>Cast-list and episode data do not establish narrative prominence.</x:v>
      </x:c>
      <x:c r="BY667" s="14" t="str">
        <x:v>Supplied IMDb cast-list workbook</x:v>
      </x:c>
      <x:c r="BZ66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tt11958610|nm2273109|female officer</x:v>
      </x:c>
      <x:c r="B668" s="14" t="str">
        <x:v>08</x:v>
      </x:c>
      <x:c r="C668" s="14" t="str">
        <x:v>2022_IMDb_Cast_Lists_Batch_08(1).xlsx</x:v>
      </x:c>
      <x:c r="D668" s="14" t="str">
        <x:v>Trigger Point</x:v>
      </x:c>
      <x:c r="E668" s="14" t="n">
        <x:v>96</x:v>
      </x:c>
      <x:c r="F668" s="14" t="str">
        <x:v>Trigger Point</x:v>
      </x:c>
      <x:c r="G668" s="14" t="str">
        <x:v>tt11958610</x:v>
      </x:c>
      <x:c r="H668" s="14" t="n">
        <x:v>2022</x:v>
      </x:c>
      <x:c r="I668" s="14" t="n">
        <x:v>2023</x:v>
      </x:c>
      <x:c r="J668" s="14" t="str">
        <x:v>Future Carry-Forward Cohort</x:v>
      </x:c>
      <x:c r="K668" s="14" t="n">
        <x:v>2022</x:v>
      </x:c>
      <x:c r="L668" s="14" t="str">
        <x:v>Not inherited</x:v>
      </x:c>
      <x:c r="M668" s="15" t="n">
        <x:v>89</x:v>
      </x:c>
      <x:c r="N668" s="14" t="str">
        <x:v>Belinda Owusu</x:v>
      </x:c>
      <x:c r="O668" s="14" t="str">
        <x:v>nm2273109</x:v>
      </x:c>
      <x:c r="P668" s="14" t="str">
        <x:v>Female Officer</x:v>
      </x:c>
      <x:c r="Q668" s="15" t="n">
        <x:v>1</x:v>
      </x:c>
      <x:c r="R668" s="14" t="str">
        <x:v>2024</x:v>
      </x:c>
      <x:c r="S668" s="14" t="n">
        <x:v>2024</x:v>
      </x:c>
      <x:c r="T668" s="14" t="n">
        <x:v>2024</x:v>
      </x:c>
      <x:c r="U668" s="14" t="str">
        <x:v>Explicit source first year retained</x:v>
      </x:c>
      <x:c r="V668" s="14" t="str">
        <x:v>Earliest supplied year is 2024.</x:v>
      </x:c>
      <x:c r="W668" s="14"/>
      <x:c r="X668" s="14" t="str">
        <x:v>Carried forward to 2024</x:v>
      </x:c>
      <x:c r="Y668" s="14"/>
      <x:c r="Z668" s="14" t="str">
        <x:v>Trigger Point.docx</x:v>
      </x:c>
      <x:c r="AA66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7" t="e">
        <x:f>HYPERLINK("https://en.wikipedia.org/wiki/Trigger_Point","Open source")</x:f>
        <x:v>HYPERLINK is not implemented. linkLocation=https://en.wikipedia.org/wiki/Trigger_Point, friendlyName=Open source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 t="str">
        <x:v>No established-register match</x:v>
      </x:c>
      <x:c r="AT668" s="14"/>
      <x:c r="AU668" s="14"/>
      <x:c r="AV668" s="14" t="str">
        <x:v>No established apparent-disability match</x:v>
      </x:c>
      <x:c r="AW668" s="14"/>
      <x:c r="AX668" s="14" t="str">
        <x:v>No</x:v>
      </x:c>
      <x:c r="AY668" s="14" t="str">
        <x:v>Unmatched</x:v>
      </x:c>
      <x:c r="AZ668" s="14" t="str">
        <x:v>Final supplied register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24</x:v>
      </x:c>
      <x:c r="BP668" s="14" t="str">
        <x:v>Maximum supplied eligible IMDb cast-credit total; annual episode total not independently verified.</x:v>
      </x:c>
      <x:c r="BQ668" s="14" t="str">
        <x:v>Medium</x:v>
      </x:c>
      <x:c r="BR668" s="15" t="n">
        <x:v>1</x:v>
      </x:c>
      <x:c r="BS668" s="16" t="n">
        <x:v>0.041666666666666664</x:v>
      </x:c>
      <x:c r="BT668" s="14" t="str">
        <x:v>One episode</x:v>
      </x:c>
      <x:c r="BU668" s="14" t="str">
        <x:v>Medium</x:v>
      </x:c>
      <x:c r="BV668" s="14" t="str">
        <x:v>Derived from the supplied IMDb episode count and documented production-total proxy.</x:v>
      </x:c>
      <x:c r="BW668" s="14" t="str">
        <x:v>Unable to determine</x:v>
      </x:c>
      <x:c r="BX668" s="14" t="str">
        <x:v>Cast-list and episode data do not establish narrative prominence.</x:v>
      </x:c>
      <x:c r="BY668" s="14" t="str">
        <x:v>Supplied IMDb cast-list workbook</x:v>
      </x:c>
      <x:c r="BZ66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tt11958610|nm6879708|ollie</x:v>
      </x:c>
      <x:c r="B669" s="14" t="str">
        <x:v>08</x:v>
      </x:c>
      <x:c r="C669" s="14" t="str">
        <x:v>2022_IMDb_Cast_Lists_Batch_08(1).xlsx</x:v>
      </x:c>
      <x:c r="D669" s="14" t="str">
        <x:v>Trigger Point</x:v>
      </x:c>
      <x:c r="E669" s="14" t="n">
        <x:v>102</x:v>
      </x:c>
      <x:c r="F669" s="14" t="str">
        <x:v>Trigger Point</x:v>
      </x:c>
      <x:c r="G669" s="14" t="str">
        <x:v>tt11958610</x:v>
      </x:c>
      <x:c r="H669" s="14" t="n">
        <x:v>2022</x:v>
      </x:c>
      <x:c r="I669" s="14" t="n">
        <x:v>2023</x:v>
      </x:c>
      <x:c r="J669" s="14" t="str">
        <x:v>Future Carry-Forward Cohort</x:v>
      </x:c>
      <x:c r="K669" s="14" t="n">
        <x:v>2022</x:v>
      </x:c>
      <x:c r="L669" s="14" t="str">
        <x:v>Not inherited</x:v>
      </x:c>
      <x:c r="M669" s="15" t="n">
        <x:v>95</x:v>
      </x:c>
      <x:c r="N669" s="14" t="str">
        <x:v>Jon Tarcy</x:v>
      </x:c>
      <x:c r="O669" s="14" t="str">
        <x:v>nm6879708</x:v>
      </x:c>
      <x:c r="P669" s="14" t="str">
        <x:v>Ollie</x:v>
      </x:c>
      <x:c r="Q669" s="15" t="n">
        <x:v>1</x:v>
      </x:c>
      <x:c r="R669" s="14" t="str">
        <x:v>2024</x:v>
      </x:c>
      <x:c r="S669" s="14" t="n">
        <x:v>2024</x:v>
      </x:c>
      <x:c r="T669" s="14" t="n">
        <x:v>2024</x:v>
      </x:c>
      <x:c r="U669" s="14" t="str">
        <x:v>Explicit source first year retained</x:v>
      </x:c>
      <x:c r="V669" s="14" t="str">
        <x:v>Earliest supplied year is 2024.</x:v>
      </x:c>
      <x:c r="W669" s="14"/>
      <x:c r="X669" s="14" t="str">
        <x:v>Carried forward to 2024</x:v>
      </x:c>
      <x:c r="Y669" s="14"/>
      <x:c r="Z669" s="14" t="str">
        <x:v>Trigger Point.docx</x:v>
      </x:c>
      <x:c r="AA66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7" t="e">
        <x:f>HYPERLINK("https://en.wikipedia.org/wiki/Trigger_Point","Open source")</x:f>
        <x:v>HYPERLINK is not implemented. linkLocation=https://en.wikipedia.org/wiki/Trigger_Point, friendlyName=Open source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 t="str">
        <x:v>No established-register match</x:v>
      </x:c>
      <x:c r="AT669" s="14"/>
      <x:c r="AU669" s="14"/>
      <x:c r="AV669" s="14" t="str">
        <x:v>No established apparent-disability match</x:v>
      </x:c>
      <x:c r="AW669" s="14"/>
      <x:c r="AX669" s="14" t="str">
        <x:v>No</x:v>
      </x:c>
      <x:c r="AY669" s="14" t="str">
        <x:v>Unmatched</x:v>
      </x:c>
      <x:c r="AZ669" s="14" t="str">
        <x:v>Final supplied register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24</x:v>
      </x:c>
      <x:c r="BP669" s="14" t="str">
        <x:v>Maximum supplied eligible IMDb cast-credit total; annual episode total not independently verified.</x:v>
      </x:c>
      <x:c r="BQ669" s="14" t="str">
        <x:v>Medium</x:v>
      </x:c>
      <x:c r="BR669" s="15" t="n">
        <x:v>1</x:v>
      </x:c>
      <x:c r="BS669" s="16" t="n">
        <x:v>0.041666666666666664</x:v>
      </x:c>
      <x:c r="BT669" s="14" t="str">
        <x:v>One episode</x:v>
      </x:c>
      <x:c r="BU669" s="14" t="str">
        <x:v>Medium</x:v>
      </x:c>
      <x:c r="BV669" s="14" t="str">
        <x:v>Derived from the supplied IMDb episode count and documented production-total proxy.</x:v>
      </x:c>
      <x:c r="BW669" s="14" t="str">
        <x:v>Unable to determine</x:v>
      </x:c>
      <x:c r="BX669" s="14" t="str">
        <x:v>Cast-list and episode data do not establish narrative prominence.</x:v>
      </x:c>
      <x:c r="BY669" s="14" t="str">
        <x:v>Supplied IMDb cast-list workbook</x:v>
      </x:c>
      <x:c r="BZ66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tt11958610|nm14844388|police officer</x:v>
      </x:c>
      <x:c r="B670" s="14" t="str">
        <x:v>08</x:v>
      </x:c>
      <x:c r="C670" s="14" t="str">
        <x:v>2022_IMDb_Cast_Lists_Batch_08(1).xlsx</x:v>
      </x:c>
      <x:c r="D670" s="14" t="str">
        <x:v>Trigger Point</x:v>
      </x:c>
      <x:c r="E670" s="14" t="n">
        <x:v>126</x:v>
      </x:c>
      <x:c r="F670" s="14" t="str">
        <x:v>Trigger Point</x:v>
      </x:c>
      <x:c r="G670" s="14" t="str">
        <x:v>tt11958610</x:v>
      </x:c>
      <x:c r="H670" s="14" t="n">
        <x:v>2022</x:v>
      </x:c>
      <x:c r="I670" s="14" t="n">
        <x:v>2023</x:v>
      </x:c>
      <x:c r="J670" s="14" t="str">
        <x:v>Future Carry-Forward Cohort</x:v>
      </x:c>
      <x:c r="K670" s="14" t="n">
        <x:v>2022</x:v>
      </x:c>
      <x:c r="L670" s="14" t="str">
        <x:v>Not inherited</x:v>
      </x:c>
      <x:c r="M670" s="15" t="n">
        <x:v>119</x:v>
      </x:c>
      <x:c r="N670" s="14" t="str">
        <x:v>Luke Philpott</x:v>
      </x:c>
      <x:c r="O670" s="14" t="str">
        <x:v>nm14844388</x:v>
      </x:c>
      <x:c r="P670" s="14" t="str">
        <x:v>Police Officer</x:v>
      </x:c>
      <x:c r="Q670" s="15" t="n">
        <x:v>1</x:v>
      </x:c>
      <x:c r="R670" s="14" t="str">
        <x:v>2024</x:v>
      </x:c>
      <x:c r="S670" s="14" t="n">
        <x:v>2024</x:v>
      </x:c>
      <x:c r="T670" s="14" t="n">
        <x:v>2024</x:v>
      </x:c>
      <x:c r="U670" s="14" t="str">
        <x:v>Explicit source first year retained</x:v>
      </x:c>
      <x:c r="V670" s="14" t="str">
        <x:v>Earliest supplied year is 2024.</x:v>
      </x:c>
      <x:c r="W670" s="14"/>
      <x:c r="X670" s="14" t="str">
        <x:v>Carried forward to 2024</x:v>
      </x:c>
      <x:c r="Y670" s="14"/>
      <x:c r="Z670" s="14" t="str">
        <x:v>Trigger Point.docx</x:v>
      </x:c>
      <x:c r="AA67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7" t="e">
        <x:f>HYPERLINK("https://en.wikipedia.org/wiki/Trigger_Point","Open source")</x:f>
        <x:v>HYPERLINK is not implemented. linkLocation=https://en.wikipedia.org/wiki/Trigger_Point, friendlyName=Open source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 t="str">
        <x:v>No established-register match</x:v>
      </x:c>
      <x:c r="AT670" s="14"/>
      <x:c r="AU670" s="14"/>
      <x:c r="AV670" s="14" t="str">
        <x:v>No established apparent-disability match</x:v>
      </x:c>
      <x:c r="AW670" s="14"/>
      <x:c r="AX670" s="14" t="str">
        <x:v>No</x:v>
      </x:c>
      <x:c r="AY670" s="14" t="str">
        <x:v>Unmatched</x:v>
      </x:c>
      <x:c r="AZ670" s="14" t="str">
        <x:v>Final supplied register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24</x:v>
      </x:c>
      <x:c r="BP670" s="14" t="str">
        <x:v>Maximum supplied eligible IMDb cast-credit total; annual episode total not independently verified.</x:v>
      </x:c>
      <x:c r="BQ670" s="14" t="str">
        <x:v>Medium</x:v>
      </x:c>
      <x:c r="BR670" s="15" t="n">
        <x:v>1</x:v>
      </x:c>
      <x:c r="BS670" s="16" t="n">
        <x:v>0.041666666666666664</x:v>
      </x:c>
      <x:c r="BT670" s="14" t="str">
        <x:v>One episode</x:v>
      </x:c>
      <x:c r="BU670" s="14" t="str">
        <x:v>Medium</x:v>
      </x:c>
      <x:c r="BV670" s="14" t="str">
        <x:v>Derived from the supplied IMDb episode count and documented production-total proxy.</x:v>
      </x:c>
      <x:c r="BW670" s="14" t="str">
        <x:v>Unable to determine</x:v>
      </x:c>
      <x:c r="BX670" s="14" t="str">
        <x:v>Cast-list and episode data do not establish narrative prominence.</x:v>
      </x:c>
      <x:c r="BY670" s="14" t="str">
        <x:v>Supplied IMDb cast-list workbook</x:v>
      </x:c>
      <x:c r="BZ67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tt11958610|nm15867461|detective constable</x:v>
      </x:c>
      <x:c r="B671" s="14" t="str">
        <x:v>08</x:v>
      </x:c>
      <x:c r="C671" s="14" t="str">
        <x:v>2022_IMDb_Cast_Lists_Batch_08(1).xlsx</x:v>
      </x:c>
      <x:c r="D671" s="14" t="str">
        <x:v>Trigger Point</x:v>
      </x:c>
      <x:c r="E671" s="14" t="n">
        <x:v>127</x:v>
      </x:c>
      <x:c r="F671" s="14" t="str">
        <x:v>Trigger Point</x:v>
      </x:c>
      <x:c r="G671" s="14" t="str">
        <x:v>tt11958610</x:v>
      </x:c>
      <x:c r="H671" s="14" t="n">
        <x:v>2022</x:v>
      </x:c>
      <x:c r="I671" s="14" t="n">
        <x:v>2023</x:v>
      </x:c>
      <x:c r="J671" s="14" t="str">
        <x:v>Future Carry-Forward Cohort</x:v>
      </x:c>
      <x:c r="K671" s="14" t="n">
        <x:v>2022</x:v>
      </x:c>
      <x:c r="L671" s="14" t="str">
        <x:v>Not inherited</x:v>
      </x:c>
      <x:c r="M671" s="15" t="n">
        <x:v>120</x:v>
      </x:c>
      <x:c r="N671" s="14" t="str">
        <x:v>Joanne Gray</x:v>
      </x:c>
      <x:c r="O671" s="14" t="str">
        <x:v>nm15867461</x:v>
      </x:c>
      <x:c r="P671" s="14" t="str">
        <x:v>Detective Constable</x:v>
      </x:c>
      <x:c r="Q671" s="15" t="n">
        <x:v>1</x:v>
      </x:c>
      <x:c r="R671" s="14" t="str">
        <x:v>2024</x:v>
      </x:c>
      <x:c r="S671" s="14" t="n">
        <x:v>2024</x:v>
      </x:c>
      <x:c r="T671" s="14" t="n">
        <x:v>2024</x:v>
      </x:c>
      <x:c r="U671" s="14" t="str">
        <x:v>Explicit source first year retained</x:v>
      </x:c>
      <x:c r="V671" s="14" t="str">
        <x:v>Earliest supplied year is 2024.</x:v>
      </x:c>
      <x:c r="W671" s="14"/>
      <x:c r="X671" s="14" t="str">
        <x:v>Carried forward to 2024</x:v>
      </x:c>
      <x:c r="Y671" s="14"/>
      <x:c r="Z671" s="14" t="str">
        <x:v>Trigger Point.docx</x:v>
      </x:c>
      <x:c r="AA67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7" t="e">
        <x:f>HYPERLINK("https://en.wikipedia.org/wiki/Trigger_Point","Open source")</x:f>
        <x:v>HYPERLINK is not implemented. linkLocation=https://en.wikipedia.org/wiki/Trigger_Point, friendlyName=Open source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 t="str">
        <x:v>No established-register match</x:v>
      </x:c>
      <x:c r="AT671" s="14"/>
      <x:c r="AU671" s="14"/>
      <x:c r="AV671" s="14" t="str">
        <x:v>No established apparent-disability match</x:v>
      </x:c>
      <x:c r="AW671" s="14"/>
      <x:c r="AX671" s="14" t="str">
        <x:v>No</x:v>
      </x:c>
      <x:c r="AY671" s="14" t="str">
        <x:v>Unmatched</x:v>
      </x:c>
      <x:c r="AZ671" s="14" t="str">
        <x:v>Final supplied register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24</x:v>
      </x:c>
      <x:c r="BP671" s="14" t="str">
        <x:v>Maximum supplied eligible IMDb cast-credit total; annual episode total not independently verified.</x:v>
      </x:c>
      <x:c r="BQ671" s="14" t="str">
        <x:v>Medium</x:v>
      </x:c>
      <x:c r="BR671" s="15" t="n">
        <x:v>1</x:v>
      </x:c>
      <x:c r="BS671" s="16" t="n">
        <x:v>0.041666666666666664</x:v>
      </x:c>
      <x:c r="BT671" s="14" t="str">
        <x:v>One episode</x:v>
      </x:c>
      <x:c r="BU671" s="14" t="str">
        <x:v>Medium</x:v>
      </x:c>
      <x:c r="BV671" s="14" t="str">
        <x:v>Derived from the supplied IMDb episode count and documented production-total proxy.</x:v>
      </x:c>
      <x:c r="BW671" s="14" t="str">
        <x:v>Unable to determine</x:v>
      </x:c>
      <x:c r="BX671" s="14" t="str">
        <x:v>Cast-list and episode data do not establish narrative prominence.</x:v>
      </x:c>
      <x:c r="BY671" s="14" t="str">
        <x:v>Supplied IMDb cast-list workbook</x:v>
      </x:c>
      <x:c r="BZ67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tt8983318|nm5440782|devon devereaux</x:v>
      </x:c>
      <x:c r="B672" s="14" t="str">
        <x:v>08</x:v>
      </x:c>
      <x:c r="C672" s="14" t="str">
        <x:v>2022_IMDb_Cast_Lists_Batch_08(1).xlsx</x:v>
      </x:c>
      <x:c r="D672" s="14" t="str">
        <x:v>Wreck</x:v>
      </x:c>
      <x:c r="E672" s="14" t="n">
        <x:v>27</x:v>
      </x:c>
      <x:c r="F672" s="14" t="str">
        <x:v>Wreck</x:v>
      </x:c>
      <x:c r="G672" s="14" t="str">
        <x:v>tt8983318</x:v>
      </x:c>
      <x:c r="H672" s="14" t="n">
        <x:v>2022</x:v>
      </x:c>
      <x:c r="I672" s="14" t="n">
        <x:v>2023</x:v>
      </x:c>
      <x:c r="J672" s="14" t="str">
        <x:v>Future Carry-Forward Cohort</x:v>
      </x:c>
      <x:c r="K672" s="14" t="n">
        <x:v>2022</x:v>
      </x:c>
      <x:c r="L672" s="14" t="str">
        <x:v>Not inherited</x:v>
      </x:c>
      <x:c r="M672" s="15" t="n">
        <x:v>20</x:v>
      </x:c>
      <x:c r="N672" s="14" t="str">
        <x:v>Niamh Walsh</x:v>
      </x:c>
      <x:c r="O672" s="14" t="str">
        <x:v>nm5440782</x:v>
      </x:c>
      <x:c r="P672" s="14" t="str">
        <x:v>Devon Devereaux</x:v>
      </x:c>
      <x:c r="Q672" s="15" t="n">
        <x:v>6</x:v>
      </x:c>
      <x:c r="R672" s="14" t="str">
        <x:v>2024</x:v>
      </x:c>
      <x:c r="S672" s="14" t="n">
        <x:v>2024</x:v>
      </x:c>
      <x:c r="T672" s="14" t="n">
        <x:v>2024</x:v>
      </x:c>
      <x:c r="U672" s="14" t="str">
        <x:v>Explicit source first year retained</x:v>
      </x:c>
      <x:c r="V672" s="14" t="str">
        <x:v>Earliest supplied year is 2024.</x:v>
      </x:c>
      <x:c r="W672" s="14"/>
      <x:c r="X672" s="14" t="str">
        <x:v>Carried forward to 2024</x:v>
      </x:c>
      <x:c r="Y672" s="14"/>
      <x:c r="Z672" s="14" t="str">
        <x:v>Wreck.docx</x:v>
      </x:c>
      <x:c r="AA672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BBC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7" t="e">
        <x:f>HYPERLINK("https://en.wikipedia.org/wiki/Wreck","Open source")</x:f>
        <x:v>HYPERLINK is not implemented. linkLocation=https://en.wikipedia.org/wiki/Wreck, friendlyName=Open source</x:v>
      </x:c>
      <x:c r="AN672" s="14" t="str">
        <x:v>BBC public-service commission</x:v>
      </x:c>
      <x:c r="AO672" s="14" t="str">
        <x:v>Yes</x:v>
      </x:c>
      <x:c r="AP672" s="14" t="str">
        <x:v>Direct BBC public-service scope</x:v>
      </x:c>
      <x:c r="AQ672" s="14" t="str">
        <x:v>Yes</x:v>
      </x:c>
      <x:c r="AR672" s="14" t="str">
        <x:v>Resolved from master register</x:v>
      </x:c>
      <x:c r="AS672" s="14" t="str">
        <x:v>No established-register match</x:v>
      </x:c>
      <x:c r="AT672" s="14"/>
      <x:c r="AU672" s="14"/>
      <x:c r="AV672" s="14" t="str">
        <x:v>No established apparent-disability match</x:v>
      </x:c>
      <x:c r="AW672" s="14"/>
      <x:c r="AX672" s="14" t="str">
        <x:v>No</x:v>
      </x:c>
      <x:c r="AY672" s="14" t="str">
        <x:v>Unmatched</x:v>
      </x:c>
      <x:c r="AZ672" s="14" t="str">
        <x:v>Final supplied register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12</x:v>
      </x:c>
      <x:c r="BP672" s="14" t="str">
        <x:v>Maximum supplied eligible IMDb cast-credit total; annual episode total not independently verified.</x:v>
      </x:c>
      <x:c r="BQ672" s="14" t="str">
        <x:v>Medium</x:v>
      </x:c>
      <x:c r="BR672" s="15" t="n">
        <x:v>6</x:v>
      </x:c>
      <x:c r="BS672" s="16" t="n">
        <x:v>0.5</x:v>
      </x:c>
      <x:c r="BT672" s="14" t="str">
        <x:v>Minority of episodes</x:v>
      </x:c>
      <x:c r="BU672" s="14" t="str">
        <x:v>Medium</x:v>
      </x:c>
      <x:c r="BV672" s="14" t="str">
        <x:v>Derived from the supplied IMDb episode count and documented production-total proxy.</x:v>
      </x:c>
      <x:c r="BW672" s="14" t="str">
        <x:v>Unable to determine</x:v>
      </x:c>
      <x:c r="BX672" s="14" t="str">
        <x:v>Cast-list and episode data do not establish narrative prominence.</x:v>
      </x:c>
      <x:c r="BY672" s="14" t="str">
        <x:v>Supplied IMDb cast-list workbook</x:v>
      </x:c>
      <x:c r="BZ672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tt8983318|nm2635363|jean</x:v>
      </x:c>
      <x:c r="B673" s="14" t="str">
        <x:v>08</x:v>
      </x:c>
      <x:c r="C673" s="14" t="str">
        <x:v>2022_IMDb_Cast_Lists_Batch_08(1).xlsx</x:v>
      </x:c>
      <x:c r="D673" s="14" t="str">
        <x:v>Wreck</x:v>
      </x:c>
      <x:c r="E673" s="14" t="n">
        <x:v>29</x:v>
      </x:c>
      <x:c r="F673" s="14" t="str">
        <x:v>Wreck</x:v>
      </x:c>
      <x:c r="G673" s="14" t="str">
        <x:v>tt8983318</x:v>
      </x:c>
      <x:c r="H673" s="14" t="n">
        <x:v>2022</x:v>
      </x:c>
      <x:c r="I673" s="14" t="n">
        <x:v>2023</x:v>
      </x:c>
      <x:c r="J673" s="14" t="str">
        <x:v>Future Carry-Forward Cohort</x:v>
      </x:c>
      <x:c r="K673" s="14" t="n">
        <x:v>2022</x:v>
      </x:c>
      <x:c r="L673" s="14" t="str">
        <x:v>Not inherited</x:v>
      </x:c>
      <x:c r="M673" s="15" t="n">
        <x:v>22</x:v>
      </x:c>
      <x:c r="N673" s="14" t="str">
        <x:v>Sam Buttery</x:v>
      </x:c>
      <x:c r="O673" s="14" t="str">
        <x:v>nm2635363</x:v>
      </x:c>
      <x:c r="P673" s="14" t="str">
        <x:v>Jean</x:v>
      </x:c>
      <x:c r="Q673" s="15" t="n">
        <x:v>6</x:v>
      </x:c>
      <x:c r="R673" s="14" t="str">
        <x:v>2024</x:v>
      </x:c>
      <x:c r="S673" s="14" t="n">
        <x:v>2024</x:v>
      </x:c>
      <x:c r="T673" s="14" t="n">
        <x:v>2024</x:v>
      </x:c>
      <x:c r="U673" s="14" t="str">
        <x:v>Explicit source first year retained</x:v>
      </x:c>
      <x:c r="V673" s="14" t="str">
        <x:v>Earliest supplied year is 2024.</x:v>
      </x:c>
      <x:c r="W673" s="14"/>
      <x:c r="X673" s="14" t="str">
        <x:v>Carried forward to 2024</x:v>
      </x:c>
      <x:c r="Y673" s="14"/>
      <x:c r="Z673" s="14" t="str">
        <x:v>Wreck.docx</x:v>
      </x:c>
      <x:c r="AA673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BBC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7" t="e">
        <x:f>HYPERLINK("https://en.wikipedia.org/wiki/Wreck","Open source")</x:f>
        <x:v>HYPERLINK is not implemented. linkLocation=https://en.wikipedia.org/wiki/Wreck, friendlyName=Open source</x:v>
      </x:c>
      <x:c r="AN673" s="14" t="str">
        <x:v>BBC public-service commission</x:v>
      </x:c>
      <x:c r="AO673" s="14" t="str">
        <x:v>Yes</x:v>
      </x:c>
      <x:c r="AP673" s="14" t="str">
        <x:v>Direct BBC public-service scope</x:v>
      </x:c>
      <x:c r="AQ673" s="14" t="str">
        <x:v>Yes</x:v>
      </x:c>
      <x:c r="AR673" s="14" t="str">
        <x:v>Resolved from master register</x:v>
      </x:c>
      <x:c r="AS673" s="14" t="str">
        <x:v>No established-register match</x:v>
      </x:c>
      <x:c r="AT673" s="14"/>
      <x:c r="AU673" s="14"/>
      <x:c r="AV673" s="14" t="str">
        <x:v>No established apparent-disability match</x:v>
      </x:c>
      <x:c r="AW673" s="14"/>
      <x:c r="AX673" s="14" t="str">
        <x:v>No</x:v>
      </x:c>
      <x:c r="AY673" s="14" t="str">
        <x:v>Unmatched</x:v>
      </x:c>
      <x:c r="AZ673" s="14" t="str">
        <x:v>Final supplied register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12</x:v>
      </x:c>
      <x:c r="BP673" s="14" t="str">
        <x:v>Maximum supplied eligible IMDb cast-credit total; annual episode total not independently verified.</x:v>
      </x:c>
      <x:c r="BQ673" s="14" t="str">
        <x:v>Medium</x:v>
      </x:c>
      <x:c r="BR673" s="15" t="n">
        <x:v>6</x:v>
      </x:c>
      <x:c r="BS673" s="16" t="n">
        <x:v>0.5</x:v>
      </x:c>
      <x:c r="BT673" s="14" t="str">
        <x:v>Minority of episodes</x:v>
      </x:c>
      <x:c r="BU673" s="14" t="str">
        <x:v>Medium</x:v>
      </x:c>
      <x:c r="BV673" s="14" t="str">
        <x:v>Derived from the supplied IMDb episode count and documented production-total proxy.</x:v>
      </x:c>
      <x:c r="BW673" s="14" t="str">
        <x:v>Unable to determine</x:v>
      </x:c>
      <x:c r="BX673" s="14" t="str">
        <x:v>Cast-list and episode data do not establish narrative prominence.</x:v>
      </x:c>
      <x:c r="BY673" s="14" t="str">
        <x:v>Supplied IMDb cast-list workbook</x:v>
      </x:c>
      <x:c r="BZ673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tt8983318|nm4969843|the creep</x:v>
      </x:c>
      <x:c r="B674" s="14" t="str">
        <x:v>08</x:v>
      </x:c>
      <x:c r="C674" s="14" t="str">
        <x:v>2022_IMDb_Cast_Lists_Batch_08(1).xlsx</x:v>
      </x:c>
      <x:c r="D674" s="14" t="str">
        <x:v>Wreck</x:v>
      </x:c>
      <x:c r="E674" s="14" t="n">
        <x:v>30</x:v>
      </x:c>
      <x:c r="F674" s="14" t="str">
        <x:v>Wreck</x:v>
      </x:c>
      <x:c r="G674" s="14" t="str">
        <x:v>tt8983318</x:v>
      </x:c>
      <x:c r="H674" s="14" t="n">
        <x:v>2022</x:v>
      </x:c>
      <x:c r="I674" s="14" t="n">
        <x:v>2023</x:v>
      </x:c>
      <x:c r="J674" s="14" t="str">
        <x:v>Future Carry-Forward Cohort</x:v>
      </x:c>
      <x:c r="K674" s="14" t="n">
        <x:v>2022</x:v>
      </x:c>
      <x:c r="L674" s="14" t="str">
        <x:v>Not inherited</x:v>
      </x:c>
      <x:c r="M674" s="15" t="n">
        <x:v>23</x:v>
      </x:c>
      <x:c r="N674" s="14" t="str">
        <x:v>Phill Martin</x:v>
      </x:c>
      <x:c r="O674" s="14" t="str">
        <x:v>nm4969843</x:v>
      </x:c>
      <x:c r="P674" s="14" t="str">
        <x:v>The Creep</x:v>
      </x:c>
      <x:c r="Q674" s="15" t="n">
        <x:v>6</x:v>
      </x:c>
      <x:c r="R674" s="14" t="str">
        <x:v>2024</x:v>
      </x:c>
      <x:c r="S674" s="14" t="n">
        <x:v>2024</x:v>
      </x:c>
      <x:c r="T674" s="14" t="n">
        <x:v>2024</x:v>
      </x:c>
      <x:c r="U674" s="14" t="str">
        <x:v>Explicit source first year retained</x:v>
      </x:c>
      <x:c r="V674" s="14" t="str">
        <x:v>Earliest supplied year is 2024.</x:v>
      </x:c>
      <x:c r="W674" s="14"/>
      <x:c r="X674" s="14" t="str">
        <x:v>Carried forward to 2024</x:v>
      </x:c>
      <x:c r="Y674" s="14"/>
      <x:c r="Z674" s="14" t="str">
        <x:v>Wreck.docx</x:v>
      </x:c>
      <x:c r="AA674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BBC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7" t="e">
        <x:f>HYPERLINK("https://en.wikipedia.org/wiki/Wreck","Open source")</x:f>
        <x:v>HYPERLINK is not implemented. linkLocation=https://en.wikipedia.org/wiki/Wreck, friendlyName=Open source</x:v>
      </x:c>
      <x:c r="AN674" s="14" t="str">
        <x:v>BBC public-service commission</x:v>
      </x:c>
      <x:c r="AO674" s="14" t="str">
        <x:v>Yes</x:v>
      </x:c>
      <x:c r="AP674" s="14" t="str">
        <x:v>Direct BBC public-service scope</x:v>
      </x:c>
      <x:c r="AQ674" s="14" t="str">
        <x:v>Yes</x:v>
      </x:c>
      <x:c r="AR674" s="14" t="str">
        <x:v>Resolved from master register</x:v>
      </x:c>
      <x:c r="AS674" s="14" t="str">
        <x:v>No established-register match</x:v>
      </x:c>
      <x:c r="AT674" s="14"/>
      <x:c r="AU674" s="14"/>
      <x:c r="AV674" s="14" t="str">
        <x:v>No established apparent-disability match</x:v>
      </x:c>
      <x:c r="AW674" s="14"/>
      <x:c r="AX674" s="14" t="str">
        <x:v>No</x:v>
      </x:c>
      <x:c r="AY674" s="14" t="str">
        <x:v>Unmatched</x:v>
      </x:c>
      <x:c r="AZ674" s="14" t="str">
        <x:v>Final supplied register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12</x:v>
      </x:c>
      <x:c r="BP674" s="14" t="str">
        <x:v>Maximum supplied eligible IMDb cast-credit total; annual episode total not independently verified.</x:v>
      </x:c>
      <x:c r="BQ674" s="14" t="str">
        <x:v>Medium</x:v>
      </x:c>
      <x:c r="BR674" s="15" t="n">
        <x:v>6</x:v>
      </x:c>
      <x:c r="BS674" s="16" t="n">
        <x:v>0.5</x:v>
      </x:c>
      <x:c r="BT674" s="14" t="str">
        <x:v>Minority of episodes</x:v>
      </x:c>
      <x:c r="BU674" s="14" t="str">
        <x:v>Medium</x:v>
      </x:c>
      <x:c r="BV674" s="14" t="str">
        <x:v>Derived from the supplied IMDb episode count and documented production-total proxy.</x:v>
      </x:c>
      <x:c r="BW674" s="14" t="str">
        <x:v>Unable to determine</x:v>
      </x:c>
      <x:c r="BX674" s="14" t="str">
        <x:v>Cast-list and episode data do not establish narrative prominence.</x:v>
      </x:c>
      <x:c r="BY674" s="14" t="str">
        <x:v>Supplied IMDb cast-list workbook</x:v>
      </x:c>
      <x:c r="BZ674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tt8983318|nm11269081|ben matthews</x:v>
      </x:c>
      <x:c r="B675" s="14" t="str">
        <x:v>08</x:v>
      </x:c>
      <x:c r="C675" s="14" t="str">
        <x:v>2022_IMDb_Cast_Lists_Batch_08(1).xlsx</x:v>
      </x:c>
      <x:c r="D675" s="14" t="str">
        <x:v>Wreck</x:v>
      </x:c>
      <x:c r="E675" s="14" t="n">
        <x:v>34</x:v>
      </x:c>
      <x:c r="F675" s="14" t="str">
        <x:v>Wreck</x:v>
      </x:c>
      <x:c r="G675" s="14" t="str">
        <x:v>tt8983318</x:v>
      </x:c>
      <x:c r="H675" s="14" t="n">
        <x:v>2022</x:v>
      </x:c>
      <x:c r="I675" s="14" t="n">
        <x:v>2023</x:v>
      </x:c>
      <x:c r="J675" s="14" t="str">
        <x:v>Future Carry-Forward Cohort</x:v>
      </x:c>
      <x:c r="K675" s="14" t="n">
        <x:v>2022</x:v>
      </x:c>
      <x:c r="L675" s="14" t="str">
        <x:v>Not inherited</x:v>
      </x:c>
      <x:c r="M675" s="15" t="n">
        <x:v>27</x:v>
      </x:c>
      <x:c r="N675" s="14" t="str">
        <x:v>Orlando Norman</x:v>
      </x:c>
      <x:c r="O675" s="14" t="str">
        <x:v>nm11269081</x:v>
      </x:c>
      <x:c r="P675" s="14" t="str">
        <x:v>Ben Matthews</x:v>
      </x:c>
      <x:c r="Q675" s="15" t="n">
        <x:v>5</x:v>
      </x:c>
      <x:c r="R675" s="14" t="str">
        <x:v>2024</x:v>
      </x:c>
      <x:c r="S675" s="14" t="n">
        <x:v>2024</x:v>
      </x:c>
      <x:c r="T675" s="14" t="n">
        <x:v>2024</x:v>
      </x:c>
      <x:c r="U675" s="14" t="str">
        <x:v>Explicit source first year retained</x:v>
      </x:c>
      <x:c r="V675" s="14" t="str">
        <x:v>Earliest supplied year is 2024.</x:v>
      </x:c>
      <x:c r="W675" s="14"/>
      <x:c r="X675" s="14" t="str">
        <x:v>Carried forward to 2024</x:v>
      </x:c>
      <x:c r="Y675" s="14"/>
      <x:c r="Z675" s="14" t="str">
        <x:v>Wreck.docx</x:v>
      </x:c>
      <x:c r="AA675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BBC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7" t="e">
        <x:f>HYPERLINK("https://en.wikipedia.org/wiki/Wreck","Open source")</x:f>
        <x:v>HYPERLINK is not implemented. linkLocation=https://en.wikipedia.org/wiki/Wreck, friendlyName=Open source</x:v>
      </x:c>
      <x:c r="AN675" s="14" t="str">
        <x:v>BBC public-service commission</x:v>
      </x:c>
      <x:c r="AO675" s="14" t="str">
        <x:v>Yes</x:v>
      </x:c>
      <x:c r="AP675" s="14" t="str">
        <x:v>Direct BBC public-service scope</x:v>
      </x:c>
      <x:c r="AQ675" s="14" t="str">
        <x:v>Yes</x:v>
      </x:c>
      <x:c r="AR675" s="14" t="str">
        <x:v>Resolved from master register</x:v>
      </x:c>
      <x:c r="AS675" s="14" t="str">
        <x:v>No established-register match</x:v>
      </x:c>
      <x:c r="AT675" s="14"/>
      <x:c r="AU675" s="14"/>
      <x:c r="AV675" s="14" t="str">
        <x:v>No established apparent-disability match</x:v>
      </x:c>
      <x:c r="AW675" s="14"/>
      <x:c r="AX675" s="14" t="str">
        <x:v>No</x:v>
      </x:c>
      <x:c r="AY675" s="14" t="str">
        <x:v>Unmatched</x:v>
      </x:c>
      <x:c r="AZ675" s="14" t="str">
        <x:v>Final supplied register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12</x:v>
      </x:c>
      <x:c r="BP675" s="14" t="str">
        <x:v>Maximum supplied eligible IMDb cast-credit total; annual episode total not independently verified.</x:v>
      </x:c>
      <x:c r="BQ675" s="14" t="str">
        <x:v>Medium</x:v>
      </x:c>
      <x:c r="BR675" s="15" t="n">
        <x:v>5</x:v>
      </x:c>
      <x:c r="BS675" s="16" t="n">
        <x:v>0.4166666666666667</x:v>
      </x:c>
      <x:c r="BT675" s="14" t="str">
        <x:v>Minority of episodes</x:v>
      </x:c>
      <x:c r="BU675" s="14" t="str">
        <x:v>Medium</x:v>
      </x:c>
      <x:c r="BV675" s="14" t="str">
        <x:v>Derived from the supplied IMDb episode count and documented production-total proxy.</x:v>
      </x:c>
      <x:c r="BW675" s="14" t="str">
        <x:v>Unable to determine</x:v>
      </x:c>
      <x:c r="BX675" s="14" t="str">
        <x:v>Cast-list and episode data do not establish narrative prominence.</x:v>
      </x:c>
      <x:c r="BY675" s="14" t="str">
        <x:v>Supplied IMDb cast-list workbook</x:v>
      </x:c>
      <x:c r="BZ675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tt8983318|nm5971114|joseph murphy</x:v>
      </x:c>
      <x:c r="B676" s="14" t="str">
        <x:v>08</x:v>
      </x:c>
      <x:c r="C676" s="14" t="str">
        <x:v>2022_IMDb_Cast_Lists_Batch_08(1).xlsx</x:v>
      </x:c>
      <x:c r="D676" s="14" t="str">
        <x:v>Wreck</x:v>
      </x:c>
      <x:c r="E676" s="14" t="n">
        <x:v>35</x:v>
      </x:c>
      <x:c r="F676" s="14" t="str">
        <x:v>Wreck</x:v>
      </x:c>
      <x:c r="G676" s="14" t="str">
        <x:v>tt8983318</x:v>
      </x:c>
      <x:c r="H676" s="14" t="n">
        <x:v>2022</x:v>
      </x:c>
      <x:c r="I676" s="14" t="n">
        <x:v>2023</x:v>
      </x:c>
      <x:c r="J676" s="14" t="str">
        <x:v>Future Carry-Forward Cohort</x:v>
      </x:c>
      <x:c r="K676" s="14" t="n">
        <x:v>2022</x:v>
      </x:c>
      <x:c r="L676" s="14" t="str">
        <x:v>Not inherited</x:v>
      </x:c>
      <x:c r="M676" s="15" t="n">
        <x:v>28</x:v>
      </x:c>
      <x:c r="N676" s="14" t="str">
        <x:v>Greg Austin</x:v>
      </x:c>
      <x:c r="O676" s="14" t="str">
        <x:v>nm5971114</x:v>
      </x:c>
      <x:c r="P676" s="14" t="str">
        <x:v>Joseph Murphy</x:v>
      </x:c>
      <x:c r="Q676" s="15" t="n">
        <x:v>5</x:v>
      </x:c>
      <x:c r="R676" s="14" t="str">
        <x:v>2024</x:v>
      </x:c>
      <x:c r="S676" s="14" t="n">
        <x:v>2024</x:v>
      </x:c>
      <x:c r="T676" s="14" t="n">
        <x:v>2024</x:v>
      </x:c>
      <x:c r="U676" s="14" t="str">
        <x:v>Explicit source first year retained</x:v>
      </x:c>
      <x:c r="V676" s="14" t="str">
        <x:v>Earliest supplied year is 2024.</x:v>
      </x:c>
      <x:c r="W676" s="14"/>
      <x:c r="X676" s="14" t="str">
        <x:v>Carried forward to 2024</x:v>
      </x:c>
      <x:c r="Y676" s="14"/>
      <x:c r="Z676" s="14" t="str">
        <x:v>Wreck.docx</x:v>
      </x:c>
      <x:c r="AA676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BBC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7" t="e">
        <x:f>HYPERLINK("https://en.wikipedia.org/wiki/Wreck","Open source")</x:f>
        <x:v>HYPERLINK is not implemented. linkLocation=https://en.wikipedia.org/wiki/Wreck, friendlyName=Open source</x:v>
      </x:c>
      <x:c r="AN676" s="14" t="str">
        <x:v>BBC public-service commission</x:v>
      </x:c>
      <x:c r="AO676" s="14" t="str">
        <x:v>Yes</x:v>
      </x:c>
      <x:c r="AP676" s="14" t="str">
        <x:v>Direct BBC public-service scope</x:v>
      </x:c>
      <x:c r="AQ676" s="14" t="str">
        <x:v>Yes</x:v>
      </x:c>
      <x:c r="AR676" s="14" t="str">
        <x:v>Resolved from master register</x:v>
      </x:c>
      <x:c r="AS676" s="14" t="str">
        <x:v>No established-register match</x:v>
      </x:c>
      <x:c r="AT676" s="14"/>
      <x:c r="AU676" s="14"/>
      <x:c r="AV676" s="14" t="str">
        <x:v>No established apparent-disability match</x:v>
      </x:c>
      <x:c r="AW676" s="14"/>
      <x:c r="AX676" s="14" t="str">
        <x:v>No</x:v>
      </x:c>
      <x:c r="AY676" s="14" t="str">
        <x:v>Unmatched</x:v>
      </x:c>
      <x:c r="AZ676" s="14" t="str">
        <x:v>Final supplied register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12</x:v>
      </x:c>
      <x:c r="BP676" s="14" t="str">
        <x:v>Maximum supplied eligible IMDb cast-credit total; annual episode total not independently verified.</x:v>
      </x:c>
      <x:c r="BQ676" s="14" t="str">
        <x:v>Medium</x:v>
      </x:c>
      <x:c r="BR676" s="15" t="n">
        <x:v>5</x:v>
      </x:c>
      <x:c r="BS676" s="16" t="n">
        <x:v>0.4166666666666667</x:v>
      </x:c>
      <x:c r="BT676" s="14" t="str">
        <x:v>Minority of episodes</x:v>
      </x:c>
      <x:c r="BU676" s="14" t="str">
        <x:v>Medium</x:v>
      </x:c>
      <x:c r="BV676" s="14" t="str">
        <x:v>Derived from the supplied IMDb episode count and documented production-total proxy.</x:v>
      </x:c>
      <x:c r="BW676" s="14" t="str">
        <x:v>Unable to determine</x:v>
      </x:c>
      <x:c r="BX676" s="14" t="str">
        <x:v>Cast-list and episode data do not establish narrative prominence.</x:v>
      </x:c>
      <x:c r="BY676" s="14" t="str">
        <x:v>Supplied IMDb cast-list workbook</x:v>
      </x:c>
      <x:c r="BZ676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tt8983318|nm1692863|billy ahmadi</x:v>
      </x:c>
      <x:c r="B677" s="14" t="str">
        <x:v>08</x:v>
      </x:c>
      <x:c r="C677" s="14" t="str">
        <x:v>2022_IMDb_Cast_Lists_Batch_08(1).xlsx</x:v>
      </x:c>
      <x:c r="D677" s="14" t="str">
        <x:v>Wreck</x:v>
      </x:c>
      <x:c r="E677" s="14" t="n">
        <x:v>38</x:v>
      </x:c>
      <x:c r="F677" s="14" t="str">
        <x:v>Wreck</x:v>
      </x:c>
      <x:c r="G677" s="14" t="str">
        <x:v>tt8983318</x:v>
      </x:c>
      <x:c r="H677" s="14" t="n">
        <x:v>2022</x:v>
      </x:c>
      <x:c r="I677" s="14" t="n">
        <x:v>2023</x:v>
      </x:c>
      <x:c r="J677" s="14" t="str">
        <x:v>Future Carry-Forward Cohort</x:v>
      </x:c>
      <x:c r="K677" s="14" t="n">
        <x:v>2022</x:v>
      </x:c>
      <x:c r="L677" s="14" t="str">
        <x:v>Not inherited</x:v>
      </x:c>
      <x:c r="M677" s="15" t="n">
        <x:v>31</x:v>
      </x:c>
      <x:c r="N677" s="14" t="str">
        <x:v>Shaheen Jafargholi</x:v>
      </x:c>
      <x:c r="O677" s="14" t="str">
        <x:v>nm1692863</x:v>
      </x:c>
      <x:c r="P677" s="14" t="str">
        <x:v>Billy Ahmadi</x:v>
      </x:c>
      <x:c r="Q677" s="15" t="n">
        <x:v>5</x:v>
      </x:c>
      <x:c r="R677" s="14" t="str">
        <x:v>2024</x:v>
      </x:c>
      <x:c r="S677" s="14" t="n">
        <x:v>2024</x:v>
      </x:c>
      <x:c r="T677" s="14" t="n">
        <x:v>2024</x:v>
      </x:c>
      <x:c r="U677" s="14" t="str">
        <x:v>Explicit source first year retained</x:v>
      </x:c>
      <x:c r="V677" s="14" t="str">
        <x:v>Earliest supplied year is 2024.</x:v>
      </x:c>
      <x:c r="W677" s="14"/>
      <x:c r="X677" s="14" t="str">
        <x:v>Carried forward to 2024</x:v>
      </x:c>
      <x:c r="Y677" s="14"/>
      <x:c r="Z677" s="14" t="str">
        <x:v>Wreck.docx</x:v>
      </x:c>
      <x:c r="AA677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BBC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7" t="e">
        <x:f>HYPERLINK("https://en.wikipedia.org/wiki/Wreck","Open source")</x:f>
        <x:v>HYPERLINK is not implemented. linkLocation=https://en.wikipedia.org/wiki/Wreck, friendlyName=Open source</x:v>
      </x:c>
      <x:c r="AN677" s="14" t="str">
        <x:v>BBC public-service commission</x:v>
      </x:c>
      <x:c r="AO677" s="14" t="str">
        <x:v>Yes</x:v>
      </x:c>
      <x:c r="AP677" s="14" t="str">
        <x:v>Direct BBC public-service scope</x:v>
      </x:c>
      <x:c r="AQ677" s="14" t="str">
        <x:v>Yes</x:v>
      </x:c>
      <x:c r="AR677" s="14" t="str">
        <x:v>Resolved from master register</x:v>
      </x:c>
      <x:c r="AS677" s="14" t="str">
        <x:v>No established-register match</x:v>
      </x:c>
      <x:c r="AT677" s="14"/>
      <x:c r="AU677" s="14"/>
      <x:c r="AV677" s="14" t="str">
        <x:v>No established apparent-disability match</x:v>
      </x:c>
      <x:c r="AW677" s="14"/>
      <x:c r="AX677" s="14" t="str">
        <x:v>No</x:v>
      </x:c>
      <x:c r="AY677" s="14" t="str">
        <x:v>Unmatched</x:v>
      </x:c>
      <x:c r="AZ677" s="14" t="str">
        <x:v>Final supplied register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12</x:v>
      </x:c>
      <x:c r="BP677" s="14" t="str">
        <x:v>Maximum supplied eligible IMDb cast-credit total; annual episode total not independently verified.</x:v>
      </x:c>
      <x:c r="BQ677" s="14" t="str">
        <x:v>Medium</x:v>
      </x:c>
      <x:c r="BR677" s="15" t="n">
        <x:v>5</x:v>
      </x:c>
      <x:c r="BS677" s="16" t="n">
        <x:v>0.4166666666666667</x:v>
      </x:c>
      <x:c r="BT677" s="14" t="str">
        <x:v>Minority of episodes</x:v>
      </x:c>
      <x:c r="BU677" s="14" t="str">
        <x:v>Medium</x:v>
      </x:c>
      <x:c r="BV677" s="14" t="str">
        <x:v>Derived from the supplied IMDb episode count and documented production-total proxy.</x:v>
      </x:c>
      <x:c r="BW677" s="14" t="str">
        <x:v>Unable to determine</x:v>
      </x:c>
      <x:c r="BX677" s="14" t="str">
        <x:v>Cast-list and episode data do not establish narrative prominence.</x:v>
      </x:c>
      <x:c r="BY677" s="14" t="str">
        <x:v>Supplied IMDb cast-list workbook</x:v>
      </x:c>
      <x:c r="BZ677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tt8983318|nm10081942|tristan</x:v>
      </x:c>
      <x:c r="B678" s="14" t="str">
        <x:v>08</x:v>
      </x:c>
      <x:c r="C678" s="14" t="str">
        <x:v>2022_IMDb_Cast_Lists_Batch_08(1).xlsx</x:v>
      </x:c>
      <x:c r="D678" s="14" t="str">
        <x:v>Wreck</x:v>
      </x:c>
      <x:c r="E678" s="14" t="n">
        <x:v>39</x:v>
      </x:c>
      <x:c r="F678" s="14" t="str">
        <x:v>Wreck</x:v>
      </x:c>
      <x:c r="G678" s="14" t="str">
        <x:v>tt8983318</x:v>
      </x:c>
      <x:c r="H678" s="14" t="n">
        <x:v>2022</x:v>
      </x:c>
      <x:c r="I678" s="14" t="n">
        <x:v>2023</x:v>
      </x:c>
      <x:c r="J678" s="14" t="str">
        <x:v>Future Carry-Forward Cohort</x:v>
      </x:c>
      <x:c r="K678" s="14" t="n">
        <x:v>2022</x:v>
      </x:c>
      <x:c r="L678" s="14" t="str">
        <x:v>Not inherited</x:v>
      </x:c>
      <x:c r="M678" s="15" t="n">
        <x:v>32</x:v>
      </x:c>
      <x:c r="N678" s="14" t="str">
        <x:v>Buck Braithwaite</x:v>
      </x:c>
      <x:c r="O678" s="14" t="str">
        <x:v>nm10081942</x:v>
      </x:c>
      <x:c r="P678" s="14" t="str">
        <x:v>Tristan</x:v>
      </x:c>
      <x:c r="Q678" s="15" t="n">
        <x:v>5</x:v>
      </x:c>
      <x:c r="R678" s="14" t="str">
        <x:v>2024</x:v>
      </x:c>
      <x:c r="S678" s="14" t="n">
        <x:v>2024</x:v>
      </x:c>
      <x:c r="T678" s="14" t="n">
        <x:v>2024</x:v>
      </x:c>
      <x:c r="U678" s="14" t="str">
        <x:v>Explicit source first year retained</x:v>
      </x:c>
      <x:c r="V678" s="14" t="str">
        <x:v>Earliest supplied year is 2024.</x:v>
      </x:c>
      <x:c r="W678" s="14"/>
      <x:c r="X678" s="14" t="str">
        <x:v>Carried forward to 2024</x:v>
      </x:c>
      <x:c r="Y678" s="14"/>
      <x:c r="Z678" s="14" t="str">
        <x:v>Wreck.docx</x:v>
      </x:c>
      <x:c r="AA678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BBC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7" t="e">
        <x:f>HYPERLINK("https://en.wikipedia.org/wiki/Wreck","Open source")</x:f>
        <x:v>HYPERLINK is not implemented. linkLocation=https://en.wikipedia.org/wiki/Wreck, friendlyName=Open source</x:v>
      </x:c>
      <x:c r="AN678" s="14" t="str">
        <x:v>BBC public-service commission</x:v>
      </x:c>
      <x:c r="AO678" s="14" t="str">
        <x:v>Yes</x:v>
      </x:c>
      <x:c r="AP678" s="14" t="str">
        <x:v>Direct BBC public-service scope</x:v>
      </x:c>
      <x:c r="AQ678" s="14" t="str">
        <x:v>Yes</x:v>
      </x:c>
      <x:c r="AR678" s="14" t="str">
        <x:v>Resolved from master register</x:v>
      </x:c>
      <x:c r="AS678" s="14" t="str">
        <x:v>No established-register match</x:v>
      </x:c>
      <x:c r="AT678" s="14"/>
      <x:c r="AU678" s="14"/>
      <x:c r="AV678" s="14" t="str">
        <x:v>No established apparent-disability match</x:v>
      </x:c>
      <x:c r="AW678" s="14"/>
      <x:c r="AX678" s="14" t="str">
        <x:v>No</x:v>
      </x:c>
      <x:c r="AY678" s="14" t="str">
        <x:v>Unmatched</x:v>
      </x:c>
      <x:c r="AZ678" s="14" t="str">
        <x:v>Final supplied register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12</x:v>
      </x:c>
      <x:c r="BP678" s="14" t="str">
        <x:v>Maximum supplied eligible IMDb cast-credit total; annual episode total not independently verified.</x:v>
      </x:c>
      <x:c r="BQ678" s="14" t="str">
        <x:v>Medium</x:v>
      </x:c>
      <x:c r="BR678" s="15" t="n">
        <x:v>5</x:v>
      </x:c>
      <x:c r="BS678" s="16" t="n">
        <x:v>0.4166666666666667</x:v>
      </x:c>
      <x:c r="BT678" s="14" t="str">
        <x:v>Minority of episodes</x:v>
      </x:c>
      <x:c r="BU678" s="14" t="str">
        <x:v>Medium</x:v>
      </x:c>
      <x:c r="BV678" s="14" t="str">
        <x:v>Derived from the supplied IMDb episode count and documented production-total proxy.</x:v>
      </x:c>
      <x:c r="BW678" s="14" t="str">
        <x:v>Unable to determine</x:v>
      </x:c>
      <x:c r="BX678" s="14" t="str">
        <x:v>Cast-list and episode data do not establish narrative prominence.</x:v>
      </x:c>
      <x:c r="BY678" s="14" t="str">
        <x:v>Supplied IMDb cast-list workbook</x:v>
      </x:c>
      <x:c r="BZ678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tt8983318|nm12581465|lizzie</x:v>
      </x:c>
      <x:c r="B679" s="14" t="str">
        <x:v>08</x:v>
      </x:c>
      <x:c r="C679" s="14" t="str">
        <x:v>2022_IMDb_Cast_Lists_Batch_08(1).xlsx</x:v>
      </x:c>
      <x:c r="D679" s="14" t="str">
        <x:v>Wreck</x:v>
      </x:c>
      <x:c r="E679" s="14" t="n">
        <x:v>41</x:v>
      </x:c>
      <x:c r="F679" s="14" t="str">
        <x:v>Wreck</x:v>
      </x:c>
      <x:c r="G679" s="14" t="str">
        <x:v>tt8983318</x:v>
      </x:c>
      <x:c r="H679" s="14" t="n">
        <x:v>2022</x:v>
      </x:c>
      <x:c r="I679" s="14" t="n">
        <x:v>2023</x:v>
      </x:c>
      <x:c r="J679" s="14" t="str">
        <x:v>Future Carry-Forward Cohort</x:v>
      </x:c>
      <x:c r="K679" s="14" t="n">
        <x:v>2022</x:v>
      </x:c>
      <x:c r="L679" s="14" t="str">
        <x:v>Not inherited</x:v>
      </x:c>
      <x:c r="M679" s="15" t="n">
        <x:v>34</x:v>
      </x:c>
      <x:c r="N679" s="14" t="str">
        <x:v>Claire Gavin</x:v>
      </x:c>
      <x:c r="O679" s="14" t="str">
        <x:v>nm12581465</x:v>
      </x:c>
      <x:c r="P679" s="14" t="str">
        <x:v>Lizzie</x:v>
      </x:c>
      <x:c r="Q679" s="15" t="n">
        <x:v>5</x:v>
      </x:c>
      <x:c r="R679" s="14" t="str">
        <x:v>2024</x:v>
      </x:c>
      <x:c r="S679" s="14" t="n">
        <x:v>2024</x:v>
      </x:c>
      <x:c r="T679" s="14" t="n">
        <x:v>2024</x:v>
      </x:c>
      <x:c r="U679" s="14" t="str">
        <x:v>Explicit source first year retained</x:v>
      </x:c>
      <x:c r="V679" s="14" t="str">
        <x:v>Earliest supplied year is 2024.</x:v>
      </x:c>
      <x:c r="W679" s="14"/>
      <x:c r="X679" s="14" t="str">
        <x:v>Carried forward to 2024</x:v>
      </x:c>
      <x:c r="Y679" s="14"/>
      <x:c r="Z679" s="14" t="str">
        <x:v>Wreck.docx</x:v>
      </x:c>
      <x:c r="AA679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BBC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7" t="e">
        <x:f>HYPERLINK("https://en.wikipedia.org/wiki/Wreck","Open source")</x:f>
        <x:v>HYPERLINK is not implemented. linkLocation=https://en.wikipedia.org/wiki/Wreck, friendlyName=Open source</x:v>
      </x:c>
      <x:c r="AN679" s="14" t="str">
        <x:v>BBC public-service commission</x:v>
      </x:c>
      <x:c r="AO679" s="14" t="str">
        <x:v>Yes</x:v>
      </x:c>
      <x:c r="AP679" s="14" t="str">
        <x:v>Direct BBC public-service scope</x:v>
      </x:c>
      <x:c r="AQ679" s="14" t="str">
        <x:v>Yes</x:v>
      </x:c>
      <x:c r="AR679" s="14" t="str">
        <x:v>Resolved from master register</x:v>
      </x:c>
      <x:c r="AS679" s="14" t="str">
        <x:v>No established-register match</x:v>
      </x:c>
      <x:c r="AT679" s="14"/>
      <x:c r="AU679" s="14"/>
      <x:c r="AV679" s="14" t="str">
        <x:v>No established apparent-disability match</x:v>
      </x:c>
      <x:c r="AW679" s="14"/>
      <x:c r="AX679" s="14" t="str">
        <x:v>No</x:v>
      </x:c>
      <x:c r="AY679" s="14" t="str">
        <x:v>Unmatched</x:v>
      </x:c>
      <x:c r="AZ679" s="14" t="str">
        <x:v>Final supplied register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12</x:v>
      </x:c>
      <x:c r="BP679" s="14" t="str">
        <x:v>Maximum supplied eligible IMDb cast-credit total; annual episode total not independently verified.</x:v>
      </x:c>
      <x:c r="BQ679" s="14" t="str">
        <x:v>Medium</x:v>
      </x:c>
      <x:c r="BR679" s="15" t="n">
        <x:v>5</x:v>
      </x:c>
      <x:c r="BS679" s="16" t="n">
        <x:v>0.4166666666666667</x:v>
      </x:c>
      <x:c r="BT679" s="14" t="str">
        <x:v>Minority of episodes</x:v>
      </x:c>
      <x:c r="BU679" s="14" t="str">
        <x:v>Medium</x:v>
      </x:c>
      <x:c r="BV679" s="14" t="str">
        <x:v>Derived from the supplied IMDb episode count and documented production-total proxy.</x:v>
      </x:c>
      <x:c r="BW679" s="14" t="str">
        <x:v>Unable to determine</x:v>
      </x:c>
      <x:c r="BX679" s="14" t="str">
        <x:v>Cast-list and episode data do not establish narrative prominence.</x:v>
      </x:c>
      <x:c r="BY679" s="14" t="str">
        <x:v>Supplied IMDb cast-list workbook</x:v>
      </x:c>
      <x:c r="BZ679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tt8983318|nm0197638|owen devereaux</x:v>
      </x:c>
      <x:c r="B680" s="14" t="str">
        <x:v>08</x:v>
      </x:c>
      <x:c r="C680" s="14" t="str">
        <x:v>2022_IMDb_Cast_Lists_Batch_08(1).xlsx</x:v>
      </x:c>
      <x:c r="D680" s="14" t="str">
        <x:v>Wreck</x:v>
      </x:c>
      <x:c r="E680" s="14" t="n">
        <x:v>45</x:v>
      </x:c>
      <x:c r="F680" s="14" t="str">
        <x:v>Wreck</x:v>
      </x:c>
      <x:c r="G680" s="14" t="str">
        <x:v>tt8983318</x:v>
      </x:c>
      <x:c r="H680" s="14" t="n">
        <x:v>2022</x:v>
      </x:c>
      <x:c r="I680" s="14" t="n">
        <x:v>2023</x:v>
      </x:c>
      <x:c r="J680" s="14" t="str">
        <x:v>Future Carry-Forward Cohort</x:v>
      </x:c>
      <x:c r="K680" s="14" t="n">
        <x:v>2022</x:v>
      </x:c>
      <x:c r="L680" s="14" t="str">
        <x:v>Not inherited</x:v>
      </x:c>
      <x:c r="M680" s="15" t="n">
        <x:v>38</x:v>
      </x:c>
      <x:c r="N680" s="14" t="str">
        <x:v>Alan Dale</x:v>
      </x:c>
      <x:c r="O680" s="14" t="str">
        <x:v>nm0197638</x:v>
      </x:c>
      <x:c r="P680" s="14" t="str">
        <x:v>Owen Devereaux</x:v>
      </x:c>
      <x:c r="Q680" s="15" t="n">
        <x:v>3</x:v>
      </x:c>
      <x:c r="R680" s="14" t="str">
        <x:v>2024</x:v>
      </x:c>
      <x:c r="S680" s="14" t="n">
        <x:v>2024</x:v>
      </x:c>
      <x:c r="T680" s="14" t="n">
        <x:v>2024</x:v>
      </x:c>
      <x:c r="U680" s="14" t="str">
        <x:v>Explicit source first year retained</x:v>
      </x:c>
      <x:c r="V680" s="14" t="str">
        <x:v>Earliest supplied year is 2024.</x:v>
      </x:c>
      <x:c r="W680" s="14"/>
      <x:c r="X680" s="14" t="str">
        <x:v>Carried forward to 2024</x:v>
      </x:c>
      <x:c r="Y680" s="14"/>
      <x:c r="Z680" s="14" t="str">
        <x:v>Wreck.docx</x:v>
      </x:c>
      <x:c r="AA680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BBC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7" t="e">
        <x:f>HYPERLINK("https://en.wikipedia.org/wiki/Wreck","Open source")</x:f>
        <x:v>HYPERLINK is not implemented. linkLocation=https://en.wikipedia.org/wiki/Wreck, friendlyName=Open source</x:v>
      </x:c>
      <x:c r="AN680" s="14" t="str">
        <x:v>BBC public-service commission</x:v>
      </x:c>
      <x:c r="AO680" s="14" t="str">
        <x:v>Yes</x:v>
      </x:c>
      <x:c r="AP680" s="14" t="str">
        <x:v>Direct BBC public-service scope</x:v>
      </x:c>
      <x:c r="AQ680" s="14" t="str">
        <x:v>Yes</x:v>
      </x:c>
      <x:c r="AR680" s="14" t="str">
        <x:v>Resolved from master register</x:v>
      </x:c>
      <x:c r="AS680" s="14" t="str">
        <x:v>No established-register match</x:v>
      </x:c>
      <x:c r="AT680" s="14"/>
      <x:c r="AU680" s="14"/>
      <x:c r="AV680" s="14" t="str">
        <x:v>No established apparent-disability match</x:v>
      </x:c>
      <x:c r="AW680" s="14"/>
      <x:c r="AX680" s="14" t="str">
        <x:v>No</x:v>
      </x:c>
      <x:c r="AY680" s="14" t="str">
        <x:v>Unmatched</x:v>
      </x:c>
      <x:c r="AZ680" s="14" t="str">
        <x:v>Final supplied register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12</x:v>
      </x:c>
      <x:c r="BP680" s="14" t="str">
        <x:v>Maximum supplied eligible IMDb cast-credit total; annual episode total not independently verified.</x:v>
      </x:c>
      <x:c r="BQ680" s="14" t="str">
        <x:v>Medium</x:v>
      </x:c>
      <x:c r="BR680" s="15" t="n">
        <x:v>3</x:v>
      </x:c>
      <x:c r="BS680" s="16" t="n">
        <x:v>0.25</x:v>
      </x:c>
      <x:c r="BT680" s="14" t="str">
        <x:v>Minority of episodes</x:v>
      </x:c>
      <x:c r="BU680" s="14" t="str">
        <x:v>Medium</x:v>
      </x:c>
      <x:c r="BV680" s="14" t="str">
        <x:v>Derived from the supplied IMDb episode count and documented production-total proxy.</x:v>
      </x:c>
      <x:c r="BW680" s="14" t="str">
        <x:v>Unable to determine</x:v>
      </x:c>
      <x:c r="BX680" s="14" t="str">
        <x:v>Cast-list and episode data do not establish narrative prominence.</x:v>
      </x:c>
      <x:c r="BY680" s="14" t="str">
        <x:v>Supplied IMDb cast-list workbook</x:v>
      </x:c>
      <x:c r="BZ680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tt8983318|nm5186487|thomas deveraux</x:v>
      </x:c>
      <x:c r="B681" s="14" t="str">
        <x:v>08</x:v>
      </x:c>
      <x:c r="C681" s="14" t="str">
        <x:v>2022_IMDb_Cast_Lists_Batch_08(1).xlsx</x:v>
      </x:c>
      <x:c r="D681" s="14" t="str">
        <x:v>Wreck</x:v>
      </x:c>
      <x:c r="E681" s="14" t="n">
        <x:v>46</x:v>
      </x:c>
      <x:c r="F681" s="14" t="str">
        <x:v>Wreck</x:v>
      </x:c>
      <x:c r="G681" s="14" t="str">
        <x:v>tt8983318</x:v>
      </x:c>
      <x:c r="H681" s="14" t="n">
        <x:v>2022</x:v>
      </x:c>
      <x:c r="I681" s="14" t="n">
        <x:v>2023</x:v>
      </x:c>
      <x:c r="J681" s="14" t="str">
        <x:v>Future Carry-Forward Cohort</x:v>
      </x:c>
      <x:c r="K681" s="14" t="n">
        <x:v>2022</x:v>
      </x:c>
      <x:c r="L681" s="14" t="str">
        <x:v>Not inherited</x:v>
      </x:c>
      <x:c r="M681" s="15" t="n">
        <x:v>39</x:v>
      </x:c>
      <x:c r="N681" s="14" t="str">
        <x:v>Joseph Arkley</x:v>
      </x:c>
      <x:c r="O681" s="14" t="str">
        <x:v>nm5186487</x:v>
      </x:c>
      <x:c r="P681" s="14" t="str">
        <x:v>Thomas Deveraux</x:v>
      </x:c>
      <x:c r="Q681" s="15" t="n">
        <x:v>3</x:v>
      </x:c>
      <x:c r="R681" s="14" t="str">
        <x:v>2024</x:v>
      </x:c>
      <x:c r="S681" s="14" t="n">
        <x:v>2024</x:v>
      </x:c>
      <x:c r="T681" s="14" t="n">
        <x:v>2024</x:v>
      </x:c>
      <x:c r="U681" s="14" t="str">
        <x:v>Explicit source first year retained</x:v>
      </x:c>
      <x:c r="V681" s="14" t="str">
        <x:v>Earliest supplied year is 2024.</x:v>
      </x:c>
      <x:c r="W681" s="14"/>
      <x:c r="X681" s="14" t="str">
        <x:v>Carried forward to 2024</x:v>
      </x:c>
      <x:c r="Y681" s="14"/>
      <x:c r="Z681" s="14" t="str">
        <x:v>Wreck.docx</x:v>
      </x:c>
      <x:c r="AA681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BBC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7" t="e">
        <x:f>HYPERLINK("https://en.wikipedia.org/wiki/Wreck","Open source")</x:f>
        <x:v>HYPERLINK is not implemented. linkLocation=https://en.wikipedia.org/wiki/Wreck, friendlyName=Open source</x:v>
      </x:c>
      <x:c r="AN681" s="14" t="str">
        <x:v>BBC public-service commission</x:v>
      </x:c>
      <x:c r="AO681" s="14" t="str">
        <x:v>Yes</x:v>
      </x:c>
      <x:c r="AP681" s="14" t="str">
        <x:v>Direct BBC public-service scope</x:v>
      </x:c>
      <x:c r="AQ681" s="14" t="str">
        <x:v>Yes</x:v>
      </x:c>
      <x:c r="AR681" s="14" t="str">
        <x:v>Resolved from master register</x:v>
      </x:c>
      <x:c r="AS681" s="14" t="str">
        <x:v>No established-register match</x:v>
      </x:c>
      <x:c r="AT681" s="14"/>
      <x:c r="AU681" s="14"/>
      <x:c r="AV681" s="14" t="str">
        <x:v>No established apparent-disability match</x:v>
      </x:c>
      <x:c r="AW681" s="14"/>
      <x:c r="AX681" s="14" t="str">
        <x:v>No</x:v>
      </x:c>
      <x:c r="AY681" s="14" t="str">
        <x:v>Unmatched</x:v>
      </x:c>
      <x:c r="AZ681" s="14" t="str">
        <x:v>Final supplied register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12</x:v>
      </x:c>
      <x:c r="BP681" s="14" t="str">
        <x:v>Maximum supplied eligible IMDb cast-credit total; annual episode total not independently verified.</x:v>
      </x:c>
      <x:c r="BQ681" s="14" t="str">
        <x:v>Medium</x:v>
      </x:c>
      <x:c r="BR681" s="15" t="n">
        <x:v>3</x:v>
      </x:c>
      <x:c r="BS681" s="16" t="n">
        <x:v>0.25</x:v>
      </x:c>
      <x:c r="BT681" s="14" t="str">
        <x:v>Minority of episodes</x:v>
      </x:c>
      <x:c r="BU681" s="14" t="str">
        <x:v>Medium</x:v>
      </x:c>
      <x:c r="BV681" s="14" t="str">
        <x:v>Derived from the supplied IMDb episode count and documented production-total proxy.</x:v>
      </x:c>
      <x:c r="BW681" s="14" t="str">
        <x:v>Unable to determine</x:v>
      </x:c>
      <x:c r="BX681" s="14" t="str">
        <x:v>Cast-list and episode data do not establish narrative prominence.</x:v>
      </x:c>
      <x:c r="BY681" s="14" t="str">
        <x:v>Supplied IMDb cast-list workbook</x:v>
      </x:c>
      <x:c r="BZ681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tt8983318|nm5427601|maggie gravell</x:v>
      </x:c>
      <x:c r="B682" s="14" t="str">
        <x:v>08</x:v>
      </x:c>
      <x:c r="C682" s="14" t="str">
        <x:v>2022_IMDb_Cast_Lists_Batch_08(1).xlsx</x:v>
      </x:c>
      <x:c r="D682" s="14" t="str">
        <x:v>Wreck</x:v>
      </x:c>
      <x:c r="E682" s="14" t="n">
        <x:v>47</x:v>
      </x:c>
      <x:c r="F682" s="14" t="str">
        <x:v>Wreck</x:v>
      </x:c>
      <x:c r="G682" s="14" t="str">
        <x:v>tt8983318</x:v>
      </x:c>
      <x:c r="H682" s="14" t="n">
        <x:v>2022</x:v>
      </x:c>
      <x:c r="I682" s="14" t="n">
        <x:v>2023</x:v>
      </x:c>
      <x:c r="J682" s="14" t="str">
        <x:v>Future Carry-Forward Cohort</x:v>
      </x:c>
      <x:c r="K682" s="14" t="n">
        <x:v>2022</x:v>
      </x:c>
      <x:c r="L682" s="14" t="str">
        <x:v>Not inherited</x:v>
      </x:c>
      <x:c r="M682" s="15" t="n">
        <x:v>40</x:v>
      </x:c>
      <x:c r="N682" s="14" t="str">
        <x:v>Carolyn Bracken</x:v>
      </x:c>
      <x:c r="O682" s="14" t="str">
        <x:v>nm5427601</x:v>
      </x:c>
      <x:c r="P682" s="14" t="str">
        <x:v>Maggie Gravell</x:v>
      </x:c>
      <x:c r="Q682" s="15" t="n">
        <x:v>3</x:v>
      </x:c>
      <x:c r="R682" s="14" t="str">
        <x:v>2024</x:v>
      </x:c>
      <x:c r="S682" s="14" t="n">
        <x:v>2024</x:v>
      </x:c>
      <x:c r="T682" s="14" t="n">
        <x:v>2024</x:v>
      </x:c>
      <x:c r="U682" s="14" t="str">
        <x:v>Explicit source first year retained</x:v>
      </x:c>
      <x:c r="V682" s="14" t="str">
        <x:v>Earliest supplied year is 2024.</x:v>
      </x:c>
      <x:c r="W682" s="14"/>
      <x:c r="X682" s="14" t="str">
        <x:v>Carried forward to 2024</x:v>
      </x:c>
      <x:c r="Y682" s="14"/>
      <x:c r="Z682" s="14" t="str">
        <x:v>Wreck.docx</x:v>
      </x:c>
      <x:c r="AA682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BBC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7" t="e">
        <x:f>HYPERLINK("https://en.wikipedia.org/wiki/Wreck","Open source")</x:f>
        <x:v>HYPERLINK is not implemented. linkLocation=https://en.wikipedia.org/wiki/Wreck, friendlyName=Open source</x:v>
      </x:c>
      <x:c r="AN682" s="14" t="str">
        <x:v>BBC public-service commission</x:v>
      </x:c>
      <x:c r="AO682" s="14" t="str">
        <x:v>Yes</x:v>
      </x:c>
      <x:c r="AP682" s="14" t="str">
        <x:v>Direct BBC public-service scope</x:v>
      </x:c>
      <x:c r="AQ682" s="14" t="str">
        <x:v>Yes</x:v>
      </x:c>
      <x:c r="AR682" s="14" t="str">
        <x:v>Resolved from master register</x:v>
      </x:c>
      <x:c r="AS682" s="14" t="str">
        <x:v>No established-register match</x:v>
      </x:c>
      <x:c r="AT682" s="14"/>
      <x:c r="AU682" s="14"/>
      <x:c r="AV682" s="14" t="str">
        <x:v>No established apparent-disability match</x:v>
      </x:c>
      <x:c r="AW682" s="14"/>
      <x:c r="AX682" s="14" t="str">
        <x:v>No</x:v>
      </x:c>
      <x:c r="AY682" s="14" t="str">
        <x:v>Unmatched</x:v>
      </x:c>
      <x:c r="AZ682" s="14" t="str">
        <x:v>Final supplied register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12</x:v>
      </x:c>
      <x:c r="BP682" s="14" t="str">
        <x:v>Maximum supplied eligible IMDb cast-credit total; annual episode total not independently verified.</x:v>
      </x:c>
      <x:c r="BQ682" s="14" t="str">
        <x:v>Medium</x:v>
      </x:c>
      <x:c r="BR682" s="15" t="n">
        <x:v>3</x:v>
      </x:c>
      <x:c r="BS682" s="16" t="n">
        <x:v>0.25</x:v>
      </x:c>
      <x:c r="BT682" s="14" t="str">
        <x:v>Minority of episodes</x:v>
      </x:c>
      <x:c r="BU682" s="14" t="str">
        <x:v>Medium</x:v>
      </x:c>
      <x:c r="BV682" s="14" t="str">
        <x:v>Derived from the supplied IMDb episode count and documented production-total proxy.</x:v>
      </x:c>
      <x:c r="BW682" s="14" t="str">
        <x:v>Unable to determine</x:v>
      </x:c>
      <x:c r="BX682" s="14" t="str">
        <x:v>Cast-list and episode data do not establish narrative prominence.</x:v>
      </x:c>
      <x:c r="BY682" s="14" t="str">
        <x:v>Supplied IMDb cast-list workbook</x:v>
      </x:c>
      <x:c r="BZ682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tt8983318|nm13599845|freddie</x:v>
      </x:c>
      <x:c r="B683" s="14" t="str">
        <x:v>08</x:v>
      </x:c>
      <x:c r="C683" s="14" t="str">
        <x:v>2022_IMDb_Cast_Lists_Batch_08(1).xlsx</x:v>
      </x:c>
      <x:c r="D683" s="14" t="str">
        <x:v>Wreck</x:v>
      </x:c>
      <x:c r="E683" s="14" t="n">
        <x:v>49</x:v>
      </x:c>
      <x:c r="F683" s="14" t="str">
        <x:v>Wreck</x:v>
      </x:c>
      <x:c r="G683" s="14" t="str">
        <x:v>tt8983318</x:v>
      </x:c>
      <x:c r="H683" s="14" t="n">
        <x:v>2022</x:v>
      </x:c>
      <x:c r="I683" s="14" t="n">
        <x:v>2023</x:v>
      </x:c>
      <x:c r="J683" s="14" t="str">
        <x:v>Future Carry-Forward Cohort</x:v>
      </x:c>
      <x:c r="K683" s="14" t="n">
        <x:v>2022</x:v>
      </x:c>
      <x:c r="L683" s="14" t="str">
        <x:v>Not inherited</x:v>
      </x:c>
      <x:c r="M683" s="15" t="n">
        <x:v>42</x:v>
      </x:c>
      <x:c r="N683" s="14" t="str">
        <x:v>Bradley Riches</x:v>
      </x:c>
      <x:c r="O683" s="14" t="str">
        <x:v>nm13599845</x:v>
      </x:c>
      <x:c r="P683" s="14" t="str">
        <x:v>Freddie</x:v>
      </x:c>
      <x:c r="Q683" s="15" t="n">
        <x:v>3</x:v>
      </x:c>
      <x:c r="R683" s="14" t="str">
        <x:v>2024</x:v>
      </x:c>
      <x:c r="S683" s="14" t="n">
        <x:v>2024</x:v>
      </x:c>
      <x:c r="T683" s="14" t="n">
        <x:v>2024</x:v>
      </x:c>
      <x:c r="U683" s="14" t="str">
        <x:v>Explicit source first year retained</x:v>
      </x:c>
      <x:c r="V683" s="14" t="str">
        <x:v>Earliest supplied year is 2024.</x:v>
      </x:c>
      <x:c r="W683" s="14"/>
      <x:c r="X683" s="14" t="str">
        <x:v>Carried forward to 2024</x:v>
      </x:c>
      <x:c r="Y683" s="14"/>
      <x:c r="Z683" s="14" t="str">
        <x:v>Wreck.docx</x:v>
      </x:c>
      <x:c r="AA683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BBC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7" t="e">
        <x:f>HYPERLINK("https://en.wikipedia.org/wiki/Wreck","Open source")</x:f>
        <x:v>HYPERLINK is not implemented. linkLocation=https://en.wikipedia.org/wiki/Wreck, friendlyName=Open source</x:v>
      </x:c>
      <x:c r="AN683" s="14" t="str">
        <x:v>BBC public-service commission</x:v>
      </x:c>
      <x:c r="AO683" s="14" t="str">
        <x:v>Yes</x:v>
      </x:c>
      <x:c r="AP683" s="14" t="str">
        <x:v>Direct BBC public-service scope</x:v>
      </x:c>
      <x:c r="AQ683" s="14" t="str">
        <x:v>Yes</x:v>
      </x:c>
      <x:c r="AR683" s="14" t="str">
        <x:v>Resolved from master register</x:v>
      </x:c>
      <x:c r="AS683" s="14" t="str">
        <x:v>No established-register match</x:v>
      </x:c>
      <x:c r="AT683" s="14"/>
      <x:c r="AU683" s="14"/>
      <x:c r="AV683" s="14" t="str">
        <x:v>No established apparent-disability match</x:v>
      </x:c>
      <x:c r="AW683" s="14"/>
      <x:c r="AX683" s="14" t="str">
        <x:v>No</x:v>
      </x:c>
      <x:c r="AY683" s="14" t="str">
        <x:v>Unmatched</x:v>
      </x:c>
      <x:c r="AZ683" s="14" t="str">
        <x:v>Final supplied register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12</x:v>
      </x:c>
      <x:c r="BP683" s="14" t="str">
        <x:v>Maximum supplied eligible IMDb cast-credit total; annual episode total not independently verified.</x:v>
      </x:c>
      <x:c r="BQ683" s="14" t="str">
        <x:v>Medium</x:v>
      </x:c>
      <x:c r="BR683" s="15" t="n">
        <x:v>3</x:v>
      </x:c>
      <x:c r="BS683" s="16" t="n">
        <x:v>0.25</x:v>
      </x:c>
      <x:c r="BT683" s="14" t="str">
        <x:v>Minority of episodes</x:v>
      </x:c>
      <x:c r="BU683" s="14" t="str">
        <x:v>Medium</x:v>
      </x:c>
      <x:c r="BV683" s="14" t="str">
        <x:v>Derived from the supplied IMDb episode count and documented production-total proxy.</x:v>
      </x:c>
      <x:c r="BW683" s="14" t="str">
        <x:v>Unable to determine</x:v>
      </x:c>
      <x:c r="BX683" s="14" t="str">
        <x:v>Cast-list and episode data do not establish narrative prominence.</x:v>
      </x:c>
      <x:c r="BY683" s="14" t="str">
        <x:v>Supplied IMDb cast-list workbook</x:v>
      </x:c>
      <x:c r="BZ683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tt8983318|nm4708669|jared</x:v>
      </x:c>
      <x:c r="B684" s="14" t="str">
        <x:v>08</x:v>
      </x:c>
      <x:c r="C684" s="14" t="str">
        <x:v>2022_IMDb_Cast_Lists_Batch_08(1).xlsx</x:v>
      </x:c>
      <x:c r="D684" s="14" t="str">
        <x:v>Wreck</x:v>
      </x:c>
      <x:c r="E684" s="14" t="n">
        <x:v>50</x:v>
      </x:c>
      <x:c r="F684" s="14" t="str">
        <x:v>Wreck</x:v>
      </x:c>
      <x:c r="G684" s="14" t="str">
        <x:v>tt8983318</x:v>
      </x:c>
      <x:c r="H684" s="14" t="n">
        <x:v>2022</x:v>
      </x:c>
      <x:c r="I684" s="14" t="n">
        <x:v>2023</x:v>
      </x:c>
      <x:c r="J684" s="14" t="str">
        <x:v>Future Carry-Forward Cohort</x:v>
      </x:c>
      <x:c r="K684" s="14" t="n">
        <x:v>2022</x:v>
      </x:c>
      <x:c r="L684" s="14" t="str">
        <x:v>Not inherited</x:v>
      </x:c>
      <x:c r="M684" s="15" t="n">
        <x:v>43</x:v>
      </x:c>
      <x:c r="N684" s="14" t="str">
        <x:v>Taylor Napier</x:v>
      </x:c>
      <x:c r="O684" s="14" t="str">
        <x:v>nm4708669</x:v>
      </x:c>
      <x:c r="P684" s="14" t="str">
        <x:v>Jared</x:v>
      </x:c>
      <x:c r="Q684" s="15" t="n">
        <x:v>3</x:v>
      </x:c>
      <x:c r="R684" s="14" t="str">
        <x:v>2024</x:v>
      </x:c>
      <x:c r="S684" s="14" t="n">
        <x:v>2024</x:v>
      </x:c>
      <x:c r="T684" s="14" t="n">
        <x:v>2024</x:v>
      </x:c>
      <x:c r="U684" s="14" t="str">
        <x:v>Explicit source first year retained</x:v>
      </x:c>
      <x:c r="V684" s="14" t="str">
        <x:v>Earliest supplied year is 2024.</x:v>
      </x:c>
      <x:c r="W684" s="14"/>
      <x:c r="X684" s="14" t="str">
        <x:v>Carried forward to 2024</x:v>
      </x:c>
      <x:c r="Y684" s="14"/>
      <x:c r="Z684" s="14" t="str">
        <x:v>Wreck.docx</x:v>
      </x:c>
      <x:c r="AA684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BBC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7" t="e">
        <x:f>HYPERLINK("https://en.wikipedia.org/wiki/Wreck","Open source")</x:f>
        <x:v>HYPERLINK is not implemented. linkLocation=https://en.wikipedia.org/wiki/Wreck, friendlyName=Open source</x:v>
      </x:c>
      <x:c r="AN684" s="14" t="str">
        <x:v>BBC public-service commission</x:v>
      </x:c>
      <x:c r="AO684" s="14" t="str">
        <x:v>Yes</x:v>
      </x:c>
      <x:c r="AP684" s="14" t="str">
        <x:v>Direct BBC public-service scope</x:v>
      </x:c>
      <x:c r="AQ684" s="14" t="str">
        <x:v>Yes</x:v>
      </x:c>
      <x:c r="AR684" s="14" t="str">
        <x:v>Resolved from master register</x:v>
      </x:c>
      <x:c r="AS684" s="14" t="str">
        <x:v>No established-register match</x:v>
      </x:c>
      <x:c r="AT684" s="14"/>
      <x:c r="AU684" s="14"/>
      <x:c r="AV684" s="14" t="str">
        <x:v>No established apparent-disability match</x:v>
      </x:c>
      <x:c r="AW684" s="14"/>
      <x:c r="AX684" s="14" t="str">
        <x:v>No</x:v>
      </x:c>
      <x:c r="AY684" s="14" t="str">
        <x:v>Unmatched</x:v>
      </x:c>
      <x:c r="AZ684" s="14" t="str">
        <x:v>Final supplied register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12</x:v>
      </x:c>
      <x:c r="BP684" s="14" t="str">
        <x:v>Maximum supplied eligible IMDb cast-credit total; annual episode total not independently verified.</x:v>
      </x:c>
      <x:c r="BQ684" s="14" t="str">
        <x:v>Medium</x:v>
      </x:c>
      <x:c r="BR684" s="15" t="n">
        <x:v>3</x:v>
      </x:c>
      <x:c r="BS684" s="16" t="n">
        <x:v>0.25</x:v>
      </x:c>
      <x:c r="BT684" s="14" t="str">
        <x:v>Minority of episodes</x:v>
      </x:c>
      <x:c r="BU684" s="14" t="str">
        <x:v>Medium</x:v>
      </x:c>
      <x:c r="BV684" s="14" t="str">
        <x:v>Derived from the supplied IMDb episode count and documented production-total proxy.</x:v>
      </x:c>
      <x:c r="BW684" s="14" t="str">
        <x:v>Unable to determine</x:v>
      </x:c>
      <x:c r="BX684" s="14" t="str">
        <x:v>Cast-list and episode data do not establish narrative prominence.</x:v>
      </x:c>
      <x:c r="BY684" s="14" t="str">
        <x:v>Supplied IMDb cast-list workbook</x:v>
      </x:c>
      <x:c r="BZ684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tt8983318|nm10993759|steve</x:v>
      </x:c>
      <x:c r="B685" s="14" t="str">
        <x:v>08</x:v>
      </x:c>
      <x:c r="C685" s="14" t="str">
        <x:v>2022_IMDb_Cast_Lists_Batch_08(1).xlsx</x:v>
      </x:c>
      <x:c r="D685" s="14" t="str">
        <x:v>Wreck</x:v>
      </x:c>
      <x:c r="E685" s="14" t="n">
        <x:v>51</x:v>
      </x:c>
      <x:c r="F685" s="14" t="str">
        <x:v>Wreck</x:v>
      </x:c>
      <x:c r="G685" s="14" t="str">
        <x:v>tt8983318</x:v>
      </x:c>
      <x:c r="H685" s="14" t="n">
        <x:v>2022</x:v>
      </x:c>
      <x:c r="I685" s="14" t="n">
        <x:v>2023</x:v>
      </x:c>
      <x:c r="J685" s="14" t="str">
        <x:v>Future Carry-Forward Cohort</x:v>
      </x:c>
      <x:c r="K685" s="14" t="n">
        <x:v>2022</x:v>
      </x:c>
      <x:c r="L685" s="14" t="str">
        <x:v>Not inherited</x:v>
      </x:c>
      <x:c r="M685" s="15" t="n">
        <x:v>44</x:v>
      </x:c>
      <x:c r="N685" s="14" t="str">
        <x:v>Joel Elferink</x:v>
      </x:c>
      <x:c r="O685" s="14" t="str">
        <x:v>nm10993759</x:v>
      </x:c>
      <x:c r="P685" s="14" t="str">
        <x:v>Steve</x:v>
      </x:c>
      <x:c r="Q685" s="15" t="n">
        <x:v>3</x:v>
      </x:c>
      <x:c r="R685" s="14" t="str">
        <x:v>2024</x:v>
      </x:c>
      <x:c r="S685" s="14" t="n">
        <x:v>2024</x:v>
      </x:c>
      <x:c r="T685" s="14" t="n">
        <x:v>2024</x:v>
      </x:c>
      <x:c r="U685" s="14" t="str">
        <x:v>Explicit source first year retained</x:v>
      </x:c>
      <x:c r="V685" s="14" t="str">
        <x:v>Earliest supplied year is 2024.</x:v>
      </x:c>
      <x:c r="W685" s="14"/>
      <x:c r="X685" s="14" t="str">
        <x:v>Carried forward to 2024</x:v>
      </x:c>
      <x:c r="Y685" s="14"/>
      <x:c r="Z685" s="14" t="str">
        <x:v>Wreck.docx</x:v>
      </x:c>
      <x:c r="AA685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BBC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7" t="e">
        <x:f>HYPERLINK("https://en.wikipedia.org/wiki/Wreck","Open source")</x:f>
        <x:v>HYPERLINK is not implemented. linkLocation=https://en.wikipedia.org/wiki/Wreck, friendlyName=Open source</x:v>
      </x:c>
      <x:c r="AN685" s="14" t="str">
        <x:v>BBC public-service commission</x:v>
      </x:c>
      <x:c r="AO685" s="14" t="str">
        <x:v>Yes</x:v>
      </x:c>
      <x:c r="AP685" s="14" t="str">
        <x:v>Direct BBC public-service scope</x:v>
      </x:c>
      <x:c r="AQ685" s="14" t="str">
        <x:v>Yes</x:v>
      </x:c>
      <x:c r="AR685" s="14" t="str">
        <x:v>Resolved from master register</x:v>
      </x:c>
      <x:c r="AS685" s="14" t="str">
        <x:v>No established-register match</x:v>
      </x:c>
      <x:c r="AT685" s="14"/>
      <x:c r="AU685" s="14"/>
      <x:c r="AV685" s="14" t="str">
        <x:v>No established apparent-disability match</x:v>
      </x:c>
      <x:c r="AW685" s="14"/>
      <x:c r="AX685" s="14" t="str">
        <x:v>No</x:v>
      </x:c>
      <x:c r="AY685" s="14" t="str">
        <x:v>Unmatched</x:v>
      </x:c>
      <x:c r="AZ685" s="14" t="str">
        <x:v>Final supplied register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12</x:v>
      </x:c>
      <x:c r="BP685" s="14" t="str">
        <x:v>Maximum supplied eligible IMDb cast-credit total; annual episode total not independently verified.</x:v>
      </x:c>
      <x:c r="BQ685" s="14" t="str">
        <x:v>Medium</x:v>
      </x:c>
      <x:c r="BR685" s="15" t="n">
        <x:v>3</x:v>
      </x:c>
      <x:c r="BS685" s="16" t="n">
        <x:v>0.25</x:v>
      </x:c>
      <x:c r="BT685" s="14" t="str">
        <x:v>Minority of episodes</x:v>
      </x:c>
      <x:c r="BU685" s="14" t="str">
        <x:v>Medium</x:v>
      </x:c>
      <x:c r="BV685" s="14" t="str">
        <x:v>Derived from the supplied IMDb episode count and documented production-total proxy.</x:v>
      </x:c>
      <x:c r="BW685" s="14" t="str">
        <x:v>Unable to determine</x:v>
      </x:c>
      <x:c r="BX685" s="14" t="str">
        <x:v>Cast-list and episode data do not establish narrative prominence.</x:v>
      </x:c>
      <x:c r="BY685" s="14" t="str">
        <x:v>Supplied IMDb cast-list workbook</x:v>
      </x:c>
      <x:c r="BZ685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tt8983318|nm10571145|des</x:v>
      </x:c>
      <x:c r="B686" s="14" t="str">
        <x:v>08</x:v>
      </x:c>
      <x:c r="C686" s="14" t="str">
        <x:v>2022_IMDb_Cast_Lists_Batch_08(1).xlsx</x:v>
      </x:c>
      <x:c r="D686" s="14" t="str">
        <x:v>Wreck</x:v>
      </x:c>
      <x:c r="E686" s="14" t="n">
        <x:v>53</x:v>
      </x:c>
      <x:c r="F686" s="14" t="str">
        <x:v>Wreck</x:v>
      </x:c>
      <x:c r="G686" s="14" t="str">
        <x:v>tt8983318</x:v>
      </x:c>
      <x:c r="H686" s="14" t="n">
        <x:v>2022</x:v>
      </x:c>
      <x:c r="I686" s="14" t="n">
        <x:v>2023</x:v>
      </x:c>
      <x:c r="J686" s="14" t="str">
        <x:v>Future Carry-Forward Cohort</x:v>
      </x:c>
      <x:c r="K686" s="14" t="n">
        <x:v>2022</x:v>
      </x:c>
      <x:c r="L686" s="14" t="str">
        <x:v>Not inherited</x:v>
      </x:c>
      <x:c r="M686" s="15" t="n">
        <x:v>46</x:v>
      </x:c>
      <x:c r="N686" s="14" t="str">
        <x:v>Talitha Wing</x:v>
      </x:c>
      <x:c r="O686" s="14" t="str">
        <x:v>nm10571145</x:v>
      </x:c>
      <x:c r="P686" s="14" t="str">
        <x:v>Des</x:v>
      </x:c>
      <x:c r="Q686" s="15" t="n">
        <x:v>2</x:v>
      </x:c>
      <x:c r="R686" s="14" t="str">
        <x:v>2024</x:v>
      </x:c>
      <x:c r="S686" s="14" t="n">
        <x:v>2024</x:v>
      </x:c>
      <x:c r="T686" s="14" t="n">
        <x:v>2024</x:v>
      </x:c>
      <x:c r="U686" s="14" t="str">
        <x:v>Explicit source first year retained</x:v>
      </x:c>
      <x:c r="V686" s="14" t="str">
        <x:v>Earliest supplied year is 2024.</x:v>
      </x:c>
      <x:c r="W686" s="14"/>
      <x:c r="X686" s="14" t="str">
        <x:v>Carried forward to 2024</x:v>
      </x:c>
      <x:c r="Y686" s="14"/>
      <x:c r="Z686" s="14" t="str">
        <x:v>Wreck.docx</x:v>
      </x:c>
      <x:c r="AA686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BBC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7" t="e">
        <x:f>HYPERLINK("https://en.wikipedia.org/wiki/Wreck","Open source")</x:f>
        <x:v>HYPERLINK is not implemented. linkLocation=https://en.wikipedia.org/wiki/Wreck, friendlyName=Open source</x:v>
      </x:c>
      <x:c r="AN686" s="14" t="str">
        <x:v>BBC public-service commission</x:v>
      </x:c>
      <x:c r="AO686" s="14" t="str">
        <x:v>Yes</x:v>
      </x:c>
      <x:c r="AP686" s="14" t="str">
        <x:v>Direct BBC public-service scope</x:v>
      </x:c>
      <x:c r="AQ686" s="14" t="str">
        <x:v>Yes</x:v>
      </x:c>
      <x:c r="AR686" s="14" t="str">
        <x:v>Resolved from master register</x:v>
      </x:c>
      <x:c r="AS686" s="14" t="str">
        <x:v>No established-register match</x:v>
      </x:c>
      <x:c r="AT686" s="14"/>
      <x:c r="AU686" s="14"/>
      <x:c r="AV686" s="14" t="str">
        <x:v>No established apparent-disability match</x:v>
      </x:c>
      <x:c r="AW686" s="14"/>
      <x:c r="AX686" s="14" t="str">
        <x:v>No</x:v>
      </x:c>
      <x:c r="AY686" s="14" t="str">
        <x:v>Unmatched</x:v>
      </x:c>
      <x:c r="AZ686" s="14" t="str">
        <x:v>Final supplied register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12</x:v>
      </x:c>
      <x:c r="BP686" s="14" t="str">
        <x:v>Maximum supplied eligible IMDb cast-credit total; annual episode total not independently verified.</x:v>
      </x:c>
      <x:c r="BQ686" s="14" t="str">
        <x:v>Medium</x:v>
      </x:c>
      <x:c r="BR686" s="15" t="n">
        <x:v>2</x:v>
      </x:c>
      <x:c r="BS686" s="16" t="n">
        <x:v>0.16666666666666666</x:v>
      </x:c>
      <x:c r="BT686" s="14" t="str">
        <x:v>Minority of episodes</x:v>
      </x:c>
      <x:c r="BU686" s="14" t="str">
        <x:v>Medium</x:v>
      </x:c>
      <x:c r="BV686" s="14" t="str">
        <x:v>Derived from the supplied IMDb episode count and documented production-total proxy.</x:v>
      </x:c>
      <x:c r="BW686" s="14" t="str">
        <x:v>Unable to determine</x:v>
      </x:c>
      <x:c r="BX686" s="14" t="str">
        <x:v>Cast-list and episode data do not establish narrative prominence.</x:v>
      </x:c>
      <x:c r="BY686" s="14" t="str">
        <x:v>Supplied IMDb cast-list workbook</x:v>
      </x:c>
      <x:c r="BZ686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tt8983318|nm2465744|janez</x:v>
      </x:c>
      <x:c r="B687" s="14" t="str">
        <x:v>08</x:v>
      </x:c>
      <x:c r="C687" s="14" t="str">
        <x:v>2022_IMDb_Cast_Lists_Batch_08(1).xlsx</x:v>
      </x:c>
      <x:c r="D687" s="14" t="str">
        <x:v>Wreck</x:v>
      </x:c>
      <x:c r="E687" s="14" t="n">
        <x:v>56</x:v>
      </x:c>
      <x:c r="F687" s="14" t="str">
        <x:v>Wreck</x:v>
      </x:c>
      <x:c r="G687" s="14" t="str">
        <x:v>tt8983318</x:v>
      </x:c>
      <x:c r="H687" s="14" t="n">
        <x:v>2022</x:v>
      </x:c>
      <x:c r="I687" s="14" t="n">
        <x:v>2023</x:v>
      </x:c>
      <x:c r="J687" s="14" t="str">
        <x:v>Future Carry-Forward Cohort</x:v>
      </x:c>
      <x:c r="K687" s="14" t="n">
        <x:v>2022</x:v>
      </x:c>
      <x:c r="L687" s="14" t="str">
        <x:v>Not inherited</x:v>
      </x:c>
      <x:c r="M687" s="15" t="n">
        <x:v>49</x:v>
      </x:c>
      <x:c r="N687" s="14" t="str">
        <x:v>Aliash Tepina</x:v>
      </x:c>
      <x:c r="O687" s="14" t="str">
        <x:v>nm2465744</x:v>
      </x:c>
      <x:c r="P687" s="14" t="str">
        <x:v>Janez</x:v>
      </x:c>
      <x:c r="Q687" s="15" t="n">
        <x:v>2</x:v>
      </x:c>
      <x:c r="R687" s="14" t="str">
        <x:v>2024</x:v>
      </x:c>
      <x:c r="S687" s="14" t="n">
        <x:v>2024</x:v>
      </x:c>
      <x:c r="T687" s="14" t="n">
        <x:v>2024</x:v>
      </x:c>
      <x:c r="U687" s="14" t="str">
        <x:v>Explicit source first year retained</x:v>
      </x:c>
      <x:c r="V687" s="14" t="str">
        <x:v>Earliest supplied year is 2024.</x:v>
      </x:c>
      <x:c r="W687" s="14"/>
      <x:c r="X687" s="14" t="str">
        <x:v>Carried forward to 2024</x:v>
      </x:c>
      <x:c r="Y687" s="14"/>
      <x:c r="Z687" s="14" t="str">
        <x:v>Wreck.docx</x:v>
      </x:c>
      <x:c r="AA687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BBC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7" t="e">
        <x:f>HYPERLINK("https://en.wikipedia.org/wiki/Wreck","Open source")</x:f>
        <x:v>HYPERLINK is not implemented. linkLocation=https://en.wikipedia.org/wiki/Wreck, friendlyName=Open source</x:v>
      </x:c>
      <x:c r="AN687" s="14" t="str">
        <x:v>BBC public-service commission</x:v>
      </x:c>
      <x:c r="AO687" s="14" t="str">
        <x:v>Yes</x:v>
      </x:c>
      <x:c r="AP687" s="14" t="str">
        <x:v>Direct BBC public-service scope</x:v>
      </x:c>
      <x:c r="AQ687" s="14" t="str">
        <x:v>Yes</x:v>
      </x:c>
      <x:c r="AR687" s="14" t="str">
        <x:v>Resolved from master register</x:v>
      </x:c>
      <x:c r="AS687" s="14" t="str">
        <x:v>No established-register match</x:v>
      </x:c>
      <x:c r="AT687" s="14"/>
      <x:c r="AU687" s="14"/>
      <x:c r="AV687" s="14" t="str">
        <x:v>No established apparent-disability match</x:v>
      </x:c>
      <x:c r="AW687" s="14"/>
      <x:c r="AX687" s="14" t="str">
        <x:v>No</x:v>
      </x:c>
      <x:c r="AY687" s="14" t="str">
        <x:v>Unmatched</x:v>
      </x:c>
      <x:c r="AZ687" s="14" t="str">
        <x:v>Final supplied register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12</x:v>
      </x:c>
      <x:c r="BP687" s="14" t="str">
        <x:v>Maximum supplied eligible IMDb cast-credit total; annual episode total not independently verified.</x:v>
      </x:c>
      <x:c r="BQ687" s="14" t="str">
        <x:v>Medium</x:v>
      </x:c>
      <x:c r="BR687" s="15" t="n">
        <x:v>2</x:v>
      </x:c>
      <x:c r="BS687" s="16" t="n">
        <x:v>0.16666666666666666</x:v>
      </x:c>
      <x:c r="BT687" s="14" t="str">
        <x:v>Minority of episodes</x:v>
      </x:c>
      <x:c r="BU687" s="14" t="str">
        <x:v>Medium</x:v>
      </x:c>
      <x:c r="BV687" s="14" t="str">
        <x:v>Derived from the supplied IMDb episode count and documented production-total proxy.</x:v>
      </x:c>
      <x:c r="BW687" s="14" t="str">
        <x:v>Unable to determine</x:v>
      </x:c>
      <x:c r="BX687" s="14" t="str">
        <x:v>Cast-list and episode data do not establish narrative prominence.</x:v>
      </x:c>
      <x:c r="BY687" s="14" t="str">
        <x:v>Supplied IMDb cast-list workbook</x:v>
      </x:c>
      <x:c r="BZ687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tt8983318|nm8442667|dmitry</x:v>
      </x:c>
      <x:c r="B688" s="14" t="str">
        <x:v>08</x:v>
      </x:c>
      <x:c r="C688" s="14" t="str">
        <x:v>2022_IMDb_Cast_Lists_Batch_08(1).xlsx</x:v>
      </x:c>
      <x:c r="D688" s="14" t="str">
        <x:v>Wreck</x:v>
      </x:c>
      <x:c r="E688" s="14" t="n">
        <x:v>57</x:v>
      </x:c>
      <x:c r="F688" s="14" t="str">
        <x:v>Wreck</x:v>
      </x:c>
      <x:c r="G688" s="14" t="str">
        <x:v>tt8983318</x:v>
      </x:c>
      <x:c r="H688" s="14" t="n">
        <x:v>2022</x:v>
      </x:c>
      <x:c r="I688" s="14" t="n">
        <x:v>2023</x:v>
      </x:c>
      <x:c r="J688" s="14" t="str">
        <x:v>Future Carry-Forward Cohort</x:v>
      </x:c>
      <x:c r="K688" s="14" t="n">
        <x:v>2022</x:v>
      </x:c>
      <x:c r="L688" s="14" t="str">
        <x:v>Not inherited</x:v>
      </x:c>
      <x:c r="M688" s="15" t="n">
        <x:v>50</x:v>
      </x:c>
      <x:c r="N688" s="14" t="str">
        <x:v>Sven Moritz</x:v>
      </x:c>
      <x:c r="O688" s="14" t="str">
        <x:v>nm8442667</x:v>
      </x:c>
      <x:c r="P688" s="14" t="str">
        <x:v>Dmitry</x:v>
      </x:c>
      <x:c r="Q688" s="15" t="n">
        <x:v>2</x:v>
      </x:c>
      <x:c r="R688" s="14" t="str">
        <x:v>2024</x:v>
      </x:c>
      <x:c r="S688" s="14" t="n">
        <x:v>2024</x:v>
      </x:c>
      <x:c r="T688" s="14" t="n">
        <x:v>2024</x:v>
      </x:c>
      <x:c r="U688" s="14" t="str">
        <x:v>Explicit source first year retained</x:v>
      </x:c>
      <x:c r="V688" s="14" t="str">
        <x:v>Earliest supplied year is 2024.</x:v>
      </x:c>
      <x:c r="W688" s="14"/>
      <x:c r="X688" s="14" t="str">
        <x:v>Carried forward to 2024</x:v>
      </x:c>
      <x:c r="Y688" s="14"/>
      <x:c r="Z688" s="14" t="str">
        <x:v>Wreck.docx</x:v>
      </x:c>
      <x:c r="AA688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BBC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7" t="e">
        <x:f>HYPERLINK("https://en.wikipedia.org/wiki/Wreck","Open source")</x:f>
        <x:v>HYPERLINK is not implemented. linkLocation=https://en.wikipedia.org/wiki/Wreck, friendlyName=Open source</x:v>
      </x:c>
      <x:c r="AN688" s="14" t="str">
        <x:v>BBC public-service commission</x:v>
      </x:c>
      <x:c r="AO688" s="14" t="str">
        <x:v>Yes</x:v>
      </x:c>
      <x:c r="AP688" s="14" t="str">
        <x:v>Direct BBC public-service scope</x:v>
      </x:c>
      <x:c r="AQ688" s="14" t="str">
        <x:v>Yes</x:v>
      </x:c>
      <x:c r="AR688" s="14" t="str">
        <x:v>Resolved from master register</x:v>
      </x:c>
      <x:c r="AS688" s="14" t="str">
        <x:v>No established-register match</x:v>
      </x:c>
      <x:c r="AT688" s="14"/>
      <x:c r="AU688" s="14"/>
      <x:c r="AV688" s="14" t="str">
        <x:v>No established apparent-disability match</x:v>
      </x:c>
      <x:c r="AW688" s="14"/>
      <x:c r="AX688" s="14" t="str">
        <x:v>No</x:v>
      </x:c>
      <x:c r="AY688" s="14" t="str">
        <x:v>Unmatched</x:v>
      </x:c>
      <x:c r="AZ688" s="14" t="str">
        <x:v>Final supplied register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12</x:v>
      </x:c>
      <x:c r="BP688" s="14" t="str">
        <x:v>Maximum supplied eligible IMDb cast-credit total; annual episode total not independently verified.</x:v>
      </x:c>
      <x:c r="BQ688" s="14" t="str">
        <x:v>Medium</x:v>
      </x:c>
      <x:c r="BR688" s="15" t="n">
        <x:v>2</x:v>
      </x:c>
      <x:c r="BS688" s="16" t="n">
        <x:v>0.16666666666666666</x:v>
      </x:c>
      <x:c r="BT688" s="14" t="str">
        <x:v>Minority of episodes</x:v>
      </x:c>
      <x:c r="BU688" s="14" t="str">
        <x:v>Medium</x:v>
      </x:c>
      <x:c r="BV688" s="14" t="str">
        <x:v>Derived from the supplied IMDb episode count and documented production-total proxy.</x:v>
      </x:c>
      <x:c r="BW688" s="14" t="str">
        <x:v>Unable to determine</x:v>
      </x:c>
      <x:c r="BX688" s="14" t="str">
        <x:v>Cast-list and episode data do not establish narrative prominence.</x:v>
      </x:c>
      <x:c r="BY688" s="14" t="str">
        <x:v>Supplied IMDb cast-list workbook</x:v>
      </x:c>
      <x:c r="BZ688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tt8983318|nm13373268|zoe rhodes</x:v>
      </x:c>
      <x:c r="B689" s="14" t="str">
        <x:v>08</x:v>
      </x:c>
      <x:c r="C689" s="14" t="str">
        <x:v>2022_IMDb_Cast_Lists_Batch_08(1).xlsx</x:v>
      </x:c>
      <x:c r="D689" s="14" t="str">
        <x:v>Wreck</x:v>
      </x:c>
      <x:c r="E689" s="14" t="n">
        <x:v>59</x:v>
      </x:c>
      <x:c r="F689" s="14" t="str">
        <x:v>Wreck</x:v>
      </x:c>
      <x:c r="G689" s="14" t="str">
        <x:v>tt8983318</x:v>
      </x:c>
      <x:c r="H689" s="14" t="n">
        <x:v>2022</x:v>
      </x:c>
      <x:c r="I689" s="14" t="n">
        <x:v>2023</x:v>
      </x:c>
      <x:c r="J689" s="14" t="str">
        <x:v>Future Carry-Forward Cohort</x:v>
      </x:c>
      <x:c r="K689" s="14" t="n">
        <x:v>2022</x:v>
      </x:c>
      <x:c r="L689" s="14" t="str">
        <x:v>Not inherited</x:v>
      </x:c>
      <x:c r="M689" s="15" t="n">
        <x:v>52</x:v>
      </x:c>
      <x:c r="N689" s="14" t="str">
        <x:v>Kiera Lester</x:v>
      </x:c>
      <x:c r="O689" s="14" t="str">
        <x:v>nm13373268</x:v>
      </x:c>
      <x:c r="P689" s="14" t="str">
        <x:v>Zoe Rhodes</x:v>
      </x:c>
      <x:c r="Q689" s="15" t="n">
        <x:v>1</x:v>
      </x:c>
      <x:c r="R689" s="14" t="str">
        <x:v>2024</x:v>
      </x:c>
      <x:c r="S689" s="14" t="n">
        <x:v>2024</x:v>
      </x:c>
      <x:c r="T689" s="14" t="n">
        <x:v>2024</x:v>
      </x:c>
      <x:c r="U689" s="14" t="str">
        <x:v>Explicit source first year retained</x:v>
      </x:c>
      <x:c r="V689" s="14" t="str">
        <x:v>Earliest supplied year is 2024.</x:v>
      </x:c>
      <x:c r="W689" s="14"/>
      <x:c r="X689" s="14" t="str">
        <x:v>Carried forward to 2024</x:v>
      </x:c>
      <x:c r="Y689" s="14"/>
      <x:c r="Z689" s="14" t="str">
        <x:v>Wreck.docx</x:v>
      </x:c>
      <x:c r="AA689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BBC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7" t="e">
        <x:f>HYPERLINK("https://en.wikipedia.org/wiki/Wreck","Open source")</x:f>
        <x:v>HYPERLINK is not implemented. linkLocation=https://en.wikipedia.org/wiki/Wreck, friendlyName=Open source</x:v>
      </x:c>
      <x:c r="AN689" s="14" t="str">
        <x:v>BBC public-service commission</x:v>
      </x:c>
      <x:c r="AO689" s="14" t="str">
        <x:v>Yes</x:v>
      </x:c>
      <x:c r="AP689" s="14" t="str">
        <x:v>Direct BBC public-service scope</x:v>
      </x:c>
      <x:c r="AQ689" s="14" t="str">
        <x:v>Yes</x:v>
      </x:c>
      <x:c r="AR689" s="14" t="str">
        <x:v>Resolved from master register</x:v>
      </x:c>
      <x:c r="AS689" s="14" t="str">
        <x:v>No established-register match</x:v>
      </x:c>
      <x:c r="AT689" s="14"/>
      <x:c r="AU689" s="14"/>
      <x:c r="AV689" s="14" t="str">
        <x:v>No established apparent-disability match</x:v>
      </x:c>
      <x:c r="AW689" s="14"/>
      <x:c r="AX689" s="14" t="str">
        <x:v>No</x:v>
      </x:c>
      <x:c r="AY689" s="14" t="str">
        <x:v>Unmatched</x:v>
      </x:c>
      <x:c r="AZ689" s="14" t="str">
        <x:v>Final supplied register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12</x:v>
      </x:c>
      <x:c r="BP689" s="14" t="str">
        <x:v>Maximum supplied eligible IMDb cast-credit total; annual episode total not independently verified.</x:v>
      </x:c>
      <x:c r="BQ689" s="14" t="str">
        <x:v>Medium</x:v>
      </x:c>
      <x:c r="BR689" s="15" t="n">
        <x:v>1</x:v>
      </x:c>
      <x:c r="BS689" s="16" t="n">
        <x:v>0.08333333333333333</x:v>
      </x:c>
      <x:c r="BT689" s="14" t="str">
        <x:v>One episode</x:v>
      </x:c>
      <x:c r="BU689" s="14" t="str">
        <x:v>Medium</x:v>
      </x:c>
      <x:c r="BV689" s="14" t="str">
        <x:v>Derived from the supplied IMDb episode count and documented production-total proxy.</x:v>
      </x:c>
      <x:c r="BW689" s="14" t="str">
        <x:v>Unable to determine</x:v>
      </x:c>
      <x:c r="BX689" s="14" t="str">
        <x:v>Cast-list and episode data do not establish narrative prominence.</x:v>
      </x:c>
      <x:c r="BY689" s="14" t="str">
        <x:v>Supplied IMDb cast-list workbook</x:v>
      </x:c>
      <x:c r="BZ689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tt8983318|nm15045453|andy</x:v>
      </x:c>
      <x:c r="B690" s="14" t="str">
        <x:v>08</x:v>
      </x:c>
      <x:c r="C690" s="14" t="str">
        <x:v>2022_IMDb_Cast_Lists_Batch_08(1).xlsx</x:v>
      </x:c>
      <x:c r="D690" s="14" t="str">
        <x:v>Wreck</x:v>
      </x:c>
      <x:c r="E690" s="14" t="n">
        <x:v>60</x:v>
      </x:c>
      <x:c r="F690" s="14" t="str">
        <x:v>Wreck</x:v>
      </x:c>
      <x:c r="G690" s="14" t="str">
        <x:v>tt8983318</x:v>
      </x:c>
      <x:c r="H690" s="14" t="n">
        <x:v>2022</x:v>
      </x:c>
      <x:c r="I690" s="14" t="n">
        <x:v>2023</x:v>
      </x:c>
      <x:c r="J690" s="14" t="str">
        <x:v>Future Carry-Forward Cohort</x:v>
      </x:c>
      <x:c r="K690" s="14" t="n">
        <x:v>2022</x:v>
      </x:c>
      <x:c r="L690" s="14" t="str">
        <x:v>Not inherited</x:v>
      </x:c>
      <x:c r="M690" s="15" t="n">
        <x:v>53</x:v>
      </x:c>
      <x:c r="N690" s="14" t="str">
        <x:v>Liam Bixby</x:v>
      </x:c>
      <x:c r="O690" s="14" t="str">
        <x:v>nm15045453</x:v>
      </x:c>
      <x:c r="P690" s="14" t="str">
        <x:v>Andy</x:v>
      </x:c>
      <x:c r="Q690" s="15" t="n">
        <x:v>1</x:v>
      </x:c>
      <x:c r="R690" s="14" t="str">
        <x:v>2024</x:v>
      </x:c>
      <x:c r="S690" s="14" t="n">
        <x:v>2024</x:v>
      </x:c>
      <x:c r="T690" s="14" t="n">
        <x:v>2024</x:v>
      </x:c>
      <x:c r="U690" s="14" t="str">
        <x:v>Explicit source first year retained</x:v>
      </x:c>
      <x:c r="V690" s="14" t="str">
        <x:v>Earliest supplied year is 2024.</x:v>
      </x:c>
      <x:c r="W690" s="14"/>
      <x:c r="X690" s="14" t="str">
        <x:v>Carried forward to 2024</x:v>
      </x:c>
      <x:c r="Y690" s="14"/>
      <x:c r="Z690" s="14" t="str">
        <x:v>Wreck.docx</x:v>
      </x:c>
      <x:c r="AA690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BBC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7" t="e">
        <x:f>HYPERLINK("https://en.wikipedia.org/wiki/Wreck","Open source")</x:f>
        <x:v>HYPERLINK is not implemented. linkLocation=https://en.wikipedia.org/wiki/Wreck, friendlyName=Open source</x:v>
      </x:c>
      <x:c r="AN690" s="14" t="str">
        <x:v>BBC public-service commission</x:v>
      </x:c>
      <x:c r="AO690" s="14" t="str">
        <x:v>Yes</x:v>
      </x:c>
      <x:c r="AP690" s="14" t="str">
        <x:v>Direct BBC public-service scope</x:v>
      </x:c>
      <x:c r="AQ690" s="14" t="str">
        <x:v>Yes</x:v>
      </x:c>
      <x:c r="AR690" s="14" t="str">
        <x:v>Resolved from master register</x:v>
      </x:c>
      <x:c r="AS690" s="14" t="str">
        <x:v>No established-register match</x:v>
      </x:c>
      <x:c r="AT690" s="14"/>
      <x:c r="AU690" s="14"/>
      <x:c r="AV690" s="14" t="str">
        <x:v>No established apparent-disability match</x:v>
      </x:c>
      <x:c r="AW690" s="14"/>
      <x:c r="AX690" s="14" t="str">
        <x:v>No</x:v>
      </x:c>
      <x:c r="AY690" s="14" t="str">
        <x:v>Unmatched</x:v>
      </x:c>
      <x:c r="AZ690" s="14" t="str">
        <x:v>Final supplied register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12</x:v>
      </x:c>
      <x:c r="BP690" s="14" t="str">
        <x:v>Maximum supplied eligible IMDb cast-credit total; annual episode total not independently verified.</x:v>
      </x:c>
      <x:c r="BQ690" s="14" t="str">
        <x:v>Medium</x:v>
      </x:c>
      <x:c r="BR690" s="15" t="n">
        <x:v>1</x:v>
      </x:c>
      <x:c r="BS690" s="16" t="n">
        <x:v>0.08333333333333333</x:v>
      </x:c>
      <x:c r="BT690" s="14" t="str">
        <x:v>One episode</x:v>
      </x:c>
      <x:c r="BU690" s="14" t="str">
        <x:v>Medium</x:v>
      </x:c>
      <x:c r="BV690" s="14" t="str">
        <x:v>Derived from the supplied IMDb episode count and documented production-total proxy.</x:v>
      </x:c>
      <x:c r="BW690" s="14" t="str">
        <x:v>Unable to determine</x:v>
      </x:c>
      <x:c r="BX690" s="14" t="str">
        <x:v>Cast-list and episode data do not establish narrative prominence.</x:v>
      </x:c>
      <x:c r="BY690" s="14" t="str">
        <x:v>Supplied IMDb cast-list workbook</x:v>
      </x:c>
      <x:c r="BZ690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tt8983318|nm4066548|simon</x:v>
      </x:c>
      <x:c r="B691" s="14" t="str">
        <x:v>08</x:v>
      </x:c>
      <x:c r="C691" s="14" t="str">
        <x:v>2022_IMDb_Cast_Lists_Batch_08(1).xlsx</x:v>
      </x:c>
      <x:c r="D691" s="14" t="str">
        <x:v>Wreck</x:v>
      </x:c>
      <x:c r="E691" s="14" t="n">
        <x:v>61</x:v>
      </x:c>
      <x:c r="F691" s="14" t="str">
        <x:v>Wreck</x:v>
      </x:c>
      <x:c r="G691" s="14" t="str">
        <x:v>tt8983318</x:v>
      </x:c>
      <x:c r="H691" s="14" t="n">
        <x:v>2022</x:v>
      </x:c>
      <x:c r="I691" s="14" t="n">
        <x:v>2023</x:v>
      </x:c>
      <x:c r="J691" s="14" t="str">
        <x:v>Future Carry-Forward Cohort</x:v>
      </x:c>
      <x:c r="K691" s="14" t="n">
        <x:v>2022</x:v>
      </x:c>
      <x:c r="L691" s="14" t="str">
        <x:v>Not inherited</x:v>
      </x:c>
      <x:c r="M691" s="15" t="n">
        <x:v>54</x:v>
      </x:c>
      <x:c r="N691" s="14" t="str">
        <x:v>Ross Grant</x:v>
      </x:c>
      <x:c r="O691" s="14" t="str">
        <x:v>nm4066548</x:v>
      </x:c>
      <x:c r="P691" s="14" t="str">
        <x:v>Simon</x:v>
      </x:c>
      <x:c r="Q691" s="15" t="n">
        <x:v>1</x:v>
      </x:c>
      <x:c r="R691" s="14" t="str">
        <x:v>2024</x:v>
      </x:c>
      <x:c r="S691" s="14" t="n">
        <x:v>2024</x:v>
      </x:c>
      <x:c r="T691" s="14" t="n">
        <x:v>2024</x:v>
      </x:c>
      <x:c r="U691" s="14" t="str">
        <x:v>Explicit source first year retained</x:v>
      </x:c>
      <x:c r="V691" s="14" t="str">
        <x:v>Earliest supplied year is 2024.</x:v>
      </x:c>
      <x:c r="W691" s="14"/>
      <x:c r="X691" s="14" t="str">
        <x:v>Carried forward to 2024</x:v>
      </x:c>
      <x:c r="Y691" s="14"/>
      <x:c r="Z691" s="14" t="str">
        <x:v>Wreck.docx</x:v>
      </x:c>
      <x:c r="AA691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1" s="14" t="str">
        <x:v>Existing established-register match</x:v>
      </x:c>
      <x:c r="AC691" s="14" t="str">
        <x:v>Blind or vision impaired</x:v>
      </x:c>
      <x:c r="AD691" s="14" t="str">
        <x:v>Existing register classification: Blind or vision impaired</x:v>
      </x:c>
      <x:c r="AE691" s="14" t="str">
        <x:v>Established_Disability_Category_Register V1.2.xlsx</x:v>
      </x:c>
      <x:c r="AF691" s="14"/>
      <x:c r="AG691" s="14" t="str">
        <x:v>Established user-supplied classification retained for deduplication; evidence was not re-researched in this batch.</x:v>
      </x:c>
      <x:c r="AH691" s="14" t="str">
        <x:v>BBC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7" t="e">
        <x:f>HYPERLINK("https://en.wikipedia.org/wiki/Wreck","Open source")</x:f>
        <x:v>HYPERLINK is not implemented. linkLocation=https://en.wikipedia.org/wiki/Wreck, friendlyName=Open source</x:v>
      </x:c>
      <x:c r="AN691" s="14" t="str">
        <x:v>BBC public-service commission</x:v>
      </x:c>
      <x:c r="AO691" s="14" t="str">
        <x:v>Yes</x:v>
      </x:c>
      <x:c r="AP691" s="14" t="str">
        <x:v>Direct BBC public-service scope</x:v>
      </x:c>
      <x:c r="AQ691" s="14" t="str">
        <x:v>Yes</x:v>
      </x:c>
      <x:c r="AR691" s="14" t="str">
        <x:v>Resolved from master register</x:v>
      </x:c>
      <x:c r="AS691" s="14" t="str">
        <x:v>Exact IMDb performer ID match</x:v>
      </x:c>
      <x:c r="AT691" s="14" t="str">
        <x:v>nm4066548</x:v>
      </x:c>
      <x:c r="AU691" s="14" t="str">
        <x:v>Blind or vision impaired</x:v>
      </x:c>
      <x:c r="AV691" s="14" t="str">
        <x:v>Yes</x:v>
      </x:c>
      <x:c r="AW691" s="14" t="str">
        <x:v>Blind or vision impaired</x:v>
      </x:c>
      <x:c r="AX691" s="14" t="str">
        <x:v>No</x:v>
      </x:c>
      <x:c r="AY691" s="14" t="str">
        <x:v>Matched</x:v>
      </x:c>
      <x:c r="AZ691" s="14" t="str">
        <x:v>Final supplied register</x:v>
      </x:c>
      <x:c r="BA691" s="14"/>
      <x:c r="BB691" s="14" t="str">
        <x:v>Exact IMDb performer ID match</x:v>
      </x:c>
      <x:c r="BC691" s="14" t="str">
        <x:v>nm4066548</x:v>
      </x:c>
      <x:c r="BD691" s="14" t="str">
        <x:v>Ross Grant</x:v>
      </x:c>
      <x:c r="BE691" s="14" t="str">
        <x:v>Blind or vision impaired</x:v>
      </x:c>
      <x:c r="BF691" s="14" t="str">
        <x:v>Yes</x:v>
      </x:c>
      <x:c r="BG691" s="14" t="str">
        <x:v>Blind or vision impaired</x:v>
      </x:c>
      <x:c r="BH691" s="14" t="str">
        <x:v>No</x:v>
      </x:c>
      <x:c r="BI691" s="14" t="str">
        <x:v>User-supplied established classification</x:v>
      </x:c>
      <x:c r="BJ691" s="14" t="str">
        <x:v>09_Blind_or_vision_impaired.csv</x:v>
      </x:c>
      <x:c r="BK691" s="14"/>
      <x:c r="BL691" s="14" t="str">
        <x:v>Matched</x:v>
      </x:c>
      <x:c r="BM691" s="14" t="str">
        <x:v>Final supplied register</x:v>
      </x:c>
      <x:c r="BN691" s="14"/>
      <x:c r="BO691" s="14" t="n">
        <x:v>12</x:v>
      </x:c>
      <x:c r="BP691" s="14" t="str">
        <x:v>Maximum supplied eligible IMDb cast-credit total; annual episode total not independently verified.</x:v>
      </x:c>
      <x:c r="BQ691" s="14" t="str">
        <x:v>Medium</x:v>
      </x:c>
      <x:c r="BR691" s="15" t="n">
        <x:v>1</x:v>
      </x:c>
      <x:c r="BS691" s="16" t="n">
        <x:v>0.08333333333333333</x:v>
      </x:c>
      <x:c r="BT691" s="14" t="str">
        <x:v>One episode</x:v>
      </x:c>
      <x:c r="BU691" s="14" t="str">
        <x:v>Medium</x:v>
      </x:c>
      <x:c r="BV691" s="14" t="str">
        <x:v>Derived from the supplied IMDb episode count and documented production-total proxy.</x:v>
      </x:c>
      <x:c r="BW691" s="14" t="str">
        <x:v>Unable to determine</x:v>
      </x:c>
      <x:c r="BX691" s="14" t="str">
        <x:v>Cast-list and episode data do not establish narrative prominence.</x:v>
      </x:c>
      <x:c r="BY691" s="14" t="str">
        <x:v>Supplied IMDb cast-list workbook</x:v>
      </x:c>
      <x:c r="BZ691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tt8983318|nm9409714|kylo</x:v>
      </x:c>
      <x:c r="B692" s="14" t="str">
        <x:v>08</x:v>
      </x:c>
      <x:c r="C692" s="14" t="str">
        <x:v>2022_IMDb_Cast_Lists_Batch_08(1).xlsx</x:v>
      </x:c>
      <x:c r="D692" s="14" t="str">
        <x:v>Wreck</x:v>
      </x:c>
      <x:c r="E692" s="14" t="n">
        <x:v>62</x:v>
      </x:c>
      <x:c r="F692" s="14" t="str">
        <x:v>Wreck</x:v>
      </x:c>
      <x:c r="G692" s="14" t="str">
        <x:v>tt8983318</x:v>
      </x:c>
      <x:c r="H692" s="14" t="n">
        <x:v>2022</x:v>
      </x:c>
      <x:c r="I692" s="14" t="n">
        <x:v>2023</x:v>
      </x:c>
      <x:c r="J692" s="14" t="str">
        <x:v>Future Carry-Forward Cohort</x:v>
      </x:c>
      <x:c r="K692" s="14" t="n">
        <x:v>2022</x:v>
      </x:c>
      <x:c r="L692" s="14" t="str">
        <x:v>Not inherited</x:v>
      </x:c>
      <x:c r="M692" s="15" t="n">
        <x:v>55</x:v>
      </x:c>
      <x:c r="N692" s="14" t="str">
        <x:v>Lee Petcher</x:v>
      </x:c>
      <x:c r="O692" s="14" t="str">
        <x:v>nm9409714</x:v>
      </x:c>
      <x:c r="P692" s="14" t="str">
        <x:v>Kylo</x:v>
      </x:c>
      <x:c r="Q692" s="15" t="n">
        <x:v>1</x:v>
      </x:c>
      <x:c r="R692" s="14" t="str">
        <x:v>2024</x:v>
      </x:c>
      <x:c r="S692" s="14" t="n">
        <x:v>2024</x:v>
      </x:c>
      <x:c r="T692" s="14" t="n">
        <x:v>2024</x:v>
      </x:c>
      <x:c r="U692" s="14" t="str">
        <x:v>Explicit source first year retained</x:v>
      </x:c>
      <x:c r="V692" s="14" t="str">
        <x:v>Earliest supplied year is 2024.</x:v>
      </x:c>
      <x:c r="W692" s="14"/>
      <x:c r="X692" s="14" t="str">
        <x:v>Carried forward to 2024</x:v>
      </x:c>
      <x:c r="Y692" s="14"/>
      <x:c r="Z692" s="14" t="str">
        <x:v>Wreck.docx</x:v>
      </x:c>
      <x:c r="AA692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BBC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7" t="e">
        <x:f>HYPERLINK("https://en.wikipedia.org/wiki/Wreck","Open source")</x:f>
        <x:v>HYPERLINK is not implemented. linkLocation=https://en.wikipedia.org/wiki/Wreck, friendlyName=Open source</x:v>
      </x:c>
      <x:c r="AN692" s="14" t="str">
        <x:v>BBC public-service commission</x:v>
      </x:c>
      <x:c r="AO692" s="14" t="str">
        <x:v>Yes</x:v>
      </x:c>
      <x:c r="AP692" s="14" t="str">
        <x:v>Direct BBC public-service scope</x:v>
      </x:c>
      <x:c r="AQ692" s="14" t="str">
        <x:v>Yes</x:v>
      </x:c>
      <x:c r="AR692" s="14" t="str">
        <x:v>Resolved from master register</x:v>
      </x:c>
      <x:c r="AS692" s="14" t="str">
        <x:v>No established-register match</x:v>
      </x:c>
      <x:c r="AT692" s="14"/>
      <x:c r="AU692" s="14"/>
      <x:c r="AV692" s="14" t="str">
        <x:v>No established apparent-disability match</x:v>
      </x:c>
      <x:c r="AW692" s="14"/>
      <x:c r="AX692" s="14" t="str">
        <x:v>No</x:v>
      </x:c>
      <x:c r="AY692" s="14" t="str">
        <x:v>Unmatched</x:v>
      </x:c>
      <x:c r="AZ692" s="14" t="str">
        <x:v>Final supplied register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12</x:v>
      </x:c>
      <x:c r="BP692" s="14" t="str">
        <x:v>Maximum supplied eligible IMDb cast-credit total; annual episode total not independently verified.</x:v>
      </x:c>
      <x:c r="BQ692" s="14" t="str">
        <x:v>Medium</x:v>
      </x:c>
      <x:c r="BR692" s="15" t="n">
        <x:v>1</x:v>
      </x:c>
      <x:c r="BS692" s="16" t="n">
        <x:v>0.08333333333333333</x:v>
      </x:c>
      <x:c r="BT692" s="14" t="str">
        <x:v>One episode</x:v>
      </x:c>
      <x:c r="BU692" s="14" t="str">
        <x:v>Medium</x:v>
      </x:c>
      <x:c r="BV692" s="14" t="str">
        <x:v>Derived from the supplied IMDb episode count and documented production-total proxy.</x:v>
      </x:c>
      <x:c r="BW692" s="14" t="str">
        <x:v>Unable to determine</x:v>
      </x:c>
      <x:c r="BX692" s="14" t="str">
        <x:v>Cast-list and episode data do not establish narrative prominence.</x:v>
      </x:c>
      <x:c r="BY692" s="14" t="str">
        <x:v>Supplied IMDb cast-list workbook</x:v>
      </x:c>
      <x:c r="BZ692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tt8983318|nm5178396|drag queen</x:v>
      </x:c>
      <x:c r="B693" s="14" t="str">
        <x:v>08</x:v>
      </x:c>
      <x:c r="C693" s="14" t="str">
        <x:v>2022_IMDb_Cast_Lists_Batch_08(1).xlsx</x:v>
      </x:c>
      <x:c r="D693" s="14" t="str">
        <x:v>Wreck</x:v>
      </x:c>
      <x:c r="E693" s="14" t="n">
        <x:v>64</x:v>
      </x:c>
      <x:c r="F693" s="14" t="str">
        <x:v>Wreck</x:v>
      </x:c>
      <x:c r="G693" s="14" t="str">
        <x:v>tt8983318</x:v>
      </x:c>
      <x:c r="H693" s="14" t="n">
        <x:v>2022</x:v>
      </x:c>
      <x:c r="I693" s="14" t="n">
        <x:v>2023</x:v>
      </x:c>
      <x:c r="J693" s="14" t="str">
        <x:v>Future Carry-Forward Cohort</x:v>
      </x:c>
      <x:c r="K693" s="14" t="n">
        <x:v>2022</x:v>
      </x:c>
      <x:c r="L693" s="14" t="str">
        <x:v>Not inherited</x:v>
      </x:c>
      <x:c r="M693" s="15" t="n">
        <x:v>57</x:v>
      </x:c>
      <x:c r="N693" s="14" t="str">
        <x:v>Blu Hydrangea</x:v>
      </x:c>
      <x:c r="O693" s="14" t="str">
        <x:v>nm5178396</x:v>
      </x:c>
      <x:c r="P693" s="14" t="str">
        <x:v>Drag Queen</x:v>
      </x:c>
      <x:c r="Q693" s="15" t="n">
        <x:v>1</x:v>
      </x:c>
      <x:c r="R693" s="14" t="str">
        <x:v>2024</x:v>
      </x:c>
      <x:c r="S693" s="14" t="n">
        <x:v>2024</x:v>
      </x:c>
      <x:c r="T693" s="14" t="n">
        <x:v>2024</x:v>
      </x:c>
      <x:c r="U693" s="14" t="str">
        <x:v>Explicit source first year retained</x:v>
      </x:c>
      <x:c r="V693" s="14" t="str">
        <x:v>Earliest supplied year is 2024.</x:v>
      </x:c>
      <x:c r="W693" s="14"/>
      <x:c r="X693" s="14" t="str">
        <x:v>Carried forward to 2024</x:v>
      </x:c>
      <x:c r="Y693" s="14" t="str">
        <x:v>(as Joshua Cargill)</x:v>
      </x:c>
      <x:c r="Z693" s="14" t="str">
        <x:v>Wreck.docx</x:v>
      </x:c>
      <x:c r="AA693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BBC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7" t="e">
        <x:f>HYPERLINK("https://en.wikipedia.org/wiki/Wreck","Open source")</x:f>
        <x:v>HYPERLINK is not implemented. linkLocation=https://en.wikipedia.org/wiki/Wreck, friendlyName=Open source</x:v>
      </x:c>
      <x:c r="AN693" s="14" t="str">
        <x:v>BBC public-service commission</x:v>
      </x:c>
      <x:c r="AO693" s="14" t="str">
        <x:v>Yes</x:v>
      </x:c>
      <x:c r="AP693" s="14" t="str">
        <x:v>Direct BBC public-service scope</x:v>
      </x:c>
      <x:c r="AQ693" s="14" t="str">
        <x:v>Yes</x:v>
      </x:c>
      <x:c r="AR693" s="14" t="str">
        <x:v>Resolved from master register</x:v>
      </x:c>
      <x:c r="AS693" s="14" t="str">
        <x:v>No established-register match</x:v>
      </x:c>
      <x:c r="AT693" s="14"/>
      <x:c r="AU693" s="14"/>
      <x:c r="AV693" s="14" t="str">
        <x:v>No established apparent-disability match</x:v>
      </x:c>
      <x:c r="AW693" s="14"/>
      <x:c r="AX693" s="14" t="str">
        <x:v>No</x:v>
      </x:c>
      <x:c r="AY693" s="14" t="str">
        <x:v>Unmatched</x:v>
      </x:c>
      <x:c r="AZ693" s="14" t="str">
        <x:v>Final supplied register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12</x:v>
      </x:c>
      <x:c r="BP693" s="14" t="str">
        <x:v>Maximum supplied eligible IMDb cast-credit total; annual episode total not independently verified.</x:v>
      </x:c>
      <x:c r="BQ693" s="14" t="str">
        <x:v>Medium</x:v>
      </x:c>
      <x:c r="BR693" s="15" t="n">
        <x:v>1</x:v>
      </x:c>
      <x:c r="BS693" s="16" t="n">
        <x:v>0.08333333333333333</x:v>
      </x:c>
      <x:c r="BT693" s="14" t="str">
        <x:v>One episode</x:v>
      </x:c>
      <x:c r="BU693" s="14" t="str">
        <x:v>Medium</x:v>
      </x:c>
      <x:c r="BV693" s="14" t="str">
        <x:v>Derived from the supplied IMDb episode count and documented production-total proxy.</x:v>
      </x:c>
      <x:c r="BW693" s="14" t="str">
        <x:v>Unable to determine</x:v>
      </x:c>
      <x:c r="BX693" s="14" t="str">
        <x:v>Cast-list and episode data do not establish narrative prominence.</x:v>
      </x:c>
      <x:c r="BY693" s="14" t="str">
        <x:v>Supplied IMDb cast-list workbook</x:v>
      </x:c>
      <x:c r="BZ693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tt8983318|nm0695677|drago</x:v>
      </x:c>
      <x:c r="B694" s="14" t="str">
        <x:v>08</x:v>
      </x:c>
      <x:c r="C694" s="14" t="str">
        <x:v>2022_IMDb_Cast_Lists_Batch_08(1).xlsx</x:v>
      </x:c>
      <x:c r="D694" s="14" t="str">
        <x:v>Wreck</x:v>
      </x:c>
      <x:c r="E694" s="14" t="n">
        <x:v>65</x:v>
      </x:c>
      <x:c r="F694" s="14" t="str">
        <x:v>Wreck</x:v>
      </x:c>
      <x:c r="G694" s="14" t="str">
        <x:v>tt8983318</x:v>
      </x:c>
      <x:c r="H694" s="14" t="n">
        <x:v>2022</x:v>
      </x:c>
      <x:c r="I694" s="14" t="n">
        <x:v>2023</x:v>
      </x:c>
      <x:c r="J694" s="14" t="str">
        <x:v>Future Carry-Forward Cohort</x:v>
      </x:c>
      <x:c r="K694" s="14" t="n">
        <x:v>2022</x:v>
      </x:c>
      <x:c r="L694" s="14" t="str">
        <x:v>Not inherited</x:v>
      </x:c>
      <x:c r="M694" s="15" t="n">
        <x:v>58</x:v>
      </x:c>
      <x:c r="N694" s="14" t="str">
        <x:v>Robert Prebil</x:v>
      </x:c>
      <x:c r="O694" s="14" t="str">
        <x:v>nm0695677</x:v>
      </x:c>
      <x:c r="P694" s="14" t="str">
        <x:v>Drago</x:v>
      </x:c>
      <x:c r="Q694" s="15" t="n">
        <x:v>1</x:v>
      </x:c>
      <x:c r="R694" s="14" t="str">
        <x:v>2024</x:v>
      </x:c>
      <x:c r="S694" s="14" t="n">
        <x:v>2024</x:v>
      </x:c>
      <x:c r="T694" s="14" t="n">
        <x:v>2024</x:v>
      </x:c>
      <x:c r="U694" s="14" t="str">
        <x:v>Explicit source first year retained</x:v>
      </x:c>
      <x:c r="V694" s="14" t="str">
        <x:v>Earliest supplied year is 2024.</x:v>
      </x:c>
      <x:c r="W694" s="14"/>
      <x:c r="X694" s="14" t="str">
        <x:v>Carried forward to 2024</x:v>
      </x:c>
      <x:c r="Y694" s="14"/>
      <x:c r="Z694" s="14" t="str">
        <x:v>Wreck.docx</x:v>
      </x:c>
      <x:c r="AA694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BBC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7" t="e">
        <x:f>HYPERLINK("https://en.wikipedia.org/wiki/Wreck","Open source")</x:f>
        <x:v>HYPERLINK is not implemented. linkLocation=https://en.wikipedia.org/wiki/Wreck, friendlyName=Open source</x:v>
      </x:c>
      <x:c r="AN694" s="14" t="str">
        <x:v>BBC public-service commission</x:v>
      </x:c>
      <x:c r="AO694" s="14" t="str">
        <x:v>Yes</x:v>
      </x:c>
      <x:c r="AP694" s="14" t="str">
        <x:v>Direct BBC public-service scope</x:v>
      </x:c>
      <x:c r="AQ694" s="14" t="str">
        <x:v>Yes</x:v>
      </x:c>
      <x:c r="AR694" s="14" t="str">
        <x:v>Resolved from master register</x:v>
      </x:c>
      <x:c r="AS694" s="14" t="str">
        <x:v>No established-register match</x:v>
      </x:c>
      <x:c r="AT694" s="14"/>
      <x:c r="AU694" s="14"/>
      <x:c r="AV694" s="14" t="str">
        <x:v>No established apparent-disability match</x:v>
      </x:c>
      <x:c r="AW694" s="14"/>
      <x:c r="AX694" s="14" t="str">
        <x:v>No</x:v>
      </x:c>
      <x:c r="AY694" s="14" t="str">
        <x:v>Unmatched</x:v>
      </x:c>
      <x:c r="AZ694" s="14" t="str">
        <x:v>Final supplied register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12</x:v>
      </x:c>
      <x:c r="BP694" s="14" t="str">
        <x:v>Maximum supplied eligible IMDb cast-credit total; annual episode total not independently verified.</x:v>
      </x:c>
      <x:c r="BQ694" s="14" t="str">
        <x:v>Medium</x:v>
      </x:c>
      <x:c r="BR694" s="15" t="n">
        <x:v>1</x:v>
      </x:c>
      <x:c r="BS694" s="16" t="n">
        <x:v>0.08333333333333333</x:v>
      </x:c>
      <x:c r="BT694" s="14" t="str">
        <x:v>One episode</x:v>
      </x:c>
      <x:c r="BU694" s="14" t="str">
        <x:v>Medium</x:v>
      </x:c>
      <x:c r="BV694" s="14" t="str">
        <x:v>Derived from the supplied IMDb episode count and documented production-total proxy.</x:v>
      </x:c>
      <x:c r="BW694" s="14" t="str">
        <x:v>Unable to determine</x:v>
      </x:c>
      <x:c r="BX694" s="14" t="str">
        <x:v>Cast-list and episode data do not establish narrative prominence.</x:v>
      </x:c>
      <x:c r="BY694" s="14" t="str">
        <x:v>Supplied IMDb cast-list workbook</x:v>
      </x:c>
      <x:c r="BZ694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tt8983318|nm13581383|the baby's girlfriend</x:v>
      </x:c>
      <x:c r="B695" s="14" t="str">
        <x:v>08</x:v>
      </x:c>
      <x:c r="C695" s="14" t="str">
        <x:v>2022_IMDb_Cast_Lists_Batch_08(1).xlsx</x:v>
      </x:c>
      <x:c r="D695" s="14" t="str">
        <x:v>Wreck</x:v>
      </x:c>
      <x:c r="E695" s="14" t="n">
        <x:v>66</x:v>
      </x:c>
      <x:c r="F695" s="14" t="str">
        <x:v>Wreck</x:v>
      </x:c>
      <x:c r="G695" s="14" t="str">
        <x:v>tt8983318</x:v>
      </x:c>
      <x:c r="H695" s="14" t="n">
        <x:v>2022</x:v>
      </x:c>
      <x:c r="I695" s="14" t="n">
        <x:v>2023</x:v>
      </x:c>
      <x:c r="J695" s="14" t="str">
        <x:v>Future Carry-Forward Cohort</x:v>
      </x:c>
      <x:c r="K695" s="14" t="n">
        <x:v>2022</x:v>
      </x:c>
      <x:c r="L695" s="14" t="str">
        <x:v>Not inherited</x:v>
      </x:c>
      <x:c r="M695" s="15" t="n">
        <x:v>59</x:v>
      </x:c>
      <x:c r="N695" s="14" t="str">
        <x:v>Carrie Dimaculangan</x:v>
      </x:c>
      <x:c r="O695" s="14" t="str">
        <x:v>nm13581383</x:v>
      </x:c>
      <x:c r="P695" s="14" t="str">
        <x:v>The Baby's Girlfriend</x:v>
      </x:c>
      <x:c r="Q695" s="15" t="n">
        <x:v>1</x:v>
      </x:c>
      <x:c r="R695" s="14" t="str">
        <x:v>2024</x:v>
      </x:c>
      <x:c r="S695" s="14" t="n">
        <x:v>2024</x:v>
      </x:c>
      <x:c r="T695" s="14" t="n">
        <x:v>2024</x:v>
      </x:c>
      <x:c r="U695" s="14" t="str">
        <x:v>Explicit source first year retained</x:v>
      </x:c>
      <x:c r="V695" s="14" t="str">
        <x:v>Earliest supplied year is 2024.</x:v>
      </x:c>
      <x:c r="W695" s="14"/>
      <x:c r="X695" s="14" t="str">
        <x:v>Carried forward to 2024</x:v>
      </x:c>
      <x:c r="Y695" s="14"/>
      <x:c r="Z695" s="14" t="str">
        <x:v>Wreck.docx</x:v>
      </x:c>
      <x:c r="AA695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5" s="14" t="str">
        <x:v>No established-register match</x:v>
      </x:c>
      <x:c r="AC695" s="14"/>
      <x:c r="AD695" s="14"/>
      <x:c r="AE695" s="14"/>
      <x:c r="AF695" s="14"/>
      <x:c r="AG695" s="14" t="str">
        <x:v>No qualifying conclusion recorded. Absence from the register is not evidence that the performer is not disabled.</x:v>
      </x:c>
      <x:c r="AH695" s="14" t="str">
        <x:v>BBC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7" t="e">
        <x:f>HYPERLINK("https://en.wikipedia.org/wiki/Wreck","Open source")</x:f>
        <x:v>HYPERLINK is not implemented. linkLocation=https://en.wikipedia.org/wiki/Wreck, friendlyName=Open source</x:v>
      </x:c>
      <x:c r="AN695" s="14" t="str">
        <x:v>BBC public-service commission</x:v>
      </x:c>
      <x:c r="AO695" s="14" t="str">
        <x:v>Yes</x:v>
      </x:c>
      <x:c r="AP695" s="14" t="str">
        <x:v>Direct BBC public-service scope</x:v>
      </x:c>
      <x:c r="AQ695" s="14" t="str">
        <x:v>Yes</x:v>
      </x:c>
      <x:c r="AR695" s="14" t="str">
        <x:v>Resolved from master register</x:v>
      </x:c>
      <x:c r="AS695" s="14" t="str">
        <x:v>No established-register match</x:v>
      </x:c>
      <x:c r="AT695" s="14"/>
      <x:c r="AU695" s="14"/>
      <x:c r="AV695" s="14" t="str">
        <x:v>No established apparent-disability match</x:v>
      </x:c>
      <x:c r="AW695" s="14"/>
      <x:c r="AX695" s="14" t="str">
        <x:v>No</x:v>
      </x:c>
      <x:c r="AY695" s="14" t="str">
        <x:v>Unmatched</x:v>
      </x:c>
      <x:c r="AZ695" s="14" t="str">
        <x:v>Final supplied register</x:v>
      </x:c>
      <x:c r="BA695" s="14" t="str">
        <x:v>Absence from the register is not evidence that the performer is not disabled.</x:v>
      </x:c>
      <x:c r="BB695" s="14" t="str">
        <x:v>No established-register match</x:v>
      </x:c>
      <x:c r="BC695" s="14"/>
      <x:c r="BD695" s="14"/>
      <x:c r="BE695" s="14"/>
      <x:c r="BF695" s="14" t="str">
        <x:v>No established apparent-disability match</x:v>
      </x:c>
      <x:c r="BG695" s="14"/>
      <x:c r="BH695" s="14" t="str">
        <x:v>No</x:v>
      </x:c>
      <x:c r="BI695" s="14"/>
      <x:c r="BJ695" s="14"/>
      <x:c r="BK695" s="14"/>
      <x:c r="BL695" s="14" t="str">
        <x:v>Unmatched</x:v>
      </x:c>
      <x:c r="BM695" s="14" t="str">
        <x:v>Final supplied register</x:v>
      </x:c>
      <x:c r="BN695" s="14" t="str">
        <x:v>Absence from the register is not evidence that the performer is not disabled.</x:v>
      </x:c>
      <x:c r="BO695" s="14" t="n">
        <x:v>12</x:v>
      </x:c>
      <x:c r="BP695" s="14" t="str">
        <x:v>Maximum supplied eligible IMDb cast-credit total; annual episode total not independently verified.</x:v>
      </x:c>
      <x:c r="BQ695" s="14" t="str">
        <x:v>Medium</x:v>
      </x:c>
      <x:c r="BR695" s="15" t="n">
        <x:v>1</x:v>
      </x:c>
      <x:c r="BS695" s="16" t="n">
        <x:v>0.08333333333333333</x:v>
      </x:c>
      <x:c r="BT695" s="14" t="str">
        <x:v>One episode</x:v>
      </x:c>
      <x:c r="BU695" s="14" t="str">
        <x:v>Medium</x:v>
      </x:c>
      <x:c r="BV695" s="14" t="str">
        <x:v>Derived from the supplied IMDb episode count and documented production-total proxy.</x:v>
      </x:c>
      <x:c r="BW695" s="14" t="str">
        <x:v>Unable to determine</x:v>
      </x:c>
      <x:c r="BX695" s="14" t="str">
        <x:v>Cast-list and episode data do not establish narrative prominence.</x:v>
      </x:c>
      <x:c r="BY695" s="14" t="str">
        <x:v>Supplied IMDb cast-list workbook</x:v>
      </x:c>
      <x:c r="BZ695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tt8983318|nm6785681|slovenian builder</x:v>
      </x:c>
      <x:c r="B696" s="14" t="str">
        <x:v>08</x:v>
      </x:c>
      <x:c r="C696" s="14" t="str">
        <x:v>2022_IMDb_Cast_Lists_Batch_08(1).xlsx</x:v>
      </x:c>
      <x:c r="D696" s="14" t="str">
        <x:v>Wreck</x:v>
      </x:c>
      <x:c r="E696" s="14" t="n">
        <x:v>68</x:v>
      </x:c>
      <x:c r="F696" s="14" t="str">
        <x:v>Wreck</x:v>
      </x:c>
      <x:c r="G696" s="14" t="str">
        <x:v>tt8983318</x:v>
      </x:c>
      <x:c r="H696" s="14" t="n">
        <x:v>2022</x:v>
      </x:c>
      <x:c r="I696" s="14" t="n">
        <x:v>2023</x:v>
      </x:c>
      <x:c r="J696" s="14" t="str">
        <x:v>Future Carry-Forward Cohort</x:v>
      </x:c>
      <x:c r="K696" s="14" t="n">
        <x:v>2022</x:v>
      </x:c>
      <x:c r="L696" s="14" t="str">
        <x:v>Not inherited</x:v>
      </x:c>
      <x:c r="M696" s="15" t="n">
        <x:v>61</x:v>
      </x:c>
      <x:c r="N696" s="14" t="str">
        <x:v>Marjan Radanovich</x:v>
      </x:c>
      <x:c r="O696" s="14" t="str">
        <x:v>nm6785681</x:v>
      </x:c>
      <x:c r="P696" s="14" t="str">
        <x:v>Slovenian Builder</x:v>
      </x:c>
      <x:c r="Q696" s="15" t="n">
        <x:v>1</x:v>
      </x:c>
      <x:c r="R696" s="14" t="str">
        <x:v>2024</x:v>
      </x:c>
      <x:c r="S696" s="14" t="n">
        <x:v>2024</x:v>
      </x:c>
      <x:c r="T696" s="14" t="n">
        <x:v>2024</x:v>
      </x:c>
      <x:c r="U696" s="14" t="str">
        <x:v>Explicit source first year retained</x:v>
      </x:c>
      <x:c r="V696" s="14" t="str">
        <x:v>Earliest supplied year is 2024.</x:v>
      </x:c>
      <x:c r="W696" s="14"/>
      <x:c r="X696" s="14" t="str">
        <x:v>Carried forward to 2024</x:v>
      </x:c>
      <x:c r="Y696" s="14"/>
      <x:c r="Z696" s="14" t="str">
        <x:v>Wreck.docx</x:v>
      </x:c>
      <x:c r="AA696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BBC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7" t="e">
        <x:f>HYPERLINK("https://en.wikipedia.org/wiki/Wreck","Open source")</x:f>
        <x:v>HYPERLINK is not implemented. linkLocation=https://en.wikipedia.org/wiki/Wreck, friendlyName=Open source</x:v>
      </x:c>
      <x:c r="AN696" s="14" t="str">
        <x:v>BBC public-service commission</x:v>
      </x:c>
      <x:c r="AO696" s="14" t="str">
        <x:v>Yes</x:v>
      </x:c>
      <x:c r="AP696" s="14" t="str">
        <x:v>Direct BBC public-service scope</x:v>
      </x:c>
      <x:c r="AQ696" s="14" t="str">
        <x:v>Yes</x:v>
      </x:c>
      <x:c r="AR696" s="14" t="str">
        <x:v>Resolved from master register</x:v>
      </x:c>
      <x:c r="AS696" s="14" t="str">
        <x:v>No established-register match</x:v>
      </x:c>
      <x:c r="AT696" s="14"/>
      <x:c r="AU696" s="14"/>
      <x:c r="AV696" s="14" t="str">
        <x:v>No established apparent-disability match</x:v>
      </x:c>
      <x:c r="AW696" s="14"/>
      <x:c r="AX696" s="14" t="str">
        <x:v>No</x:v>
      </x:c>
      <x:c r="AY696" s="14" t="str">
        <x:v>Unmatched</x:v>
      </x:c>
      <x:c r="AZ696" s="14" t="str">
        <x:v>Final supplied register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12</x:v>
      </x:c>
      <x:c r="BP696" s="14" t="str">
        <x:v>Maximum supplied eligible IMDb cast-credit total; annual episode total not independently verified.</x:v>
      </x:c>
      <x:c r="BQ696" s="14" t="str">
        <x:v>Medium</x:v>
      </x:c>
      <x:c r="BR696" s="15" t="n">
        <x:v>1</x:v>
      </x:c>
      <x:c r="BS696" s="16" t="n">
        <x:v>0.08333333333333333</x:v>
      </x:c>
      <x:c r="BT696" s="14" t="str">
        <x:v>One episode</x:v>
      </x:c>
      <x:c r="BU696" s="14" t="str">
        <x:v>Medium</x:v>
      </x:c>
      <x:c r="BV696" s="14" t="str">
        <x:v>Derived from the supplied IMDb episode count and documented production-total proxy.</x:v>
      </x:c>
      <x:c r="BW696" s="14" t="str">
        <x:v>Unable to determine</x:v>
      </x:c>
      <x:c r="BX696" s="14" t="str">
        <x:v>Cast-list and episode data do not establish narrative prominence.</x:v>
      </x:c>
      <x:c r="BY696" s="14" t="str">
        <x:v>Supplied IMDb cast-list workbook</x:v>
      </x:c>
      <x:c r="BZ696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tt8983318|nm1749512|seaside swinger</x:v>
      </x:c>
      <x:c r="B697" s="14" t="str">
        <x:v>08</x:v>
      </x:c>
      <x:c r="C697" s="14" t="str">
        <x:v>2022_IMDb_Cast_Lists_Batch_08(1).xlsx</x:v>
      </x:c>
      <x:c r="D697" s="14" t="str">
        <x:v>Wreck</x:v>
      </x:c>
      <x:c r="E697" s="14" t="n">
        <x:v>70</x:v>
      </x:c>
      <x:c r="F697" s="14" t="str">
        <x:v>Wreck</x:v>
      </x:c>
      <x:c r="G697" s="14" t="str">
        <x:v>tt8983318</x:v>
      </x:c>
      <x:c r="H697" s="14" t="n">
        <x:v>2022</x:v>
      </x:c>
      <x:c r="I697" s="14" t="n">
        <x:v>2023</x:v>
      </x:c>
      <x:c r="J697" s="14" t="str">
        <x:v>Future Carry-Forward Cohort</x:v>
      </x:c>
      <x:c r="K697" s="14" t="n">
        <x:v>2022</x:v>
      </x:c>
      <x:c r="L697" s="14" t="str">
        <x:v>Not inherited</x:v>
      </x:c>
      <x:c r="M697" s="15" t="n">
        <x:v>63</x:v>
      </x:c>
      <x:c r="N697" s="14" t="str">
        <x:v>Louise Matthews</x:v>
      </x:c>
      <x:c r="O697" s="14" t="str">
        <x:v>nm1749512</x:v>
      </x:c>
      <x:c r="P697" s="14" t="str">
        <x:v>Seaside Swinger</x:v>
      </x:c>
      <x:c r="Q697" s="15" t="n">
        <x:v>1</x:v>
      </x:c>
      <x:c r="R697" s="14" t="str">
        <x:v>2024</x:v>
      </x:c>
      <x:c r="S697" s="14" t="n">
        <x:v>2024</x:v>
      </x:c>
      <x:c r="T697" s="14" t="n">
        <x:v>2024</x:v>
      </x:c>
      <x:c r="U697" s="14" t="str">
        <x:v>Explicit source first year retained</x:v>
      </x:c>
      <x:c r="V697" s="14" t="str">
        <x:v>Earliest supplied year is 2024.</x:v>
      </x:c>
      <x:c r="W697" s="14"/>
      <x:c r="X697" s="14" t="str">
        <x:v>Carried forward to 2024</x:v>
      </x:c>
      <x:c r="Y697" s="14"/>
      <x:c r="Z697" s="14" t="str">
        <x:v>Wreck.docx</x:v>
      </x:c>
      <x:c r="AA697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BBC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7" t="e">
        <x:f>HYPERLINK("https://en.wikipedia.org/wiki/Wreck","Open source")</x:f>
        <x:v>HYPERLINK is not implemented. linkLocation=https://en.wikipedia.org/wiki/Wreck, friendlyName=Open source</x:v>
      </x:c>
      <x:c r="AN697" s="14" t="str">
        <x:v>BBC public-service commission</x:v>
      </x:c>
      <x:c r="AO697" s="14" t="str">
        <x:v>Yes</x:v>
      </x:c>
      <x:c r="AP697" s="14" t="str">
        <x:v>Direct BBC public-service scope</x:v>
      </x:c>
      <x:c r="AQ697" s="14" t="str">
        <x:v>Yes</x:v>
      </x:c>
      <x:c r="AR697" s="14" t="str">
        <x:v>Resolved from master register</x:v>
      </x:c>
      <x:c r="AS697" s="14" t="str">
        <x:v>No established-register match</x:v>
      </x:c>
      <x:c r="AT697" s="14"/>
      <x:c r="AU697" s="14"/>
      <x:c r="AV697" s="14" t="str">
        <x:v>No established apparent-disability match</x:v>
      </x:c>
      <x:c r="AW697" s="14"/>
      <x:c r="AX697" s="14" t="str">
        <x:v>No</x:v>
      </x:c>
      <x:c r="AY697" s="14" t="str">
        <x:v>Unmatched</x:v>
      </x:c>
      <x:c r="AZ697" s="14" t="str">
        <x:v>Final supplied register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12</x:v>
      </x:c>
      <x:c r="BP697" s="14" t="str">
        <x:v>Maximum supplied eligible IMDb cast-credit total; annual episode total not independently verified.</x:v>
      </x:c>
      <x:c r="BQ697" s="14" t="str">
        <x:v>Medium</x:v>
      </x:c>
      <x:c r="BR697" s="15" t="n">
        <x:v>1</x:v>
      </x:c>
      <x:c r="BS697" s="16" t="n">
        <x:v>0.08333333333333333</x:v>
      </x:c>
      <x:c r="BT697" s="14" t="str">
        <x:v>One episode</x:v>
      </x:c>
      <x:c r="BU697" s="14" t="str">
        <x:v>Medium</x:v>
      </x:c>
      <x:c r="BV697" s="14" t="str">
        <x:v>Derived from the supplied IMDb episode count and documented production-total proxy.</x:v>
      </x:c>
      <x:c r="BW697" s="14" t="str">
        <x:v>Unable to determine</x:v>
      </x:c>
      <x:c r="BX697" s="14" t="str">
        <x:v>Cast-list and episode data do not establish narrative prominence.</x:v>
      </x:c>
      <x:c r="BY697" s="14" t="str">
        <x:v>Supplied IMDb cast-list workbook</x:v>
      </x:c>
      <x:c r="BZ697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tt13430420|nm0329647|dr. emma lavenham</x:v>
      </x:c>
      <x:c r="B698" s="14" t="str">
        <x:v>01</x:v>
      </x:c>
      <x:c r="C698" s="14" t="str">
        <x:v>2021_IMDb_Cast_Lists_Batch_01(1).xlsx</x:v>
      </x:c>
      <x:c r="D698" s="14" t="str">
        <x:v>Dalgliesh</x:v>
      </x:c>
      <x:c r="E698" s="14" t="n">
        <x:v>13</x:v>
      </x:c>
      <x:c r="F698" s="14" t="str">
        <x:v>Dalgliesh</x:v>
      </x:c>
      <x:c r="G698" s="14" t="str">
        <x:v>tt13430420</x:v>
      </x:c>
      <x:c r="H698" s="14" t="n">
        <x:v>2021</x:v>
      </x:c>
      <x:c r="I698" s="14" t="n">
        <x:v>2023</x:v>
      </x:c>
      <x:c r="J698" s="14" t="str">
        <x:v>Future Carry-Forward Cohort</x:v>
      </x:c>
      <x:c r="K698" s="14" t="n">
        <x:v>2021</x:v>
      </x:c>
      <x:c r="L698" s="14" t="str">
        <x:v>Available from 2021 analysis</x:v>
      </x:c>
      <x:c r="M698" s="15" t="n">
        <x:v>6</x:v>
      </x:c>
      <x:c r="N698" s="14" t="str">
        <x:v>Claire Goose</x:v>
      </x:c>
      <x:c r="O698" s="14" t="str">
        <x:v>nm0329647</x:v>
      </x:c>
      <x:c r="P698" s="14" t="str">
        <x:v>Dr. Emma Lavenham</x:v>
      </x:c>
      <x:c r="Q698" s="15" t="n">
        <x:v>3</x:v>
      </x:c>
      <x:c r="R698" s="14" t="str">
        <x:v>2024</x:v>
      </x:c>
      <x:c r="S698" s="14" t="n">
        <x:v>2024</x:v>
      </x:c>
      <x:c r="T698" s="14" t="n">
        <x:v>2024</x:v>
      </x:c>
      <x:c r="U698" s="14" t="str">
        <x:v>Post-2021 casting excluded</x:v>
      </x:c>
      <x:c r="V698" s="14" t="str">
        <x:v>Earliest supplied year is 2024, later than the 2021 study year.</x:v>
      </x:c>
      <x:c r="W698" s="14"/>
      <x:c r="X698" s="14" t="str">
        <x:v>Carried forward to 2024</x:v>
      </x:c>
      <x:c r="Y698" s="14"/>
      <x:c r="Z698" s="14" t="str">
        <x:v>Dalgliesh.docx</x:v>
      </x:c>
      <x:c r="AA69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Channel 5 / 5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7" t="e">
        <x:f>HYPERLINK("https://en.wikipedia.org/wiki/Dalglish","Open source")</x:f>
        <x:v>HYPERLINK is not implemented. linkLocation=https://en.wikipedia.org/wiki/Dalglish, friendlyName=Open source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 t="str">
        <x:v>No established-register match</x:v>
      </x:c>
      <x:c r="AT698" s="14"/>
      <x:c r="AU698" s="14"/>
      <x:c r="AV698" s="14" t="str">
        <x:v>No established apparent-disability match</x:v>
      </x:c>
      <x:c r="AW698" s="14"/>
      <x:c r="AX698" s="14" t="str">
        <x:v>No</x:v>
      </x:c>
      <x:c r="AY698" s="14" t="str">
        <x:v>Unmatched</x:v>
      </x:c>
      <x:c r="AZ698" s="14" t="str">
        <x:v>Final supplied register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18</x:v>
      </x:c>
      <x:c r="BP698" s="14" t="str">
        <x:v>Maximum eligible IMDb cast-credit total (18), shared by 1 performer(s); not independently verified as a 2021-only episode total.</x:v>
      </x:c>
      <x:c r="BQ698" s="14" t="str">
        <x:v>Low</x:v>
      </x:c>
      <x:c r="BR698" s="15" t="n">
        <x:v>3</x:v>
      </x:c>
      <x:c r="BS698" s="16" t="n">
        <x:v>0.1666666666666667</x:v>
      </x:c>
      <x:c r="BT698" s="14" t="str">
        <x:v>Minority of episodes</x:v>
      </x:c>
      <x:c r="BU698" s="14" t="str">
        <x:v>Low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tt13430420|nm2931096|clive roscoe</x:v>
      </x:c>
      <x:c r="B699" s="14" t="str">
        <x:v>01</x:v>
      </x:c>
      <x:c r="C699" s="14" t="str">
        <x:v>2021_IMDb_Cast_Lists_Batch_01(1).xlsx</x:v>
      </x:c>
      <x:c r="D699" s="14" t="str">
        <x:v>Dalgliesh</x:v>
      </x:c>
      <x:c r="E699" s="14" t="n">
        <x:v>20</x:v>
      </x:c>
      <x:c r="F699" s="14" t="str">
        <x:v>Dalgliesh</x:v>
      </x:c>
      <x:c r="G699" s="14" t="str">
        <x:v>tt13430420</x:v>
      </x:c>
      <x:c r="H699" s="14" t="n">
        <x:v>2021</x:v>
      </x:c>
      <x:c r="I699" s="14" t="n">
        <x:v>2023</x:v>
      </x:c>
      <x:c r="J699" s="14" t="str">
        <x:v>Future Carry-Forward Cohort</x:v>
      </x:c>
      <x:c r="K699" s="14" t="n">
        <x:v>2021</x:v>
      </x:c>
      <x:c r="L699" s="14" t="str">
        <x:v>Available from 2021 analysis</x:v>
      </x:c>
      <x:c r="M699" s="15" t="n">
        <x:v>13</x:v>
      </x:c>
      <x:c r="N699" s="14" t="str">
        <x:v>Sam Swainsbury</x:v>
      </x:c>
      <x:c r="O699" s="14" t="str">
        <x:v>nm2931096</x:v>
      </x:c>
      <x:c r="P699" s="14" t="str">
        <x:v>Clive Roscoe</x:v>
      </x:c>
      <x:c r="Q699" s="15" t="n">
        <x:v>2</x:v>
      </x:c>
      <x:c r="R699" s="14" t="str">
        <x:v>2024</x:v>
      </x:c>
      <x:c r="S699" s="14" t="n">
        <x:v>2024</x:v>
      </x:c>
      <x:c r="T699" s="14" t="n">
        <x:v>2024</x:v>
      </x:c>
      <x:c r="U699" s="14" t="str">
        <x:v>Post-2021 casting excluded</x:v>
      </x:c>
      <x:c r="V699" s="14" t="str">
        <x:v>Earliest supplied year is 2024, later than the 2021 study year.</x:v>
      </x:c>
      <x:c r="W699" s="14"/>
      <x:c r="X699" s="14" t="str">
        <x:v>Carried forward to 2024</x:v>
      </x:c>
      <x:c r="Y699" s="14"/>
      <x:c r="Z699" s="14" t="str">
        <x:v>Dalgliesh.docx</x:v>
      </x:c>
      <x:c r="AA69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699" s="14" t="str">
        <x:v>No established-register match</x:v>
      </x:c>
      <x:c r="AC699" s="14"/>
      <x:c r="AD699" s="14"/>
      <x:c r="AE699" s="14"/>
      <x:c r="AF699" s="14"/>
      <x:c r="AG699" s="14" t="str">
        <x:v>No qualifying conclusion recorded. Absence from the register is not evidence that the performer is not disabled.</x:v>
      </x:c>
      <x:c r="AH699" s="14" t="str">
        <x:v>Channel 5 / 5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7" t="e">
        <x:f>HYPERLINK("https://en.wikipedia.org/wiki/Dalglish","Open source")</x:f>
        <x:v>HYPERLINK is not implemented. linkLocation=https://en.wikipedia.org/wiki/Dalglish, friendlyName=Open source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 t="str">
        <x:v>No established-register match</x:v>
      </x:c>
      <x:c r="AT699" s="14"/>
      <x:c r="AU699" s="14"/>
      <x:c r="AV699" s="14" t="str">
        <x:v>No established apparent-disability match</x:v>
      </x:c>
      <x:c r="AW699" s="14"/>
      <x:c r="AX699" s="14" t="str">
        <x:v>No</x:v>
      </x:c>
      <x:c r="AY699" s="14" t="str">
        <x:v>Unmatched</x:v>
      </x:c>
      <x:c r="AZ699" s="14" t="str">
        <x:v>Final supplied register</x:v>
      </x:c>
      <x:c r="BA699" s="14" t="str">
        <x:v>Absence from the register is not evidence that the performer is not disabled.</x:v>
      </x:c>
      <x:c r="BB699" s="14" t="str">
        <x:v>No established-register match</x:v>
      </x:c>
      <x:c r="BC699" s="14"/>
      <x:c r="BD699" s="14"/>
      <x:c r="BE699" s="14"/>
      <x:c r="BF699" s="14" t="str">
        <x:v>No established apparent-disability match</x:v>
      </x:c>
      <x:c r="BG699" s="14"/>
      <x:c r="BH699" s="14" t="str">
        <x:v>No</x:v>
      </x:c>
      <x:c r="BI699" s="14"/>
      <x:c r="BJ699" s="14"/>
      <x:c r="BK699" s="14"/>
      <x:c r="BL699" s="14" t="str">
        <x:v>Unmatched</x:v>
      </x:c>
      <x:c r="BM699" s="14" t="str">
        <x:v>Final supplied register</x:v>
      </x:c>
      <x:c r="BN699" s="14" t="str">
        <x:v>Absence from the register is not evidence that the performer is not disabled.</x:v>
      </x:c>
      <x:c r="BO699" s="14" t="n">
        <x:v>18</x:v>
      </x:c>
      <x:c r="BP699" s="14" t="str">
        <x:v>Maximum eligible IMDb cast-credit total (18), shared by 1 performer(s); not independently verified as a 2021-only episode total.</x:v>
      </x:c>
      <x:c r="BQ699" s="14" t="str">
        <x:v>Low</x:v>
      </x:c>
      <x:c r="BR699" s="15" t="n">
        <x:v>2</x:v>
      </x:c>
      <x:c r="BS699" s="16" t="n">
        <x:v>0.1111111111111111</x:v>
      </x:c>
      <x:c r="BT699" s="14" t="str">
        <x:v>Minority of episodes</x:v>
      </x:c>
      <x:c r="BU699" s="14" t="str">
        <x:v>Low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tt13430420|nm1022566|hilary roberts</x:v>
      </x:c>
      <x:c r="B700" s="14" t="str">
        <x:v>01</x:v>
      </x:c>
      <x:c r="C700" s="14" t="str">
        <x:v>2021_IMDb_Cast_Lists_Batch_01(1).xlsx</x:v>
      </x:c>
      <x:c r="D700" s="14" t="str">
        <x:v>Dalgliesh</x:v>
      </x:c>
      <x:c r="E700" s="14" t="n">
        <x:v>23</x:v>
      </x:c>
      <x:c r="F700" s="14" t="str">
        <x:v>Dalgliesh</x:v>
      </x:c>
      <x:c r="G700" s="14" t="str">
        <x:v>tt13430420</x:v>
      </x:c>
      <x:c r="H700" s="14" t="n">
        <x:v>2021</x:v>
      </x:c>
      <x:c r="I700" s="14" t="n">
        <x:v>2023</x:v>
      </x:c>
      <x:c r="J700" s="14" t="str">
        <x:v>Future Carry-Forward Cohort</x:v>
      </x:c>
      <x:c r="K700" s="14" t="n">
        <x:v>2021</x:v>
      </x:c>
      <x:c r="L700" s="14" t="str">
        <x:v>Available from 2021 analysis</x:v>
      </x:c>
      <x:c r="M700" s="15" t="n">
        <x:v>16</x:v>
      </x:c>
      <x:c r="N700" s="14" t="str">
        <x:v>Liz White</x:v>
      </x:c>
      <x:c r="O700" s="14" t="str">
        <x:v>nm1022566</x:v>
      </x:c>
      <x:c r="P700" s="14" t="str">
        <x:v>Hilary Roberts</x:v>
      </x:c>
      <x:c r="Q700" s="15" t="n">
        <x:v>2</x:v>
      </x:c>
      <x:c r="R700" s="14" t="str">
        <x:v>2024</x:v>
      </x:c>
      <x:c r="S700" s="14" t="n">
        <x:v>2024</x:v>
      </x:c>
      <x:c r="T700" s="14" t="n">
        <x:v>2024</x:v>
      </x:c>
      <x:c r="U700" s="14" t="str">
        <x:v>Post-2021 casting excluded</x:v>
      </x:c>
      <x:c r="V700" s="14" t="str">
        <x:v>Earliest supplied year is 2024, later than the 2021 study year.</x:v>
      </x:c>
      <x:c r="W700" s="14"/>
      <x:c r="X700" s="14" t="str">
        <x:v>Carried forward to 2024</x:v>
      </x:c>
      <x:c r="Y700" s="14"/>
      <x:c r="Z700" s="14" t="str">
        <x:v>Dalgliesh.docx</x:v>
      </x:c>
      <x:c r="AA70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Channel 5 / 5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7" t="e">
        <x:f>HYPERLINK("https://en.wikipedia.org/wiki/Dalglish","Open source")</x:f>
        <x:v>HYPERLINK is not implemented. linkLocation=https://en.wikipedia.org/wiki/Dalglish, friendlyName=Open source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 t="str">
        <x:v>No established-register match</x:v>
      </x:c>
      <x:c r="AT700" s="14"/>
      <x:c r="AU700" s="14"/>
      <x:c r="AV700" s="14" t="str">
        <x:v>No established apparent-disability match</x:v>
      </x:c>
      <x:c r="AW700" s="14"/>
      <x:c r="AX700" s="14" t="str">
        <x:v>No</x:v>
      </x:c>
      <x:c r="AY700" s="14" t="str">
        <x:v>Unmatched</x:v>
      </x:c>
      <x:c r="AZ700" s="14" t="str">
        <x:v>Final supplied register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18</x:v>
      </x:c>
      <x:c r="BP700" s="14" t="str">
        <x:v>Maximum eligible IMDb cast-credit total (18), shared by 1 performer(s); not independently verified as a 2021-only episode total.</x:v>
      </x:c>
      <x:c r="BQ700" s="14" t="str">
        <x:v>Low</x:v>
      </x:c>
      <x:c r="BR700" s="15" t="n">
        <x:v>2</x:v>
      </x:c>
      <x:c r="BS700" s="16" t="n">
        <x:v>0.1111111111111111</x:v>
      </x:c>
      <x:c r="BT700" s="14" t="str">
        <x:v>Minority of episodes</x:v>
      </x:c>
      <x:c r="BU700" s="14" t="str">
        <x:v>Low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tt13430420|nm0629498|agatha betteron</x:v>
      </x:c>
      <x:c r="B701" s="14" t="str">
        <x:v>01</x:v>
      </x:c>
      <x:c r="C701" s="14" t="str">
        <x:v>2021_IMDb_Cast_Lists_Batch_01(1).xlsx</x:v>
      </x:c>
      <x:c r="D701" s="14" t="str">
        <x:v>Dalgliesh</x:v>
      </x:c>
      <x:c r="E701" s="14" t="n">
        <x:v>24</x:v>
      </x:c>
      <x:c r="F701" s="14" t="str">
        <x:v>Dalgliesh</x:v>
      </x:c>
      <x:c r="G701" s="14" t="str">
        <x:v>tt13430420</x:v>
      </x:c>
      <x:c r="H701" s="14" t="n">
        <x:v>2021</x:v>
      </x:c>
      <x:c r="I701" s="14" t="n">
        <x:v>2023</x:v>
      </x:c>
      <x:c r="J701" s="14" t="str">
        <x:v>Future Carry-Forward Cohort</x:v>
      </x:c>
      <x:c r="K701" s="14" t="n">
        <x:v>2021</x:v>
      </x:c>
      <x:c r="L701" s="14" t="str">
        <x:v>Available from 2021 analysis</x:v>
      </x:c>
      <x:c r="M701" s="15" t="n">
        <x:v>17</x:v>
      </x:c>
      <x:c r="N701" s="14" t="str">
        <x:v>Phoebe Nicholls</x:v>
      </x:c>
      <x:c r="O701" s="14" t="str">
        <x:v>nm0629498</x:v>
      </x:c>
      <x:c r="P701" s="14" t="str">
        <x:v>Agatha Betteron</x:v>
      </x:c>
      <x:c r="Q701" s="15" t="n">
        <x:v>2</x:v>
      </x:c>
      <x:c r="R701" s="14" t="str">
        <x:v>2024</x:v>
      </x:c>
      <x:c r="S701" s="14" t="n">
        <x:v>2024</x:v>
      </x:c>
      <x:c r="T701" s="14" t="n">
        <x:v>2024</x:v>
      </x:c>
      <x:c r="U701" s="14" t="str">
        <x:v>Post-2021 casting excluded</x:v>
      </x:c>
      <x:c r="V701" s="14" t="str">
        <x:v>Earliest supplied year is 2024, later than the 2021 study year.</x:v>
      </x:c>
      <x:c r="W701" s="14"/>
      <x:c r="X701" s="14" t="str">
        <x:v>Carried forward to 2024</x:v>
      </x:c>
      <x:c r="Y701" s="14"/>
      <x:c r="Z701" s="14" t="str">
        <x:v>Dalgliesh.docx</x:v>
      </x:c>
      <x:c r="AA70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Channel 5 / 5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7" t="e">
        <x:f>HYPERLINK("https://en.wikipedia.org/wiki/Dalglish","Open source")</x:f>
        <x:v>HYPERLINK is not implemented. linkLocation=https://en.wikipedia.org/wiki/Dalglish, friendlyName=Open source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 t="str">
        <x:v>No established-register match</x:v>
      </x:c>
      <x:c r="AT701" s="14"/>
      <x:c r="AU701" s="14"/>
      <x:c r="AV701" s="14" t="str">
        <x:v>No established apparent-disability match</x:v>
      </x:c>
      <x:c r="AW701" s="14"/>
      <x:c r="AX701" s="14" t="str">
        <x:v>No</x:v>
      </x:c>
      <x:c r="AY701" s="14" t="str">
        <x:v>Unmatched</x:v>
      </x:c>
      <x:c r="AZ701" s="14" t="str">
        <x:v>Final supplied register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18</x:v>
      </x:c>
      <x:c r="BP701" s="14" t="str">
        <x:v>Maximum eligible IMDb cast-credit total (18), shared by 1 performer(s); not independently verified as a 2021-only episode total.</x:v>
      </x:c>
      <x:c r="BQ701" s="14" t="str">
        <x:v>Low</x:v>
      </x:c>
      <x:c r="BR701" s="15" t="n">
        <x:v>2</x:v>
      </x:c>
      <x:c r="BS701" s="16" t="n">
        <x:v>0.1111111111111111</x:v>
      </x:c>
      <x:c r="BT701" s="14" t="str">
        <x:v>Minority of episodes</x:v>
      </x:c>
      <x:c r="BU701" s="14" t="str">
        <x:v>Low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tt13430420|nm7276747|krishna mehta</x:v>
      </x:c>
      <x:c r="B702" s="14" t="str">
        <x:v>01</x:v>
      </x:c>
      <x:c r="C702" s="14" t="str">
        <x:v>2021_IMDb_Cast_Lists_Batch_01(1).xlsx</x:v>
      </x:c>
      <x:c r="D702" s="14" t="str">
        <x:v>Dalgliesh</x:v>
      </x:c>
      <x:c r="E702" s="14" t="n">
        <x:v>25</x:v>
      </x:c>
      <x:c r="F702" s="14" t="str">
        <x:v>Dalgliesh</x:v>
      </x:c>
      <x:c r="G702" s="14" t="str">
        <x:v>tt13430420</x:v>
      </x:c>
      <x:c r="H702" s="14" t="n">
        <x:v>2021</x:v>
      </x:c>
      <x:c r="I702" s="14" t="n">
        <x:v>2023</x:v>
      </x:c>
      <x:c r="J702" s="14" t="str">
        <x:v>Future Carry-Forward Cohort</x:v>
      </x:c>
      <x:c r="K702" s="14" t="n">
        <x:v>2021</x:v>
      </x:c>
      <x:c r="L702" s="14" t="str">
        <x:v>Available from 2021 analysis</x:v>
      </x:c>
      <x:c r="M702" s="15" t="n">
        <x:v>18</x:v>
      </x:c>
      <x:c r="N702" s="14" t="str">
        <x:v>Parth Thakerar</x:v>
      </x:c>
      <x:c r="O702" s="14" t="str">
        <x:v>nm7276747</x:v>
      </x:c>
      <x:c r="P702" s="14" t="str">
        <x:v>Krishna Mehta</x:v>
      </x:c>
      <x:c r="Q702" s="15" t="n">
        <x:v>2</x:v>
      </x:c>
      <x:c r="R702" s="14" t="str">
        <x:v>2024</x:v>
      </x:c>
      <x:c r="S702" s="14" t="n">
        <x:v>2024</x:v>
      </x:c>
      <x:c r="T702" s="14" t="n">
        <x:v>2024</x:v>
      </x:c>
      <x:c r="U702" s="14" t="str">
        <x:v>Post-2021 casting excluded</x:v>
      </x:c>
      <x:c r="V702" s="14" t="str">
        <x:v>Earliest supplied year is 2024, later than the 2021 study year.</x:v>
      </x:c>
      <x:c r="W702" s="14"/>
      <x:c r="X702" s="14" t="str">
        <x:v>Carried forward to 2024</x:v>
      </x:c>
      <x:c r="Y702" s="14"/>
      <x:c r="Z702" s="14" t="str">
        <x:v>Dalgliesh.docx</x:v>
      </x:c>
      <x:c r="AA70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Channel 5 / 5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7" t="e">
        <x:f>HYPERLINK("https://en.wikipedia.org/wiki/Dalglish","Open source")</x:f>
        <x:v>HYPERLINK is not implemented. linkLocation=https://en.wikipedia.org/wiki/Dalglish, friendlyName=Open source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 t="str">
        <x:v>No established-register match</x:v>
      </x:c>
      <x:c r="AT702" s="14"/>
      <x:c r="AU702" s="14"/>
      <x:c r="AV702" s="14" t="str">
        <x:v>No established apparent-disability match</x:v>
      </x:c>
      <x:c r="AW702" s="14"/>
      <x:c r="AX702" s="14" t="str">
        <x:v>No</x:v>
      </x:c>
      <x:c r="AY702" s="14" t="str">
        <x:v>Unmatched</x:v>
      </x:c>
      <x:c r="AZ702" s="14" t="str">
        <x:v>Final supplied register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18</x:v>
      </x:c>
      <x:c r="BP702" s="14" t="str">
        <x:v>Maximum eligible IMDb cast-credit total (18), shared by 1 performer(s); not independently verified as a 2021-only episode total.</x:v>
      </x:c>
      <x:c r="BQ702" s="14" t="str">
        <x:v>Low</x:v>
      </x:c>
      <x:c r="BR702" s="15" t="n">
        <x:v>2</x:v>
      </x:c>
      <x:c r="BS702" s="16" t="n">
        <x:v>0.1111111111111111</x:v>
      </x:c>
      <x:c r="BT702" s="14" t="str">
        <x:v>Minority of episodes</x:v>
      </x:c>
      <x:c r="BU702" s="14" t="str">
        <x:v>Low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tt13430420|nm4089168|devi langridge</x:v>
      </x:c>
      <x:c r="B703" s="14" t="str">
        <x:v>01</x:v>
      </x:c>
      <x:c r="C703" s="14" t="str">
        <x:v>2021_IMDb_Cast_Lists_Batch_01(1).xlsx</x:v>
      </x:c>
      <x:c r="D703" s="14" t="str">
        <x:v>Dalgliesh</x:v>
      </x:c>
      <x:c r="E703" s="14" t="n">
        <x:v>31</x:v>
      </x:c>
      <x:c r="F703" s="14" t="str">
        <x:v>Dalgliesh</x:v>
      </x:c>
      <x:c r="G703" s="14" t="str">
        <x:v>tt13430420</x:v>
      </x:c>
      <x:c r="H703" s="14" t="n">
        <x:v>2021</x:v>
      </x:c>
      <x:c r="I703" s="14" t="n">
        <x:v>2023</x:v>
      </x:c>
      <x:c r="J703" s="14" t="str">
        <x:v>Future Carry-Forward Cohort</x:v>
      </x:c>
      <x:c r="K703" s="14" t="n">
        <x:v>2021</x:v>
      </x:c>
      <x:c r="L703" s="14" t="str">
        <x:v>Available from 2021 analysis</x:v>
      </x:c>
      <x:c r="M703" s="15" t="n">
        <x:v>24</x:v>
      </x:c>
      <x:c r="N703" s="14" t="str">
        <x:v>Ellora Torchia</x:v>
      </x:c>
      <x:c r="O703" s="14" t="str">
        <x:v>nm4089168</x:v>
      </x:c>
      <x:c r="P703" s="14" t="str">
        <x:v>Devi Langridge</x:v>
      </x:c>
      <x:c r="Q703" s="15" t="n">
        <x:v>2</x:v>
      </x:c>
      <x:c r="R703" s="14" t="str">
        <x:v>2024</x:v>
      </x:c>
      <x:c r="S703" s="14" t="n">
        <x:v>2024</x:v>
      </x:c>
      <x:c r="T703" s="14" t="n">
        <x:v>2024</x:v>
      </x:c>
      <x:c r="U703" s="14" t="str">
        <x:v>Post-2021 casting excluded</x:v>
      </x:c>
      <x:c r="V703" s="14" t="str">
        <x:v>Earliest supplied year is 2024, later than the 2021 study year.</x:v>
      </x:c>
      <x:c r="W703" s="14"/>
      <x:c r="X703" s="14" t="str">
        <x:v>Carried forward to 2024</x:v>
      </x:c>
      <x:c r="Y703" s="14"/>
      <x:c r="Z703" s="14" t="str">
        <x:v>Dalgliesh.docx</x:v>
      </x:c>
      <x:c r="AA70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Channel 5 / 5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7" t="e">
        <x:f>HYPERLINK("https://en.wikipedia.org/wiki/Dalglish","Open source")</x:f>
        <x:v>HYPERLINK is not implemented. linkLocation=https://en.wikipedia.org/wiki/Dalglish, friendlyName=Open source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 t="str">
        <x:v>No established-register match</x:v>
      </x:c>
      <x:c r="AT703" s="14"/>
      <x:c r="AU703" s="14"/>
      <x:c r="AV703" s="14" t="str">
        <x:v>No established apparent-disability match</x:v>
      </x:c>
      <x:c r="AW703" s="14"/>
      <x:c r="AX703" s="14" t="str">
        <x:v>No</x:v>
      </x:c>
      <x:c r="AY703" s="14" t="str">
        <x:v>Unmatched</x:v>
      </x:c>
      <x:c r="AZ703" s="14" t="str">
        <x:v>Final supplied register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18</x:v>
      </x:c>
      <x:c r="BP703" s="14" t="str">
        <x:v>Maximum eligible IMDb cast-credit total (18), shared by 1 performer(s); not independently verified as a 2021-only episode total.</x:v>
      </x:c>
      <x:c r="BQ703" s="14" t="str">
        <x:v>Low</x:v>
      </x:c>
      <x:c r="BR703" s="15" t="n">
        <x:v>2</x:v>
      </x:c>
      <x:c r="BS703" s="16" t="n">
        <x:v>0.1111111111111111</x:v>
      </x:c>
      <x:c r="BT703" s="14" t="str">
        <x:v>Minority of episodes</x:v>
      </x:c>
      <x:c r="BU703" s="14" t="str">
        <x:v>Low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tt13430420|nm0140943|alice mayer</x:v>
      </x:c>
      <x:c r="B704" s="14" t="str">
        <x:v>01</x:v>
      </x:c>
      <x:c r="C704" s="14" t="str">
        <x:v>2021_IMDb_Cast_Lists_Batch_01(1).xlsx</x:v>
      </x:c>
      <x:c r="D704" s="14" t="str">
        <x:v>Dalgliesh</x:v>
      </x:c>
      <x:c r="E704" s="14" t="n">
        <x:v>32</x:v>
      </x:c>
      <x:c r="F704" s="14" t="str">
        <x:v>Dalgliesh</x:v>
      </x:c>
      <x:c r="G704" s="14" t="str">
        <x:v>tt13430420</x:v>
      </x:c>
      <x:c r="H704" s="14" t="n">
        <x:v>2021</x:v>
      </x:c>
      <x:c r="I704" s="14" t="n">
        <x:v>2023</x:v>
      </x:c>
      <x:c r="J704" s="14" t="str">
        <x:v>Future Carry-Forward Cohort</x:v>
      </x:c>
      <x:c r="K704" s="14" t="n">
        <x:v>2021</x:v>
      </x:c>
      <x:c r="L704" s="14" t="str">
        <x:v>Available from 2021 analysis</x:v>
      </x:c>
      <x:c r="M704" s="15" t="n">
        <x:v>25</x:v>
      </x:c>
      <x:c r="N704" s="14" t="str">
        <x:v>Nancy Carroll</x:v>
      </x:c>
      <x:c r="O704" s="14" t="str">
        <x:v>nm0140943</x:v>
      </x:c>
      <x:c r="P704" s="14" t="str">
        <x:v>Alice Mayer</x:v>
      </x:c>
      <x:c r="Q704" s="15" t="n">
        <x:v>2</x:v>
      </x:c>
      <x:c r="R704" s="14" t="str">
        <x:v>2024</x:v>
      </x:c>
      <x:c r="S704" s="14" t="n">
        <x:v>2024</x:v>
      </x:c>
      <x:c r="T704" s="14" t="n">
        <x:v>2024</x:v>
      </x:c>
      <x:c r="U704" s="14" t="str">
        <x:v>Post-2021 casting excluded</x:v>
      </x:c>
      <x:c r="V704" s="14" t="str">
        <x:v>Earliest supplied year is 2024, later than the 2021 study year.</x:v>
      </x:c>
      <x:c r="W704" s="14"/>
      <x:c r="X704" s="14" t="str">
        <x:v>Carried forward to 2024</x:v>
      </x:c>
      <x:c r="Y704" s="14"/>
      <x:c r="Z704" s="14" t="str">
        <x:v>Dalgliesh.docx</x:v>
      </x:c>
      <x:c r="AA70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Channel 5 / 5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7" t="e">
        <x:f>HYPERLINK("https://en.wikipedia.org/wiki/Dalglish","Open source")</x:f>
        <x:v>HYPERLINK is not implemented. linkLocation=https://en.wikipedia.org/wiki/Dalglish, friendlyName=Open source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 t="str">
        <x:v>No established-register match</x:v>
      </x:c>
      <x:c r="AT704" s="14"/>
      <x:c r="AU704" s="14"/>
      <x:c r="AV704" s="14" t="str">
        <x:v>No established apparent-disability match</x:v>
      </x:c>
      <x:c r="AW704" s="14"/>
      <x:c r="AX704" s="14" t="str">
        <x:v>No</x:v>
      </x:c>
      <x:c r="AY704" s="14" t="str">
        <x:v>Unmatched</x:v>
      </x:c>
      <x:c r="AZ704" s="14" t="str">
        <x:v>Final supplied register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18</x:v>
      </x:c>
      <x:c r="BP704" s="14" t="str">
        <x:v>Maximum eligible IMDb cast-credit total (18), shared by 1 performer(s); not independently verified as a 2021-only episode total.</x:v>
      </x:c>
      <x:c r="BQ704" s="14" t="str">
        <x:v>Low</x:v>
      </x:c>
      <x:c r="BR704" s="15" t="n">
        <x:v>2</x:v>
      </x:c>
      <x:c r="BS704" s="16" t="n">
        <x:v>0.1111111111111111</x:v>
      </x:c>
      <x:c r="BT704" s="14" t="str">
        <x:v>Minority of episodes</x:v>
      </x:c>
      <x:c r="BU704" s="14" t="str">
        <x:v>Low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tt13430420|nm0654197|george gregory</x:v>
      </x:c>
      <x:c r="B705" s="14" t="str">
        <x:v>01</x:v>
      </x:c>
      <x:c r="C705" s="14" t="str">
        <x:v>2021_IMDb_Cast_Lists_Batch_01(1).xlsx</x:v>
      </x:c>
      <x:c r="D705" s="14" t="str">
        <x:v>Dalgliesh</x:v>
      </x:c>
      <x:c r="E705" s="14" t="n">
        <x:v>33</x:v>
      </x:c>
      <x:c r="F705" s="14" t="str">
        <x:v>Dalgliesh</x:v>
      </x:c>
      <x:c r="G705" s="14" t="str">
        <x:v>tt13430420</x:v>
      </x:c>
      <x:c r="H705" s="14" t="n">
        <x:v>2021</x:v>
      </x:c>
      <x:c r="I705" s="14" t="n">
        <x:v>2023</x:v>
      </x:c>
      <x:c r="J705" s="14" t="str">
        <x:v>Future Carry-Forward Cohort</x:v>
      </x:c>
      <x:c r="K705" s="14" t="n">
        <x:v>2021</x:v>
      </x:c>
      <x:c r="L705" s="14" t="str">
        <x:v>Available from 2021 analysis</x:v>
      </x:c>
      <x:c r="M705" s="15" t="n">
        <x:v>26</x:v>
      </x:c>
      <x:c r="N705" s="14" t="str">
        <x:v>Lloyd Owen</x:v>
      </x:c>
      <x:c r="O705" s="14" t="str">
        <x:v>nm0654197</x:v>
      </x:c>
      <x:c r="P705" s="14" t="str">
        <x:v>George Gregory</x:v>
      </x:c>
      <x:c r="Q705" s="15" t="n">
        <x:v>2</x:v>
      </x:c>
      <x:c r="R705" s="14" t="str">
        <x:v>2024</x:v>
      </x:c>
      <x:c r="S705" s="14" t="n">
        <x:v>2024</x:v>
      </x:c>
      <x:c r="T705" s="14" t="n">
        <x:v>2024</x:v>
      </x:c>
      <x:c r="U705" s="14" t="str">
        <x:v>Post-2021 casting excluded</x:v>
      </x:c>
      <x:c r="V705" s="14" t="str">
        <x:v>Earliest supplied year is 2024, later than the 2021 study year.</x:v>
      </x:c>
      <x:c r="W705" s="14"/>
      <x:c r="X705" s="14" t="str">
        <x:v>Carried forward to 2024</x:v>
      </x:c>
      <x:c r="Y705" s="14"/>
      <x:c r="Z705" s="14" t="str">
        <x:v>Dalgliesh.docx</x:v>
      </x:c>
      <x:c r="AA70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Channel 5 / 5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7" t="e">
        <x:f>HYPERLINK("https://en.wikipedia.org/wiki/Dalglish","Open source")</x:f>
        <x:v>HYPERLINK is not implemented. linkLocation=https://en.wikipedia.org/wiki/Dalglish, friendlyName=Open source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 t="str">
        <x:v>No established-register match</x:v>
      </x:c>
      <x:c r="AT705" s="14"/>
      <x:c r="AU705" s="14"/>
      <x:c r="AV705" s="14" t="str">
        <x:v>No established apparent-disability match</x:v>
      </x:c>
      <x:c r="AW705" s="14"/>
      <x:c r="AX705" s="14" t="str">
        <x:v>No</x:v>
      </x:c>
      <x:c r="AY705" s="14" t="str">
        <x:v>Unmatched</x:v>
      </x:c>
      <x:c r="AZ705" s="14" t="str">
        <x:v>Final supplied register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18</x:v>
      </x:c>
      <x:c r="BP705" s="14" t="str">
        <x:v>Maximum eligible IMDb cast-credit total (18), shared by 1 performer(s); not independently verified as a 2021-only episode total.</x:v>
      </x:c>
      <x:c r="BQ705" s="14" t="str">
        <x:v>Low</x:v>
      </x:c>
      <x:c r="BR705" s="15" t="n">
        <x:v>2</x:v>
      </x:c>
      <x:c r="BS705" s="16" t="n">
        <x:v>0.1111111111111111</x:v>
      </x:c>
      <x:c r="BT705" s="14" t="str">
        <x:v>Minority of episodes</x:v>
      </x:c>
      <x:c r="BU705" s="14" t="str">
        <x:v>Low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tt13430420|nm0416253|dr. alex mayer</x:v>
      </x:c>
      <x:c r="B706" s="14" t="str">
        <x:v>01</x:v>
      </x:c>
      <x:c r="C706" s="14" t="str">
        <x:v>2021_IMDb_Cast_Lists_Batch_01(1).xlsx</x:v>
      </x:c>
      <x:c r="D706" s="14" t="str">
        <x:v>Dalgliesh</x:v>
      </x:c>
      <x:c r="E706" s="14" t="n">
        <x:v>41</x:v>
      </x:c>
      <x:c r="F706" s="14" t="str">
        <x:v>Dalgliesh</x:v>
      </x:c>
      <x:c r="G706" s="14" t="str">
        <x:v>tt13430420</x:v>
      </x:c>
      <x:c r="H706" s="14" t="n">
        <x:v>2021</x:v>
      </x:c>
      <x:c r="I706" s="14" t="n">
        <x:v>2023</x:v>
      </x:c>
      <x:c r="J706" s="14" t="str">
        <x:v>Future Carry-Forward Cohort</x:v>
      </x:c>
      <x:c r="K706" s="14" t="n">
        <x:v>2021</x:v>
      </x:c>
      <x:c r="L706" s="14" t="str">
        <x:v>Available from 2021 analysis</x:v>
      </x:c>
      <x:c r="M706" s="15" t="n">
        <x:v>34</x:v>
      </x:c>
      <x:c r="N706" s="14" t="str">
        <x:v>Adam James</x:v>
      </x:c>
      <x:c r="O706" s="14" t="str">
        <x:v>nm0416253</x:v>
      </x:c>
      <x:c r="P706" s="14" t="str">
        <x:v>Dr. Alex Mayer</x:v>
      </x:c>
      <x:c r="Q706" s="15" t="n">
        <x:v>2</x:v>
      </x:c>
      <x:c r="R706" s="14" t="str">
        <x:v>2024</x:v>
      </x:c>
      <x:c r="S706" s="14" t="n">
        <x:v>2024</x:v>
      </x:c>
      <x:c r="T706" s="14" t="n">
        <x:v>2024</x:v>
      </x:c>
      <x:c r="U706" s="14" t="str">
        <x:v>Post-2021 casting excluded</x:v>
      </x:c>
      <x:c r="V706" s="14" t="str">
        <x:v>Earliest supplied year is 2024, later than the 2021 study year.</x:v>
      </x:c>
      <x:c r="W706" s="14"/>
      <x:c r="X706" s="14" t="str">
        <x:v>Carried forward to 2024</x:v>
      </x:c>
      <x:c r="Y706" s="14"/>
      <x:c r="Z706" s="14" t="str">
        <x:v>Dalgliesh.docx</x:v>
      </x:c>
      <x:c r="AA70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Channel 5 / 5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7" t="e">
        <x:f>HYPERLINK("https://en.wikipedia.org/wiki/Dalglish","Open source")</x:f>
        <x:v>HYPERLINK is not implemented. linkLocation=https://en.wikipedia.org/wiki/Dalglish, friendlyName=Open source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 t="str">
        <x:v>No established-register match</x:v>
      </x:c>
      <x:c r="AT706" s="14"/>
      <x:c r="AU706" s="14"/>
      <x:c r="AV706" s="14" t="str">
        <x:v>No established apparent-disability match</x:v>
      </x:c>
      <x:c r="AW706" s="14"/>
      <x:c r="AX706" s="14" t="str">
        <x:v>No</x:v>
      </x:c>
      <x:c r="AY706" s="14" t="str">
        <x:v>Unmatched</x:v>
      </x:c>
      <x:c r="AZ706" s="14" t="str">
        <x:v>Final supplied register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18</x:v>
      </x:c>
      <x:c r="BP706" s="14" t="str">
        <x:v>Maximum eligible IMDb cast-credit total (18), shared by 1 performer(s); not independently verified as a 2021-only episode total.</x:v>
      </x:c>
      <x:c r="BQ706" s="14" t="str">
        <x:v>Low</x:v>
      </x:c>
      <x:c r="BR706" s="15" t="n">
        <x:v>2</x:v>
      </x:c>
      <x:c r="BS706" s="16" t="n">
        <x:v>0.1111111111111111</x:v>
      </x:c>
      <x:c r="BT706" s="14" t="str">
        <x:v>Minority of episodes</x:v>
      </x:c>
      <x:c r="BU706" s="14" t="str">
        <x:v>Low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tt13430420|nm0907905|martha tate</x:v>
      </x:c>
      <x:c r="B707" s="14" t="str">
        <x:v>01</x:v>
      </x:c>
      <x:c r="C707" s="14" t="str">
        <x:v>2021_IMDb_Cast_Lists_Batch_01(1).xlsx</x:v>
      </x:c>
      <x:c r="D707" s="14" t="str">
        <x:v>Dalgliesh</x:v>
      </x:c>
      <x:c r="E707" s="14" t="n">
        <x:v>42</x:v>
      </x:c>
      <x:c r="F707" s="14" t="str">
        <x:v>Dalgliesh</x:v>
      </x:c>
      <x:c r="G707" s="14" t="str">
        <x:v>tt13430420</x:v>
      </x:c>
      <x:c r="H707" s="14" t="n">
        <x:v>2021</x:v>
      </x:c>
      <x:c r="I707" s="14" t="n">
        <x:v>2023</x:v>
      </x:c>
      <x:c r="J707" s="14" t="str">
        <x:v>Future Carry-Forward Cohort</x:v>
      </x:c>
      <x:c r="K707" s="14" t="n">
        <x:v>2021</x:v>
      </x:c>
      <x:c r="L707" s="14" t="str">
        <x:v>Available from 2021 analysis</x:v>
      </x:c>
      <x:c r="M707" s="15" t="n">
        <x:v>35</x:v>
      </x:c>
      <x:c r="N707" s="14" t="str">
        <x:v>Josie Walker</x:v>
      </x:c>
      <x:c r="O707" s="14" t="str">
        <x:v>nm0907905</x:v>
      </x:c>
      <x:c r="P707" s="14" t="str">
        <x:v>Martha Tate</x:v>
      </x:c>
      <x:c r="Q707" s="15" t="n">
        <x:v>2</x:v>
      </x:c>
      <x:c r="R707" s="14" t="str">
        <x:v>2024</x:v>
      </x:c>
      <x:c r="S707" s="14" t="n">
        <x:v>2024</x:v>
      </x:c>
      <x:c r="T707" s="14" t="n">
        <x:v>2024</x:v>
      </x:c>
      <x:c r="U707" s="14" t="str">
        <x:v>Post-2021 casting excluded</x:v>
      </x:c>
      <x:c r="V707" s="14" t="str">
        <x:v>Earliest supplied year is 2024, later than the 2021 study year.</x:v>
      </x:c>
      <x:c r="W707" s="14"/>
      <x:c r="X707" s="14" t="str">
        <x:v>Carried forward to 2024</x:v>
      </x:c>
      <x:c r="Y707" s="14"/>
      <x:c r="Z707" s="14" t="str">
        <x:v>Dalgliesh.docx</x:v>
      </x:c>
      <x:c r="AA70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Channel 5 / 5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7" t="e">
        <x:f>HYPERLINK("https://en.wikipedia.org/wiki/Dalglish","Open source")</x:f>
        <x:v>HYPERLINK is not implemented. linkLocation=https://en.wikipedia.org/wiki/Dalglish, friendlyName=Open source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 t="str">
        <x:v>No established-register match</x:v>
      </x:c>
      <x:c r="AT707" s="14"/>
      <x:c r="AU707" s="14"/>
      <x:c r="AV707" s="14" t="str">
        <x:v>No established apparent-disability match</x:v>
      </x:c>
      <x:c r="AW707" s="14"/>
      <x:c r="AX707" s="14" t="str">
        <x:v>No</x:v>
      </x:c>
      <x:c r="AY707" s="14" t="str">
        <x:v>Unmatched</x:v>
      </x:c>
      <x:c r="AZ707" s="14" t="str">
        <x:v>Final supplied register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18</x:v>
      </x:c>
      <x:c r="BP707" s="14" t="str">
        <x:v>Maximum eligible IMDb cast-credit total (18), shared by 1 performer(s); not independently verified as a 2021-only episode total.</x:v>
      </x:c>
      <x:c r="BQ707" s="14" t="str">
        <x:v>Low</x:v>
      </x:c>
      <x:c r="BR707" s="15" t="n">
        <x:v>2</x:v>
      </x:c>
      <x:c r="BS707" s="16" t="n">
        <x:v>0.1111111111111111</x:v>
      </x:c>
      <x:c r="BT707" s="14" t="str">
        <x:v>Minority of episodes</x:v>
      </x:c>
      <x:c r="BU707" s="14" t="str">
        <x:v>Low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tt13430420|nm0369854|archdeacon matthew crampton</x:v>
      </x:c>
      <x:c r="B708" s="14" t="str">
        <x:v>01</x:v>
      </x:c>
      <x:c r="C708" s="14" t="str">
        <x:v>2021_IMDb_Cast_Lists_Batch_01(1).xlsx</x:v>
      </x:c>
      <x:c r="D708" s="14" t="str">
        <x:v>Dalgliesh</x:v>
      </x:c>
      <x:c r="E708" s="14" t="n">
        <x:v>47</x:v>
      </x:c>
      <x:c r="F708" s="14" t="str">
        <x:v>Dalgliesh</x:v>
      </x:c>
      <x:c r="G708" s="14" t="str">
        <x:v>tt13430420</x:v>
      </x:c>
      <x:c r="H708" s="14" t="n">
        <x:v>2021</x:v>
      </x:c>
      <x:c r="I708" s="14" t="n">
        <x:v>2023</x:v>
      </x:c>
      <x:c r="J708" s="14" t="str">
        <x:v>Future Carry-Forward Cohort</x:v>
      </x:c>
      <x:c r="K708" s="14" t="n">
        <x:v>2021</x:v>
      </x:c>
      <x:c r="L708" s="14" t="str">
        <x:v>Available from 2021 analysis</x:v>
      </x:c>
      <x:c r="M708" s="15" t="n">
        <x:v>40</x:v>
      </x:c>
      <x:c r="N708" s="14" t="str">
        <x:v>Andrew Havill</x:v>
      </x:c>
      <x:c r="O708" s="14" t="str">
        <x:v>nm0369854</x:v>
      </x:c>
      <x:c r="P708" s="14" t="str">
        <x:v>Archdeacon Matthew Crampton</x:v>
      </x:c>
      <x:c r="Q708" s="15" t="n">
        <x:v>2</x:v>
      </x:c>
      <x:c r="R708" s="14" t="str">
        <x:v>2024</x:v>
      </x:c>
      <x:c r="S708" s="14" t="n">
        <x:v>2024</x:v>
      </x:c>
      <x:c r="T708" s="14" t="n">
        <x:v>2024</x:v>
      </x:c>
      <x:c r="U708" s="14" t="str">
        <x:v>Post-2021 casting excluded</x:v>
      </x:c>
      <x:c r="V708" s="14" t="str">
        <x:v>Earliest supplied year is 2024, later than the 2021 study year.</x:v>
      </x:c>
      <x:c r="W708" s="14"/>
      <x:c r="X708" s="14" t="str">
        <x:v>Carried forward to 2024</x:v>
      </x:c>
      <x:c r="Y708" s="14"/>
      <x:c r="Z708" s="14" t="str">
        <x:v>Dalgliesh.docx</x:v>
      </x:c>
      <x:c r="AA70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Channel 5 / 5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7" t="e">
        <x:f>HYPERLINK("https://en.wikipedia.org/wiki/Dalglish","Open source")</x:f>
        <x:v>HYPERLINK is not implemented. linkLocation=https://en.wikipedia.org/wiki/Dalglish, friendlyName=Open source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 t="str">
        <x:v>No established-register match</x:v>
      </x:c>
      <x:c r="AT708" s="14"/>
      <x:c r="AU708" s="14"/>
      <x:c r="AV708" s="14" t="str">
        <x:v>No established apparent-disability match</x:v>
      </x:c>
      <x:c r="AW708" s="14"/>
      <x:c r="AX708" s="14" t="str">
        <x:v>No</x:v>
      </x:c>
      <x:c r="AY708" s="14" t="str">
        <x:v>Unmatched</x:v>
      </x:c>
      <x:c r="AZ708" s="14" t="str">
        <x:v>Final supplied register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18</x:v>
      </x:c>
      <x:c r="BP708" s="14" t="str">
        <x:v>Maximum eligible IMDb cast-credit total (18), shared by 1 performer(s); not independently verified as a 2021-only episode total.</x:v>
      </x:c>
      <x:c r="BQ708" s="14" t="str">
        <x:v>Low</x:v>
      </x:c>
      <x:c r="BR708" s="15" t="n">
        <x:v>2</x:v>
      </x:c>
      <x:c r="BS708" s="16" t="n">
        <x:v>0.1111111111111111</x:v>
      </x:c>
      <x:c r="BT708" s="14" t="str">
        <x:v>Minority of episodes</x:v>
      </x:c>
      <x:c r="BU708" s="14" t="str">
        <x:v>Low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tt13430420|nm0713618|anita mehta</x:v>
      </x:c>
      <x:c r="B709" s="14" t="str">
        <x:v>01</x:v>
      </x:c>
      <x:c r="C709" s="14" t="str">
        <x:v>2021_IMDb_Cast_Lists_Batch_01(1).xlsx</x:v>
      </x:c>
      <x:c r="D709" s="14" t="str">
        <x:v>Dalgliesh</x:v>
      </x:c>
      <x:c r="E709" s="14" t="n">
        <x:v>48</x:v>
      </x:c>
      <x:c r="F709" s="14" t="str">
        <x:v>Dalgliesh</x:v>
      </x:c>
      <x:c r="G709" s="14" t="str">
        <x:v>tt13430420</x:v>
      </x:c>
      <x:c r="H709" s="14" t="n">
        <x:v>2021</x:v>
      </x:c>
      <x:c r="I709" s="14" t="n">
        <x:v>2023</x:v>
      </x:c>
      <x:c r="J709" s="14" t="str">
        <x:v>Future Carry-Forward Cohort</x:v>
      </x:c>
      <x:c r="K709" s="14" t="n">
        <x:v>2021</x:v>
      </x:c>
      <x:c r="L709" s="14" t="str">
        <x:v>Available from 2021 analysis</x:v>
      </x:c>
      <x:c r="M709" s="15" t="n">
        <x:v>41</x:v>
      </x:c>
      <x:c r="N709" s="14" t="str">
        <x:v>Soni Razdan</x:v>
      </x:c>
      <x:c r="O709" s="14" t="str">
        <x:v>nm0713618</x:v>
      </x:c>
      <x:c r="P709" s="14" t="str">
        <x:v>Anita Mehta</x:v>
      </x:c>
      <x:c r="Q709" s="15" t="n">
        <x:v>2</x:v>
      </x:c>
      <x:c r="R709" s="14" t="str">
        <x:v>2024</x:v>
      </x:c>
      <x:c r="S709" s="14" t="n">
        <x:v>2024</x:v>
      </x:c>
      <x:c r="T709" s="14" t="n">
        <x:v>2024</x:v>
      </x:c>
      <x:c r="U709" s="14" t="str">
        <x:v>Post-2021 casting excluded</x:v>
      </x:c>
      <x:c r="V709" s="14" t="str">
        <x:v>Earliest supplied year is 2024, later than the 2021 study year.</x:v>
      </x:c>
      <x:c r="W709" s="14"/>
      <x:c r="X709" s="14" t="str">
        <x:v>Carried forward to 2024</x:v>
      </x:c>
      <x:c r="Y709" s="14"/>
      <x:c r="Z709" s="14" t="str">
        <x:v>Dalgliesh.docx</x:v>
      </x:c>
      <x:c r="AA70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Channel 5 / 5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7" t="e">
        <x:f>HYPERLINK("https://en.wikipedia.org/wiki/Dalglish","Open source")</x:f>
        <x:v>HYPERLINK is not implemented. linkLocation=https://en.wikipedia.org/wiki/Dalglish, friendlyName=Open source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 t="str">
        <x:v>No established-register match</x:v>
      </x:c>
      <x:c r="AT709" s="14"/>
      <x:c r="AU709" s="14"/>
      <x:c r="AV709" s="14" t="str">
        <x:v>No established apparent-disability match</x:v>
      </x:c>
      <x:c r="AW709" s="14"/>
      <x:c r="AX709" s="14" t="str">
        <x:v>No</x:v>
      </x:c>
      <x:c r="AY709" s="14" t="str">
        <x:v>Unmatched</x:v>
      </x:c>
      <x:c r="AZ709" s="14" t="str">
        <x:v>Final supplied register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18</x:v>
      </x:c>
      <x:c r="BP709" s="14" t="str">
        <x:v>Maximum eligible IMDb cast-credit total (18), shared by 1 performer(s); not independently verified as a 2021-only episode total.</x:v>
      </x:c>
      <x:c r="BQ709" s="14" t="str">
        <x:v>Low</x:v>
      </x:c>
      <x:c r="BR709" s="15" t="n">
        <x:v>2</x:v>
      </x:c>
      <x:c r="BS709" s="16" t="n">
        <x:v>0.1111111111111111</x:v>
      </x:c>
      <x:c r="BT709" s="14" t="str">
        <x:v>Minority of episodes</x:v>
      </x:c>
      <x:c r="BU709" s="14" t="str">
        <x:v>Low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tt13430420|nm0513201|father sebastian</x:v>
      </x:c>
      <x:c r="B710" s="14" t="str">
        <x:v>01</x:v>
      </x:c>
      <x:c r="C710" s="14" t="str">
        <x:v>2021_IMDb_Cast_Lists_Batch_01(1).xlsx</x:v>
      </x:c>
      <x:c r="D710" s="14" t="str">
        <x:v>Dalgliesh</x:v>
      </x:c>
      <x:c r="E710" s="14" t="n">
        <x:v>55</x:v>
      </x:c>
      <x:c r="F710" s="14" t="str">
        <x:v>Dalgliesh</x:v>
      </x:c>
      <x:c r="G710" s="14" t="str">
        <x:v>tt13430420</x:v>
      </x:c>
      <x:c r="H710" s="14" t="n">
        <x:v>2021</x:v>
      </x:c>
      <x:c r="I710" s="14" t="n">
        <x:v>2023</x:v>
      </x:c>
      <x:c r="J710" s="14" t="str">
        <x:v>Future Carry-Forward Cohort</x:v>
      </x:c>
      <x:c r="K710" s="14" t="n">
        <x:v>2021</x:v>
      </x:c>
      <x:c r="L710" s="14" t="str">
        <x:v>Available from 2021 analysis</x:v>
      </x:c>
      <x:c r="M710" s="15" t="n">
        <x:v>48</x:v>
      </x:c>
      <x:c r="N710" s="14" t="str">
        <x:v>Richard Lintern</x:v>
      </x:c>
      <x:c r="O710" s="14" t="str">
        <x:v>nm0513201</x:v>
      </x:c>
      <x:c r="P710" s="14" t="str">
        <x:v>Father Sebastian</x:v>
      </x:c>
      <x:c r="Q710" s="15" t="n">
        <x:v>2</x:v>
      </x:c>
      <x:c r="R710" s="14" t="str">
        <x:v>2024</x:v>
      </x:c>
      <x:c r="S710" s="14" t="n">
        <x:v>2024</x:v>
      </x:c>
      <x:c r="T710" s="14" t="n">
        <x:v>2024</x:v>
      </x:c>
      <x:c r="U710" s="14" t="str">
        <x:v>Post-2021 casting excluded</x:v>
      </x:c>
      <x:c r="V710" s="14" t="str">
        <x:v>Earliest supplied year is 2024, later than the 2021 study year.</x:v>
      </x:c>
      <x:c r="W710" s="14"/>
      <x:c r="X710" s="14" t="str">
        <x:v>Carried forward to 2024</x:v>
      </x:c>
      <x:c r="Y710" s="14"/>
      <x:c r="Z710" s="14" t="str">
        <x:v>Dalgliesh.docx</x:v>
      </x:c>
      <x:c r="AA71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Channel 5 / 5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7" t="e">
        <x:f>HYPERLINK("https://en.wikipedia.org/wiki/Dalglish","Open source")</x:f>
        <x:v>HYPERLINK is not implemented. linkLocation=https://en.wikipedia.org/wiki/Dalglish, friendlyName=Open source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 t="str">
        <x:v>No established-register match</x:v>
      </x:c>
      <x:c r="AT710" s="14"/>
      <x:c r="AU710" s="14"/>
      <x:c r="AV710" s="14" t="str">
        <x:v>No established apparent-disability match</x:v>
      </x:c>
      <x:c r="AW710" s="14"/>
      <x:c r="AX710" s="14" t="str">
        <x:v>No</x:v>
      </x:c>
      <x:c r="AY710" s="14" t="str">
        <x:v>Unmatched</x:v>
      </x:c>
      <x:c r="AZ710" s="14" t="str">
        <x:v>Final supplied register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18</x:v>
      </x:c>
      <x:c r="BP710" s="14" t="str">
        <x:v>Maximum eligible IMDb cast-credit total (18), shared by 1 performer(s); not independently verified as a 2021-only episode total.</x:v>
      </x:c>
      <x:c r="BQ710" s="14" t="str">
        <x:v>Low</x:v>
      </x:c>
      <x:c r="BR710" s="15" t="n">
        <x:v>2</x:v>
      </x:c>
      <x:c r="BS710" s="16" t="n">
        <x:v>0.1111111111111111</x:v>
      </x:c>
      <x:c r="BT710" s="14" t="str">
        <x:v>Minority of episodes</x:v>
      </x:c>
      <x:c r="BU710" s="14" t="str">
        <x:v>Low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tt13430420|nm8127348|lady catherine bowers</x:v>
      </x:c>
      <x:c r="B711" s="14" t="str">
        <x:v>01</x:v>
      </x:c>
      <x:c r="C711" s="14" t="str">
        <x:v>2021_IMDb_Cast_Lists_Batch_01(1).xlsx</x:v>
      </x:c>
      <x:c r="D711" s="14" t="str">
        <x:v>Dalgliesh</x:v>
      </x:c>
      <x:c r="E711" s="14" t="n">
        <x:v>59</x:v>
      </x:c>
      <x:c r="F711" s="14" t="str">
        <x:v>Dalgliesh</x:v>
      </x:c>
      <x:c r="G711" s="14" t="str">
        <x:v>tt13430420</x:v>
      </x:c>
      <x:c r="H711" s="14" t="n">
        <x:v>2021</x:v>
      </x:c>
      <x:c r="I711" s="14" t="n">
        <x:v>2023</x:v>
      </x:c>
      <x:c r="J711" s="14" t="str">
        <x:v>Future Carry-Forward Cohort</x:v>
      </x:c>
      <x:c r="K711" s="14" t="n">
        <x:v>2021</x:v>
      </x:c>
      <x:c r="L711" s="14" t="str">
        <x:v>Available from 2021 analysis</x:v>
      </x:c>
      <x:c r="M711" s="15" t="n">
        <x:v>52</x:v>
      </x:c>
      <x:c r="N711" s="14" t="str">
        <x:v>Allegra Marland</x:v>
      </x:c>
      <x:c r="O711" s="14" t="str">
        <x:v>nm8127348</x:v>
      </x:c>
      <x:c r="P711" s="14" t="str">
        <x:v>Lady Catherine Bowers</x:v>
      </x:c>
      <x:c r="Q711" s="15" t="n">
        <x:v>2</x:v>
      </x:c>
      <x:c r="R711" s="14" t="str">
        <x:v>2024</x:v>
      </x:c>
      <x:c r="S711" s="14" t="n">
        <x:v>2024</x:v>
      </x:c>
      <x:c r="T711" s="14" t="n">
        <x:v>2024</x:v>
      </x:c>
      <x:c r="U711" s="14" t="str">
        <x:v>Post-2021 casting excluded</x:v>
      </x:c>
      <x:c r="V711" s="14" t="str">
        <x:v>Earliest supplied year is 2024, later than the 2021 study year.</x:v>
      </x:c>
      <x:c r="W711" s="14"/>
      <x:c r="X711" s="14" t="str">
        <x:v>Carried forward to 2024</x:v>
      </x:c>
      <x:c r="Y711" s="14"/>
      <x:c r="Z711" s="14" t="str">
        <x:v>Dalgliesh.docx</x:v>
      </x:c>
      <x:c r="AA71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1" s="14" t="str">
        <x:v>No established-register match</x:v>
      </x:c>
      <x:c r="AC711" s="14"/>
      <x:c r="AD711" s="14"/>
      <x:c r="AE711" s="14"/>
      <x:c r="AF711" s="14"/>
      <x:c r="AG711" s="14" t="str">
        <x:v>No qualifying conclusion recorded. Absence from the register is not evidence that the performer is not disabled.</x:v>
      </x:c>
      <x:c r="AH711" s="14" t="str">
        <x:v>Channel 5 / 5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7" t="e">
        <x:f>HYPERLINK("https://en.wikipedia.org/wiki/Dalglish","Open source")</x:f>
        <x:v>HYPERLINK is not implemented. linkLocation=https://en.wikipedia.org/wiki/Dalglish, friendlyName=Open source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No established-register match</x:v>
      </x:c>
      <x:c r="AT711" s="14"/>
      <x:c r="AU711" s="14"/>
      <x:c r="AV711" s="14" t="str">
        <x:v>No established apparent-disability match</x:v>
      </x:c>
      <x:c r="AW711" s="14"/>
      <x:c r="AX711" s="14" t="str">
        <x:v>No</x:v>
      </x:c>
      <x:c r="AY711" s="14" t="str">
        <x:v>Unmatched</x:v>
      </x:c>
      <x:c r="AZ711" s="14" t="str">
        <x:v>Final supplied register</x:v>
      </x:c>
      <x:c r="BA711" s="14" t="str">
        <x:v>Absence from the register is not evidence that the performer is not disabled.</x:v>
      </x:c>
      <x:c r="BB711" s="14" t="str">
        <x:v>No established-register match</x:v>
      </x:c>
      <x:c r="BC711" s="14"/>
      <x:c r="BD711" s="14"/>
      <x:c r="BE711" s="14"/>
      <x:c r="BF711" s="14" t="str">
        <x:v>No established apparent-disability match</x:v>
      </x:c>
      <x:c r="BG711" s="14"/>
      <x:c r="BH711" s="14" t="str">
        <x:v>No</x:v>
      </x:c>
      <x:c r="BI711" s="14"/>
      <x:c r="BJ711" s="14"/>
      <x:c r="BK711" s="14"/>
      <x:c r="BL711" s="14" t="str">
        <x:v>Unmatched</x:v>
      </x:c>
      <x:c r="BM711" s="14" t="str">
        <x:v>Final supplied register</x:v>
      </x:c>
      <x:c r="BN711" s="14" t="str">
        <x:v>Absence from the register is not evidence that the performer is not disabled.</x:v>
      </x:c>
      <x:c r="BO711" s="14" t="n">
        <x:v>18</x:v>
      </x:c>
      <x:c r="BP711" s="14" t="str">
        <x:v>Maximum eligible IMDb cast-credit total (18), shared by 1 performer(s); not independently verified as a 2021-only episode total.</x:v>
      </x:c>
      <x:c r="BQ711" s="14" t="str">
        <x:v>Low</x:v>
      </x:c>
      <x:c r="BR711" s="15" t="n">
        <x:v>2</x:v>
      </x:c>
      <x:c r="BS711" s="16" t="n">
        <x:v>0.1111111111111111</x:v>
      </x:c>
      <x:c r="BT711" s="14" t="str">
        <x:v>Minority of episodes</x:v>
      </x:c>
      <x:c r="BU711" s="14" t="str">
        <x:v>Low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tt13430420|nm5214595|felix hearne</x:v>
      </x:c>
      <x:c r="B712" s="14" t="str">
        <x:v>01</x:v>
      </x:c>
      <x:c r="C712" s="14" t="str">
        <x:v>2021_IMDb_Cast_Lists_Batch_01(1).xlsx</x:v>
      </x:c>
      <x:c r="D712" s="14" t="str">
        <x:v>Dalgliesh</x:v>
      </x:c>
      <x:c r="E712" s="14" t="n">
        <x:v>60</x:v>
      </x:c>
      <x:c r="F712" s="14" t="str">
        <x:v>Dalgliesh</x:v>
      </x:c>
      <x:c r="G712" s="14" t="str">
        <x:v>tt13430420</x:v>
      </x:c>
      <x:c r="H712" s="14" t="n">
        <x:v>2021</x:v>
      </x:c>
      <x:c r="I712" s="14" t="n">
        <x:v>2023</x:v>
      </x:c>
      <x:c r="J712" s="14" t="str">
        <x:v>Future Carry-Forward Cohort</x:v>
      </x:c>
      <x:c r="K712" s="14" t="n">
        <x:v>2021</x:v>
      </x:c>
      <x:c r="L712" s="14" t="str">
        <x:v>Available from 2021 analysis</x:v>
      </x:c>
      <x:c r="M712" s="15" t="n">
        <x:v>53</x:v>
      </x:c>
      <x:c r="N712" s="14" t="str">
        <x:v>Jack Myers</x:v>
      </x:c>
      <x:c r="O712" s="14" t="str">
        <x:v>nm5214595</x:v>
      </x:c>
      <x:c r="P712" s="14" t="str">
        <x:v>Felix Hearne</x:v>
      </x:c>
      <x:c r="Q712" s="15" t="n">
        <x:v>2</x:v>
      </x:c>
      <x:c r="R712" s="14" t="str">
        <x:v>2024</x:v>
      </x:c>
      <x:c r="S712" s="14" t="n">
        <x:v>2024</x:v>
      </x:c>
      <x:c r="T712" s="14" t="n">
        <x:v>2024</x:v>
      </x:c>
      <x:c r="U712" s="14" t="str">
        <x:v>Post-2021 casting excluded</x:v>
      </x:c>
      <x:c r="V712" s="14" t="str">
        <x:v>Earliest supplied year is 2024, later than the 2021 study year.</x:v>
      </x:c>
      <x:c r="W712" s="14"/>
      <x:c r="X712" s="14" t="str">
        <x:v>Carried forward to 2024</x:v>
      </x:c>
      <x:c r="Y712" s="14"/>
      <x:c r="Z712" s="14" t="str">
        <x:v>Dalgliesh.docx</x:v>
      </x:c>
      <x:c r="AA71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Channel 5 / 5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7" t="e">
        <x:f>HYPERLINK("https://en.wikipedia.org/wiki/Dalglish","Open source")</x:f>
        <x:v>HYPERLINK is not implemented. linkLocation=https://en.wikipedia.org/wiki/Dalglish, friendlyName=Open source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 t="str">
        <x:v>No established-register match</x:v>
      </x:c>
      <x:c r="AT712" s="14"/>
      <x:c r="AU712" s="14"/>
      <x:c r="AV712" s="14" t="str">
        <x:v>No established apparent-disability match</x:v>
      </x:c>
      <x:c r="AW712" s="14"/>
      <x:c r="AX712" s="14" t="str">
        <x:v>No</x:v>
      </x:c>
      <x:c r="AY712" s="14" t="str">
        <x:v>Unmatched</x:v>
      </x:c>
      <x:c r="AZ712" s="14" t="str">
        <x:v>Final supplied register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18</x:v>
      </x:c>
      <x:c r="BP712" s="14" t="str">
        <x:v>Maximum eligible IMDb cast-credit total (18), shared by 1 performer(s); not independently verified as a 2021-only episode total.</x:v>
      </x:c>
      <x:c r="BQ712" s="14" t="str">
        <x:v>Low</x:v>
      </x:c>
      <x:c r="BR712" s="15" t="n">
        <x:v>2</x:v>
      </x:c>
      <x:c r="BS712" s="16" t="n">
        <x:v>0.1111111111111111</x:v>
      </x:c>
      <x:c r="BT712" s="14" t="str">
        <x:v>Minority of episodes</x:v>
      </x:c>
      <x:c r="BU712" s="14" t="str">
        <x:v>Low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tt13430420|nm0504320|father john</x:v>
      </x:c>
      <x:c r="B713" s="14" t="str">
        <x:v>01</x:v>
      </x:c>
      <x:c r="C713" s="14" t="str">
        <x:v>2021_IMDb_Cast_Lists_Batch_01(1).xlsx</x:v>
      </x:c>
      <x:c r="D713" s="14" t="str">
        <x:v>Dalgliesh</x:v>
      </x:c>
      <x:c r="E713" s="14" t="n">
        <x:v>62</x:v>
      </x:c>
      <x:c r="F713" s="14" t="str">
        <x:v>Dalgliesh</x:v>
      </x:c>
      <x:c r="G713" s="14" t="str">
        <x:v>tt13430420</x:v>
      </x:c>
      <x:c r="H713" s="14" t="n">
        <x:v>2021</x:v>
      </x:c>
      <x:c r="I713" s="14" t="n">
        <x:v>2023</x:v>
      </x:c>
      <x:c r="J713" s="14" t="str">
        <x:v>Future Carry-Forward Cohort</x:v>
      </x:c>
      <x:c r="K713" s="14" t="n">
        <x:v>2021</x:v>
      </x:c>
      <x:c r="L713" s="14" t="str">
        <x:v>Available from 2021 analysis</x:v>
      </x:c>
      <x:c r="M713" s="15" t="n">
        <x:v>55</x:v>
      </x:c>
      <x:c r="N713" s="14" t="str">
        <x:v>Anton Lesser</x:v>
      </x:c>
      <x:c r="O713" s="14" t="str">
        <x:v>nm0504320</x:v>
      </x:c>
      <x:c r="P713" s="14" t="str">
        <x:v>Father John</x:v>
      </x:c>
      <x:c r="Q713" s="15" t="n">
        <x:v>2</x:v>
      </x:c>
      <x:c r="R713" s="14" t="str">
        <x:v>2024</x:v>
      </x:c>
      <x:c r="S713" s="14" t="n">
        <x:v>2024</x:v>
      </x:c>
      <x:c r="T713" s="14" t="n">
        <x:v>2024</x:v>
      </x:c>
      <x:c r="U713" s="14" t="str">
        <x:v>Post-2021 casting excluded</x:v>
      </x:c>
      <x:c r="V713" s="14" t="str">
        <x:v>Earliest supplied year is 2024, later than the 2021 study year.</x:v>
      </x:c>
      <x:c r="W713" s="14"/>
      <x:c r="X713" s="14" t="str">
        <x:v>Carried forward to 2024</x:v>
      </x:c>
      <x:c r="Y713" s="14"/>
      <x:c r="Z713" s="14" t="str">
        <x:v>Dalgliesh.docx</x:v>
      </x:c>
      <x:c r="AA71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Channel 5 / 5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7" t="e">
        <x:f>HYPERLINK("https://en.wikipedia.org/wiki/Dalglish","Open source")</x:f>
        <x:v>HYPERLINK is not implemented. linkLocation=https://en.wikipedia.org/wiki/Dalglish, friendlyName=Open source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 t="str">
        <x:v>No established-register match</x:v>
      </x:c>
      <x:c r="AT713" s="14"/>
      <x:c r="AU713" s="14"/>
      <x:c r="AV713" s="14" t="str">
        <x:v>No established apparent-disability match</x:v>
      </x:c>
      <x:c r="AW713" s="14"/>
      <x:c r="AX713" s="14" t="str">
        <x:v>No</x:v>
      </x:c>
      <x:c r="AY713" s="14" t="str">
        <x:v>Unmatched</x:v>
      </x:c>
      <x:c r="AZ713" s="14" t="str">
        <x:v>Final supplied register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18</x:v>
      </x:c>
      <x:c r="BP713" s="14" t="str">
        <x:v>Maximum eligible IMDb cast-credit total (18), shared by 1 performer(s); not independently verified as a 2021-only episode total.</x:v>
      </x:c>
      <x:c r="BQ713" s="14" t="str">
        <x:v>Low</x:v>
      </x:c>
      <x:c r="BR713" s="15" t="n">
        <x:v>2</x:v>
      </x:c>
      <x:c r="BS713" s="16" t="n">
        <x:v>0.1111111111111111</x:v>
      </x:c>
      <x:c r="BT713" s="14" t="str">
        <x:v>Minority of episodes</x:v>
      </x:c>
      <x:c r="BU713" s="14" t="str">
        <x:v>Low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tt13430420|nm10417793|the whistler / simon shelton</x:v>
      </x:c>
      <x:c r="B714" s="14" t="str">
        <x:v>01</x:v>
      </x:c>
      <x:c r="C714" s="14" t="str">
        <x:v>2021_IMDb_Cast_Lists_Batch_01(1).xlsx</x:v>
      </x:c>
      <x:c r="D714" s="14" t="str">
        <x:v>Dalgliesh</x:v>
      </x:c>
      <x:c r="E714" s="14" t="n">
        <x:v>65</x:v>
      </x:c>
      <x:c r="F714" s="14" t="str">
        <x:v>Dalgliesh</x:v>
      </x:c>
      <x:c r="G714" s="14" t="str">
        <x:v>tt13430420</x:v>
      </x:c>
      <x:c r="H714" s="14" t="n">
        <x:v>2021</x:v>
      </x:c>
      <x:c r="I714" s="14" t="n">
        <x:v>2023</x:v>
      </x:c>
      <x:c r="J714" s="14" t="str">
        <x:v>Future Carry-Forward Cohort</x:v>
      </x:c>
      <x:c r="K714" s="14" t="n">
        <x:v>2021</x:v>
      </x:c>
      <x:c r="L714" s="14" t="str">
        <x:v>Available from 2021 analysis</x:v>
      </x:c>
      <x:c r="M714" s="15" t="n">
        <x:v>58</x:v>
      </x:c>
      <x:c r="N714" s="14" t="str">
        <x:v>Kealan McAllister</x:v>
      </x:c>
      <x:c r="O714" s="14" t="str">
        <x:v>nm10417793</x:v>
      </x:c>
      <x:c r="P714" s="14" t="str">
        <x:v>The Whistler / Simon Shelton</x:v>
      </x:c>
      <x:c r="Q714" s="15" t="n">
        <x:v>2</x:v>
      </x:c>
      <x:c r="R714" s="14" t="str">
        <x:v>2024</x:v>
      </x:c>
      <x:c r="S714" s="14" t="n">
        <x:v>2024</x:v>
      </x:c>
      <x:c r="T714" s="14" t="n">
        <x:v>2024</x:v>
      </x:c>
      <x:c r="U714" s="14" t="str">
        <x:v>Post-2021 casting excluded</x:v>
      </x:c>
      <x:c r="V714" s="14" t="str">
        <x:v>Earliest supplied year is 2024, later than the 2021 study year.</x:v>
      </x:c>
      <x:c r="W714" s="14"/>
      <x:c r="X714" s="14" t="str">
        <x:v>Carried forward to 2024</x:v>
      </x:c>
      <x:c r="Y714" s="14"/>
      <x:c r="Z714" s="14" t="str">
        <x:v>Dalgliesh.docx</x:v>
      </x:c>
      <x:c r="AA71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Channel 5 / 5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7" t="e">
        <x:f>HYPERLINK("https://en.wikipedia.org/wiki/Dalglish","Open source")</x:f>
        <x:v>HYPERLINK is not implemented. linkLocation=https://en.wikipedia.org/wiki/Dalglish, friendlyName=Open source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 t="str">
        <x:v>No established-register match</x:v>
      </x:c>
      <x:c r="AT714" s="14"/>
      <x:c r="AU714" s="14"/>
      <x:c r="AV714" s="14" t="str">
        <x:v>No established apparent-disability match</x:v>
      </x:c>
      <x:c r="AW714" s="14"/>
      <x:c r="AX714" s="14" t="str">
        <x:v>No</x:v>
      </x:c>
      <x:c r="AY714" s="14" t="str">
        <x:v>Unmatched</x:v>
      </x:c>
      <x:c r="AZ714" s="14" t="str">
        <x:v>Final supplied register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18</x:v>
      </x:c>
      <x:c r="BP714" s="14" t="str">
        <x:v>Maximum eligible IMDb cast-credit total (18), shared by 1 performer(s); not independently verified as a 2021-only episode total.</x:v>
      </x:c>
      <x:c r="BQ714" s="14" t="str">
        <x:v>Low</x:v>
      </x:c>
      <x:c r="BR714" s="15" t="n">
        <x:v>2</x:v>
      </x:c>
      <x:c r="BS714" s="16" t="n">
        <x:v>0.1111111111111111</x:v>
      </x:c>
      <x:c r="BT714" s="14" t="str">
        <x:v>Minority of episodes</x:v>
      </x:c>
      <x:c r="BU714" s="14" t="str">
        <x:v>Low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tt13430420|nm4359366|derek fullen / derek pullen</x:v>
      </x:c>
      <x:c r="B715" s="14" t="str">
        <x:v>01</x:v>
      </x:c>
      <x:c r="C715" s="14" t="str">
        <x:v>2021_IMDb_Cast_Lists_Batch_01(1).xlsx</x:v>
      </x:c>
      <x:c r="D715" s="14" t="str">
        <x:v>Dalgliesh</x:v>
      </x:c>
      <x:c r="E715" s="14" t="n">
        <x:v>73</x:v>
      </x:c>
      <x:c r="F715" s="14" t="str">
        <x:v>Dalgliesh</x:v>
      </x:c>
      <x:c r="G715" s="14" t="str">
        <x:v>tt13430420</x:v>
      </x:c>
      <x:c r="H715" s="14" t="n">
        <x:v>2021</x:v>
      </x:c>
      <x:c r="I715" s="14" t="n">
        <x:v>2023</x:v>
      </x:c>
      <x:c r="J715" s="14" t="str">
        <x:v>Future Carry-Forward Cohort</x:v>
      </x:c>
      <x:c r="K715" s="14" t="n">
        <x:v>2021</x:v>
      </x:c>
      <x:c r="L715" s="14" t="str">
        <x:v>Available from 2021 analysis</x:v>
      </x:c>
      <x:c r="M715" s="15" t="n">
        <x:v>66</x:v>
      </x:c>
      <x:c r="N715" s="14" t="str">
        <x:v>Oliver Woollford</x:v>
      </x:c>
      <x:c r="O715" s="14" t="str">
        <x:v>nm4359366</x:v>
      </x:c>
      <x:c r="P715" s="14" t="str">
        <x:v>Derek Fullen / Derek Pullen</x:v>
      </x:c>
      <x:c r="Q715" s="15" t="n">
        <x:v>2</x:v>
      </x:c>
      <x:c r="R715" s="14" t="str">
        <x:v>2024</x:v>
      </x:c>
      <x:c r="S715" s="14" t="n">
        <x:v>2024</x:v>
      </x:c>
      <x:c r="T715" s="14" t="n">
        <x:v>2024</x:v>
      </x:c>
      <x:c r="U715" s="14" t="str">
        <x:v>Post-2021 casting excluded</x:v>
      </x:c>
      <x:c r="V715" s="14" t="str">
        <x:v>Earliest supplied year is 2024, later than the 2021 study year.</x:v>
      </x:c>
      <x:c r="W715" s="14"/>
      <x:c r="X715" s="14" t="str">
        <x:v>Carried forward to 2024</x:v>
      </x:c>
      <x:c r="Y715" s="14"/>
      <x:c r="Z715" s="14" t="str">
        <x:v>Dalgliesh.docx</x:v>
      </x:c>
      <x:c r="AA71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Channel 5 / 5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7" t="e">
        <x:f>HYPERLINK("https://en.wikipedia.org/wiki/Dalglish","Open source")</x:f>
        <x:v>HYPERLINK is not implemented. linkLocation=https://en.wikipedia.org/wiki/Dalglish, friendlyName=Open source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 t="str">
        <x:v>No established-register match</x:v>
      </x:c>
      <x:c r="AT715" s="14"/>
      <x:c r="AU715" s="14"/>
      <x:c r="AV715" s="14" t="str">
        <x:v>No established apparent-disability match</x:v>
      </x:c>
      <x:c r="AW715" s="14"/>
      <x:c r="AX715" s="14" t="str">
        <x:v>No</x:v>
      </x:c>
      <x:c r="AY715" s="14" t="str">
        <x:v>Unmatched</x:v>
      </x:c>
      <x:c r="AZ715" s="14" t="str">
        <x:v>Final supplied register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18</x:v>
      </x:c>
      <x:c r="BP715" s="14" t="str">
        <x:v>Maximum eligible IMDb cast-credit total (18), shared by 1 performer(s); not independently verified as a 2021-only episode total.</x:v>
      </x:c>
      <x:c r="BQ715" s="14" t="str">
        <x:v>Low</x:v>
      </x:c>
      <x:c r="BR715" s="15" t="n">
        <x:v>2</x:v>
      </x:c>
      <x:c r="BS715" s="16" t="n">
        <x:v>0.1111111111111111</x:v>
      </x:c>
      <x:c r="BT715" s="14" t="str">
        <x:v>Minority of episodes</x:v>
      </x:c>
      <x:c r="BU715" s="14" t="str">
        <x:v>Low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tt13430420|nm4902569|raphael arbuthnot</x:v>
      </x:c>
      <x:c r="B716" s="14" t="str">
        <x:v>01</x:v>
      </x:c>
      <x:c r="C716" s="14" t="str">
        <x:v>2021_IMDb_Cast_Lists_Batch_01(1).xlsx</x:v>
      </x:c>
      <x:c r="D716" s="14" t="str">
        <x:v>Dalgliesh</x:v>
      </x:c>
      <x:c r="E716" s="14" t="n">
        <x:v>74</x:v>
      </x:c>
      <x:c r="F716" s="14" t="str">
        <x:v>Dalgliesh</x:v>
      </x:c>
      <x:c r="G716" s="14" t="str">
        <x:v>tt13430420</x:v>
      </x:c>
      <x:c r="H716" s="14" t="n">
        <x:v>2021</x:v>
      </x:c>
      <x:c r="I716" s="14" t="n">
        <x:v>2023</x:v>
      </x:c>
      <x:c r="J716" s="14" t="str">
        <x:v>Future Carry-Forward Cohort</x:v>
      </x:c>
      <x:c r="K716" s="14" t="n">
        <x:v>2021</x:v>
      </x:c>
      <x:c r="L716" s="14" t="str">
        <x:v>Available from 2021 analysis</x:v>
      </x:c>
      <x:c r="M716" s="15" t="n">
        <x:v>67</x:v>
      </x:c>
      <x:c r="N716" s="14" t="str">
        <x:v>Charlie Cain</x:v>
      </x:c>
      <x:c r="O716" s="14" t="str">
        <x:v>nm4902569</x:v>
      </x:c>
      <x:c r="P716" s="14" t="str">
        <x:v>Raphael Arbuthnot</x:v>
      </x:c>
      <x:c r="Q716" s="15" t="n">
        <x:v>2</x:v>
      </x:c>
      <x:c r="R716" s="14" t="str">
        <x:v>2024</x:v>
      </x:c>
      <x:c r="S716" s="14" t="n">
        <x:v>2024</x:v>
      </x:c>
      <x:c r="T716" s="14" t="n">
        <x:v>2024</x:v>
      </x:c>
      <x:c r="U716" s="14" t="str">
        <x:v>Post-2021 casting excluded</x:v>
      </x:c>
      <x:c r="V716" s="14" t="str">
        <x:v>Earliest supplied year is 2024, later than the 2021 study year.</x:v>
      </x:c>
      <x:c r="W716" s="14"/>
      <x:c r="X716" s="14" t="str">
        <x:v>Carried forward to 2024</x:v>
      </x:c>
      <x:c r="Y716" s="14"/>
      <x:c r="Z716" s="14" t="str">
        <x:v>Dalgliesh.docx</x:v>
      </x:c>
      <x:c r="AA71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Channel 5 / 5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7" t="e">
        <x:f>HYPERLINK("https://en.wikipedia.org/wiki/Dalglish","Open source")</x:f>
        <x:v>HYPERLINK is not implemented. linkLocation=https://en.wikipedia.org/wiki/Dalglish, friendlyName=Open source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 t="str">
        <x:v>No established-register match</x:v>
      </x:c>
      <x:c r="AT716" s="14"/>
      <x:c r="AU716" s="14"/>
      <x:c r="AV716" s="14" t="str">
        <x:v>No established apparent-disability match</x:v>
      </x:c>
      <x:c r="AW716" s="14"/>
      <x:c r="AX716" s="14" t="str">
        <x:v>No</x:v>
      </x:c>
      <x:c r="AY716" s="14" t="str">
        <x:v>Unmatched</x:v>
      </x:c>
      <x:c r="AZ716" s="14" t="str">
        <x:v>Final supplied register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18</x:v>
      </x:c>
      <x:c r="BP716" s="14" t="str">
        <x:v>Maximum eligible IMDb cast-credit total (18), shared by 1 performer(s); not independently verified as a 2021-only episode total.</x:v>
      </x:c>
      <x:c r="BQ716" s="14" t="str">
        <x:v>Low</x:v>
      </x:c>
      <x:c r="BR716" s="15" t="n">
        <x:v>2</x:v>
      </x:c>
      <x:c r="BS716" s="16" t="n">
        <x:v>0.1111111111111111</x:v>
      </x:c>
      <x:c r="BT716" s="14" t="str">
        <x:v>Minority of episodes</x:v>
      </x:c>
      <x:c r="BU716" s="14" t="str">
        <x:v>Low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tt13430420|nm0421044|father peregrine</x:v>
      </x:c>
      <x:c r="B717" s="14" t="str">
        <x:v>01</x:v>
      </x:c>
      <x:c r="C717" s="14" t="str">
        <x:v>2021_IMDb_Cast_Lists_Batch_01(1).xlsx</x:v>
      </x:c>
      <x:c r="D717" s="14" t="str">
        <x:v>Dalgliesh</x:v>
      </x:c>
      <x:c r="E717" s="14" t="n">
        <x:v>77</x:v>
      </x:c>
      <x:c r="F717" s="14" t="str">
        <x:v>Dalgliesh</x:v>
      </x:c>
      <x:c r="G717" s="14" t="str">
        <x:v>tt13430420</x:v>
      </x:c>
      <x:c r="H717" s="14" t="n">
        <x:v>2021</x:v>
      </x:c>
      <x:c r="I717" s="14" t="n">
        <x:v>2023</x:v>
      </x:c>
      <x:c r="J717" s="14" t="str">
        <x:v>Future Carry-Forward Cohort</x:v>
      </x:c>
      <x:c r="K717" s="14" t="n">
        <x:v>2021</x:v>
      </x:c>
      <x:c r="L717" s="14" t="str">
        <x:v>Available from 2021 analysis</x:v>
      </x:c>
      <x:c r="M717" s="15" t="n">
        <x:v>70</x:v>
      </x:c>
      <x:c r="N717" s="14" t="str">
        <x:v>Michael Jenn</x:v>
      </x:c>
      <x:c r="O717" s="14" t="str">
        <x:v>nm0421044</x:v>
      </x:c>
      <x:c r="P717" s="14" t="str">
        <x:v>Father Peregrine</x:v>
      </x:c>
      <x:c r="Q717" s="15" t="n">
        <x:v>2</x:v>
      </x:c>
      <x:c r="R717" s="14" t="str">
        <x:v>2024</x:v>
      </x:c>
      <x:c r="S717" s="14" t="n">
        <x:v>2024</x:v>
      </x:c>
      <x:c r="T717" s="14" t="n">
        <x:v>2024</x:v>
      </x:c>
      <x:c r="U717" s="14" t="str">
        <x:v>Post-2021 casting excluded</x:v>
      </x:c>
      <x:c r="V717" s="14" t="str">
        <x:v>Earliest supplied year is 2024, later than the 2021 study year.</x:v>
      </x:c>
      <x:c r="W717" s="14"/>
      <x:c r="X717" s="14" t="str">
        <x:v>Carried forward to 2024</x:v>
      </x:c>
      <x:c r="Y717" s="14"/>
      <x:c r="Z717" s="14" t="str">
        <x:v>Dalgliesh.docx</x:v>
      </x:c>
      <x:c r="AA71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Channel 5 / 5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7" t="e">
        <x:f>HYPERLINK("https://en.wikipedia.org/wiki/Dalglish","Open source")</x:f>
        <x:v>HYPERLINK is not implemented. linkLocation=https://en.wikipedia.org/wiki/Dalglish, friendlyName=Open source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 t="str">
        <x:v>No established-register match</x:v>
      </x:c>
      <x:c r="AT717" s="14"/>
      <x:c r="AU717" s="14"/>
      <x:c r="AV717" s="14" t="str">
        <x:v>No established apparent-disability match</x:v>
      </x:c>
      <x:c r="AW717" s="14"/>
      <x:c r="AX717" s="14" t="str">
        <x:v>No</x:v>
      </x:c>
      <x:c r="AY717" s="14" t="str">
        <x:v>Unmatched</x:v>
      </x:c>
      <x:c r="AZ717" s="14" t="str">
        <x:v>Final supplied register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18</x:v>
      </x:c>
      <x:c r="BP717" s="14" t="str">
        <x:v>Maximum eligible IMDb cast-credit total (18), shared by 1 performer(s); not independently verified as a 2021-only episode total.</x:v>
      </x:c>
      <x:c r="BQ717" s="14" t="str">
        <x:v>Low</x:v>
      </x:c>
      <x:c r="BR717" s="15" t="n">
        <x:v>2</x:v>
      </x:c>
      <x:c r="BS717" s="16" t="n">
        <x:v>0.1111111111111111</x:v>
      </x:c>
      <x:c r="BT717" s="14" t="str">
        <x:v>Minority of episodes</x:v>
      </x:c>
      <x:c r="BU717" s="14" t="str">
        <x:v>Low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tt13430420|nm11125676|ds jane jones</x:v>
      </x:c>
      <x:c r="B718" s="14" t="str">
        <x:v>01</x:v>
      </x:c>
      <x:c r="C718" s="14" t="str">
        <x:v>2021_IMDb_Cast_Lists_Batch_01(1).xlsx</x:v>
      </x:c>
      <x:c r="D718" s="14" t="str">
        <x:v>Dalgliesh</x:v>
      </x:c>
      <x:c r="E718" s="14" t="n">
        <x:v>79</x:v>
      </x:c>
      <x:c r="F718" s="14" t="str">
        <x:v>Dalgliesh</x:v>
      </x:c>
      <x:c r="G718" s="14" t="str">
        <x:v>tt13430420</x:v>
      </x:c>
      <x:c r="H718" s="14" t="n">
        <x:v>2021</x:v>
      </x:c>
      <x:c r="I718" s="14" t="n">
        <x:v>2023</x:v>
      </x:c>
      <x:c r="J718" s="14" t="str">
        <x:v>Future Carry-Forward Cohort</x:v>
      </x:c>
      <x:c r="K718" s="14" t="n">
        <x:v>2021</x:v>
      </x:c>
      <x:c r="L718" s="14" t="str">
        <x:v>Available from 2021 analysis</x:v>
      </x:c>
      <x:c r="M718" s="15" t="n">
        <x:v>72</x:v>
      </x:c>
      <x:c r="N718" s="14" t="str">
        <x:v>Catriona McFeely</x:v>
      </x:c>
      <x:c r="O718" s="14" t="str">
        <x:v>nm11125676</x:v>
      </x:c>
      <x:c r="P718" s="14" t="str">
        <x:v>DS Jane Jones</x:v>
      </x:c>
      <x:c r="Q718" s="15" t="n">
        <x:v>2</x:v>
      </x:c>
      <x:c r="R718" s="14" t="str">
        <x:v>2024</x:v>
      </x:c>
      <x:c r="S718" s="14" t="n">
        <x:v>2024</x:v>
      </x:c>
      <x:c r="T718" s="14" t="n">
        <x:v>2024</x:v>
      </x:c>
      <x:c r="U718" s="14" t="str">
        <x:v>Post-2021 casting excluded</x:v>
      </x:c>
      <x:c r="V718" s="14" t="str">
        <x:v>Earliest supplied year is 2024, later than the 2021 study year.</x:v>
      </x:c>
      <x:c r="W718" s="14"/>
      <x:c r="X718" s="14" t="str">
        <x:v>Carried forward to 2024</x:v>
      </x:c>
      <x:c r="Y718" s="14"/>
      <x:c r="Z718" s="14" t="str">
        <x:v>Dalgliesh.docx</x:v>
      </x:c>
      <x:c r="AA71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Channel 5 / 5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7" t="e">
        <x:f>HYPERLINK("https://en.wikipedia.org/wiki/Dalglish","Open source")</x:f>
        <x:v>HYPERLINK is not implemented. linkLocation=https://en.wikipedia.org/wiki/Dalglish, friendlyName=Open source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 t="str">
        <x:v>No established-register match</x:v>
      </x:c>
      <x:c r="AT718" s="14"/>
      <x:c r="AU718" s="14"/>
      <x:c r="AV718" s="14" t="str">
        <x:v>No established apparent-disability match</x:v>
      </x:c>
      <x:c r="AW718" s="14"/>
      <x:c r="AX718" s="14" t="str">
        <x:v>No</x:v>
      </x:c>
      <x:c r="AY718" s="14" t="str">
        <x:v>Unmatched</x:v>
      </x:c>
      <x:c r="AZ718" s="14" t="str">
        <x:v>Final supplied register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18</x:v>
      </x:c>
      <x:c r="BP718" s="14" t="str">
        <x:v>Maximum eligible IMDb cast-credit total (18), shared by 1 performer(s); not independently verified as a 2021-only episode total.</x:v>
      </x:c>
      <x:c r="BQ718" s="14" t="str">
        <x:v>Low</x:v>
      </x:c>
      <x:c r="BR718" s="15" t="n">
        <x:v>2</x:v>
      </x:c>
      <x:c r="BS718" s="16" t="n">
        <x:v>0.1111111111111111</x:v>
      </x:c>
      <x:c r="BT718" s="14" t="str">
        <x:v>Minority of episodes</x:v>
      </x:c>
      <x:c r="BU718" s="14" t="str">
        <x:v>Low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tt13430420|nm9345002|eric surtees</x:v>
      </x:c>
      <x:c r="B719" s="14" t="str">
        <x:v>01</x:v>
      </x:c>
      <x:c r="C719" s="14" t="str">
        <x:v>2021_IMDb_Cast_Lists_Batch_01(1).xlsx</x:v>
      </x:c>
      <x:c r="D719" s="14" t="str">
        <x:v>Dalgliesh</x:v>
      </x:c>
      <x:c r="E719" s="14" t="n">
        <x:v>80</x:v>
      </x:c>
      <x:c r="F719" s="14" t="str">
        <x:v>Dalgliesh</x:v>
      </x:c>
      <x:c r="G719" s="14" t="str">
        <x:v>tt13430420</x:v>
      </x:c>
      <x:c r="H719" s="14" t="n">
        <x:v>2021</x:v>
      </x:c>
      <x:c r="I719" s="14" t="n">
        <x:v>2023</x:v>
      </x:c>
      <x:c r="J719" s="14" t="str">
        <x:v>Future Carry-Forward Cohort</x:v>
      </x:c>
      <x:c r="K719" s="14" t="n">
        <x:v>2021</x:v>
      </x:c>
      <x:c r="L719" s="14" t="str">
        <x:v>Available from 2021 analysis</x:v>
      </x:c>
      <x:c r="M719" s="15" t="n">
        <x:v>73</x:v>
      </x:c>
      <x:c r="N719" s="14" t="str">
        <x:v>Lloyd James</x:v>
      </x:c>
      <x:c r="O719" s="14" t="str">
        <x:v>nm9345002</x:v>
      </x:c>
      <x:c r="P719" s="14" t="str">
        <x:v>Eric Surtees</x:v>
      </x:c>
      <x:c r="Q719" s="15" t="n">
        <x:v>2</x:v>
      </x:c>
      <x:c r="R719" s="14" t="str">
        <x:v>2024</x:v>
      </x:c>
      <x:c r="S719" s="14" t="n">
        <x:v>2024</x:v>
      </x:c>
      <x:c r="T719" s="14" t="n">
        <x:v>2024</x:v>
      </x:c>
      <x:c r="U719" s="14" t="str">
        <x:v>Post-2021 casting excluded</x:v>
      </x:c>
      <x:c r="V719" s="14" t="str">
        <x:v>Earliest supplied year is 2024, later than the 2021 study year.</x:v>
      </x:c>
      <x:c r="W719" s="14"/>
      <x:c r="X719" s="14" t="str">
        <x:v>Carried forward to 2024</x:v>
      </x:c>
      <x:c r="Y719" s="14"/>
      <x:c r="Z719" s="14" t="str">
        <x:v>Dalgliesh.docx</x:v>
      </x:c>
      <x:c r="AA71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Channel 5 / 5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7" t="e">
        <x:f>HYPERLINK("https://en.wikipedia.org/wiki/Dalglish","Open source")</x:f>
        <x:v>HYPERLINK is not implemented. linkLocation=https://en.wikipedia.org/wiki/Dalglish, friendlyName=Open source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 t="str">
        <x:v>No established-register match</x:v>
      </x:c>
      <x:c r="AT719" s="14"/>
      <x:c r="AU719" s="14"/>
      <x:c r="AV719" s="14" t="str">
        <x:v>No established apparent-disability match</x:v>
      </x:c>
      <x:c r="AW719" s="14"/>
      <x:c r="AX719" s="14" t="str">
        <x:v>No</x:v>
      </x:c>
      <x:c r="AY719" s="14" t="str">
        <x:v>Unmatched</x:v>
      </x:c>
      <x:c r="AZ719" s="14" t="str">
        <x:v>Final supplied register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18</x:v>
      </x:c>
      <x:c r="BP719" s="14" t="str">
        <x:v>Maximum eligible IMDb cast-credit total (18), shared by 1 performer(s); not independently verified as a 2021-only episode total.</x:v>
      </x:c>
      <x:c r="BQ719" s="14" t="str">
        <x:v>Low</x:v>
      </x:c>
      <x:c r="BR719" s="15" t="n">
        <x:v>2</x:v>
      </x:c>
      <x:c r="BS719" s="16" t="n">
        <x:v>0.1111111111111111</x:v>
      </x:c>
      <x:c r="BT719" s="14" t="str">
        <x:v>Minority of episodes</x:v>
      </x:c>
      <x:c r="BU719" s="14" t="str">
        <x:v>Low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tt13430420|nm0404371|george jessop</x:v>
      </x:c>
      <x:c r="B720" s="14" t="str">
        <x:v>01</x:v>
      </x:c>
      <x:c r="C720" s="14" t="str">
        <x:v>2021_IMDb_Cast_Lists_Batch_01(1).xlsx</x:v>
      </x:c>
      <x:c r="D720" s="14" t="str">
        <x:v>Dalgliesh</x:v>
      </x:c>
      <x:c r="E720" s="14" t="n">
        <x:v>84</x:v>
      </x:c>
      <x:c r="F720" s="14" t="str">
        <x:v>Dalgliesh</x:v>
      </x:c>
      <x:c r="G720" s="14" t="str">
        <x:v>tt13430420</x:v>
      </x:c>
      <x:c r="H720" s="14" t="n">
        <x:v>2021</x:v>
      </x:c>
      <x:c r="I720" s="14" t="n">
        <x:v>2023</x:v>
      </x:c>
      <x:c r="J720" s="14" t="str">
        <x:v>Future Carry-Forward Cohort</x:v>
      </x:c>
      <x:c r="K720" s="14" t="n">
        <x:v>2021</x:v>
      </x:c>
      <x:c r="L720" s="14" t="str">
        <x:v>Available from 2021 analysis</x:v>
      </x:c>
      <x:c r="M720" s="15" t="n">
        <x:v>77</x:v>
      </x:c>
      <x:c r="N720" s="14" t="str">
        <x:v>Lloyd Hutchinson</x:v>
      </x:c>
      <x:c r="O720" s="14" t="str">
        <x:v>nm0404371</x:v>
      </x:c>
      <x:c r="P720" s="14" t="str">
        <x:v>George Jessop</x:v>
      </x:c>
      <x:c r="Q720" s="15" t="n">
        <x:v>2</x:v>
      </x:c>
      <x:c r="R720" s="14" t="str">
        <x:v>2024</x:v>
      </x:c>
      <x:c r="S720" s="14" t="n">
        <x:v>2024</x:v>
      </x:c>
      <x:c r="T720" s="14" t="n">
        <x:v>2024</x:v>
      </x:c>
      <x:c r="U720" s="14" t="str">
        <x:v>Post-2021 casting excluded</x:v>
      </x:c>
      <x:c r="V720" s="14" t="str">
        <x:v>Earliest supplied year is 2024, later than the 2021 study year.</x:v>
      </x:c>
      <x:c r="W720" s="14"/>
      <x:c r="X720" s="14" t="str">
        <x:v>Carried forward to 2024</x:v>
      </x:c>
      <x:c r="Y720" s="14"/>
      <x:c r="Z720" s="14" t="str">
        <x:v>Dalgliesh.docx</x:v>
      </x:c>
      <x:c r="AA72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Channel 5 / 5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7" t="e">
        <x:f>HYPERLINK("https://en.wikipedia.org/wiki/Dalglish","Open source")</x:f>
        <x:v>HYPERLINK is not implemented. linkLocation=https://en.wikipedia.org/wiki/Dalglish, friendlyName=Open source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 t="str">
        <x:v>No established-register match</x:v>
      </x:c>
      <x:c r="AT720" s="14"/>
      <x:c r="AU720" s="14"/>
      <x:c r="AV720" s="14" t="str">
        <x:v>No established apparent-disability match</x:v>
      </x:c>
      <x:c r="AW720" s="14"/>
      <x:c r="AX720" s="14" t="str">
        <x:v>No</x:v>
      </x:c>
      <x:c r="AY720" s="14" t="str">
        <x:v>Unmatched</x:v>
      </x:c>
      <x:c r="AZ720" s="14" t="str">
        <x:v>Final supplied register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18</x:v>
      </x:c>
      <x:c r="BP720" s="14" t="str">
        <x:v>Maximum eligible IMDb cast-credit total (18), shared by 1 performer(s); not independently verified as a 2021-only episode total.</x:v>
      </x:c>
      <x:c r="BQ720" s="14" t="str">
        <x:v>Low</x:v>
      </x:c>
      <x:c r="BR720" s="15" t="n">
        <x:v>2</x:v>
      </x:c>
      <x:c r="BS720" s="16" t="n">
        <x:v>0.1111111111111111</x:v>
      </x:c>
      <x:c r="BT720" s="14" t="str">
        <x:v>Minority of episodes</x:v>
      </x:c>
      <x:c r="BU720" s="14" t="str">
        <x:v>Low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  <x:row r="721">
      <x:c r="A721" s="14" t="str">
        <x:v>tt13430420|nm0928894|giles fleet</x:v>
      </x:c>
      <x:c r="B721" s="14" t="str">
        <x:v>01</x:v>
      </x:c>
      <x:c r="C721" s="14" t="str">
        <x:v>2021_IMDb_Cast_Lists_Batch_01(1).xlsx</x:v>
      </x:c>
      <x:c r="D721" s="14" t="str">
        <x:v>Dalgliesh</x:v>
      </x:c>
      <x:c r="E721" s="14" t="n">
        <x:v>89</x:v>
      </x:c>
      <x:c r="F721" s="14" t="str">
        <x:v>Dalgliesh</x:v>
      </x:c>
      <x:c r="G721" s="14" t="str">
        <x:v>tt13430420</x:v>
      </x:c>
      <x:c r="H721" s="14" t="n">
        <x:v>2021</x:v>
      </x:c>
      <x:c r="I721" s="14" t="n">
        <x:v>2023</x:v>
      </x:c>
      <x:c r="J721" s="14" t="str">
        <x:v>Future Carry-Forward Cohort</x:v>
      </x:c>
      <x:c r="K721" s="14" t="n">
        <x:v>2021</x:v>
      </x:c>
      <x:c r="L721" s="14" t="str">
        <x:v>Available from 2021 analysis</x:v>
      </x:c>
      <x:c r="M721" s="15" t="n">
        <x:v>82</x:v>
      </x:c>
      <x:c r="N721" s="14" t="str">
        <x:v>Robert Wilfort</x:v>
      </x:c>
      <x:c r="O721" s="14" t="str">
        <x:v>nm0928894</x:v>
      </x:c>
      <x:c r="P721" s="14" t="str">
        <x:v>Giles Fleet</x:v>
      </x:c>
      <x:c r="Q721" s="15" t="n">
        <x:v>2</x:v>
      </x:c>
      <x:c r="R721" s="14" t="str">
        <x:v>2024</x:v>
      </x:c>
      <x:c r="S721" s="14" t="n">
        <x:v>2024</x:v>
      </x:c>
      <x:c r="T721" s="14" t="n">
        <x:v>2024</x:v>
      </x:c>
      <x:c r="U721" s="14" t="str">
        <x:v>Post-2021 casting excluded</x:v>
      </x:c>
      <x:c r="V721" s="14" t="str">
        <x:v>Earliest supplied year is 2024, later than the 2021 study year.</x:v>
      </x:c>
      <x:c r="W721" s="14"/>
      <x:c r="X721" s="14" t="str">
        <x:v>Carried forward to 2024</x:v>
      </x:c>
      <x:c r="Y721" s="14"/>
      <x:c r="Z721" s="14" t="str">
        <x:v>Dalgliesh.docx</x:v>
      </x:c>
      <x:c r="AA72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1" s="14" t="str">
        <x:v>No established-register match</x:v>
      </x:c>
      <x:c r="AC721" s="14"/>
      <x:c r="AD721" s="14"/>
      <x:c r="AE721" s="14"/>
      <x:c r="AF721" s="14"/>
      <x:c r="AG721" s="14" t="str">
        <x:v>No qualifying conclusion recorded. Absence from the register is not evidence that the performer is not disabled.</x:v>
      </x:c>
      <x:c r="AH721" s="14" t="str">
        <x:v>Channel 5 / 5</x:v>
      </x:c>
      <x:c r="AI721" s="14" t="str">
        <x:v>UK original commission</x:v>
      </x:c>
      <x:c r="AJ721" s="14" t="str">
        <x:v>Exact normalised title</x:v>
      </x:c>
      <x:c r="AK721" s="14" t="str">
        <x:v>Medium</x:v>
      </x:c>
      <x:c r="AL721" s="14" t="str">
        <x:v>Verified for commissioner/platform scope; uk original commission.</x:v>
      </x:c>
      <x:c r="AM721" s="17" t="e">
        <x:f>HYPERLINK("https://en.wikipedia.org/wiki/Dalglish","Open source")</x:f>
        <x:v>HYPERLINK is not implemented. linkLocation=https://en.wikipedia.org/wiki/Dalglish, friendlyName=Open source</x:v>
      </x:c>
      <x:c r="AN721" s="14" t="str">
        <x:v>No qualifying BBC relationship</x:v>
      </x:c>
      <x:c r="AO721" s="14" t="str">
        <x:v>No</x:v>
      </x:c>
      <x:c r="AP721" s="14" t="str">
        <x:v>Out of scope</x:v>
      </x:c>
      <x:c r="AQ721" s="14" t="str">
        <x:v>No</x:v>
      </x:c>
      <x:c r="AR721" s="14" t="str">
        <x:v>Resolved from master register</x:v>
      </x:c>
      <x:c r="AS721" s="14" t="str">
        <x:v>No established-register match</x:v>
      </x:c>
      <x:c r="AT721" s="14"/>
      <x:c r="AU721" s="14"/>
      <x:c r="AV721" s="14" t="str">
        <x:v>No established apparent-disability match</x:v>
      </x:c>
      <x:c r="AW721" s="14"/>
      <x:c r="AX721" s="14" t="str">
        <x:v>No</x:v>
      </x:c>
      <x:c r="AY721" s="14" t="str">
        <x:v>Unmatched</x:v>
      </x:c>
      <x:c r="AZ721" s="14" t="str">
        <x:v>Final supplied register</x:v>
      </x:c>
      <x:c r="BA721" s="14" t="str">
        <x:v>Absence from the register is not evidence that the performer is not disabled.</x:v>
      </x:c>
      <x:c r="BB721" s="14" t="str">
        <x:v>No established-register match</x:v>
      </x:c>
      <x:c r="BC721" s="14"/>
      <x:c r="BD721" s="14"/>
      <x:c r="BE721" s="14"/>
      <x:c r="BF721" s="14" t="str">
        <x:v>No established apparent-disability match</x:v>
      </x:c>
      <x:c r="BG721" s="14"/>
      <x:c r="BH721" s="14" t="str">
        <x:v>No</x:v>
      </x:c>
      <x:c r="BI721" s="14"/>
      <x:c r="BJ721" s="14"/>
      <x:c r="BK721" s="14"/>
      <x:c r="BL721" s="14" t="str">
        <x:v>Unmatched</x:v>
      </x:c>
      <x:c r="BM721" s="14" t="str">
        <x:v>Final supplied register</x:v>
      </x:c>
      <x:c r="BN721" s="14" t="str">
        <x:v>Absence from the register is not evidence that the performer is not disabled.</x:v>
      </x:c>
      <x:c r="BO721" s="14" t="n">
        <x:v>18</x:v>
      </x:c>
      <x:c r="BP721" s="14" t="str">
        <x:v>Maximum eligible IMDb cast-credit total (18), shared by 1 performer(s); not independently verified as a 2021-only episode total.</x:v>
      </x:c>
      <x:c r="BQ721" s="14" t="str">
        <x:v>Low</x:v>
      </x:c>
      <x:c r="BR721" s="15" t="n">
        <x:v>2</x:v>
      </x:c>
      <x:c r="BS721" s="16" t="n">
        <x:v>0.1111111111111111</x:v>
      </x:c>
      <x:c r="BT721" s="14" t="str">
        <x:v>Minority of episodes</x:v>
      </x:c>
      <x:c r="BU721" s="14" t="str">
        <x:v>Low</x:v>
      </x:c>
      <x:c r="BV721" s="14" t="str">
        <x:v>Derived from supplied IMDb episode count and the documented production-total proxy.</x:v>
      </x:c>
      <x:c r="BW721" s="14" t="str">
        <x:v>Unable to determine</x:v>
      </x:c>
      <x:c r="BX721" s="14" t="str">
        <x:v>Supplied cast data establishes the credit and episode presence but does not establish narrative prominence.</x:v>
      </x:c>
      <x:c r="BY721" s="14" t="str">
        <x:v>Supplied IMDb cast-list workbook</x:v>
      </x:c>
      <x:c r="BZ72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1" s="14" t="str">
        <x:v>Not classified</x:v>
      </x:c>
      <x:c r="CB721" s="14" t="str">
        <x:v>Unable to determine</x:v>
      </x:c>
      <x:c r="CC721" s="14" t="str">
        <x:v>Unique</x:v>
      </x:c>
      <x:c r="CD721" s="14" t="str">
        <x:v>None identified</x:v>
      </x:c>
    </x:row>
    <x:row r="722">
      <x:c r="A722" s="14" t="str">
        <x:v>tt13430420|nm1247379|di keith arnold</x:v>
      </x:c>
      <x:c r="B722" s="14" t="str">
        <x:v>01</x:v>
      </x:c>
      <x:c r="C722" s="14" t="str">
        <x:v>2021_IMDb_Cast_Lists_Batch_01(1).xlsx</x:v>
      </x:c>
      <x:c r="D722" s="14" t="str">
        <x:v>Dalgliesh</x:v>
      </x:c>
      <x:c r="E722" s="14" t="n">
        <x:v>91</x:v>
      </x:c>
      <x:c r="F722" s="14" t="str">
        <x:v>Dalgliesh</x:v>
      </x:c>
      <x:c r="G722" s="14" t="str">
        <x:v>tt13430420</x:v>
      </x:c>
      <x:c r="H722" s="14" t="n">
        <x:v>2021</x:v>
      </x:c>
      <x:c r="I722" s="14" t="n">
        <x:v>2023</x:v>
      </x:c>
      <x:c r="J722" s="14" t="str">
        <x:v>Future Carry-Forward Cohort</x:v>
      </x:c>
      <x:c r="K722" s="14" t="n">
        <x:v>2021</x:v>
      </x:c>
      <x:c r="L722" s="14" t="str">
        <x:v>Available from 2021 analysis</x:v>
      </x:c>
      <x:c r="M722" s="15" t="n">
        <x:v>84</x:v>
      </x:c>
      <x:c r="N722" s="14" t="str">
        <x:v>Chris Patrick-Simpson</x:v>
      </x:c>
      <x:c r="O722" s="14" t="str">
        <x:v>nm1247379</x:v>
      </x:c>
      <x:c r="P722" s="14" t="str">
        <x:v>DI Keith Arnold</x:v>
      </x:c>
      <x:c r="Q722" s="15" t="n">
        <x:v>2</x:v>
      </x:c>
      <x:c r="R722" s="14" t="str">
        <x:v>2024</x:v>
      </x:c>
      <x:c r="S722" s="14" t="n">
        <x:v>2024</x:v>
      </x:c>
      <x:c r="T722" s="14" t="n">
        <x:v>2024</x:v>
      </x:c>
      <x:c r="U722" s="14" t="str">
        <x:v>Post-2021 casting excluded</x:v>
      </x:c>
      <x:c r="V722" s="14" t="str">
        <x:v>Earliest supplied year is 2024, later than the 2021 study year.</x:v>
      </x:c>
      <x:c r="W722" s="14"/>
      <x:c r="X722" s="14" t="str">
        <x:v>Carried forward to 2024</x:v>
      </x:c>
      <x:c r="Y722" s="14"/>
      <x:c r="Z722" s="14" t="str">
        <x:v>Dalgliesh.docx</x:v>
      </x:c>
      <x:c r="AA72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2" s="14" t="str">
        <x:v>No established-register match</x:v>
      </x:c>
      <x:c r="AC722" s="14"/>
      <x:c r="AD722" s="14"/>
      <x:c r="AE722" s="14"/>
      <x:c r="AF722" s="14"/>
      <x:c r="AG722" s="14" t="str">
        <x:v>No qualifying conclusion recorded. Absence from the register is not evidence that the performer is not disabled.</x:v>
      </x:c>
      <x:c r="AH722" s="14" t="str">
        <x:v>Channel 5 / 5</x:v>
      </x:c>
      <x:c r="AI722" s="14" t="str">
        <x:v>UK original commission</x:v>
      </x:c>
      <x:c r="AJ722" s="14" t="str">
        <x:v>Exact normalised title</x:v>
      </x:c>
      <x:c r="AK722" s="14" t="str">
        <x:v>Medium</x:v>
      </x:c>
      <x:c r="AL722" s="14" t="str">
        <x:v>Verified for commissioner/platform scope; uk original commission.</x:v>
      </x:c>
      <x:c r="AM722" s="17" t="e">
        <x:f>HYPERLINK("https://en.wikipedia.org/wiki/Dalglish","Open source")</x:f>
        <x:v>HYPERLINK is not implemented. linkLocation=https://en.wikipedia.org/wiki/Dalglish, friendlyName=Open source</x:v>
      </x:c>
      <x:c r="AN722" s="14" t="str">
        <x:v>No qualifying BBC relationship</x:v>
      </x:c>
      <x:c r="AO722" s="14" t="str">
        <x:v>No</x:v>
      </x:c>
      <x:c r="AP722" s="14" t="str">
        <x:v>Out of scope</x:v>
      </x:c>
      <x:c r="AQ722" s="14" t="str">
        <x:v>No</x:v>
      </x:c>
      <x:c r="AR722" s="14" t="str">
        <x:v>Resolved from master register</x:v>
      </x:c>
      <x:c r="AS722" s="14" t="str">
        <x:v>No established-register match</x:v>
      </x:c>
      <x:c r="AT722" s="14"/>
      <x:c r="AU722" s="14"/>
      <x:c r="AV722" s="14" t="str">
        <x:v>No established apparent-disability match</x:v>
      </x:c>
      <x:c r="AW722" s="14"/>
      <x:c r="AX722" s="14" t="str">
        <x:v>No</x:v>
      </x:c>
      <x:c r="AY722" s="14" t="str">
        <x:v>Unmatched</x:v>
      </x:c>
      <x:c r="AZ722" s="14" t="str">
        <x:v>Final supplied register</x:v>
      </x:c>
      <x:c r="BA722" s="14" t="str">
        <x:v>Absence from the register is not evidence that the performer is not disabled.</x:v>
      </x:c>
      <x:c r="BB722" s="14" t="str">
        <x:v>No established-register match</x:v>
      </x:c>
      <x:c r="BC722" s="14"/>
      <x:c r="BD722" s="14"/>
      <x:c r="BE722" s="14"/>
      <x:c r="BF722" s="14" t="str">
        <x:v>No established apparent-disability match</x:v>
      </x:c>
      <x:c r="BG722" s="14"/>
      <x:c r="BH722" s="14" t="str">
        <x:v>No</x:v>
      </x:c>
      <x:c r="BI722" s="14"/>
      <x:c r="BJ722" s="14"/>
      <x:c r="BK722" s="14"/>
      <x:c r="BL722" s="14" t="str">
        <x:v>Unmatched</x:v>
      </x:c>
      <x:c r="BM722" s="14" t="str">
        <x:v>Final supplied register</x:v>
      </x:c>
      <x:c r="BN722" s="14" t="str">
        <x:v>Absence from the register is not evidence that the performer is not disabled.</x:v>
      </x:c>
      <x:c r="BO722" s="14" t="n">
        <x:v>18</x:v>
      </x:c>
      <x:c r="BP722" s="14" t="str">
        <x:v>Maximum eligible IMDb cast-credit total (18), shared by 1 performer(s); not independently verified as a 2021-only episode total.</x:v>
      </x:c>
      <x:c r="BQ722" s="14" t="str">
        <x:v>Low</x:v>
      </x:c>
      <x:c r="BR722" s="15" t="n">
        <x:v>2</x:v>
      </x:c>
      <x:c r="BS722" s="16" t="n">
        <x:v>0.1111111111111111</x:v>
      </x:c>
      <x:c r="BT722" s="14" t="str">
        <x:v>Minority of episodes</x:v>
      </x:c>
      <x:c r="BU722" s="14" t="str">
        <x:v>Low</x:v>
      </x:c>
      <x:c r="BV722" s="14" t="str">
        <x:v>Derived from supplied IMDb episode count and the documented production-total proxy.</x:v>
      </x:c>
      <x:c r="BW722" s="14" t="str">
        <x:v>Unable to determine</x:v>
      </x:c>
      <x:c r="BX722" s="14" t="str">
        <x:v>Supplied cast data establishes the credit and episode presence but does not establish narrative prominence.</x:v>
      </x:c>
      <x:c r="BY722" s="14" t="str">
        <x:v>Supplied IMDb cast-list workbook</x:v>
      </x:c>
      <x:c r="BZ72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2" s="14" t="str">
        <x:v>Not classified</x:v>
      </x:c>
      <x:c r="CB722" s="14" t="str">
        <x:v>Unable to determine</x:v>
      </x:c>
      <x:c r="CC722" s="14" t="str">
        <x:v>Unique</x:v>
      </x:c>
      <x:c r="CD722" s="14" t="str">
        <x:v>None identified</x:v>
      </x:c>
    </x:row>
    <x:row r="723">
      <x:c r="A723" s="14" t="str">
        <x:v>tt13430420|nm6357617|mark ayling</x:v>
      </x:c>
      <x:c r="B723" s="14" t="str">
        <x:v>01</x:v>
      </x:c>
      <x:c r="C723" s="14" t="str">
        <x:v>2021_IMDb_Cast_Lists_Batch_01(1).xlsx</x:v>
      </x:c>
      <x:c r="D723" s="14" t="str">
        <x:v>Dalgliesh</x:v>
      </x:c>
      <x:c r="E723" s="14" t="n">
        <x:v>92</x:v>
      </x:c>
      <x:c r="F723" s="14" t="str">
        <x:v>Dalgliesh</x:v>
      </x:c>
      <x:c r="G723" s="14" t="str">
        <x:v>tt13430420</x:v>
      </x:c>
      <x:c r="H723" s="14" t="n">
        <x:v>2021</x:v>
      </x:c>
      <x:c r="I723" s="14" t="n">
        <x:v>2023</x:v>
      </x:c>
      <x:c r="J723" s="14" t="str">
        <x:v>Future Carry-Forward Cohort</x:v>
      </x:c>
      <x:c r="K723" s="14" t="n">
        <x:v>2021</x:v>
      </x:c>
      <x:c r="L723" s="14" t="str">
        <x:v>Available from 2021 analysis</x:v>
      </x:c>
      <x:c r="M723" s="15" t="n">
        <x:v>85</x:v>
      </x:c>
      <x:c r="N723" s="14" t="str">
        <x:v>Benjamin Cawley</x:v>
      </x:c>
      <x:c r="O723" s="14" t="str">
        <x:v>nm6357617</x:v>
      </x:c>
      <x:c r="P723" s="14" t="str">
        <x:v>Mark Ayling</x:v>
      </x:c>
      <x:c r="Q723" s="15" t="n">
        <x:v>2</x:v>
      </x:c>
      <x:c r="R723" s="14" t="str">
        <x:v>2024</x:v>
      </x:c>
      <x:c r="S723" s="14" t="n">
        <x:v>2024</x:v>
      </x:c>
      <x:c r="T723" s="14" t="n">
        <x:v>2024</x:v>
      </x:c>
      <x:c r="U723" s="14" t="str">
        <x:v>Post-2021 casting excluded</x:v>
      </x:c>
      <x:c r="V723" s="14" t="str">
        <x:v>Earliest supplied year is 2024, later than the 2021 study year.</x:v>
      </x:c>
      <x:c r="W723" s="14"/>
      <x:c r="X723" s="14" t="str">
        <x:v>Carried forward to 2024</x:v>
      </x:c>
      <x:c r="Y723" s="14"/>
      <x:c r="Z723" s="14" t="str">
        <x:v>Dalgliesh.docx</x:v>
      </x:c>
      <x:c r="AA72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3" s="14" t="str">
        <x:v>No established-register match</x:v>
      </x:c>
      <x:c r="AC723" s="14"/>
      <x:c r="AD723" s="14"/>
      <x:c r="AE723" s="14"/>
      <x:c r="AF723" s="14"/>
      <x:c r="AG723" s="14" t="str">
        <x:v>No qualifying conclusion recorded. Absence from the register is not evidence that the performer is not disabled.</x:v>
      </x:c>
      <x:c r="AH723" s="14" t="str">
        <x:v>Channel 5 / 5</x:v>
      </x:c>
      <x:c r="AI723" s="14" t="str">
        <x:v>UK original commission</x:v>
      </x:c>
      <x:c r="AJ723" s="14" t="str">
        <x:v>Exact normalised title</x:v>
      </x:c>
      <x:c r="AK723" s="14" t="str">
        <x:v>Medium</x:v>
      </x:c>
      <x:c r="AL723" s="14" t="str">
        <x:v>Verified for commissioner/platform scope; uk original commission.</x:v>
      </x:c>
      <x:c r="AM723" s="17" t="e">
        <x:f>HYPERLINK("https://en.wikipedia.org/wiki/Dalglish","Open source")</x:f>
        <x:v>HYPERLINK is not implemented. linkLocation=https://en.wikipedia.org/wiki/Dalglish, friendlyName=Open source</x:v>
      </x:c>
      <x:c r="AN723" s="14" t="str">
        <x:v>No qualifying BBC relationship</x:v>
      </x:c>
      <x:c r="AO723" s="14" t="str">
        <x:v>No</x:v>
      </x:c>
      <x:c r="AP723" s="14" t="str">
        <x:v>Out of scope</x:v>
      </x:c>
      <x:c r="AQ723" s="14" t="str">
        <x:v>No</x:v>
      </x:c>
      <x:c r="AR723" s="14" t="str">
        <x:v>Resolved from master register</x:v>
      </x:c>
      <x:c r="AS723" s="14" t="str">
        <x:v>No established-register match</x:v>
      </x:c>
      <x:c r="AT723" s="14"/>
      <x:c r="AU723" s="14"/>
      <x:c r="AV723" s="14" t="str">
        <x:v>No established apparent-disability match</x:v>
      </x:c>
      <x:c r="AW723" s="14"/>
      <x:c r="AX723" s="14" t="str">
        <x:v>No</x:v>
      </x:c>
      <x:c r="AY723" s="14" t="str">
        <x:v>Unmatched</x:v>
      </x:c>
      <x:c r="AZ723" s="14" t="str">
        <x:v>Final supplied register</x:v>
      </x:c>
      <x:c r="BA723" s="14" t="str">
        <x:v>Absence from the register is not evidence that the performer is not disabled.</x:v>
      </x:c>
      <x:c r="BB723" s="14" t="str">
        <x:v>No established-register match</x:v>
      </x:c>
      <x:c r="BC723" s="14"/>
      <x:c r="BD723" s="14"/>
      <x:c r="BE723" s="14"/>
      <x:c r="BF723" s="14" t="str">
        <x:v>No established apparent-disability match</x:v>
      </x:c>
      <x:c r="BG723" s="14"/>
      <x:c r="BH723" s="14" t="str">
        <x:v>No</x:v>
      </x:c>
      <x:c r="BI723" s="14"/>
      <x:c r="BJ723" s="14"/>
      <x:c r="BK723" s="14"/>
      <x:c r="BL723" s="14" t="str">
        <x:v>Unmatched</x:v>
      </x:c>
      <x:c r="BM723" s="14" t="str">
        <x:v>Final supplied register</x:v>
      </x:c>
      <x:c r="BN723" s="14" t="str">
        <x:v>Absence from the register is not evidence that the performer is not disabled.</x:v>
      </x:c>
      <x:c r="BO723" s="14" t="n">
        <x:v>18</x:v>
      </x:c>
      <x:c r="BP723" s="14" t="str">
        <x:v>Maximum eligible IMDb cast-credit total (18), shared by 1 performer(s); not independently verified as a 2021-only episode total.</x:v>
      </x:c>
      <x:c r="BQ723" s="14" t="str">
        <x:v>Low</x:v>
      </x:c>
      <x:c r="BR723" s="15" t="n">
        <x:v>2</x:v>
      </x:c>
      <x:c r="BS723" s="16" t="n">
        <x:v>0.1111111111111111</x:v>
      </x:c>
      <x:c r="BT723" s="14" t="str">
        <x:v>Minority of episodes</x:v>
      </x:c>
      <x:c r="BU723" s="14" t="str">
        <x:v>Low</x:v>
      </x:c>
      <x:c r="BV723" s="14" t="str">
        <x:v>Derived from supplied IMDb episode count and the documented production-total proxy.</x:v>
      </x:c>
      <x:c r="BW723" s="14" t="str">
        <x:v>Unable to determine</x:v>
      </x:c>
      <x:c r="BX723" s="14" t="str">
        <x:v>Supplied cast data establishes the credit and episode presence but does not establish narrative prominence.</x:v>
      </x:c>
      <x:c r="BY723" s="14" t="str">
        <x:v>Supplied IMDb cast-list workbook</x:v>
      </x:c>
      <x:c r="BZ72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3" s="14" t="str">
        <x:v>Not classified</x:v>
      </x:c>
      <x:c r="CB723" s="14" t="str">
        <x:v>Unable to determine</x:v>
      </x:c>
      <x:c r="CC723" s="14" t="str">
        <x:v>Unique</x:v>
      </x:c>
      <x:c r="CD723" s="14" t="str">
        <x:v>None identified</x:v>
      </x:c>
    </x:row>
    <x:row r="724">
      <x:c r="A724" s="14" t="str">
        <x:v>tt13430420|nm0862907|malcolm proctor</x:v>
      </x:c>
      <x:c r="B724" s="14" t="str">
        <x:v>01</x:v>
      </x:c>
      <x:c r="C724" s="14" t="str">
        <x:v>2021_IMDb_Cast_Lists_Batch_01(1).xlsx</x:v>
      </x:c>
      <x:c r="D724" s="14" t="str">
        <x:v>Dalgliesh</x:v>
      </x:c>
      <x:c r="E724" s="14" t="n">
        <x:v>93</x:v>
      </x:c>
      <x:c r="F724" s="14" t="str">
        <x:v>Dalgliesh</x:v>
      </x:c>
      <x:c r="G724" s="14" t="str">
        <x:v>tt13430420</x:v>
      </x:c>
      <x:c r="H724" s="14" t="n">
        <x:v>2021</x:v>
      </x:c>
      <x:c r="I724" s="14" t="n">
        <x:v>2023</x:v>
      </x:c>
      <x:c r="J724" s="14" t="str">
        <x:v>Future Carry-Forward Cohort</x:v>
      </x:c>
      <x:c r="K724" s="14" t="n">
        <x:v>2021</x:v>
      </x:c>
      <x:c r="L724" s="14" t="str">
        <x:v>Available from 2021 analysis</x:v>
      </x:c>
      <x:c r="M724" s="15" t="n">
        <x:v>86</x:v>
      </x:c>
      <x:c r="N724" s="14" t="str">
        <x:v>Andrew Tiernan</x:v>
      </x:c>
      <x:c r="O724" s="14" t="str">
        <x:v>nm0862907</x:v>
      </x:c>
      <x:c r="P724" s="14" t="str">
        <x:v>Malcolm Proctor</x:v>
      </x:c>
      <x:c r="Q724" s="15" t="n">
        <x:v>2</x:v>
      </x:c>
      <x:c r="R724" s="14" t="str">
        <x:v>2024</x:v>
      </x:c>
      <x:c r="S724" s="14" t="n">
        <x:v>2024</x:v>
      </x:c>
      <x:c r="T724" s="14" t="n">
        <x:v>2024</x:v>
      </x:c>
      <x:c r="U724" s="14" t="str">
        <x:v>Post-2021 casting excluded</x:v>
      </x:c>
      <x:c r="V724" s="14" t="str">
        <x:v>Earliest supplied year is 2024, later than the 2021 study year.</x:v>
      </x:c>
      <x:c r="W724" s="14"/>
      <x:c r="X724" s="14" t="str">
        <x:v>Carried forward to 2024</x:v>
      </x:c>
      <x:c r="Y724" s="14"/>
      <x:c r="Z724" s="14" t="str">
        <x:v>Dalgliesh.docx</x:v>
      </x:c>
      <x:c r="AA72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4" s="14" t="str">
        <x:v>No established-register match</x:v>
      </x:c>
      <x:c r="AC724" s="14"/>
      <x:c r="AD724" s="14"/>
      <x:c r="AE724" s="14"/>
      <x:c r="AF724" s="14"/>
      <x:c r="AG724" s="14" t="str">
        <x:v>No qualifying conclusion recorded. Absence from the register is not evidence that the performer is not disabled.</x:v>
      </x:c>
      <x:c r="AH724" s="14" t="str">
        <x:v>Channel 5 / 5</x:v>
      </x:c>
      <x:c r="AI724" s="14" t="str">
        <x:v>UK original commission</x:v>
      </x:c>
      <x:c r="AJ724" s="14" t="str">
        <x:v>Exact normalised title</x:v>
      </x:c>
      <x:c r="AK724" s="14" t="str">
        <x:v>Medium</x:v>
      </x:c>
      <x:c r="AL724" s="14" t="str">
        <x:v>Verified for commissioner/platform scope; uk original commission.</x:v>
      </x:c>
      <x:c r="AM724" s="17" t="e">
        <x:f>HYPERLINK("https://en.wikipedia.org/wiki/Dalglish","Open source")</x:f>
        <x:v>HYPERLINK is not implemented. linkLocation=https://en.wikipedia.org/wiki/Dalglish, friendlyName=Open source</x:v>
      </x:c>
      <x:c r="AN724" s="14" t="str">
        <x:v>No qualifying BBC relationship</x:v>
      </x:c>
      <x:c r="AO724" s="14" t="str">
        <x:v>No</x:v>
      </x:c>
      <x:c r="AP724" s="14" t="str">
        <x:v>Out of scope</x:v>
      </x:c>
      <x:c r="AQ724" s="14" t="str">
        <x:v>No</x:v>
      </x:c>
      <x:c r="AR724" s="14" t="str">
        <x:v>Resolved from master register</x:v>
      </x:c>
      <x:c r="AS724" s="14" t="str">
        <x:v>No established-register match</x:v>
      </x:c>
      <x:c r="AT724" s="14"/>
      <x:c r="AU724" s="14"/>
      <x:c r="AV724" s="14" t="str">
        <x:v>No established apparent-disability match</x:v>
      </x:c>
      <x:c r="AW724" s="14"/>
      <x:c r="AX724" s="14" t="str">
        <x:v>No</x:v>
      </x:c>
      <x:c r="AY724" s="14" t="str">
        <x:v>Unmatched</x:v>
      </x:c>
      <x:c r="AZ724" s="14" t="str">
        <x:v>Final supplied register</x:v>
      </x:c>
      <x:c r="BA724" s="14" t="str">
        <x:v>Absence from the register is not evidence that the performer is not disabled.</x:v>
      </x:c>
      <x:c r="BB724" s="14" t="str">
        <x:v>No established-register match</x:v>
      </x:c>
      <x:c r="BC724" s="14"/>
      <x:c r="BD724" s="14"/>
      <x:c r="BE724" s="14"/>
      <x:c r="BF724" s="14" t="str">
        <x:v>No established apparent-disability match</x:v>
      </x:c>
      <x:c r="BG724" s="14"/>
      <x:c r="BH724" s="14" t="str">
        <x:v>No</x:v>
      </x:c>
      <x:c r="BI724" s="14"/>
      <x:c r="BJ724" s="14"/>
      <x:c r="BK724" s="14"/>
      <x:c r="BL724" s="14" t="str">
        <x:v>Unmatched</x:v>
      </x:c>
      <x:c r="BM724" s="14" t="str">
        <x:v>Final supplied register</x:v>
      </x:c>
      <x:c r="BN724" s="14" t="str">
        <x:v>Absence from the register is not evidence that the performer is not disabled.</x:v>
      </x:c>
      <x:c r="BO724" s="14" t="n">
        <x:v>18</x:v>
      </x:c>
      <x:c r="BP724" s="14" t="str">
        <x:v>Maximum eligible IMDb cast-credit total (18), shared by 1 performer(s); not independently verified as a 2021-only episode total.</x:v>
      </x:c>
      <x:c r="BQ724" s="14" t="str">
        <x:v>Low</x:v>
      </x:c>
      <x:c r="BR724" s="15" t="n">
        <x:v>2</x:v>
      </x:c>
      <x:c r="BS724" s="16" t="n">
        <x:v>0.1111111111111111</x:v>
      </x:c>
      <x:c r="BT724" s="14" t="str">
        <x:v>Minority of episodes</x:v>
      </x:c>
      <x:c r="BU724" s="14" t="str">
        <x:v>Low</x:v>
      </x:c>
      <x:c r="BV724" s="14" t="str">
        <x:v>Derived from supplied IMDb episode count and the documented production-total proxy.</x:v>
      </x:c>
      <x:c r="BW724" s="14" t="str">
        <x:v>Unable to determine</x:v>
      </x:c>
      <x:c r="BX724" s="14" t="str">
        <x:v>Supplied cast data establishes the credit and episode presence but does not establish narrative prominence.</x:v>
      </x:c>
      <x:c r="BY724" s="14" t="str">
        <x:v>Supplied IMDb cast-list workbook</x:v>
      </x:c>
      <x:c r="BZ72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4" s="14" t="str">
        <x:v>Not classified</x:v>
      </x:c>
      <x:c r="CB724" s="14" t="str">
        <x:v>Unable to determine</x:v>
      </x:c>
      <x:c r="CC724" s="14" t="str">
        <x:v>Unique</x:v>
      </x:c>
      <x:c r="CD724" s="14" t="str">
        <x:v>None identified</x:v>
      </x:c>
    </x:row>
    <x:row r="725">
      <x:c r="A725" s="14" t="str">
        <x:v>tt13430420|nm7658803|karen surtees</x:v>
      </x:c>
      <x:c r="B725" s="14" t="str">
        <x:v>01</x:v>
      </x:c>
      <x:c r="C725" s="14" t="str">
        <x:v>2021_IMDb_Cast_Lists_Batch_01(1).xlsx</x:v>
      </x:c>
      <x:c r="D725" s="14" t="str">
        <x:v>Dalgliesh</x:v>
      </x:c>
      <x:c r="E725" s="14" t="n">
        <x:v>94</x:v>
      </x:c>
      <x:c r="F725" s="14" t="str">
        <x:v>Dalgliesh</x:v>
      </x:c>
      <x:c r="G725" s="14" t="str">
        <x:v>tt13430420</x:v>
      </x:c>
      <x:c r="H725" s="14" t="n">
        <x:v>2021</x:v>
      </x:c>
      <x:c r="I725" s="14" t="n">
        <x:v>2023</x:v>
      </x:c>
      <x:c r="J725" s="14" t="str">
        <x:v>Future Carry-Forward Cohort</x:v>
      </x:c>
      <x:c r="K725" s="14" t="n">
        <x:v>2021</x:v>
      </x:c>
      <x:c r="L725" s="14" t="str">
        <x:v>Available from 2021 analysis</x:v>
      </x:c>
      <x:c r="M725" s="15" t="n">
        <x:v>87</x:v>
      </x:c>
      <x:c r="N725" s="14" t="str">
        <x:v>Phoebe Sparrow</x:v>
      </x:c>
      <x:c r="O725" s="14" t="str">
        <x:v>nm7658803</x:v>
      </x:c>
      <x:c r="P725" s="14" t="str">
        <x:v>Karen Surtees</x:v>
      </x:c>
      <x:c r="Q725" s="15" t="n">
        <x:v>2</x:v>
      </x:c>
      <x:c r="R725" s="14" t="str">
        <x:v>2024</x:v>
      </x:c>
      <x:c r="S725" s="14" t="n">
        <x:v>2024</x:v>
      </x:c>
      <x:c r="T725" s="14" t="n">
        <x:v>2024</x:v>
      </x:c>
      <x:c r="U725" s="14" t="str">
        <x:v>Post-2021 casting excluded</x:v>
      </x:c>
      <x:c r="V725" s="14" t="str">
        <x:v>Earliest supplied year is 2024, later than the 2021 study year.</x:v>
      </x:c>
      <x:c r="W725" s="14"/>
      <x:c r="X725" s="14" t="str">
        <x:v>Carried forward to 2024</x:v>
      </x:c>
      <x:c r="Y725" s="14"/>
      <x:c r="Z725" s="14" t="str">
        <x:v>Dalgliesh.docx</x:v>
      </x:c>
      <x:c r="AA72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5" s="14" t="str">
        <x:v>No established-register match</x:v>
      </x:c>
      <x:c r="AC725" s="14"/>
      <x:c r="AD725" s="14"/>
      <x:c r="AE725" s="14"/>
      <x:c r="AF725" s="14"/>
      <x:c r="AG725" s="14" t="str">
        <x:v>No qualifying conclusion recorded. Absence from the register is not evidence that the performer is not disabled.</x:v>
      </x:c>
      <x:c r="AH725" s="14" t="str">
        <x:v>Channel 5 / 5</x:v>
      </x:c>
      <x:c r="AI725" s="14" t="str">
        <x:v>UK original commission</x:v>
      </x:c>
      <x:c r="AJ725" s="14" t="str">
        <x:v>Exact normalised title</x:v>
      </x:c>
      <x:c r="AK725" s="14" t="str">
        <x:v>Medium</x:v>
      </x:c>
      <x:c r="AL725" s="14" t="str">
        <x:v>Verified for commissioner/platform scope; uk original commission.</x:v>
      </x:c>
      <x:c r="AM725" s="17" t="e">
        <x:f>HYPERLINK("https://en.wikipedia.org/wiki/Dalglish","Open source")</x:f>
        <x:v>HYPERLINK is not implemented. linkLocation=https://en.wikipedia.org/wiki/Dalglish, friendlyName=Open source</x:v>
      </x:c>
      <x:c r="AN725" s="14" t="str">
        <x:v>No qualifying BBC relationship</x:v>
      </x:c>
      <x:c r="AO725" s="14" t="str">
        <x:v>No</x:v>
      </x:c>
      <x:c r="AP725" s="14" t="str">
        <x:v>Out of scope</x:v>
      </x:c>
      <x:c r="AQ725" s="14" t="str">
        <x:v>No</x:v>
      </x:c>
      <x:c r="AR725" s="14" t="str">
        <x:v>Resolved from master register</x:v>
      </x:c>
      <x:c r="AS725" s="14" t="str">
        <x:v>No established-register match</x:v>
      </x:c>
      <x:c r="AT725" s="14"/>
      <x:c r="AU725" s="14"/>
      <x:c r="AV725" s="14" t="str">
        <x:v>No established apparent-disability match</x:v>
      </x:c>
      <x:c r="AW725" s="14"/>
      <x:c r="AX725" s="14" t="str">
        <x:v>No</x:v>
      </x:c>
      <x:c r="AY725" s="14" t="str">
        <x:v>Unmatched</x:v>
      </x:c>
      <x:c r="AZ725" s="14" t="str">
        <x:v>Final supplied register</x:v>
      </x:c>
      <x:c r="BA725" s="14" t="str">
        <x:v>Absence from the register is not evidence that the performer is not disabled.</x:v>
      </x:c>
      <x:c r="BB725" s="14" t="str">
        <x:v>No established-register match</x:v>
      </x:c>
      <x:c r="BC725" s="14"/>
      <x:c r="BD725" s="14"/>
      <x:c r="BE725" s="14"/>
      <x:c r="BF725" s="14" t="str">
        <x:v>No established apparent-disability match</x:v>
      </x:c>
      <x:c r="BG725" s="14"/>
      <x:c r="BH725" s="14" t="str">
        <x:v>No</x:v>
      </x:c>
      <x:c r="BI725" s="14"/>
      <x:c r="BJ725" s="14"/>
      <x:c r="BK725" s="14"/>
      <x:c r="BL725" s="14" t="str">
        <x:v>Unmatched</x:v>
      </x:c>
      <x:c r="BM725" s="14" t="str">
        <x:v>Final supplied register</x:v>
      </x:c>
      <x:c r="BN725" s="14" t="str">
        <x:v>Absence from the register is not evidence that the performer is not disabled.</x:v>
      </x:c>
      <x:c r="BO725" s="14" t="n">
        <x:v>18</x:v>
      </x:c>
      <x:c r="BP725" s="14" t="str">
        <x:v>Maximum eligible IMDb cast-credit total (18), shared by 1 performer(s); not independently verified as a 2021-only episode total.</x:v>
      </x:c>
      <x:c r="BQ725" s="14" t="str">
        <x:v>Low</x:v>
      </x:c>
      <x:c r="BR725" s="15" t="n">
        <x:v>2</x:v>
      </x:c>
      <x:c r="BS725" s="16" t="n">
        <x:v>0.1111111111111111</x:v>
      </x:c>
      <x:c r="BT725" s="14" t="str">
        <x:v>Minority of episodes</x:v>
      </x:c>
      <x:c r="BU725" s="14" t="str">
        <x:v>Low</x:v>
      </x:c>
      <x:c r="BV725" s="14" t="str">
        <x:v>Derived from supplied IMDb episode count and the documented production-total proxy.</x:v>
      </x:c>
      <x:c r="BW725" s="14" t="str">
        <x:v>Unable to determine</x:v>
      </x:c>
      <x:c r="BX725" s="14" t="str">
        <x:v>Supplied cast data establishes the credit and episode presence but does not establish narrative prominence.</x:v>
      </x:c>
      <x:c r="BY725" s="14" t="str">
        <x:v>Supplied IMDb cast-list workbook</x:v>
      </x:c>
      <x:c r="BZ72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5" s="14" t="str">
        <x:v>Not classified</x:v>
      </x:c>
      <x:c r="CB725" s="14" t="str">
        <x:v>Unable to determine</x:v>
      </x:c>
      <x:c r="CC725" s="14" t="str">
        <x:v>Unique</x:v>
      </x:c>
      <x:c r="CD725" s="14" t="str">
        <x:v>None identified</x:v>
      </x:c>
    </x:row>
    <x:row r="726">
      <x:c r="A726" s="14" t="str">
        <x:v>tt13430420|nm0280659|deputy commissioner norman bracknell</x:v>
      </x:c>
      <x:c r="B726" s="14" t="str">
        <x:v>01</x:v>
      </x:c>
      <x:c r="C726" s="14" t="str">
        <x:v>2021_IMDb_Cast_Lists_Batch_01(1).xlsx</x:v>
      </x:c>
      <x:c r="D726" s="14" t="str">
        <x:v>Dalgliesh</x:v>
      </x:c>
      <x:c r="E726" s="14" t="n">
        <x:v>95</x:v>
      </x:c>
      <x:c r="F726" s="14" t="str">
        <x:v>Dalgliesh</x:v>
      </x:c>
      <x:c r="G726" s="14" t="str">
        <x:v>tt13430420</x:v>
      </x:c>
      <x:c r="H726" s="14" t="n">
        <x:v>2021</x:v>
      </x:c>
      <x:c r="I726" s="14" t="n">
        <x:v>2023</x:v>
      </x:c>
      <x:c r="J726" s="14" t="str">
        <x:v>Future Carry-Forward Cohort</x:v>
      </x:c>
      <x:c r="K726" s="14" t="n">
        <x:v>2021</x:v>
      </x:c>
      <x:c r="L726" s="14" t="str">
        <x:v>Available from 2021 analysis</x:v>
      </x:c>
      <x:c r="M726" s="15" t="n">
        <x:v>88</x:v>
      </x:c>
      <x:c r="N726" s="14" t="str">
        <x:v>Patrick FitzSymons</x:v>
      </x:c>
      <x:c r="O726" s="14" t="str">
        <x:v>nm0280659</x:v>
      </x:c>
      <x:c r="P726" s="14" t="str">
        <x:v>Deputy Commissioner Norman Bracknell</x:v>
      </x:c>
      <x:c r="Q726" s="15" t="n">
        <x:v>2</x:v>
      </x:c>
      <x:c r="R726" s="14" t="str">
        <x:v>2024</x:v>
      </x:c>
      <x:c r="S726" s="14" t="n">
        <x:v>2024</x:v>
      </x:c>
      <x:c r="T726" s="14" t="n">
        <x:v>2024</x:v>
      </x:c>
      <x:c r="U726" s="14" t="str">
        <x:v>Post-2021 casting excluded</x:v>
      </x:c>
      <x:c r="V726" s="14" t="str">
        <x:v>Earliest supplied year is 2024, later than the 2021 study year.</x:v>
      </x:c>
      <x:c r="W726" s="14"/>
      <x:c r="X726" s="14" t="str">
        <x:v>Carried forward to 2024</x:v>
      </x:c>
      <x:c r="Y726" s="14"/>
      <x:c r="Z726" s="14" t="str">
        <x:v>Dalgliesh.docx</x:v>
      </x:c>
      <x:c r="AA72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6" s="14" t="str">
        <x:v>No established-register match</x:v>
      </x:c>
      <x:c r="AC726" s="14"/>
      <x:c r="AD726" s="14"/>
      <x:c r="AE726" s="14"/>
      <x:c r="AF726" s="14"/>
      <x:c r="AG726" s="14" t="str">
        <x:v>No qualifying conclusion recorded. Absence from the register is not evidence that the performer is not disabled.</x:v>
      </x:c>
      <x:c r="AH726" s="14" t="str">
        <x:v>Channel 5 / 5</x:v>
      </x:c>
      <x:c r="AI726" s="14" t="str">
        <x:v>UK original commission</x:v>
      </x:c>
      <x:c r="AJ726" s="14" t="str">
        <x:v>Exact normalised title</x:v>
      </x:c>
      <x:c r="AK726" s="14" t="str">
        <x:v>Medium</x:v>
      </x:c>
      <x:c r="AL726" s="14" t="str">
        <x:v>Verified for commissioner/platform scope; uk original commission.</x:v>
      </x:c>
      <x:c r="AM726" s="17" t="e">
        <x:f>HYPERLINK("https://en.wikipedia.org/wiki/Dalglish","Open source")</x:f>
        <x:v>HYPERLINK is not implemented. linkLocation=https://en.wikipedia.org/wiki/Dalglish, friendlyName=Open source</x:v>
      </x:c>
      <x:c r="AN726" s="14" t="str">
        <x:v>No qualifying BBC relationship</x:v>
      </x:c>
      <x:c r="AO726" s="14" t="str">
        <x:v>No</x:v>
      </x:c>
      <x:c r="AP726" s="14" t="str">
        <x:v>Out of scope</x:v>
      </x:c>
      <x:c r="AQ726" s="14" t="str">
        <x:v>No</x:v>
      </x:c>
      <x:c r="AR726" s="14" t="str">
        <x:v>Resolved from master register</x:v>
      </x:c>
      <x:c r="AS726" s="14" t="str">
        <x:v>No established-register match</x:v>
      </x:c>
      <x:c r="AT726" s="14"/>
      <x:c r="AU726" s="14"/>
      <x:c r="AV726" s="14" t="str">
        <x:v>No established apparent-disability match</x:v>
      </x:c>
      <x:c r="AW726" s="14"/>
      <x:c r="AX726" s="14" t="str">
        <x:v>No</x:v>
      </x:c>
      <x:c r="AY726" s="14" t="str">
        <x:v>Unmatched</x:v>
      </x:c>
      <x:c r="AZ726" s="14" t="str">
        <x:v>Final supplied register</x:v>
      </x:c>
      <x:c r="BA726" s="14" t="str">
        <x:v>Absence from the register is not evidence that the performer is not disabled.</x:v>
      </x:c>
      <x:c r="BB726" s="14" t="str">
        <x:v>No established-register match</x:v>
      </x:c>
      <x:c r="BC726" s="14"/>
      <x:c r="BD726" s="14"/>
      <x:c r="BE726" s="14"/>
      <x:c r="BF726" s="14" t="str">
        <x:v>No established apparent-disability match</x:v>
      </x:c>
      <x:c r="BG726" s="14"/>
      <x:c r="BH726" s="14" t="str">
        <x:v>No</x:v>
      </x:c>
      <x:c r="BI726" s="14"/>
      <x:c r="BJ726" s="14"/>
      <x:c r="BK726" s="14"/>
      <x:c r="BL726" s="14" t="str">
        <x:v>Unmatched</x:v>
      </x:c>
      <x:c r="BM726" s="14" t="str">
        <x:v>Final supplied register</x:v>
      </x:c>
      <x:c r="BN726" s="14" t="str">
        <x:v>Absence from the register is not evidence that the performer is not disabled.</x:v>
      </x:c>
      <x:c r="BO726" s="14" t="n">
        <x:v>18</x:v>
      </x:c>
      <x:c r="BP726" s="14" t="str">
        <x:v>Maximum eligible IMDb cast-credit total (18), shared by 1 performer(s); not independently verified as a 2021-only episode total.</x:v>
      </x:c>
      <x:c r="BQ726" s="14" t="str">
        <x:v>Low</x:v>
      </x:c>
      <x:c r="BR726" s="15" t="n">
        <x:v>2</x:v>
      </x:c>
      <x:c r="BS726" s="16" t="n">
        <x:v>0.1111111111111111</x:v>
      </x:c>
      <x:c r="BT726" s="14" t="str">
        <x:v>Minority of episodes</x:v>
      </x:c>
      <x:c r="BU726" s="14" t="str">
        <x:v>Low</x:v>
      </x:c>
      <x:c r="BV726" s="14" t="str">
        <x:v>Derived from supplied IMDb episode count and the documented production-total proxy.</x:v>
      </x:c>
      <x:c r="BW726" s="14" t="str">
        <x:v>Unable to determine</x:v>
      </x:c>
      <x:c r="BX726" s="14" t="str">
        <x:v>Supplied cast data establishes the credit and episode presence but does not establish narrative prominence.</x:v>
      </x:c>
      <x:c r="BY726" s="14" t="str">
        <x:v>Supplied IMDb cast-list workbook</x:v>
      </x:c>
      <x:c r="BZ72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6" s="14" t="str">
        <x:v>Not classified</x:v>
      </x:c>
      <x:c r="CB726" s="14" t="str">
        <x:v>Unable to determine</x:v>
      </x:c>
      <x:c r="CC726" s="14" t="str">
        <x:v>Unique</x:v>
      </x:c>
      <x:c r="CD726" s="14" t="str">
        <x:v>None identified</x:v>
      </x:c>
    </x:row>
    <x:row r="727">
      <x:c r="A727" s="14" t="str">
        <x:v>tt13430420|nm1711024|simone proctor</x:v>
      </x:c>
      <x:c r="B727" s="14" t="str">
        <x:v>01</x:v>
      </x:c>
      <x:c r="C727" s="14" t="str">
        <x:v>2021_IMDb_Cast_Lists_Batch_01(1).xlsx</x:v>
      </x:c>
      <x:c r="D727" s="14" t="str">
        <x:v>Dalgliesh</x:v>
      </x:c>
      <x:c r="E727" s="14" t="n">
        <x:v>98</x:v>
      </x:c>
      <x:c r="F727" s="14" t="str">
        <x:v>Dalgliesh</x:v>
      </x:c>
      <x:c r="G727" s="14" t="str">
        <x:v>tt13430420</x:v>
      </x:c>
      <x:c r="H727" s="14" t="n">
        <x:v>2021</x:v>
      </x:c>
      <x:c r="I727" s="14" t="n">
        <x:v>2023</x:v>
      </x:c>
      <x:c r="J727" s="14" t="str">
        <x:v>Future Carry-Forward Cohort</x:v>
      </x:c>
      <x:c r="K727" s="14" t="n">
        <x:v>2021</x:v>
      </x:c>
      <x:c r="L727" s="14" t="str">
        <x:v>Available from 2021 analysis</x:v>
      </x:c>
      <x:c r="M727" s="15" t="n">
        <x:v>91</x:v>
      </x:c>
      <x:c r="N727" s="14" t="str">
        <x:v>Anne Bird</x:v>
      </x:c>
      <x:c r="O727" s="14" t="str">
        <x:v>nm1711024</x:v>
      </x:c>
      <x:c r="P727" s="14" t="str">
        <x:v>Simone Proctor</x:v>
      </x:c>
      <x:c r="Q727" s="15" t="n">
        <x:v>2</x:v>
      </x:c>
      <x:c r="R727" s="14" t="str">
        <x:v>2024</x:v>
      </x:c>
      <x:c r="S727" s="14" t="n">
        <x:v>2024</x:v>
      </x:c>
      <x:c r="T727" s="14" t="n">
        <x:v>2024</x:v>
      </x:c>
      <x:c r="U727" s="14" t="str">
        <x:v>Post-2021 casting excluded</x:v>
      </x:c>
      <x:c r="V727" s="14" t="str">
        <x:v>Earliest supplied year is 2024, later than the 2021 study year.</x:v>
      </x:c>
      <x:c r="W727" s="14"/>
      <x:c r="X727" s="14" t="str">
        <x:v>Carried forward to 2024</x:v>
      </x:c>
      <x:c r="Y727" s="14"/>
      <x:c r="Z727" s="14" t="str">
        <x:v>Dalgliesh.docx</x:v>
      </x:c>
      <x:c r="AA72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7" s="14" t="str">
        <x:v>No established-register match</x:v>
      </x:c>
      <x:c r="AC727" s="14"/>
      <x:c r="AD727" s="14"/>
      <x:c r="AE727" s="14"/>
      <x:c r="AF727" s="14"/>
      <x:c r="AG727" s="14" t="str">
        <x:v>No qualifying conclusion recorded. Absence from the register is not evidence that the performer is not disabled.</x:v>
      </x:c>
      <x:c r="AH727" s="14" t="str">
        <x:v>Channel 5 / 5</x:v>
      </x:c>
      <x:c r="AI727" s="14" t="str">
        <x:v>UK original commission</x:v>
      </x:c>
      <x:c r="AJ727" s="14" t="str">
        <x:v>Exact normalised title</x:v>
      </x:c>
      <x:c r="AK727" s="14" t="str">
        <x:v>Medium</x:v>
      </x:c>
      <x:c r="AL727" s="14" t="str">
        <x:v>Verified for commissioner/platform scope; uk original commission.</x:v>
      </x:c>
      <x:c r="AM727" s="17" t="e">
        <x:f>HYPERLINK("https://en.wikipedia.org/wiki/Dalglish","Open source")</x:f>
        <x:v>HYPERLINK is not implemented. linkLocation=https://en.wikipedia.org/wiki/Dalglish, friendlyName=Open source</x:v>
      </x:c>
      <x:c r="AN727" s="14" t="str">
        <x:v>No qualifying BBC relationship</x:v>
      </x:c>
      <x:c r="AO727" s="14" t="str">
        <x:v>No</x:v>
      </x:c>
      <x:c r="AP727" s="14" t="str">
        <x:v>Out of scope</x:v>
      </x:c>
      <x:c r="AQ727" s="14" t="str">
        <x:v>No</x:v>
      </x:c>
      <x:c r="AR727" s="14" t="str">
        <x:v>Resolved from master register</x:v>
      </x:c>
      <x:c r="AS727" s="14" t="str">
        <x:v>No established-register match</x:v>
      </x:c>
      <x:c r="AT727" s="14"/>
      <x:c r="AU727" s="14"/>
      <x:c r="AV727" s="14" t="str">
        <x:v>No established apparent-disability match</x:v>
      </x:c>
      <x:c r="AW727" s="14"/>
      <x:c r="AX727" s="14" t="str">
        <x:v>No</x:v>
      </x:c>
      <x:c r="AY727" s="14" t="str">
        <x:v>Unmatched</x:v>
      </x:c>
      <x:c r="AZ727" s="14" t="str">
        <x:v>Final supplied register</x:v>
      </x:c>
      <x:c r="BA727" s="14" t="str">
        <x:v>Absence from the register is not evidence that the performer is not disabled.</x:v>
      </x:c>
      <x:c r="BB727" s="14" t="str">
        <x:v>No established-register match</x:v>
      </x:c>
      <x:c r="BC727" s="14"/>
      <x:c r="BD727" s="14"/>
      <x:c r="BE727" s="14"/>
      <x:c r="BF727" s="14" t="str">
        <x:v>No established apparent-disability match</x:v>
      </x:c>
      <x:c r="BG727" s="14"/>
      <x:c r="BH727" s="14" t="str">
        <x:v>No</x:v>
      </x:c>
      <x:c r="BI727" s="14"/>
      <x:c r="BJ727" s="14"/>
      <x:c r="BK727" s="14"/>
      <x:c r="BL727" s="14" t="str">
        <x:v>Unmatched</x:v>
      </x:c>
      <x:c r="BM727" s="14" t="str">
        <x:v>Final supplied register</x:v>
      </x:c>
      <x:c r="BN727" s="14" t="str">
        <x:v>Absence from the register is not evidence that the performer is not disabled.</x:v>
      </x:c>
      <x:c r="BO727" s="14" t="n">
        <x:v>18</x:v>
      </x:c>
      <x:c r="BP727" s="14" t="str">
        <x:v>Maximum eligible IMDb cast-credit total (18), shared by 1 performer(s); not independently verified as a 2021-only episode total.</x:v>
      </x:c>
      <x:c r="BQ727" s="14" t="str">
        <x:v>Low</x:v>
      </x:c>
      <x:c r="BR727" s="15" t="n">
        <x:v>2</x:v>
      </x:c>
      <x:c r="BS727" s="16" t="n">
        <x:v>0.1111111111111111</x:v>
      </x:c>
      <x:c r="BT727" s="14" t="str">
        <x:v>Minority of episodes</x:v>
      </x:c>
      <x:c r="BU727" s="14" t="str">
        <x:v>Low</x:v>
      </x:c>
      <x:c r="BV727" s="14" t="str">
        <x:v>Derived from supplied IMDb episode count and the documented production-total proxy.</x:v>
      </x:c>
      <x:c r="BW727" s="14" t="str">
        <x:v>Unable to determine</x:v>
      </x:c>
      <x:c r="BX727" s="14" t="str">
        <x:v>Supplied cast data establishes the credit and episode presence but does not establish narrative prominence.</x:v>
      </x:c>
      <x:c r="BY727" s="14" t="str">
        <x:v>Supplied IMDb cast-list workbook</x:v>
      </x:c>
      <x:c r="BZ72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7" s="14" t="str">
        <x:v>Not classified</x:v>
      </x:c>
      <x:c r="CB727" s="14" t="str">
        <x:v>Unable to determine</x:v>
      </x:c>
      <x:c r="CC727" s="14" t="str">
        <x:v>Unique</x:v>
      </x:c>
      <x:c r="CD727" s="14" t="str">
        <x:v>None identified</x:v>
      </x:c>
    </x:row>
    <x:row r="728">
      <x:c r="A728" s="14" t="str">
        <x:v>tt13430420|nm4893159|charlotte tyson</x:v>
      </x:c>
      <x:c r="B728" s="14" t="str">
        <x:v>01</x:v>
      </x:c>
      <x:c r="C728" s="14" t="str">
        <x:v>2021_IMDb_Cast_Lists_Batch_01(1).xlsx</x:v>
      </x:c>
      <x:c r="D728" s="14" t="str">
        <x:v>Dalgliesh</x:v>
      </x:c>
      <x:c r="E728" s="14" t="n">
        <x:v>101</x:v>
      </x:c>
      <x:c r="F728" s="14" t="str">
        <x:v>Dalgliesh</x:v>
      </x:c>
      <x:c r="G728" s="14" t="str">
        <x:v>tt13430420</x:v>
      </x:c>
      <x:c r="H728" s="14" t="n">
        <x:v>2021</x:v>
      </x:c>
      <x:c r="I728" s="14" t="n">
        <x:v>2023</x:v>
      </x:c>
      <x:c r="J728" s="14" t="str">
        <x:v>Future Carry-Forward Cohort</x:v>
      </x:c>
      <x:c r="K728" s="14" t="n">
        <x:v>2021</x:v>
      </x:c>
      <x:c r="L728" s="14" t="str">
        <x:v>Available from 2021 analysis</x:v>
      </x:c>
      <x:c r="M728" s="15" t="n">
        <x:v>94</x:v>
      </x:c>
      <x:c r="N728" s="14" t="str">
        <x:v>Georgina Beedle</x:v>
      </x:c>
      <x:c r="O728" s="14" t="str">
        <x:v>nm4893159</x:v>
      </x:c>
      <x:c r="P728" s="14" t="str">
        <x:v>Charlotte Tyson</x:v>
      </x:c>
      <x:c r="Q728" s="15" t="n">
        <x:v>2</x:v>
      </x:c>
      <x:c r="R728" s="14" t="str">
        <x:v>2024</x:v>
      </x:c>
      <x:c r="S728" s="14" t="n">
        <x:v>2024</x:v>
      </x:c>
      <x:c r="T728" s="14" t="n">
        <x:v>2024</x:v>
      </x:c>
      <x:c r="U728" s="14" t="str">
        <x:v>Post-2021 casting excluded</x:v>
      </x:c>
      <x:c r="V728" s="14" t="str">
        <x:v>Earliest supplied year is 2024, later than the 2021 study year.</x:v>
      </x:c>
      <x:c r="W728" s="14"/>
      <x:c r="X728" s="14" t="str">
        <x:v>Carried forward to 2024</x:v>
      </x:c>
      <x:c r="Y728" s="14"/>
      <x:c r="Z728" s="14" t="str">
        <x:v>Dalgliesh.docx</x:v>
      </x:c>
      <x:c r="AA72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8" s="14" t="str">
        <x:v>No established-register match</x:v>
      </x:c>
      <x:c r="AC728" s="14"/>
      <x:c r="AD728" s="14"/>
      <x:c r="AE728" s="14"/>
      <x:c r="AF728" s="14"/>
      <x:c r="AG728" s="14" t="str">
        <x:v>No qualifying conclusion recorded. Absence from the register is not evidence that the performer is not disabled.</x:v>
      </x:c>
      <x:c r="AH728" s="14" t="str">
        <x:v>Channel 5 / 5</x:v>
      </x:c>
      <x:c r="AI728" s="14" t="str">
        <x:v>UK original commission</x:v>
      </x:c>
      <x:c r="AJ728" s="14" t="str">
        <x:v>Exact normalised title</x:v>
      </x:c>
      <x:c r="AK728" s="14" t="str">
        <x:v>Medium</x:v>
      </x:c>
      <x:c r="AL728" s="14" t="str">
        <x:v>Verified for commissioner/platform scope; uk original commission.</x:v>
      </x:c>
      <x:c r="AM728" s="17" t="e">
        <x:f>HYPERLINK("https://en.wikipedia.org/wiki/Dalglish","Open source")</x:f>
        <x:v>HYPERLINK is not implemented. linkLocation=https://en.wikipedia.org/wiki/Dalglish, friendlyName=Open source</x:v>
      </x:c>
      <x:c r="AN728" s="14" t="str">
        <x:v>No qualifying BBC relationship</x:v>
      </x:c>
      <x:c r="AO728" s="14" t="str">
        <x:v>No</x:v>
      </x:c>
      <x:c r="AP728" s="14" t="str">
        <x:v>Out of scope</x:v>
      </x:c>
      <x:c r="AQ728" s="14" t="str">
        <x:v>No</x:v>
      </x:c>
      <x:c r="AR728" s="14" t="str">
        <x:v>Resolved from master register</x:v>
      </x:c>
      <x:c r="AS728" s="14" t="str">
        <x:v>No established-register match</x:v>
      </x:c>
      <x:c r="AT728" s="14"/>
      <x:c r="AU728" s="14"/>
      <x:c r="AV728" s="14" t="str">
        <x:v>No established apparent-disability match</x:v>
      </x:c>
      <x:c r="AW728" s="14"/>
      <x:c r="AX728" s="14" t="str">
        <x:v>No</x:v>
      </x:c>
      <x:c r="AY728" s="14" t="str">
        <x:v>Unmatched</x:v>
      </x:c>
      <x:c r="AZ728" s="14" t="str">
        <x:v>Final supplied register</x:v>
      </x:c>
      <x:c r="BA728" s="14" t="str">
        <x:v>Absence from the register is not evidence that the performer is not disabled.</x:v>
      </x:c>
      <x:c r="BB728" s="14" t="str">
        <x:v>No established-register match</x:v>
      </x:c>
      <x:c r="BC728" s="14"/>
      <x:c r="BD728" s="14"/>
      <x:c r="BE728" s="14"/>
      <x:c r="BF728" s="14" t="str">
        <x:v>No established apparent-disability match</x:v>
      </x:c>
      <x:c r="BG728" s="14"/>
      <x:c r="BH728" s="14" t="str">
        <x:v>No</x:v>
      </x:c>
      <x:c r="BI728" s="14"/>
      <x:c r="BJ728" s="14"/>
      <x:c r="BK728" s="14"/>
      <x:c r="BL728" s="14" t="str">
        <x:v>Unmatched</x:v>
      </x:c>
      <x:c r="BM728" s="14" t="str">
        <x:v>Final supplied register</x:v>
      </x:c>
      <x:c r="BN728" s="14" t="str">
        <x:v>Absence from the register is not evidence that the performer is not disabled.</x:v>
      </x:c>
      <x:c r="BO728" s="14" t="n">
        <x:v>18</x:v>
      </x:c>
      <x:c r="BP728" s="14" t="str">
        <x:v>Maximum eligible IMDb cast-credit total (18), shared by 1 performer(s); not independently verified as a 2021-only episode total.</x:v>
      </x:c>
      <x:c r="BQ728" s="14" t="str">
        <x:v>Low</x:v>
      </x:c>
      <x:c r="BR728" s="15" t="n">
        <x:v>2</x:v>
      </x:c>
      <x:c r="BS728" s="16" t="n">
        <x:v>0.1111111111111111</x:v>
      </x:c>
      <x:c r="BT728" s="14" t="str">
        <x:v>Minority of episodes</x:v>
      </x:c>
      <x:c r="BU728" s="14" t="str">
        <x:v>Low</x:v>
      </x:c>
      <x:c r="BV728" s="14" t="str">
        <x:v>Derived from supplied IMDb episode count and the documented production-total proxy.</x:v>
      </x:c>
      <x:c r="BW728" s="14" t="str">
        <x:v>Unable to determine</x:v>
      </x:c>
      <x:c r="BX728" s="14" t="str">
        <x:v>Supplied cast data establishes the credit and episode presence but does not establish narrative prominence.</x:v>
      </x:c>
      <x:c r="BY728" s="14" t="str">
        <x:v>Supplied IMDb cast-list workbook</x:v>
      </x:c>
      <x:c r="BZ72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8" s="14" t="str">
        <x:v>Not classified</x:v>
      </x:c>
      <x:c r="CB728" s="14" t="str">
        <x:v>Unable to determine</x:v>
      </x:c>
      <x:c r="CC728" s="14" t="str">
        <x:v>Unique</x:v>
      </x:c>
      <x:c r="CD728" s="14" t="str">
        <x:v>None identified</x:v>
      </x:c>
    </x:row>
    <x:row r="729">
      <x:c r="A729" s="14" t="str">
        <x:v>tt13430420|nm4519743|bill harding</x:v>
      </x:c>
      <x:c r="B729" s="14" t="str">
        <x:v>01</x:v>
      </x:c>
      <x:c r="C729" s="14" t="str">
        <x:v>2021_IMDb_Cast_Lists_Batch_01(1).xlsx</x:v>
      </x:c>
      <x:c r="D729" s="14" t="str">
        <x:v>Dalgliesh</x:v>
      </x:c>
      <x:c r="E729" s="14" t="n">
        <x:v>103</x:v>
      </x:c>
      <x:c r="F729" s="14" t="str">
        <x:v>Dalgliesh</x:v>
      </x:c>
      <x:c r="G729" s="14" t="str">
        <x:v>tt13430420</x:v>
      </x:c>
      <x:c r="H729" s="14" t="n">
        <x:v>2021</x:v>
      </x:c>
      <x:c r="I729" s="14" t="n">
        <x:v>2023</x:v>
      </x:c>
      <x:c r="J729" s="14" t="str">
        <x:v>Future Carry-Forward Cohort</x:v>
      </x:c>
      <x:c r="K729" s="14" t="n">
        <x:v>2021</x:v>
      </x:c>
      <x:c r="L729" s="14" t="str">
        <x:v>Available from 2021 analysis</x:v>
      </x:c>
      <x:c r="M729" s="15" t="n">
        <x:v>96</x:v>
      </x:c>
      <x:c r="N729" s="14" t="str">
        <x:v>Will Close</x:v>
      </x:c>
      <x:c r="O729" s="14" t="str">
        <x:v>nm4519743</x:v>
      </x:c>
      <x:c r="P729" s="14" t="str">
        <x:v>Bill Harding</x:v>
      </x:c>
      <x:c r="Q729" s="15" t="n">
        <x:v>2</x:v>
      </x:c>
      <x:c r="R729" s="14" t="str">
        <x:v>2024</x:v>
      </x:c>
      <x:c r="S729" s="14" t="n">
        <x:v>2024</x:v>
      </x:c>
      <x:c r="T729" s="14" t="n">
        <x:v>2024</x:v>
      </x:c>
      <x:c r="U729" s="14" t="str">
        <x:v>Post-2021 casting excluded</x:v>
      </x:c>
      <x:c r="V729" s="14" t="str">
        <x:v>Earliest supplied year is 2024, later than the 2021 study year.</x:v>
      </x:c>
      <x:c r="W729" s="14"/>
      <x:c r="X729" s="14" t="str">
        <x:v>Carried forward to 2024</x:v>
      </x:c>
      <x:c r="Y729" s="14"/>
      <x:c r="Z729" s="14" t="str">
        <x:v>Dalgliesh.docx</x:v>
      </x:c>
      <x:c r="AA72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9" s="14" t="str">
        <x:v>No established-register match</x:v>
      </x:c>
      <x:c r="AC729" s="14"/>
      <x:c r="AD729" s="14"/>
      <x:c r="AE729" s="14"/>
      <x:c r="AF729" s="14"/>
      <x:c r="AG729" s="14" t="str">
        <x:v>No qualifying conclusion recorded. Absence from the register is not evidence that the performer is not disabled.</x:v>
      </x:c>
      <x:c r="AH729" s="14" t="str">
        <x:v>Channel 5 / 5</x:v>
      </x:c>
      <x:c r="AI729" s="14" t="str">
        <x:v>UK original commission</x:v>
      </x:c>
      <x:c r="AJ729" s="14" t="str">
        <x:v>Exact normalised title</x:v>
      </x:c>
      <x:c r="AK729" s="14" t="str">
        <x:v>Medium</x:v>
      </x:c>
      <x:c r="AL729" s="14" t="str">
        <x:v>Verified for commissioner/platform scope; uk original commission.</x:v>
      </x:c>
      <x:c r="AM729" s="17" t="e">
        <x:f>HYPERLINK("https://en.wikipedia.org/wiki/Dalglish","Open source")</x:f>
        <x:v>HYPERLINK is not implemented. linkLocation=https://en.wikipedia.org/wiki/Dalglish, friendlyName=Open source</x:v>
      </x:c>
      <x:c r="AN729" s="14" t="str">
        <x:v>No qualifying BBC relationship</x:v>
      </x:c>
      <x:c r="AO729" s="14" t="str">
        <x:v>No</x:v>
      </x:c>
      <x:c r="AP729" s="14" t="str">
        <x:v>Out of scope</x:v>
      </x:c>
      <x:c r="AQ729" s="14" t="str">
        <x:v>No</x:v>
      </x:c>
      <x:c r="AR729" s="14" t="str">
        <x:v>Resolved from master register</x:v>
      </x:c>
      <x:c r="AS729" s="14" t="str">
        <x:v>No established-register match</x:v>
      </x:c>
      <x:c r="AT729" s="14"/>
      <x:c r="AU729" s="14"/>
      <x:c r="AV729" s="14" t="str">
        <x:v>No established apparent-disability match</x:v>
      </x:c>
      <x:c r="AW729" s="14"/>
      <x:c r="AX729" s="14" t="str">
        <x:v>No</x:v>
      </x:c>
      <x:c r="AY729" s="14" t="str">
        <x:v>Unmatched</x:v>
      </x:c>
      <x:c r="AZ729" s="14" t="str">
        <x:v>Final supplied register</x:v>
      </x:c>
      <x:c r="BA729" s="14" t="str">
        <x:v>Absence from the register is not evidence that the performer is not disabled.</x:v>
      </x:c>
      <x:c r="BB729" s="14" t="str">
        <x:v>No established-register match</x:v>
      </x:c>
      <x:c r="BC729" s="14"/>
      <x:c r="BD729" s="14"/>
      <x:c r="BE729" s="14"/>
      <x:c r="BF729" s="14" t="str">
        <x:v>No established apparent-disability match</x:v>
      </x:c>
      <x:c r="BG729" s="14"/>
      <x:c r="BH729" s="14" t="str">
        <x:v>No</x:v>
      </x:c>
      <x:c r="BI729" s="14"/>
      <x:c r="BJ729" s="14"/>
      <x:c r="BK729" s="14"/>
      <x:c r="BL729" s="14" t="str">
        <x:v>Unmatched</x:v>
      </x:c>
      <x:c r="BM729" s="14" t="str">
        <x:v>Final supplied register</x:v>
      </x:c>
      <x:c r="BN729" s="14" t="str">
        <x:v>Absence from the register is not evidence that the performer is not disabled.</x:v>
      </x:c>
      <x:c r="BO729" s="14" t="n">
        <x:v>18</x:v>
      </x:c>
      <x:c r="BP729" s="14" t="str">
        <x:v>Maximum eligible IMDb cast-credit total (18), shared by 1 performer(s); not independently verified as a 2021-only episode total.</x:v>
      </x:c>
      <x:c r="BQ729" s="14" t="str">
        <x:v>Low</x:v>
      </x:c>
      <x:c r="BR729" s="15" t="n">
        <x:v>2</x:v>
      </x:c>
      <x:c r="BS729" s="16" t="n">
        <x:v>0.1111111111111111</x:v>
      </x:c>
      <x:c r="BT729" s="14" t="str">
        <x:v>Minority of episodes</x:v>
      </x:c>
      <x:c r="BU729" s="14" t="str">
        <x:v>Low</x:v>
      </x:c>
      <x:c r="BV729" s="14" t="str">
        <x:v>Derived from supplied IMDb episode count and the documented production-total proxy.</x:v>
      </x:c>
      <x:c r="BW729" s="14" t="str">
        <x:v>Unable to determine</x:v>
      </x:c>
      <x:c r="BX729" s="14" t="str">
        <x:v>Supplied cast data establishes the credit and episode presence but does not establish narrative prominence.</x:v>
      </x:c>
      <x:c r="BY729" s="14" t="str">
        <x:v>Supplied IMDb cast-list workbook</x:v>
      </x:c>
      <x:c r="BZ72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9" s="14" t="str">
        <x:v>Not classified</x:v>
      </x:c>
      <x:c r="CB729" s="14" t="str">
        <x:v>Unable to determine</x:v>
      </x:c>
      <x:c r="CC729" s="14" t="str">
        <x:v>Unique</x:v>
      </x:c>
      <x:c r="CD729" s="14" t="str">
        <x:v>None identified</x:v>
      </x:c>
    </x:row>
    <x:row r="730">
      <x:c r="A730" s="14" t="str">
        <x:v>tt13430420|nm1573210|neil pascoe</x:v>
      </x:c>
      <x:c r="B730" s="14" t="str">
        <x:v>01</x:v>
      </x:c>
      <x:c r="C730" s="14" t="str">
        <x:v>2021_IMDb_Cast_Lists_Batch_01(1).xlsx</x:v>
      </x:c>
      <x:c r="D730" s="14" t="str">
        <x:v>Dalgliesh</x:v>
      </x:c>
      <x:c r="E730" s="14" t="n">
        <x:v>104</x:v>
      </x:c>
      <x:c r="F730" s="14" t="str">
        <x:v>Dalgliesh</x:v>
      </x:c>
      <x:c r="G730" s="14" t="str">
        <x:v>tt13430420</x:v>
      </x:c>
      <x:c r="H730" s="14" t="n">
        <x:v>2021</x:v>
      </x:c>
      <x:c r="I730" s="14" t="n">
        <x:v>2023</x:v>
      </x:c>
      <x:c r="J730" s="14" t="str">
        <x:v>Future Carry-Forward Cohort</x:v>
      </x:c>
      <x:c r="K730" s="14" t="n">
        <x:v>2021</x:v>
      </x:c>
      <x:c r="L730" s="14" t="str">
        <x:v>Available from 2021 analysis</x:v>
      </x:c>
      <x:c r="M730" s="15" t="n">
        <x:v>97</x:v>
      </x:c>
      <x:c r="N730" s="14" t="str">
        <x:v>Robert Lonsdale</x:v>
      </x:c>
      <x:c r="O730" s="14" t="str">
        <x:v>nm1573210</x:v>
      </x:c>
      <x:c r="P730" s="14" t="str">
        <x:v>Neil Pascoe</x:v>
      </x:c>
      <x:c r="Q730" s="15" t="n">
        <x:v>2</x:v>
      </x:c>
      <x:c r="R730" s="14" t="str">
        <x:v>2024</x:v>
      </x:c>
      <x:c r="S730" s="14" t="n">
        <x:v>2024</x:v>
      </x:c>
      <x:c r="T730" s="14" t="n">
        <x:v>2024</x:v>
      </x:c>
      <x:c r="U730" s="14" t="str">
        <x:v>Post-2021 casting excluded</x:v>
      </x:c>
      <x:c r="V730" s="14" t="str">
        <x:v>Earliest supplied year is 2024, later than the 2021 study year.</x:v>
      </x:c>
      <x:c r="W730" s="14"/>
      <x:c r="X730" s="14" t="str">
        <x:v>Carried forward to 2024</x:v>
      </x:c>
      <x:c r="Y730" s="14"/>
      <x:c r="Z730" s="14" t="str">
        <x:v>Dalgliesh.docx</x:v>
      </x:c>
      <x:c r="AA73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0" s="14" t="str">
        <x:v>No established-register match</x:v>
      </x:c>
      <x:c r="AC730" s="14"/>
      <x:c r="AD730" s="14"/>
      <x:c r="AE730" s="14"/>
      <x:c r="AF730" s="14"/>
      <x:c r="AG730" s="14" t="str">
        <x:v>No qualifying conclusion recorded. Absence from the register is not evidence that the performer is not disabled.</x:v>
      </x:c>
      <x:c r="AH730" s="14" t="str">
        <x:v>Channel 5 / 5</x:v>
      </x:c>
      <x:c r="AI730" s="14" t="str">
        <x:v>UK original commission</x:v>
      </x:c>
      <x:c r="AJ730" s="14" t="str">
        <x:v>Exact normalised title</x:v>
      </x:c>
      <x:c r="AK730" s="14" t="str">
        <x:v>Medium</x:v>
      </x:c>
      <x:c r="AL730" s="14" t="str">
        <x:v>Verified for commissioner/platform scope; uk original commission.</x:v>
      </x:c>
      <x:c r="AM730" s="17" t="e">
        <x:f>HYPERLINK("https://en.wikipedia.org/wiki/Dalglish","Open source")</x:f>
        <x:v>HYPERLINK is not implemented. linkLocation=https://en.wikipedia.org/wiki/Dalglish, friendlyName=Open source</x:v>
      </x:c>
      <x:c r="AN730" s="14" t="str">
        <x:v>No qualifying BBC relationship</x:v>
      </x:c>
      <x:c r="AO730" s="14" t="str">
        <x:v>No</x:v>
      </x:c>
      <x:c r="AP730" s="14" t="str">
        <x:v>Out of scope</x:v>
      </x:c>
      <x:c r="AQ730" s="14" t="str">
        <x:v>No</x:v>
      </x:c>
      <x:c r="AR730" s="14" t="str">
        <x:v>Resolved from master register</x:v>
      </x:c>
      <x:c r="AS730" s="14" t="str">
        <x:v>No established-register match</x:v>
      </x:c>
      <x:c r="AT730" s="14"/>
      <x:c r="AU730" s="14"/>
      <x:c r="AV730" s="14" t="str">
        <x:v>No established apparent-disability match</x:v>
      </x:c>
      <x:c r="AW730" s="14"/>
      <x:c r="AX730" s="14" t="str">
        <x:v>No</x:v>
      </x:c>
      <x:c r="AY730" s="14" t="str">
        <x:v>Unmatched</x:v>
      </x:c>
      <x:c r="AZ730" s="14" t="str">
        <x:v>Final supplied register</x:v>
      </x:c>
      <x:c r="BA730" s="14" t="str">
        <x:v>Absence from the register is not evidence that the performer is not disabled.</x:v>
      </x:c>
      <x:c r="BB730" s="14" t="str">
        <x:v>No established-register match</x:v>
      </x:c>
      <x:c r="BC730" s="14"/>
      <x:c r="BD730" s="14"/>
      <x:c r="BE730" s="14"/>
      <x:c r="BF730" s="14" t="str">
        <x:v>No established apparent-disability match</x:v>
      </x:c>
      <x:c r="BG730" s="14"/>
      <x:c r="BH730" s="14" t="str">
        <x:v>No</x:v>
      </x:c>
      <x:c r="BI730" s="14"/>
      <x:c r="BJ730" s="14"/>
      <x:c r="BK730" s="14"/>
      <x:c r="BL730" s="14" t="str">
        <x:v>Unmatched</x:v>
      </x:c>
      <x:c r="BM730" s="14" t="str">
        <x:v>Final supplied register</x:v>
      </x:c>
      <x:c r="BN730" s="14" t="str">
        <x:v>Absence from the register is not evidence that the performer is not disabled.</x:v>
      </x:c>
      <x:c r="BO730" s="14" t="n">
        <x:v>18</x:v>
      </x:c>
      <x:c r="BP730" s="14" t="str">
        <x:v>Maximum eligible IMDb cast-credit total (18), shared by 1 performer(s); not independently verified as a 2021-only episode total.</x:v>
      </x:c>
      <x:c r="BQ730" s="14" t="str">
        <x:v>Low</x:v>
      </x:c>
      <x:c r="BR730" s="15" t="n">
        <x:v>2</x:v>
      </x:c>
      <x:c r="BS730" s="16" t="n">
        <x:v>0.1111111111111111</x:v>
      </x:c>
      <x:c r="BT730" s="14" t="str">
        <x:v>Minority of episodes</x:v>
      </x:c>
      <x:c r="BU730" s="14" t="str">
        <x:v>Low</x:v>
      </x:c>
      <x:c r="BV730" s="14" t="str">
        <x:v>Derived from supplied IMDb episode count and the documented production-total proxy.</x:v>
      </x:c>
      <x:c r="BW730" s="14" t="str">
        <x:v>Unable to determine</x:v>
      </x:c>
      <x:c r="BX730" s="14" t="str">
        <x:v>Supplied cast data establishes the credit and episode presence but does not establish narrative prominence.</x:v>
      </x:c>
      <x:c r="BY730" s="14" t="str">
        <x:v>Supplied IMDb cast-list workbook</x:v>
      </x:c>
      <x:c r="BZ73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0" s="14" t="str">
        <x:v>Not classified</x:v>
      </x:c>
      <x:c r="CB730" s="14" t="str">
        <x:v>Unable to determine</x:v>
      </x:c>
      <x:c r="CC730" s="14" t="str">
        <x:v>Unique</x:v>
      </x:c>
      <x:c r="CD730" s="14" t="str">
        <x:v>None identified</x:v>
      </x:c>
    </x:row>
    <x:row r="731">
      <x:c r="A731" s="14" t="str">
        <x:v>tt13430420|nm12779199|amy camm / any camm</x:v>
      </x:c>
      <x:c r="B731" s="14" t="str">
        <x:v>01</x:v>
      </x:c>
      <x:c r="C731" s="14" t="str">
        <x:v>2021_IMDb_Cast_Lists_Batch_01(1).xlsx</x:v>
      </x:c>
      <x:c r="D731" s="14" t="str">
        <x:v>Dalgliesh</x:v>
      </x:c>
      <x:c r="E731" s="14" t="n">
        <x:v>109</x:v>
      </x:c>
      <x:c r="F731" s="14" t="str">
        <x:v>Dalgliesh</x:v>
      </x:c>
      <x:c r="G731" s="14" t="str">
        <x:v>tt13430420</x:v>
      </x:c>
      <x:c r="H731" s="14" t="n">
        <x:v>2021</x:v>
      </x:c>
      <x:c r="I731" s="14" t="n">
        <x:v>2023</x:v>
      </x:c>
      <x:c r="J731" s="14" t="str">
        <x:v>Future Carry-Forward Cohort</x:v>
      </x:c>
      <x:c r="K731" s="14" t="n">
        <x:v>2021</x:v>
      </x:c>
      <x:c r="L731" s="14" t="str">
        <x:v>Available from 2021 analysis</x:v>
      </x:c>
      <x:c r="M731" s="15" t="n">
        <x:v>102</x:v>
      </x:c>
      <x:c r="N731" s="14" t="str">
        <x:v>Elizabeth Connick</x:v>
      </x:c>
      <x:c r="O731" s="14" t="str">
        <x:v>nm12779199</x:v>
      </x:c>
      <x:c r="P731" s="14" t="str">
        <x:v>Amy Camm / Any Camm</x:v>
      </x:c>
      <x:c r="Q731" s="15" t="n">
        <x:v>2</x:v>
      </x:c>
      <x:c r="R731" s="14" t="str">
        <x:v>2024</x:v>
      </x:c>
      <x:c r="S731" s="14" t="n">
        <x:v>2024</x:v>
      </x:c>
      <x:c r="T731" s="14" t="n">
        <x:v>2024</x:v>
      </x:c>
      <x:c r="U731" s="14" t="str">
        <x:v>Post-2021 casting excluded</x:v>
      </x:c>
      <x:c r="V731" s="14" t="str">
        <x:v>Earliest supplied year is 2024, later than the 2021 study year.</x:v>
      </x:c>
      <x:c r="W731" s="14"/>
      <x:c r="X731" s="14" t="str">
        <x:v>Carried forward to 2024</x:v>
      </x:c>
      <x:c r="Y731" s="14"/>
      <x:c r="Z731" s="14" t="str">
        <x:v>Dalgliesh.docx</x:v>
      </x:c>
      <x:c r="AA73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1" s="14" t="str">
        <x:v>No established-register match</x:v>
      </x:c>
      <x:c r="AC731" s="14"/>
      <x:c r="AD731" s="14"/>
      <x:c r="AE731" s="14"/>
      <x:c r="AF731" s="14"/>
      <x:c r="AG731" s="14" t="str">
        <x:v>No qualifying conclusion recorded. Absence from the register is not evidence that the performer is not disabled.</x:v>
      </x:c>
      <x:c r="AH731" s="14" t="str">
        <x:v>Channel 5 / 5</x:v>
      </x:c>
      <x:c r="AI731" s="14" t="str">
        <x:v>UK original commission</x:v>
      </x:c>
      <x:c r="AJ731" s="14" t="str">
        <x:v>Exact normalised title</x:v>
      </x:c>
      <x:c r="AK731" s="14" t="str">
        <x:v>Medium</x:v>
      </x:c>
      <x:c r="AL731" s="14" t="str">
        <x:v>Verified for commissioner/platform scope; uk original commission.</x:v>
      </x:c>
      <x:c r="AM731" s="17" t="e">
        <x:f>HYPERLINK("https://en.wikipedia.org/wiki/Dalglish","Open source")</x:f>
        <x:v>HYPERLINK is not implemented. linkLocation=https://en.wikipedia.org/wiki/Dalglish, friendlyName=Open source</x:v>
      </x:c>
      <x:c r="AN731" s="14" t="str">
        <x:v>No qualifying BBC relationship</x:v>
      </x:c>
      <x:c r="AO731" s="14" t="str">
        <x:v>No</x:v>
      </x:c>
      <x:c r="AP731" s="14" t="str">
        <x:v>Out of scope</x:v>
      </x:c>
      <x:c r="AQ731" s="14" t="str">
        <x:v>No</x:v>
      </x:c>
      <x:c r="AR731" s="14" t="str">
        <x:v>Resolved from master register</x:v>
      </x:c>
      <x:c r="AS731" s="14" t="str">
        <x:v>No established-register match</x:v>
      </x:c>
      <x:c r="AT731" s="14"/>
      <x:c r="AU731" s="14"/>
      <x:c r="AV731" s="14" t="str">
        <x:v>No established apparent-disability match</x:v>
      </x:c>
      <x:c r="AW731" s="14"/>
      <x:c r="AX731" s="14" t="str">
        <x:v>No</x:v>
      </x:c>
      <x:c r="AY731" s="14" t="str">
        <x:v>Unmatched</x:v>
      </x:c>
      <x:c r="AZ731" s="14" t="str">
        <x:v>Final supplied register</x:v>
      </x:c>
      <x:c r="BA731" s="14" t="str">
        <x:v>Absence from the register is not evidence that the performer is not disabled.</x:v>
      </x:c>
      <x:c r="BB731" s="14" t="str">
        <x:v>No established-register match</x:v>
      </x:c>
      <x:c r="BC731" s="14"/>
      <x:c r="BD731" s="14"/>
      <x:c r="BE731" s="14"/>
      <x:c r="BF731" s="14" t="str">
        <x:v>No established apparent-disability match</x:v>
      </x:c>
      <x:c r="BG731" s="14"/>
      <x:c r="BH731" s="14" t="str">
        <x:v>No</x:v>
      </x:c>
      <x:c r="BI731" s="14"/>
      <x:c r="BJ731" s="14"/>
      <x:c r="BK731" s="14"/>
      <x:c r="BL731" s="14" t="str">
        <x:v>Unmatched</x:v>
      </x:c>
      <x:c r="BM731" s="14" t="str">
        <x:v>Final supplied register</x:v>
      </x:c>
      <x:c r="BN731" s="14" t="str">
        <x:v>Absence from the register is not evidence that the performer is not disabled.</x:v>
      </x:c>
      <x:c r="BO731" s="14" t="n">
        <x:v>18</x:v>
      </x:c>
      <x:c r="BP731" s="14" t="str">
        <x:v>Maximum eligible IMDb cast-credit total (18), shared by 1 performer(s); not independently verified as a 2021-only episode total.</x:v>
      </x:c>
      <x:c r="BQ731" s="14" t="str">
        <x:v>Low</x:v>
      </x:c>
      <x:c r="BR731" s="15" t="n">
        <x:v>2</x:v>
      </x:c>
      <x:c r="BS731" s="16" t="n">
        <x:v>0.1111111111111111</x:v>
      </x:c>
      <x:c r="BT731" s="14" t="str">
        <x:v>Minority of episodes</x:v>
      </x:c>
      <x:c r="BU731" s="14" t="str">
        <x:v>Low</x:v>
      </x:c>
      <x:c r="BV731" s="14" t="str">
        <x:v>Derived from supplied IMDb episode count and the documented production-total proxy.</x:v>
      </x:c>
      <x:c r="BW731" s="14" t="str">
        <x:v>Unable to determine</x:v>
      </x:c>
      <x:c r="BX731" s="14" t="str">
        <x:v>Supplied cast data establishes the credit and episode presence but does not establish narrative prominence.</x:v>
      </x:c>
      <x:c r="BY731" s="14" t="str">
        <x:v>Supplied IMDb cast-list workbook</x:v>
      </x:c>
      <x:c r="BZ73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1" s="14" t="str">
        <x:v>Not classified</x:v>
      </x:c>
      <x:c r="CB731" s="14" t="str">
        <x:v>Unable to determine</x:v>
      </x:c>
      <x:c r="CC731" s="14" t="str">
        <x:v>Unique</x:v>
      </x:c>
      <x:c r="CD731" s="14" t="str">
        <x:v>None identified</x:v>
      </x:c>
    </x:row>
    <x:row r="732">
      <x:c r="A732" s="14" t="str">
        <x:v>tt13430420|nm16834597|timmy</x:v>
      </x:c>
      <x:c r="B732" s="14" t="str">
        <x:v>01</x:v>
      </x:c>
      <x:c r="C732" s="14" t="str">
        <x:v>2021_IMDb_Cast_Lists_Batch_01(1).xlsx</x:v>
      </x:c>
      <x:c r="D732" s="14" t="str">
        <x:v>Dalgliesh</x:v>
      </x:c>
      <x:c r="E732" s="14" t="n">
        <x:v>112</x:v>
      </x:c>
      <x:c r="F732" s="14" t="str">
        <x:v>Dalgliesh</x:v>
      </x:c>
      <x:c r="G732" s="14" t="str">
        <x:v>tt13430420</x:v>
      </x:c>
      <x:c r="H732" s="14" t="n">
        <x:v>2021</x:v>
      </x:c>
      <x:c r="I732" s="14" t="n">
        <x:v>2023</x:v>
      </x:c>
      <x:c r="J732" s="14" t="str">
        <x:v>Future Carry-Forward Cohort</x:v>
      </x:c>
      <x:c r="K732" s="14" t="n">
        <x:v>2021</x:v>
      </x:c>
      <x:c r="L732" s="14" t="str">
        <x:v>Available from 2021 analysis</x:v>
      </x:c>
      <x:c r="M732" s="15" t="n">
        <x:v>105</x:v>
      </x:c>
      <x:c r="N732" s="14" t="str">
        <x:v>Eliah McIlroy</x:v>
      </x:c>
      <x:c r="O732" s="14" t="str">
        <x:v>nm16834597</x:v>
      </x:c>
      <x:c r="P732" s="14" t="str">
        <x:v>Timmy</x:v>
      </x:c>
      <x:c r="Q732" s="15" t="n">
        <x:v>2</x:v>
      </x:c>
      <x:c r="R732" s="14" t="str">
        <x:v>2024</x:v>
      </x:c>
      <x:c r="S732" s="14" t="n">
        <x:v>2024</x:v>
      </x:c>
      <x:c r="T732" s="14" t="n">
        <x:v>2024</x:v>
      </x:c>
      <x:c r="U732" s="14" t="str">
        <x:v>Post-2021 casting excluded</x:v>
      </x:c>
      <x:c r="V732" s="14" t="str">
        <x:v>Earliest supplied year is 2024, later than the 2021 study year.</x:v>
      </x:c>
      <x:c r="W732" s="14"/>
      <x:c r="X732" s="14" t="str">
        <x:v>Carried forward to 2024</x:v>
      </x:c>
      <x:c r="Y732" s="14"/>
      <x:c r="Z732" s="14" t="str">
        <x:v>Dalgliesh.docx</x:v>
      </x:c>
      <x:c r="AA73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2" s="14" t="str">
        <x:v>No established-register match</x:v>
      </x:c>
      <x:c r="AC732" s="14"/>
      <x:c r="AD732" s="14"/>
      <x:c r="AE732" s="14"/>
      <x:c r="AF732" s="14"/>
      <x:c r="AG732" s="14" t="str">
        <x:v>No qualifying conclusion recorded. Absence from the register is not evidence that the performer is not disabled.</x:v>
      </x:c>
      <x:c r="AH732" s="14" t="str">
        <x:v>Channel 5 / 5</x:v>
      </x:c>
      <x:c r="AI732" s="14" t="str">
        <x:v>UK original commission</x:v>
      </x:c>
      <x:c r="AJ732" s="14" t="str">
        <x:v>Exact normalised title</x:v>
      </x:c>
      <x:c r="AK732" s="14" t="str">
        <x:v>Medium</x:v>
      </x:c>
      <x:c r="AL732" s="14" t="str">
        <x:v>Verified for commissioner/platform scope; uk original commission.</x:v>
      </x:c>
      <x:c r="AM732" s="17" t="e">
        <x:f>HYPERLINK("https://en.wikipedia.org/wiki/Dalglish","Open source")</x:f>
        <x:v>HYPERLINK is not implemented. linkLocation=https://en.wikipedia.org/wiki/Dalglish, friendlyName=Open source</x:v>
      </x:c>
      <x:c r="AN732" s="14" t="str">
        <x:v>No qualifying BBC relationship</x:v>
      </x:c>
      <x:c r="AO732" s="14" t="str">
        <x:v>No</x:v>
      </x:c>
      <x:c r="AP732" s="14" t="str">
        <x:v>Out of scope</x:v>
      </x:c>
      <x:c r="AQ732" s="14" t="str">
        <x:v>No</x:v>
      </x:c>
      <x:c r="AR732" s="14" t="str">
        <x:v>Resolved from master register</x:v>
      </x:c>
      <x:c r="AS732" s="14" t="str">
        <x:v>No established-register match</x:v>
      </x:c>
      <x:c r="AT732" s="14"/>
      <x:c r="AU732" s="14"/>
      <x:c r="AV732" s="14" t="str">
        <x:v>No established apparent-disability match</x:v>
      </x:c>
      <x:c r="AW732" s="14"/>
      <x:c r="AX732" s="14" t="str">
        <x:v>No</x:v>
      </x:c>
      <x:c r="AY732" s="14" t="str">
        <x:v>Unmatched</x:v>
      </x:c>
      <x:c r="AZ732" s="14" t="str">
        <x:v>Final supplied register</x:v>
      </x:c>
      <x:c r="BA732" s="14" t="str">
        <x:v>Absence from the register is not evidence that the performer is not disabled.</x:v>
      </x:c>
      <x:c r="BB732" s="14" t="str">
        <x:v>No established-register match</x:v>
      </x:c>
      <x:c r="BC732" s="14"/>
      <x:c r="BD732" s="14"/>
      <x:c r="BE732" s="14"/>
      <x:c r="BF732" s="14" t="str">
        <x:v>No established apparent-disability match</x:v>
      </x:c>
      <x:c r="BG732" s="14"/>
      <x:c r="BH732" s="14" t="str">
        <x:v>No</x:v>
      </x:c>
      <x:c r="BI732" s="14"/>
      <x:c r="BJ732" s="14"/>
      <x:c r="BK732" s="14"/>
      <x:c r="BL732" s="14" t="str">
        <x:v>Unmatched</x:v>
      </x:c>
      <x:c r="BM732" s="14" t="str">
        <x:v>Final supplied register</x:v>
      </x:c>
      <x:c r="BN732" s="14" t="str">
        <x:v>Absence from the register is not evidence that the performer is not disabled.</x:v>
      </x:c>
      <x:c r="BO732" s="14" t="n">
        <x:v>18</x:v>
      </x:c>
      <x:c r="BP732" s="14" t="str">
        <x:v>Maximum eligible IMDb cast-credit total (18), shared by 1 performer(s); not independently verified as a 2021-only episode total.</x:v>
      </x:c>
      <x:c r="BQ732" s="14" t="str">
        <x:v>Low</x:v>
      </x:c>
      <x:c r="BR732" s="15" t="n">
        <x:v>2</x:v>
      </x:c>
      <x:c r="BS732" s="16" t="n">
        <x:v>0.1111111111111111</x:v>
      </x:c>
      <x:c r="BT732" s="14" t="str">
        <x:v>Minority of episodes</x:v>
      </x:c>
      <x:c r="BU732" s="14" t="str">
        <x:v>Low</x:v>
      </x:c>
      <x:c r="BV732" s="14" t="str">
        <x:v>Derived from supplied IMDb episode count and the documented production-total proxy.</x:v>
      </x:c>
      <x:c r="BW732" s="14" t="str">
        <x:v>Unable to determine</x:v>
      </x:c>
      <x:c r="BX732" s="14" t="str">
        <x:v>Supplied cast data establishes the credit and episode presence but does not establish narrative prominence.</x:v>
      </x:c>
      <x:c r="BY732" s="14" t="str">
        <x:v>Supplied IMDb cast-list workbook</x:v>
      </x:c>
      <x:c r="BZ73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2" s="14" t="str">
        <x:v>Not classified</x:v>
      </x:c>
      <x:c r="CB732" s="14" t="str">
        <x:v>Unable to determine</x:v>
      </x:c>
      <x:c r="CC732" s="14" t="str">
        <x:v>Unique</x:v>
      </x:c>
      <x:c r="CD732" s="14" t="str">
        <x:v>None identified</x:v>
      </x:c>
    </x:row>
    <x:row r="733">
      <x:c r="A733" s="14" t="str">
        <x:v>tt13430420|nm1174623|jonathan reeves</x:v>
      </x:c>
      <x:c r="B733" s="14" t="str">
        <x:v>01</x:v>
      </x:c>
      <x:c r="C733" s="14" t="str">
        <x:v>2021_IMDb_Cast_Lists_Batch_01(1).xlsx</x:v>
      </x:c>
      <x:c r="D733" s="14" t="str">
        <x:v>Dalgliesh</x:v>
      </x:c>
      <x:c r="E733" s="14" t="n">
        <x:v>113</x:v>
      </x:c>
      <x:c r="F733" s="14" t="str">
        <x:v>Dalgliesh</x:v>
      </x:c>
      <x:c r="G733" s="14" t="str">
        <x:v>tt13430420</x:v>
      </x:c>
      <x:c r="H733" s="14" t="n">
        <x:v>2021</x:v>
      </x:c>
      <x:c r="I733" s="14" t="n">
        <x:v>2023</x:v>
      </x:c>
      <x:c r="J733" s="14" t="str">
        <x:v>Future Carry-Forward Cohort</x:v>
      </x:c>
      <x:c r="K733" s="14" t="n">
        <x:v>2021</x:v>
      </x:c>
      <x:c r="L733" s="14" t="str">
        <x:v>Available from 2021 analysis</x:v>
      </x:c>
      <x:c r="M733" s="15" t="n">
        <x:v>106</x:v>
      </x:c>
      <x:c r="N733" s="14" t="str">
        <x:v>Bradley Hall</x:v>
      </x:c>
      <x:c r="O733" s="14" t="str">
        <x:v>nm1174623</x:v>
      </x:c>
      <x:c r="P733" s="14" t="str">
        <x:v>Jonathan Reeves</x:v>
      </x:c>
      <x:c r="Q733" s="15" t="n">
        <x:v>2</x:v>
      </x:c>
      <x:c r="R733" s="14" t="str">
        <x:v>2024</x:v>
      </x:c>
      <x:c r="S733" s="14" t="n">
        <x:v>2024</x:v>
      </x:c>
      <x:c r="T733" s="14" t="n">
        <x:v>2024</x:v>
      </x:c>
      <x:c r="U733" s="14" t="str">
        <x:v>Post-2021 casting excluded</x:v>
      </x:c>
      <x:c r="V733" s="14" t="str">
        <x:v>Earliest supplied year is 2024, later than the 2021 study year.</x:v>
      </x:c>
      <x:c r="W733" s="14"/>
      <x:c r="X733" s="14" t="str">
        <x:v>Carried forward to 2024</x:v>
      </x:c>
      <x:c r="Y733" s="14"/>
      <x:c r="Z733" s="14" t="str">
        <x:v>Dalgliesh.docx</x:v>
      </x:c>
      <x:c r="AA73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3" s="14" t="str">
        <x:v>No established-register match</x:v>
      </x:c>
      <x:c r="AC733" s="14"/>
      <x:c r="AD733" s="14"/>
      <x:c r="AE733" s="14"/>
      <x:c r="AF733" s="14"/>
      <x:c r="AG733" s="14" t="str">
        <x:v>No qualifying conclusion recorded. Absence from the register is not evidence that the performer is not disabled.</x:v>
      </x:c>
      <x:c r="AH733" s="14" t="str">
        <x:v>Channel 5 / 5</x:v>
      </x:c>
      <x:c r="AI733" s="14" t="str">
        <x:v>UK original commission</x:v>
      </x:c>
      <x:c r="AJ733" s="14" t="str">
        <x:v>Exact normalised title</x:v>
      </x:c>
      <x:c r="AK733" s="14" t="str">
        <x:v>Medium</x:v>
      </x:c>
      <x:c r="AL733" s="14" t="str">
        <x:v>Verified for commissioner/platform scope; uk original commission.</x:v>
      </x:c>
      <x:c r="AM733" s="17" t="e">
        <x:f>HYPERLINK("https://en.wikipedia.org/wiki/Dalglish","Open source")</x:f>
        <x:v>HYPERLINK is not implemented. linkLocation=https://en.wikipedia.org/wiki/Dalglish, friendlyName=Open source</x:v>
      </x:c>
      <x:c r="AN733" s="14" t="str">
        <x:v>No qualifying BBC relationship</x:v>
      </x:c>
      <x:c r="AO733" s="14" t="str">
        <x:v>No</x:v>
      </x:c>
      <x:c r="AP733" s="14" t="str">
        <x:v>Out of scope</x:v>
      </x:c>
      <x:c r="AQ733" s="14" t="str">
        <x:v>No</x:v>
      </x:c>
      <x:c r="AR733" s="14" t="str">
        <x:v>Resolved from master register</x:v>
      </x:c>
      <x:c r="AS733" s="14" t="str">
        <x:v>No established-register match</x:v>
      </x:c>
      <x:c r="AT733" s="14"/>
      <x:c r="AU733" s="14"/>
      <x:c r="AV733" s="14" t="str">
        <x:v>No established apparent-disability match</x:v>
      </x:c>
      <x:c r="AW733" s="14"/>
      <x:c r="AX733" s="14" t="str">
        <x:v>No</x:v>
      </x:c>
      <x:c r="AY733" s="14" t="str">
        <x:v>Unmatched</x:v>
      </x:c>
      <x:c r="AZ733" s="14" t="str">
        <x:v>Final supplied register</x:v>
      </x:c>
      <x:c r="BA733" s="14" t="str">
        <x:v>Absence from the register is not evidence that the performer is not disabled.</x:v>
      </x:c>
      <x:c r="BB733" s="14" t="str">
        <x:v>No established-register match</x:v>
      </x:c>
      <x:c r="BC733" s="14"/>
      <x:c r="BD733" s="14"/>
      <x:c r="BE733" s="14"/>
      <x:c r="BF733" s="14" t="str">
        <x:v>No established apparent-disability match</x:v>
      </x:c>
      <x:c r="BG733" s="14"/>
      <x:c r="BH733" s="14" t="str">
        <x:v>No</x:v>
      </x:c>
      <x:c r="BI733" s="14"/>
      <x:c r="BJ733" s="14"/>
      <x:c r="BK733" s="14"/>
      <x:c r="BL733" s="14" t="str">
        <x:v>Unmatched</x:v>
      </x:c>
      <x:c r="BM733" s="14" t="str">
        <x:v>Final supplied register</x:v>
      </x:c>
      <x:c r="BN733" s="14" t="str">
        <x:v>Absence from the register is not evidence that the performer is not disabled.</x:v>
      </x:c>
      <x:c r="BO733" s="14" t="n">
        <x:v>18</x:v>
      </x:c>
      <x:c r="BP733" s="14" t="str">
        <x:v>Maximum eligible IMDb cast-credit total (18), shared by 1 performer(s); not independently verified as a 2021-only episode total.</x:v>
      </x:c>
      <x:c r="BQ733" s="14" t="str">
        <x:v>Low</x:v>
      </x:c>
      <x:c r="BR733" s="15" t="n">
        <x:v>2</x:v>
      </x:c>
      <x:c r="BS733" s="16" t="n">
        <x:v>0.1111111111111111</x:v>
      </x:c>
      <x:c r="BT733" s="14" t="str">
        <x:v>Minority of episodes</x:v>
      </x:c>
      <x:c r="BU733" s="14" t="str">
        <x:v>Low</x:v>
      </x:c>
      <x:c r="BV733" s="14" t="str">
        <x:v>Derived from supplied IMDb episode count and the documented production-total proxy.</x:v>
      </x:c>
      <x:c r="BW733" s="14" t="str">
        <x:v>Unable to determine</x:v>
      </x:c>
      <x:c r="BX733" s="14" t="str">
        <x:v>Supplied cast data establishes the credit and episode presence but does not establish narrative prominence.</x:v>
      </x:c>
      <x:c r="BY733" s="14" t="str">
        <x:v>Supplied IMDb cast-list workbook</x:v>
      </x:c>
      <x:c r="BZ73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3" s="14" t="str">
        <x:v>Not classified</x:v>
      </x:c>
      <x:c r="CB733" s="14" t="str">
        <x:v>Unable to determine</x:v>
      </x:c>
      <x:c r="CC733" s="14" t="str">
        <x:v>Unique</x:v>
      </x:c>
      <x:c r="CD733" s="14" t="str">
        <x:v>None identified</x:v>
      </x:c>
    </x:row>
    <x:row r="734">
      <x:c r="A734" s="14" t="str">
        <x:v>tt13430420|nm16834596|timmy</x:v>
      </x:c>
      <x:c r="B734" s="14" t="str">
        <x:v>01</x:v>
      </x:c>
      <x:c r="C734" s="14" t="str">
        <x:v>2021_IMDb_Cast_Lists_Batch_01(1).xlsx</x:v>
      </x:c>
      <x:c r="D734" s="14" t="str">
        <x:v>Dalgliesh</x:v>
      </x:c>
      <x:c r="E734" s="14" t="n">
        <x:v>115</x:v>
      </x:c>
      <x:c r="F734" s="14" t="str">
        <x:v>Dalgliesh</x:v>
      </x:c>
      <x:c r="G734" s="14" t="str">
        <x:v>tt13430420</x:v>
      </x:c>
      <x:c r="H734" s="14" t="n">
        <x:v>2021</x:v>
      </x:c>
      <x:c r="I734" s="14" t="n">
        <x:v>2023</x:v>
      </x:c>
      <x:c r="J734" s="14" t="str">
        <x:v>Future Carry-Forward Cohort</x:v>
      </x:c>
      <x:c r="K734" s="14" t="n">
        <x:v>2021</x:v>
      </x:c>
      <x:c r="L734" s="14" t="str">
        <x:v>Available from 2021 analysis</x:v>
      </x:c>
      <x:c r="M734" s="15" t="n">
        <x:v>108</x:v>
      </x:c>
      <x:c r="N734" s="14" t="str">
        <x:v>Edan McIlroy</x:v>
      </x:c>
      <x:c r="O734" s="14" t="str">
        <x:v>nm16834596</x:v>
      </x:c>
      <x:c r="P734" s="14" t="str">
        <x:v>Timmy</x:v>
      </x:c>
      <x:c r="Q734" s="15" t="n">
        <x:v>2</x:v>
      </x:c>
      <x:c r="R734" s="14" t="str">
        <x:v>2024</x:v>
      </x:c>
      <x:c r="S734" s="14" t="n">
        <x:v>2024</x:v>
      </x:c>
      <x:c r="T734" s="14" t="n">
        <x:v>2024</x:v>
      </x:c>
      <x:c r="U734" s="14" t="str">
        <x:v>Post-2021 casting excluded</x:v>
      </x:c>
      <x:c r="V734" s="14" t="str">
        <x:v>Earliest supplied year is 2024, later than the 2021 study year.</x:v>
      </x:c>
      <x:c r="W734" s="14"/>
      <x:c r="X734" s="14" t="str">
        <x:v>Carried forward to 2024</x:v>
      </x:c>
      <x:c r="Y734" s="14"/>
      <x:c r="Z734" s="14" t="str">
        <x:v>Dalgliesh.docx</x:v>
      </x:c>
      <x:c r="AA73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4" s="14" t="str">
        <x:v>No established-register match</x:v>
      </x:c>
      <x:c r="AC734" s="14"/>
      <x:c r="AD734" s="14"/>
      <x:c r="AE734" s="14"/>
      <x:c r="AF734" s="14"/>
      <x:c r="AG734" s="14" t="str">
        <x:v>No qualifying conclusion recorded. Absence from the register is not evidence that the performer is not disabled.</x:v>
      </x:c>
      <x:c r="AH734" s="14" t="str">
        <x:v>Channel 5 / 5</x:v>
      </x:c>
      <x:c r="AI734" s="14" t="str">
        <x:v>UK original commission</x:v>
      </x:c>
      <x:c r="AJ734" s="14" t="str">
        <x:v>Exact normalised title</x:v>
      </x:c>
      <x:c r="AK734" s="14" t="str">
        <x:v>Medium</x:v>
      </x:c>
      <x:c r="AL734" s="14" t="str">
        <x:v>Verified for commissioner/platform scope; uk original commission.</x:v>
      </x:c>
      <x:c r="AM734" s="17" t="e">
        <x:f>HYPERLINK("https://en.wikipedia.org/wiki/Dalglish","Open source")</x:f>
        <x:v>HYPERLINK is not implemented. linkLocation=https://en.wikipedia.org/wiki/Dalglish, friendlyName=Open source</x:v>
      </x:c>
      <x:c r="AN734" s="14" t="str">
        <x:v>No qualifying BBC relationship</x:v>
      </x:c>
      <x:c r="AO734" s="14" t="str">
        <x:v>No</x:v>
      </x:c>
      <x:c r="AP734" s="14" t="str">
        <x:v>Out of scope</x:v>
      </x:c>
      <x:c r="AQ734" s="14" t="str">
        <x:v>No</x:v>
      </x:c>
      <x:c r="AR734" s="14" t="str">
        <x:v>Resolved from master register</x:v>
      </x:c>
      <x:c r="AS734" s="14" t="str">
        <x:v>No established-register match</x:v>
      </x:c>
      <x:c r="AT734" s="14"/>
      <x:c r="AU734" s="14"/>
      <x:c r="AV734" s="14" t="str">
        <x:v>No established apparent-disability match</x:v>
      </x:c>
      <x:c r="AW734" s="14"/>
      <x:c r="AX734" s="14" t="str">
        <x:v>No</x:v>
      </x:c>
      <x:c r="AY734" s="14" t="str">
        <x:v>Unmatched</x:v>
      </x:c>
      <x:c r="AZ734" s="14" t="str">
        <x:v>Final supplied register</x:v>
      </x:c>
      <x:c r="BA734" s="14" t="str">
        <x:v>Absence from the register is not evidence that the performer is not disabled.</x:v>
      </x:c>
      <x:c r="BB734" s="14" t="str">
        <x:v>No established-register match</x:v>
      </x:c>
      <x:c r="BC734" s="14"/>
      <x:c r="BD734" s="14"/>
      <x:c r="BE734" s="14"/>
      <x:c r="BF734" s="14" t="str">
        <x:v>No established apparent-disability match</x:v>
      </x:c>
      <x:c r="BG734" s="14"/>
      <x:c r="BH734" s="14" t="str">
        <x:v>No</x:v>
      </x:c>
      <x:c r="BI734" s="14"/>
      <x:c r="BJ734" s="14"/>
      <x:c r="BK734" s="14"/>
      <x:c r="BL734" s="14" t="str">
        <x:v>Unmatched</x:v>
      </x:c>
      <x:c r="BM734" s="14" t="str">
        <x:v>Final supplied register</x:v>
      </x:c>
      <x:c r="BN734" s="14" t="str">
        <x:v>Absence from the register is not evidence that the performer is not disabled.</x:v>
      </x:c>
      <x:c r="BO734" s="14" t="n">
        <x:v>18</x:v>
      </x:c>
      <x:c r="BP734" s="14" t="str">
        <x:v>Maximum eligible IMDb cast-credit total (18), shared by 1 performer(s); not independently verified as a 2021-only episode total.</x:v>
      </x:c>
      <x:c r="BQ734" s="14" t="str">
        <x:v>Low</x:v>
      </x:c>
      <x:c r="BR734" s="15" t="n">
        <x:v>2</x:v>
      </x:c>
      <x:c r="BS734" s="16" t="n">
        <x:v>0.1111111111111111</x:v>
      </x:c>
      <x:c r="BT734" s="14" t="str">
        <x:v>Minority of episodes</x:v>
      </x:c>
      <x:c r="BU734" s="14" t="str">
        <x:v>Low</x:v>
      </x:c>
      <x:c r="BV734" s="14" t="str">
        <x:v>Derived from supplied IMDb episode count and the documented production-total proxy.</x:v>
      </x:c>
      <x:c r="BW734" s="14" t="str">
        <x:v>Unable to determine</x:v>
      </x:c>
      <x:c r="BX734" s="14" t="str">
        <x:v>Supplied cast data establishes the credit and episode presence but does not establish narrative prominence.</x:v>
      </x:c>
      <x:c r="BY734" s="14" t="str">
        <x:v>Supplied IMDb cast-list workbook</x:v>
      </x:c>
      <x:c r="BZ73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4" s="14" t="str">
        <x:v>Not classified</x:v>
      </x:c>
      <x:c r="CB734" s="14" t="str">
        <x:v>Unable to determine</x:v>
      </x:c>
      <x:c r="CC734" s="14" t="str">
        <x:v>Unique</x:v>
      </x:c>
      <x:c r="CD734" s="14" t="str">
        <x:v>None identified</x:v>
      </x:c>
    </x:row>
    <x:row r="735">
      <x:c r="A735" s="14" t="str">
        <x:v>tt13430420|nm11369443|vivienne mitchell</x:v>
      </x:c>
      <x:c r="B735" s="14" t="str">
        <x:v>01</x:v>
      </x:c>
      <x:c r="C735" s="14" t="str">
        <x:v>2021_IMDb_Cast_Lists_Batch_01(1).xlsx</x:v>
      </x:c>
      <x:c r="D735" s="14" t="str">
        <x:v>Dalgliesh</x:v>
      </x:c>
      <x:c r="E735" s="14" t="n">
        <x:v>125</x:v>
      </x:c>
      <x:c r="F735" s="14" t="str">
        <x:v>Dalgliesh</x:v>
      </x:c>
      <x:c r="G735" s="14" t="str">
        <x:v>tt13430420</x:v>
      </x:c>
      <x:c r="H735" s="14" t="n">
        <x:v>2021</x:v>
      </x:c>
      <x:c r="I735" s="14" t="n">
        <x:v>2023</x:v>
      </x:c>
      <x:c r="J735" s="14" t="str">
        <x:v>Future Carry-Forward Cohort</x:v>
      </x:c>
      <x:c r="K735" s="14" t="n">
        <x:v>2021</x:v>
      </x:c>
      <x:c r="L735" s="14" t="str">
        <x:v>Available from 2021 analysis</x:v>
      </x:c>
      <x:c r="M735" s="15" t="n">
        <x:v>118</x:v>
      </x:c>
      <x:c r="N735" s="14" t="str">
        <x:v>Holly Demaine</x:v>
      </x:c>
      <x:c r="O735" s="14" t="str">
        <x:v>nm11369443</x:v>
      </x:c>
      <x:c r="P735" s="14" t="str">
        <x:v>Vivienne Mitchell</x:v>
      </x:c>
      <x:c r="Q735" s="15" t="n">
        <x:v>1</x:v>
      </x:c>
      <x:c r="R735" s="14" t="str">
        <x:v>2024</x:v>
      </x:c>
      <x:c r="S735" s="14" t="n">
        <x:v>2024</x:v>
      </x:c>
      <x:c r="T735" s="14" t="n">
        <x:v>2024</x:v>
      </x:c>
      <x:c r="U735" s="14" t="str">
        <x:v>Post-2021 casting excluded</x:v>
      </x:c>
      <x:c r="V735" s="14" t="str">
        <x:v>Earliest supplied year is 2024, later than the 2021 study year.</x:v>
      </x:c>
      <x:c r="W735" s="14"/>
      <x:c r="X735" s="14" t="str">
        <x:v>Carried forward to 2024</x:v>
      </x:c>
      <x:c r="Y735" s="14"/>
      <x:c r="Z735" s="14" t="str">
        <x:v>Dalgliesh.docx</x:v>
      </x:c>
      <x:c r="AA73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5" s="14" t="str">
        <x:v>No established-register match</x:v>
      </x:c>
      <x:c r="AC735" s="14"/>
      <x:c r="AD735" s="14"/>
      <x:c r="AE735" s="14"/>
      <x:c r="AF735" s="14"/>
      <x:c r="AG735" s="14" t="str">
        <x:v>No qualifying conclusion recorded. Absence from the register is not evidence that the performer is not disabled.</x:v>
      </x:c>
      <x:c r="AH735" s="14" t="str">
        <x:v>Channel 5 / 5</x:v>
      </x:c>
      <x:c r="AI735" s="14" t="str">
        <x:v>UK original commission</x:v>
      </x:c>
      <x:c r="AJ735" s="14" t="str">
        <x:v>Exact normalised title</x:v>
      </x:c>
      <x:c r="AK735" s="14" t="str">
        <x:v>Medium</x:v>
      </x:c>
      <x:c r="AL735" s="14" t="str">
        <x:v>Verified for commissioner/platform scope; uk original commission.</x:v>
      </x:c>
      <x:c r="AM735" s="17" t="e">
        <x:f>HYPERLINK("https://en.wikipedia.org/wiki/Dalglish","Open source")</x:f>
        <x:v>HYPERLINK is not implemented. linkLocation=https://en.wikipedia.org/wiki/Dalglish, friendlyName=Open source</x:v>
      </x:c>
      <x:c r="AN735" s="14" t="str">
        <x:v>No qualifying BBC relationship</x:v>
      </x:c>
      <x:c r="AO735" s="14" t="str">
        <x:v>No</x:v>
      </x:c>
      <x:c r="AP735" s="14" t="str">
        <x:v>Out of scope</x:v>
      </x:c>
      <x:c r="AQ735" s="14" t="str">
        <x:v>No</x:v>
      </x:c>
      <x:c r="AR735" s="14" t="str">
        <x:v>Resolved from master register</x:v>
      </x:c>
      <x:c r="AS735" s="14" t="str">
        <x:v>No established-register match</x:v>
      </x:c>
      <x:c r="AT735" s="14"/>
      <x:c r="AU735" s="14"/>
      <x:c r="AV735" s="14" t="str">
        <x:v>No established apparent-disability match</x:v>
      </x:c>
      <x:c r="AW735" s="14"/>
      <x:c r="AX735" s="14" t="str">
        <x:v>No</x:v>
      </x:c>
      <x:c r="AY735" s="14" t="str">
        <x:v>Unmatched</x:v>
      </x:c>
      <x:c r="AZ735" s="14" t="str">
        <x:v>Final supplied register</x:v>
      </x:c>
      <x:c r="BA735" s="14" t="str">
        <x:v>Absence from the register is not evidence that the performer is not disabled.</x:v>
      </x:c>
      <x:c r="BB735" s="14" t="str">
        <x:v>No established-register match</x:v>
      </x:c>
      <x:c r="BC735" s="14"/>
      <x:c r="BD735" s="14"/>
      <x:c r="BE735" s="14"/>
      <x:c r="BF735" s="14" t="str">
        <x:v>No established apparent-disability match</x:v>
      </x:c>
      <x:c r="BG735" s="14"/>
      <x:c r="BH735" s="14" t="str">
        <x:v>No</x:v>
      </x:c>
      <x:c r="BI735" s="14"/>
      <x:c r="BJ735" s="14"/>
      <x:c r="BK735" s="14"/>
      <x:c r="BL735" s="14" t="str">
        <x:v>Unmatched</x:v>
      </x:c>
      <x:c r="BM735" s="14" t="str">
        <x:v>Final supplied register</x:v>
      </x:c>
      <x:c r="BN735" s="14" t="str">
        <x:v>Absence from the register is not evidence that the performer is not disabled.</x:v>
      </x:c>
      <x:c r="BO735" s="14" t="n">
        <x:v>18</x:v>
      </x:c>
      <x:c r="BP735" s="14" t="str">
        <x:v>Maximum eligible IMDb cast-credit total (18), shared by 1 performer(s); not independently verified as a 2021-only episode total.</x:v>
      </x:c>
      <x:c r="BQ735" s="14" t="str">
        <x:v>Low</x:v>
      </x:c>
      <x:c r="BR735" s="15" t="n">
        <x:v>1</x:v>
      </x:c>
      <x:c r="BS735" s="16" t="n">
        <x:v>0.05555555555555555</x:v>
      </x:c>
      <x:c r="BT735" s="14" t="str">
        <x:v>One episode</x:v>
      </x:c>
      <x:c r="BU735" s="14" t="str">
        <x:v>Low</x:v>
      </x:c>
      <x:c r="BV735" s="14" t="str">
        <x:v>Derived from supplied IMDb episode count and the documented production-total proxy.</x:v>
      </x:c>
      <x:c r="BW735" s="14" t="str">
        <x:v>Unable to determine</x:v>
      </x:c>
      <x:c r="BX735" s="14" t="str">
        <x:v>Supplied cast data establishes the credit and episode presence but does not establish narrative prominence.</x:v>
      </x:c>
      <x:c r="BY735" s="14" t="str">
        <x:v>Supplied IMDb cast-list workbook</x:v>
      </x:c>
      <x:c r="BZ73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5" s="14" t="str">
        <x:v>Not classified</x:v>
      </x:c>
      <x:c r="CB735" s="14" t="str">
        <x:v>Unable to determine</x:v>
      </x:c>
      <x:c r="CC735" s="14" t="str">
        <x:v>Unique</x:v>
      </x:c>
      <x:c r="CD735" s="14" t="str">
        <x:v>None identified</x:v>
      </x:c>
    </x:row>
    <x:row r="736">
      <x:c r="A736" s="14" t="str">
        <x:v>tt13430420|nm16830421|ronnie</x:v>
      </x:c>
      <x:c r="B736" s="14" t="str">
        <x:v>01</x:v>
      </x:c>
      <x:c r="C736" s="14" t="str">
        <x:v>2021_IMDb_Cast_Lists_Batch_01(1).xlsx</x:v>
      </x:c>
      <x:c r="D736" s="14" t="str">
        <x:v>Dalgliesh</x:v>
      </x:c>
      <x:c r="E736" s="14" t="n">
        <x:v>127</x:v>
      </x:c>
      <x:c r="F736" s="14" t="str">
        <x:v>Dalgliesh</x:v>
      </x:c>
      <x:c r="G736" s="14" t="str">
        <x:v>tt13430420</x:v>
      </x:c>
      <x:c r="H736" s="14" t="n">
        <x:v>2021</x:v>
      </x:c>
      <x:c r="I736" s="14" t="n">
        <x:v>2023</x:v>
      </x:c>
      <x:c r="J736" s="14" t="str">
        <x:v>Future Carry-Forward Cohort</x:v>
      </x:c>
      <x:c r="K736" s="14" t="n">
        <x:v>2021</x:v>
      </x:c>
      <x:c r="L736" s="14" t="str">
        <x:v>Available from 2021 analysis</x:v>
      </x:c>
      <x:c r="M736" s="15" t="n">
        <x:v>120</x:v>
      </x:c>
      <x:c r="N736" s="14" t="str">
        <x:v>Reece McGowan</x:v>
      </x:c>
      <x:c r="O736" s="14" t="str">
        <x:v>nm16830421</x:v>
      </x:c>
      <x:c r="P736" s="14" t="str">
        <x:v>Ronnie</x:v>
      </x:c>
      <x:c r="Q736" s="15" t="n">
        <x:v>1</x:v>
      </x:c>
      <x:c r="R736" s="14" t="str">
        <x:v>2024</x:v>
      </x:c>
      <x:c r="S736" s="14" t="n">
        <x:v>2024</x:v>
      </x:c>
      <x:c r="T736" s="14" t="n">
        <x:v>2024</x:v>
      </x:c>
      <x:c r="U736" s="14" t="str">
        <x:v>Post-2021 casting excluded</x:v>
      </x:c>
      <x:c r="V736" s="14" t="str">
        <x:v>Earliest supplied year is 2024, later than the 2021 study year.</x:v>
      </x:c>
      <x:c r="W736" s="14"/>
      <x:c r="X736" s="14" t="str">
        <x:v>Carried forward to 2024</x:v>
      </x:c>
      <x:c r="Y736" s="14"/>
      <x:c r="Z736" s="14" t="str">
        <x:v>Dalgliesh.docx</x:v>
      </x:c>
      <x:c r="AA73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6" s="14" t="str">
        <x:v>No established-register match</x:v>
      </x:c>
      <x:c r="AC736" s="14"/>
      <x:c r="AD736" s="14"/>
      <x:c r="AE736" s="14"/>
      <x:c r="AF736" s="14"/>
      <x:c r="AG736" s="14" t="str">
        <x:v>No qualifying conclusion recorded. Absence from the register is not evidence that the performer is not disabled.</x:v>
      </x:c>
      <x:c r="AH736" s="14" t="str">
        <x:v>Channel 5 / 5</x:v>
      </x:c>
      <x:c r="AI736" s="14" t="str">
        <x:v>UK original commission</x:v>
      </x:c>
      <x:c r="AJ736" s="14" t="str">
        <x:v>Exact normalised title</x:v>
      </x:c>
      <x:c r="AK736" s="14" t="str">
        <x:v>Medium</x:v>
      </x:c>
      <x:c r="AL736" s="14" t="str">
        <x:v>Verified for commissioner/platform scope; uk original commission.</x:v>
      </x:c>
      <x:c r="AM736" s="17" t="e">
        <x:f>HYPERLINK("https://en.wikipedia.org/wiki/Dalglish","Open source")</x:f>
        <x:v>HYPERLINK is not implemented. linkLocation=https://en.wikipedia.org/wiki/Dalglish, friendlyName=Open source</x:v>
      </x:c>
      <x:c r="AN736" s="14" t="str">
        <x:v>No qualifying BBC relationship</x:v>
      </x:c>
      <x:c r="AO736" s="14" t="str">
        <x:v>No</x:v>
      </x:c>
      <x:c r="AP736" s="14" t="str">
        <x:v>Out of scope</x:v>
      </x:c>
      <x:c r="AQ736" s="14" t="str">
        <x:v>No</x:v>
      </x:c>
      <x:c r="AR736" s="14" t="str">
        <x:v>Resolved from master register</x:v>
      </x:c>
      <x:c r="AS736" s="14" t="str">
        <x:v>No established-register match</x:v>
      </x:c>
      <x:c r="AT736" s="14"/>
      <x:c r="AU736" s="14"/>
      <x:c r="AV736" s="14" t="str">
        <x:v>No established apparent-disability match</x:v>
      </x:c>
      <x:c r="AW736" s="14"/>
      <x:c r="AX736" s="14" t="str">
        <x:v>No</x:v>
      </x:c>
      <x:c r="AY736" s="14" t="str">
        <x:v>Unmatched</x:v>
      </x:c>
      <x:c r="AZ736" s="14" t="str">
        <x:v>Final supplied register</x:v>
      </x:c>
      <x:c r="BA736" s="14" t="str">
        <x:v>Absence from the register is not evidence that the performer is not disabled.</x:v>
      </x:c>
      <x:c r="BB736" s="14" t="str">
        <x:v>No established-register match</x:v>
      </x:c>
      <x:c r="BC736" s="14"/>
      <x:c r="BD736" s="14"/>
      <x:c r="BE736" s="14"/>
      <x:c r="BF736" s="14" t="str">
        <x:v>No established apparent-disability match</x:v>
      </x:c>
      <x:c r="BG736" s="14"/>
      <x:c r="BH736" s="14" t="str">
        <x:v>No</x:v>
      </x:c>
      <x:c r="BI736" s="14"/>
      <x:c r="BJ736" s="14"/>
      <x:c r="BK736" s="14"/>
      <x:c r="BL736" s="14" t="str">
        <x:v>Unmatched</x:v>
      </x:c>
      <x:c r="BM736" s="14" t="str">
        <x:v>Final supplied register</x:v>
      </x:c>
      <x:c r="BN736" s="14" t="str">
        <x:v>Absence from the register is not evidence that the performer is not disabled.</x:v>
      </x:c>
      <x:c r="BO736" s="14" t="n">
        <x:v>18</x:v>
      </x:c>
      <x:c r="BP736" s="14" t="str">
        <x:v>Maximum eligible IMDb cast-credit total (18), shared by 1 performer(s); not independently verified as a 2021-only episode total.</x:v>
      </x:c>
      <x:c r="BQ736" s="14" t="str">
        <x:v>Low</x:v>
      </x:c>
      <x:c r="BR736" s="15" t="n">
        <x:v>1</x:v>
      </x:c>
      <x:c r="BS736" s="16" t="n">
        <x:v>0.05555555555555555</x:v>
      </x:c>
      <x:c r="BT736" s="14" t="str">
        <x:v>One episode</x:v>
      </x:c>
      <x:c r="BU736" s="14" t="str">
        <x:v>Low</x:v>
      </x:c>
      <x:c r="BV736" s="14" t="str">
        <x:v>Derived from supplied IMDb episode count and the documented production-total proxy.</x:v>
      </x:c>
      <x:c r="BW736" s="14" t="str">
        <x:v>Unable to determine</x:v>
      </x:c>
      <x:c r="BX736" s="14" t="str">
        <x:v>Supplied cast data establishes the credit and episode presence but does not establish narrative prominence.</x:v>
      </x:c>
      <x:c r="BY736" s="14" t="str">
        <x:v>Supplied IMDb cast-list workbook</x:v>
      </x:c>
      <x:c r="BZ73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6" s="14" t="str">
        <x:v>Not classified</x:v>
      </x:c>
      <x:c r="CB736" s="14" t="str">
        <x:v>Unable to determine</x:v>
      </x:c>
      <x:c r="CC736" s="14" t="str">
        <x:v>Unique</x:v>
      </x:c>
      <x:c r="CD736" s="14" t="str">
        <x:v>None identified</x:v>
      </x:c>
    </x:row>
    <x:row r="737">
      <x:c r="A737" s="14" t="str">
        <x:v>tt13430420|nm12264291|sally jupp</x:v>
      </x:c>
      <x:c r="B737" s="14" t="str">
        <x:v>01</x:v>
      </x:c>
      <x:c r="C737" s="14" t="str">
        <x:v>2021_IMDb_Cast_Lists_Batch_01(1).xlsx</x:v>
      </x:c>
      <x:c r="D737" s="14" t="str">
        <x:v>Dalgliesh</x:v>
      </x:c>
      <x:c r="E737" s="14" t="n">
        <x:v>131</x:v>
      </x:c>
      <x:c r="F737" s="14" t="str">
        <x:v>Dalgliesh</x:v>
      </x:c>
      <x:c r="G737" s="14" t="str">
        <x:v>tt13430420</x:v>
      </x:c>
      <x:c r="H737" s="14" t="n">
        <x:v>2021</x:v>
      </x:c>
      <x:c r="I737" s="14" t="n">
        <x:v>2023</x:v>
      </x:c>
      <x:c r="J737" s="14" t="str">
        <x:v>Future Carry-Forward Cohort</x:v>
      </x:c>
      <x:c r="K737" s="14" t="n">
        <x:v>2021</x:v>
      </x:c>
      <x:c r="L737" s="14" t="str">
        <x:v>Available from 2021 analysis</x:v>
      </x:c>
      <x:c r="M737" s="15" t="n">
        <x:v>124</x:v>
      </x:c>
      <x:c r="N737" s="14" t="str">
        <x:v>Holly Cattle</x:v>
      </x:c>
      <x:c r="O737" s="14" t="str">
        <x:v>nm12264291</x:v>
      </x:c>
      <x:c r="P737" s="14" t="str">
        <x:v>Sally Jupp</x:v>
      </x:c>
      <x:c r="Q737" s="15" t="n">
        <x:v>1</x:v>
      </x:c>
      <x:c r="R737" s="14" t="str">
        <x:v>2024</x:v>
      </x:c>
      <x:c r="S737" s="14" t="n">
        <x:v>2024</x:v>
      </x:c>
      <x:c r="T737" s="14" t="n">
        <x:v>2024</x:v>
      </x:c>
      <x:c r="U737" s="14" t="str">
        <x:v>Post-2021 casting excluded</x:v>
      </x:c>
      <x:c r="V737" s="14" t="str">
        <x:v>Earliest supplied year is 2024, later than the 2021 study year.</x:v>
      </x:c>
      <x:c r="W737" s="14"/>
      <x:c r="X737" s="14" t="str">
        <x:v>Carried forward to 2024</x:v>
      </x:c>
      <x:c r="Y737" s="14"/>
      <x:c r="Z737" s="14" t="str">
        <x:v>Dalgliesh.docx</x:v>
      </x:c>
      <x:c r="AA73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7" s="14" t="str">
        <x:v>No established-register match</x:v>
      </x:c>
      <x:c r="AC737" s="14"/>
      <x:c r="AD737" s="14"/>
      <x:c r="AE737" s="14"/>
      <x:c r="AF737" s="14"/>
      <x:c r="AG737" s="14" t="str">
        <x:v>No qualifying conclusion recorded. Absence from the register is not evidence that the performer is not disabled.</x:v>
      </x:c>
      <x:c r="AH737" s="14" t="str">
        <x:v>Channel 5 / 5</x:v>
      </x:c>
      <x:c r="AI737" s="14" t="str">
        <x:v>UK original commission</x:v>
      </x:c>
      <x:c r="AJ737" s="14" t="str">
        <x:v>Exact normalised title</x:v>
      </x:c>
      <x:c r="AK737" s="14" t="str">
        <x:v>Medium</x:v>
      </x:c>
      <x:c r="AL737" s="14" t="str">
        <x:v>Verified for commissioner/platform scope; uk original commission.</x:v>
      </x:c>
      <x:c r="AM737" s="17" t="e">
        <x:f>HYPERLINK("https://en.wikipedia.org/wiki/Dalglish","Open source")</x:f>
        <x:v>HYPERLINK is not implemented. linkLocation=https://en.wikipedia.org/wiki/Dalglish, friendlyName=Open source</x:v>
      </x:c>
      <x:c r="AN737" s="14" t="str">
        <x:v>No qualifying BBC relationship</x:v>
      </x:c>
      <x:c r="AO737" s="14" t="str">
        <x:v>No</x:v>
      </x:c>
      <x:c r="AP737" s="14" t="str">
        <x:v>Out of scope</x:v>
      </x:c>
      <x:c r="AQ737" s="14" t="str">
        <x:v>No</x:v>
      </x:c>
      <x:c r="AR737" s="14" t="str">
        <x:v>Resolved from master register</x:v>
      </x:c>
      <x:c r="AS737" s="14" t="str">
        <x:v>No established-register match</x:v>
      </x:c>
      <x:c r="AT737" s="14"/>
      <x:c r="AU737" s="14"/>
      <x:c r="AV737" s="14" t="str">
        <x:v>No established apparent-disability match</x:v>
      </x:c>
      <x:c r="AW737" s="14"/>
      <x:c r="AX737" s="14" t="str">
        <x:v>No</x:v>
      </x:c>
      <x:c r="AY737" s="14" t="str">
        <x:v>Unmatched</x:v>
      </x:c>
      <x:c r="AZ737" s="14" t="str">
        <x:v>Final supplied register</x:v>
      </x:c>
      <x:c r="BA737" s="14" t="str">
        <x:v>Absence from the register is not evidence that the performer is not disabled.</x:v>
      </x:c>
      <x:c r="BB737" s="14" t="str">
        <x:v>No established-register match</x:v>
      </x:c>
      <x:c r="BC737" s="14"/>
      <x:c r="BD737" s="14"/>
      <x:c r="BE737" s="14"/>
      <x:c r="BF737" s="14" t="str">
        <x:v>No established apparent-disability match</x:v>
      </x:c>
      <x:c r="BG737" s="14"/>
      <x:c r="BH737" s="14" t="str">
        <x:v>No</x:v>
      </x:c>
      <x:c r="BI737" s="14"/>
      <x:c r="BJ737" s="14"/>
      <x:c r="BK737" s="14"/>
      <x:c r="BL737" s="14" t="str">
        <x:v>Unmatched</x:v>
      </x:c>
      <x:c r="BM737" s="14" t="str">
        <x:v>Final supplied register</x:v>
      </x:c>
      <x:c r="BN737" s="14" t="str">
        <x:v>Absence from the register is not evidence that the performer is not disabled.</x:v>
      </x:c>
      <x:c r="BO737" s="14" t="n">
        <x:v>18</x:v>
      </x:c>
      <x:c r="BP737" s="14" t="str">
        <x:v>Maximum eligible IMDb cast-credit total (18), shared by 1 performer(s); not independently verified as a 2021-only episode total.</x:v>
      </x:c>
      <x:c r="BQ737" s="14" t="str">
        <x:v>Low</x:v>
      </x:c>
      <x:c r="BR737" s="15" t="n">
        <x:v>1</x:v>
      </x:c>
      <x:c r="BS737" s="16" t="n">
        <x:v>0.05555555555555555</x:v>
      </x:c>
      <x:c r="BT737" s="14" t="str">
        <x:v>One episode</x:v>
      </x:c>
      <x:c r="BU737" s="14" t="str">
        <x:v>Low</x:v>
      </x:c>
      <x:c r="BV737" s="14" t="str">
        <x:v>Derived from supplied IMDb episode count and the documented production-total proxy.</x:v>
      </x:c>
      <x:c r="BW737" s="14" t="str">
        <x:v>Unable to determine</x:v>
      </x:c>
      <x:c r="BX737" s="14" t="str">
        <x:v>Supplied cast data establishes the credit and episode presence but does not establish narrative prominence.</x:v>
      </x:c>
      <x:c r="BY737" s="14" t="str">
        <x:v>Supplied IMDb cast-list workbook</x:v>
      </x:c>
      <x:c r="BZ73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7" s="14" t="str">
        <x:v>Not classified</x:v>
      </x:c>
      <x:c r="CB737" s="14" t="str">
        <x:v>Unable to determine</x:v>
      </x:c>
      <x:c r="CC737" s="14" t="str">
        <x:v>Unique</x:v>
      </x:c>
      <x:c r="CD737" s="14" t="str">
        <x:v>None identified</x:v>
      </x:c>
    </x:row>
    <x:row r="738">
      <x:c r="A738" s="14" t="str">
        <x:v>tt13430420|nm5275941|reverend wainwright</x:v>
      </x:c>
      <x:c r="B738" s="14" t="str">
        <x:v>01</x:v>
      </x:c>
      <x:c r="C738" s="14" t="str">
        <x:v>2021_IMDb_Cast_Lists_Batch_01(1).xlsx</x:v>
      </x:c>
      <x:c r="D738" s="14" t="str">
        <x:v>Dalgliesh</x:v>
      </x:c>
      <x:c r="E738" s="14" t="n">
        <x:v>133</x:v>
      </x:c>
      <x:c r="F738" s="14" t="str">
        <x:v>Dalgliesh</x:v>
      </x:c>
      <x:c r="G738" s="14" t="str">
        <x:v>tt13430420</x:v>
      </x:c>
      <x:c r="H738" s="14" t="n">
        <x:v>2021</x:v>
      </x:c>
      <x:c r="I738" s="14" t="n">
        <x:v>2023</x:v>
      </x:c>
      <x:c r="J738" s="14" t="str">
        <x:v>Future Carry-Forward Cohort</x:v>
      </x:c>
      <x:c r="K738" s="14" t="n">
        <x:v>2021</x:v>
      </x:c>
      <x:c r="L738" s="14" t="str">
        <x:v>Available from 2021 analysis</x:v>
      </x:c>
      <x:c r="M738" s="15" t="n">
        <x:v>126</x:v>
      </x:c>
      <x:c r="N738" s="14" t="str">
        <x:v>Richard Doubleday</x:v>
      </x:c>
      <x:c r="O738" s="14" t="str">
        <x:v>nm5275941</x:v>
      </x:c>
      <x:c r="P738" s="14" t="str">
        <x:v>Reverend Wainwright</x:v>
      </x:c>
      <x:c r="Q738" s="15" t="n">
        <x:v>1</x:v>
      </x:c>
      <x:c r="R738" s="14" t="str">
        <x:v>2024</x:v>
      </x:c>
      <x:c r="S738" s="14" t="n">
        <x:v>2024</x:v>
      </x:c>
      <x:c r="T738" s="14" t="n">
        <x:v>2024</x:v>
      </x:c>
      <x:c r="U738" s="14" t="str">
        <x:v>Post-2021 casting excluded</x:v>
      </x:c>
      <x:c r="V738" s="14" t="str">
        <x:v>Earliest supplied year is 2024, later than the 2021 study year.</x:v>
      </x:c>
      <x:c r="W738" s="14"/>
      <x:c r="X738" s="14" t="str">
        <x:v>Carried forward to 2024</x:v>
      </x:c>
      <x:c r="Y738" s="14"/>
      <x:c r="Z738" s="14" t="str">
        <x:v>Dalgliesh.docx</x:v>
      </x:c>
      <x:c r="AA73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8" s="14" t="str">
        <x:v>No established-register match</x:v>
      </x:c>
      <x:c r="AC738" s="14"/>
      <x:c r="AD738" s="14"/>
      <x:c r="AE738" s="14"/>
      <x:c r="AF738" s="14"/>
      <x:c r="AG738" s="14" t="str">
        <x:v>No qualifying conclusion recorded. Absence from the register is not evidence that the performer is not disabled.</x:v>
      </x:c>
      <x:c r="AH738" s="14" t="str">
        <x:v>Channel 5 / 5</x:v>
      </x:c>
      <x:c r="AI738" s="14" t="str">
        <x:v>UK original commission</x:v>
      </x:c>
      <x:c r="AJ738" s="14" t="str">
        <x:v>Exact normalised title</x:v>
      </x:c>
      <x:c r="AK738" s="14" t="str">
        <x:v>Medium</x:v>
      </x:c>
      <x:c r="AL738" s="14" t="str">
        <x:v>Verified for commissioner/platform scope; uk original commission.</x:v>
      </x:c>
      <x:c r="AM738" s="17" t="e">
        <x:f>HYPERLINK("https://en.wikipedia.org/wiki/Dalglish","Open source")</x:f>
        <x:v>HYPERLINK is not implemented. linkLocation=https://en.wikipedia.org/wiki/Dalglish, friendlyName=Open source</x:v>
      </x:c>
      <x:c r="AN738" s="14" t="str">
        <x:v>No qualifying BBC relationship</x:v>
      </x:c>
      <x:c r="AO738" s="14" t="str">
        <x:v>No</x:v>
      </x:c>
      <x:c r="AP738" s="14" t="str">
        <x:v>Out of scope</x:v>
      </x:c>
      <x:c r="AQ738" s="14" t="str">
        <x:v>No</x:v>
      </x:c>
      <x:c r="AR738" s="14" t="str">
        <x:v>Resolved from master register</x:v>
      </x:c>
      <x:c r="AS738" s="14" t="str">
        <x:v>No established-register match</x:v>
      </x:c>
      <x:c r="AT738" s="14"/>
      <x:c r="AU738" s="14"/>
      <x:c r="AV738" s="14" t="str">
        <x:v>No established apparent-disability match</x:v>
      </x:c>
      <x:c r="AW738" s="14"/>
      <x:c r="AX738" s="14" t="str">
        <x:v>No</x:v>
      </x:c>
      <x:c r="AY738" s="14" t="str">
        <x:v>Unmatched</x:v>
      </x:c>
      <x:c r="AZ738" s="14" t="str">
        <x:v>Final supplied register</x:v>
      </x:c>
      <x:c r="BA738" s="14" t="str">
        <x:v>Absence from the register is not evidence that the performer is not disabled.</x:v>
      </x:c>
      <x:c r="BB738" s="14" t="str">
        <x:v>No established-register match</x:v>
      </x:c>
      <x:c r="BC738" s="14"/>
      <x:c r="BD738" s="14"/>
      <x:c r="BE738" s="14"/>
      <x:c r="BF738" s="14" t="str">
        <x:v>No established apparent-disability match</x:v>
      </x:c>
      <x:c r="BG738" s="14"/>
      <x:c r="BH738" s="14" t="str">
        <x:v>No</x:v>
      </x:c>
      <x:c r="BI738" s="14"/>
      <x:c r="BJ738" s="14"/>
      <x:c r="BK738" s="14"/>
      <x:c r="BL738" s="14" t="str">
        <x:v>Unmatched</x:v>
      </x:c>
      <x:c r="BM738" s="14" t="str">
        <x:v>Final supplied register</x:v>
      </x:c>
      <x:c r="BN738" s="14" t="str">
        <x:v>Absence from the register is not evidence that the performer is not disabled.</x:v>
      </x:c>
      <x:c r="BO738" s="14" t="n">
        <x:v>18</x:v>
      </x:c>
      <x:c r="BP738" s="14" t="str">
        <x:v>Maximum eligible IMDb cast-credit total (18), shared by 1 performer(s); not independently verified as a 2021-only episode total.</x:v>
      </x:c>
      <x:c r="BQ738" s="14" t="str">
        <x:v>Low</x:v>
      </x:c>
      <x:c r="BR738" s="15" t="n">
        <x:v>1</x:v>
      </x:c>
      <x:c r="BS738" s="16" t="n">
        <x:v>0.05555555555555555</x:v>
      </x:c>
      <x:c r="BT738" s="14" t="str">
        <x:v>One episode</x:v>
      </x:c>
      <x:c r="BU738" s="14" t="str">
        <x:v>Low</x:v>
      </x:c>
      <x:c r="BV738" s="14" t="str">
        <x:v>Derived from supplied IMDb episode count and the documented production-total proxy.</x:v>
      </x:c>
      <x:c r="BW738" s="14" t="str">
        <x:v>Unable to determine</x:v>
      </x:c>
      <x:c r="BX738" s="14" t="str">
        <x:v>Supplied cast data establishes the credit and episode presence but does not establish narrative prominence.</x:v>
      </x:c>
      <x:c r="BY738" s="14" t="str">
        <x:v>Supplied IMDb cast-list workbook</x:v>
      </x:c>
      <x:c r="BZ73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8" s="14" t="str">
        <x:v>Not classified</x:v>
      </x:c>
      <x:c r="CB738" s="14" t="str">
        <x:v>Unable to determine</x:v>
      </x:c>
      <x:c r="CC738" s="14" t="str">
        <x:v>Unique</x:v>
      </x:c>
      <x:c r="CD738" s="14" t="str">
        <x:v>None identified</x:v>
      </x:c>
    </x:row>
    <x:row r="739">
      <x:c r="A739" s="14" t="str">
        <x:v>tt13430420|nm0694310|paula rice</x:v>
      </x:c>
      <x:c r="B739" s="14" t="str">
        <x:v>01</x:v>
      </x:c>
      <x:c r="C739" s="14" t="str">
        <x:v>2021_IMDb_Cast_Lists_Batch_01(1).xlsx</x:v>
      </x:c>
      <x:c r="D739" s="14" t="str">
        <x:v>Dalgliesh</x:v>
      </x:c>
      <x:c r="E739" s="14" t="n">
        <x:v>134</x:v>
      </x:c>
      <x:c r="F739" s="14" t="str">
        <x:v>Dalgliesh</x:v>
      </x:c>
      <x:c r="G739" s="14" t="str">
        <x:v>tt13430420</x:v>
      </x:c>
      <x:c r="H739" s="14" t="n">
        <x:v>2021</x:v>
      </x:c>
      <x:c r="I739" s="14" t="n">
        <x:v>2023</x:v>
      </x:c>
      <x:c r="J739" s="14" t="str">
        <x:v>Future Carry-Forward Cohort</x:v>
      </x:c>
      <x:c r="K739" s="14" t="n">
        <x:v>2021</x:v>
      </x:c>
      <x:c r="L739" s="14" t="str">
        <x:v>Available from 2021 analysis</x:v>
      </x:c>
      <x:c r="M739" s="15" t="n">
        <x:v>127</x:v>
      </x:c>
      <x:c r="N739" s="14" t="str">
        <x:v>Sara Powell</x:v>
      </x:c>
      <x:c r="O739" s="14" t="str">
        <x:v>nm0694310</x:v>
      </x:c>
      <x:c r="P739" s="14" t="str">
        <x:v>Paula Rice</x:v>
      </x:c>
      <x:c r="Q739" s="15" t="n">
        <x:v>1</x:v>
      </x:c>
      <x:c r="R739" s="14" t="str">
        <x:v>2024</x:v>
      </x:c>
      <x:c r="S739" s="14" t="n">
        <x:v>2024</x:v>
      </x:c>
      <x:c r="T739" s="14" t="n">
        <x:v>2024</x:v>
      </x:c>
      <x:c r="U739" s="14" t="str">
        <x:v>Post-2021 casting excluded</x:v>
      </x:c>
      <x:c r="V739" s="14" t="str">
        <x:v>Earliest supplied year is 2024, later than the 2021 study year.</x:v>
      </x:c>
      <x:c r="W739" s="14"/>
      <x:c r="X739" s="14" t="str">
        <x:v>Carried forward to 2024</x:v>
      </x:c>
      <x:c r="Y739" s="14"/>
      <x:c r="Z739" s="14" t="str">
        <x:v>Dalgliesh.docx</x:v>
      </x:c>
      <x:c r="AA73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9" s="14" t="str">
        <x:v>No established-register match</x:v>
      </x:c>
      <x:c r="AC739" s="14"/>
      <x:c r="AD739" s="14"/>
      <x:c r="AE739" s="14"/>
      <x:c r="AF739" s="14"/>
      <x:c r="AG739" s="14" t="str">
        <x:v>No qualifying conclusion recorded. Absence from the register is not evidence that the performer is not disabled.</x:v>
      </x:c>
      <x:c r="AH739" s="14" t="str">
        <x:v>Channel 5 / 5</x:v>
      </x:c>
      <x:c r="AI739" s="14" t="str">
        <x:v>UK original commission</x:v>
      </x:c>
      <x:c r="AJ739" s="14" t="str">
        <x:v>Exact normalised title</x:v>
      </x:c>
      <x:c r="AK739" s="14" t="str">
        <x:v>Medium</x:v>
      </x:c>
      <x:c r="AL739" s="14" t="str">
        <x:v>Verified for commissioner/platform scope; uk original commission.</x:v>
      </x:c>
      <x:c r="AM739" s="17" t="e">
        <x:f>HYPERLINK("https://en.wikipedia.org/wiki/Dalglish","Open source")</x:f>
        <x:v>HYPERLINK is not implemented. linkLocation=https://en.wikipedia.org/wiki/Dalglish, friendlyName=Open source</x:v>
      </x:c>
      <x:c r="AN739" s="14" t="str">
        <x:v>No qualifying BBC relationship</x:v>
      </x:c>
      <x:c r="AO739" s="14" t="str">
        <x:v>No</x:v>
      </x:c>
      <x:c r="AP739" s="14" t="str">
        <x:v>Out of scope</x:v>
      </x:c>
      <x:c r="AQ739" s="14" t="str">
        <x:v>No</x:v>
      </x:c>
      <x:c r="AR739" s="14" t="str">
        <x:v>Resolved from master register</x:v>
      </x:c>
      <x:c r="AS739" s="14" t="str">
        <x:v>No established-register match</x:v>
      </x:c>
      <x:c r="AT739" s="14"/>
      <x:c r="AU739" s="14"/>
      <x:c r="AV739" s="14" t="str">
        <x:v>No established apparent-disability match</x:v>
      </x:c>
      <x:c r="AW739" s="14"/>
      <x:c r="AX739" s="14" t="str">
        <x:v>No</x:v>
      </x:c>
      <x:c r="AY739" s="14" t="str">
        <x:v>Unmatched</x:v>
      </x:c>
      <x:c r="AZ739" s="14" t="str">
        <x:v>Final supplied register</x:v>
      </x:c>
      <x:c r="BA739" s="14" t="str">
        <x:v>Absence from the register is not evidence that the performer is not disabled.</x:v>
      </x:c>
      <x:c r="BB739" s="14" t="str">
        <x:v>No established-register match</x:v>
      </x:c>
      <x:c r="BC739" s="14"/>
      <x:c r="BD739" s="14"/>
      <x:c r="BE739" s="14"/>
      <x:c r="BF739" s="14" t="str">
        <x:v>No established apparent-disability match</x:v>
      </x:c>
      <x:c r="BG739" s="14"/>
      <x:c r="BH739" s="14" t="str">
        <x:v>No</x:v>
      </x:c>
      <x:c r="BI739" s="14"/>
      <x:c r="BJ739" s="14"/>
      <x:c r="BK739" s="14"/>
      <x:c r="BL739" s="14" t="str">
        <x:v>Unmatched</x:v>
      </x:c>
      <x:c r="BM739" s="14" t="str">
        <x:v>Final supplied register</x:v>
      </x:c>
      <x:c r="BN739" s="14" t="str">
        <x:v>Absence from the register is not evidence that the performer is not disabled.</x:v>
      </x:c>
      <x:c r="BO739" s="14" t="n">
        <x:v>18</x:v>
      </x:c>
      <x:c r="BP739" s="14" t="str">
        <x:v>Maximum eligible IMDb cast-credit total (18), shared by 1 performer(s); not independently verified as a 2021-only episode total.</x:v>
      </x:c>
      <x:c r="BQ739" s="14" t="str">
        <x:v>Low</x:v>
      </x:c>
      <x:c r="BR739" s="15" t="n">
        <x:v>1</x:v>
      </x:c>
      <x:c r="BS739" s="16" t="n">
        <x:v>0.05555555555555555</x:v>
      </x:c>
      <x:c r="BT739" s="14" t="str">
        <x:v>One episode</x:v>
      </x:c>
      <x:c r="BU739" s="14" t="str">
        <x:v>Low</x:v>
      </x:c>
      <x:c r="BV739" s="14" t="str">
        <x:v>Derived from supplied IMDb episode count and the documented production-total proxy.</x:v>
      </x:c>
      <x:c r="BW739" s="14" t="str">
        <x:v>Unable to determine</x:v>
      </x:c>
      <x:c r="BX739" s="14" t="str">
        <x:v>Supplied cast data establishes the credit and episode presence but does not establish narrative prominence.</x:v>
      </x:c>
      <x:c r="BY739" s="14" t="str">
        <x:v>Supplied IMDb cast-list workbook</x:v>
      </x:c>
      <x:c r="BZ73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9" s="14" t="str">
        <x:v>Not classified</x:v>
      </x:c>
      <x:c r="CB739" s="14" t="str">
        <x:v>Unable to determine</x:v>
      </x:c>
      <x:c r="CC739" s="14" t="str">
        <x:v>Unique</x:v>
      </x:c>
      <x:c r="CD739" s="14" t="str">
        <x:v>None identified</x:v>
      </x:c>
    </x:row>
    <x:row r="740">
      <x:c r="A740" s="14" t="str">
        <x:v>tt13430420|nm10029083|pathologist</x:v>
      </x:c>
      <x:c r="B740" s="14" t="str">
        <x:v>01</x:v>
      </x:c>
      <x:c r="C740" s="14" t="str">
        <x:v>2021_IMDb_Cast_Lists_Batch_01(1).xlsx</x:v>
      </x:c>
      <x:c r="D740" s="14" t="str">
        <x:v>Dalgliesh</x:v>
      </x:c>
      <x:c r="E740" s="14" t="n">
        <x:v>136</x:v>
      </x:c>
      <x:c r="F740" s="14" t="str">
        <x:v>Dalgliesh</x:v>
      </x:c>
      <x:c r="G740" s="14" t="str">
        <x:v>tt13430420</x:v>
      </x:c>
      <x:c r="H740" s="14" t="n">
        <x:v>2021</x:v>
      </x:c>
      <x:c r="I740" s="14" t="n">
        <x:v>2023</x:v>
      </x:c>
      <x:c r="J740" s="14" t="str">
        <x:v>Future Carry-Forward Cohort</x:v>
      </x:c>
      <x:c r="K740" s="14" t="n">
        <x:v>2021</x:v>
      </x:c>
      <x:c r="L740" s="14" t="str">
        <x:v>Available from 2021 analysis</x:v>
      </x:c>
      <x:c r="M740" s="15" t="n">
        <x:v>129</x:v>
      </x:c>
      <x:c r="N740" s="14" t="str">
        <x:v>Allison Harding</x:v>
      </x:c>
      <x:c r="O740" s="14" t="str">
        <x:v>nm10029083</x:v>
      </x:c>
      <x:c r="P740" s="14" t="str">
        <x:v>Pathologist</x:v>
      </x:c>
      <x:c r="Q740" s="15" t="n">
        <x:v>1</x:v>
      </x:c>
      <x:c r="R740" s="14" t="str">
        <x:v>2024</x:v>
      </x:c>
      <x:c r="S740" s="14" t="n">
        <x:v>2024</x:v>
      </x:c>
      <x:c r="T740" s="14" t="n">
        <x:v>2024</x:v>
      </x:c>
      <x:c r="U740" s="14" t="str">
        <x:v>Post-2021 casting excluded</x:v>
      </x:c>
      <x:c r="V740" s="14" t="str">
        <x:v>Earliest supplied year is 2024, later than the 2021 study year.</x:v>
      </x:c>
      <x:c r="W740" s="14"/>
      <x:c r="X740" s="14" t="str">
        <x:v>Carried forward to 2024</x:v>
      </x:c>
      <x:c r="Y740" s="14"/>
      <x:c r="Z740" s="14" t="str">
        <x:v>Dalgliesh.docx</x:v>
      </x:c>
      <x:c r="AA74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0" s="14" t="str">
        <x:v>No established-register match</x:v>
      </x:c>
      <x:c r="AC740" s="14"/>
      <x:c r="AD740" s="14"/>
      <x:c r="AE740" s="14"/>
      <x:c r="AF740" s="14"/>
      <x:c r="AG740" s="14" t="str">
        <x:v>No qualifying conclusion recorded. Absence from the register is not evidence that the performer is not disabled.</x:v>
      </x:c>
      <x:c r="AH740" s="14" t="str">
        <x:v>Channel 5 / 5</x:v>
      </x:c>
      <x:c r="AI740" s="14" t="str">
        <x:v>UK original commission</x:v>
      </x:c>
      <x:c r="AJ740" s="14" t="str">
        <x:v>Exact normalised title</x:v>
      </x:c>
      <x:c r="AK740" s="14" t="str">
        <x:v>Medium</x:v>
      </x:c>
      <x:c r="AL740" s="14" t="str">
        <x:v>Verified for commissioner/platform scope; uk original commission.</x:v>
      </x:c>
      <x:c r="AM740" s="17" t="e">
        <x:f>HYPERLINK("https://en.wikipedia.org/wiki/Dalglish","Open source")</x:f>
        <x:v>HYPERLINK is not implemented. linkLocation=https://en.wikipedia.org/wiki/Dalglish, friendlyName=Open source</x:v>
      </x:c>
      <x:c r="AN740" s="14" t="str">
        <x:v>No qualifying BBC relationship</x:v>
      </x:c>
      <x:c r="AO740" s="14" t="str">
        <x:v>No</x:v>
      </x:c>
      <x:c r="AP740" s="14" t="str">
        <x:v>Out of scope</x:v>
      </x:c>
      <x:c r="AQ740" s="14" t="str">
        <x:v>No</x:v>
      </x:c>
      <x:c r="AR740" s="14" t="str">
        <x:v>Resolved from master register</x:v>
      </x:c>
      <x:c r="AS740" s="14" t="str">
        <x:v>No established-register match</x:v>
      </x:c>
      <x:c r="AT740" s="14"/>
      <x:c r="AU740" s="14"/>
      <x:c r="AV740" s="14" t="str">
        <x:v>No established apparent-disability match</x:v>
      </x:c>
      <x:c r="AW740" s="14"/>
      <x:c r="AX740" s="14" t="str">
        <x:v>No</x:v>
      </x:c>
      <x:c r="AY740" s="14" t="str">
        <x:v>Unmatched</x:v>
      </x:c>
      <x:c r="AZ740" s="14" t="str">
        <x:v>Final supplied register</x:v>
      </x:c>
      <x:c r="BA740" s="14" t="str">
        <x:v>Absence from the register is not evidence that the performer is not disabled.</x:v>
      </x:c>
      <x:c r="BB740" s="14" t="str">
        <x:v>No established-register match</x:v>
      </x:c>
      <x:c r="BC740" s="14"/>
      <x:c r="BD740" s="14"/>
      <x:c r="BE740" s="14"/>
      <x:c r="BF740" s="14" t="str">
        <x:v>No established apparent-disability match</x:v>
      </x:c>
      <x:c r="BG740" s="14"/>
      <x:c r="BH740" s="14" t="str">
        <x:v>No</x:v>
      </x:c>
      <x:c r="BI740" s="14"/>
      <x:c r="BJ740" s="14"/>
      <x:c r="BK740" s="14"/>
      <x:c r="BL740" s="14" t="str">
        <x:v>Unmatched</x:v>
      </x:c>
      <x:c r="BM740" s="14" t="str">
        <x:v>Final supplied register</x:v>
      </x:c>
      <x:c r="BN740" s="14" t="str">
        <x:v>Absence from the register is not evidence that the performer is not disabled.</x:v>
      </x:c>
      <x:c r="BO740" s="14" t="n">
        <x:v>18</x:v>
      </x:c>
      <x:c r="BP740" s="14" t="str">
        <x:v>Maximum eligible IMDb cast-credit total (18), shared by 1 performer(s); not independently verified as a 2021-only episode total.</x:v>
      </x:c>
      <x:c r="BQ740" s="14" t="str">
        <x:v>Low</x:v>
      </x:c>
      <x:c r="BR740" s="15" t="n">
        <x:v>1</x:v>
      </x:c>
      <x:c r="BS740" s="16" t="n">
        <x:v>0.05555555555555555</x:v>
      </x:c>
      <x:c r="BT740" s="14" t="str">
        <x:v>One episode</x:v>
      </x:c>
      <x:c r="BU740" s="14" t="str">
        <x:v>Low</x:v>
      </x:c>
      <x:c r="BV740" s="14" t="str">
        <x:v>Derived from supplied IMDb episode count and the documented production-total proxy.</x:v>
      </x:c>
      <x:c r="BW740" s="14" t="str">
        <x:v>Unable to determine</x:v>
      </x:c>
      <x:c r="BX740" s="14" t="str">
        <x:v>Supplied cast data establishes the credit and episode presence but does not establish narrative prominence.</x:v>
      </x:c>
      <x:c r="BY740" s="14" t="str">
        <x:v>Supplied IMDb cast-list workbook</x:v>
      </x:c>
      <x:c r="BZ74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0" s="14" t="str">
        <x:v>Not classified</x:v>
      </x:c>
      <x:c r="CB740" s="14" t="str">
        <x:v>Unable to determine</x:v>
      </x:c>
      <x:c r="CC740" s="14" t="str">
        <x:v>Unique</x:v>
      </x:c>
      <x:c r="CD740" s="14" t="str">
        <x:v>None identified</x:v>
      </x:c>
    </x:row>
    <x:row r="741">
      <x:c r="A741" s="14" t="str">
        <x:v>tt13430420|nm2697506|nurse ford</x:v>
      </x:c>
      <x:c r="B741" s="14" t="str">
        <x:v>01</x:v>
      </x:c>
      <x:c r="C741" s="14" t="str">
        <x:v>2021_IMDb_Cast_Lists_Batch_01(1).xlsx</x:v>
      </x:c>
      <x:c r="D741" s="14" t="str">
        <x:v>Dalgliesh</x:v>
      </x:c>
      <x:c r="E741" s="14" t="n">
        <x:v>137</x:v>
      </x:c>
      <x:c r="F741" s="14" t="str">
        <x:v>Dalgliesh</x:v>
      </x:c>
      <x:c r="G741" s="14" t="str">
        <x:v>tt13430420</x:v>
      </x:c>
      <x:c r="H741" s="14" t="n">
        <x:v>2021</x:v>
      </x:c>
      <x:c r="I741" s="14" t="n">
        <x:v>2023</x:v>
      </x:c>
      <x:c r="J741" s="14" t="str">
        <x:v>Future Carry-Forward Cohort</x:v>
      </x:c>
      <x:c r="K741" s="14" t="n">
        <x:v>2021</x:v>
      </x:c>
      <x:c r="L741" s="14" t="str">
        <x:v>Available from 2021 analysis</x:v>
      </x:c>
      <x:c r="M741" s="15" t="n">
        <x:v>130</x:v>
      </x:c>
      <x:c r="N741" s="14" t="str">
        <x:v>Geraldine McAlinden</x:v>
      </x:c>
      <x:c r="O741" s="14" t="str">
        <x:v>nm2697506</x:v>
      </x:c>
      <x:c r="P741" s="14" t="str">
        <x:v>Nurse Ford</x:v>
      </x:c>
      <x:c r="Q741" s="15" t="n">
        <x:v>1</x:v>
      </x:c>
      <x:c r="R741" s="14" t="str">
        <x:v>2024</x:v>
      </x:c>
      <x:c r="S741" s="14" t="n">
        <x:v>2024</x:v>
      </x:c>
      <x:c r="T741" s="14" t="n">
        <x:v>2024</x:v>
      </x:c>
      <x:c r="U741" s="14" t="str">
        <x:v>Post-2021 casting excluded</x:v>
      </x:c>
      <x:c r="V741" s="14" t="str">
        <x:v>Earliest supplied year is 2024, later than the 2021 study year.</x:v>
      </x:c>
      <x:c r="W741" s="14"/>
      <x:c r="X741" s="14" t="str">
        <x:v>Carried forward to 2024</x:v>
      </x:c>
      <x:c r="Y741" s="14"/>
      <x:c r="Z741" s="14" t="str">
        <x:v>Dalgliesh.docx</x:v>
      </x:c>
      <x:c r="AA74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1" s="14" t="str">
        <x:v>No established-register match</x:v>
      </x:c>
      <x:c r="AC741" s="14"/>
      <x:c r="AD741" s="14"/>
      <x:c r="AE741" s="14"/>
      <x:c r="AF741" s="14"/>
      <x:c r="AG741" s="14" t="str">
        <x:v>No qualifying conclusion recorded. Absence from the register is not evidence that the performer is not disabled.</x:v>
      </x:c>
      <x:c r="AH741" s="14" t="str">
        <x:v>Channel 5 / 5</x:v>
      </x:c>
      <x:c r="AI741" s="14" t="str">
        <x:v>UK original commission</x:v>
      </x:c>
      <x:c r="AJ741" s="14" t="str">
        <x:v>Exact normalised title</x:v>
      </x:c>
      <x:c r="AK741" s="14" t="str">
        <x:v>Medium</x:v>
      </x:c>
      <x:c r="AL741" s="14" t="str">
        <x:v>Verified for commissioner/platform scope; uk original commission.</x:v>
      </x:c>
      <x:c r="AM741" s="17" t="e">
        <x:f>HYPERLINK("https://en.wikipedia.org/wiki/Dalglish","Open source")</x:f>
        <x:v>HYPERLINK is not implemented. linkLocation=https://en.wikipedia.org/wiki/Dalglish, friendlyName=Open source</x:v>
      </x:c>
      <x:c r="AN741" s="14" t="str">
        <x:v>No qualifying BBC relationship</x:v>
      </x:c>
      <x:c r="AO741" s="14" t="str">
        <x:v>No</x:v>
      </x:c>
      <x:c r="AP741" s="14" t="str">
        <x:v>Out of scope</x:v>
      </x:c>
      <x:c r="AQ741" s="14" t="str">
        <x:v>No</x:v>
      </x:c>
      <x:c r="AR741" s="14" t="str">
        <x:v>Resolved from master register</x:v>
      </x:c>
      <x:c r="AS741" s="14" t="str">
        <x:v>No established-register match</x:v>
      </x:c>
      <x:c r="AT741" s="14"/>
      <x:c r="AU741" s="14"/>
      <x:c r="AV741" s="14" t="str">
        <x:v>No established apparent-disability match</x:v>
      </x:c>
      <x:c r="AW741" s="14"/>
      <x:c r="AX741" s="14" t="str">
        <x:v>No</x:v>
      </x:c>
      <x:c r="AY741" s="14" t="str">
        <x:v>Unmatched</x:v>
      </x:c>
      <x:c r="AZ741" s="14" t="str">
        <x:v>Final supplied register</x:v>
      </x:c>
      <x:c r="BA741" s="14" t="str">
        <x:v>Absence from the register is not evidence that the performer is not disabled.</x:v>
      </x:c>
      <x:c r="BB741" s="14" t="str">
        <x:v>No established-register match</x:v>
      </x:c>
      <x:c r="BC741" s="14"/>
      <x:c r="BD741" s="14"/>
      <x:c r="BE741" s="14"/>
      <x:c r="BF741" s="14" t="str">
        <x:v>No established apparent-disability match</x:v>
      </x:c>
      <x:c r="BG741" s="14"/>
      <x:c r="BH741" s="14" t="str">
        <x:v>No</x:v>
      </x:c>
      <x:c r="BI741" s="14"/>
      <x:c r="BJ741" s="14"/>
      <x:c r="BK741" s="14"/>
      <x:c r="BL741" s="14" t="str">
        <x:v>Unmatched</x:v>
      </x:c>
      <x:c r="BM741" s="14" t="str">
        <x:v>Final supplied register</x:v>
      </x:c>
      <x:c r="BN741" s="14" t="str">
        <x:v>Absence from the register is not evidence that the performer is not disabled.</x:v>
      </x:c>
      <x:c r="BO741" s="14" t="n">
        <x:v>18</x:v>
      </x:c>
      <x:c r="BP741" s="14" t="str">
        <x:v>Maximum eligible IMDb cast-credit total (18), shared by 1 performer(s); not independently verified as a 2021-only episode total.</x:v>
      </x:c>
      <x:c r="BQ741" s="14" t="str">
        <x:v>Low</x:v>
      </x:c>
      <x:c r="BR741" s="15" t="n">
        <x:v>1</x:v>
      </x:c>
      <x:c r="BS741" s="16" t="n">
        <x:v>0.05555555555555555</x:v>
      </x:c>
      <x:c r="BT741" s="14" t="str">
        <x:v>One episode</x:v>
      </x:c>
      <x:c r="BU741" s="14" t="str">
        <x:v>Low</x:v>
      </x:c>
      <x:c r="BV741" s="14" t="str">
        <x:v>Derived from supplied IMDb episode count and the documented production-total proxy.</x:v>
      </x:c>
      <x:c r="BW741" s="14" t="str">
        <x:v>Unable to determine</x:v>
      </x:c>
      <x:c r="BX741" s="14" t="str">
        <x:v>Supplied cast data establishes the credit and episode presence but does not establish narrative prominence.</x:v>
      </x:c>
      <x:c r="BY741" s="14" t="str">
        <x:v>Supplied IMDb cast-list workbook</x:v>
      </x:c>
      <x:c r="BZ74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1" s="14" t="str">
        <x:v>Not classified</x:v>
      </x:c>
      <x:c r="CB741" s="14" t="str">
        <x:v>Unable to determine</x:v>
      </x:c>
      <x:c r="CC741" s="14" t="str">
        <x:v>Unique</x:v>
      </x:c>
      <x:c r="CD741" s="14" t="str">
        <x:v>None identified</x:v>
      </x:c>
    </x:row>
    <x:row r="742">
      <x:c r="A742" s="14" t="str">
        <x:v>tt13430420|nm2926267|desk sergeant</x:v>
      </x:c>
      <x:c r="B742" s="14" t="str">
        <x:v>01</x:v>
      </x:c>
      <x:c r="C742" s="14" t="str">
        <x:v>2021_IMDb_Cast_Lists_Batch_01(1).xlsx</x:v>
      </x:c>
      <x:c r="D742" s="14" t="str">
        <x:v>Dalgliesh</x:v>
      </x:c>
      <x:c r="E742" s="14" t="n">
        <x:v>145</x:v>
      </x:c>
      <x:c r="F742" s="14" t="str">
        <x:v>Dalgliesh</x:v>
      </x:c>
      <x:c r="G742" s="14" t="str">
        <x:v>tt13430420</x:v>
      </x:c>
      <x:c r="H742" s="14" t="n">
        <x:v>2021</x:v>
      </x:c>
      <x:c r="I742" s="14" t="n">
        <x:v>2023</x:v>
      </x:c>
      <x:c r="J742" s="14" t="str">
        <x:v>Future Carry-Forward Cohort</x:v>
      </x:c>
      <x:c r="K742" s="14" t="n">
        <x:v>2021</x:v>
      </x:c>
      <x:c r="L742" s="14" t="str">
        <x:v>Available from 2021 analysis</x:v>
      </x:c>
      <x:c r="M742" s="15" t="n">
        <x:v>138</x:v>
      </x:c>
      <x:c r="N742" s="14" t="str">
        <x:v>Richard McFerran</x:v>
      </x:c>
      <x:c r="O742" s="14" t="str">
        <x:v>nm2926267</x:v>
      </x:c>
      <x:c r="P742" s="14" t="str">
        <x:v>Desk Sergeant</x:v>
      </x:c>
      <x:c r="Q742" s="15" t="n">
        <x:v>1</x:v>
      </x:c>
      <x:c r="R742" s="14" t="str">
        <x:v>2024</x:v>
      </x:c>
      <x:c r="S742" s="14" t="n">
        <x:v>2024</x:v>
      </x:c>
      <x:c r="T742" s="14" t="n">
        <x:v>2024</x:v>
      </x:c>
      <x:c r="U742" s="14" t="str">
        <x:v>Post-2021 casting excluded</x:v>
      </x:c>
      <x:c r="V742" s="14" t="str">
        <x:v>Earliest supplied year is 2024, later than the 2021 study year.</x:v>
      </x:c>
      <x:c r="W742" s="14"/>
      <x:c r="X742" s="14" t="str">
        <x:v>Carried forward to 2024</x:v>
      </x:c>
      <x:c r="Y742" s="14"/>
      <x:c r="Z742" s="14" t="str">
        <x:v>Dalgliesh.docx</x:v>
      </x:c>
      <x:c r="AA74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2" s="14" t="str">
        <x:v>No established-register match</x:v>
      </x:c>
      <x:c r="AC742" s="14"/>
      <x:c r="AD742" s="14"/>
      <x:c r="AE742" s="14"/>
      <x:c r="AF742" s="14"/>
      <x:c r="AG742" s="14" t="str">
        <x:v>No qualifying conclusion recorded. Absence from the register is not evidence that the performer is not disabled.</x:v>
      </x:c>
      <x:c r="AH742" s="14" t="str">
        <x:v>Channel 5 / 5</x:v>
      </x:c>
      <x:c r="AI742" s="14" t="str">
        <x:v>UK original commission</x:v>
      </x:c>
      <x:c r="AJ742" s="14" t="str">
        <x:v>Exact normalised title</x:v>
      </x:c>
      <x:c r="AK742" s="14" t="str">
        <x:v>Medium</x:v>
      </x:c>
      <x:c r="AL742" s="14" t="str">
        <x:v>Verified for commissioner/platform scope; uk original commission.</x:v>
      </x:c>
      <x:c r="AM742" s="17" t="e">
        <x:f>HYPERLINK("https://en.wikipedia.org/wiki/Dalglish","Open source")</x:f>
        <x:v>HYPERLINK is not implemented. linkLocation=https://en.wikipedia.org/wiki/Dalglish, friendlyName=Open source</x:v>
      </x:c>
      <x:c r="AN742" s="14" t="str">
        <x:v>No qualifying BBC relationship</x:v>
      </x:c>
      <x:c r="AO742" s="14" t="str">
        <x:v>No</x:v>
      </x:c>
      <x:c r="AP742" s="14" t="str">
        <x:v>Out of scope</x:v>
      </x:c>
      <x:c r="AQ742" s="14" t="str">
        <x:v>No</x:v>
      </x:c>
      <x:c r="AR742" s="14" t="str">
        <x:v>Resolved from master register</x:v>
      </x:c>
      <x:c r="AS742" s="14" t="str">
        <x:v>No established-register match</x:v>
      </x:c>
      <x:c r="AT742" s="14"/>
      <x:c r="AU742" s="14"/>
      <x:c r="AV742" s="14" t="str">
        <x:v>No established apparent-disability match</x:v>
      </x:c>
      <x:c r="AW742" s="14"/>
      <x:c r="AX742" s="14" t="str">
        <x:v>No</x:v>
      </x:c>
      <x:c r="AY742" s="14" t="str">
        <x:v>Unmatched</x:v>
      </x:c>
      <x:c r="AZ742" s="14" t="str">
        <x:v>Final supplied register</x:v>
      </x:c>
      <x:c r="BA742" s="14" t="str">
        <x:v>Absence from the register is not evidence that the performer is not disabled.</x:v>
      </x:c>
      <x:c r="BB742" s="14" t="str">
        <x:v>No established-register match</x:v>
      </x:c>
      <x:c r="BC742" s="14"/>
      <x:c r="BD742" s="14"/>
      <x:c r="BE742" s="14"/>
      <x:c r="BF742" s="14" t="str">
        <x:v>No established apparent-disability match</x:v>
      </x:c>
      <x:c r="BG742" s="14"/>
      <x:c r="BH742" s="14" t="str">
        <x:v>No</x:v>
      </x:c>
      <x:c r="BI742" s="14"/>
      <x:c r="BJ742" s="14"/>
      <x:c r="BK742" s="14"/>
      <x:c r="BL742" s="14" t="str">
        <x:v>Unmatched</x:v>
      </x:c>
      <x:c r="BM742" s="14" t="str">
        <x:v>Final supplied register</x:v>
      </x:c>
      <x:c r="BN742" s="14" t="str">
        <x:v>Absence from the register is not evidence that the performer is not disabled.</x:v>
      </x:c>
      <x:c r="BO742" s="14" t="n">
        <x:v>18</x:v>
      </x:c>
      <x:c r="BP742" s="14" t="str">
        <x:v>Maximum eligible IMDb cast-credit total (18), shared by 1 performer(s); not independently verified as a 2021-only episode total.</x:v>
      </x:c>
      <x:c r="BQ742" s="14" t="str">
        <x:v>Low</x:v>
      </x:c>
      <x:c r="BR742" s="15" t="n">
        <x:v>1</x:v>
      </x:c>
      <x:c r="BS742" s="16" t="n">
        <x:v>0.05555555555555555</x:v>
      </x:c>
      <x:c r="BT742" s="14" t="str">
        <x:v>One episode</x:v>
      </x:c>
      <x:c r="BU742" s="14" t="str">
        <x:v>Low</x:v>
      </x:c>
      <x:c r="BV742" s="14" t="str">
        <x:v>Derived from supplied IMDb episode count and the documented production-total proxy.</x:v>
      </x:c>
      <x:c r="BW742" s="14" t="str">
        <x:v>Unable to determine</x:v>
      </x:c>
      <x:c r="BX742" s="14" t="str">
        <x:v>Supplied cast data establishes the credit and episode presence but does not establish narrative prominence.</x:v>
      </x:c>
      <x:c r="BY742" s="14" t="str">
        <x:v>Supplied IMDb cast-list workbook</x:v>
      </x:c>
      <x:c r="BZ74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2" s="14" t="str">
        <x:v>Not classified</x:v>
      </x:c>
      <x:c r="CB742" s="14" t="str">
        <x:v>Unable to determine</x:v>
      </x:c>
      <x:c r="CC742" s="14" t="str">
        <x:v>Unique</x:v>
      </x:c>
      <x:c r="CD742" s="14" t="str">
        <x:v>None identified</x:v>
      </x:c>
    </x:row>
    <x:row r="743">
      <x:c r="A743" s="14" t="str">
        <x:v>tt13430420|nm3868795|fiona baldwin</x:v>
      </x:c>
      <x:c r="B743" s="14" t="str">
        <x:v>01</x:v>
      </x:c>
      <x:c r="C743" s="14" t="str">
        <x:v>2021_IMDb_Cast_Lists_Batch_01(1).xlsx</x:v>
      </x:c>
      <x:c r="D743" s="14" t="str">
        <x:v>Dalgliesh</x:v>
      </x:c>
      <x:c r="E743" s="14" t="n">
        <x:v>146</x:v>
      </x:c>
      <x:c r="F743" s="14" t="str">
        <x:v>Dalgliesh</x:v>
      </x:c>
      <x:c r="G743" s="14" t="str">
        <x:v>tt13430420</x:v>
      </x:c>
      <x:c r="H743" s="14" t="n">
        <x:v>2021</x:v>
      </x:c>
      <x:c r="I743" s="14" t="n">
        <x:v>2023</x:v>
      </x:c>
      <x:c r="J743" s="14" t="str">
        <x:v>Future Carry-Forward Cohort</x:v>
      </x:c>
      <x:c r="K743" s="14" t="n">
        <x:v>2021</x:v>
      </x:c>
      <x:c r="L743" s="14" t="str">
        <x:v>Available from 2021 analysis</x:v>
      </x:c>
      <x:c r="M743" s="15" t="n">
        <x:v>139</x:v>
      </x:c>
      <x:c r="N743" s="14" t="str">
        <x:v>Orla Mullan</x:v>
      </x:c>
      <x:c r="O743" s="14" t="str">
        <x:v>nm3868795</x:v>
      </x:c>
      <x:c r="P743" s="14" t="str">
        <x:v>Fiona Baldwin</x:v>
      </x:c>
      <x:c r="Q743" s="15" t="n">
        <x:v>1</x:v>
      </x:c>
      <x:c r="R743" s="14" t="str">
        <x:v>2024</x:v>
      </x:c>
      <x:c r="S743" s="14" t="n">
        <x:v>2024</x:v>
      </x:c>
      <x:c r="T743" s="14" t="n">
        <x:v>2024</x:v>
      </x:c>
      <x:c r="U743" s="14" t="str">
        <x:v>Post-2021 casting excluded</x:v>
      </x:c>
      <x:c r="V743" s="14" t="str">
        <x:v>Earliest supplied year is 2024, later than the 2021 study year.</x:v>
      </x:c>
      <x:c r="W743" s="14"/>
      <x:c r="X743" s="14" t="str">
        <x:v>Carried forward to 2024</x:v>
      </x:c>
      <x:c r="Y743" s="14"/>
      <x:c r="Z743" s="14" t="str">
        <x:v>Dalgliesh.docx</x:v>
      </x:c>
      <x:c r="AA74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3" s="14" t="str">
        <x:v>No established-register match</x:v>
      </x:c>
      <x:c r="AC743" s="14"/>
      <x:c r="AD743" s="14"/>
      <x:c r="AE743" s="14"/>
      <x:c r="AF743" s="14"/>
      <x:c r="AG743" s="14" t="str">
        <x:v>No qualifying conclusion recorded. Absence from the register is not evidence that the performer is not disabled.</x:v>
      </x:c>
      <x:c r="AH743" s="14" t="str">
        <x:v>Channel 5 / 5</x:v>
      </x:c>
      <x:c r="AI743" s="14" t="str">
        <x:v>UK original commission</x:v>
      </x:c>
      <x:c r="AJ743" s="14" t="str">
        <x:v>Exact normalised title</x:v>
      </x:c>
      <x:c r="AK743" s="14" t="str">
        <x:v>Medium</x:v>
      </x:c>
      <x:c r="AL743" s="14" t="str">
        <x:v>Verified for commissioner/platform scope; uk original commission.</x:v>
      </x:c>
      <x:c r="AM743" s="17" t="e">
        <x:f>HYPERLINK("https://en.wikipedia.org/wiki/Dalglish","Open source")</x:f>
        <x:v>HYPERLINK is not implemented. linkLocation=https://en.wikipedia.org/wiki/Dalglish, friendlyName=Open source</x:v>
      </x:c>
      <x:c r="AN743" s="14" t="str">
        <x:v>No qualifying BBC relationship</x:v>
      </x:c>
      <x:c r="AO743" s="14" t="str">
        <x:v>No</x:v>
      </x:c>
      <x:c r="AP743" s="14" t="str">
        <x:v>Out of scope</x:v>
      </x:c>
      <x:c r="AQ743" s="14" t="str">
        <x:v>No</x:v>
      </x:c>
      <x:c r="AR743" s="14" t="str">
        <x:v>Resolved from master register</x:v>
      </x:c>
      <x:c r="AS743" s="14" t="str">
        <x:v>No established-register match</x:v>
      </x:c>
      <x:c r="AT743" s="14"/>
      <x:c r="AU743" s="14"/>
      <x:c r="AV743" s="14" t="str">
        <x:v>No established apparent-disability match</x:v>
      </x:c>
      <x:c r="AW743" s="14"/>
      <x:c r="AX743" s="14" t="str">
        <x:v>No</x:v>
      </x:c>
      <x:c r="AY743" s="14" t="str">
        <x:v>Unmatched</x:v>
      </x:c>
      <x:c r="AZ743" s="14" t="str">
        <x:v>Final supplied register</x:v>
      </x:c>
      <x:c r="BA743" s="14" t="str">
        <x:v>Absence from the register is not evidence that the performer is not disabled.</x:v>
      </x:c>
      <x:c r="BB743" s="14" t="str">
        <x:v>No established-register match</x:v>
      </x:c>
      <x:c r="BC743" s="14"/>
      <x:c r="BD743" s="14"/>
      <x:c r="BE743" s="14"/>
      <x:c r="BF743" s="14" t="str">
        <x:v>No established apparent-disability match</x:v>
      </x:c>
      <x:c r="BG743" s="14"/>
      <x:c r="BH743" s="14" t="str">
        <x:v>No</x:v>
      </x:c>
      <x:c r="BI743" s="14"/>
      <x:c r="BJ743" s="14"/>
      <x:c r="BK743" s="14"/>
      <x:c r="BL743" s="14" t="str">
        <x:v>Unmatched</x:v>
      </x:c>
      <x:c r="BM743" s="14" t="str">
        <x:v>Final supplied register</x:v>
      </x:c>
      <x:c r="BN743" s="14" t="str">
        <x:v>Absence from the register is not evidence that the performer is not disabled.</x:v>
      </x:c>
      <x:c r="BO743" s="14" t="n">
        <x:v>18</x:v>
      </x:c>
      <x:c r="BP743" s="14" t="str">
        <x:v>Maximum eligible IMDb cast-credit total (18), shared by 1 performer(s); not independently verified as a 2021-only episode total.</x:v>
      </x:c>
      <x:c r="BQ743" s="14" t="str">
        <x:v>Low</x:v>
      </x:c>
      <x:c r="BR743" s="15" t="n">
        <x:v>1</x:v>
      </x:c>
      <x:c r="BS743" s="16" t="n">
        <x:v>0.05555555555555555</x:v>
      </x:c>
      <x:c r="BT743" s="14" t="str">
        <x:v>One episode</x:v>
      </x:c>
      <x:c r="BU743" s="14" t="str">
        <x:v>Low</x:v>
      </x:c>
      <x:c r="BV743" s="14" t="str">
        <x:v>Derived from supplied IMDb episode count and the documented production-total proxy.</x:v>
      </x:c>
      <x:c r="BW743" s="14" t="str">
        <x:v>Unable to determine</x:v>
      </x:c>
      <x:c r="BX743" s="14" t="str">
        <x:v>Supplied cast data establishes the credit and episode presence but does not establish narrative prominence.</x:v>
      </x:c>
      <x:c r="BY743" s="14" t="str">
        <x:v>Supplied IMDb cast-list workbook</x:v>
      </x:c>
      <x:c r="BZ74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3" s="14" t="str">
        <x:v>Not classified</x:v>
      </x:c>
      <x:c r="CB743" s="14" t="str">
        <x:v>Unable to determine</x:v>
      </x:c>
      <x:c r="CC743" s="14" t="str">
        <x:v>Unique</x:v>
      </x:c>
      <x:c r="CD743" s="14" t="str">
        <x:v>None identified</x:v>
      </x:c>
    </x:row>
    <x:row r="744">
      <x:c r="A744" s="14" t="str">
        <x:v>tt13430420|nm16834646|toby gledhill</x:v>
      </x:c>
      <x:c r="B744" s="14" t="str">
        <x:v>01</x:v>
      </x:c>
      <x:c r="C744" s="14" t="str">
        <x:v>2021_IMDb_Cast_Lists_Batch_01(1).xlsx</x:v>
      </x:c>
      <x:c r="D744" s="14" t="str">
        <x:v>Dalgliesh</x:v>
      </x:c>
      <x:c r="E744" s="14" t="n">
        <x:v>147</x:v>
      </x:c>
      <x:c r="F744" s="14" t="str">
        <x:v>Dalgliesh</x:v>
      </x:c>
      <x:c r="G744" s="14" t="str">
        <x:v>tt13430420</x:v>
      </x:c>
      <x:c r="H744" s="14" t="n">
        <x:v>2021</x:v>
      </x:c>
      <x:c r="I744" s="14" t="n">
        <x:v>2023</x:v>
      </x:c>
      <x:c r="J744" s="14" t="str">
        <x:v>Future Carry-Forward Cohort</x:v>
      </x:c>
      <x:c r="K744" s="14" t="n">
        <x:v>2021</x:v>
      </x:c>
      <x:c r="L744" s="14" t="str">
        <x:v>Available from 2021 analysis</x:v>
      </x:c>
      <x:c r="M744" s="15" t="n">
        <x:v>140</x:v>
      </x:c>
      <x:c r="N744" s="14" t="str">
        <x:v>Matty Loane</x:v>
      </x:c>
      <x:c r="O744" s="14" t="str">
        <x:v>nm16834646</x:v>
      </x:c>
      <x:c r="P744" s="14" t="str">
        <x:v>Toby Gledhill</x:v>
      </x:c>
      <x:c r="Q744" s="15" t="n">
        <x:v>1</x:v>
      </x:c>
      <x:c r="R744" s="14" t="str">
        <x:v>2024</x:v>
      </x:c>
      <x:c r="S744" s="14" t="n">
        <x:v>2024</x:v>
      </x:c>
      <x:c r="T744" s="14" t="n">
        <x:v>2024</x:v>
      </x:c>
      <x:c r="U744" s="14" t="str">
        <x:v>Post-2021 casting excluded</x:v>
      </x:c>
      <x:c r="V744" s="14" t="str">
        <x:v>Earliest supplied year is 2024, later than the 2021 study year.</x:v>
      </x:c>
      <x:c r="W744" s="14"/>
      <x:c r="X744" s="14" t="str">
        <x:v>Carried forward to 2024</x:v>
      </x:c>
      <x:c r="Y744" s="14"/>
      <x:c r="Z744" s="14" t="str">
        <x:v>Dalgliesh.docx</x:v>
      </x:c>
      <x:c r="AA74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4" s="14" t="str">
        <x:v>No established-register match</x:v>
      </x:c>
      <x:c r="AC744" s="14"/>
      <x:c r="AD744" s="14"/>
      <x:c r="AE744" s="14"/>
      <x:c r="AF744" s="14"/>
      <x:c r="AG744" s="14" t="str">
        <x:v>No qualifying conclusion recorded. Absence from the register is not evidence that the performer is not disabled.</x:v>
      </x:c>
      <x:c r="AH744" s="14" t="str">
        <x:v>Channel 5 / 5</x:v>
      </x:c>
      <x:c r="AI744" s="14" t="str">
        <x:v>UK original commission</x:v>
      </x:c>
      <x:c r="AJ744" s="14" t="str">
        <x:v>Exact normalised title</x:v>
      </x:c>
      <x:c r="AK744" s="14" t="str">
        <x:v>Medium</x:v>
      </x:c>
      <x:c r="AL744" s="14" t="str">
        <x:v>Verified for commissioner/platform scope; uk original commission.</x:v>
      </x:c>
      <x:c r="AM744" s="17" t="e">
        <x:f>HYPERLINK("https://en.wikipedia.org/wiki/Dalglish","Open source")</x:f>
        <x:v>HYPERLINK is not implemented. linkLocation=https://en.wikipedia.org/wiki/Dalglish, friendlyName=Open source</x:v>
      </x:c>
      <x:c r="AN744" s="14" t="str">
        <x:v>No qualifying BBC relationship</x:v>
      </x:c>
      <x:c r="AO744" s="14" t="str">
        <x:v>No</x:v>
      </x:c>
      <x:c r="AP744" s="14" t="str">
        <x:v>Out of scope</x:v>
      </x:c>
      <x:c r="AQ744" s="14" t="str">
        <x:v>No</x:v>
      </x:c>
      <x:c r="AR744" s="14" t="str">
        <x:v>Resolved from master register</x:v>
      </x:c>
      <x:c r="AS744" s="14" t="str">
        <x:v>No established-register match</x:v>
      </x:c>
      <x:c r="AT744" s="14"/>
      <x:c r="AU744" s="14"/>
      <x:c r="AV744" s="14" t="str">
        <x:v>No established apparent-disability match</x:v>
      </x:c>
      <x:c r="AW744" s="14"/>
      <x:c r="AX744" s="14" t="str">
        <x:v>No</x:v>
      </x:c>
      <x:c r="AY744" s="14" t="str">
        <x:v>Unmatched</x:v>
      </x:c>
      <x:c r="AZ744" s="14" t="str">
        <x:v>Final supplied register</x:v>
      </x:c>
      <x:c r="BA744" s="14" t="str">
        <x:v>Absence from the register is not evidence that the performer is not disabled.</x:v>
      </x:c>
      <x:c r="BB744" s="14" t="str">
        <x:v>No established-register match</x:v>
      </x:c>
      <x:c r="BC744" s="14"/>
      <x:c r="BD744" s="14"/>
      <x:c r="BE744" s="14"/>
      <x:c r="BF744" s="14" t="str">
        <x:v>No established apparent-disability match</x:v>
      </x:c>
      <x:c r="BG744" s="14"/>
      <x:c r="BH744" s="14" t="str">
        <x:v>No</x:v>
      </x:c>
      <x:c r="BI744" s="14"/>
      <x:c r="BJ744" s="14"/>
      <x:c r="BK744" s="14"/>
      <x:c r="BL744" s="14" t="str">
        <x:v>Unmatched</x:v>
      </x:c>
      <x:c r="BM744" s="14" t="str">
        <x:v>Final supplied register</x:v>
      </x:c>
      <x:c r="BN744" s="14" t="str">
        <x:v>Absence from the register is not evidence that the performer is not disabled.</x:v>
      </x:c>
      <x:c r="BO744" s="14" t="n">
        <x:v>18</x:v>
      </x:c>
      <x:c r="BP744" s="14" t="str">
        <x:v>Maximum eligible IMDb cast-credit total (18), shared by 1 performer(s); not independently verified as a 2021-only episode total.</x:v>
      </x:c>
      <x:c r="BQ744" s="14" t="str">
        <x:v>Low</x:v>
      </x:c>
      <x:c r="BR744" s="15" t="n">
        <x:v>1</x:v>
      </x:c>
      <x:c r="BS744" s="16" t="n">
        <x:v>0.05555555555555555</x:v>
      </x:c>
      <x:c r="BT744" s="14" t="str">
        <x:v>One episode</x:v>
      </x:c>
      <x:c r="BU744" s="14" t="str">
        <x:v>Low</x:v>
      </x:c>
      <x:c r="BV744" s="14" t="str">
        <x:v>Derived from supplied IMDb episode count and the documented production-total proxy.</x:v>
      </x:c>
      <x:c r="BW744" s="14" t="str">
        <x:v>Unable to determine</x:v>
      </x:c>
      <x:c r="BX744" s="14" t="str">
        <x:v>Supplied cast data establishes the credit and episode presence but does not establish narrative prominence.</x:v>
      </x:c>
      <x:c r="BY744" s="14" t="str">
        <x:v>Supplied IMDb cast-list workbook</x:v>
      </x:c>
      <x:c r="BZ74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4" s="14" t="str">
        <x:v>Not classified</x:v>
      </x:c>
      <x:c r="CB744" s="14" t="str">
        <x:v>Unable to determine</x:v>
      </x:c>
      <x:c r="CC744" s="14" t="str">
        <x:v>Unique</x:v>
      </x:c>
      <x:c r="CD744" s="14" t="str">
        <x:v>None identified</x:v>
      </x:c>
    </x:row>
    <x:row r="745">
      <x:c r="A745" s="14" t="str">
        <x:v>tt11639300|nm9700357|siobhan sheldrake</x:v>
      </x:c>
      <x:c r="B745" s="14" t="str">
        <x:v>02</x:v>
      </x:c>
      <x:c r="C745" s="14" t="str">
        <x:v>2021_IMDb_Cast_Lists_Batch_02(1).xlsx</x:v>
      </x:c>
      <x:c r="D745" s="14" t="str">
        <x:v>Grace</x:v>
      </x:c>
      <x:c r="E745" s="14" t="n">
        <x:v>32</x:v>
      </x:c>
      <x:c r="F745" s="14" t="str">
        <x:v>Grace</x:v>
      </x:c>
      <x:c r="G745" s="14" t="str">
        <x:v>tt11639300</x:v>
      </x:c>
      <x:c r="H745" s="14" t="n">
        <x:v>2021</x:v>
      </x:c>
      <x:c r="I745" s="14" t="n">
        <x:v>2023</x:v>
      </x:c>
      <x:c r="J745" s="14" t="str">
        <x:v>Future Carry-Forward Cohort</x:v>
      </x:c>
      <x:c r="K745" s="14" t="n">
        <x:v>2021</x:v>
      </x:c>
      <x:c r="L745" s="14" t="str">
        <x:v>Available from 2021 analysis</x:v>
      </x:c>
      <x:c r="M745" s="15" t="n">
        <x:v>25</x:v>
      </x:c>
      <x:c r="N745" s="14" t="str">
        <x:v>Jan Le</x:v>
      </x:c>
      <x:c r="O745" s="14" t="str">
        <x:v>nm9700357</x:v>
      </x:c>
      <x:c r="P745" s="14" t="str">
        <x:v>Siobhan Sheldrake</x:v>
      </x:c>
      <x:c r="Q745" s="15" t="n">
        <x:v>2</x:v>
      </x:c>
      <x:c r="R745" s="14" t="str">
        <x:v>2024</x:v>
      </x:c>
      <x:c r="S745" s="14" t="n">
        <x:v>2024</x:v>
      </x:c>
      <x:c r="T745" s="14" t="n">
        <x:v>2024</x:v>
      </x:c>
      <x:c r="U745" s="14" t="str">
        <x:v>Post-2021 casting excluded</x:v>
      </x:c>
      <x:c r="V745" s="14" t="str">
        <x:v>Earliest supplied year is 2024, later than the 2021 study year.</x:v>
      </x:c>
      <x:c r="W745" s="14"/>
      <x:c r="X745" s="14" t="str">
        <x:v>Carried forward to 2024</x:v>
      </x:c>
      <x:c r="Y745" s="14"/>
      <x:c r="Z745" s="14" t="str">
        <x:v>Grace.docx</x:v>
      </x:c>
      <x:c r="AA74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5" s="14" t="str">
        <x:v>No established-register match</x:v>
      </x:c>
      <x:c r="AC745" s="14"/>
      <x:c r="AD745" s="14"/>
      <x:c r="AE745" s="14"/>
      <x:c r="AF745" s="14"/>
      <x:c r="AG745" s="14" t="str">
        <x:v>No qualifying conclusion recorded. Absence from the register is not evidence that the performer is not disabled.</x:v>
      </x:c>
      <x:c r="AH745" s="14" t="str">
        <x:v>ITV / ITVX</x:v>
      </x:c>
      <x:c r="AI745" s="14" t="str">
        <x:v>UK original commission</x:v>
      </x:c>
      <x:c r="AJ745" s="14" t="str">
        <x:v>Exact normalised title</x:v>
      </x:c>
      <x:c r="AK745" s="14" t="str">
        <x:v>Medium</x:v>
      </x:c>
      <x:c r="AL745" s="14" t="str">
        <x:v>Verified for commissioner/platform scope; uk original commission.</x:v>
      </x:c>
      <x:c r="AM745" s="17" t="e">
        <x:f>HYPERLINK("https://en.wikipedia.org/wiki/Grace","Open source")</x:f>
        <x:v>HYPERLINK is not implemented. linkLocation=https://en.wikipedia.org/wiki/Grace, friendlyName=Open source</x:v>
      </x:c>
      <x:c r="AN745" s="14" t="str">
        <x:v>No qualifying BBC relationship</x:v>
      </x:c>
      <x:c r="AO745" s="14" t="str">
        <x:v>No</x:v>
      </x:c>
      <x:c r="AP745" s="14" t="str">
        <x:v>Out of scope</x:v>
      </x:c>
      <x:c r="AQ745" s="14" t="str">
        <x:v>No</x:v>
      </x:c>
      <x:c r="AR745" s="14" t="str">
        <x:v>Resolved from master register</x:v>
      </x:c>
      <x:c r="AS745" s="14" t="str">
        <x:v>No established-register match</x:v>
      </x:c>
      <x:c r="AT745" s="14"/>
      <x:c r="AU745" s="14"/>
      <x:c r="AV745" s="14" t="str">
        <x:v>No established apparent-disability match</x:v>
      </x:c>
      <x:c r="AW745" s="14"/>
      <x:c r="AX745" s="14" t="str">
        <x:v>No</x:v>
      </x:c>
      <x:c r="AY745" s="14" t="str">
        <x:v>Unmatched</x:v>
      </x:c>
      <x:c r="AZ745" s="14" t="str">
        <x:v>Final supplied register</x:v>
      </x:c>
      <x:c r="BA745" s="14" t="str">
        <x:v>Absence from the register is not evidence that the performer is not disabled.</x:v>
      </x:c>
      <x:c r="BB745" s="14" t="str">
        <x:v>No established-register match</x:v>
      </x:c>
      <x:c r="BC745" s="14"/>
      <x:c r="BD745" s="14"/>
      <x:c r="BE745" s="14"/>
      <x:c r="BF745" s="14" t="str">
        <x:v>No established apparent-disability match</x:v>
      </x:c>
      <x:c r="BG745" s="14"/>
      <x:c r="BH745" s="14" t="str">
        <x:v>No</x:v>
      </x:c>
      <x:c r="BI745" s="14"/>
      <x:c r="BJ745" s="14"/>
      <x:c r="BK745" s="14"/>
      <x:c r="BL745" s="14" t="str">
        <x:v>Unmatched</x:v>
      </x:c>
      <x:c r="BM745" s="14" t="str">
        <x:v>Final supplied register</x:v>
      </x:c>
      <x:c r="BN745" s="14" t="str">
        <x:v>Absence from the register is not evidence that the performer is not disabled.</x:v>
      </x:c>
      <x:c r="BO745" s="14" t="n">
        <x:v>20</x:v>
      </x:c>
      <x:c r="BP745" s="14" t="str">
        <x:v>Maximum eligible IMDb cast-credit total (20), shared by 4 performer(s); not independently verified as a 2021-only episode total.</x:v>
      </x:c>
      <x:c r="BQ745" s="14" t="str">
        <x:v>Medium</x:v>
      </x:c>
      <x:c r="BR745" s="15" t="n">
        <x:v>2</x:v>
      </x:c>
      <x:c r="BS745" s="16" t="n">
        <x:v>0.1</x:v>
      </x:c>
      <x:c r="BT745" s="14" t="str">
        <x:v>Minority of episodes</x:v>
      </x:c>
      <x:c r="BU745" s="14" t="str">
        <x:v>Medium</x:v>
      </x:c>
      <x:c r="BV745" s="14" t="str">
        <x:v>Derived from supplied IMDb episode count and the documented production-total proxy.</x:v>
      </x:c>
      <x:c r="BW745" s="14" t="str">
        <x:v>Unable to determine</x:v>
      </x:c>
      <x:c r="BX745" s="14" t="str">
        <x:v>Supplied cast data establishes the credit and episode presence but does not establish narrative prominence.</x:v>
      </x:c>
      <x:c r="BY745" s="14" t="str">
        <x:v>Supplied IMDb cast-list workbook</x:v>
      </x:c>
      <x:c r="BZ74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5" s="14" t="str">
        <x:v>Not classified</x:v>
      </x:c>
      <x:c r="CB745" s="14" t="str">
        <x:v>Unable to determine</x:v>
      </x:c>
      <x:c r="CC745" s="14" t="str">
        <x:v>Unique</x:v>
      </x:c>
      <x:c r="CD745" s="14" t="str">
        <x:v>None identified</x:v>
      </x:c>
    </x:row>
    <x:row r="746">
      <x:c r="A746" s="14" t="str">
        <x:v>tt11639300|nm2652095|cassie klein</x:v>
      </x:c>
      <x:c r="B746" s="14" t="str">
        <x:v>02</x:v>
      </x:c>
      <x:c r="C746" s="14" t="str">
        <x:v>2021_IMDb_Cast_Lists_Batch_02(1).xlsx</x:v>
      </x:c>
      <x:c r="D746" s="14" t="str">
        <x:v>Grace</x:v>
      </x:c>
      <x:c r="E746" s="14" t="n">
        <x:v>37</x:v>
      </x:c>
      <x:c r="F746" s="14" t="str">
        <x:v>Grace</x:v>
      </x:c>
      <x:c r="G746" s="14" t="str">
        <x:v>tt11639300</x:v>
      </x:c>
      <x:c r="H746" s="14" t="n">
        <x:v>2021</x:v>
      </x:c>
      <x:c r="I746" s="14" t="n">
        <x:v>2023</x:v>
      </x:c>
      <x:c r="J746" s="14" t="str">
        <x:v>Future Carry-Forward Cohort</x:v>
      </x:c>
      <x:c r="K746" s="14" t="n">
        <x:v>2021</x:v>
      </x:c>
      <x:c r="L746" s="14" t="str">
        <x:v>Available from 2021 analysis</x:v>
      </x:c>
      <x:c r="M746" s="15" t="n">
        <x:v>30</x:v>
      </x:c>
      <x:c r="N746" s="14" t="str">
        <x:v>Laura Haddock</x:v>
      </x:c>
      <x:c r="O746" s="14" t="str">
        <x:v>nm2652095</x:v>
      </x:c>
      <x:c r="P746" s="14" t="str">
        <x:v>Cassie Klein</x:v>
      </x:c>
      <x:c r="Q746" s="15" t="n">
        <x:v>1</x:v>
      </x:c>
      <x:c r="R746" s="14" t="str">
        <x:v>2024</x:v>
      </x:c>
      <x:c r="S746" s="14" t="n">
        <x:v>2024</x:v>
      </x:c>
      <x:c r="T746" s="14" t="n">
        <x:v>2024</x:v>
      </x:c>
      <x:c r="U746" s="14" t="str">
        <x:v>Post-2021 casting excluded</x:v>
      </x:c>
      <x:c r="V746" s="14" t="str">
        <x:v>Earliest supplied year is 2024, later than the 2021 study year.</x:v>
      </x:c>
      <x:c r="W746" s="14"/>
      <x:c r="X746" s="14" t="str">
        <x:v>Carried forward to 2024</x:v>
      </x:c>
      <x:c r="Y746" s="14"/>
      <x:c r="Z746" s="14" t="str">
        <x:v>Grace.docx</x:v>
      </x:c>
      <x:c r="AA74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6" s="14" t="str">
        <x:v>No established-register match</x:v>
      </x:c>
      <x:c r="AC746" s="14"/>
      <x:c r="AD746" s="14"/>
      <x:c r="AE746" s="14"/>
      <x:c r="AF746" s="14"/>
      <x:c r="AG746" s="14" t="str">
        <x:v>No qualifying conclusion recorded. Absence from the register is not evidence that the performer is not disabled.</x:v>
      </x:c>
      <x:c r="AH746" s="14" t="str">
        <x:v>ITV / ITVX</x:v>
      </x:c>
      <x:c r="AI746" s="14" t="str">
        <x:v>UK original commission</x:v>
      </x:c>
      <x:c r="AJ746" s="14" t="str">
        <x:v>Exact normalised title</x:v>
      </x:c>
      <x:c r="AK746" s="14" t="str">
        <x:v>Medium</x:v>
      </x:c>
      <x:c r="AL746" s="14" t="str">
        <x:v>Verified for commissioner/platform scope; uk original commission.</x:v>
      </x:c>
      <x:c r="AM746" s="17" t="e">
        <x:f>HYPERLINK("https://en.wikipedia.org/wiki/Grace","Open source")</x:f>
        <x:v>HYPERLINK is not implemented. linkLocation=https://en.wikipedia.org/wiki/Grace, friendlyName=Open source</x:v>
      </x:c>
      <x:c r="AN746" s="14" t="str">
        <x:v>No qualifying BBC relationship</x:v>
      </x:c>
      <x:c r="AO746" s="14" t="str">
        <x:v>No</x:v>
      </x:c>
      <x:c r="AP746" s="14" t="str">
        <x:v>Out of scope</x:v>
      </x:c>
      <x:c r="AQ746" s="14" t="str">
        <x:v>No</x:v>
      </x:c>
      <x:c r="AR746" s="14" t="str">
        <x:v>Resolved from master register</x:v>
      </x:c>
      <x:c r="AS746" s="14" t="str">
        <x:v>No established-register match</x:v>
      </x:c>
      <x:c r="AT746" s="14"/>
      <x:c r="AU746" s="14"/>
      <x:c r="AV746" s="14" t="str">
        <x:v>No established apparent-disability match</x:v>
      </x:c>
      <x:c r="AW746" s="14"/>
      <x:c r="AX746" s="14" t="str">
        <x:v>No</x:v>
      </x:c>
      <x:c r="AY746" s="14" t="str">
        <x:v>Unmatched</x:v>
      </x:c>
      <x:c r="AZ746" s="14" t="str">
        <x:v>Final supplied register</x:v>
      </x:c>
      <x:c r="BA746" s="14" t="str">
        <x:v>Absence from the register is not evidence that the performer is not disabled.</x:v>
      </x:c>
      <x:c r="BB746" s="14" t="str">
        <x:v>No established-register match</x:v>
      </x:c>
      <x:c r="BC746" s="14"/>
      <x:c r="BD746" s="14"/>
      <x:c r="BE746" s="14"/>
      <x:c r="BF746" s="14" t="str">
        <x:v>No established apparent-disability match</x:v>
      </x:c>
      <x:c r="BG746" s="14"/>
      <x:c r="BH746" s="14" t="str">
        <x:v>No</x:v>
      </x:c>
      <x:c r="BI746" s="14"/>
      <x:c r="BJ746" s="14"/>
      <x:c r="BK746" s="14"/>
      <x:c r="BL746" s="14" t="str">
        <x:v>Unmatched</x:v>
      </x:c>
      <x:c r="BM746" s="14" t="str">
        <x:v>Final supplied register</x:v>
      </x:c>
      <x:c r="BN746" s="14" t="str">
        <x:v>Absence from the register is not evidence that the performer is not disabled.</x:v>
      </x:c>
      <x:c r="BO746" s="14" t="n">
        <x:v>20</x:v>
      </x:c>
      <x:c r="BP746" s="14" t="str">
        <x:v>Maximum eligible IMDb cast-credit total (20), shared by 4 performer(s); not independently verified as a 2021-only episode total.</x:v>
      </x:c>
      <x:c r="BQ746" s="14" t="str">
        <x:v>Medium</x:v>
      </x:c>
      <x:c r="BR746" s="15" t="n">
        <x:v>1</x:v>
      </x:c>
      <x:c r="BS746" s="16" t="n">
        <x:v>0.05</x:v>
      </x:c>
      <x:c r="BT746" s="14" t="str">
        <x:v>One episode</x:v>
      </x:c>
      <x:c r="BU746" s="14" t="str">
        <x:v>Medium</x:v>
      </x:c>
      <x:c r="BV746" s="14" t="str">
        <x:v>Derived from supplied IMDb episode count and the documented production-total proxy.</x:v>
      </x:c>
      <x:c r="BW746" s="14" t="str">
        <x:v>Unable to determine</x:v>
      </x:c>
      <x:c r="BX746" s="14" t="str">
        <x:v>Supplied cast data establishes the credit and episode presence but does not establish narrative prominence.</x:v>
      </x:c>
      <x:c r="BY746" s="14" t="str">
        <x:v>Supplied IMDb cast-list workbook</x:v>
      </x:c>
      <x:c r="BZ74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6" s="14" t="str">
        <x:v>Not classified</x:v>
      </x:c>
      <x:c r="CB746" s="14" t="str">
        <x:v>Unable to determine</x:v>
      </x:c>
      <x:c r="CC746" s="14" t="str">
        <x:v>Unique</x:v>
      </x:c>
      <x:c r="CD746" s="14" t="str">
        <x:v>None identified</x:v>
      </x:c>
    </x:row>
    <x:row r="747">
      <x:c r="A747" s="14" t="str">
        <x:v>tt11639300|nm0681949|aileen daly</x:v>
      </x:c>
      <x:c r="B747" s="14" t="str">
        <x:v>02</x:v>
      </x:c>
      <x:c r="C747" s="14" t="str">
        <x:v>2021_IMDb_Cast_Lists_Batch_02(1).xlsx</x:v>
      </x:c>
      <x:c r="D747" s="14" t="str">
        <x:v>Grace</x:v>
      </x:c>
      <x:c r="E747" s="14" t="n">
        <x:v>38</x:v>
      </x:c>
      <x:c r="F747" s="14" t="str">
        <x:v>Grace</x:v>
      </x:c>
      <x:c r="G747" s="14" t="str">
        <x:v>tt11639300</x:v>
      </x:c>
      <x:c r="H747" s="14" t="n">
        <x:v>2021</x:v>
      </x:c>
      <x:c r="I747" s="14" t="n">
        <x:v>2023</x:v>
      </x:c>
      <x:c r="J747" s="14" t="str">
        <x:v>Future Carry-Forward Cohort</x:v>
      </x:c>
      <x:c r="K747" s="14" t="n">
        <x:v>2021</x:v>
      </x:c>
      <x:c r="L747" s="14" t="str">
        <x:v>Available from 2021 analysis</x:v>
      </x:c>
      <x:c r="M747" s="15" t="n">
        <x:v>31</x:v>
      </x:c>
      <x:c r="N747" s="14" t="str">
        <x:v>Carolyn Pickles</x:v>
      </x:c>
      <x:c r="O747" s="14" t="str">
        <x:v>nm0681949</x:v>
      </x:c>
      <x:c r="P747" s="14" t="str">
        <x:v>Aileen Daly</x:v>
      </x:c>
      <x:c r="Q747" s="15" t="n">
        <x:v>1</x:v>
      </x:c>
      <x:c r="R747" s="14" t="str">
        <x:v>2024</x:v>
      </x:c>
      <x:c r="S747" s="14" t="n">
        <x:v>2024</x:v>
      </x:c>
      <x:c r="T747" s="14" t="n">
        <x:v>2024</x:v>
      </x:c>
      <x:c r="U747" s="14" t="str">
        <x:v>Post-2021 casting excluded</x:v>
      </x:c>
      <x:c r="V747" s="14" t="str">
        <x:v>Earliest supplied year is 2024, later than the 2021 study year.</x:v>
      </x:c>
      <x:c r="W747" s="14"/>
      <x:c r="X747" s="14" t="str">
        <x:v>Carried forward to 2024</x:v>
      </x:c>
      <x:c r="Y747" s="14"/>
      <x:c r="Z747" s="14" t="str">
        <x:v>Grace.docx</x:v>
      </x:c>
      <x:c r="AA74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7" s="14" t="str">
        <x:v>No established-register match</x:v>
      </x:c>
      <x:c r="AC747" s="14"/>
      <x:c r="AD747" s="14"/>
      <x:c r="AE747" s="14"/>
      <x:c r="AF747" s="14"/>
      <x:c r="AG747" s="14" t="str">
        <x:v>No qualifying conclusion recorded. Absence from the register is not evidence that the performer is not disabled.</x:v>
      </x:c>
      <x:c r="AH747" s="14" t="str">
        <x:v>ITV / ITVX</x:v>
      </x:c>
      <x:c r="AI747" s="14" t="str">
        <x:v>UK original commission</x:v>
      </x:c>
      <x:c r="AJ747" s="14" t="str">
        <x:v>Exact normalised title</x:v>
      </x:c>
      <x:c r="AK747" s="14" t="str">
        <x:v>Medium</x:v>
      </x:c>
      <x:c r="AL747" s="14" t="str">
        <x:v>Verified for commissioner/platform scope; uk original commission.</x:v>
      </x:c>
      <x:c r="AM747" s="17" t="e">
        <x:f>HYPERLINK("https://en.wikipedia.org/wiki/Grace","Open source")</x:f>
        <x:v>HYPERLINK is not implemented. linkLocation=https://en.wikipedia.org/wiki/Grace, friendlyName=Open source</x:v>
      </x:c>
      <x:c r="AN747" s="14" t="str">
        <x:v>No qualifying BBC relationship</x:v>
      </x:c>
      <x:c r="AO747" s="14" t="str">
        <x:v>No</x:v>
      </x:c>
      <x:c r="AP747" s="14" t="str">
        <x:v>Out of scope</x:v>
      </x:c>
      <x:c r="AQ747" s="14" t="str">
        <x:v>No</x:v>
      </x:c>
      <x:c r="AR747" s="14" t="str">
        <x:v>Resolved from master register</x:v>
      </x:c>
      <x:c r="AS747" s="14" t="str">
        <x:v>No established-register match</x:v>
      </x:c>
      <x:c r="AT747" s="14"/>
      <x:c r="AU747" s="14"/>
      <x:c r="AV747" s="14" t="str">
        <x:v>No established apparent-disability match</x:v>
      </x:c>
      <x:c r="AW747" s="14"/>
      <x:c r="AX747" s="14" t="str">
        <x:v>No</x:v>
      </x:c>
      <x:c r="AY747" s="14" t="str">
        <x:v>Unmatched</x:v>
      </x:c>
      <x:c r="AZ747" s="14" t="str">
        <x:v>Final supplied register</x:v>
      </x:c>
      <x:c r="BA747" s="14" t="str">
        <x:v>Absence from the register is not evidence that the performer is not disabled.</x:v>
      </x:c>
      <x:c r="BB747" s="14" t="str">
        <x:v>No established-register match</x:v>
      </x:c>
      <x:c r="BC747" s="14"/>
      <x:c r="BD747" s="14"/>
      <x:c r="BE747" s="14"/>
      <x:c r="BF747" s="14" t="str">
        <x:v>No established apparent-disability match</x:v>
      </x:c>
      <x:c r="BG747" s="14"/>
      <x:c r="BH747" s="14" t="str">
        <x:v>No</x:v>
      </x:c>
      <x:c r="BI747" s="14"/>
      <x:c r="BJ747" s="14"/>
      <x:c r="BK747" s="14"/>
      <x:c r="BL747" s="14" t="str">
        <x:v>Unmatched</x:v>
      </x:c>
      <x:c r="BM747" s="14" t="str">
        <x:v>Final supplied register</x:v>
      </x:c>
      <x:c r="BN747" s="14" t="str">
        <x:v>Absence from the register is not evidence that the performer is not disabled.</x:v>
      </x:c>
      <x:c r="BO747" s="14" t="n">
        <x:v>20</x:v>
      </x:c>
      <x:c r="BP747" s="14" t="str">
        <x:v>Maximum eligible IMDb cast-credit total (20), shared by 4 performer(s); not independently verified as a 2021-only episode total.</x:v>
      </x:c>
      <x:c r="BQ747" s="14" t="str">
        <x:v>Medium</x:v>
      </x:c>
      <x:c r="BR747" s="15" t="n">
        <x:v>1</x:v>
      </x:c>
      <x:c r="BS747" s="16" t="n">
        <x:v>0.05</x:v>
      </x:c>
      <x:c r="BT747" s="14" t="str">
        <x:v>One episode</x:v>
      </x:c>
      <x:c r="BU747" s="14" t="str">
        <x:v>Medium</x:v>
      </x:c>
      <x:c r="BV747" s="14" t="str">
        <x:v>Derived from supplied IMDb episode count and the documented production-total proxy.</x:v>
      </x:c>
      <x:c r="BW747" s="14" t="str">
        <x:v>Unable to determine</x:v>
      </x:c>
      <x:c r="BX747" s="14" t="str">
        <x:v>Supplied cast data establishes the credit and episode presence but does not establish narrative prominence.</x:v>
      </x:c>
      <x:c r="BY747" s="14" t="str">
        <x:v>Supplied IMDb cast-list workbook</x:v>
      </x:c>
      <x:c r="BZ74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7" s="14" t="str">
        <x:v>Not classified</x:v>
      </x:c>
      <x:c r="CB747" s="14" t="str">
        <x:v>Unable to determine</x:v>
      </x:c>
      <x:c r="CC747" s="14" t="str">
        <x:v>Unique</x:v>
      </x:c>
      <x:c r="CD747" s="14" t="str">
        <x:v>None identified</x:v>
      </x:c>
    </x:row>
    <x:row r="748">
      <x:c r="A748" s="14" t="str">
        <x:v>tt11639300|nm8725162|jamie brown</x:v>
      </x:c>
      <x:c r="B748" s="14" t="str">
        <x:v>02</x:v>
      </x:c>
      <x:c r="C748" s="14" t="str">
        <x:v>2021_IMDb_Cast_Lists_Batch_02(1).xlsx</x:v>
      </x:c>
      <x:c r="D748" s="14" t="str">
        <x:v>Grace</x:v>
      </x:c>
      <x:c r="E748" s="14" t="n">
        <x:v>39</x:v>
      </x:c>
      <x:c r="F748" s="14" t="str">
        <x:v>Grace</x:v>
      </x:c>
      <x:c r="G748" s="14" t="str">
        <x:v>tt11639300</x:v>
      </x:c>
      <x:c r="H748" s="14" t="n">
        <x:v>2021</x:v>
      </x:c>
      <x:c r="I748" s="14" t="n">
        <x:v>2023</x:v>
      </x:c>
      <x:c r="J748" s="14" t="str">
        <x:v>Future Carry-Forward Cohort</x:v>
      </x:c>
      <x:c r="K748" s="14" t="n">
        <x:v>2021</x:v>
      </x:c>
      <x:c r="L748" s="14" t="str">
        <x:v>Available from 2021 analysis</x:v>
      </x:c>
      <x:c r="M748" s="15" t="n">
        <x:v>32</x:v>
      </x:c>
      <x:c r="N748" s="14" t="str">
        <x:v>Sam Retford</x:v>
      </x:c>
      <x:c r="O748" s="14" t="str">
        <x:v>nm8725162</x:v>
      </x:c>
      <x:c r="P748" s="14" t="str">
        <x:v>Jamie Brown</x:v>
      </x:c>
      <x:c r="Q748" s="15" t="n">
        <x:v>1</x:v>
      </x:c>
      <x:c r="R748" s="14" t="str">
        <x:v>2024</x:v>
      </x:c>
      <x:c r="S748" s="14" t="n">
        <x:v>2024</x:v>
      </x:c>
      <x:c r="T748" s="14" t="n">
        <x:v>2024</x:v>
      </x:c>
      <x:c r="U748" s="14" t="str">
        <x:v>Post-2021 casting excluded</x:v>
      </x:c>
      <x:c r="V748" s="14" t="str">
        <x:v>Earliest supplied year is 2024, later than the 2021 study year.</x:v>
      </x:c>
      <x:c r="W748" s="14"/>
      <x:c r="X748" s="14" t="str">
        <x:v>Carried forward to 2024</x:v>
      </x:c>
      <x:c r="Y748" s="14"/>
      <x:c r="Z748" s="14" t="str">
        <x:v>Grace.docx</x:v>
      </x:c>
      <x:c r="AA74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8" s="14" t="str">
        <x:v>No established-register match</x:v>
      </x:c>
      <x:c r="AC748" s="14"/>
      <x:c r="AD748" s="14"/>
      <x:c r="AE748" s="14"/>
      <x:c r="AF748" s="14"/>
      <x:c r="AG748" s="14" t="str">
        <x:v>No qualifying conclusion recorded. Absence from the register is not evidence that the performer is not disabled.</x:v>
      </x:c>
      <x:c r="AH748" s="14" t="str">
        <x:v>ITV / ITVX</x:v>
      </x:c>
      <x:c r="AI748" s="14" t="str">
        <x:v>UK original commission</x:v>
      </x:c>
      <x:c r="AJ748" s="14" t="str">
        <x:v>Exact normalised title</x:v>
      </x:c>
      <x:c r="AK748" s="14" t="str">
        <x:v>Medium</x:v>
      </x:c>
      <x:c r="AL748" s="14" t="str">
        <x:v>Verified for commissioner/platform scope; uk original commission.</x:v>
      </x:c>
      <x:c r="AM748" s="17" t="e">
        <x:f>HYPERLINK("https://en.wikipedia.org/wiki/Grace","Open source")</x:f>
        <x:v>HYPERLINK is not implemented. linkLocation=https://en.wikipedia.org/wiki/Grace, friendlyName=Open source</x:v>
      </x:c>
      <x:c r="AN748" s="14" t="str">
        <x:v>No qualifying BBC relationship</x:v>
      </x:c>
      <x:c r="AO748" s="14" t="str">
        <x:v>No</x:v>
      </x:c>
      <x:c r="AP748" s="14" t="str">
        <x:v>Out of scope</x:v>
      </x:c>
      <x:c r="AQ748" s="14" t="str">
        <x:v>No</x:v>
      </x:c>
      <x:c r="AR748" s="14" t="str">
        <x:v>Resolved from master register</x:v>
      </x:c>
      <x:c r="AS748" s="14" t="str">
        <x:v>No established-register match</x:v>
      </x:c>
      <x:c r="AT748" s="14"/>
      <x:c r="AU748" s="14"/>
      <x:c r="AV748" s="14" t="str">
        <x:v>No established apparent-disability match</x:v>
      </x:c>
      <x:c r="AW748" s="14"/>
      <x:c r="AX748" s="14" t="str">
        <x:v>No</x:v>
      </x:c>
      <x:c r="AY748" s="14" t="str">
        <x:v>Unmatched</x:v>
      </x:c>
      <x:c r="AZ748" s="14" t="str">
        <x:v>Final supplied register</x:v>
      </x:c>
      <x:c r="BA748" s="14" t="str">
        <x:v>Absence from the register is not evidence that the performer is not disabled.</x:v>
      </x:c>
      <x:c r="BB748" s="14" t="str">
        <x:v>No established-register match</x:v>
      </x:c>
      <x:c r="BC748" s="14"/>
      <x:c r="BD748" s="14"/>
      <x:c r="BE748" s="14"/>
      <x:c r="BF748" s="14" t="str">
        <x:v>No established apparent-disability match</x:v>
      </x:c>
      <x:c r="BG748" s="14"/>
      <x:c r="BH748" s="14" t="str">
        <x:v>No</x:v>
      </x:c>
      <x:c r="BI748" s="14"/>
      <x:c r="BJ748" s="14"/>
      <x:c r="BK748" s="14"/>
      <x:c r="BL748" s="14" t="str">
        <x:v>Unmatched</x:v>
      </x:c>
      <x:c r="BM748" s="14" t="str">
        <x:v>Final supplied register</x:v>
      </x:c>
      <x:c r="BN748" s="14" t="str">
        <x:v>Absence from the register is not evidence that the performer is not disabled.</x:v>
      </x:c>
      <x:c r="BO748" s="14" t="n">
        <x:v>20</x:v>
      </x:c>
      <x:c r="BP748" s="14" t="str">
        <x:v>Maximum eligible IMDb cast-credit total (20), shared by 4 performer(s); not independently verified as a 2021-only episode total.</x:v>
      </x:c>
      <x:c r="BQ748" s="14" t="str">
        <x:v>Medium</x:v>
      </x:c>
      <x:c r="BR748" s="15" t="n">
        <x:v>1</x:v>
      </x:c>
      <x:c r="BS748" s="16" t="n">
        <x:v>0.05</x:v>
      </x:c>
      <x:c r="BT748" s="14" t="str">
        <x:v>One episode</x:v>
      </x:c>
      <x:c r="BU748" s="14" t="str">
        <x:v>Medium</x:v>
      </x:c>
      <x:c r="BV748" s="14" t="str">
        <x:v>Derived from supplied IMDb episode count and the documented production-total proxy.</x:v>
      </x:c>
      <x:c r="BW748" s="14" t="str">
        <x:v>Unable to determine</x:v>
      </x:c>
      <x:c r="BX748" s="14" t="str">
        <x:v>Supplied cast data establishes the credit and episode presence but does not establish narrative prominence.</x:v>
      </x:c>
      <x:c r="BY748" s="14" t="str">
        <x:v>Supplied IMDb cast-list workbook</x:v>
      </x:c>
      <x:c r="BZ74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8" s="14" t="str">
        <x:v>Not classified</x:v>
      </x:c>
      <x:c r="CB748" s="14" t="str">
        <x:v>Unable to determine</x:v>
      </x:c>
      <x:c r="CC748" s="14" t="str">
        <x:v>Unique</x:v>
      </x:c>
      <x:c r="CD748" s="14" t="str">
        <x:v>None identified</x:v>
      </x:c>
    </x:row>
    <x:row r="749">
      <x:c r="A749" s="14" t="str">
        <x:v>tt11639300|nm4353021|dylan</x:v>
      </x:c>
      <x:c r="B749" s="14" t="str">
        <x:v>02</x:v>
      </x:c>
      <x:c r="C749" s="14" t="str">
        <x:v>2021_IMDb_Cast_Lists_Batch_02(1).xlsx</x:v>
      </x:c>
      <x:c r="D749" s="14" t="str">
        <x:v>Grace</x:v>
      </x:c>
      <x:c r="E749" s="14" t="n">
        <x:v>40</x:v>
      </x:c>
      <x:c r="F749" s="14" t="str">
        <x:v>Grace</x:v>
      </x:c>
      <x:c r="G749" s="14" t="str">
        <x:v>tt11639300</x:v>
      </x:c>
      <x:c r="H749" s="14" t="n">
        <x:v>2021</x:v>
      </x:c>
      <x:c r="I749" s="14" t="n">
        <x:v>2023</x:v>
      </x:c>
      <x:c r="J749" s="14" t="str">
        <x:v>Future Carry-Forward Cohort</x:v>
      </x:c>
      <x:c r="K749" s="14" t="n">
        <x:v>2021</x:v>
      </x:c>
      <x:c r="L749" s="14" t="str">
        <x:v>Available from 2021 analysis</x:v>
      </x:c>
      <x:c r="M749" s="15" t="n">
        <x:v>33</x:v>
      </x:c>
      <x:c r="N749" s="14" t="str">
        <x:v>Jake Neads</x:v>
      </x:c>
      <x:c r="O749" s="14" t="str">
        <x:v>nm4353021</x:v>
      </x:c>
      <x:c r="P749" s="14" t="str">
        <x:v>Dylan</x:v>
      </x:c>
      <x:c r="Q749" s="15" t="n">
        <x:v>1</x:v>
      </x:c>
      <x:c r="R749" s="14" t="str">
        <x:v>2024</x:v>
      </x:c>
      <x:c r="S749" s="14" t="n">
        <x:v>2024</x:v>
      </x:c>
      <x:c r="T749" s="14" t="n">
        <x:v>2024</x:v>
      </x:c>
      <x:c r="U749" s="14" t="str">
        <x:v>Post-2021 casting excluded</x:v>
      </x:c>
      <x:c r="V749" s="14" t="str">
        <x:v>Earliest supplied year is 2024, later than the 2021 study year.</x:v>
      </x:c>
      <x:c r="W749" s="14"/>
      <x:c r="X749" s="14" t="str">
        <x:v>Carried forward to 2024</x:v>
      </x:c>
      <x:c r="Y749" s="14"/>
      <x:c r="Z749" s="14" t="str">
        <x:v>Grace.docx</x:v>
      </x:c>
      <x:c r="AA74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9" s="14" t="str">
        <x:v>No established-register match</x:v>
      </x:c>
      <x:c r="AC749" s="14"/>
      <x:c r="AD749" s="14"/>
      <x:c r="AE749" s="14"/>
      <x:c r="AF749" s="14"/>
      <x:c r="AG749" s="14" t="str">
        <x:v>No qualifying conclusion recorded. Absence from the register is not evidence that the performer is not disabled.</x:v>
      </x:c>
      <x:c r="AH749" s="14" t="str">
        <x:v>ITV / ITVX</x:v>
      </x:c>
      <x:c r="AI749" s="14" t="str">
        <x:v>UK original commission</x:v>
      </x:c>
      <x:c r="AJ749" s="14" t="str">
        <x:v>Exact normalised title</x:v>
      </x:c>
      <x:c r="AK749" s="14" t="str">
        <x:v>Medium</x:v>
      </x:c>
      <x:c r="AL749" s="14" t="str">
        <x:v>Verified for commissioner/platform scope; uk original commission.</x:v>
      </x:c>
      <x:c r="AM749" s="17" t="e">
        <x:f>HYPERLINK("https://en.wikipedia.org/wiki/Grace","Open source")</x:f>
        <x:v>HYPERLINK is not implemented. linkLocation=https://en.wikipedia.org/wiki/Grace, friendlyName=Open source</x:v>
      </x:c>
      <x:c r="AN749" s="14" t="str">
        <x:v>No qualifying BBC relationship</x:v>
      </x:c>
      <x:c r="AO749" s="14" t="str">
        <x:v>No</x:v>
      </x:c>
      <x:c r="AP749" s="14" t="str">
        <x:v>Out of scope</x:v>
      </x:c>
      <x:c r="AQ749" s="14" t="str">
        <x:v>No</x:v>
      </x:c>
      <x:c r="AR749" s="14" t="str">
        <x:v>Resolved from master register</x:v>
      </x:c>
      <x:c r="AS749" s="14" t="str">
        <x:v>No established-register match</x:v>
      </x:c>
      <x:c r="AT749" s="14"/>
      <x:c r="AU749" s="14"/>
      <x:c r="AV749" s="14" t="str">
        <x:v>No established apparent-disability match</x:v>
      </x:c>
      <x:c r="AW749" s="14"/>
      <x:c r="AX749" s="14" t="str">
        <x:v>No</x:v>
      </x:c>
      <x:c r="AY749" s="14" t="str">
        <x:v>Unmatched</x:v>
      </x:c>
      <x:c r="AZ749" s="14" t="str">
        <x:v>Final supplied register</x:v>
      </x:c>
      <x:c r="BA749" s="14" t="str">
        <x:v>Absence from the register is not evidence that the performer is not disabled.</x:v>
      </x:c>
      <x:c r="BB749" s="14" t="str">
        <x:v>No established-register match</x:v>
      </x:c>
      <x:c r="BC749" s="14"/>
      <x:c r="BD749" s="14"/>
      <x:c r="BE749" s="14"/>
      <x:c r="BF749" s="14" t="str">
        <x:v>No established apparent-disability match</x:v>
      </x:c>
      <x:c r="BG749" s="14"/>
      <x:c r="BH749" s="14" t="str">
        <x:v>No</x:v>
      </x:c>
      <x:c r="BI749" s="14"/>
      <x:c r="BJ749" s="14"/>
      <x:c r="BK749" s="14"/>
      <x:c r="BL749" s="14" t="str">
        <x:v>Unmatched</x:v>
      </x:c>
      <x:c r="BM749" s="14" t="str">
        <x:v>Final supplied register</x:v>
      </x:c>
      <x:c r="BN749" s="14" t="str">
        <x:v>Absence from the register is not evidence that the performer is not disabled.</x:v>
      </x:c>
      <x:c r="BO749" s="14" t="n">
        <x:v>20</x:v>
      </x:c>
      <x:c r="BP749" s="14" t="str">
        <x:v>Maximum eligible IMDb cast-credit total (20), shared by 4 performer(s); not independently verified as a 2021-only episode total.</x:v>
      </x:c>
      <x:c r="BQ749" s="14" t="str">
        <x:v>Medium</x:v>
      </x:c>
      <x:c r="BR749" s="15" t="n">
        <x:v>1</x:v>
      </x:c>
      <x:c r="BS749" s="16" t="n">
        <x:v>0.05</x:v>
      </x:c>
      <x:c r="BT749" s="14" t="str">
        <x:v>One episode</x:v>
      </x:c>
      <x:c r="BU749" s="14" t="str">
        <x:v>Medium</x:v>
      </x:c>
      <x:c r="BV749" s="14" t="str">
        <x:v>Derived from supplied IMDb episode count and the documented production-total proxy.</x:v>
      </x:c>
      <x:c r="BW749" s="14" t="str">
        <x:v>Unable to determine</x:v>
      </x:c>
      <x:c r="BX749" s="14" t="str">
        <x:v>Supplied cast data establishes the credit and episode presence but does not establish narrative prominence.</x:v>
      </x:c>
      <x:c r="BY749" s="14" t="str">
        <x:v>Supplied IMDb cast-list workbook</x:v>
      </x:c>
      <x:c r="BZ74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9" s="14" t="str">
        <x:v>Not classified</x:v>
      </x:c>
      <x:c r="CB749" s="14" t="str">
        <x:v>Unable to determine</x:v>
      </x:c>
      <x:c r="CC749" s="14" t="str">
        <x:v>Unique</x:v>
      </x:c>
      <x:c r="CD749" s="14" t="str">
        <x:v>None identified</x:v>
      </x:c>
    </x:row>
    <x:row r="750">
      <x:c r="A750" s="14" t="str">
        <x:v>tt11639300|nm8824058|robert macario</x:v>
      </x:c>
      <x:c r="B750" s="14" t="str">
        <x:v>02</x:v>
      </x:c>
      <x:c r="C750" s="14" t="str">
        <x:v>2021_IMDb_Cast_Lists_Batch_02(1).xlsx</x:v>
      </x:c>
      <x:c r="D750" s="14" t="str">
        <x:v>Grace</x:v>
      </x:c>
      <x:c r="E750" s="14" t="n">
        <x:v>51</x:v>
      </x:c>
      <x:c r="F750" s="14" t="str">
        <x:v>Grace</x:v>
      </x:c>
      <x:c r="G750" s="14" t="str">
        <x:v>tt11639300</x:v>
      </x:c>
      <x:c r="H750" s="14" t="n">
        <x:v>2021</x:v>
      </x:c>
      <x:c r="I750" s="14" t="n">
        <x:v>2023</x:v>
      </x:c>
      <x:c r="J750" s="14" t="str">
        <x:v>Future Carry-Forward Cohort</x:v>
      </x:c>
      <x:c r="K750" s="14" t="n">
        <x:v>2021</x:v>
      </x:c>
      <x:c r="L750" s="14" t="str">
        <x:v>Available from 2021 analysis</x:v>
      </x:c>
      <x:c r="M750" s="15" t="n">
        <x:v>44</x:v>
      </x:c>
      <x:c r="N750" s="14" t="str">
        <x:v>Kem Hassan</x:v>
      </x:c>
      <x:c r="O750" s="14" t="str">
        <x:v>nm8824058</x:v>
      </x:c>
      <x:c r="P750" s="14" t="str">
        <x:v>Robert Macario</x:v>
      </x:c>
      <x:c r="Q750" s="15" t="n">
        <x:v>1</x:v>
      </x:c>
      <x:c r="R750" s="14" t="str">
        <x:v>2024</x:v>
      </x:c>
      <x:c r="S750" s="14" t="n">
        <x:v>2024</x:v>
      </x:c>
      <x:c r="T750" s="14" t="n">
        <x:v>2024</x:v>
      </x:c>
      <x:c r="U750" s="14" t="str">
        <x:v>Post-2021 casting excluded</x:v>
      </x:c>
      <x:c r="V750" s="14" t="str">
        <x:v>Earliest supplied year is 2024, later than the 2021 study year.</x:v>
      </x:c>
      <x:c r="W750" s="14"/>
      <x:c r="X750" s="14" t="str">
        <x:v>Carried forward to 2024</x:v>
      </x:c>
      <x:c r="Y750" s="14"/>
      <x:c r="Z750" s="14" t="str">
        <x:v>Grace.docx</x:v>
      </x:c>
      <x:c r="AA7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0" s="14" t="str">
        <x:v>No established-register match</x:v>
      </x:c>
      <x:c r="AC750" s="14"/>
      <x:c r="AD750" s="14"/>
      <x:c r="AE750" s="14"/>
      <x:c r="AF750" s="14"/>
      <x:c r="AG750" s="14" t="str">
        <x:v>No qualifying conclusion recorded. Absence from the register is not evidence that the performer is not disabled.</x:v>
      </x:c>
      <x:c r="AH750" s="14" t="str">
        <x:v>ITV / ITVX</x:v>
      </x:c>
      <x:c r="AI750" s="14" t="str">
        <x:v>UK original commission</x:v>
      </x:c>
      <x:c r="AJ750" s="14" t="str">
        <x:v>Exact normalised title</x:v>
      </x:c>
      <x:c r="AK750" s="14" t="str">
        <x:v>Medium</x:v>
      </x:c>
      <x:c r="AL750" s="14" t="str">
        <x:v>Verified for commissioner/platform scope; uk original commission.</x:v>
      </x:c>
      <x:c r="AM750" s="17" t="e">
        <x:f>HYPERLINK("https://en.wikipedia.org/wiki/Grace","Open source")</x:f>
        <x:v>HYPERLINK is not implemented. linkLocation=https://en.wikipedia.org/wiki/Grace, friendlyName=Open source</x:v>
      </x:c>
      <x:c r="AN750" s="14" t="str">
        <x:v>No qualifying BBC relationship</x:v>
      </x:c>
      <x:c r="AO750" s="14" t="str">
        <x:v>No</x:v>
      </x:c>
      <x:c r="AP750" s="14" t="str">
        <x:v>Out of scope</x:v>
      </x:c>
      <x:c r="AQ750" s="14" t="str">
        <x:v>No</x:v>
      </x:c>
      <x:c r="AR750" s="14" t="str">
        <x:v>Resolved from master register</x:v>
      </x:c>
      <x:c r="AS750" s="14" t="str">
        <x:v>No established-register match</x:v>
      </x:c>
      <x:c r="AT750" s="14"/>
      <x:c r="AU750" s="14"/>
      <x:c r="AV750" s="14" t="str">
        <x:v>No established apparent-disability match</x:v>
      </x:c>
      <x:c r="AW750" s="14"/>
      <x:c r="AX750" s="14" t="str">
        <x:v>No</x:v>
      </x:c>
      <x:c r="AY750" s="14" t="str">
        <x:v>Unmatched</x:v>
      </x:c>
      <x:c r="AZ750" s="14" t="str">
        <x:v>Final supplied register</x:v>
      </x:c>
      <x:c r="BA750" s="14" t="str">
        <x:v>Absence from the register is not evidence that the performer is not disabled.</x:v>
      </x:c>
      <x:c r="BB750" s="14" t="str">
        <x:v>No established-register match</x:v>
      </x:c>
      <x:c r="BC750" s="14"/>
      <x:c r="BD750" s="14"/>
      <x:c r="BE750" s="14"/>
      <x:c r="BF750" s="14" t="str">
        <x:v>No established apparent-disability match</x:v>
      </x:c>
      <x:c r="BG750" s="14"/>
      <x:c r="BH750" s="14" t="str">
        <x:v>No</x:v>
      </x:c>
      <x:c r="BI750" s="14"/>
      <x:c r="BJ750" s="14"/>
      <x:c r="BK750" s="14"/>
      <x:c r="BL750" s="14" t="str">
        <x:v>Unmatched</x:v>
      </x:c>
      <x:c r="BM750" s="14" t="str">
        <x:v>Final supplied register</x:v>
      </x:c>
      <x:c r="BN750" s="14" t="str">
        <x:v>Absence from the register is not evidence that the performer is not disabled.</x:v>
      </x:c>
      <x:c r="BO750" s="14" t="n">
        <x:v>20</x:v>
      </x:c>
      <x:c r="BP750" s="14" t="str">
        <x:v>Maximum eligible IMDb cast-credit total (20), shared by 4 performer(s); not independently verified as a 2021-only episode total.</x:v>
      </x:c>
      <x:c r="BQ750" s="14" t="str">
        <x:v>Medium</x:v>
      </x:c>
      <x:c r="BR750" s="15" t="n">
        <x:v>1</x:v>
      </x:c>
      <x:c r="BS750" s="16" t="n">
        <x:v>0.05</x:v>
      </x:c>
      <x:c r="BT750" s="14" t="str">
        <x:v>One episode</x:v>
      </x:c>
      <x:c r="BU750" s="14" t="str">
        <x:v>Medium</x:v>
      </x:c>
      <x:c r="BV750" s="14" t="str">
        <x:v>Derived from supplied IMDb episode count and the documented production-total proxy.</x:v>
      </x:c>
      <x:c r="BW750" s="14" t="str">
        <x:v>Unable to determine</x:v>
      </x:c>
      <x:c r="BX750" s="14" t="str">
        <x:v>Supplied cast data establishes the credit and episode presence but does not establish narrative prominence.</x:v>
      </x:c>
      <x:c r="BY750" s="14" t="str">
        <x:v>Supplied IMDb cast-list workbook</x:v>
      </x:c>
      <x:c r="BZ7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0" s="14" t="str">
        <x:v>Not classified</x:v>
      </x:c>
      <x:c r="CB750" s="14" t="str">
        <x:v>Unable to determine</x:v>
      </x:c>
      <x:c r="CC750" s="14" t="str">
        <x:v>Unique</x:v>
      </x:c>
      <x:c r="CD750" s="14" t="str">
        <x:v>None identified</x:v>
      </x:c>
    </x:row>
    <x:row r="751">
      <x:c r="A751" s="14" t="str">
        <x:v>tt11639300|nm1134945|eric klein</x:v>
      </x:c>
      <x:c r="B751" s="14" t="str">
        <x:v>02</x:v>
      </x:c>
      <x:c r="C751" s="14" t="str">
        <x:v>2021_IMDb_Cast_Lists_Batch_02(1).xlsx</x:v>
      </x:c>
      <x:c r="D751" s="14" t="str">
        <x:v>Grace</x:v>
      </x:c>
      <x:c r="E751" s="14" t="n">
        <x:v>52</x:v>
      </x:c>
      <x:c r="F751" s="14" t="str">
        <x:v>Grace</x:v>
      </x:c>
      <x:c r="G751" s="14" t="str">
        <x:v>tt11639300</x:v>
      </x:c>
      <x:c r="H751" s="14" t="n">
        <x:v>2021</x:v>
      </x:c>
      <x:c r="I751" s="14" t="n">
        <x:v>2023</x:v>
      </x:c>
      <x:c r="J751" s="14" t="str">
        <x:v>Future Carry-Forward Cohort</x:v>
      </x:c>
      <x:c r="K751" s="14" t="n">
        <x:v>2021</x:v>
      </x:c>
      <x:c r="L751" s="14" t="str">
        <x:v>Available from 2021 analysis</x:v>
      </x:c>
      <x:c r="M751" s="15" t="n">
        <x:v>45</x:v>
      </x:c>
      <x:c r="N751" s="14" t="str">
        <x:v>John Schwab</x:v>
      </x:c>
      <x:c r="O751" s="14" t="str">
        <x:v>nm1134945</x:v>
      </x:c>
      <x:c r="P751" s="14" t="str">
        <x:v>Eric Klein</x:v>
      </x:c>
      <x:c r="Q751" s="15" t="n">
        <x:v>1</x:v>
      </x:c>
      <x:c r="R751" s="14" t="str">
        <x:v>2024</x:v>
      </x:c>
      <x:c r="S751" s="14" t="n">
        <x:v>2024</x:v>
      </x:c>
      <x:c r="T751" s="14" t="n">
        <x:v>2024</x:v>
      </x:c>
      <x:c r="U751" s="14" t="str">
        <x:v>Post-2021 casting excluded</x:v>
      </x:c>
      <x:c r="V751" s="14" t="str">
        <x:v>Earliest supplied year is 2024, later than the 2021 study year.</x:v>
      </x:c>
      <x:c r="W751" s="14"/>
      <x:c r="X751" s="14" t="str">
        <x:v>Carried forward to 2024</x:v>
      </x:c>
      <x:c r="Y751" s="14"/>
      <x:c r="Z751" s="14" t="str">
        <x:v>Grace.docx</x:v>
      </x:c>
      <x:c r="AA7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1" s="14" t="str">
        <x:v>No established-register match</x:v>
      </x:c>
      <x:c r="AC751" s="14"/>
      <x:c r="AD751" s="14"/>
      <x:c r="AE751" s="14"/>
      <x:c r="AF751" s="14"/>
      <x:c r="AG751" s="14" t="str">
        <x:v>No qualifying conclusion recorded. Absence from the register is not evidence that the performer is not disabled.</x:v>
      </x:c>
      <x:c r="AH751" s="14" t="str">
        <x:v>ITV / ITVX</x:v>
      </x:c>
      <x:c r="AI751" s="14" t="str">
        <x:v>UK original commission</x:v>
      </x:c>
      <x:c r="AJ751" s="14" t="str">
        <x:v>Exact normalised title</x:v>
      </x:c>
      <x:c r="AK751" s="14" t="str">
        <x:v>Medium</x:v>
      </x:c>
      <x:c r="AL751" s="14" t="str">
        <x:v>Verified for commissioner/platform scope; uk original commission.</x:v>
      </x:c>
      <x:c r="AM751" s="17" t="e">
        <x:f>HYPERLINK("https://en.wikipedia.org/wiki/Grace","Open source")</x:f>
        <x:v>HYPERLINK is not implemented. linkLocation=https://en.wikipedia.org/wiki/Grace, friendlyName=Open source</x:v>
      </x:c>
      <x:c r="AN751" s="14" t="str">
        <x:v>No qualifying BBC relationship</x:v>
      </x:c>
      <x:c r="AO751" s="14" t="str">
        <x:v>No</x:v>
      </x:c>
      <x:c r="AP751" s="14" t="str">
        <x:v>Out of scope</x:v>
      </x:c>
      <x:c r="AQ751" s="14" t="str">
        <x:v>No</x:v>
      </x:c>
      <x:c r="AR751" s="14" t="str">
        <x:v>Resolved from master register</x:v>
      </x:c>
      <x:c r="AS751" s="14" t="str">
        <x:v>No established-register match</x:v>
      </x:c>
      <x:c r="AT751" s="14"/>
      <x:c r="AU751" s="14"/>
      <x:c r="AV751" s="14" t="str">
        <x:v>No established apparent-disability match</x:v>
      </x:c>
      <x:c r="AW751" s="14"/>
      <x:c r="AX751" s="14" t="str">
        <x:v>No</x:v>
      </x:c>
      <x:c r="AY751" s="14" t="str">
        <x:v>Unmatched</x:v>
      </x:c>
      <x:c r="AZ751" s="14" t="str">
        <x:v>Final supplied register</x:v>
      </x:c>
      <x:c r="BA751" s="14" t="str">
        <x:v>Absence from the register is not evidence that the performer is not disabled.</x:v>
      </x:c>
      <x:c r="BB751" s="14" t="str">
        <x:v>No established-register match</x:v>
      </x:c>
      <x:c r="BC751" s="14"/>
      <x:c r="BD751" s="14"/>
      <x:c r="BE751" s="14"/>
      <x:c r="BF751" s="14" t="str">
        <x:v>No established apparent-disability match</x:v>
      </x:c>
      <x:c r="BG751" s="14"/>
      <x:c r="BH751" s="14" t="str">
        <x:v>No</x:v>
      </x:c>
      <x:c r="BI751" s="14"/>
      <x:c r="BJ751" s="14"/>
      <x:c r="BK751" s="14"/>
      <x:c r="BL751" s="14" t="str">
        <x:v>Unmatched</x:v>
      </x:c>
      <x:c r="BM751" s="14" t="str">
        <x:v>Final supplied register</x:v>
      </x:c>
      <x:c r="BN751" s="14" t="str">
        <x:v>Absence from the register is not evidence that the performer is not disabled.</x:v>
      </x:c>
      <x:c r="BO751" s="14" t="n">
        <x:v>20</x:v>
      </x:c>
      <x:c r="BP751" s="14" t="str">
        <x:v>Maximum eligible IMDb cast-credit total (20), shared by 4 performer(s); not independently verified as a 2021-only episode total.</x:v>
      </x:c>
      <x:c r="BQ751" s="14" t="str">
        <x:v>Medium</x:v>
      </x:c>
      <x:c r="BR751" s="15" t="n">
        <x:v>1</x:v>
      </x:c>
      <x:c r="BS751" s="16" t="n">
        <x:v>0.05</x:v>
      </x:c>
      <x:c r="BT751" s="14" t="str">
        <x:v>One episode</x:v>
      </x:c>
      <x:c r="BU751" s="14" t="str">
        <x:v>Medium</x:v>
      </x:c>
      <x:c r="BV751" s="14" t="str">
        <x:v>Derived from supplied IMDb episode count and the documented production-total proxy.</x:v>
      </x:c>
      <x:c r="BW751" s="14" t="str">
        <x:v>Unable to determine</x:v>
      </x:c>
      <x:c r="BX751" s="14" t="str">
        <x:v>Supplied cast data establishes the credit and episode presence but does not establish narrative prominence.</x:v>
      </x:c>
      <x:c r="BY751" s="14" t="str">
        <x:v>Supplied IMDb cast-list workbook</x:v>
      </x:c>
      <x:c r="BZ7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1" s="14" t="str">
        <x:v>Not classified</x:v>
      </x:c>
      <x:c r="CB751" s="14" t="str">
        <x:v>Unable to determine</x:v>
      </x:c>
      <x:c r="CC751" s="14" t="str">
        <x:v>Unique</x:v>
      </x:c>
      <x:c r="CD751" s="14" t="str">
        <x:v>None identified</x:v>
      </x:c>
    </x:row>
    <x:row r="752">
      <x:c r="A752" s="14" t="str">
        <x:v>tt11639300|nm3532148|logan somerville</x:v>
      </x:c>
      <x:c r="B752" s="14" t="str">
        <x:v>02</x:v>
      </x:c>
      <x:c r="C752" s="14" t="str">
        <x:v>2021_IMDb_Cast_Lists_Batch_02(1).xlsx</x:v>
      </x:c>
      <x:c r="D752" s="14" t="str">
        <x:v>Grace</x:v>
      </x:c>
      <x:c r="E752" s="14" t="n">
        <x:v>53</x:v>
      </x:c>
      <x:c r="F752" s="14" t="str">
        <x:v>Grace</x:v>
      </x:c>
      <x:c r="G752" s="14" t="str">
        <x:v>tt11639300</x:v>
      </x:c>
      <x:c r="H752" s="14" t="n">
        <x:v>2021</x:v>
      </x:c>
      <x:c r="I752" s="14" t="n">
        <x:v>2023</x:v>
      </x:c>
      <x:c r="J752" s="14" t="str">
        <x:v>Future Carry-Forward Cohort</x:v>
      </x:c>
      <x:c r="K752" s="14" t="n">
        <x:v>2021</x:v>
      </x:c>
      <x:c r="L752" s="14" t="str">
        <x:v>Available from 2021 analysis</x:v>
      </x:c>
      <x:c r="M752" s="15" t="n">
        <x:v>46</x:v>
      </x:c>
      <x:c r="N752" s="14" t="str">
        <x:v>Freya Parks</x:v>
      </x:c>
      <x:c r="O752" s="14" t="str">
        <x:v>nm3532148</x:v>
      </x:c>
      <x:c r="P752" s="14" t="str">
        <x:v>Logan Somerville</x:v>
      </x:c>
      <x:c r="Q752" s="15" t="n">
        <x:v>1</x:v>
      </x:c>
      <x:c r="R752" s="14" t="str">
        <x:v>2024</x:v>
      </x:c>
      <x:c r="S752" s="14" t="n">
        <x:v>2024</x:v>
      </x:c>
      <x:c r="T752" s="14" t="n">
        <x:v>2024</x:v>
      </x:c>
      <x:c r="U752" s="14" t="str">
        <x:v>Post-2021 casting excluded</x:v>
      </x:c>
      <x:c r="V752" s="14" t="str">
        <x:v>Earliest supplied year is 2024, later than the 2021 study year.</x:v>
      </x:c>
      <x:c r="W752" s="14"/>
      <x:c r="X752" s="14" t="str">
        <x:v>Carried forward to 2024</x:v>
      </x:c>
      <x:c r="Y752" s="14"/>
      <x:c r="Z752" s="14" t="str">
        <x:v>Grace.docx</x:v>
      </x:c>
      <x:c r="AA7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2" s="14" t="str">
        <x:v>No established-register match</x:v>
      </x:c>
      <x:c r="AC752" s="14"/>
      <x:c r="AD752" s="14"/>
      <x:c r="AE752" s="14"/>
      <x:c r="AF752" s="14"/>
      <x:c r="AG752" s="14" t="str">
        <x:v>No qualifying conclusion recorded. Absence from the register is not evidence that the performer is not disabled.</x:v>
      </x:c>
      <x:c r="AH752" s="14" t="str">
        <x:v>ITV / ITVX</x:v>
      </x:c>
      <x:c r="AI752" s="14" t="str">
        <x:v>UK original commission</x:v>
      </x:c>
      <x:c r="AJ752" s="14" t="str">
        <x:v>Exact normalised title</x:v>
      </x:c>
      <x:c r="AK752" s="14" t="str">
        <x:v>Medium</x:v>
      </x:c>
      <x:c r="AL752" s="14" t="str">
        <x:v>Verified for commissioner/platform scope; uk original commission.</x:v>
      </x:c>
      <x:c r="AM752" s="17" t="e">
        <x:f>HYPERLINK("https://en.wikipedia.org/wiki/Grace","Open source")</x:f>
        <x:v>HYPERLINK is not implemented. linkLocation=https://en.wikipedia.org/wiki/Grace, friendlyName=Open source</x:v>
      </x:c>
      <x:c r="AN752" s="14" t="str">
        <x:v>No qualifying BBC relationship</x:v>
      </x:c>
      <x:c r="AO752" s="14" t="str">
        <x:v>No</x:v>
      </x:c>
      <x:c r="AP752" s="14" t="str">
        <x:v>Out of scope</x:v>
      </x:c>
      <x:c r="AQ752" s="14" t="str">
        <x:v>No</x:v>
      </x:c>
      <x:c r="AR752" s="14" t="str">
        <x:v>Resolved from master register</x:v>
      </x:c>
      <x:c r="AS752" s="14" t="str">
        <x:v>No established-register match</x:v>
      </x:c>
      <x:c r="AT752" s="14"/>
      <x:c r="AU752" s="14"/>
      <x:c r="AV752" s="14" t="str">
        <x:v>No established apparent-disability match</x:v>
      </x:c>
      <x:c r="AW752" s="14"/>
      <x:c r="AX752" s="14" t="str">
        <x:v>No</x:v>
      </x:c>
      <x:c r="AY752" s="14" t="str">
        <x:v>Unmatched</x:v>
      </x:c>
      <x:c r="AZ752" s="14" t="str">
        <x:v>Final supplied register</x:v>
      </x:c>
      <x:c r="BA752" s="14" t="str">
        <x:v>Absence from the register is not evidence that the performer is not disabled.</x:v>
      </x:c>
      <x:c r="BB752" s="14" t="str">
        <x:v>No established-register match</x:v>
      </x:c>
      <x:c r="BC752" s="14"/>
      <x:c r="BD752" s="14"/>
      <x:c r="BE752" s="14"/>
      <x:c r="BF752" s="14" t="str">
        <x:v>No established apparent-disability match</x:v>
      </x:c>
      <x:c r="BG752" s="14"/>
      <x:c r="BH752" s="14" t="str">
        <x:v>No</x:v>
      </x:c>
      <x:c r="BI752" s="14"/>
      <x:c r="BJ752" s="14"/>
      <x:c r="BK752" s="14"/>
      <x:c r="BL752" s="14" t="str">
        <x:v>Unmatched</x:v>
      </x:c>
      <x:c r="BM752" s="14" t="str">
        <x:v>Final supplied register</x:v>
      </x:c>
      <x:c r="BN752" s="14" t="str">
        <x:v>Absence from the register is not evidence that the performer is not disabled.</x:v>
      </x:c>
      <x:c r="BO752" s="14" t="n">
        <x:v>20</x:v>
      </x:c>
      <x:c r="BP752" s="14" t="str">
        <x:v>Maximum eligible IMDb cast-credit total (20), shared by 4 performer(s); not independently verified as a 2021-only episode total.</x:v>
      </x:c>
      <x:c r="BQ752" s="14" t="str">
        <x:v>Medium</x:v>
      </x:c>
      <x:c r="BR752" s="15" t="n">
        <x:v>1</x:v>
      </x:c>
      <x:c r="BS752" s="16" t="n">
        <x:v>0.05</x:v>
      </x:c>
      <x:c r="BT752" s="14" t="str">
        <x:v>One episode</x:v>
      </x:c>
      <x:c r="BU752" s="14" t="str">
        <x:v>Medium</x:v>
      </x:c>
      <x:c r="BV752" s="14" t="str">
        <x:v>Derived from supplied IMDb episode count and the documented production-total proxy.</x:v>
      </x:c>
      <x:c r="BW752" s="14" t="str">
        <x:v>Unable to determine</x:v>
      </x:c>
      <x:c r="BX752" s="14" t="str">
        <x:v>Supplied cast data establishes the credit and episode presence but does not establish narrative prominence.</x:v>
      </x:c>
      <x:c r="BY752" s="14" t="str">
        <x:v>Supplied IMDb cast-list workbook</x:v>
      </x:c>
      <x:c r="BZ7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2" s="14" t="str">
        <x:v>Not classified</x:v>
      </x:c>
      <x:c r="CB752" s="14" t="str">
        <x:v>Unable to determine</x:v>
      </x:c>
      <x:c r="CC752" s="14" t="str">
        <x:v>Unique</x:v>
      </x:c>
      <x:c r="CD752" s="14" t="str">
        <x:v>None identified</x:v>
      </x:c>
    </x:row>
    <x:row r="753">
      <x:c r="A753" s="14" t="str">
        <x:v>tt11639300|nm0472778|lubos</x:v>
      </x:c>
      <x:c r="B753" s="14" t="str">
        <x:v>02</x:v>
      </x:c>
      <x:c r="C753" s="14" t="str">
        <x:v>2021_IMDb_Cast_Lists_Batch_02(1).xlsx</x:v>
      </x:c>
      <x:c r="D753" s="14" t="str">
        <x:v>Grace</x:v>
      </x:c>
      <x:c r="E753" s="14" t="n">
        <x:v>54</x:v>
      </x:c>
      <x:c r="F753" s="14" t="str">
        <x:v>Grace</x:v>
      </x:c>
      <x:c r="G753" s="14" t="str">
        <x:v>tt11639300</x:v>
      </x:c>
      <x:c r="H753" s="14" t="n">
        <x:v>2021</x:v>
      </x:c>
      <x:c r="I753" s="14" t="n">
        <x:v>2023</x:v>
      </x:c>
      <x:c r="J753" s="14" t="str">
        <x:v>Future Carry-Forward Cohort</x:v>
      </x:c>
      <x:c r="K753" s="14" t="n">
        <x:v>2021</x:v>
      </x:c>
      <x:c r="L753" s="14" t="str">
        <x:v>Available from 2021 analysis</x:v>
      </x:c>
      <x:c r="M753" s="15" t="n">
        <x:v>47</x:v>
      </x:c>
      <x:c r="N753" s="14" t="str">
        <x:v>Renny Krupinski</x:v>
      </x:c>
      <x:c r="O753" s="14" t="str">
        <x:v>nm0472778</x:v>
      </x:c>
      <x:c r="P753" s="14" t="str">
        <x:v>Lubos</x:v>
      </x:c>
      <x:c r="Q753" s="15" t="n">
        <x:v>1</x:v>
      </x:c>
      <x:c r="R753" s="14" t="str">
        <x:v>2024</x:v>
      </x:c>
      <x:c r="S753" s="14" t="n">
        <x:v>2024</x:v>
      </x:c>
      <x:c r="T753" s="14" t="n">
        <x:v>2024</x:v>
      </x:c>
      <x:c r="U753" s="14" t="str">
        <x:v>Post-2021 casting excluded</x:v>
      </x:c>
      <x:c r="V753" s="14" t="str">
        <x:v>Earliest supplied year is 2024, later than the 2021 study year.</x:v>
      </x:c>
      <x:c r="W753" s="14"/>
      <x:c r="X753" s="14" t="str">
        <x:v>Carried forward to 2024</x:v>
      </x:c>
      <x:c r="Y753" s="14"/>
      <x:c r="Z753" s="14" t="str">
        <x:v>Grace.docx</x:v>
      </x:c>
      <x:c r="AA7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3" s="14" t="str">
        <x:v>No established-register match</x:v>
      </x:c>
      <x:c r="AC753" s="14"/>
      <x:c r="AD753" s="14"/>
      <x:c r="AE753" s="14"/>
      <x:c r="AF753" s="14"/>
      <x:c r="AG753" s="14" t="str">
        <x:v>No qualifying conclusion recorded. Absence from the register is not evidence that the performer is not disabled.</x:v>
      </x:c>
      <x:c r="AH753" s="14" t="str">
        <x:v>ITV / ITVX</x:v>
      </x:c>
      <x:c r="AI753" s="14" t="str">
        <x:v>UK original commission</x:v>
      </x:c>
      <x:c r="AJ753" s="14" t="str">
        <x:v>Exact normalised title</x:v>
      </x:c>
      <x:c r="AK753" s="14" t="str">
        <x:v>Medium</x:v>
      </x:c>
      <x:c r="AL753" s="14" t="str">
        <x:v>Verified for commissioner/platform scope; uk original commission.</x:v>
      </x:c>
      <x:c r="AM753" s="17" t="e">
        <x:f>HYPERLINK("https://en.wikipedia.org/wiki/Grace","Open source")</x:f>
        <x:v>HYPERLINK is not implemented. linkLocation=https://en.wikipedia.org/wiki/Grace, friendlyName=Open source</x:v>
      </x:c>
      <x:c r="AN753" s="14" t="str">
        <x:v>No qualifying BBC relationship</x:v>
      </x:c>
      <x:c r="AO753" s="14" t="str">
        <x:v>No</x:v>
      </x:c>
      <x:c r="AP753" s="14" t="str">
        <x:v>Out of scope</x:v>
      </x:c>
      <x:c r="AQ753" s="14" t="str">
        <x:v>No</x:v>
      </x:c>
      <x:c r="AR753" s="14" t="str">
        <x:v>Resolved from master register</x:v>
      </x:c>
      <x:c r="AS753" s="14" t="str">
        <x:v>No established-register match</x:v>
      </x:c>
      <x:c r="AT753" s="14"/>
      <x:c r="AU753" s="14"/>
      <x:c r="AV753" s="14" t="str">
        <x:v>No established apparent-disability match</x:v>
      </x:c>
      <x:c r="AW753" s="14"/>
      <x:c r="AX753" s="14" t="str">
        <x:v>No</x:v>
      </x:c>
      <x:c r="AY753" s="14" t="str">
        <x:v>Unmatched</x:v>
      </x:c>
      <x:c r="AZ753" s="14" t="str">
        <x:v>Final supplied register</x:v>
      </x:c>
      <x:c r="BA753" s="14" t="str">
        <x:v>Absence from the register is not evidence that the performer is not disabled.</x:v>
      </x:c>
      <x:c r="BB753" s="14" t="str">
        <x:v>No established-register match</x:v>
      </x:c>
      <x:c r="BC753" s="14"/>
      <x:c r="BD753" s="14"/>
      <x:c r="BE753" s="14"/>
      <x:c r="BF753" s="14" t="str">
        <x:v>No established apparent-disability match</x:v>
      </x:c>
      <x:c r="BG753" s="14"/>
      <x:c r="BH753" s="14" t="str">
        <x:v>No</x:v>
      </x:c>
      <x:c r="BI753" s="14"/>
      <x:c r="BJ753" s="14"/>
      <x:c r="BK753" s="14"/>
      <x:c r="BL753" s="14" t="str">
        <x:v>Unmatched</x:v>
      </x:c>
      <x:c r="BM753" s="14" t="str">
        <x:v>Final supplied register</x:v>
      </x:c>
      <x:c r="BN753" s="14" t="str">
        <x:v>Absence from the register is not evidence that the performer is not disabled.</x:v>
      </x:c>
      <x:c r="BO753" s="14" t="n">
        <x:v>20</x:v>
      </x:c>
      <x:c r="BP753" s="14" t="str">
        <x:v>Maximum eligible IMDb cast-credit total (20), shared by 4 performer(s); not independently verified as a 2021-only episode total.</x:v>
      </x:c>
      <x:c r="BQ753" s="14" t="str">
        <x:v>Medium</x:v>
      </x:c>
      <x:c r="BR753" s="15" t="n">
        <x:v>1</x:v>
      </x:c>
      <x:c r="BS753" s="16" t="n">
        <x:v>0.05</x:v>
      </x:c>
      <x:c r="BT753" s="14" t="str">
        <x:v>One episode</x:v>
      </x:c>
      <x:c r="BU753" s="14" t="str">
        <x:v>Medium</x:v>
      </x:c>
      <x:c r="BV753" s="14" t="str">
        <x:v>Derived from supplied IMDb episode count and the documented production-total proxy.</x:v>
      </x:c>
      <x:c r="BW753" s="14" t="str">
        <x:v>Unable to determine</x:v>
      </x:c>
      <x:c r="BX753" s="14" t="str">
        <x:v>Supplied cast data establishes the credit and episode presence but does not establish narrative prominence.</x:v>
      </x:c>
      <x:c r="BY753" s="14" t="str">
        <x:v>Supplied IMDb cast-list workbook</x:v>
      </x:c>
      <x:c r="BZ7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3" s="14" t="str">
        <x:v>Not classified</x:v>
      </x:c>
      <x:c r="CB753" s="14" t="str">
        <x:v>Unable to determine</x:v>
      </x:c>
      <x:c r="CC753" s="14" t="str">
        <x:v>Unique</x:v>
      </x:c>
      <x:c r="CD753" s="14" t="str">
        <x:v>None identified</x:v>
      </x:c>
    </x:row>
    <x:row r="754">
      <x:c r="A754" s="14" t="str">
        <x:v>tt11639300|nm2348715|worker</x:v>
      </x:c>
      <x:c r="B754" s="14" t="str">
        <x:v>02</x:v>
      </x:c>
      <x:c r="C754" s="14" t="str">
        <x:v>2021_IMDb_Cast_Lists_Batch_02(1).xlsx</x:v>
      </x:c>
      <x:c r="D754" s="14" t="str">
        <x:v>Grace</x:v>
      </x:c>
      <x:c r="E754" s="14" t="n">
        <x:v>65</x:v>
      </x:c>
      <x:c r="F754" s="14" t="str">
        <x:v>Grace</x:v>
      </x:c>
      <x:c r="G754" s="14" t="str">
        <x:v>tt11639300</x:v>
      </x:c>
      <x:c r="H754" s="14" t="n">
        <x:v>2021</x:v>
      </x:c>
      <x:c r="I754" s="14" t="n">
        <x:v>2023</x:v>
      </x:c>
      <x:c r="J754" s="14" t="str">
        <x:v>Future Carry-Forward Cohort</x:v>
      </x:c>
      <x:c r="K754" s="14" t="n">
        <x:v>2021</x:v>
      </x:c>
      <x:c r="L754" s="14" t="str">
        <x:v>Available from 2021 analysis</x:v>
      </x:c>
      <x:c r="M754" s="15" t="n">
        <x:v>58</x:v>
      </x:c>
      <x:c r="N754" s="14" t="str">
        <x:v>Danny Parsons</x:v>
      </x:c>
      <x:c r="O754" s="14" t="str">
        <x:v>nm2348715</x:v>
      </x:c>
      <x:c r="P754" s="14" t="str">
        <x:v>Worker</x:v>
      </x:c>
      <x:c r="Q754" s="15" t="n">
        <x:v>1</x:v>
      </x:c>
      <x:c r="R754" s="14" t="str">
        <x:v>2024</x:v>
      </x:c>
      <x:c r="S754" s="14" t="n">
        <x:v>2024</x:v>
      </x:c>
      <x:c r="T754" s="14" t="n">
        <x:v>2024</x:v>
      </x:c>
      <x:c r="U754" s="14" t="str">
        <x:v>Post-2021 casting excluded</x:v>
      </x:c>
      <x:c r="V754" s="14" t="str">
        <x:v>Earliest supplied year is 2024, later than the 2021 study year.</x:v>
      </x:c>
      <x:c r="W754" s="14"/>
      <x:c r="X754" s="14" t="str">
        <x:v>Carried forward to 2024</x:v>
      </x:c>
      <x:c r="Y754" s="14"/>
      <x:c r="Z754" s="14" t="str">
        <x:v>Grace.docx</x:v>
      </x:c>
      <x:c r="AA7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4" s="14" t="str">
        <x:v>No established-register match</x:v>
      </x:c>
      <x:c r="AC754" s="14"/>
      <x:c r="AD754" s="14"/>
      <x:c r="AE754" s="14"/>
      <x:c r="AF754" s="14"/>
      <x:c r="AG754" s="14" t="str">
        <x:v>No qualifying conclusion recorded. Absence from the register is not evidence that the performer is not disabled.</x:v>
      </x:c>
      <x:c r="AH754" s="14" t="str">
        <x:v>ITV / ITVX</x:v>
      </x:c>
      <x:c r="AI754" s="14" t="str">
        <x:v>UK original commission</x:v>
      </x:c>
      <x:c r="AJ754" s="14" t="str">
        <x:v>Exact normalised title</x:v>
      </x:c>
      <x:c r="AK754" s="14" t="str">
        <x:v>Medium</x:v>
      </x:c>
      <x:c r="AL754" s="14" t="str">
        <x:v>Verified for commissioner/platform scope; uk original commission.</x:v>
      </x:c>
      <x:c r="AM754" s="17" t="e">
        <x:f>HYPERLINK("https://en.wikipedia.org/wiki/Grace","Open source")</x:f>
        <x:v>HYPERLINK is not implemented. linkLocation=https://en.wikipedia.org/wiki/Grace, friendlyName=Open source</x:v>
      </x:c>
      <x:c r="AN754" s="14" t="str">
        <x:v>No qualifying BBC relationship</x:v>
      </x:c>
      <x:c r="AO754" s="14" t="str">
        <x:v>No</x:v>
      </x:c>
      <x:c r="AP754" s="14" t="str">
        <x:v>Out of scope</x:v>
      </x:c>
      <x:c r="AQ754" s="14" t="str">
        <x:v>No</x:v>
      </x:c>
      <x:c r="AR754" s="14" t="str">
        <x:v>Resolved from master register</x:v>
      </x:c>
      <x:c r="AS754" s="14" t="str">
        <x:v>No established-register match</x:v>
      </x:c>
      <x:c r="AT754" s="14"/>
      <x:c r="AU754" s="14"/>
      <x:c r="AV754" s="14" t="str">
        <x:v>No established apparent-disability match</x:v>
      </x:c>
      <x:c r="AW754" s="14"/>
      <x:c r="AX754" s="14" t="str">
        <x:v>No</x:v>
      </x:c>
      <x:c r="AY754" s="14" t="str">
        <x:v>Unmatched</x:v>
      </x:c>
      <x:c r="AZ754" s="14" t="str">
        <x:v>Final supplied register</x:v>
      </x:c>
      <x:c r="BA754" s="14" t="str">
        <x:v>Absence from the register is not evidence that the performer is not disabled.</x:v>
      </x:c>
      <x:c r="BB754" s="14" t="str">
        <x:v>No established-register match</x:v>
      </x:c>
      <x:c r="BC754" s="14"/>
      <x:c r="BD754" s="14"/>
      <x:c r="BE754" s="14"/>
      <x:c r="BF754" s="14" t="str">
        <x:v>No established apparent-disability match</x:v>
      </x:c>
      <x:c r="BG754" s="14"/>
      <x:c r="BH754" s="14" t="str">
        <x:v>No</x:v>
      </x:c>
      <x:c r="BI754" s="14"/>
      <x:c r="BJ754" s="14"/>
      <x:c r="BK754" s="14"/>
      <x:c r="BL754" s="14" t="str">
        <x:v>Unmatched</x:v>
      </x:c>
      <x:c r="BM754" s="14" t="str">
        <x:v>Final supplied register</x:v>
      </x:c>
      <x:c r="BN754" s="14" t="str">
        <x:v>Absence from the register is not evidence that the performer is not disabled.</x:v>
      </x:c>
      <x:c r="BO754" s="14" t="n">
        <x:v>20</x:v>
      </x:c>
      <x:c r="BP754" s="14" t="str">
        <x:v>Maximum eligible IMDb cast-credit total (20), shared by 4 performer(s); not independently verified as a 2021-only episode total.</x:v>
      </x:c>
      <x:c r="BQ754" s="14" t="str">
        <x:v>Medium</x:v>
      </x:c>
      <x:c r="BR754" s="15" t="n">
        <x:v>1</x:v>
      </x:c>
      <x:c r="BS754" s="16" t="n">
        <x:v>0.05</x:v>
      </x:c>
      <x:c r="BT754" s="14" t="str">
        <x:v>One episode</x:v>
      </x:c>
      <x:c r="BU754" s="14" t="str">
        <x:v>Medium</x:v>
      </x:c>
      <x:c r="BV754" s="14" t="str">
        <x:v>Derived from supplied IMDb episode count and the documented production-total proxy.</x:v>
      </x:c>
      <x:c r="BW754" s="14" t="str">
        <x:v>Unable to determine</x:v>
      </x:c>
      <x:c r="BX754" s="14" t="str">
        <x:v>Supplied cast data establishes the credit and episode presence but does not establish narrative prominence.</x:v>
      </x:c>
      <x:c r="BY754" s="14" t="str">
        <x:v>Supplied IMDb cast-list workbook</x:v>
      </x:c>
      <x:c r="BZ7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4" s="14" t="str">
        <x:v>Not classified</x:v>
      </x:c>
      <x:c r="CB754" s="14" t="str">
        <x:v>Unable to determine</x:v>
      </x:c>
      <x:c r="CC754" s="14" t="str">
        <x:v>Unique</x:v>
      </x:c>
      <x:c r="CD754" s="14" t="str">
        <x:v>None identified</x:v>
      </x:c>
    </x:row>
    <x:row r="755">
      <x:c r="A755" s="14" t="str">
        <x:v>tt11639300|nm0014605|sarah courtney</x:v>
      </x:c>
      <x:c r="B755" s="14" t="str">
        <x:v>02</x:v>
      </x:c>
      <x:c r="C755" s="14" t="str">
        <x:v>2021_IMDb_Cast_Lists_Batch_02(1).xlsx</x:v>
      </x:c>
      <x:c r="D755" s="14" t="str">
        <x:v>Grace</x:v>
      </x:c>
      <x:c r="E755" s="14" t="n">
        <x:v>83</x:v>
      </x:c>
      <x:c r="F755" s="14" t="str">
        <x:v>Grace</x:v>
      </x:c>
      <x:c r="G755" s="14" t="str">
        <x:v>tt11639300</x:v>
      </x:c>
      <x:c r="H755" s="14" t="n">
        <x:v>2021</x:v>
      </x:c>
      <x:c r="I755" s="14" t="n">
        <x:v>2023</x:v>
      </x:c>
      <x:c r="J755" s="14" t="str">
        <x:v>Future Carry-Forward Cohort</x:v>
      </x:c>
      <x:c r="K755" s="14" t="n">
        <x:v>2021</x:v>
      </x:c>
      <x:c r="L755" s="14" t="str">
        <x:v>Available from 2021 analysis</x:v>
      </x:c>
      <x:c r="M755" s="15" t="n">
        <x:v>76</x:v>
      </x:c>
      <x:c r="N755" s="14" t="str">
        <x:v>Laura Aikman</x:v>
      </x:c>
      <x:c r="O755" s="14" t="str">
        <x:v>nm0014605</x:v>
      </x:c>
      <x:c r="P755" s="14" t="str">
        <x:v>Sarah Courtney</x:v>
      </x:c>
      <x:c r="Q755" s="15" t="n">
        <x:v>1</x:v>
      </x:c>
      <x:c r="R755" s="14" t="str">
        <x:v>2024</x:v>
      </x:c>
      <x:c r="S755" s="14" t="n">
        <x:v>2024</x:v>
      </x:c>
      <x:c r="T755" s="14" t="n">
        <x:v>2024</x:v>
      </x:c>
      <x:c r="U755" s="14" t="str">
        <x:v>Post-2021 casting excluded</x:v>
      </x:c>
      <x:c r="V755" s="14" t="str">
        <x:v>Earliest supplied year is 2024, later than the 2021 study year.</x:v>
      </x:c>
      <x:c r="W755" s="14"/>
      <x:c r="X755" s="14" t="str">
        <x:v>Carried forward to 2024</x:v>
      </x:c>
      <x:c r="Y755" s="14"/>
      <x:c r="Z755" s="14" t="str">
        <x:v>Grace.docx</x:v>
      </x:c>
      <x:c r="AA7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5" s="14" t="str">
        <x:v>No established-register match</x:v>
      </x:c>
      <x:c r="AC755" s="14"/>
      <x:c r="AD755" s="14"/>
      <x:c r="AE755" s="14"/>
      <x:c r="AF755" s="14"/>
      <x:c r="AG755" s="14" t="str">
        <x:v>No qualifying conclusion recorded. Absence from the register is not evidence that the performer is not disabled.</x:v>
      </x:c>
      <x:c r="AH755" s="14" t="str">
        <x:v>ITV / ITVX</x:v>
      </x:c>
      <x:c r="AI755" s="14" t="str">
        <x:v>UK original commission</x:v>
      </x:c>
      <x:c r="AJ755" s="14" t="str">
        <x:v>Exact normalised title</x:v>
      </x:c>
      <x:c r="AK755" s="14" t="str">
        <x:v>Medium</x:v>
      </x:c>
      <x:c r="AL755" s="14" t="str">
        <x:v>Verified for commissioner/platform scope; uk original commission.</x:v>
      </x:c>
      <x:c r="AM755" s="17" t="e">
        <x:f>HYPERLINK("https://en.wikipedia.org/wiki/Grace","Open source")</x:f>
        <x:v>HYPERLINK is not implemented. linkLocation=https://en.wikipedia.org/wiki/Grace, friendlyName=Open source</x:v>
      </x:c>
      <x:c r="AN755" s="14" t="str">
        <x:v>No qualifying BBC relationship</x:v>
      </x:c>
      <x:c r="AO755" s="14" t="str">
        <x:v>No</x:v>
      </x:c>
      <x:c r="AP755" s="14" t="str">
        <x:v>Out of scope</x:v>
      </x:c>
      <x:c r="AQ755" s="14" t="str">
        <x:v>No</x:v>
      </x:c>
      <x:c r="AR755" s="14" t="str">
        <x:v>Resolved from master register</x:v>
      </x:c>
      <x:c r="AS755" s="14" t="str">
        <x:v>No established-register match</x:v>
      </x:c>
      <x:c r="AT755" s="14"/>
      <x:c r="AU755" s="14"/>
      <x:c r="AV755" s="14" t="str">
        <x:v>No established apparent-disability match</x:v>
      </x:c>
      <x:c r="AW755" s="14"/>
      <x:c r="AX755" s="14" t="str">
        <x:v>No</x:v>
      </x:c>
      <x:c r="AY755" s="14" t="str">
        <x:v>Unmatched</x:v>
      </x:c>
      <x:c r="AZ755" s="14" t="str">
        <x:v>Final supplied register</x:v>
      </x:c>
      <x:c r="BA755" s="14" t="str">
        <x:v>Absence from the register is not evidence that the performer is not disabled.</x:v>
      </x:c>
      <x:c r="BB755" s="14" t="str">
        <x:v>No established-register match</x:v>
      </x:c>
      <x:c r="BC755" s="14"/>
      <x:c r="BD755" s="14"/>
      <x:c r="BE755" s="14"/>
      <x:c r="BF755" s="14" t="str">
        <x:v>No established apparent-disability match</x:v>
      </x:c>
      <x:c r="BG755" s="14"/>
      <x:c r="BH755" s="14" t="str">
        <x:v>No</x:v>
      </x:c>
      <x:c r="BI755" s="14"/>
      <x:c r="BJ755" s="14"/>
      <x:c r="BK755" s="14"/>
      <x:c r="BL755" s="14" t="str">
        <x:v>Unmatched</x:v>
      </x:c>
      <x:c r="BM755" s="14" t="str">
        <x:v>Final supplied register</x:v>
      </x:c>
      <x:c r="BN755" s="14" t="str">
        <x:v>Absence from the register is not evidence that the performer is not disabled.</x:v>
      </x:c>
      <x:c r="BO755" s="14" t="n">
        <x:v>20</x:v>
      </x:c>
      <x:c r="BP755" s="14" t="str">
        <x:v>Maximum eligible IMDb cast-credit total (20), shared by 4 performer(s); not independently verified as a 2021-only episode total.</x:v>
      </x:c>
      <x:c r="BQ755" s="14" t="str">
        <x:v>Medium</x:v>
      </x:c>
      <x:c r="BR755" s="15" t="n">
        <x:v>1</x:v>
      </x:c>
      <x:c r="BS755" s="16" t="n">
        <x:v>0.05</x:v>
      </x:c>
      <x:c r="BT755" s="14" t="str">
        <x:v>One episode</x:v>
      </x:c>
      <x:c r="BU755" s="14" t="str">
        <x:v>Medium</x:v>
      </x:c>
      <x:c r="BV755" s="14" t="str">
        <x:v>Derived from supplied IMDb episode count and the documented production-total proxy.</x:v>
      </x:c>
      <x:c r="BW755" s="14" t="str">
        <x:v>Unable to determine</x:v>
      </x:c>
      <x:c r="BX755" s="14" t="str">
        <x:v>Supplied cast data establishes the credit and episode presence but does not establish narrative prominence.</x:v>
      </x:c>
      <x:c r="BY755" s="14" t="str">
        <x:v>Supplied IMDb cast-list workbook</x:v>
      </x:c>
      <x:c r="BZ7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5" s="14" t="str">
        <x:v>Not classified</x:v>
      </x:c>
      <x:c r="CB755" s="14" t="str">
        <x:v>Unable to determine</x:v>
      </x:c>
      <x:c r="CC755" s="14" t="str">
        <x:v>Unique</x:v>
      </x:c>
      <x:c r="CD755" s="14" t="str">
        <x:v>None identified</x:v>
      </x:c>
    </x:row>
    <x:row r="756">
      <x:c r="A756" s="14" t="str">
        <x:v>tt11639300|nm1569609|pierre</x:v>
      </x:c>
      <x:c r="B756" s="14" t="str">
        <x:v>02</x:v>
      </x:c>
      <x:c r="C756" s="14" t="str">
        <x:v>2021_IMDb_Cast_Lists_Batch_02(1).xlsx</x:v>
      </x:c>
      <x:c r="D756" s="14" t="str">
        <x:v>Grace</x:v>
      </x:c>
      <x:c r="E756" s="14" t="n">
        <x:v>92</x:v>
      </x:c>
      <x:c r="F756" s="14" t="str">
        <x:v>Grace</x:v>
      </x:c>
      <x:c r="G756" s="14" t="str">
        <x:v>tt11639300</x:v>
      </x:c>
      <x:c r="H756" s="14" t="n">
        <x:v>2021</x:v>
      </x:c>
      <x:c r="I756" s="14" t="n">
        <x:v>2023</x:v>
      </x:c>
      <x:c r="J756" s="14" t="str">
        <x:v>Future Carry-Forward Cohort</x:v>
      </x:c>
      <x:c r="K756" s="14" t="n">
        <x:v>2021</x:v>
      </x:c>
      <x:c r="L756" s="14" t="str">
        <x:v>Available from 2021 analysis</x:v>
      </x:c>
      <x:c r="M756" s="15" t="n">
        <x:v>85</x:v>
      </x:c>
      <x:c r="N756" s="14" t="str">
        <x:v>Jake Canuso</x:v>
      </x:c>
      <x:c r="O756" s="14" t="str">
        <x:v>nm1569609</x:v>
      </x:c>
      <x:c r="P756" s="14" t="str">
        <x:v>Pierre</x:v>
      </x:c>
      <x:c r="Q756" s="15" t="n">
        <x:v>1</x:v>
      </x:c>
      <x:c r="R756" s="14" t="str">
        <x:v>2024</x:v>
      </x:c>
      <x:c r="S756" s="14" t="n">
        <x:v>2024</x:v>
      </x:c>
      <x:c r="T756" s="14" t="n">
        <x:v>2024</x:v>
      </x:c>
      <x:c r="U756" s="14" t="str">
        <x:v>Post-2021 casting excluded</x:v>
      </x:c>
      <x:c r="V756" s="14" t="str">
        <x:v>Earliest supplied year is 2024, later than the 2021 study year.</x:v>
      </x:c>
      <x:c r="W756" s="14"/>
      <x:c r="X756" s="14" t="str">
        <x:v>Carried forward to 2024</x:v>
      </x:c>
      <x:c r="Y756" s="14"/>
      <x:c r="Z756" s="14" t="str">
        <x:v>Grace.docx</x:v>
      </x:c>
      <x:c r="AA7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6" s="14" t="str">
        <x:v>No established-register match</x:v>
      </x:c>
      <x:c r="AC756" s="14"/>
      <x:c r="AD756" s="14"/>
      <x:c r="AE756" s="14"/>
      <x:c r="AF756" s="14"/>
      <x:c r="AG756" s="14" t="str">
        <x:v>No qualifying conclusion recorded. Absence from the register is not evidence that the performer is not disabled.</x:v>
      </x:c>
      <x:c r="AH756" s="14" t="str">
        <x:v>ITV / ITVX</x:v>
      </x:c>
      <x:c r="AI756" s="14" t="str">
        <x:v>UK original commission</x:v>
      </x:c>
      <x:c r="AJ756" s="14" t="str">
        <x:v>Exact normalised title</x:v>
      </x:c>
      <x:c r="AK756" s="14" t="str">
        <x:v>Medium</x:v>
      </x:c>
      <x:c r="AL756" s="14" t="str">
        <x:v>Verified for commissioner/platform scope; uk original commission.</x:v>
      </x:c>
      <x:c r="AM756" s="17" t="e">
        <x:f>HYPERLINK("https://en.wikipedia.org/wiki/Grace","Open source")</x:f>
        <x:v>HYPERLINK is not implemented. linkLocation=https://en.wikipedia.org/wiki/Grace, friendlyName=Open source</x:v>
      </x:c>
      <x:c r="AN756" s="14" t="str">
        <x:v>No qualifying BBC relationship</x:v>
      </x:c>
      <x:c r="AO756" s="14" t="str">
        <x:v>No</x:v>
      </x:c>
      <x:c r="AP756" s="14" t="str">
        <x:v>Out of scope</x:v>
      </x:c>
      <x:c r="AQ756" s="14" t="str">
        <x:v>No</x:v>
      </x:c>
      <x:c r="AR756" s="14" t="str">
        <x:v>Resolved from master register</x:v>
      </x:c>
      <x:c r="AS756" s="14" t="str">
        <x:v>No established-register match</x:v>
      </x:c>
      <x:c r="AT756" s="14"/>
      <x:c r="AU756" s="14"/>
      <x:c r="AV756" s="14" t="str">
        <x:v>No established apparent-disability match</x:v>
      </x:c>
      <x:c r="AW756" s="14"/>
      <x:c r="AX756" s="14" t="str">
        <x:v>No</x:v>
      </x:c>
      <x:c r="AY756" s="14" t="str">
        <x:v>Unmatched</x:v>
      </x:c>
      <x:c r="AZ756" s="14" t="str">
        <x:v>Final supplied register</x:v>
      </x:c>
      <x:c r="BA756" s="14" t="str">
        <x:v>Absence from the register is not evidence that the performer is not disabled.</x:v>
      </x:c>
      <x:c r="BB756" s="14" t="str">
        <x:v>No established-register match</x:v>
      </x:c>
      <x:c r="BC756" s="14"/>
      <x:c r="BD756" s="14"/>
      <x:c r="BE756" s="14"/>
      <x:c r="BF756" s="14" t="str">
        <x:v>No established apparent-disability match</x:v>
      </x:c>
      <x:c r="BG756" s="14"/>
      <x:c r="BH756" s="14" t="str">
        <x:v>No</x:v>
      </x:c>
      <x:c r="BI756" s="14"/>
      <x:c r="BJ756" s="14"/>
      <x:c r="BK756" s="14"/>
      <x:c r="BL756" s="14" t="str">
        <x:v>Unmatched</x:v>
      </x:c>
      <x:c r="BM756" s="14" t="str">
        <x:v>Final supplied register</x:v>
      </x:c>
      <x:c r="BN756" s="14" t="str">
        <x:v>Absence from the register is not evidence that the performer is not disabled.</x:v>
      </x:c>
      <x:c r="BO756" s="14" t="n">
        <x:v>20</x:v>
      </x:c>
      <x:c r="BP756" s="14" t="str">
        <x:v>Maximum eligible IMDb cast-credit total (20), shared by 4 performer(s); not independently verified as a 2021-only episode total.</x:v>
      </x:c>
      <x:c r="BQ756" s="14" t="str">
        <x:v>Medium</x:v>
      </x:c>
      <x:c r="BR756" s="15" t="n">
        <x:v>1</x:v>
      </x:c>
      <x:c r="BS756" s="16" t="n">
        <x:v>0.05</x:v>
      </x:c>
      <x:c r="BT756" s="14" t="str">
        <x:v>One episode</x:v>
      </x:c>
      <x:c r="BU756" s="14" t="str">
        <x:v>Medium</x:v>
      </x:c>
      <x:c r="BV756" s="14" t="str">
        <x:v>Derived from supplied IMDb episode count and the documented production-total proxy.</x:v>
      </x:c>
      <x:c r="BW756" s="14" t="str">
        <x:v>Unable to determine</x:v>
      </x:c>
      <x:c r="BX756" s="14" t="str">
        <x:v>Supplied cast data establishes the credit and episode presence but does not establish narrative prominence.</x:v>
      </x:c>
      <x:c r="BY756" s="14" t="str">
        <x:v>Supplied IMDb cast-list workbook</x:v>
      </x:c>
      <x:c r="BZ7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6" s="14" t="str">
        <x:v>Not classified</x:v>
      </x:c>
      <x:c r="CB756" s="14" t="str">
        <x:v>Unable to determine</x:v>
      </x:c>
      <x:c r="CC756" s="14" t="str">
        <x:v>Unique</x:v>
      </x:c>
      <x:c r="CD756" s="14" t="str">
        <x:v>None identified</x:v>
      </x:c>
    </x:row>
    <x:row r="757">
      <x:c r="A757" s="14" t="str">
        <x:v>tt11639300|nm14337208|molly daniels</x:v>
      </x:c>
      <x:c r="B757" s="14" t="str">
        <x:v>02</x:v>
      </x:c>
      <x:c r="C757" s="14" t="str">
        <x:v>2021_IMDb_Cast_Lists_Batch_02(1).xlsx</x:v>
      </x:c>
      <x:c r="D757" s="14" t="str">
        <x:v>Grace</x:v>
      </x:c>
      <x:c r="E757" s="14" t="n">
        <x:v>93</x:v>
      </x:c>
      <x:c r="F757" s="14" t="str">
        <x:v>Grace</x:v>
      </x:c>
      <x:c r="G757" s="14" t="str">
        <x:v>tt11639300</x:v>
      </x:c>
      <x:c r="H757" s="14" t="n">
        <x:v>2021</x:v>
      </x:c>
      <x:c r="I757" s="14" t="n">
        <x:v>2023</x:v>
      </x:c>
      <x:c r="J757" s="14" t="str">
        <x:v>Future Carry-Forward Cohort</x:v>
      </x:c>
      <x:c r="K757" s="14" t="n">
        <x:v>2021</x:v>
      </x:c>
      <x:c r="L757" s="14" t="str">
        <x:v>Available from 2021 analysis</x:v>
      </x:c>
      <x:c r="M757" s="15" t="n">
        <x:v>86</x:v>
      </x:c>
      <x:c r="N757" s="14" t="str">
        <x:v>Jennifer Macbeth</x:v>
      </x:c>
      <x:c r="O757" s="14" t="str">
        <x:v>nm14337208</x:v>
      </x:c>
      <x:c r="P757" s="14" t="str">
        <x:v>Molly Daniels</x:v>
      </x:c>
      <x:c r="Q757" s="15" t="n">
        <x:v>1</x:v>
      </x:c>
      <x:c r="R757" s="14" t="str">
        <x:v>2024</x:v>
      </x:c>
      <x:c r="S757" s="14" t="n">
        <x:v>2024</x:v>
      </x:c>
      <x:c r="T757" s="14" t="n">
        <x:v>2024</x:v>
      </x:c>
      <x:c r="U757" s="14" t="str">
        <x:v>Post-2021 casting excluded</x:v>
      </x:c>
      <x:c r="V757" s="14" t="str">
        <x:v>Earliest supplied year is 2024, later than the 2021 study year.</x:v>
      </x:c>
      <x:c r="W757" s="14"/>
      <x:c r="X757" s="14" t="str">
        <x:v>Carried forward to 2024</x:v>
      </x:c>
      <x:c r="Y757" s="14"/>
      <x:c r="Z757" s="14" t="str">
        <x:v>Grace.docx</x:v>
      </x:c>
      <x:c r="AA7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7" s="14" t="str">
        <x:v>No established-register match</x:v>
      </x:c>
      <x:c r="AC757" s="14"/>
      <x:c r="AD757" s="14"/>
      <x:c r="AE757" s="14"/>
      <x:c r="AF757" s="14"/>
      <x:c r="AG757" s="14" t="str">
        <x:v>No qualifying conclusion recorded. Absence from the register is not evidence that the performer is not disabled.</x:v>
      </x:c>
      <x:c r="AH757" s="14" t="str">
        <x:v>ITV / ITVX</x:v>
      </x:c>
      <x:c r="AI757" s="14" t="str">
        <x:v>UK original commission</x:v>
      </x:c>
      <x:c r="AJ757" s="14" t="str">
        <x:v>Exact normalised title</x:v>
      </x:c>
      <x:c r="AK757" s="14" t="str">
        <x:v>Medium</x:v>
      </x:c>
      <x:c r="AL757" s="14" t="str">
        <x:v>Verified for commissioner/platform scope; uk original commission.</x:v>
      </x:c>
      <x:c r="AM757" s="17" t="e">
        <x:f>HYPERLINK("https://en.wikipedia.org/wiki/Grace","Open source")</x:f>
        <x:v>HYPERLINK is not implemented. linkLocation=https://en.wikipedia.org/wiki/Grace, friendlyName=Open source</x:v>
      </x:c>
      <x:c r="AN757" s="14" t="str">
        <x:v>No qualifying BBC relationship</x:v>
      </x:c>
      <x:c r="AO757" s="14" t="str">
        <x:v>No</x:v>
      </x:c>
      <x:c r="AP757" s="14" t="str">
        <x:v>Out of scope</x:v>
      </x:c>
      <x:c r="AQ757" s="14" t="str">
        <x:v>No</x:v>
      </x:c>
      <x:c r="AR757" s="14" t="str">
        <x:v>Resolved from master register</x:v>
      </x:c>
      <x:c r="AS757" s="14" t="str">
        <x:v>No established-register match</x:v>
      </x:c>
      <x:c r="AT757" s="14"/>
      <x:c r="AU757" s="14"/>
      <x:c r="AV757" s="14" t="str">
        <x:v>No established apparent-disability match</x:v>
      </x:c>
      <x:c r="AW757" s="14"/>
      <x:c r="AX757" s="14" t="str">
        <x:v>No</x:v>
      </x:c>
      <x:c r="AY757" s="14" t="str">
        <x:v>Unmatched</x:v>
      </x:c>
      <x:c r="AZ757" s="14" t="str">
        <x:v>Final supplied register</x:v>
      </x:c>
      <x:c r="BA757" s="14" t="str">
        <x:v>Absence from the register is not evidence that the performer is not disabled.</x:v>
      </x:c>
      <x:c r="BB757" s="14" t="str">
        <x:v>No established-register match</x:v>
      </x:c>
      <x:c r="BC757" s="14"/>
      <x:c r="BD757" s="14"/>
      <x:c r="BE757" s="14"/>
      <x:c r="BF757" s="14" t="str">
        <x:v>No established apparent-disability match</x:v>
      </x:c>
      <x:c r="BG757" s="14"/>
      <x:c r="BH757" s="14" t="str">
        <x:v>No</x:v>
      </x:c>
      <x:c r="BI757" s="14"/>
      <x:c r="BJ757" s="14"/>
      <x:c r="BK757" s="14"/>
      <x:c r="BL757" s="14" t="str">
        <x:v>Unmatched</x:v>
      </x:c>
      <x:c r="BM757" s="14" t="str">
        <x:v>Final supplied register</x:v>
      </x:c>
      <x:c r="BN757" s="14" t="str">
        <x:v>Absence from the register is not evidence that the performer is not disabled.</x:v>
      </x:c>
      <x:c r="BO757" s="14" t="n">
        <x:v>20</x:v>
      </x:c>
      <x:c r="BP757" s="14" t="str">
        <x:v>Maximum eligible IMDb cast-credit total (20), shared by 4 performer(s); not independently verified as a 2021-only episode total.</x:v>
      </x:c>
      <x:c r="BQ757" s="14" t="str">
        <x:v>Medium</x:v>
      </x:c>
      <x:c r="BR757" s="15" t="n">
        <x:v>1</x:v>
      </x:c>
      <x:c r="BS757" s="16" t="n">
        <x:v>0.05</x:v>
      </x:c>
      <x:c r="BT757" s="14" t="str">
        <x:v>One episode</x:v>
      </x:c>
      <x:c r="BU757" s="14" t="str">
        <x:v>Medium</x:v>
      </x:c>
      <x:c r="BV757" s="14" t="str">
        <x:v>Derived from supplied IMDb episode count and the documented production-total proxy.</x:v>
      </x:c>
      <x:c r="BW757" s="14" t="str">
        <x:v>Unable to determine</x:v>
      </x:c>
      <x:c r="BX757" s="14" t="str">
        <x:v>Supplied cast data establishes the credit and episode presence but does not establish narrative prominence.</x:v>
      </x:c>
      <x:c r="BY757" s="14" t="str">
        <x:v>Supplied IMDb cast-list workbook</x:v>
      </x:c>
      <x:c r="BZ7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7" s="14" t="str">
        <x:v>Not classified</x:v>
      </x:c>
      <x:c r="CB757" s="14" t="str">
        <x:v>Unable to determine</x:v>
      </x:c>
      <x:c r="CC757" s="14" t="str">
        <x:v>Unique</x:v>
      </x:c>
      <x:c r="CD757" s="14" t="str">
        <x:v>None identified</x:v>
      </x:c>
    </x:row>
    <x:row r="758">
      <x:c r="A758" s="14" t="str">
        <x:v>tt11639300|nm0322563|gavin daly</x:v>
      </x:c>
      <x:c r="B758" s="14" t="str">
        <x:v>02</x:v>
      </x:c>
      <x:c r="C758" s="14" t="str">
        <x:v>2021_IMDb_Cast_Lists_Batch_02(1).xlsx</x:v>
      </x:c>
      <x:c r="D758" s="14" t="str">
        <x:v>Grace</x:v>
      </x:c>
      <x:c r="E758" s="14" t="n">
        <x:v>101</x:v>
      </x:c>
      <x:c r="F758" s="14" t="str">
        <x:v>Grace</x:v>
      </x:c>
      <x:c r="G758" s="14" t="str">
        <x:v>tt11639300</x:v>
      </x:c>
      <x:c r="H758" s="14" t="n">
        <x:v>2021</x:v>
      </x:c>
      <x:c r="I758" s="14" t="n">
        <x:v>2023</x:v>
      </x:c>
      <x:c r="J758" s="14" t="str">
        <x:v>Future Carry-Forward Cohort</x:v>
      </x:c>
      <x:c r="K758" s="14" t="n">
        <x:v>2021</x:v>
      </x:c>
      <x:c r="L758" s="14" t="str">
        <x:v>Available from 2021 analysis</x:v>
      </x:c>
      <x:c r="M758" s="15" t="n">
        <x:v>94</x:v>
      </x:c>
      <x:c r="N758" s="14" t="str">
        <x:v>Robert Glenister</x:v>
      </x:c>
      <x:c r="O758" s="14" t="str">
        <x:v>nm0322563</x:v>
      </x:c>
      <x:c r="P758" s="14" t="str">
        <x:v>Gavin Daly</x:v>
      </x:c>
      <x:c r="Q758" s="15" t="n">
        <x:v>1</x:v>
      </x:c>
      <x:c r="R758" s="14" t="str">
        <x:v>2024</x:v>
      </x:c>
      <x:c r="S758" s="14" t="n">
        <x:v>2024</x:v>
      </x:c>
      <x:c r="T758" s="14" t="n">
        <x:v>2024</x:v>
      </x:c>
      <x:c r="U758" s="14" t="str">
        <x:v>Post-2021 casting excluded</x:v>
      </x:c>
      <x:c r="V758" s="14" t="str">
        <x:v>Earliest supplied year is 2024, later than the 2021 study year.</x:v>
      </x:c>
      <x:c r="W758" s="14"/>
      <x:c r="X758" s="14" t="str">
        <x:v>Carried forward to 2024</x:v>
      </x:c>
      <x:c r="Y758" s="14"/>
      <x:c r="Z758" s="14" t="str">
        <x:v>Grace.docx</x:v>
      </x:c>
      <x:c r="AA7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8" s="14" t="str">
        <x:v>No established-register match</x:v>
      </x:c>
      <x:c r="AC758" s="14"/>
      <x:c r="AD758" s="14"/>
      <x:c r="AE758" s="14"/>
      <x:c r="AF758" s="14"/>
      <x:c r="AG758" s="14" t="str">
        <x:v>No qualifying conclusion recorded. Absence from the register is not evidence that the performer is not disabled.</x:v>
      </x:c>
      <x:c r="AH758" s="14" t="str">
        <x:v>ITV / ITVX</x:v>
      </x:c>
      <x:c r="AI758" s="14" t="str">
        <x:v>UK original commission</x:v>
      </x:c>
      <x:c r="AJ758" s="14" t="str">
        <x:v>Exact normalised title</x:v>
      </x:c>
      <x:c r="AK758" s="14" t="str">
        <x:v>Medium</x:v>
      </x:c>
      <x:c r="AL758" s="14" t="str">
        <x:v>Verified for commissioner/platform scope; uk original commission.</x:v>
      </x:c>
      <x:c r="AM758" s="17" t="e">
        <x:f>HYPERLINK("https://en.wikipedia.org/wiki/Grace","Open source")</x:f>
        <x:v>HYPERLINK is not implemented. linkLocation=https://en.wikipedia.org/wiki/Grace, friendlyName=Open source</x:v>
      </x:c>
      <x:c r="AN758" s="14" t="str">
        <x:v>No qualifying BBC relationship</x:v>
      </x:c>
      <x:c r="AO758" s="14" t="str">
        <x:v>No</x:v>
      </x:c>
      <x:c r="AP758" s="14" t="str">
        <x:v>Out of scope</x:v>
      </x:c>
      <x:c r="AQ758" s="14" t="str">
        <x:v>No</x:v>
      </x:c>
      <x:c r="AR758" s="14" t="str">
        <x:v>Resolved from master register</x:v>
      </x:c>
      <x:c r="AS758" s="14" t="str">
        <x:v>No established-register match</x:v>
      </x:c>
      <x:c r="AT758" s="14"/>
      <x:c r="AU758" s="14"/>
      <x:c r="AV758" s="14" t="str">
        <x:v>No established apparent-disability match</x:v>
      </x:c>
      <x:c r="AW758" s="14"/>
      <x:c r="AX758" s="14" t="str">
        <x:v>No</x:v>
      </x:c>
      <x:c r="AY758" s="14" t="str">
        <x:v>Unmatched</x:v>
      </x:c>
      <x:c r="AZ758" s="14" t="str">
        <x:v>Final supplied register</x:v>
      </x:c>
      <x:c r="BA758" s="14" t="str">
        <x:v>Absence from the register is not evidence that the performer is not disabled.</x:v>
      </x:c>
      <x:c r="BB758" s="14" t="str">
        <x:v>No established-register match</x:v>
      </x:c>
      <x:c r="BC758" s="14"/>
      <x:c r="BD758" s="14"/>
      <x:c r="BE758" s="14"/>
      <x:c r="BF758" s="14" t="str">
        <x:v>No established apparent-disability match</x:v>
      </x:c>
      <x:c r="BG758" s="14"/>
      <x:c r="BH758" s="14" t="str">
        <x:v>No</x:v>
      </x:c>
      <x:c r="BI758" s="14"/>
      <x:c r="BJ758" s="14"/>
      <x:c r="BK758" s="14"/>
      <x:c r="BL758" s="14" t="str">
        <x:v>Unmatched</x:v>
      </x:c>
      <x:c r="BM758" s="14" t="str">
        <x:v>Final supplied register</x:v>
      </x:c>
      <x:c r="BN758" s="14" t="str">
        <x:v>Absence from the register is not evidence that the performer is not disabled.</x:v>
      </x:c>
      <x:c r="BO758" s="14" t="n">
        <x:v>20</x:v>
      </x:c>
      <x:c r="BP758" s="14" t="str">
        <x:v>Maximum eligible IMDb cast-credit total (20), shared by 4 performer(s); not independently verified as a 2021-only episode total.</x:v>
      </x:c>
      <x:c r="BQ758" s="14" t="str">
        <x:v>Medium</x:v>
      </x:c>
      <x:c r="BR758" s="15" t="n">
        <x:v>1</x:v>
      </x:c>
      <x:c r="BS758" s="16" t="n">
        <x:v>0.05</x:v>
      </x:c>
      <x:c r="BT758" s="14" t="str">
        <x:v>One episode</x:v>
      </x:c>
      <x:c r="BU758" s="14" t="str">
        <x:v>Medium</x:v>
      </x:c>
      <x:c r="BV758" s="14" t="str">
        <x:v>Derived from supplied IMDb episode count and the documented production-total proxy.</x:v>
      </x:c>
      <x:c r="BW758" s="14" t="str">
        <x:v>Unable to determine</x:v>
      </x:c>
      <x:c r="BX758" s="14" t="str">
        <x:v>Supplied cast data establishes the credit and episode presence but does not establish narrative prominence.</x:v>
      </x:c>
      <x:c r="BY758" s="14" t="str">
        <x:v>Supplied IMDb cast-list workbook</x:v>
      </x:c>
      <x:c r="BZ7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8" s="14" t="str">
        <x:v>Not classified</x:v>
      </x:c>
      <x:c r="CB758" s="14" t="str">
        <x:v>Unable to determine</x:v>
      </x:c>
      <x:c r="CC758" s="14" t="str">
        <x:v>Unique</x:v>
      </x:c>
      <x:c r="CD758" s="14" t="str">
        <x:v>None identified</x:v>
      </x:c>
    </x:row>
    <x:row r="759">
      <x:c r="A759" s="14" t="str">
        <x:v>tt11639300|nm0359710|alan whitlock</x:v>
      </x:c>
      <x:c r="B759" s="14" t="str">
        <x:v>02</x:v>
      </x:c>
      <x:c r="C759" s="14" t="str">
        <x:v>2021_IMDb_Cast_Lists_Batch_02(1).xlsx</x:v>
      </x:c>
      <x:c r="D759" s="14" t="str">
        <x:v>Grace</x:v>
      </x:c>
      <x:c r="E759" s="14" t="n">
        <x:v>102</x:v>
      </x:c>
      <x:c r="F759" s="14" t="str">
        <x:v>Grace</x:v>
      </x:c>
      <x:c r="G759" s="14" t="str">
        <x:v>tt11639300</x:v>
      </x:c>
      <x:c r="H759" s="14" t="n">
        <x:v>2021</x:v>
      </x:c>
      <x:c r="I759" s="14" t="n">
        <x:v>2023</x:v>
      </x:c>
      <x:c r="J759" s="14" t="str">
        <x:v>Future Carry-Forward Cohort</x:v>
      </x:c>
      <x:c r="K759" s="14" t="n">
        <x:v>2021</x:v>
      </x:c>
      <x:c r="L759" s="14" t="str">
        <x:v>Available from 2021 analysis</x:v>
      </x:c>
      <x:c r="M759" s="15" t="n">
        <x:v>95</x:v>
      </x:c>
      <x:c r="N759" s="14" t="str">
        <x:v>Scott Handy</x:v>
      </x:c>
      <x:c r="O759" s="14" t="str">
        <x:v>nm0359710</x:v>
      </x:c>
      <x:c r="P759" s="14" t="str">
        <x:v>Alan Whitlock</x:v>
      </x:c>
      <x:c r="Q759" s="15" t="n">
        <x:v>1</x:v>
      </x:c>
      <x:c r="R759" s="14" t="str">
        <x:v>2024</x:v>
      </x:c>
      <x:c r="S759" s="14" t="n">
        <x:v>2024</x:v>
      </x:c>
      <x:c r="T759" s="14" t="n">
        <x:v>2024</x:v>
      </x:c>
      <x:c r="U759" s="14" t="str">
        <x:v>Post-2021 casting excluded</x:v>
      </x:c>
      <x:c r="V759" s="14" t="str">
        <x:v>Earliest supplied year is 2024, later than the 2021 study year.</x:v>
      </x:c>
      <x:c r="W759" s="14"/>
      <x:c r="X759" s="14" t="str">
        <x:v>Carried forward to 2024</x:v>
      </x:c>
      <x:c r="Y759" s="14"/>
      <x:c r="Z759" s="14" t="str">
        <x:v>Grace.docx</x:v>
      </x:c>
      <x:c r="AA7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9" s="14" t="str">
        <x:v>No established-register match</x:v>
      </x:c>
      <x:c r="AC759" s="14"/>
      <x:c r="AD759" s="14"/>
      <x:c r="AE759" s="14"/>
      <x:c r="AF759" s="14"/>
      <x:c r="AG759" s="14" t="str">
        <x:v>No qualifying conclusion recorded. Absence from the register is not evidence that the performer is not disabled.</x:v>
      </x:c>
      <x:c r="AH759" s="14" t="str">
        <x:v>ITV / ITVX</x:v>
      </x:c>
      <x:c r="AI759" s="14" t="str">
        <x:v>UK original commission</x:v>
      </x:c>
      <x:c r="AJ759" s="14" t="str">
        <x:v>Exact normalised title</x:v>
      </x:c>
      <x:c r="AK759" s="14" t="str">
        <x:v>Medium</x:v>
      </x:c>
      <x:c r="AL759" s="14" t="str">
        <x:v>Verified for commissioner/platform scope; uk original commission.</x:v>
      </x:c>
      <x:c r="AM759" s="17" t="e">
        <x:f>HYPERLINK("https://en.wikipedia.org/wiki/Grace","Open source")</x:f>
        <x:v>HYPERLINK is not implemented. linkLocation=https://en.wikipedia.org/wiki/Grace, friendlyName=Open source</x:v>
      </x:c>
      <x:c r="AN759" s="14" t="str">
        <x:v>No qualifying BBC relationship</x:v>
      </x:c>
      <x:c r="AO759" s="14" t="str">
        <x:v>No</x:v>
      </x:c>
      <x:c r="AP759" s="14" t="str">
        <x:v>Out of scope</x:v>
      </x:c>
      <x:c r="AQ759" s="14" t="str">
        <x:v>No</x:v>
      </x:c>
      <x:c r="AR759" s="14" t="str">
        <x:v>Resolved from master register</x:v>
      </x:c>
      <x:c r="AS759" s="14" t="str">
        <x:v>No established-register match</x:v>
      </x:c>
      <x:c r="AT759" s="14"/>
      <x:c r="AU759" s="14"/>
      <x:c r="AV759" s="14" t="str">
        <x:v>No established apparent-disability match</x:v>
      </x:c>
      <x:c r="AW759" s="14"/>
      <x:c r="AX759" s="14" t="str">
        <x:v>No</x:v>
      </x:c>
      <x:c r="AY759" s="14" t="str">
        <x:v>Unmatched</x:v>
      </x:c>
      <x:c r="AZ759" s="14" t="str">
        <x:v>Final supplied register</x:v>
      </x:c>
      <x:c r="BA759" s="14" t="str">
        <x:v>Absence from the register is not evidence that the performer is not disabled.</x:v>
      </x:c>
      <x:c r="BB759" s="14" t="str">
        <x:v>No established-register match</x:v>
      </x:c>
      <x:c r="BC759" s="14"/>
      <x:c r="BD759" s="14"/>
      <x:c r="BE759" s="14"/>
      <x:c r="BF759" s="14" t="str">
        <x:v>No established apparent-disability match</x:v>
      </x:c>
      <x:c r="BG759" s="14"/>
      <x:c r="BH759" s="14" t="str">
        <x:v>No</x:v>
      </x:c>
      <x:c r="BI759" s="14"/>
      <x:c r="BJ759" s="14"/>
      <x:c r="BK759" s="14"/>
      <x:c r="BL759" s="14" t="str">
        <x:v>Unmatched</x:v>
      </x:c>
      <x:c r="BM759" s="14" t="str">
        <x:v>Final supplied register</x:v>
      </x:c>
      <x:c r="BN759" s="14" t="str">
        <x:v>Absence from the register is not evidence that the performer is not disabled.</x:v>
      </x:c>
      <x:c r="BO759" s="14" t="n">
        <x:v>20</x:v>
      </x:c>
      <x:c r="BP759" s="14" t="str">
        <x:v>Maximum eligible IMDb cast-credit total (20), shared by 4 performer(s); not independently verified as a 2021-only episode total.</x:v>
      </x:c>
      <x:c r="BQ759" s="14" t="str">
        <x:v>Medium</x:v>
      </x:c>
      <x:c r="BR759" s="15" t="n">
        <x:v>1</x:v>
      </x:c>
      <x:c r="BS759" s="16" t="n">
        <x:v>0.05</x:v>
      </x:c>
      <x:c r="BT759" s="14" t="str">
        <x:v>One episode</x:v>
      </x:c>
      <x:c r="BU759" s="14" t="str">
        <x:v>Medium</x:v>
      </x:c>
      <x:c r="BV759" s="14" t="str">
        <x:v>Derived from supplied IMDb episode count and the documented production-total proxy.</x:v>
      </x:c>
      <x:c r="BW759" s="14" t="str">
        <x:v>Unable to determine</x:v>
      </x:c>
      <x:c r="BX759" s="14" t="str">
        <x:v>Supplied cast data establishes the credit and episode presence but does not establish narrative prominence.</x:v>
      </x:c>
      <x:c r="BY759" s="14" t="str">
        <x:v>Supplied IMDb cast-list workbook</x:v>
      </x:c>
      <x:c r="BZ7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9" s="14" t="str">
        <x:v>Not classified</x:v>
      </x:c>
      <x:c r="CB759" s="14" t="str">
        <x:v>Unable to determine</x:v>
      </x:c>
      <x:c r="CC759" s="14" t="str">
        <x:v>Unique</x:v>
      </x:c>
      <x:c r="CD759" s="14" t="str">
        <x:v>None identified</x:v>
      </x:c>
    </x:row>
    <x:row r="760">
      <x:c r="A760" s="14" t="str">
        <x:v>tt11639300|nm2082147|shelby stoner</x:v>
      </x:c>
      <x:c r="B760" s="14" t="str">
        <x:v>02</x:v>
      </x:c>
      <x:c r="C760" s="14" t="str">
        <x:v>2021_IMDb_Cast_Lists_Batch_02(1).xlsx</x:v>
      </x:c>
      <x:c r="D760" s="14" t="str">
        <x:v>Grace</x:v>
      </x:c>
      <x:c r="E760" s="14" t="n">
        <x:v>103</x:v>
      </x:c>
      <x:c r="F760" s="14" t="str">
        <x:v>Grace</x:v>
      </x:c>
      <x:c r="G760" s="14" t="str">
        <x:v>tt11639300</x:v>
      </x:c>
      <x:c r="H760" s="14" t="n">
        <x:v>2021</x:v>
      </x:c>
      <x:c r="I760" s="14" t="n">
        <x:v>2023</x:v>
      </x:c>
      <x:c r="J760" s="14" t="str">
        <x:v>Future Carry-Forward Cohort</x:v>
      </x:c>
      <x:c r="K760" s="14" t="n">
        <x:v>2021</x:v>
      </x:c>
      <x:c r="L760" s="14" t="str">
        <x:v>Available from 2021 analysis</x:v>
      </x:c>
      <x:c r="M760" s="15" t="n">
        <x:v>96</x:v>
      </x:c>
      <x:c r="N760" s="14" t="str">
        <x:v>Daniel Fearn</x:v>
      </x:c>
      <x:c r="O760" s="14" t="str">
        <x:v>nm2082147</x:v>
      </x:c>
      <x:c r="P760" s="14" t="str">
        <x:v>Shelby Stoner</x:v>
      </x:c>
      <x:c r="Q760" s="15" t="n">
        <x:v>1</x:v>
      </x:c>
      <x:c r="R760" s="14" t="str">
        <x:v>2024</x:v>
      </x:c>
      <x:c r="S760" s="14" t="n">
        <x:v>2024</x:v>
      </x:c>
      <x:c r="T760" s="14" t="n">
        <x:v>2024</x:v>
      </x:c>
      <x:c r="U760" s="14" t="str">
        <x:v>Post-2021 casting excluded</x:v>
      </x:c>
      <x:c r="V760" s="14" t="str">
        <x:v>Earliest supplied year is 2024, later than the 2021 study year.</x:v>
      </x:c>
      <x:c r="W760" s="14"/>
      <x:c r="X760" s="14" t="str">
        <x:v>Carried forward to 2024</x:v>
      </x:c>
      <x:c r="Y760" s="14"/>
      <x:c r="Z760" s="14" t="str">
        <x:v>Grace.docx</x:v>
      </x:c>
      <x:c r="AA7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0" s="14" t="str">
        <x:v>No established-register match</x:v>
      </x:c>
      <x:c r="AC760" s="14"/>
      <x:c r="AD760" s="14"/>
      <x:c r="AE760" s="14"/>
      <x:c r="AF760" s="14"/>
      <x:c r="AG760" s="14" t="str">
        <x:v>No qualifying conclusion recorded. Absence from the register is not evidence that the performer is not disabled.</x:v>
      </x:c>
      <x:c r="AH760" s="14" t="str">
        <x:v>ITV / ITVX</x:v>
      </x:c>
      <x:c r="AI760" s="14" t="str">
        <x:v>UK original commission</x:v>
      </x:c>
      <x:c r="AJ760" s="14" t="str">
        <x:v>Exact normalised title</x:v>
      </x:c>
      <x:c r="AK760" s="14" t="str">
        <x:v>Medium</x:v>
      </x:c>
      <x:c r="AL760" s="14" t="str">
        <x:v>Verified for commissioner/platform scope; uk original commission.</x:v>
      </x:c>
      <x:c r="AM760" s="17" t="e">
        <x:f>HYPERLINK("https://en.wikipedia.org/wiki/Grace","Open source")</x:f>
        <x:v>HYPERLINK is not implemented. linkLocation=https://en.wikipedia.org/wiki/Grace, friendlyName=Open source</x:v>
      </x:c>
      <x:c r="AN760" s="14" t="str">
        <x:v>No qualifying BBC relationship</x:v>
      </x:c>
      <x:c r="AO760" s="14" t="str">
        <x:v>No</x:v>
      </x:c>
      <x:c r="AP760" s="14" t="str">
        <x:v>Out of scope</x:v>
      </x:c>
      <x:c r="AQ760" s="14" t="str">
        <x:v>No</x:v>
      </x:c>
      <x:c r="AR760" s="14" t="str">
        <x:v>Resolved from master register</x:v>
      </x:c>
      <x:c r="AS760" s="14" t="str">
        <x:v>No established-register match</x:v>
      </x:c>
      <x:c r="AT760" s="14"/>
      <x:c r="AU760" s="14"/>
      <x:c r="AV760" s="14" t="str">
        <x:v>No established apparent-disability match</x:v>
      </x:c>
      <x:c r="AW760" s="14"/>
      <x:c r="AX760" s="14" t="str">
        <x:v>No</x:v>
      </x:c>
      <x:c r="AY760" s="14" t="str">
        <x:v>Unmatched</x:v>
      </x:c>
      <x:c r="AZ760" s="14" t="str">
        <x:v>Final supplied register</x:v>
      </x:c>
      <x:c r="BA760" s="14" t="str">
        <x:v>Absence from the register is not evidence that the performer is not disabled.</x:v>
      </x:c>
      <x:c r="BB760" s="14" t="str">
        <x:v>No established-register match</x:v>
      </x:c>
      <x:c r="BC760" s="14"/>
      <x:c r="BD760" s="14"/>
      <x:c r="BE760" s="14"/>
      <x:c r="BF760" s="14" t="str">
        <x:v>No established apparent-disability match</x:v>
      </x:c>
      <x:c r="BG760" s="14"/>
      <x:c r="BH760" s="14" t="str">
        <x:v>No</x:v>
      </x:c>
      <x:c r="BI760" s="14"/>
      <x:c r="BJ760" s="14"/>
      <x:c r="BK760" s="14"/>
      <x:c r="BL760" s="14" t="str">
        <x:v>Unmatched</x:v>
      </x:c>
      <x:c r="BM760" s="14" t="str">
        <x:v>Final supplied register</x:v>
      </x:c>
      <x:c r="BN760" s="14" t="str">
        <x:v>Absence from the register is not evidence that the performer is not disabled.</x:v>
      </x:c>
      <x:c r="BO760" s="14" t="n">
        <x:v>20</x:v>
      </x:c>
      <x:c r="BP760" s="14" t="str">
        <x:v>Maximum eligible IMDb cast-credit total (20), shared by 4 performer(s); not independently verified as a 2021-only episode total.</x:v>
      </x:c>
      <x:c r="BQ760" s="14" t="str">
        <x:v>Medium</x:v>
      </x:c>
      <x:c r="BR760" s="15" t="n">
        <x:v>1</x:v>
      </x:c>
      <x:c r="BS760" s="16" t="n">
        <x:v>0.05</x:v>
      </x:c>
      <x:c r="BT760" s="14" t="str">
        <x:v>One episode</x:v>
      </x:c>
      <x:c r="BU760" s="14" t="str">
        <x:v>Medium</x:v>
      </x:c>
      <x:c r="BV760" s="14" t="str">
        <x:v>Derived from supplied IMDb episode count and the documented production-total proxy.</x:v>
      </x:c>
      <x:c r="BW760" s="14" t="str">
        <x:v>Unable to determine</x:v>
      </x:c>
      <x:c r="BX760" s="14" t="str">
        <x:v>Supplied cast data establishes the credit and episode presence but does not establish narrative prominence.</x:v>
      </x:c>
      <x:c r="BY760" s="14" t="str">
        <x:v>Supplied IMDb cast-list workbook</x:v>
      </x:c>
      <x:c r="BZ7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0" s="14" t="str">
        <x:v>Not classified</x:v>
      </x:c>
      <x:c r="CB760" s="14" t="str">
        <x:v>Unable to determine</x:v>
      </x:c>
      <x:c r="CC760" s="14" t="str">
        <x:v>Unique</x:v>
      </x:c>
      <x:c r="CD760" s="14" t="str">
        <x:v>None identified</x:v>
      </x:c>
    </x:row>
    <x:row r="761">
      <x:c r="A761" s="14" t="str">
        <x:v>tt11639300|nm1981245|graham true / cedric mervielle</x:v>
      </x:c>
      <x:c r="B761" s="14" t="str">
        <x:v>02</x:v>
      </x:c>
      <x:c r="C761" s="14" t="str">
        <x:v>2021_IMDb_Cast_Lists_Batch_02(1).xlsx</x:v>
      </x:c>
      <x:c r="D761" s="14" t="str">
        <x:v>Grace</x:v>
      </x:c>
      <x:c r="E761" s="14" t="n">
        <x:v>113</x:v>
      </x:c>
      <x:c r="F761" s="14" t="str">
        <x:v>Grace</x:v>
      </x:c>
      <x:c r="G761" s="14" t="str">
        <x:v>tt11639300</x:v>
      </x:c>
      <x:c r="H761" s="14" t="n">
        <x:v>2021</x:v>
      </x:c>
      <x:c r="I761" s="14" t="n">
        <x:v>2023</x:v>
      </x:c>
      <x:c r="J761" s="14" t="str">
        <x:v>Future Carry-Forward Cohort</x:v>
      </x:c>
      <x:c r="K761" s="14" t="n">
        <x:v>2021</x:v>
      </x:c>
      <x:c r="L761" s="14" t="str">
        <x:v>Available from 2021 analysis</x:v>
      </x:c>
      <x:c r="M761" s="15" t="n">
        <x:v>106</x:v>
      </x:c>
      <x:c r="N761" s="14" t="str">
        <x:v>Brendan Patricks</x:v>
      </x:c>
      <x:c r="O761" s="14" t="str">
        <x:v>nm1981245</x:v>
      </x:c>
      <x:c r="P761" s="14" t="str">
        <x:v>Graham True / Cedric Mervielle</x:v>
      </x:c>
      <x:c r="Q761" s="15" t="n">
        <x:v>1</x:v>
      </x:c>
      <x:c r="R761" s="14" t="str">
        <x:v>2024</x:v>
      </x:c>
      <x:c r="S761" s="14" t="n">
        <x:v>2024</x:v>
      </x:c>
      <x:c r="T761" s="14" t="n">
        <x:v>2024</x:v>
      </x:c>
      <x:c r="U761" s="14" t="str">
        <x:v>Post-2021 casting excluded</x:v>
      </x:c>
      <x:c r="V761" s="14" t="str">
        <x:v>Earliest supplied year is 2024, later than the 2021 study year.</x:v>
      </x:c>
      <x:c r="W761" s="14"/>
      <x:c r="X761" s="14" t="str">
        <x:v>Carried forward to 2024</x:v>
      </x:c>
      <x:c r="Y761" s="14"/>
      <x:c r="Z761" s="14" t="str">
        <x:v>Grace.docx</x:v>
      </x:c>
      <x:c r="AA7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1" s="14" t="str">
        <x:v>No established-register match</x:v>
      </x:c>
      <x:c r="AC761" s="14"/>
      <x:c r="AD761" s="14"/>
      <x:c r="AE761" s="14"/>
      <x:c r="AF761" s="14"/>
      <x:c r="AG761" s="14" t="str">
        <x:v>No qualifying conclusion recorded. Absence from the register is not evidence that the performer is not disabled.</x:v>
      </x:c>
      <x:c r="AH761" s="14" t="str">
        <x:v>ITV / ITVX</x:v>
      </x:c>
      <x:c r="AI761" s="14" t="str">
        <x:v>UK original commission</x:v>
      </x:c>
      <x:c r="AJ761" s="14" t="str">
        <x:v>Exact normalised title</x:v>
      </x:c>
      <x:c r="AK761" s="14" t="str">
        <x:v>Medium</x:v>
      </x:c>
      <x:c r="AL761" s="14" t="str">
        <x:v>Verified for commissioner/platform scope; uk original commission.</x:v>
      </x:c>
      <x:c r="AM761" s="17" t="e">
        <x:f>HYPERLINK("https://en.wikipedia.org/wiki/Grace","Open source")</x:f>
        <x:v>HYPERLINK is not implemented. linkLocation=https://en.wikipedia.org/wiki/Grace, friendlyName=Open source</x:v>
      </x:c>
      <x:c r="AN761" s="14" t="str">
        <x:v>No qualifying BBC relationship</x:v>
      </x:c>
      <x:c r="AO761" s="14" t="str">
        <x:v>No</x:v>
      </x:c>
      <x:c r="AP761" s="14" t="str">
        <x:v>Out of scope</x:v>
      </x:c>
      <x:c r="AQ761" s="14" t="str">
        <x:v>No</x:v>
      </x:c>
      <x:c r="AR761" s="14" t="str">
        <x:v>Resolved from master register</x:v>
      </x:c>
      <x:c r="AS761" s="14" t="str">
        <x:v>No established-register match</x:v>
      </x:c>
      <x:c r="AT761" s="14"/>
      <x:c r="AU761" s="14"/>
      <x:c r="AV761" s="14" t="str">
        <x:v>No established apparent-disability match</x:v>
      </x:c>
      <x:c r="AW761" s="14"/>
      <x:c r="AX761" s="14" t="str">
        <x:v>No</x:v>
      </x:c>
      <x:c r="AY761" s="14" t="str">
        <x:v>Unmatched</x:v>
      </x:c>
      <x:c r="AZ761" s="14" t="str">
        <x:v>Final supplied register</x:v>
      </x:c>
      <x:c r="BA761" s="14" t="str">
        <x:v>Absence from the register is not evidence that the performer is not disabled.</x:v>
      </x:c>
      <x:c r="BB761" s="14" t="str">
        <x:v>No established-register match</x:v>
      </x:c>
      <x:c r="BC761" s="14"/>
      <x:c r="BD761" s="14"/>
      <x:c r="BE761" s="14"/>
      <x:c r="BF761" s="14" t="str">
        <x:v>No established apparent-disability match</x:v>
      </x:c>
      <x:c r="BG761" s="14"/>
      <x:c r="BH761" s="14" t="str">
        <x:v>No</x:v>
      </x:c>
      <x:c r="BI761" s="14"/>
      <x:c r="BJ761" s="14"/>
      <x:c r="BK761" s="14"/>
      <x:c r="BL761" s="14" t="str">
        <x:v>Unmatched</x:v>
      </x:c>
      <x:c r="BM761" s="14" t="str">
        <x:v>Final supplied register</x:v>
      </x:c>
      <x:c r="BN761" s="14" t="str">
        <x:v>Absence from the register is not evidence that the performer is not disabled.</x:v>
      </x:c>
      <x:c r="BO761" s="14" t="n">
        <x:v>20</x:v>
      </x:c>
      <x:c r="BP761" s="14" t="str">
        <x:v>Maximum eligible IMDb cast-credit total (20), shared by 4 performer(s); not independently verified as a 2021-only episode total.</x:v>
      </x:c>
      <x:c r="BQ761" s="14" t="str">
        <x:v>Medium</x:v>
      </x:c>
      <x:c r="BR761" s="15" t="n">
        <x:v>1</x:v>
      </x:c>
      <x:c r="BS761" s="16" t="n">
        <x:v>0.05</x:v>
      </x:c>
      <x:c r="BT761" s="14" t="str">
        <x:v>One episode</x:v>
      </x:c>
      <x:c r="BU761" s="14" t="str">
        <x:v>Medium</x:v>
      </x:c>
      <x:c r="BV761" s="14" t="str">
        <x:v>Derived from supplied IMDb episode count and the documented production-total proxy.</x:v>
      </x:c>
      <x:c r="BW761" s="14" t="str">
        <x:v>Unable to determine</x:v>
      </x:c>
      <x:c r="BX761" s="14" t="str">
        <x:v>Supplied cast data establishes the credit and episode presence but does not establish narrative prominence.</x:v>
      </x:c>
      <x:c r="BY761" s="14" t="str">
        <x:v>Supplied IMDb cast-list workbook</x:v>
      </x:c>
      <x:c r="BZ7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1" s="14" t="str">
        <x:v>Not classified</x:v>
      </x:c>
      <x:c r="CB761" s="14" t="str">
        <x:v>Unable to determine</x:v>
      </x:c>
      <x:c r="CC761" s="14" t="str">
        <x:v>Unique</x:v>
      </x:c>
      <x:c r="CD761" s="14" t="str">
        <x:v>None identified</x:v>
      </x:c>
    </x:row>
    <x:row r="762">
      <x:c r="A762" s="14" t="str">
        <x:v>tt11639300|nm3648807|lewis daly</x:v>
      </x:c>
      <x:c r="B762" s="14" t="str">
        <x:v>02</x:v>
      </x:c>
      <x:c r="C762" s="14" t="str">
        <x:v>2021_IMDb_Cast_Lists_Batch_02(1).xlsx</x:v>
      </x:c>
      <x:c r="D762" s="14" t="str">
        <x:v>Grace</x:v>
      </x:c>
      <x:c r="E762" s="14" t="n">
        <x:v>114</x:v>
      </x:c>
      <x:c r="F762" s="14" t="str">
        <x:v>Grace</x:v>
      </x:c>
      <x:c r="G762" s="14" t="str">
        <x:v>tt11639300</x:v>
      </x:c>
      <x:c r="H762" s="14" t="n">
        <x:v>2021</x:v>
      </x:c>
      <x:c r="I762" s="14" t="n">
        <x:v>2023</x:v>
      </x:c>
      <x:c r="J762" s="14" t="str">
        <x:v>Future Carry-Forward Cohort</x:v>
      </x:c>
      <x:c r="K762" s="14" t="n">
        <x:v>2021</x:v>
      </x:c>
      <x:c r="L762" s="14" t="str">
        <x:v>Available from 2021 analysis</x:v>
      </x:c>
      <x:c r="M762" s="15" t="n">
        <x:v>107</x:v>
      </x:c>
      <x:c r="N762" s="14" t="str">
        <x:v>Ash Hunter</x:v>
      </x:c>
      <x:c r="O762" s="14" t="str">
        <x:v>nm3648807</x:v>
      </x:c>
      <x:c r="P762" s="14" t="str">
        <x:v>Lewis Daly</x:v>
      </x:c>
      <x:c r="Q762" s="15" t="n">
        <x:v>1</x:v>
      </x:c>
      <x:c r="R762" s="14" t="str">
        <x:v>2024</x:v>
      </x:c>
      <x:c r="S762" s="14" t="n">
        <x:v>2024</x:v>
      </x:c>
      <x:c r="T762" s="14" t="n">
        <x:v>2024</x:v>
      </x:c>
      <x:c r="U762" s="14" t="str">
        <x:v>Post-2021 casting excluded</x:v>
      </x:c>
      <x:c r="V762" s="14" t="str">
        <x:v>Earliest supplied year is 2024, later than the 2021 study year.</x:v>
      </x:c>
      <x:c r="W762" s="14"/>
      <x:c r="X762" s="14" t="str">
        <x:v>Carried forward to 2024</x:v>
      </x:c>
      <x:c r="Y762" s="14"/>
      <x:c r="Z762" s="14" t="str">
        <x:v>Grace.docx</x:v>
      </x:c>
      <x:c r="AA7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2" s="14" t="str">
        <x:v>No established-register match</x:v>
      </x:c>
      <x:c r="AC762" s="14"/>
      <x:c r="AD762" s="14"/>
      <x:c r="AE762" s="14"/>
      <x:c r="AF762" s="14"/>
      <x:c r="AG762" s="14" t="str">
        <x:v>No qualifying conclusion recorded. Absence from the register is not evidence that the performer is not disabled.</x:v>
      </x:c>
      <x:c r="AH762" s="14" t="str">
        <x:v>ITV / ITVX</x:v>
      </x:c>
      <x:c r="AI762" s="14" t="str">
        <x:v>UK original commission</x:v>
      </x:c>
      <x:c r="AJ762" s="14" t="str">
        <x:v>Exact normalised title</x:v>
      </x:c>
      <x:c r="AK762" s="14" t="str">
        <x:v>Medium</x:v>
      </x:c>
      <x:c r="AL762" s="14" t="str">
        <x:v>Verified for commissioner/platform scope; uk original commission.</x:v>
      </x:c>
      <x:c r="AM762" s="17" t="e">
        <x:f>HYPERLINK("https://en.wikipedia.org/wiki/Grace","Open source")</x:f>
        <x:v>HYPERLINK is not implemented. linkLocation=https://en.wikipedia.org/wiki/Grace, friendlyName=Open source</x:v>
      </x:c>
      <x:c r="AN762" s="14" t="str">
        <x:v>No qualifying BBC relationship</x:v>
      </x:c>
      <x:c r="AO762" s="14" t="str">
        <x:v>No</x:v>
      </x:c>
      <x:c r="AP762" s="14" t="str">
        <x:v>Out of scope</x:v>
      </x:c>
      <x:c r="AQ762" s="14" t="str">
        <x:v>No</x:v>
      </x:c>
      <x:c r="AR762" s="14" t="str">
        <x:v>Resolved from master register</x:v>
      </x:c>
      <x:c r="AS762" s="14" t="str">
        <x:v>No established-register match</x:v>
      </x:c>
      <x:c r="AT762" s="14"/>
      <x:c r="AU762" s="14"/>
      <x:c r="AV762" s="14" t="str">
        <x:v>No established apparent-disability match</x:v>
      </x:c>
      <x:c r="AW762" s="14"/>
      <x:c r="AX762" s="14" t="str">
        <x:v>No</x:v>
      </x:c>
      <x:c r="AY762" s="14" t="str">
        <x:v>Unmatched</x:v>
      </x:c>
      <x:c r="AZ762" s="14" t="str">
        <x:v>Final supplied register</x:v>
      </x:c>
      <x:c r="BA762" s="14" t="str">
        <x:v>Absence from the register is not evidence that the performer is not disabled.</x:v>
      </x:c>
      <x:c r="BB762" s="14" t="str">
        <x:v>No established-register match</x:v>
      </x:c>
      <x:c r="BC762" s="14"/>
      <x:c r="BD762" s="14"/>
      <x:c r="BE762" s="14"/>
      <x:c r="BF762" s="14" t="str">
        <x:v>No established apparent-disability match</x:v>
      </x:c>
      <x:c r="BG762" s="14"/>
      <x:c r="BH762" s="14" t="str">
        <x:v>No</x:v>
      </x:c>
      <x:c r="BI762" s="14"/>
      <x:c r="BJ762" s="14"/>
      <x:c r="BK762" s="14"/>
      <x:c r="BL762" s="14" t="str">
        <x:v>Unmatched</x:v>
      </x:c>
      <x:c r="BM762" s="14" t="str">
        <x:v>Final supplied register</x:v>
      </x:c>
      <x:c r="BN762" s="14" t="str">
        <x:v>Absence from the register is not evidence that the performer is not disabled.</x:v>
      </x:c>
      <x:c r="BO762" s="14" t="n">
        <x:v>20</x:v>
      </x:c>
      <x:c r="BP762" s="14" t="str">
        <x:v>Maximum eligible IMDb cast-credit total (20), shared by 4 performer(s); not independently verified as a 2021-only episode total.</x:v>
      </x:c>
      <x:c r="BQ762" s="14" t="str">
        <x:v>Medium</x:v>
      </x:c>
      <x:c r="BR762" s="15" t="n">
        <x:v>1</x:v>
      </x:c>
      <x:c r="BS762" s="16" t="n">
        <x:v>0.05</x:v>
      </x:c>
      <x:c r="BT762" s="14" t="str">
        <x:v>One episode</x:v>
      </x:c>
      <x:c r="BU762" s="14" t="str">
        <x:v>Medium</x:v>
      </x:c>
      <x:c r="BV762" s="14" t="str">
        <x:v>Derived from supplied IMDb episode count and the documented production-total proxy.</x:v>
      </x:c>
      <x:c r="BW762" s="14" t="str">
        <x:v>Unable to determine</x:v>
      </x:c>
      <x:c r="BX762" s="14" t="str">
        <x:v>Supplied cast data establishes the credit and episode presence but does not establish narrative prominence.</x:v>
      </x:c>
      <x:c r="BY762" s="14" t="str">
        <x:v>Supplied IMDb cast-list workbook</x:v>
      </x:c>
      <x:c r="BZ7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2" s="14" t="str">
        <x:v>Not classified</x:v>
      </x:c>
      <x:c r="CB762" s="14" t="str">
        <x:v>Unable to determine</x:v>
      </x:c>
      <x:c r="CC762" s="14" t="str">
        <x:v>Unique</x:v>
      </x:c>
      <x:c r="CD762" s="14" t="str">
        <x:v>None identified</x:v>
      </x:c>
    </x:row>
    <x:row r="763">
      <x:c r="A763" s="14" t="str">
        <x:v>tt11639300|nm1057489|angi stoner</x:v>
      </x:c>
      <x:c r="B763" s="14" t="str">
        <x:v>02</x:v>
      </x:c>
      <x:c r="C763" s="14" t="str">
        <x:v>2021_IMDb_Cast_Lists_Batch_02(1).xlsx</x:v>
      </x:c>
      <x:c r="D763" s="14" t="str">
        <x:v>Grace</x:v>
      </x:c>
      <x:c r="E763" s="14" t="n">
        <x:v>115</x:v>
      </x:c>
      <x:c r="F763" s="14" t="str">
        <x:v>Grace</x:v>
      </x:c>
      <x:c r="G763" s="14" t="str">
        <x:v>tt11639300</x:v>
      </x:c>
      <x:c r="H763" s="14" t="n">
        <x:v>2021</x:v>
      </x:c>
      <x:c r="I763" s="14" t="n">
        <x:v>2023</x:v>
      </x:c>
      <x:c r="J763" s="14" t="str">
        <x:v>Future Carry-Forward Cohort</x:v>
      </x:c>
      <x:c r="K763" s="14" t="n">
        <x:v>2021</x:v>
      </x:c>
      <x:c r="L763" s="14" t="str">
        <x:v>Available from 2021 analysis</x:v>
      </x:c>
      <x:c r="M763" s="15" t="n">
        <x:v>108</x:v>
      </x:c>
      <x:c r="N763" s="14" t="str">
        <x:v>Marcia Lecky</x:v>
      </x:c>
      <x:c r="O763" s="14" t="str">
        <x:v>nm1057489</x:v>
      </x:c>
      <x:c r="P763" s="14" t="str">
        <x:v>Angi Stoner</x:v>
      </x:c>
      <x:c r="Q763" s="15" t="n">
        <x:v>1</x:v>
      </x:c>
      <x:c r="R763" s="14" t="str">
        <x:v>2024</x:v>
      </x:c>
      <x:c r="S763" s="14" t="n">
        <x:v>2024</x:v>
      </x:c>
      <x:c r="T763" s="14" t="n">
        <x:v>2024</x:v>
      </x:c>
      <x:c r="U763" s="14" t="str">
        <x:v>Post-2021 casting excluded</x:v>
      </x:c>
      <x:c r="V763" s="14" t="str">
        <x:v>Earliest supplied year is 2024, later than the 2021 study year.</x:v>
      </x:c>
      <x:c r="W763" s="14"/>
      <x:c r="X763" s="14" t="str">
        <x:v>Carried forward to 2024</x:v>
      </x:c>
      <x:c r="Y763" s="14"/>
      <x:c r="Z763" s="14" t="str">
        <x:v>Grace.docx</x:v>
      </x:c>
      <x:c r="AA7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3" s="14" t="str">
        <x:v>No established-register match</x:v>
      </x:c>
      <x:c r="AC763" s="14"/>
      <x:c r="AD763" s="14"/>
      <x:c r="AE763" s="14"/>
      <x:c r="AF763" s="14"/>
      <x:c r="AG763" s="14" t="str">
        <x:v>No qualifying conclusion recorded. Absence from the register is not evidence that the performer is not disabled.</x:v>
      </x:c>
      <x:c r="AH763" s="14" t="str">
        <x:v>ITV / ITVX</x:v>
      </x:c>
      <x:c r="AI763" s="14" t="str">
        <x:v>UK original commission</x:v>
      </x:c>
      <x:c r="AJ763" s="14" t="str">
        <x:v>Exact normalised title</x:v>
      </x:c>
      <x:c r="AK763" s="14" t="str">
        <x:v>Medium</x:v>
      </x:c>
      <x:c r="AL763" s="14" t="str">
        <x:v>Verified for commissioner/platform scope; uk original commission.</x:v>
      </x:c>
      <x:c r="AM763" s="17" t="e">
        <x:f>HYPERLINK("https://en.wikipedia.org/wiki/Grace","Open source")</x:f>
        <x:v>HYPERLINK is not implemented. linkLocation=https://en.wikipedia.org/wiki/Grace, friendlyName=Open source</x:v>
      </x:c>
      <x:c r="AN763" s="14" t="str">
        <x:v>No qualifying BBC relationship</x:v>
      </x:c>
      <x:c r="AO763" s="14" t="str">
        <x:v>No</x:v>
      </x:c>
      <x:c r="AP763" s="14" t="str">
        <x:v>Out of scope</x:v>
      </x:c>
      <x:c r="AQ763" s="14" t="str">
        <x:v>No</x:v>
      </x:c>
      <x:c r="AR763" s="14" t="str">
        <x:v>Resolved from master register</x:v>
      </x:c>
      <x:c r="AS763" s="14" t="str">
        <x:v>No established-register match</x:v>
      </x:c>
      <x:c r="AT763" s="14"/>
      <x:c r="AU763" s="14"/>
      <x:c r="AV763" s="14" t="str">
        <x:v>No established apparent-disability match</x:v>
      </x:c>
      <x:c r="AW763" s="14"/>
      <x:c r="AX763" s="14" t="str">
        <x:v>No</x:v>
      </x:c>
      <x:c r="AY763" s="14" t="str">
        <x:v>Unmatched</x:v>
      </x:c>
      <x:c r="AZ763" s="14" t="str">
        <x:v>Final supplied register</x:v>
      </x:c>
      <x:c r="BA763" s="14" t="str">
        <x:v>Absence from the register is not evidence that the performer is not disabled.</x:v>
      </x:c>
      <x:c r="BB763" s="14" t="str">
        <x:v>No established-register match</x:v>
      </x:c>
      <x:c r="BC763" s="14"/>
      <x:c r="BD763" s="14"/>
      <x:c r="BE763" s="14"/>
      <x:c r="BF763" s="14" t="str">
        <x:v>No established apparent-disability match</x:v>
      </x:c>
      <x:c r="BG763" s="14"/>
      <x:c r="BH763" s="14" t="str">
        <x:v>No</x:v>
      </x:c>
      <x:c r="BI763" s="14"/>
      <x:c r="BJ763" s="14"/>
      <x:c r="BK763" s="14"/>
      <x:c r="BL763" s="14" t="str">
        <x:v>Unmatched</x:v>
      </x:c>
      <x:c r="BM763" s="14" t="str">
        <x:v>Final supplied register</x:v>
      </x:c>
      <x:c r="BN763" s="14" t="str">
        <x:v>Absence from the register is not evidence that the performer is not disabled.</x:v>
      </x:c>
      <x:c r="BO763" s="14" t="n">
        <x:v>20</x:v>
      </x:c>
      <x:c r="BP763" s="14" t="str">
        <x:v>Maximum eligible IMDb cast-credit total (20), shared by 4 performer(s); not independently verified as a 2021-only episode total.</x:v>
      </x:c>
      <x:c r="BQ763" s="14" t="str">
        <x:v>Medium</x:v>
      </x:c>
      <x:c r="BR763" s="15" t="n">
        <x:v>1</x:v>
      </x:c>
      <x:c r="BS763" s="16" t="n">
        <x:v>0.05</x:v>
      </x:c>
      <x:c r="BT763" s="14" t="str">
        <x:v>One episode</x:v>
      </x:c>
      <x:c r="BU763" s="14" t="str">
        <x:v>Medium</x:v>
      </x:c>
      <x:c r="BV763" s="14" t="str">
        <x:v>Derived from supplied IMDb episode count and the documented production-total proxy.</x:v>
      </x:c>
      <x:c r="BW763" s="14" t="str">
        <x:v>Unable to determine</x:v>
      </x:c>
      <x:c r="BX763" s="14" t="str">
        <x:v>Supplied cast data establishes the credit and episode presence but does not establish narrative prominence.</x:v>
      </x:c>
      <x:c r="BY763" s="14" t="str">
        <x:v>Supplied IMDb cast-list workbook</x:v>
      </x:c>
      <x:c r="BZ7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3" s="14" t="str">
        <x:v>Not classified</x:v>
      </x:c>
      <x:c r="CB763" s="14" t="str">
        <x:v>Unable to determine</x:v>
      </x:c>
      <x:c r="CC763" s="14" t="str">
        <x:v>Unique</x:v>
      </x:c>
      <x:c r="CD763" s="14" t="str">
        <x:v>None identified</x:v>
      </x:c>
    </x:row>
    <x:row r="764">
      <x:c r="A764" s="14" t="str">
        <x:v>tt11639300|nm0998499|harrison hunter</x:v>
      </x:c>
      <x:c r="B764" s="14" t="str">
        <x:v>02</x:v>
      </x:c>
      <x:c r="C764" s="14" t="str">
        <x:v>2021_IMDb_Cast_Lists_Batch_02(1).xlsx</x:v>
      </x:c>
      <x:c r="D764" s="14" t="str">
        <x:v>Grace</x:v>
      </x:c>
      <x:c r="E764" s="14" t="n">
        <x:v>126</x:v>
      </x:c>
      <x:c r="F764" s="14" t="str">
        <x:v>Grace</x:v>
      </x:c>
      <x:c r="G764" s="14" t="str">
        <x:v>tt11639300</x:v>
      </x:c>
      <x:c r="H764" s="14" t="n">
        <x:v>2021</x:v>
      </x:c>
      <x:c r="I764" s="14" t="n">
        <x:v>2023</x:v>
      </x:c>
      <x:c r="J764" s="14" t="str">
        <x:v>Future Carry-Forward Cohort</x:v>
      </x:c>
      <x:c r="K764" s="14" t="n">
        <x:v>2021</x:v>
      </x:c>
      <x:c r="L764" s="14" t="str">
        <x:v>Available from 2021 analysis</x:v>
      </x:c>
      <x:c r="M764" s="15" t="n">
        <x:v>119</x:v>
      </x:c>
      <x:c r="N764" s="14" t="str">
        <x:v>Jason Thorpe</x:v>
      </x:c>
      <x:c r="O764" s="14" t="str">
        <x:v>nm0998499</x:v>
      </x:c>
      <x:c r="P764" s="14" t="str">
        <x:v>Harrison Hunter</x:v>
      </x:c>
      <x:c r="Q764" s="15" t="n">
        <x:v>1</x:v>
      </x:c>
      <x:c r="R764" s="14" t="str">
        <x:v>2024</x:v>
      </x:c>
      <x:c r="S764" s="14" t="n">
        <x:v>2024</x:v>
      </x:c>
      <x:c r="T764" s="14" t="n">
        <x:v>2024</x:v>
      </x:c>
      <x:c r="U764" s="14" t="str">
        <x:v>Post-2021 casting excluded</x:v>
      </x:c>
      <x:c r="V764" s="14" t="str">
        <x:v>Earliest supplied year is 2024, later than the 2021 study year.</x:v>
      </x:c>
      <x:c r="W764" s="14"/>
      <x:c r="X764" s="14" t="str">
        <x:v>Carried forward to 2024</x:v>
      </x:c>
      <x:c r="Y764" s="14"/>
      <x:c r="Z764" s="14" t="str">
        <x:v>Grace.docx</x:v>
      </x:c>
      <x:c r="AA7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4" s="14" t="str">
        <x:v>No established-register match</x:v>
      </x:c>
      <x:c r="AC764" s="14"/>
      <x:c r="AD764" s="14"/>
      <x:c r="AE764" s="14"/>
      <x:c r="AF764" s="14"/>
      <x:c r="AG764" s="14" t="str">
        <x:v>No qualifying conclusion recorded. Absence from the register is not evidence that the performer is not disabled.</x:v>
      </x:c>
      <x:c r="AH764" s="14" t="str">
        <x:v>ITV / ITVX</x:v>
      </x:c>
      <x:c r="AI764" s="14" t="str">
        <x:v>UK original commission</x:v>
      </x:c>
      <x:c r="AJ764" s="14" t="str">
        <x:v>Exact normalised title</x:v>
      </x:c>
      <x:c r="AK764" s="14" t="str">
        <x:v>Medium</x:v>
      </x:c>
      <x:c r="AL764" s="14" t="str">
        <x:v>Verified for commissioner/platform scope; uk original commission.</x:v>
      </x:c>
      <x:c r="AM764" s="17" t="e">
        <x:f>HYPERLINK("https://en.wikipedia.org/wiki/Grace","Open source")</x:f>
        <x:v>HYPERLINK is not implemented. linkLocation=https://en.wikipedia.org/wiki/Grace, friendlyName=Open source</x:v>
      </x:c>
      <x:c r="AN764" s="14" t="str">
        <x:v>No qualifying BBC relationship</x:v>
      </x:c>
      <x:c r="AO764" s="14" t="str">
        <x:v>No</x:v>
      </x:c>
      <x:c r="AP764" s="14" t="str">
        <x:v>Out of scope</x:v>
      </x:c>
      <x:c r="AQ764" s="14" t="str">
        <x:v>No</x:v>
      </x:c>
      <x:c r="AR764" s="14" t="str">
        <x:v>Resolved from master register</x:v>
      </x:c>
      <x:c r="AS764" s="14" t="str">
        <x:v>No established-register match</x:v>
      </x:c>
      <x:c r="AT764" s="14"/>
      <x:c r="AU764" s="14"/>
      <x:c r="AV764" s="14" t="str">
        <x:v>No established apparent-disability match</x:v>
      </x:c>
      <x:c r="AW764" s="14"/>
      <x:c r="AX764" s="14" t="str">
        <x:v>No</x:v>
      </x:c>
      <x:c r="AY764" s="14" t="str">
        <x:v>Unmatched</x:v>
      </x:c>
      <x:c r="AZ764" s="14" t="str">
        <x:v>Final supplied register</x:v>
      </x:c>
      <x:c r="BA764" s="14" t="str">
        <x:v>Absence from the register is not evidence that the performer is not disabled.</x:v>
      </x:c>
      <x:c r="BB764" s="14" t="str">
        <x:v>No established-register match</x:v>
      </x:c>
      <x:c r="BC764" s="14"/>
      <x:c r="BD764" s="14"/>
      <x:c r="BE764" s="14"/>
      <x:c r="BF764" s="14" t="str">
        <x:v>No established apparent-disability match</x:v>
      </x:c>
      <x:c r="BG764" s="14"/>
      <x:c r="BH764" s="14" t="str">
        <x:v>No</x:v>
      </x:c>
      <x:c r="BI764" s="14"/>
      <x:c r="BJ764" s="14"/>
      <x:c r="BK764" s="14"/>
      <x:c r="BL764" s="14" t="str">
        <x:v>Unmatched</x:v>
      </x:c>
      <x:c r="BM764" s="14" t="str">
        <x:v>Final supplied register</x:v>
      </x:c>
      <x:c r="BN764" s="14" t="str">
        <x:v>Absence from the register is not evidence that the performer is not disabled.</x:v>
      </x:c>
      <x:c r="BO764" s="14" t="n">
        <x:v>20</x:v>
      </x:c>
      <x:c r="BP764" s="14" t="str">
        <x:v>Maximum eligible IMDb cast-credit total (20), shared by 4 performer(s); not independently verified as a 2021-only episode total.</x:v>
      </x:c>
      <x:c r="BQ764" s="14" t="str">
        <x:v>Medium</x:v>
      </x:c>
      <x:c r="BR764" s="15" t="n">
        <x:v>1</x:v>
      </x:c>
      <x:c r="BS764" s="16" t="n">
        <x:v>0.05</x:v>
      </x:c>
      <x:c r="BT764" s="14" t="str">
        <x:v>One episode</x:v>
      </x:c>
      <x:c r="BU764" s="14" t="str">
        <x:v>Medium</x:v>
      </x:c>
      <x:c r="BV764" s="14" t="str">
        <x:v>Derived from supplied IMDb episode count and the documented production-total proxy.</x:v>
      </x:c>
      <x:c r="BW764" s="14" t="str">
        <x:v>Unable to determine</x:v>
      </x:c>
      <x:c r="BX764" s="14" t="str">
        <x:v>Supplied cast data establishes the credit and episode presence but does not establish narrative prominence.</x:v>
      </x:c>
      <x:c r="BY764" s="14" t="str">
        <x:v>Supplied IMDb cast-list workbook</x:v>
      </x:c>
      <x:c r="BZ7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4" s="14" t="str">
        <x:v>Not classified</x:v>
      </x:c>
      <x:c r="CB764" s="14" t="str">
        <x:v>Unable to determine</x:v>
      </x:c>
      <x:c r="CC764" s="14" t="str">
        <x:v>Unique</x:v>
      </x:c>
      <x:c r="CD764" s="14" t="str">
        <x:v>None identified</x:v>
      </x:c>
    </x:row>
    <x:row r="765">
      <x:c r="A765" s="14" t="str">
        <x:v>tt11639300|nm6239893|dr. andrews</x:v>
      </x:c>
      <x:c r="B765" s="14" t="str">
        <x:v>02</x:v>
      </x:c>
      <x:c r="C765" s="14" t="str">
        <x:v>2021_IMDb_Cast_Lists_Batch_02(1).xlsx</x:v>
      </x:c>
      <x:c r="D765" s="14" t="str">
        <x:v>Grace</x:v>
      </x:c>
      <x:c r="E765" s="14" t="n">
        <x:v>127</x:v>
      </x:c>
      <x:c r="F765" s="14" t="str">
        <x:v>Grace</x:v>
      </x:c>
      <x:c r="G765" s="14" t="str">
        <x:v>tt11639300</x:v>
      </x:c>
      <x:c r="H765" s="14" t="n">
        <x:v>2021</x:v>
      </x:c>
      <x:c r="I765" s="14" t="n">
        <x:v>2023</x:v>
      </x:c>
      <x:c r="J765" s="14" t="str">
        <x:v>Future Carry-Forward Cohort</x:v>
      </x:c>
      <x:c r="K765" s="14" t="n">
        <x:v>2021</x:v>
      </x:c>
      <x:c r="L765" s="14" t="str">
        <x:v>Available from 2021 analysis</x:v>
      </x:c>
      <x:c r="M765" s="15" t="n">
        <x:v>120</x:v>
      </x:c>
      <x:c r="N765" s="14" t="str">
        <x:v>Miranda Heath</x:v>
      </x:c>
      <x:c r="O765" s="14" t="str">
        <x:v>nm6239893</x:v>
      </x:c>
      <x:c r="P765" s="14" t="str">
        <x:v>Dr. Andrews</x:v>
      </x:c>
      <x:c r="Q765" s="15" t="n">
        <x:v>1</x:v>
      </x:c>
      <x:c r="R765" s="14" t="str">
        <x:v>2024</x:v>
      </x:c>
      <x:c r="S765" s="14" t="n">
        <x:v>2024</x:v>
      </x:c>
      <x:c r="T765" s="14" t="n">
        <x:v>2024</x:v>
      </x:c>
      <x:c r="U765" s="14" t="str">
        <x:v>Post-2021 casting excluded</x:v>
      </x:c>
      <x:c r="V765" s="14" t="str">
        <x:v>Earliest supplied year is 2024, later than the 2021 study year.</x:v>
      </x:c>
      <x:c r="W765" s="14"/>
      <x:c r="X765" s="14" t="str">
        <x:v>Carried forward to 2024</x:v>
      </x:c>
      <x:c r="Y765" s="14" t="str">
        <x:v>(credit only)</x:v>
      </x:c>
      <x:c r="Z765" s="14" t="str">
        <x:v>Grace.docx</x:v>
      </x:c>
      <x:c r="AA7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5" s="14" t="str">
        <x:v>No established-register match</x:v>
      </x:c>
      <x:c r="AC765" s="14"/>
      <x:c r="AD765" s="14"/>
      <x:c r="AE765" s="14"/>
      <x:c r="AF765" s="14"/>
      <x:c r="AG765" s="14" t="str">
        <x:v>No qualifying conclusion recorded. Absence from the register is not evidence that the performer is not disabled.</x:v>
      </x:c>
      <x:c r="AH765" s="14" t="str">
        <x:v>ITV / ITVX</x:v>
      </x:c>
      <x:c r="AI765" s="14" t="str">
        <x:v>UK original commission</x:v>
      </x:c>
      <x:c r="AJ765" s="14" t="str">
        <x:v>Exact normalised title</x:v>
      </x:c>
      <x:c r="AK765" s="14" t="str">
        <x:v>Medium</x:v>
      </x:c>
      <x:c r="AL765" s="14" t="str">
        <x:v>Verified for commissioner/platform scope; uk original commission.</x:v>
      </x:c>
      <x:c r="AM765" s="17" t="e">
        <x:f>HYPERLINK("https://en.wikipedia.org/wiki/Grace","Open source")</x:f>
        <x:v>HYPERLINK is not implemented. linkLocation=https://en.wikipedia.org/wiki/Grace, friendlyName=Open source</x:v>
      </x:c>
      <x:c r="AN765" s="14" t="str">
        <x:v>No qualifying BBC relationship</x:v>
      </x:c>
      <x:c r="AO765" s="14" t="str">
        <x:v>No</x:v>
      </x:c>
      <x:c r="AP765" s="14" t="str">
        <x:v>Out of scope</x:v>
      </x:c>
      <x:c r="AQ765" s="14" t="str">
        <x:v>No</x:v>
      </x:c>
      <x:c r="AR765" s="14" t="str">
        <x:v>Resolved from master register</x:v>
      </x:c>
      <x:c r="AS765" s="14" t="str">
        <x:v>No established-register match</x:v>
      </x:c>
      <x:c r="AT765" s="14"/>
      <x:c r="AU765" s="14"/>
      <x:c r="AV765" s="14" t="str">
        <x:v>No established apparent-disability match</x:v>
      </x:c>
      <x:c r="AW765" s="14"/>
      <x:c r="AX765" s="14" t="str">
        <x:v>No</x:v>
      </x:c>
      <x:c r="AY765" s="14" t="str">
        <x:v>Unmatched</x:v>
      </x:c>
      <x:c r="AZ765" s="14" t="str">
        <x:v>Final supplied register</x:v>
      </x:c>
      <x:c r="BA765" s="14" t="str">
        <x:v>Absence from the register is not evidence that the performer is not disabled.</x:v>
      </x:c>
      <x:c r="BB765" s="14" t="str">
        <x:v>No established-register match</x:v>
      </x:c>
      <x:c r="BC765" s="14"/>
      <x:c r="BD765" s="14"/>
      <x:c r="BE765" s="14"/>
      <x:c r="BF765" s="14" t="str">
        <x:v>No established apparent-disability match</x:v>
      </x:c>
      <x:c r="BG765" s="14"/>
      <x:c r="BH765" s="14" t="str">
        <x:v>No</x:v>
      </x:c>
      <x:c r="BI765" s="14"/>
      <x:c r="BJ765" s="14"/>
      <x:c r="BK765" s="14"/>
      <x:c r="BL765" s="14" t="str">
        <x:v>Unmatched</x:v>
      </x:c>
      <x:c r="BM765" s="14" t="str">
        <x:v>Final supplied register</x:v>
      </x:c>
      <x:c r="BN765" s="14" t="str">
        <x:v>Absence from the register is not evidence that the performer is not disabled.</x:v>
      </x:c>
      <x:c r="BO765" s="14" t="n">
        <x:v>20</x:v>
      </x:c>
      <x:c r="BP765" s="14" t="str">
        <x:v>Maximum eligible IMDb cast-credit total (20), shared by 4 performer(s); not independently verified as a 2021-only episode total.</x:v>
      </x:c>
      <x:c r="BQ765" s="14" t="str">
        <x:v>Medium</x:v>
      </x:c>
      <x:c r="BR765" s="15" t="n">
        <x:v>1</x:v>
      </x:c>
      <x:c r="BS765" s="16" t="n">
        <x:v>0.05</x:v>
      </x:c>
      <x:c r="BT765" s="14" t="str">
        <x:v>One episode</x:v>
      </x:c>
      <x:c r="BU765" s="14" t="str">
        <x:v>Medium</x:v>
      </x:c>
      <x:c r="BV765" s="14" t="str">
        <x:v>Derived from supplied IMDb episode count and the documented production-total proxy.</x:v>
      </x:c>
      <x:c r="BW765" s="14" t="str">
        <x:v>Unable to determine</x:v>
      </x:c>
      <x:c r="BX765" s="14" t="str">
        <x:v>Supplied cast data establishes the credit and episode presence but does not establish narrative prominence.</x:v>
      </x:c>
      <x:c r="BY765" s="14" t="str">
        <x:v>Supplied IMDb cast-list workbook</x:v>
      </x:c>
      <x:c r="BZ7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5" s="14" t="str">
        <x:v>Not classified</x:v>
      </x:c>
      <x:c r="CB765" s="14" t="str">
        <x:v>Unable to determine</x:v>
      </x:c>
      <x:c r="CC765" s="14" t="str">
        <x:v>Unique</x:v>
      </x:c>
      <x:c r="CD765" s="14" t="str">
        <x:v>None identified</x:v>
      </x:c>
    </x:row>
    <x:row r="766">
      <x:c r="A766" s="14" t="str">
        <x:v>tt11639300|nm0928894|felix gore parker</x:v>
      </x:c>
      <x:c r="B766" s="14" t="str">
        <x:v>02</x:v>
      </x:c>
      <x:c r="C766" s="14" t="str">
        <x:v>2021_IMDb_Cast_Lists_Batch_02(1).xlsx</x:v>
      </x:c>
      <x:c r="D766" s="14" t="str">
        <x:v>Grace</x:v>
      </x:c>
      <x:c r="E766" s="14" t="n">
        <x:v>138</x:v>
      </x:c>
      <x:c r="F766" s="14" t="str">
        <x:v>Grace</x:v>
      </x:c>
      <x:c r="G766" s="14" t="str">
        <x:v>tt11639300</x:v>
      </x:c>
      <x:c r="H766" s="14" t="n">
        <x:v>2021</x:v>
      </x:c>
      <x:c r="I766" s="14" t="n">
        <x:v>2023</x:v>
      </x:c>
      <x:c r="J766" s="14" t="str">
        <x:v>Future Carry-Forward Cohort</x:v>
      </x:c>
      <x:c r="K766" s="14" t="n">
        <x:v>2021</x:v>
      </x:c>
      <x:c r="L766" s="14" t="str">
        <x:v>Available from 2021 analysis</x:v>
      </x:c>
      <x:c r="M766" s="15" t="n">
        <x:v>131</x:v>
      </x:c>
      <x:c r="N766" s="14" t="str">
        <x:v>Robert Wilfort</x:v>
      </x:c>
      <x:c r="O766" s="14" t="str">
        <x:v>nm0928894</x:v>
      </x:c>
      <x:c r="P766" s="14" t="str">
        <x:v>Felix Gore Parker</x:v>
      </x:c>
      <x:c r="Q766" s="15" t="n">
        <x:v>1</x:v>
      </x:c>
      <x:c r="R766" s="14" t="str">
        <x:v>2024</x:v>
      </x:c>
      <x:c r="S766" s="14" t="n">
        <x:v>2024</x:v>
      </x:c>
      <x:c r="T766" s="14" t="n">
        <x:v>2024</x:v>
      </x:c>
      <x:c r="U766" s="14" t="str">
        <x:v>Post-2021 casting excluded</x:v>
      </x:c>
      <x:c r="V766" s="14" t="str">
        <x:v>Earliest supplied year is 2024, later than the 2021 study year.</x:v>
      </x:c>
      <x:c r="W766" s="14"/>
      <x:c r="X766" s="14" t="str">
        <x:v>Carried forward to 2024</x:v>
      </x:c>
      <x:c r="Y766" s="14"/>
      <x:c r="Z766" s="14" t="str">
        <x:v>Grace.docx</x:v>
      </x:c>
      <x:c r="AA7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6" s="14" t="str">
        <x:v>No established-register match</x:v>
      </x:c>
      <x:c r="AC766" s="14"/>
      <x:c r="AD766" s="14"/>
      <x:c r="AE766" s="14"/>
      <x:c r="AF766" s="14"/>
      <x:c r="AG766" s="14" t="str">
        <x:v>No qualifying conclusion recorded. Absence from the register is not evidence that the performer is not disabled.</x:v>
      </x:c>
      <x:c r="AH766" s="14" t="str">
        <x:v>ITV / ITVX</x:v>
      </x:c>
      <x:c r="AI766" s="14" t="str">
        <x:v>UK original commission</x:v>
      </x:c>
      <x:c r="AJ766" s="14" t="str">
        <x:v>Exact normalised title</x:v>
      </x:c>
      <x:c r="AK766" s="14" t="str">
        <x:v>Medium</x:v>
      </x:c>
      <x:c r="AL766" s="14" t="str">
        <x:v>Verified for commissioner/platform scope; uk original commission.</x:v>
      </x:c>
      <x:c r="AM766" s="17" t="e">
        <x:f>HYPERLINK("https://en.wikipedia.org/wiki/Grace","Open source")</x:f>
        <x:v>HYPERLINK is not implemented. linkLocation=https://en.wikipedia.org/wiki/Grace, friendlyName=Open source</x:v>
      </x:c>
      <x:c r="AN766" s="14" t="str">
        <x:v>No qualifying BBC relationship</x:v>
      </x:c>
      <x:c r="AO766" s="14" t="str">
        <x:v>No</x:v>
      </x:c>
      <x:c r="AP766" s="14" t="str">
        <x:v>Out of scope</x:v>
      </x:c>
      <x:c r="AQ766" s="14" t="str">
        <x:v>No</x:v>
      </x:c>
      <x:c r="AR766" s="14" t="str">
        <x:v>Resolved from master register</x:v>
      </x:c>
      <x:c r="AS766" s="14" t="str">
        <x:v>No established-register match</x:v>
      </x:c>
      <x:c r="AT766" s="14"/>
      <x:c r="AU766" s="14"/>
      <x:c r="AV766" s="14" t="str">
        <x:v>No established apparent-disability match</x:v>
      </x:c>
      <x:c r="AW766" s="14"/>
      <x:c r="AX766" s="14" t="str">
        <x:v>No</x:v>
      </x:c>
      <x:c r="AY766" s="14" t="str">
        <x:v>Unmatched</x:v>
      </x:c>
      <x:c r="AZ766" s="14" t="str">
        <x:v>Final supplied register</x:v>
      </x:c>
      <x:c r="BA766" s="14" t="str">
        <x:v>Absence from the register is not evidence that the performer is not disabled.</x:v>
      </x:c>
      <x:c r="BB766" s="14" t="str">
        <x:v>No established-register match</x:v>
      </x:c>
      <x:c r="BC766" s="14"/>
      <x:c r="BD766" s="14"/>
      <x:c r="BE766" s="14"/>
      <x:c r="BF766" s="14" t="str">
        <x:v>No established apparent-disability match</x:v>
      </x:c>
      <x:c r="BG766" s="14"/>
      <x:c r="BH766" s="14" t="str">
        <x:v>No</x:v>
      </x:c>
      <x:c r="BI766" s="14"/>
      <x:c r="BJ766" s="14"/>
      <x:c r="BK766" s="14"/>
      <x:c r="BL766" s="14" t="str">
        <x:v>Unmatched</x:v>
      </x:c>
      <x:c r="BM766" s="14" t="str">
        <x:v>Final supplied register</x:v>
      </x:c>
      <x:c r="BN766" s="14" t="str">
        <x:v>Absence from the register is not evidence that the performer is not disabled.</x:v>
      </x:c>
      <x:c r="BO766" s="14" t="n">
        <x:v>20</x:v>
      </x:c>
      <x:c r="BP766" s="14" t="str">
        <x:v>Maximum eligible IMDb cast-credit total (20), shared by 4 performer(s); not independently verified as a 2021-only episode total.</x:v>
      </x:c>
      <x:c r="BQ766" s="14" t="str">
        <x:v>Medium</x:v>
      </x:c>
      <x:c r="BR766" s="15" t="n">
        <x:v>1</x:v>
      </x:c>
      <x:c r="BS766" s="16" t="n">
        <x:v>0.05</x:v>
      </x:c>
      <x:c r="BT766" s="14" t="str">
        <x:v>One episode</x:v>
      </x:c>
      <x:c r="BU766" s="14" t="str">
        <x:v>Medium</x:v>
      </x:c>
      <x:c r="BV766" s="14" t="str">
        <x:v>Derived from supplied IMDb episode count and the documented production-total proxy.</x:v>
      </x:c>
      <x:c r="BW766" s="14" t="str">
        <x:v>Unable to determine</x:v>
      </x:c>
      <x:c r="BX766" s="14" t="str">
        <x:v>Supplied cast data establishes the credit and episode presence but does not establish narrative prominence.</x:v>
      </x:c>
      <x:c r="BY766" s="14" t="str">
        <x:v>Supplied IMDb cast-list workbook</x:v>
      </x:c>
      <x:c r="BZ7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6" s="14" t="str">
        <x:v>Not classified</x:v>
      </x:c>
      <x:c r="CB766" s="14" t="str">
        <x:v>Unable to determine</x:v>
      </x:c>
      <x:c r="CC766" s="14" t="str">
        <x:v>Unique</x:v>
      </x:c>
      <x:c r="CD766" s="14" t="str">
        <x:v>None identified</x:v>
      </x:c>
    </x:row>
    <x:row r="767">
      <x:c r="A767" s="14" t="str">
        <x:v>tt11639300|nm1035206|mole / crisp</x:v>
      </x:c>
      <x:c r="B767" s="14" t="str">
        <x:v>02</x:v>
      </x:c>
      <x:c r="C767" s="14" t="str">
        <x:v>2021_IMDb_Cast_Lists_Batch_02(1).xlsx</x:v>
      </x:c>
      <x:c r="D767" s="14" t="str">
        <x:v>Grace</x:v>
      </x:c>
      <x:c r="E767" s="14" t="n">
        <x:v>146</x:v>
      </x:c>
      <x:c r="F767" s="14" t="str">
        <x:v>Grace</x:v>
      </x:c>
      <x:c r="G767" s="14" t="str">
        <x:v>tt11639300</x:v>
      </x:c>
      <x:c r="H767" s="14" t="n">
        <x:v>2021</x:v>
      </x:c>
      <x:c r="I767" s="14" t="n">
        <x:v>2023</x:v>
      </x:c>
      <x:c r="J767" s="14" t="str">
        <x:v>Future Carry-Forward Cohort</x:v>
      </x:c>
      <x:c r="K767" s="14" t="n">
        <x:v>2021</x:v>
      </x:c>
      <x:c r="L767" s="14" t="str">
        <x:v>Available from 2021 analysis</x:v>
      </x:c>
      <x:c r="M767" s="15" t="n">
        <x:v>139</x:v>
      </x:c>
      <x:c r="N767" s="14" t="str">
        <x:v>Keir Charles</x:v>
      </x:c>
      <x:c r="O767" s="14" t="str">
        <x:v>nm1035206</x:v>
      </x:c>
      <x:c r="P767" s="14" t="str">
        <x:v>Mole / Crisp</x:v>
      </x:c>
      <x:c r="Q767" s="15" t="n">
        <x:v>1</x:v>
      </x:c>
      <x:c r="R767" s="14" t="str">
        <x:v>2024</x:v>
      </x:c>
      <x:c r="S767" s="14" t="n">
        <x:v>2024</x:v>
      </x:c>
      <x:c r="T767" s="14" t="n">
        <x:v>2024</x:v>
      </x:c>
      <x:c r="U767" s="14" t="str">
        <x:v>Post-2021 casting excluded</x:v>
      </x:c>
      <x:c r="V767" s="14" t="str">
        <x:v>Earliest supplied year is 2024, later than the 2021 study year.</x:v>
      </x:c>
      <x:c r="W767" s="14"/>
      <x:c r="X767" s="14" t="str">
        <x:v>Carried forward to 2024</x:v>
      </x:c>
      <x:c r="Y767" s="14"/>
      <x:c r="Z767" s="14" t="str">
        <x:v>Grace.docx</x:v>
      </x:c>
      <x:c r="AA7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7" s="14" t="str">
        <x:v>No established-register match</x:v>
      </x:c>
      <x:c r="AC767" s="14"/>
      <x:c r="AD767" s="14"/>
      <x:c r="AE767" s="14"/>
      <x:c r="AF767" s="14"/>
      <x:c r="AG767" s="14" t="str">
        <x:v>No qualifying conclusion recorded. Absence from the register is not evidence that the performer is not disabled.</x:v>
      </x:c>
      <x:c r="AH767" s="14" t="str">
        <x:v>ITV / ITVX</x:v>
      </x:c>
      <x:c r="AI767" s="14" t="str">
        <x:v>UK original commission</x:v>
      </x:c>
      <x:c r="AJ767" s="14" t="str">
        <x:v>Exact normalised title</x:v>
      </x:c>
      <x:c r="AK767" s="14" t="str">
        <x:v>Medium</x:v>
      </x:c>
      <x:c r="AL767" s="14" t="str">
        <x:v>Verified for commissioner/platform scope; uk original commission.</x:v>
      </x:c>
      <x:c r="AM767" s="17" t="e">
        <x:f>HYPERLINK("https://en.wikipedia.org/wiki/Grace","Open source")</x:f>
        <x:v>HYPERLINK is not implemented. linkLocation=https://en.wikipedia.org/wiki/Grace, friendlyName=Open source</x:v>
      </x:c>
      <x:c r="AN767" s="14" t="str">
        <x:v>No qualifying BBC relationship</x:v>
      </x:c>
      <x:c r="AO767" s="14" t="str">
        <x:v>No</x:v>
      </x:c>
      <x:c r="AP767" s="14" t="str">
        <x:v>Out of scope</x:v>
      </x:c>
      <x:c r="AQ767" s="14" t="str">
        <x:v>No</x:v>
      </x:c>
      <x:c r="AR767" s="14" t="str">
        <x:v>Resolved from master register</x:v>
      </x:c>
      <x:c r="AS767" s="14" t="str">
        <x:v>No established-register match</x:v>
      </x:c>
      <x:c r="AT767" s="14"/>
      <x:c r="AU767" s="14"/>
      <x:c r="AV767" s="14" t="str">
        <x:v>No established apparent-disability match</x:v>
      </x:c>
      <x:c r="AW767" s="14"/>
      <x:c r="AX767" s="14" t="str">
        <x:v>No</x:v>
      </x:c>
      <x:c r="AY767" s="14" t="str">
        <x:v>Unmatched</x:v>
      </x:c>
      <x:c r="AZ767" s="14" t="str">
        <x:v>Final supplied register</x:v>
      </x:c>
      <x:c r="BA767" s="14" t="str">
        <x:v>Absence from the register is not evidence that the performer is not disabled.</x:v>
      </x:c>
      <x:c r="BB767" s="14" t="str">
        <x:v>No established-register match</x:v>
      </x:c>
      <x:c r="BC767" s="14"/>
      <x:c r="BD767" s="14"/>
      <x:c r="BE767" s="14"/>
      <x:c r="BF767" s="14" t="str">
        <x:v>No established apparent-disability match</x:v>
      </x:c>
      <x:c r="BG767" s="14"/>
      <x:c r="BH767" s="14" t="str">
        <x:v>No</x:v>
      </x:c>
      <x:c r="BI767" s="14"/>
      <x:c r="BJ767" s="14"/>
      <x:c r="BK767" s="14"/>
      <x:c r="BL767" s="14" t="str">
        <x:v>Unmatched</x:v>
      </x:c>
      <x:c r="BM767" s="14" t="str">
        <x:v>Final supplied register</x:v>
      </x:c>
      <x:c r="BN767" s="14" t="str">
        <x:v>Absence from the register is not evidence that the performer is not disabled.</x:v>
      </x:c>
      <x:c r="BO767" s="14" t="n">
        <x:v>20</x:v>
      </x:c>
      <x:c r="BP767" s="14" t="str">
        <x:v>Maximum eligible IMDb cast-credit total (20), shared by 4 performer(s); not independently verified as a 2021-only episode total.</x:v>
      </x:c>
      <x:c r="BQ767" s="14" t="str">
        <x:v>Medium</x:v>
      </x:c>
      <x:c r="BR767" s="15" t="n">
        <x:v>1</x:v>
      </x:c>
      <x:c r="BS767" s="16" t="n">
        <x:v>0.05</x:v>
      </x:c>
      <x:c r="BT767" s="14" t="str">
        <x:v>One episode</x:v>
      </x:c>
      <x:c r="BU767" s="14" t="str">
        <x:v>Medium</x:v>
      </x:c>
      <x:c r="BV767" s="14" t="str">
        <x:v>Derived from supplied IMDb episode count and the documented production-total proxy.</x:v>
      </x:c>
      <x:c r="BW767" s="14" t="str">
        <x:v>Unable to determine</x:v>
      </x:c>
      <x:c r="BX767" s="14" t="str">
        <x:v>Supplied cast data establishes the credit and episode presence but does not establish narrative prominence.</x:v>
      </x:c>
      <x:c r="BY767" s="14" t="str">
        <x:v>Supplied IMDb cast-list workbook</x:v>
      </x:c>
      <x:c r="BZ7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7" s="14" t="str">
        <x:v>Not classified</x:v>
      </x:c>
      <x:c r="CB767" s="14" t="str">
        <x:v>Unable to determine</x:v>
      </x:c>
      <x:c r="CC767" s="14" t="str">
        <x:v>Unique</x:v>
      </x:c>
      <x:c r="CD767" s="14" t="str">
        <x:v>None identified</x:v>
      </x:c>
    </x:row>
    <x:row r="768">
      <x:c r="A768" s="14" t="str">
        <x:v>tt11639300|nm0114482|tommy adeoye</x:v>
      </x:c>
      <x:c r="B768" s="14" t="str">
        <x:v>02</x:v>
      </x:c>
      <x:c r="C768" s="14" t="str">
        <x:v>2021_IMDb_Cast_Lists_Batch_02(1).xlsx</x:v>
      </x:c>
      <x:c r="D768" s="14" t="str">
        <x:v>Grace</x:v>
      </x:c>
      <x:c r="E768" s="14" t="n">
        <x:v>165</x:v>
      </x:c>
      <x:c r="F768" s="14" t="str">
        <x:v>Grace</x:v>
      </x:c>
      <x:c r="G768" s="14" t="str">
        <x:v>tt11639300</x:v>
      </x:c>
      <x:c r="H768" s="14" t="n">
        <x:v>2021</x:v>
      </x:c>
      <x:c r="I768" s="14" t="n">
        <x:v>2023</x:v>
      </x:c>
      <x:c r="J768" s="14" t="str">
        <x:v>Future Carry-Forward Cohort</x:v>
      </x:c>
      <x:c r="K768" s="14" t="n">
        <x:v>2021</x:v>
      </x:c>
      <x:c r="L768" s="14" t="str">
        <x:v>Available from 2021 analysis</x:v>
      </x:c>
      <x:c r="M768" s="15" t="n">
        <x:v>158</x:v>
      </x:c>
      <x:c r="N768" s="14" t="str">
        <x:v>Ray Emmet Brown</x:v>
      </x:c>
      <x:c r="O768" s="14" t="str">
        <x:v>nm0114482</x:v>
      </x:c>
      <x:c r="P768" s="14" t="str">
        <x:v>Tommy Adeoye</x:v>
      </x:c>
      <x:c r="Q768" s="15" t="n">
        <x:v>1</x:v>
      </x:c>
      <x:c r="R768" s="14" t="str">
        <x:v>2024</x:v>
      </x:c>
      <x:c r="S768" s="14" t="n">
        <x:v>2024</x:v>
      </x:c>
      <x:c r="T768" s="14" t="n">
        <x:v>2024</x:v>
      </x:c>
      <x:c r="U768" s="14" t="str">
        <x:v>Post-2021 casting excluded</x:v>
      </x:c>
      <x:c r="V768" s="14" t="str">
        <x:v>Earliest supplied year is 2024, later than the 2021 study year.</x:v>
      </x:c>
      <x:c r="W768" s="14"/>
      <x:c r="X768" s="14" t="str">
        <x:v>Carried forward to 2024</x:v>
      </x:c>
      <x:c r="Y768" s="14"/>
      <x:c r="Z768" s="14" t="str">
        <x:v>Grace.docx</x:v>
      </x:c>
      <x:c r="AA7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8" s="14" t="str">
        <x:v>No established-register match</x:v>
      </x:c>
      <x:c r="AC768" s="14"/>
      <x:c r="AD768" s="14"/>
      <x:c r="AE768" s="14"/>
      <x:c r="AF768" s="14"/>
      <x:c r="AG768" s="14" t="str">
        <x:v>No qualifying conclusion recorded. Absence from the register is not evidence that the performer is not disabled.</x:v>
      </x:c>
      <x:c r="AH768" s="14" t="str">
        <x:v>ITV / ITVX</x:v>
      </x:c>
      <x:c r="AI768" s="14" t="str">
        <x:v>UK original commission</x:v>
      </x:c>
      <x:c r="AJ768" s="14" t="str">
        <x:v>Exact normalised title</x:v>
      </x:c>
      <x:c r="AK768" s="14" t="str">
        <x:v>Medium</x:v>
      </x:c>
      <x:c r="AL768" s="14" t="str">
        <x:v>Verified for commissioner/platform scope; uk original commission.</x:v>
      </x:c>
      <x:c r="AM768" s="17" t="e">
        <x:f>HYPERLINK("https://en.wikipedia.org/wiki/Grace","Open source")</x:f>
        <x:v>HYPERLINK is not implemented. linkLocation=https://en.wikipedia.org/wiki/Grace, friendlyName=Open source</x:v>
      </x:c>
      <x:c r="AN768" s="14" t="str">
        <x:v>No qualifying BBC relationship</x:v>
      </x:c>
      <x:c r="AO768" s="14" t="str">
        <x:v>No</x:v>
      </x:c>
      <x:c r="AP768" s="14" t="str">
        <x:v>Out of scope</x:v>
      </x:c>
      <x:c r="AQ768" s="14" t="str">
        <x:v>No</x:v>
      </x:c>
      <x:c r="AR768" s="14" t="str">
        <x:v>Resolved from master register</x:v>
      </x:c>
      <x:c r="AS768" s="14" t="str">
        <x:v>No established-register match</x:v>
      </x:c>
      <x:c r="AT768" s="14"/>
      <x:c r="AU768" s="14"/>
      <x:c r="AV768" s="14" t="str">
        <x:v>No established apparent-disability match</x:v>
      </x:c>
      <x:c r="AW768" s="14"/>
      <x:c r="AX768" s="14" t="str">
        <x:v>No</x:v>
      </x:c>
      <x:c r="AY768" s="14" t="str">
        <x:v>Unmatched</x:v>
      </x:c>
      <x:c r="AZ768" s="14" t="str">
        <x:v>Final supplied register</x:v>
      </x:c>
      <x:c r="BA768" s="14" t="str">
        <x:v>Absence from the register is not evidence that the performer is not disabled.</x:v>
      </x:c>
      <x:c r="BB768" s="14" t="str">
        <x:v>No established-register match</x:v>
      </x:c>
      <x:c r="BC768" s="14"/>
      <x:c r="BD768" s="14"/>
      <x:c r="BE768" s="14"/>
      <x:c r="BF768" s="14" t="str">
        <x:v>No established apparent-disability match</x:v>
      </x:c>
      <x:c r="BG768" s="14"/>
      <x:c r="BH768" s="14" t="str">
        <x:v>No</x:v>
      </x:c>
      <x:c r="BI768" s="14"/>
      <x:c r="BJ768" s="14"/>
      <x:c r="BK768" s="14"/>
      <x:c r="BL768" s="14" t="str">
        <x:v>Unmatched</x:v>
      </x:c>
      <x:c r="BM768" s="14" t="str">
        <x:v>Final supplied register</x:v>
      </x:c>
      <x:c r="BN768" s="14" t="str">
        <x:v>Absence from the register is not evidence that the performer is not disabled.</x:v>
      </x:c>
      <x:c r="BO768" s="14" t="n">
        <x:v>20</x:v>
      </x:c>
      <x:c r="BP768" s="14" t="str">
        <x:v>Maximum eligible IMDb cast-credit total (20), shared by 4 performer(s); not independently verified as a 2021-only episode total.</x:v>
      </x:c>
      <x:c r="BQ768" s="14" t="str">
        <x:v>Medium</x:v>
      </x:c>
      <x:c r="BR768" s="15" t="n">
        <x:v>1</x:v>
      </x:c>
      <x:c r="BS768" s="16" t="n">
        <x:v>0.05</x:v>
      </x:c>
      <x:c r="BT768" s="14" t="str">
        <x:v>One episode</x:v>
      </x:c>
      <x:c r="BU768" s="14" t="str">
        <x:v>Medium</x:v>
      </x:c>
      <x:c r="BV768" s="14" t="str">
        <x:v>Derived from supplied IMDb episode count and the documented production-total proxy.</x:v>
      </x:c>
      <x:c r="BW768" s="14" t="str">
        <x:v>Unable to determine</x:v>
      </x:c>
      <x:c r="BX768" s="14" t="str">
        <x:v>Supplied cast data establishes the credit and episode presence but does not establish narrative prominence.</x:v>
      </x:c>
      <x:c r="BY768" s="14" t="str">
        <x:v>Supplied IMDb cast-list workbook</x:v>
      </x:c>
      <x:c r="BZ7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8" s="14" t="str">
        <x:v>Not classified</x:v>
      </x:c>
      <x:c r="CB768" s="14" t="str">
        <x:v>Unable to determine</x:v>
      </x:c>
      <x:c r="CC768" s="14" t="str">
        <x:v>Unique</x:v>
      </x:c>
      <x:c r="CD768" s="14" t="str">
        <x:v>None identified</x:v>
      </x:c>
    </x:row>
    <x:row r="769">
      <x:c r="A769" s="14" t="str">
        <x:v>tt11639300|nm4273260|pat amos</x:v>
      </x:c>
      <x:c r="B769" s="14" t="str">
        <x:v>02</x:v>
      </x:c>
      <x:c r="C769" s="14" t="str">
        <x:v>2021_IMDb_Cast_Lists_Batch_02(1).xlsx</x:v>
      </x:c>
      <x:c r="D769" s="14" t="str">
        <x:v>Grace</x:v>
      </x:c>
      <x:c r="E769" s="14" t="n">
        <x:v>166</x:v>
      </x:c>
      <x:c r="F769" s="14" t="str">
        <x:v>Grace</x:v>
      </x:c>
      <x:c r="G769" s="14" t="str">
        <x:v>tt11639300</x:v>
      </x:c>
      <x:c r="H769" s="14" t="n">
        <x:v>2021</x:v>
      </x:c>
      <x:c r="I769" s="14" t="n">
        <x:v>2023</x:v>
      </x:c>
      <x:c r="J769" s="14" t="str">
        <x:v>Future Carry-Forward Cohort</x:v>
      </x:c>
      <x:c r="K769" s="14" t="n">
        <x:v>2021</x:v>
      </x:c>
      <x:c r="L769" s="14" t="str">
        <x:v>Available from 2021 analysis</x:v>
      </x:c>
      <x:c r="M769" s="15" t="n">
        <x:v>159</x:v>
      </x:c>
      <x:c r="N769" s="14" t="str">
        <x:v>Janis Ahern</x:v>
      </x:c>
      <x:c r="O769" s="14" t="str">
        <x:v>nm4273260</x:v>
      </x:c>
      <x:c r="P769" s="14" t="str">
        <x:v>Pat Amos</x:v>
      </x:c>
      <x:c r="Q769" s="15" t="n">
        <x:v>1</x:v>
      </x:c>
      <x:c r="R769" s="14" t="str">
        <x:v>2024</x:v>
      </x:c>
      <x:c r="S769" s="14" t="n">
        <x:v>2024</x:v>
      </x:c>
      <x:c r="T769" s="14" t="n">
        <x:v>2024</x:v>
      </x:c>
      <x:c r="U769" s="14" t="str">
        <x:v>Post-2021 casting excluded</x:v>
      </x:c>
      <x:c r="V769" s="14" t="str">
        <x:v>Earliest supplied year is 2024, later than the 2021 study year.</x:v>
      </x:c>
      <x:c r="W769" s="14"/>
      <x:c r="X769" s="14" t="str">
        <x:v>Carried forward to 2024</x:v>
      </x:c>
      <x:c r="Y769" s="14"/>
      <x:c r="Z769" s="14" t="str">
        <x:v>Grace.docx</x:v>
      </x:c>
      <x:c r="AA7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9" s="14" t="str">
        <x:v>No established-register match</x:v>
      </x:c>
      <x:c r="AC769" s="14"/>
      <x:c r="AD769" s="14"/>
      <x:c r="AE769" s="14"/>
      <x:c r="AF769" s="14"/>
      <x:c r="AG769" s="14" t="str">
        <x:v>No qualifying conclusion recorded. Absence from the register is not evidence that the performer is not disabled.</x:v>
      </x:c>
      <x:c r="AH769" s="14" t="str">
        <x:v>ITV / ITVX</x:v>
      </x:c>
      <x:c r="AI769" s="14" t="str">
        <x:v>UK original commission</x:v>
      </x:c>
      <x:c r="AJ769" s="14" t="str">
        <x:v>Exact normalised title</x:v>
      </x:c>
      <x:c r="AK769" s="14" t="str">
        <x:v>Medium</x:v>
      </x:c>
      <x:c r="AL769" s="14" t="str">
        <x:v>Verified for commissioner/platform scope; uk original commission.</x:v>
      </x:c>
      <x:c r="AM769" s="17" t="e">
        <x:f>HYPERLINK("https://en.wikipedia.org/wiki/Grace","Open source")</x:f>
        <x:v>HYPERLINK is not implemented. linkLocation=https://en.wikipedia.org/wiki/Grace, friendlyName=Open source</x:v>
      </x:c>
      <x:c r="AN769" s="14" t="str">
        <x:v>No qualifying BBC relationship</x:v>
      </x:c>
      <x:c r="AO769" s="14" t="str">
        <x:v>No</x:v>
      </x:c>
      <x:c r="AP769" s="14" t="str">
        <x:v>Out of scope</x:v>
      </x:c>
      <x:c r="AQ769" s="14" t="str">
        <x:v>No</x:v>
      </x:c>
      <x:c r="AR769" s="14" t="str">
        <x:v>Resolved from master register</x:v>
      </x:c>
      <x:c r="AS769" s="14" t="str">
        <x:v>No established-register match</x:v>
      </x:c>
      <x:c r="AT769" s="14"/>
      <x:c r="AU769" s="14"/>
      <x:c r="AV769" s="14" t="str">
        <x:v>No established apparent-disability match</x:v>
      </x:c>
      <x:c r="AW769" s="14"/>
      <x:c r="AX769" s="14" t="str">
        <x:v>No</x:v>
      </x:c>
      <x:c r="AY769" s="14" t="str">
        <x:v>Unmatched</x:v>
      </x:c>
      <x:c r="AZ769" s="14" t="str">
        <x:v>Final supplied register</x:v>
      </x:c>
      <x:c r="BA769" s="14" t="str">
        <x:v>Absence from the register is not evidence that the performer is not disabled.</x:v>
      </x:c>
      <x:c r="BB769" s="14" t="str">
        <x:v>No established-register match</x:v>
      </x:c>
      <x:c r="BC769" s="14"/>
      <x:c r="BD769" s="14"/>
      <x:c r="BE769" s="14"/>
      <x:c r="BF769" s="14" t="str">
        <x:v>No established apparent-disability match</x:v>
      </x:c>
      <x:c r="BG769" s="14"/>
      <x:c r="BH769" s="14" t="str">
        <x:v>No</x:v>
      </x:c>
      <x:c r="BI769" s="14"/>
      <x:c r="BJ769" s="14"/>
      <x:c r="BK769" s="14"/>
      <x:c r="BL769" s="14" t="str">
        <x:v>Unmatched</x:v>
      </x:c>
      <x:c r="BM769" s="14" t="str">
        <x:v>Final supplied register</x:v>
      </x:c>
      <x:c r="BN769" s="14" t="str">
        <x:v>Absence from the register is not evidence that the performer is not disabled.</x:v>
      </x:c>
      <x:c r="BO769" s="14" t="n">
        <x:v>20</x:v>
      </x:c>
      <x:c r="BP769" s="14" t="str">
        <x:v>Maximum eligible IMDb cast-credit total (20), shared by 4 performer(s); not independently verified as a 2021-only episode total.</x:v>
      </x:c>
      <x:c r="BQ769" s="14" t="str">
        <x:v>Medium</x:v>
      </x:c>
      <x:c r="BR769" s="15" t="n">
        <x:v>1</x:v>
      </x:c>
      <x:c r="BS769" s="16" t="n">
        <x:v>0.05</x:v>
      </x:c>
      <x:c r="BT769" s="14" t="str">
        <x:v>One episode</x:v>
      </x:c>
      <x:c r="BU769" s="14" t="str">
        <x:v>Medium</x:v>
      </x:c>
      <x:c r="BV769" s="14" t="str">
        <x:v>Derived from supplied IMDb episode count and the documented production-total proxy.</x:v>
      </x:c>
      <x:c r="BW769" s="14" t="str">
        <x:v>Unable to determine</x:v>
      </x:c>
      <x:c r="BX769" s="14" t="str">
        <x:v>Supplied cast data establishes the credit and episode presence but does not establish narrative prominence.</x:v>
      </x:c>
      <x:c r="BY769" s="14" t="str">
        <x:v>Supplied IMDb cast-list workbook</x:v>
      </x:c>
      <x:c r="BZ7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9" s="14" t="str">
        <x:v>Not classified</x:v>
      </x:c>
      <x:c r="CB769" s="14" t="str">
        <x:v>Unable to determine</x:v>
      </x:c>
      <x:c r="CC769" s="14" t="str">
        <x:v>Unique</x:v>
      </x:c>
      <x:c r="CD769" s="14" t="str">
        <x:v>None identified</x:v>
      </x:c>
    </x:row>
    <x:row r="770">
      <x:c r="A770" s="14" t="str">
        <x:v>tt11639300|nm2825606|adrienne macklin</x:v>
      </x:c>
      <x:c r="B770" s="14" t="str">
        <x:v>02</x:v>
      </x:c>
      <x:c r="C770" s="14" t="str">
        <x:v>2021_IMDb_Cast_Lists_Batch_02(1).xlsx</x:v>
      </x:c>
      <x:c r="D770" s="14" t="str">
        <x:v>Grace</x:v>
      </x:c>
      <x:c r="E770" s="14" t="n">
        <x:v>167</x:v>
      </x:c>
      <x:c r="F770" s="14" t="str">
        <x:v>Grace</x:v>
      </x:c>
      <x:c r="G770" s="14" t="str">
        <x:v>tt11639300</x:v>
      </x:c>
      <x:c r="H770" s="14" t="n">
        <x:v>2021</x:v>
      </x:c>
      <x:c r="I770" s="14" t="n">
        <x:v>2023</x:v>
      </x:c>
      <x:c r="J770" s="14" t="str">
        <x:v>Future Carry-Forward Cohort</x:v>
      </x:c>
      <x:c r="K770" s="14" t="n">
        <x:v>2021</x:v>
      </x:c>
      <x:c r="L770" s="14" t="str">
        <x:v>Available from 2021 analysis</x:v>
      </x:c>
      <x:c r="M770" s="15" t="n">
        <x:v>160</x:v>
      </x:c>
      <x:c r="N770" s="14" t="str">
        <x:v>Jess Robinson</x:v>
      </x:c>
      <x:c r="O770" s="14" t="str">
        <x:v>nm2825606</x:v>
      </x:c>
      <x:c r="P770" s="14" t="str">
        <x:v>Adrienne Macklin</x:v>
      </x:c>
      <x:c r="Q770" s="15" t="n">
        <x:v>1</x:v>
      </x:c>
      <x:c r="R770" s="14" t="str">
        <x:v>2024</x:v>
      </x:c>
      <x:c r="S770" s="14" t="n">
        <x:v>2024</x:v>
      </x:c>
      <x:c r="T770" s="14" t="n">
        <x:v>2024</x:v>
      </x:c>
      <x:c r="U770" s="14" t="str">
        <x:v>Post-2021 casting excluded</x:v>
      </x:c>
      <x:c r="V770" s="14" t="str">
        <x:v>Earliest supplied year is 2024, later than the 2021 study year.</x:v>
      </x:c>
      <x:c r="W770" s="14"/>
      <x:c r="X770" s="14" t="str">
        <x:v>Carried forward to 2024</x:v>
      </x:c>
      <x:c r="Y770" s="14"/>
      <x:c r="Z770" s="14" t="str">
        <x:v>Grace.docx</x:v>
      </x:c>
      <x:c r="AA7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0" s="14" t="str">
        <x:v>No established-register match</x:v>
      </x:c>
      <x:c r="AC770" s="14"/>
      <x:c r="AD770" s="14"/>
      <x:c r="AE770" s="14"/>
      <x:c r="AF770" s="14"/>
      <x:c r="AG770" s="14" t="str">
        <x:v>No qualifying conclusion recorded. Absence from the register is not evidence that the performer is not disabled.</x:v>
      </x:c>
      <x:c r="AH770" s="14" t="str">
        <x:v>ITV / ITVX</x:v>
      </x:c>
      <x:c r="AI770" s="14" t="str">
        <x:v>UK original commission</x:v>
      </x:c>
      <x:c r="AJ770" s="14" t="str">
        <x:v>Exact normalised title</x:v>
      </x:c>
      <x:c r="AK770" s="14" t="str">
        <x:v>Medium</x:v>
      </x:c>
      <x:c r="AL770" s="14" t="str">
        <x:v>Verified for commissioner/platform scope; uk original commission.</x:v>
      </x:c>
      <x:c r="AM770" s="17" t="e">
        <x:f>HYPERLINK("https://en.wikipedia.org/wiki/Grace","Open source")</x:f>
        <x:v>HYPERLINK is not implemented. linkLocation=https://en.wikipedia.org/wiki/Grace, friendlyName=Open source</x:v>
      </x:c>
      <x:c r="AN770" s="14" t="str">
        <x:v>No qualifying BBC relationship</x:v>
      </x:c>
      <x:c r="AO770" s="14" t="str">
        <x:v>No</x:v>
      </x:c>
      <x:c r="AP770" s="14" t="str">
        <x:v>Out of scope</x:v>
      </x:c>
      <x:c r="AQ770" s="14" t="str">
        <x:v>No</x:v>
      </x:c>
      <x:c r="AR770" s="14" t="str">
        <x:v>Resolved from master register</x:v>
      </x:c>
      <x:c r="AS770" s="14" t="str">
        <x:v>No established-register match</x:v>
      </x:c>
      <x:c r="AT770" s="14"/>
      <x:c r="AU770" s="14"/>
      <x:c r="AV770" s="14" t="str">
        <x:v>No established apparent-disability match</x:v>
      </x:c>
      <x:c r="AW770" s="14"/>
      <x:c r="AX770" s="14" t="str">
        <x:v>No</x:v>
      </x:c>
      <x:c r="AY770" s="14" t="str">
        <x:v>Unmatched</x:v>
      </x:c>
      <x:c r="AZ770" s="14" t="str">
        <x:v>Final supplied register</x:v>
      </x:c>
      <x:c r="BA770" s="14" t="str">
        <x:v>Absence from the register is not evidence that the performer is not disabled.</x:v>
      </x:c>
      <x:c r="BB770" s="14" t="str">
        <x:v>No established-register match</x:v>
      </x:c>
      <x:c r="BC770" s="14"/>
      <x:c r="BD770" s="14"/>
      <x:c r="BE770" s="14"/>
      <x:c r="BF770" s="14" t="str">
        <x:v>No established apparent-disability match</x:v>
      </x:c>
      <x:c r="BG770" s="14"/>
      <x:c r="BH770" s="14" t="str">
        <x:v>No</x:v>
      </x:c>
      <x:c r="BI770" s="14"/>
      <x:c r="BJ770" s="14"/>
      <x:c r="BK770" s="14"/>
      <x:c r="BL770" s="14" t="str">
        <x:v>Unmatched</x:v>
      </x:c>
      <x:c r="BM770" s="14" t="str">
        <x:v>Final supplied register</x:v>
      </x:c>
      <x:c r="BN770" s="14" t="str">
        <x:v>Absence from the register is not evidence that the performer is not disabled.</x:v>
      </x:c>
      <x:c r="BO770" s="14" t="n">
        <x:v>20</x:v>
      </x:c>
      <x:c r="BP770" s="14" t="str">
        <x:v>Maximum eligible IMDb cast-credit total (20), shared by 4 performer(s); not independently verified as a 2021-only episode total.</x:v>
      </x:c>
      <x:c r="BQ770" s="14" t="str">
        <x:v>Medium</x:v>
      </x:c>
      <x:c r="BR770" s="15" t="n">
        <x:v>1</x:v>
      </x:c>
      <x:c r="BS770" s="16" t="n">
        <x:v>0.05</x:v>
      </x:c>
      <x:c r="BT770" s="14" t="str">
        <x:v>One episode</x:v>
      </x:c>
      <x:c r="BU770" s="14" t="str">
        <x:v>Medium</x:v>
      </x:c>
      <x:c r="BV770" s="14" t="str">
        <x:v>Derived from supplied IMDb episode count and the documented production-total proxy.</x:v>
      </x:c>
      <x:c r="BW770" s="14" t="str">
        <x:v>Unable to determine</x:v>
      </x:c>
      <x:c r="BX770" s="14" t="str">
        <x:v>Supplied cast data establishes the credit and episode presence but does not establish narrative prominence.</x:v>
      </x:c>
      <x:c r="BY770" s="14" t="str">
        <x:v>Supplied IMDb cast-list workbook</x:v>
      </x:c>
      <x:c r="BZ7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0" s="14" t="str">
        <x:v>Not classified</x:v>
      </x:c>
      <x:c r="CB770" s="14" t="str">
        <x:v>Unable to determine</x:v>
      </x:c>
      <x:c r="CC770" s="14" t="str">
        <x:v>Unique</x:v>
      </x:c>
      <x:c r="CD770" s="14" t="str">
        <x:v>None identified</x:v>
      </x:c>
    </x:row>
    <x:row r="771">
      <x:c r="A771" s="14" t="str">
        <x:v>tt11639300|nm6482571|hillman</x:v>
      </x:c>
      <x:c r="B771" s="14" t="str">
        <x:v>02</x:v>
      </x:c>
      <x:c r="C771" s="14" t="str">
        <x:v>2021_IMDb_Cast_Lists_Batch_02(1).xlsx</x:v>
      </x:c>
      <x:c r="D771" s="14" t="str">
        <x:v>Grace</x:v>
      </x:c>
      <x:c r="E771" s="14" t="n">
        <x:v>168</x:v>
      </x:c>
      <x:c r="F771" s="14" t="str">
        <x:v>Grace</x:v>
      </x:c>
      <x:c r="G771" s="14" t="str">
        <x:v>tt11639300</x:v>
      </x:c>
      <x:c r="H771" s="14" t="n">
        <x:v>2021</x:v>
      </x:c>
      <x:c r="I771" s="14" t="n">
        <x:v>2023</x:v>
      </x:c>
      <x:c r="J771" s="14" t="str">
        <x:v>Future Carry-Forward Cohort</x:v>
      </x:c>
      <x:c r="K771" s="14" t="n">
        <x:v>2021</x:v>
      </x:c>
      <x:c r="L771" s="14" t="str">
        <x:v>Available from 2021 analysis</x:v>
      </x:c>
      <x:c r="M771" s="15" t="n">
        <x:v>161</x:v>
      </x:c>
      <x:c r="N771" s="14" t="str">
        <x:v>Neil Hobbs</x:v>
      </x:c>
      <x:c r="O771" s="14" t="str">
        <x:v>nm6482571</x:v>
      </x:c>
      <x:c r="P771" s="14" t="str">
        <x:v>Hillman</x:v>
      </x:c>
      <x:c r="Q771" s="15" t="n">
        <x:v>1</x:v>
      </x:c>
      <x:c r="R771" s="14" t="str">
        <x:v>2024</x:v>
      </x:c>
      <x:c r="S771" s="14" t="n">
        <x:v>2024</x:v>
      </x:c>
      <x:c r="T771" s="14" t="n">
        <x:v>2024</x:v>
      </x:c>
      <x:c r="U771" s="14" t="str">
        <x:v>Post-2021 casting excluded</x:v>
      </x:c>
      <x:c r="V771" s="14" t="str">
        <x:v>Earliest supplied year is 2024, later than the 2021 study year.</x:v>
      </x:c>
      <x:c r="W771" s="14"/>
      <x:c r="X771" s="14" t="str">
        <x:v>Carried forward to 2024</x:v>
      </x:c>
      <x:c r="Y771" s="14"/>
      <x:c r="Z771" s="14" t="str">
        <x:v>Grace.docx</x:v>
      </x:c>
      <x:c r="AA7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1" s="14" t="str">
        <x:v>No established-register match</x:v>
      </x:c>
      <x:c r="AC771" s="14"/>
      <x:c r="AD771" s="14"/>
      <x:c r="AE771" s="14"/>
      <x:c r="AF771" s="14"/>
      <x:c r="AG771" s="14" t="str">
        <x:v>No qualifying conclusion recorded. Absence from the register is not evidence that the performer is not disabled.</x:v>
      </x:c>
      <x:c r="AH771" s="14" t="str">
        <x:v>ITV / ITVX</x:v>
      </x:c>
      <x:c r="AI771" s="14" t="str">
        <x:v>UK original commission</x:v>
      </x:c>
      <x:c r="AJ771" s="14" t="str">
        <x:v>Exact normalised title</x:v>
      </x:c>
      <x:c r="AK771" s="14" t="str">
        <x:v>Medium</x:v>
      </x:c>
      <x:c r="AL771" s="14" t="str">
        <x:v>Verified for commissioner/platform scope; uk original commission.</x:v>
      </x:c>
      <x:c r="AM771" s="17" t="e">
        <x:f>HYPERLINK("https://en.wikipedia.org/wiki/Grace","Open source")</x:f>
        <x:v>HYPERLINK is not implemented. linkLocation=https://en.wikipedia.org/wiki/Grace, friendlyName=Open source</x:v>
      </x:c>
      <x:c r="AN771" s="14" t="str">
        <x:v>No qualifying BBC relationship</x:v>
      </x:c>
      <x:c r="AO771" s="14" t="str">
        <x:v>No</x:v>
      </x:c>
      <x:c r="AP771" s="14" t="str">
        <x:v>Out of scope</x:v>
      </x:c>
      <x:c r="AQ771" s="14" t="str">
        <x:v>No</x:v>
      </x:c>
      <x:c r="AR771" s="14" t="str">
        <x:v>Resolved from master register</x:v>
      </x:c>
      <x:c r="AS771" s="14" t="str">
        <x:v>No established-register match</x:v>
      </x:c>
      <x:c r="AT771" s="14"/>
      <x:c r="AU771" s="14"/>
      <x:c r="AV771" s="14" t="str">
        <x:v>No established apparent-disability match</x:v>
      </x:c>
      <x:c r="AW771" s="14"/>
      <x:c r="AX771" s="14" t="str">
        <x:v>No</x:v>
      </x:c>
      <x:c r="AY771" s="14" t="str">
        <x:v>Unmatched</x:v>
      </x:c>
      <x:c r="AZ771" s="14" t="str">
        <x:v>Final supplied register</x:v>
      </x:c>
      <x:c r="BA771" s="14" t="str">
        <x:v>Absence from the register is not evidence that the performer is not disabled.</x:v>
      </x:c>
      <x:c r="BB771" s="14" t="str">
        <x:v>No established-register match</x:v>
      </x:c>
      <x:c r="BC771" s="14"/>
      <x:c r="BD771" s="14"/>
      <x:c r="BE771" s="14"/>
      <x:c r="BF771" s="14" t="str">
        <x:v>No established apparent-disability match</x:v>
      </x:c>
      <x:c r="BG771" s="14"/>
      <x:c r="BH771" s="14" t="str">
        <x:v>No</x:v>
      </x:c>
      <x:c r="BI771" s="14"/>
      <x:c r="BJ771" s="14"/>
      <x:c r="BK771" s="14"/>
      <x:c r="BL771" s="14" t="str">
        <x:v>Unmatched</x:v>
      </x:c>
      <x:c r="BM771" s="14" t="str">
        <x:v>Final supplied register</x:v>
      </x:c>
      <x:c r="BN771" s="14" t="str">
        <x:v>Absence from the register is not evidence that the performer is not disabled.</x:v>
      </x:c>
      <x:c r="BO771" s="14" t="n">
        <x:v>20</x:v>
      </x:c>
      <x:c r="BP771" s="14" t="str">
        <x:v>Maximum eligible IMDb cast-credit total (20), shared by 4 performer(s); not independently verified as a 2021-only episode total.</x:v>
      </x:c>
      <x:c r="BQ771" s="14" t="str">
        <x:v>Medium</x:v>
      </x:c>
      <x:c r="BR771" s="15" t="n">
        <x:v>1</x:v>
      </x:c>
      <x:c r="BS771" s="16" t="n">
        <x:v>0.05</x:v>
      </x:c>
      <x:c r="BT771" s="14" t="str">
        <x:v>One episode</x:v>
      </x:c>
      <x:c r="BU771" s="14" t="str">
        <x:v>Medium</x:v>
      </x:c>
      <x:c r="BV771" s="14" t="str">
        <x:v>Derived from supplied IMDb episode count and the documented production-total proxy.</x:v>
      </x:c>
      <x:c r="BW771" s="14" t="str">
        <x:v>Unable to determine</x:v>
      </x:c>
      <x:c r="BX771" s="14" t="str">
        <x:v>Supplied cast data establishes the credit and episode presence but does not establish narrative prominence.</x:v>
      </x:c>
      <x:c r="BY771" s="14" t="str">
        <x:v>Supplied IMDb cast-list workbook</x:v>
      </x:c>
      <x:c r="BZ7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1" s="14" t="str">
        <x:v>Not classified</x:v>
      </x:c>
      <x:c r="CB771" s="14" t="str">
        <x:v>Unable to determine</x:v>
      </x:c>
      <x:c r="CC771" s="14" t="str">
        <x:v>Unique</x:v>
      </x:c>
      <x:c r="CD771" s="14" t="str">
        <x:v>None identified</x:v>
      </x:c>
    </x:row>
    <x:row r="772">
      <x:c r="A772" s="14" t="str">
        <x:v>tt11639300|nm0942202|jacob van dam</x:v>
      </x:c>
      <x:c r="B772" s="14" t="str">
        <x:v>02</x:v>
      </x:c>
      <x:c r="C772" s="14" t="str">
        <x:v>2021_IMDb_Cast_Lists_Batch_02(1).xlsx</x:v>
      </x:c>
      <x:c r="D772" s="14" t="str">
        <x:v>Grace</x:v>
      </x:c>
      <x:c r="E772" s="14" t="n">
        <x:v>177</x:v>
      </x:c>
      <x:c r="F772" s="14" t="str">
        <x:v>Grace</x:v>
      </x:c>
      <x:c r="G772" s="14" t="str">
        <x:v>tt11639300</x:v>
      </x:c>
      <x:c r="H772" s="14" t="n">
        <x:v>2021</x:v>
      </x:c>
      <x:c r="I772" s="14" t="n">
        <x:v>2023</x:v>
      </x:c>
      <x:c r="J772" s="14" t="str">
        <x:v>Future Carry-Forward Cohort</x:v>
      </x:c>
      <x:c r="K772" s="14" t="n">
        <x:v>2021</x:v>
      </x:c>
      <x:c r="L772" s="14" t="str">
        <x:v>Available from 2021 analysis</x:v>
      </x:c>
      <x:c r="M772" s="15" t="n">
        <x:v>170</x:v>
      </x:c>
      <x:c r="N772" s="14" t="str">
        <x:v>Angus Wright</x:v>
      </x:c>
      <x:c r="O772" s="14" t="str">
        <x:v>nm0942202</x:v>
      </x:c>
      <x:c r="P772" s="14" t="str">
        <x:v>Jacob Van Dam</x:v>
      </x:c>
      <x:c r="Q772" s="15" t="n">
        <x:v>1</x:v>
      </x:c>
      <x:c r="R772" s="14" t="str">
        <x:v>2024</x:v>
      </x:c>
      <x:c r="S772" s="14" t="n">
        <x:v>2024</x:v>
      </x:c>
      <x:c r="T772" s="14" t="n">
        <x:v>2024</x:v>
      </x:c>
      <x:c r="U772" s="14" t="str">
        <x:v>Post-2021 casting excluded</x:v>
      </x:c>
      <x:c r="V772" s="14" t="str">
        <x:v>Earliest supplied year is 2024, later than the 2021 study year.</x:v>
      </x:c>
      <x:c r="W772" s="14"/>
      <x:c r="X772" s="14" t="str">
        <x:v>Carried forward to 2024</x:v>
      </x:c>
      <x:c r="Y772" s="14"/>
      <x:c r="Z772" s="14" t="str">
        <x:v>Grace.docx</x:v>
      </x:c>
      <x:c r="AA7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2" s="14" t="str">
        <x:v>No established-register match</x:v>
      </x:c>
      <x:c r="AC772" s="14"/>
      <x:c r="AD772" s="14"/>
      <x:c r="AE772" s="14"/>
      <x:c r="AF772" s="14"/>
      <x:c r="AG772" s="14" t="str">
        <x:v>No qualifying conclusion recorded. Absence from the register is not evidence that the performer is not disabled.</x:v>
      </x:c>
      <x:c r="AH772" s="14" t="str">
        <x:v>ITV / ITVX</x:v>
      </x:c>
      <x:c r="AI772" s="14" t="str">
        <x:v>UK original commission</x:v>
      </x:c>
      <x:c r="AJ772" s="14" t="str">
        <x:v>Exact normalised title</x:v>
      </x:c>
      <x:c r="AK772" s="14" t="str">
        <x:v>Medium</x:v>
      </x:c>
      <x:c r="AL772" s="14" t="str">
        <x:v>Verified for commissioner/platform scope; uk original commission.</x:v>
      </x:c>
      <x:c r="AM772" s="17" t="e">
        <x:f>HYPERLINK("https://en.wikipedia.org/wiki/Grace","Open source")</x:f>
        <x:v>HYPERLINK is not implemented. linkLocation=https://en.wikipedia.org/wiki/Grace, friendlyName=Open source</x:v>
      </x:c>
      <x:c r="AN772" s="14" t="str">
        <x:v>No qualifying BBC relationship</x:v>
      </x:c>
      <x:c r="AO772" s="14" t="str">
        <x:v>No</x:v>
      </x:c>
      <x:c r="AP772" s="14" t="str">
        <x:v>Out of scope</x:v>
      </x:c>
      <x:c r="AQ772" s="14" t="str">
        <x:v>No</x:v>
      </x:c>
      <x:c r="AR772" s="14" t="str">
        <x:v>Resolved from master register</x:v>
      </x:c>
      <x:c r="AS772" s="14" t="str">
        <x:v>No established-register match</x:v>
      </x:c>
      <x:c r="AT772" s="14"/>
      <x:c r="AU772" s="14"/>
      <x:c r="AV772" s="14" t="str">
        <x:v>No established apparent-disability match</x:v>
      </x:c>
      <x:c r="AW772" s="14"/>
      <x:c r="AX772" s="14" t="str">
        <x:v>No</x:v>
      </x:c>
      <x:c r="AY772" s="14" t="str">
        <x:v>Unmatched</x:v>
      </x:c>
      <x:c r="AZ772" s="14" t="str">
        <x:v>Final supplied register</x:v>
      </x:c>
      <x:c r="BA772" s="14" t="str">
        <x:v>Absence from the register is not evidence that the performer is not disabled.</x:v>
      </x:c>
      <x:c r="BB772" s="14" t="str">
        <x:v>No established-register match</x:v>
      </x:c>
      <x:c r="BC772" s="14"/>
      <x:c r="BD772" s="14"/>
      <x:c r="BE772" s="14"/>
      <x:c r="BF772" s="14" t="str">
        <x:v>No established apparent-disability match</x:v>
      </x:c>
      <x:c r="BG772" s="14"/>
      <x:c r="BH772" s="14" t="str">
        <x:v>No</x:v>
      </x:c>
      <x:c r="BI772" s="14"/>
      <x:c r="BJ772" s="14"/>
      <x:c r="BK772" s="14"/>
      <x:c r="BL772" s="14" t="str">
        <x:v>Unmatched</x:v>
      </x:c>
      <x:c r="BM772" s="14" t="str">
        <x:v>Final supplied register</x:v>
      </x:c>
      <x:c r="BN772" s="14" t="str">
        <x:v>Absence from the register is not evidence that the performer is not disabled.</x:v>
      </x:c>
      <x:c r="BO772" s="14" t="n">
        <x:v>20</x:v>
      </x:c>
      <x:c r="BP772" s="14" t="str">
        <x:v>Maximum eligible IMDb cast-credit total (20), shared by 4 performer(s); not independently verified as a 2021-only episode total.</x:v>
      </x:c>
      <x:c r="BQ772" s="14" t="str">
        <x:v>Medium</x:v>
      </x:c>
      <x:c r="BR772" s="15" t="n">
        <x:v>1</x:v>
      </x:c>
      <x:c r="BS772" s="16" t="n">
        <x:v>0.05</x:v>
      </x:c>
      <x:c r="BT772" s="14" t="str">
        <x:v>One episode</x:v>
      </x:c>
      <x:c r="BU772" s="14" t="str">
        <x:v>Medium</x:v>
      </x:c>
      <x:c r="BV772" s="14" t="str">
        <x:v>Derived from supplied IMDb episode count and the documented production-total proxy.</x:v>
      </x:c>
      <x:c r="BW772" s="14" t="str">
        <x:v>Unable to determine</x:v>
      </x:c>
      <x:c r="BX772" s="14" t="str">
        <x:v>Supplied cast data establishes the credit and episode presence but does not establish narrative prominence.</x:v>
      </x:c>
      <x:c r="BY772" s="14" t="str">
        <x:v>Supplied IMDb cast-list workbook</x:v>
      </x:c>
      <x:c r="BZ7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2" s="14" t="str">
        <x:v>Not classified</x:v>
      </x:c>
      <x:c r="CB772" s="14" t="str">
        <x:v>Unable to determine</x:v>
      </x:c>
      <x:c r="CC772" s="14" t="str">
        <x:v>Unique</x:v>
      </x:c>
      <x:c r="CD772" s="14" t="str">
        <x:v>None identified</x:v>
      </x:c>
    </x:row>
    <x:row r="773">
      <x:c r="A773" s="14" t="str">
        <x:v>tt11639300|nm6851743|ashley</x:v>
      </x:c>
      <x:c r="B773" s="14" t="str">
        <x:v>02</x:v>
      </x:c>
      <x:c r="C773" s="14" t="str">
        <x:v>2021_IMDb_Cast_Lists_Batch_02(1).xlsx</x:v>
      </x:c>
      <x:c r="D773" s="14" t="str">
        <x:v>Grace</x:v>
      </x:c>
      <x:c r="E773" s="14" t="n">
        <x:v>178</x:v>
      </x:c>
      <x:c r="F773" s="14" t="str">
        <x:v>Grace</x:v>
      </x:c>
      <x:c r="G773" s="14" t="str">
        <x:v>tt11639300</x:v>
      </x:c>
      <x:c r="H773" s="14" t="n">
        <x:v>2021</x:v>
      </x:c>
      <x:c r="I773" s="14" t="n">
        <x:v>2023</x:v>
      </x:c>
      <x:c r="J773" s="14" t="str">
        <x:v>Future Carry-Forward Cohort</x:v>
      </x:c>
      <x:c r="K773" s="14" t="n">
        <x:v>2021</x:v>
      </x:c>
      <x:c r="L773" s="14" t="str">
        <x:v>Available from 2021 analysis</x:v>
      </x:c>
      <x:c r="M773" s="15" t="n">
        <x:v>171</x:v>
      </x:c>
      <x:c r="N773" s="14" t="str">
        <x:v>Jessica Hayles</x:v>
      </x:c>
      <x:c r="O773" s="14" t="str">
        <x:v>nm6851743</x:v>
      </x:c>
      <x:c r="P773" s="14" t="str">
        <x:v>Ashley</x:v>
      </x:c>
      <x:c r="Q773" s="15" t="n">
        <x:v>1</x:v>
      </x:c>
      <x:c r="R773" s="14" t="str">
        <x:v>2024</x:v>
      </x:c>
      <x:c r="S773" s="14" t="n">
        <x:v>2024</x:v>
      </x:c>
      <x:c r="T773" s="14" t="n">
        <x:v>2024</x:v>
      </x:c>
      <x:c r="U773" s="14" t="str">
        <x:v>Post-2021 casting excluded</x:v>
      </x:c>
      <x:c r="V773" s="14" t="str">
        <x:v>Earliest supplied year is 2024, later than the 2021 study year.</x:v>
      </x:c>
      <x:c r="W773" s="14"/>
      <x:c r="X773" s="14" t="str">
        <x:v>Carried forward to 2024</x:v>
      </x:c>
      <x:c r="Y773" s="14"/>
      <x:c r="Z773" s="14" t="str">
        <x:v>Grace.docx</x:v>
      </x:c>
      <x:c r="AA7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3" s="14" t="str">
        <x:v>No established-register match</x:v>
      </x:c>
      <x:c r="AC773" s="14"/>
      <x:c r="AD773" s="14"/>
      <x:c r="AE773" s="14"/>
      <x:c r="AF773" s="14"/>
      <x:c r="AG773" s="14" t="str">
        <x:v>No qualifying conclusion recorded. Absence from the register is not evidence that the performer is not disabled.</x:v>
      </x:c>
      <x:c r="AH773" s="14" t="str">
        <x:v>ITV / ITVX</x:v>
      </x:c>
      <x:c r="AI773" s="14" t="str">
        <x:v>UK original commission</x:v>
      </x:c>
      <x:c r="AJ773" s="14" t="str">
        <x:v>Exact normalised title</x:v>
      </x:c>
      <x:c r="AK773" s="14" t="str">
        <x:v>Medium</x:v>
      </x:c>
      <x:c r="AL773" s="14" t="str">
        <x:v>Verified for commissioner/platform scope; uk original commission.</x:v>
      </x:c>
      <x:c r="AM773" s="17" t="e">
        <x:f>HYPERLINK("https://en.wikipedia.org/wiki/Grace","Open source")</x:f>
        <x:v>HYPERLINK is not implemented. linkLocation=https://en.wikipedia.org/wiki/Grace, friendlyName=Open source</x:v>
      </x:c>
      <x:c r="AN773" s="14" t="str">
        <x:v>No qualifying BBC relationship</x:v>
      </x:c>
      <x:c r="AO773" s="14" t="str">
        <x:v>No</x:v>
      </x:c>
      <x:c r="AP773" s="14" t="str">
        <x:v>Out of scope</x:v>
      </x:c>
      <x:c r="AQ773" s="14" t="str">
        <x:v>No</x:v>
      </x:c>
      <x:c r="AR773" s="14" t="str">
        <x:v>Resolved from master register</x:v>
      </x:c>
      <x:c r="AS773" s="14" t="str">
        <x:v>No established-register match</x:v>
      </x:c>
      <x:c r="AT773" s="14"/>
      <x:c r="AU773" s="14"/>
      <x:c r="AV773" s="14" t="str">
        <x:v>No established apparent-disability match</x:v>
      </x:c>
      <x:c r="AW773" s="14"/>
      <x:c r="AX773" s="14" t="str">
        <x:v>No</x:v>
      </x:c>
      <x:c r="AY773" s="14" t="str">
        <x:v>Unmatched</x:v>
      </x:c>
      <x:c r="AZ773" s="14" t="str">
        <x:v>Final supplied register</x:v>
      </x:c>
      <x:c r="BA773" s="14" t="str">
        <x:v>Absence from the register is not evidence that the performer is not disabled.</x:v>
      </x:c>
      <x:c r="BB773" s="14" t="str">
        <x:v>No established-register match</x:v>
      </x:c>
      <x:c r="BC773" s="14"/>
      <x:c r="BD773" s="14"/>
      <x:c r="BE773" s="14"/>
      <x:c r="BF773" s="14" t="str">
        <x:v>No established apparent-disability match</x:v>
      </x:c>
      <x:c r="BG773" s="14"/>
      <x:c r="BH773" s="14" t="str">
        <x:v>No</x:v>
      </x:c>
      <x:c r="BI773" s="14"/>
      <x:c r="BJ773" s="14"/>
      <x:c r="BK773" s="14"/>
      <x:c r="BL773" s="14" t="str">
        <x:v>Unmatched</x:v>
      </x:c>
      <x:c r="BM773" s="14" t="str">
        <x:v>Final supplied register</x:v>
      </x:c>
      <x:c r="BN773" s="14" t="str">
        <x:v>Absence from the register is not evidence that the performer is not disabled.</x:v>
      </x:c>
      <x:c r="BO773" s="14" t="n">
        <x:v>20</x:v>
      </x:c>
      <x:c r="BP773" s="14" t="str">
        <x:v>Maximum eligible IMDb cast-credit total (20), shared by 4 performer(s); not independently verified as a 2021-only episode total.</x:v>
      </x:c>
      <x:c r="BQ773" s="14" t="str">
        <x:v>Medium</x:v>
      </x:c>
      <x:c r="BR773" s="15" t="n">
        <x:v>1</x:v>
      </x:c>
      <x:c r="BS773" s="16" t="n">
        <x:v>0.05</x:v>
      </x:c>
      <x:c r="BT773" s="14" t="str">
        <x:v>One episode</x:v>
      </x:c>
      <x:c r="BU773" s="14" t="str">
        <x:v>Medium</x:v>
      </x:c>
      <x:c r="BV773" s="14" t="str">
        <x:v>Derived from supplied IMDb episode count and the documented production-total proxy.</x:v>
      </x:c>
      <x:c r="BW773" s="14" t="str">
        <x:v>Unable to determine</x:v>
      </x:c>
      <x:c r="BX773" s="14" t="str">
        <x:v>Supplied cast data establishes the credit and episode presence but does not establish narrative prominence.</x:v>
      </x:c>
      <x:c r="BY773" s="14" t="str">
        <x:v>Supplied IMDb cast-list workbook</x:v>
      </x:c>
      <x:c r="BZ7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3" s="14" t="str">
        <x:v>Not classified</x:v>
      </x:c>
      <x:c r="CB773" s="14" t="str">
        <x:v>Unable to determine</x:v>
      </x:c>
      <x:c r="CC773" s="14" t="str">
        <x:v>Unique</x:v>
      </x:c>
      <x:c r="CD773" s="14" t="str">
        <x:v>None identified</x:v>
      </x:c>
    </x:row>
    <x:row r="774">
      <x:c r="A774" s="14" t="str">
        <x:v>tt11639300|nm2058980|susan stocks</x:v>
      </x:c>
      <x:c r="B774" s="14" t="str">
        <x:v>02</x:v>
      </x:c>
      <x:c r="C774" s="14" t="str">
        <x:v>2021_IMDb_Cast_Lists_Batch_02(1).xlsx</x:v>
      </x:c>
      <x:c r="D774" s="14" t="str">
        <x:v>Grace</x:v>
      </x:c>
      <x:c r="E774" s="14" t="n">
        <x:v>188</x:v>
      </x:c>
      <x:c r="F774" s="14" t="str">
        <x:v>Grace</x:v>
      </x:c>
      <x:c r="G774" s="14" t="str">
        <x:v>tt11639300</x:v>
      </x:c>
      <x:c r="H774" s="14" t="n">
        <x:v>2021</x:v>
      </x:c>
      <x:c r="I774" s="14" t="n">
        <x:v>2023</x:v>
      </x:c>
      <x:c r="J774" s="14" t="str">
        <x:v>Future Carry-Forward Cohort</x:v>
      </x:c>
      <x:c r="K774" s="14" t="n">
        <x:v>2021</x:v>
      </x:c>
      <x:c r="L774" s="14" t="str">
        <x:v>Available from 2021 analysis</x:v>
      </x:c>
      <x:c r="M774" s="15" t="n">
        <x:v>181</x:v>
      </x:c>
      <x:c r="N774" s="14" t="str">
        <x:v>Wendy Albiston</x:v>
      </x:c>
      <x:c r="O774" s="14" t="str">
        <x:v>nm2058980</x:v>
      </x:c>
      <x:c r="P774" s="14" t="str">
        <x:v>Susan Stocks</x:v>
      </x:c>
      <x:c r="Q774" s="15" t="n">
        <x:v>1</x:v>
      </x:c>
      <x:c r="R774" s="14" t="str">
        <x:v>2024</x:v>
      </x:c>
      <x:c r="S774" s="14" t="n">
        <x:v>2024</x:v>
      </x:c>
      <x:c r="T774" s="14" t="n">
        <x:v>2024</x:v>
      </x:c>
      <x:c r="U774" s="14" t="str">
        <x:v>Post-2021 casting excluded</x:v>
      </x:c>
      <x:c r="V774" s="14" t="str">
        <x:v>Earliest supplied year is 2024, later than the 2021 study year.</x:v>
      </x:c>
      <x:c r="W774" s="14"/>
      <x:c r="X774" s="14" t="str">
        <x:v>Carried forward to 2024</x:v>
      </x:c>
      <x:c r="Y774" s="14"/>
      <x:c r="Z774" s="14" t="str">
        <x:v>Grace.docx</x:v>
      </x:c>
      <x:c r="AA7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4" s="14" t="str">
        <x:v>No established-register match</x:v>
      </x:c>
      <x:c r="AC774" s="14"/>
      <x:c r="AD774" s="14"/>
      <x:c r="AE774" s="14"/>
      <x:c r="AF774" s="14"/>
      <x:c r="AG774" s="14" t="str">
        <x:v>No qualifying conclusion recorded. Absence from the register is not evidence that the performer is not disabled.</x:v>
      </x:c>
      <x:c r="AH774" s="14" t="str">
        <x:v>ITV / ITVX</x:v>
      </x:c>
      <x:c r="AI774" s="14" t="str">
        <x:v>UK original commission</x:v>
      </x:c>
      <x:c r="AJ774" s="14" t="str">
        <x:v>Exact normalised title</x:v>
      </x:c>
      <x:c r="AK774" s="14" t="str">
        <x:v>Medium</x:v>
      </x:c>
      <x:c r="AL774" s="14" t="str">
        <x:v>Verified for commissioner/platform scope; uk original commission.</x:v>
      </x:c>
      <x:c r="AM774" s="17" t="e">
        <x:f>HYPERLINK("https://en.wikipedia.org/wiki/Grace","Open source")</x:f>
        <x:v>HYPERLINK is not implemented. linkLocation=https://en.wikipedia.org/wiki/Grace, friendlyName=Open source</x:v>
      </x:c>
      <x:c r="AN774" s="14" t="str">
        <x:v>No qualifying BBC relationship</x:v>
      </x:c>
      <x:c r="AO774" s="14" t="str">
        <x:v>No</x:v>
      </x:c>
      <x:c r="AP774" s="14" t="str">
        <x:v>Out of scope</x:v>
      </x:c>
      <x:c r="AQ774" s="14" t="str">
        <x:v>No</x:v>
      </x:c>
      <x:c r="AR774" s="14" t="str">
        <x:v>Resolved from master register</x:v>
      </x:c>
      <x:c r="AS774" s="14" t="str">
        <x:v>No established-register match</x:v>
      </x:c>
      <x:c r="AT774" s="14"/>
      <x:c r="AU774" s="14"/>
      <x:c r="AV774" s="14" t="str">
        <x:v>No established apparent-disability match</x:v>
      </x:c>
      <x:c r="AW774" s="14"/>
      <x:c r="AX774" s="14" t="str">
        <x:v>No</x:v>
      </x:c>
      <x:c r="AY774" s="14" t="str">
        <x:v>Unmatched</x:v>
      </x:c>
      <x:c r="AZ774" s="14" t="str">
        <x:v>Final supplied register</x:v>
      </x:c>
      <x:c r="BA774" s="14" t="str">
        <x:v>Absence from the register is not evidence that the performer is not disabled.</x:v>
      </x:c>
      <x:c r="BB774" s="14" t="str">
        <x:v>No established-register match</x:v>
      </x:c>
      <x:c r="BC774" s="14"/>
      <x:c r="BD774" s="14"/>
      <x:c r="BE774" s="14"/>
      <x:c r="BF774" s="14" t="str">
        <x:v>No established apparent-disability match</x:v>
      </x:c>
      <x:c r="BG774" s="14"/>
      <x:c r="BH774" s="14" t="str">
        <x:v>No</x:v>
      </x:c>
      <x:c r="BI774" s="14"/>
      <x:c r="BJ774" s="14"/>
      <x:c r="BK774" s="14"/>
      <x:c r="BL774" s="14" t="str">
        <x:v>Unmatched</x:v>
      </x:c>
      <x:c r="BM774" s="14" t="str">
        <x:v>Final supplied register</x:v>
      </x:c>
      <x:c r="BN774" s="14" t="str">
        <x:v>Absence from the register is not evidence that the performer is not disabled.</x:v>
      </x:c>
      <x:c r="BO774" s="14" t="n">
        <x:v>20</x:v>
      </x:c>
      <x:c r="BP774" s="14" t="str">
        <x:v>Maximum eligible IMDb cast-credit total (20), shared by 4 performer(s); not independently verified as a 2021-only episode total.</x:v>
      </x:c>
      <x:c r="BQ774" s="14" t="str">
        <x:v>Medium</x:v>
      </x:c>
      <x:c r="BR774" s="15" t="n">
        <x:v>1</x:v>
      </x:c>
      <x:c r="BS774" s="16" t="n">
        <x:v>0.05</x:v>
      </x:c>
      <x:c r="BT774" s="14" t="str">
        <x:v>One episode</x:v>
      </x:c>
      <x:c r="BU774" s="14" t="str">
        <x:v>Medium</x:v>
      </x:c>
      <x:c r="BV774" s="14" t="str">
        <x:v>Derived from supplied IMDb episode count and the documented production-total proxy.</x:v>
      </x:c>
      <x:c r="BW774" s="14" t="str">
        <x:v>Unable to determine</x:v>
      </x:c>
      <x:c r="BX774" s="14" t="str">
        <x:v>Supplied cast data establishes the credit and episode presence but does not establish narrative prominence.</x:v>
      </x:c>
      <x:c r="BY774" s="14" t="str">
        <x:v>Supplied IMDb cast-list workbook</x:v>
      </x:c>
      <x:c r="BZ7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4" s="14" t="str">
        <x:v>Not classified</x:v>
      </x:c>
      <x:c r="CB774" s="14" t="str">
        <x:v>Unable to determine</x:v>
      </x:c>
      <x:c r="CC774" s="14" t="str">
        <x:v>Unique</x:v>
      </x:c>
      <x:c r="CD774" s="14" t="str">
        <x:v>None identified</x:v>
      </x:c>
    </x:row>
    <x:row r="775">
      <x:c r="A775" s="14" t="str">
        <x:v>tt11639300|nm5496640|evan johnson</x:v>
      </x:c>
      <x:c r="B775" s="14" t="str">
        <x:v>02</x:v>
      </x:c>
      <x:c r="C775" s="14" t="str">
        <x:v>2021_IMDb_Cast_Lists_Batch_02(1).xlsx</x:v>
      </x:c>
      <x:c r="D775" s="14" t="str">
        <x:v>Grace</x:v>
      </x:c>
      <x:c r="E775" s="14" t="n">
        <x:v>189</x:v>
      </x:c>
      <x:c r="F775" s="14" t="str">
        <x:v>Grace</x:v>
      </x:c>
      <x:c r="G775" s="14" t="str">
        <x:v>tt11639300</x:v>
      </x:c>
      <x:c r="H775" s="14" t="n">
        <x:v>2021</x:v>
      </x:c>
      <x:c r="I775" s="14" t="n">
        <x:v>2023</x:v>
      </x:c>
      <x:c r="J775" s="14" t="str">
        <x:v>Future Carry-Forward Cohort</x:v>
      </x:c>
      <x:c r="K775" s="14" t="n">
        <x:v>2021</x:v>
      </x:c>
      <x:c r="L775" s="14" t="str">
        <x:v>Available from 2021 analysis</x:v>
      </x:c>
      <x:c r="M775" s="15" t="n">
        <x:v>182</x:v>
      </x:c>
      <x:c r="N775" s="14" t="str">
        <x:v>Joe Bolland</x:v>
      </x:c>
      <x:c r="O775" s="14" t="str">
        <x:v>nm5496640</x:v>
      </x:c>
      <x:c r="P775" s="14" t="str">
        <x:v>Evan Johnson</x:v>
      </x:c>
      <x:c r="Q775" s="15" t="n">
        <x:v>1</x:v>
      </x:c>
      <x:c r="R775" s="14" t="str">
        <x:v>2024</x:v>
      </x:c>
      <x:c r="S775" s="14" t="n">
        <x:v>2024</x:v>
      </x:c>
      <x:c r="T775" s="14" t="n">
        <x:v>2024</x:v>
      </x:c>
      <x:c r="U775" s="14" t="str">
        <x:v>Post-2021 casting excluded</x:v>
      </x:c>
      <x:c r="V775" s="14" t="str">
        <x:v>Earliest supplied year is 2024, later than the 2021 study year.</x:v>
      </x:c>
      <x:c r="W775" s="14"/>
      <x:c r="X775" s="14" t="str">
        <x:v>Carried forward to 2024</x:v>
      </x:c>
      <x:c r="Y775" s="14"/>
      <x:c r="Z775" s="14" t="str">
        <x:v>Grace.docx</x:v>
      </x:c>
      <x:c r="AA7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5" s="14" t="str">
        <x:v>No established-register match</x:v>
      </x:c>
      <x:c r="AC775" s="14"/>
      <x:c r="AD775" s="14"/>
      <x:c r="AE775" s="14"/>
      <x:c r="AF775" s="14"/>
      <x:c r="AG775" s="14" t="str">
        <x:v>No qualifying conclusion recorded. Absence from the register is not evidence that the performer is not disabled.</x:v>
      </x:c>
      <x:c r="AH775" s="14" t="str">
        <x:v>ITV / ITVX</x:v>
      </x:c>
      <x:c r="AI775" s="14" t="str">
        <x:v>UK original commission</x:v>
      </x:c>
      <x:c r="AJ775" s="14" t="str">
        <x:v>Exact normalised title</x:v>
      </x:c>
      <x:c r="AK775" s="14" t="str">
        <x:v>Medium</x:v>
      </x:c>
      <x:c r="AL775" s="14" t="str">
        <x:v>Verified for commissioner/platform scope; uk original commission.</x:v>
      </x:c>
      <x:c r="AM775" s="17" t="e">
        <x:f>HYPERLINK("https://en.wikipedia.org/wiki/Grace","Open source")</x:f>
        <x:v>HYPERLINK is not implemented. linkLocation=https://en.wikipedia.org/wiki/Grace, friendlyName=Open source</x:v>
      </x:c>
      <x:c r="AN775" s="14" t="str">
        <x:v>No qualifying BBC relationship</x:v>
      </x:c>
      <x:c r="AO775" s="14" t="str">
        <x:v>No</x:v>
      </x:c>
      <x:c r="AP775" s="14" t="str">
        <x:v>Out of scope</x:v>
      </x:c>
      <x:c r="AQ775" s="14" t="str">
        <x:v>No</x:v>
      </x:c>
      <x:c r="AR775" s="14" t="str">
        <x:v>Resolved from master register</x:v>
      </x:c>
      <x:c r="AS775" s="14" t="str">
        <x:v>No established-register match</x:v>
      </x:c>
      <x:c r="AT775" s="14"/>
      <x:c r="AU775" s="14"/>
      <x:c r="AV775" s="14" t="str">
        <x:v>No established apparent-disability match</x:v>
      </x:c>
      <x:c r="AW775" s="14"/>
      <x:c r="AX775" s="14" t="str">
        <x:v>No</x:v>
      </x:c>
      <x:c r="AY775" s="14" t="str">
        <x:v>Unmatched</x:v>
      </x:c>
      <x:c r="AZ775" s="14" t="str">
        <x:v>Final supplied register</x:v>
      </x:c>
      <x:c r="BA775" s="14" t="str">
        <x:v>Absence from the register is not evidence that the performer is not disabled.</x:v>
      </x:c>
      <x:c r="BB775" s="14" t="str">
        <x:v>No established-register match</x:v>
      </x:c>
      <x:c r="BC775" s="14"/>
      <x:c r="BD775" s="14"/>
      <x:c r="BE775" s="14"/>
      <x:c r="BF775" s="14" t="str">
        <x:v>No established apparent-disability match</x:v>
      </x:c>
      <x:c r="BG775" s="14"/>
      <x:c r="BH775" s="14" t="str">
        <x:v>No</x:v>
      </x:c>
      <x:c r="BI775" s="14"/>
      <x:c r="BJ775" s="14"/>
      <x:c r="BK775" s="14"/>
      <x:c r="BL775" s="14" t="str">
        <x:v>Unmatched</x:v>
      </x:c>
      <x:c r="BM775" s="14" t="str">
        <x:v>Final supplied register</x:v>
      </x:c>
      <x:c r="BN775" s="14" t="str">
        <x:v>Absence from the register is not evidence that the performer is not disabled.</x:v>
      </x:c>
      <x:c r="BO775" s="14" t="n">
        <x:v>20</x:v>
      </x:c>
      <x:c r="BP775" s="14" t="str">
        <x:v>Maximum eligible IMDb cast-credit total (20), shared by 4 performer(s); not independently verified as a 2021-only episode total.</x:v>
      </x:c>
      <x:c r="BQ775" s="14" t="str">
        <x:v>Medium</x:v>
      </x:c>
      <x:c r="BR775" s="15" t="n">
        <x:v>1</x:v>
      </x:c>
      <x:c r="BS775" s="16" t="n">
        <x:v>0.05</x:v>
      </x:c>
      <x:c r="BT775" s="14" t="str">
        <x:v>One episode</x:v>
      </x:c>
      <x:c r="BU775" s="14" t="str">
        <x:v>Medium</x:v>
      </x:c>
      <x:c r="BV775" s="14" t="str">
        <x:v>Derived from supplied IMDb episode count and the documented production-total proxy.</x:v>
      </x:c>
      <x:c r="BW775" s="14" t="str">
        <x:v>Unable to determine</x:v>
      </x:c>
      <x:c r="BX775" s="14" t="str">
        <x:v>Supplied cast data establishes the credit and episode presence but does not establish narrative prominence.</x:v>
      </x:c>
      <x:c r="BY775" s="14" t="str">
        <x:v>Supplied IMDb cast-list workbook</x:v>
      </x:c>
      <x:c r="BZ7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5" s="14" t="str">
        <x:v>Not classified</x:v>
      </x:c>
      <x:c r="CB775" s="14" t="str">
        <x:v>Unable to determine</x:v>
      </x:c>
      <x:c r="CC775" s="14" t="str">
        <x:v>Unique</x:v>
      </x:c>
      <x:c r="CD775" s="14" t="str">
        <x:v>None identified</x:v>
      </x:c>
    </x:row>
    <x:row r="776">
      <x:c r="A776" s="14" t="str">
        <x:v>tt11639300|nm10417728|brendan daly</x:v>
      </x:c>
      <x:c r="B776" s="14" t="str">
        <x:v>02</x:v>
      </x:c>
      <x:c r="C776" s="14" t="str">
        <x:v>2021_IMDb_Cast_Lists_Batch_02(1).xlsx</x:v>
      </x:c>
      <x:c r="D776" s="14" t="str">
        <x:v>Grace</x:v>
      </x:c>
      <x:c r="E776" s="14" t="n">
        <x:v>190</x:v>
      </x:c>
      <x:c r="F776" s="14" t="str">
        <x:v>Grace</x:v>
      </x:c>
      <x:c r="G776" s="14" t="str">
        <x:v>tt11639300</x:v>
      </x:c>
      <x:c r="H776" s="14" t="n">
        <x:v>2021</x:v>
      </x:c>
      <x:c r="I776" s="14" t="n">
        <x:v>2023</x:v>
      </x:c>
      <x:c r="J776" s="14" t="str">
        <x:v>Future Carry-Forward Cohort</x:v>
      </x:c>
      <x:c r="K776" s="14" t="n">
        <x:v>2021</x:v>
      </x:c>
      <x:c r="L776" s="14" t="str">
        <x:v>Available from 2021 analysis</x:v>
      </x:c>
      <x:c r="M776" s="15" t="n">
        <x:v>183</x:v>
      </x:c>
      <x:c r="N776" s="14" t="str">
        <x:v>Alan Mahon</x:v>
      </x:c>
      <x:c r="O776" s="14" t="str">
        <x:v>nm10417728</x:v>
      </x:c>
      <x:c r="P776" s="14" t="str">
        <x:v>Brendan Daly</x:v>
      </x:c>
      <x:c r="Q776" s="15" t="n">
        <x:v>1</x:v>
      </x:c>
      <x:c r="R776" s="14" t="str">
        <x:v>2024</x:v>
      </x:c>
      <x:c r="S776" s="14" t="n">
        <x:v>2024</x:v>
      </x:c>
      <x:c r="T776" s="14" t="n">
        <x:v>2024</x:v>
      </x:c>
      <x:c r="U776" s="14" t="str">
        <x:v>Post-2021 casting excluded</x:v>
      </x:c>
      <x:c r="V776" s="14" t="str">
        <x:v>Earliest supplied year is 2024, later than the 2021 study year.</x:v>
      </x:c>
      <x:c r="W776" s="14"/>
      <x:c r="X776" s="14" t="str">
        <x:v>Carried forward to 2024</x:v>
      </x:c>
      <x:c r="Y776" s="14"/>
      <x:c r="Z776" s="14" t="str">
        <x:v>Grace.docx</x:v>
      </x:c>
      <x:c r="AA7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6" s="14" t="str">
        <x:v>No established-register match</x:v>
      </x:c>
      <x:c r="AC776" s="14"/>
      <x:c r="AD776" s="14"/>
      <x:c r="AE776" s="14"/>
      <x:c r="AF776" s="14"/>
      <x:c r="AG776" s="14" t="str">
        <x:v>No qualifying conclusion recorded. Absence from the register is not evidence that the performer is not disabled.</x:v>
      </x:c>
      <x:c r="AH776" s="14" t="str">
        <x:v>ITV / ITVX</x:v>
      </x:c>
      <x:c r="AI776" s="14" t="str">
        <x:v>UK original commission</x:v>
      </x:c>
      <x:c r="AJ776" s="14" t="str">
        <x:v>Exact normalised title</x:v>
      </x:c>
      <x:c r="AK776" s="14" t="str">
        <x:v>Medium</x:v>
      </x:c>
      <x:c r="AL776" s="14" t="str">
        <x:v>Verified for commissioner/platform scope; uk original commission.</x:v>
      </x:c>
      <x:c r="AM776" s="17" t="e">
        <x:f>HYPERLINK("https://en.wikipedia.org/wiki/Grace","Open source")</x:f>
        <x:v>HYPERLINK is not implemented. linkLocation=https://en.wikipedia.org/wiki/Grace, friendlyName=Open source</x:v>
      </x:c>
      <x:c r="AN776" s="14" t="str">
        <x:v>No qualifying BBC relationship</x:v>
      </x:c>
      <x:c r="AO776" s="14" t="str">
        <x:v>No</x:v>
      </x:c>
      <x:c r="AP776" s="14" t="str">
        <x:v>Out of scope</x:v>
      </x:c>
      <x:c r="AQ776" s="14" t="str">
        <x:v>No</x:v>
      </x:c>
      <x:c r="AR776" s="14" t="str">
        <x:v>Resolved from master register</x:v>
      </x:c>
      <x:c r="AS776" s="14" t="str">
        <x:v>No established-register match</x:v>
      </x:c>
      <x:c r="AT776" s="14"/>
      <x:c r="AU776" s="14"/>
      <x:c r="AV776" s="14" t="str">
        <x:v>No established apparent-disability match</x:v>
      </x:c>
      <x:c r="AW776" s="14"/>
      <x:c r="AX776" s="14" t="str">
        <x:v>No</x:v>
      </x:c>
      <x:c r="AY776" s="14" t="str">
        <x:v>Unmatched</x:v>
      </x:c>
      <x:c r="AZ776" s="14" t="str">
        <x:v>Final supplied register</x:v>
      </x:c>
      <x:c r="BA776" s="14" t="str">
        <x:v>Absence from the register is not evidence that the performer is not disabled.</x:v>
      </x:c>
      <x:c r="BB776" s="14" t="str">
        <x:v>No established-register match</x:v>
      </x:c>
      <x:c r="BC776" s="14"/>
      <x:c r="BD776" s="14"/>
      <x:c r="BE776" s="14"/>
      <x:c r="BF776" s="14" t="str">
        <x:v>No established apparent-disability match</x:v>
      </x:c>
      <x:c r="BG776" s="14"/>
      <x:c r="BH776" s="14" t="str">
        <x:v>No</x:v>
      </x:c>
      <x:c r="BI776" s="14"/>
      <x:c r="BJ776" s="14"/>
      <x:c r="BK776" s="14"/>
      <x:c r="BL776" s="14" t="str">
        <x:v>Unmatched</x:v>
      </x:c>
      <x:c r="BM776" s="14" t="str">
        <x:v>Final supplied register</x:v>
      </x:c>
      <x:c r="BN776" s="14" t="str">
        <x:v>Absence from the register is not evidence that the performer is not disabled.</x:v>
      </x:c>
      <x:c r="BO776" s="14" t="n">
        <x:v>20</x:v>
      </x:c>
      <x:c r="BP776" s="14" t="str">
        <x:v>Maximum eligible IMDb cast-credit total (20), shared by 4 performer(s); not independently verified as a 2021-only episode total.</x:v>
      </x:c>
      <x:c r="BQ776" s="14" t="str">
        <x:v>Medium</x:v>
      </x:c>
      <x:c r="BR776" s="15" t="n">
        <x:v>1</x:v>
      </x:c>
      <x:c r="BS776" s="16" t="n">
        <x:v>0.05</x:v>
      </x:c>
      <x:c r="BT776" s="14" t="str">
        <x:v>One episode</x:v>
      </x:c>
      <x:c r="BU776" s="14" t="str">
        <x:v>Medium</x:v>
      </x:c>
      <x:c r="BV776" s="14" t="str">
        <x:v>Derived from supplied IMDb episode count and the documented production-total proxy.</x:v>
      </x:c>
      <x:c r="BW776" s="14" t="str">
        <x:v>Unable to determine</x:v>
      </x:c>
      <x:c r="BX776" s="14" t="str">
        <x:v>Supplied cast data establishes the credit and episode presence but does not establish narrative prominence.</x:v>
      </x:c>
      <x:c r="BY776" s="14" t="str">
        <x:v>Supplied IMDb cast-list workbook</x:v>
      </x:c>
      <x:c r="BZ7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6" s="14" t="str">
        <x:v>Not classified</x:v>
      </x:c>
      <x:c r="CB776" s="14" t="str">
        <x:v>Unable to determine</x:v>
      </x:c>
      <x:c r="CC776" s="14" t="str">
        <x:v>Unique</x:v>
      </x:c>
      <x:c r="CD776" s="14" t="str">
        <x:v>None identified</x:v>
      </x:c>
    </x:row>
    <x:row r="777">
      <x:c r="A777" s="14" t="str">
        <x:v>tt11639300|nm0536188|max barlow</x:v>
      </x:c>
      <x:c r="B777" s="14" t="str">
        <x:v>02</x:v>
      </x:c>
      <x:c r="C777" s="14" t="str">
        <x:v>2021_IMDb_Cast_Lists_Batch_02(1).xlsx</x:v>
      </x:c>
      <x:c r="D777" s="14" t="str">
        <x:v>Grace</x:v>
      </x:c>
      <x:c r="E777" s="14" t="n">
        <x:v>199</x:v>
      </x:c>
      <x:c r="F777" s="14" t="str">
        <x:v>Grace</x:v>
      </x:c>
      <x:c r="G777" s="14" t="str">
        <x:v>tt11639300</x:v>
      </x:c>
      <x:c r="H777" s="14" t="n">
        <x:v>2021</x:v>
      </x:c>
      <x:c r="I777" s="14" t="n">
        <x:v>2023</x:v>
      </x:c>
      <x:c r="J777" s="14" t="str">
        <x:v>Future Carry-Forward Cohort</x:v>
      </x:c>
      <x:c r="K777" s="14" t="n">
        <x:v>2021</x:v>
      </x:c>
      <x:c r="L777" s="14" t="str">
        <x:v>Available from 2021 analysis</x:v>
      </x:c>
      <x:c r="M777" s="15" t="n">
        <x:v>192</x:v>
      </x:c>
      <x:c r="N777" s="14" t="str">
        <x:v>Jonathan Magnanti</x:v>
      </x:c>
      <x:c r="O777" s="14" t="str">
        <x:v>nm0536188</x:v>
      </x:c>
      <x:c r="P777" s="14" t="str">
        <x:v>Max Barlow</x:v>
      </x:c>
      <x:c r="Q777" s="15" t="n">
        <x:v>1</x:v>
      </x:c>
      <x:c r="R777" s="14" t="str">
        <x:v>2024</x:v>
      </x:c>
      <x:c r="S777" s="14" t="n">
        <x:v>2024</x:v>
      </x:c>
      <x:c r="T777" s="14" t="n">
        <x:v>2024</x:v>
      </x:c>
      <x:c r="U777" s="14" t="str">
        <x:v>Post-2021 casting excluded</x:v>
      </x:c>
      <x:c r="V777" s="14" t="str">
        <x:v>Earliest supplied year is 2024, later than the 2021 study year.</x:v>
      </x:c>
      <x:c r="W777" s="14"/>
      <x:c r="X777" s="14" t="str">
        <x:v>Carried forward to 2024</x:v>
      </x:c>
      <x:c r="Y777" s="14" t="str">
        <x:v>(as Jonny Magnanti)</x:v>
      </x:c>
      <x:c r="Z777" s="14" t="str">
        <x:v>Grace.docx</x:v>
      </x:c>
      <x:c r="AA7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7" s="14" t="str">
        <x:v>No established-register match</x:v>
      </x:c>
      <x:c r="AC777" s="14"/>
      <x:c r="AD777" s="14"/>
      <x:c r="AE777" s="14"/>
      <x:c r="AF777" s="14"/>
      <x:c r="AG777" s="14" t="str">
        <x:v>No qualifying conclusion recorded. Absence from the register is not evidence that the performer is not disabled.</x:v>
      </x:c>
      <x:c r="AH777" s="14" t="str">
        <x:v>ITV / ITVX</x:v>
      </x:c>
      <x:c r="AI777" s="14" t="str">
        <x:v>UK original commission</x:v>
      </x:c>
      <x:c r="AJ777" s="14" t="str">
        <x:v>Exact normalised title</x:v>
      </x:c>
      <x:c r="AK777" s="14" t="str">
        <x:v>Medium</x:v>
      </x:c>
      <x:c r="AL777" s="14" t="str">
        <x:v>Verified for commissioner/platform scope; uk original commission.</x:v>
      </x:c>
      <x:c r="AM777" s="17" t="e">
        <x:f>HYPERLINK("https://en.wikipedia.org/wiki/Grace","Open source")</x:f>
        <x:v>HYPERLINK is not implemented. linkLocation=https://en.wikipedia.org/wiki/Grace, friendlyName=Open source</x:v>
      </x:c>
      <x:c r="AN777" s="14" t="str">
        <x:v>No qualifying BBC relationship</x:v>
      </x:c>
      <x:c r="AO777" s="14" t="str">
        <x:v>No</x:v>
      </x:c>
      <x:c r="AP777" s="14" t="str">
        <x:v>Out of scope</x:v>
      </x:c>
      <x:c r="AQ777" s="14" t="str">
        <x:v>No</x:v>
      </x:c>
      <x:c r="AR777" s="14" t="str">
        <x:v>Resolved from master register</x:v>
      </x:c>
      <x:c r="AS777" s="14" t="str">
        <x:v>No established-register match</x:v>
      </x:c>
      <x:c r="AT777" s="14"/>
      <x:c r="AU777" s="14"/>
      <x:c r="AV777" s="14" t="str">
        <x:v>No established apparent-disability match</x:v>
      </x:c>
      <x:c r="AW777" s="14"/>
      <x:c r="AX777" s="14" t="str">
        <x:v>No</x:v>
      </x:c>
      <x:c r="AY777" s="14" t="str">
        <x:v>Unmatched</x:v>
      </x:c>
      <x:c r="AZ777" s="14" t="str">
        <x:v>Final supplied register</x:v>
      </x:c>
      <x:c r="BA777" s="14" t="str">
        <x:v>Absence from the register is not evidence that the performer is not disabled.</x:v>
      </x:c>
      <x:c r="BB777" s="14" t="str">
        <x:v>No established-register match</x:v>
      </x:c>
      <x:c r="BC777" s="14"/>
      <x:c r="BD777" s="14"/>
      <x:c r="BE777" s="14"/>
      <x:c r="BF777" s="14" t="str">
        <x:v>No established apparent-disability match</x:v>
      </x:c>
      <x:c r="BG777" s="14"/>
      <x:c r="BH777" s="14" t="str">
        <x:v>No</x:v>
      </x:c>
      <x:c r="BI777" s="14"/>
      <x:c r="BJ777" s="14"/>
      <x:c r="BK777" s="14"/>
      <x:c r="BL777" s="14" t="str">
        <x:v>Unmatched</x:v>
      </x:c>
      <x:c r="BM777" s="14" t="str">
        <x:v>Final supplied register</x:v>
      </x:c>
      <x:c r="BN777" s="14" t="str">
        <x:v>Absence from the register is not evidence that the performer is not disabled.</x:v>
      </x:c>
      <x:c r="BO777" s="14" t="n">
        <x:v>20</x:v>
      </x:c>
      <x:c r="BP777" s="14" t="str">
        <x:v>Maximum eligible IMDb cast-credit total (20), shared by 4 performer(s); not independently verified as a 2021-only episode total.</x:v>
      </x:c>
      <x:c r="BQ777" s="14" t="str">
        <x:v>Medium</x:v>
      </x:c>
      <x:c r="BR777" s="15" t="n">
        <x:v>1</x:v>
      </x:c>
      <x:c r="BS777" s="16" t="n">
        <x:v>0.05</x:v>
      </x:c>
      <x:c r="BT777" s="14" t="str">
        <x:v>One episode</x:v>
      </x:c>
      <x:c r="BU777" s="14" t="str">
        <x:v>Medium</x:v>
      </x:c>
      <x:c r="BV777" s="14" t="str">
        <x:v>Derived from supplied IMDb episode count and the documented production-total proxy.</x:v>
      </x:c>
      <x:c r="BW777" s="14" t="str">
        <x:v>Unable to determine</x:v>
      </x:c>
      <x:c r="BX777" s="14" t="str">
        <x:v>Supplied cast data establishes the credit and episode presence but does not establish narrative prominence.</x:v>
      </x:c>
      <x:c r="BY777" s="14" t="str">
        <x:v>Supplied IMDb cast-list workbook</x:v>
      </x:c>
      <x:c r="BZ7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7" s="14" t="str">
        <x:v>Not classified</x:v>
      </x:c>
      <x:c r="CB777" s="14" t="str">
        <x:v>Unable to determine</x:v>
      </x:c>
      <x:c r="CC777" s="14" t="str">
        <x:v>Unique</x:v>
      </x:c>
      <x:c r="CD777" s="14" t="str">
        <x:v>None identified</x:v>
      </x:c>
    </x:row>
    <x:row r="778">
      <x:c r="A778" s="14" t="str">
        <x:v>tt11639300|nm16235451|christian muller</x:v>
      </x:c>
      <x:c r="B778" s="14" t="str">
        <x:v>02</x:v>
      </x:c>
      <x:c r="C778" s="14" t="str">
        <x:v>2021_IMDb_Cast_Lists_Batch_02(1).xlsx</x:v>
      </x:c>
      <x:c r="D778" s="14" t="str">
        <x:v>Grace</x:v>
      </x:c>
      <x:c r="E778" s="14" t="n">
        <x:v>200</x:v>
      </x:c>
      <x:c r="F778" s="14" t="str">
        <x:v>Grace</x:v>
      </x:c>
      <x:c r="G778" s="14" t="str">
        <x:v>tt11639300</x:v>
      </x:c>
      <x:c r="H778" s="14" t="n">
        <x:v>2021</x:v>
      </x:c>
      <x:c r="I778" s="14" t="n">
        <x:v>2023</x:v>
      </x:c>
      <x:c r="J778" s="14" t="str">
        <x:v>Future Carry-Forward Cohort</x:v>
      </x:c>
      <x:c r="K778" s="14" t="n">
        <x:v>2021</x:v>
      </x:c>
      <x:c r="L778" s="14" t="str">
        <x:v>Available from 2021 analysis</x:v>
      </x:c>
      <x:c r="M778" s="15" t="n">
        <x:v>193</x:v>
      </x:c>
      <x:c r="N778" s="14" t="str">
        <x:v>Craig Blake</x:v>
      </x:c>
      <x:c r="O778" s="14" t="str">
        <x:v>nm16235451</x:v>
      </x:c>
      <x:c r="P778" s="14" t="str">
        <x:v>Christian Muller</x:v>
      </x:c>
      <x:c r="Q778" s="15" t="n">
        <x:v>1</x:v>
      </x:c>
      <x:c r="R778" s="14" t="str">
        <x:v>2024</x:v>
      </x:c>
      <x:c r="S778" s="14" t="n">
        <x:v>2024</x:v>
      </x:c>
      <x:c r="T778" s="14" t="n">
        <x:v>2024</x:v>
      </x:c>
      <x:c r="U778" s="14" t="str">
        <x:v>Post-2021 casting excluded</x:v>
      </x:c>
      <x:c r="V778" s="14" t="str">
        <x:v>Earliest supplied year is 2024, later than the 2021 study year.</x:v>
      </x:c>
      <x:c r="W778" s="14"/>
      <x:c r="X778" s="14" t="str">
        <x:v>Carried forward to 2024</x:v>
      </x:c>
      <x:c r="Y778" s="14"/>
      <x:c r="Z778" s="14" t="str">
        <x:v>Grace.docx</x:v>
      </x:c>
      <x:c r="AA7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8" s="14" t="str">
        <x:v>No established-register match</x:v>
      </x:c>
      <x:c r="AC778" s="14"/>
      <x:c r="AD778" s="14"/>
      <x:c r="AE778" s="14"/>
      <x:c r="AF778" s="14"/>
      <x:c r="AG778" s="14" t="str">
        <x:v>No qualifying conclusion recorded. Absence from the register is not evidence that the performer is not disabled.</x:v>
      </x:c>
      <x:c r="AH778" s="14" t="str">
        <x:v>ITV / ITVX</x:v>
      </x:c>
      <x:c r="AI778" s="14" t="str">
        <x:v>UK original commission</x:v>
      </x:c>
      <x:c r="AJ778" s="14" t="str">
        <x:v>Exact normalised title</x:v>
      </x:c>
      <x:c r="AK778" s="14" t="str">
        <x:v>Medium</x:v>
      </x:c>
      <x:c r="AL778" s="14" t="str">
        <x:v>Verified for commissioner/platform scope; uk original commission.</x:v>
      </x:c>
      <x:c r="AM778" s="17" t="e">
        <x:f>HYPERLINK("https://en.wikipedia.org/wiki/Grace","Open source")</x:f>
        <x:v>HYPERLINK is not implemented. linkLocation=https://en.wikipedia.org/wiki/Grace, friendlyName=Open source</x:v>
      </x:c>
      <x:c r="AN778" s="14" t="str">
        <x:v>No qualifying BBC relationship</x:v>
      </x:c>
      <x:c r="AO778" s="14" t="str">
        <x:v>No</x:v>
      </x:c>
      <x:c r="AP778" s="14" t="str">
        <x:v>Out of scope</x:v>
      </x:c>
      <x:c r="AQ778" s="14" t="str">
        <x:v>No</x:v>
      </x:c>
      <x:c r="AR778" s="14" t="str">
        <x:v>Resolved from master register</x:v>
      </x:c>
      <x:c r="AS778" s="14" t="str">
        <x:v>No established-register match</x:v>
      </x:c>
      <x:c r="AT778" s="14"/>
      <x:c r="AU778" s="14"/>
      <x:c r="AV778" s="14" t="str">
        <x:v>No established apparent-disability match</x:v>
      </x:c>
      <x:c r="AW778" s="14"/>
      <x:c r="AX778" s="14" t="str">
        <x:v>No</x:v>
      </x:c>
      <x:c r="AY778" s="14" t="str">
        <x:v>Unmatched</x:v>
      </x:c>
      <x:c r="AZ778" s="14" t="str">
        <x:v>Final supplied register</x:v>
      </x:c>
      <x:c r="BA778" s="14" t="str">
        <x:v>Absence from the register is not evidence that the performer is not disabled.</x:v>
      </x:c>
      <x:c r="BB778" s="14" t="str">
        <x:v>No established-register match</x:v>
      </x:c>
      <x:c r="BC778" s="14"/>
      <x:c r="BD778" s="14"/>
      <x:c r="BE778" s="14"/>
      <x:c r="BF778" s="14" t="str">
        <x:v>No established apparent-disability match</x:v>
      </x:c>
      <x:c r="BG778" s="14"/>
      <x:c r="BH778" s="14" t="str">
        <x:v>No</x:v>
      </x:c>
      <x:c r="BI778" s="14"/>
      <x:c r="BJ778" s="14"/>
      <x:c r="BK778" s="14"/>
      <x:c r="BL778" s="14" t="str">
        <x:v>Unmatched</x:v>
      </x:c>
      <x:c r="BM778" s="14" t="str">
        <x:v>Final supplied register</x:v>
      </x:c>
      <x:c r="BN778" s="14" t="str">
        <x:v>Absence from the register is not evidence that the performer is not disabled.</x:v>
      </x:c>
      <x:c r="BO778" s="14" t="n">
        <x:v>20</x:v>
      </x:c>
      <x:c r="BP778" s="14" t="str">
        <x:v>Maximum eligible IMDb cast-credit total (20), shared by 4 performer(s); not independently verified as a 2021-only episode total.</x:v>
      </x:c>
      <x:c r="BQ778" s="14" t="str">
        <x:v>Medium</x:v>
      </x:c>
      <x:c r="BR778" s="15" t="n">
        <x:v>1</x:v>
      </x:c>
      <x:c r="BS778" s="16" t="n">
        <x:v>0.05</x:v>
      </x:c>
      <x:c r="BT778" s="14" t="str">
        <x:v>One episode</x:v>
      </x:c>
      <x:c r="BU778" s="14" t="str">
        <x:v>Medium</x:v>
      </x:c>
      <x:c r="BV778" s="14" t="str">
        <x:v>Derived from supplied IMDb episode count and the documented production-total proxy.</x:v>
      </x:c>
      <x:c r="BW778" s="14" t="str">
        <x:v>Unable to determine</x:v>
      </x:c>
      <x:c r="BX778" s="14" t="str">
        <x:v>Supplied cast data establishes the credit and episode presence but does not establish narrative prominence.</x:v>
      </x:c>
      <x:c r="BY778" s="14" t="str">
        <x:v>Supplied IMDb cast-list workbook</x:v>
      </x:c>
      <x:c r="BZ7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8" s="14" t="str">
        <x:v>Not classified</x:v>
      </x:c>
      <x:c r="CB778" s="14" t="str">
        <x:v>Unable to determine</x:v>
      </x:c>
      <x:c r="CC778" s="14" t="str">
        <x:v>Unique</x:v>
      </x:c>
      <x:c r="CD778" s="14" t="str">
        <x:v>None identified</x:v>
      </x:c>
    </x:row>
    <x:row r="779">
      <x:c r="A779" s="14" t="str">
        <x:v>tt11639300|nm0898377|rowley carmichael</x:v>
      </x:c>
      <x:c r="B779" s="14" t="str">
        <x:v>02</x:v>
      </x:c>
      <x:c r="C779" s="14" t="str">
        <x:v>2021_IMDb_Cast_Lists_Batch_02(1).xlsx</x:v>
      </x:c>
      <x:c r="D779" s="14" t="str">
        <x:v>Grace</x:v>
      </x:c>
      <x:c r="E779" s="14" t="n">
        <x:v>213</x:v>
      </x:c>
      <x:c r="F779" s="14" t="str">
        <x:v>Grace</x:v>
      </x:c>
      <x:c r="G779" s="14" t="str">
        <x:v>tt11639300</x:v>
      </x:c>
      <x:c r="H779" s="14" t="n">
        <x:v>2021</x:v>
      </x:c>
      <x:c r="I779" s="14" t="n">
        <x:v>2023</x:v>
      </x:c>
      <x:c r="J779" s="14" t="str">
        <x:v>Future Carry-Forward Cohort</x:v>
      </x:c>
      <x:c r="K779" s="14" t="n">
        <x:v>2021</x:v>
      </x:c>
      <x:c r="L779" s="14" t="str">
        <x:v>Available from 2021 analysis</x:v>
      </x:c>
      <x:c r="M779" s="15" t="n">
        <x:v>206</x:v>
      </x:c>
      <x:c r="N779" s="14" t="str">
        <x:v>Jay Villiers</x:v>
      </x:c>
      <x:c r="O779" s="14" t="str">
        <x:v>nm0898377</x:v>
      </x:c>
      <x:c r="P779" s="14" t="str">
        <x:v>Rowley Carmichael</x:v>
      </x:c>
      <x:c r="Q779" s="15" t="n">
        <x:v>1</x:v>
      </x:c>
      <x:c r="R779" s="14" t="str">
        <x:v>2024</x:v>
      </x:c>
      <x:c r="S779" s="14" t="n">
        <x:v>2024</x:v>
      </x:c>
      <x:c r="T779" s="14" t="n">
        <x:v>2024</x:v>
      </x:c>
      <x:c r="U779" s="14" t="str">
        <x:v>Post-2021 casting excluded</x:v>
      </x:c>
      <x:c r="V779" s="14" t="str">
        <x:v>Earliest supplied year is 2024, later than the 2021 study year.</x:v>
      </x:c>
      <x:c r="W779" s="14"/>
      <x:c r="X779" s="14" t="str">
        <x:v>Carried forward to 2024</x:v>
      </x:c>
      <x:c r="Y779" s="14"/>
      <x:c r="Z779" s="14" t="str">
        <x:v>Grace.docx</x:v>
      </x:c>
      <x:c r="AA7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9" s="14" t="str">
        <x:v>No established-register match</x:v>
      </x:c>
      <x:c r="AC779" s="14"/>
      <x:c r="AD779" s="14"/>
      <x:c r="AE779" s="14"/>
      <x:c r="AF779" s="14"/>
      <x:c r="AG779" s="14" t="str">
        <x:v>No qualifying conclusion recorded. Absence from the register is not evidence that the performer is not disabled.</x:v>
      </x:c>
      <x:c r="AH779" s="14" t="str">
        <x:v>ITV / ITVX</x:v>
      </x:c>
      <x:c r="AI779" s="14" t="str">
        <x:v>UK original commission</x:v>
      </x:c>
      <x:c r="AJ779" s="14" t="str">
        <x:v>Exact normalised title</x:v>
      </x:c>
      <x:c r="AK779" s="14" t="str">
        <x:v>Medium</x:v>
      </x:c>
      <x:c r="AL779" s="14" t="str">
        <x:v>Verified for commissioner/platform scope; uk original commission.</x:v>
      </x:c>
      <x:c r="AM779" s="17" t="e">
        <x:f>HYPERLINK("https://en.wikipedia.org/wiki/Grace","Open source")</x:f>
        <x:v>HYPERLINK is not implemented. linkLocation=https://en.wikipedia.org/wiki/Grace, friendlyName=Open source</x:v>
      </x:c>
      <x:c r="AN779" s="14" t="str">
        <x:v>No qualifying BBC relationship</x:v>
      </x:c>
      <x:c r="AO779" s="14" t="str">
        <x:v>No</x:v>
      </x:c>
      <x:c r="AP779" s="14" t="str">
        <x:v>Out of scope</x:v>
      </x:c>
      <x:c r="AQ779" s="14" t="str">
        <x:v>No</x:v>
      </x:c>
      <x:c r="AR779" s="14" t="str">
        <x:v>Resolved from master register</x:v>
      </x:c>
      <x:c r="AS779" s="14" t="str">
        <x:v>No established-register match</x:v>
      </x:c>
      <x:c r="AT779" s="14"/>
      <x:c r="AU779" s="14"/>
      <x:c r="AV779" s="14" t="str">
        <x:v>No established apparent-disability match</x:v>
      </x:c>
      <x:c r="AW779" s="14"/>
      <x:c r="AX779" s="14" t="str">
        <x:v>No</x:v>
      </x:c>
      <x:c r="AY779" s="14" t="str">
        <x:v>Unmatched</x:v>
      </x:c>
      <x:c r="AZ779" s="14" t="str">
        <x:v>Final supplied register</x:v>
      </x:c>
      <x:c r="BA779" s="14" t="str">
        <x:v>Absence from the register is not evidence that the performer is not disabled.</x:v>
      </x:c>
      <x:c r="BB779" s="14" t="str">
        <x:v>No established-register match</x:v>
      </x:c>
      <x:c r="BC779" s="14"/>
      <x:c r="BD779" s="14"/>
      <x:c r="BE779" s="14"/>
      <x:c r="BF779" s="14" t="str">
        <x:v>No established apparent-disability match</x:v>
      </x:c>
      <x:c r="BG779" s="14"/>
      <x:c r="BH779" s="14" t="str">
        <x:v>No</x:v>
      </x:c>
      <x:c r="BI779" s="14"/>
      <x:c r="BJ779" s="14"/>
      <x:c r="BK779" s="14"/>
      <x:c r="BL779" s="14" t="str">
        <x:v>Unmatched</x:v>
      </x:c>
      <x:c r="BM779" s="14" t="str">
        <x:v>Final supplied register</x:v>
      </x:c>
      <x:c r="BN779" s="14" t="str">
        <x:v>Absence from the register is not evidence that the performer is not disabled.</x:v>
      </x:c>
      <x:c r="BO779" s="14" t="n">
        <x:v>20</x:v>
      </x:c>
      <x:c r="BP779" s="14" t="str">
        <x:v>Maximum eligible IMDb cast-credit total (20), shared by 4 performer(s); not independently verified as a 2021-only episode total.</x:v>
      </x:c>
      <x:c r="BQ779" s="14" t="str">
        <x:v>Medium</x:v>
      </x:c>
      <x:c r="BR779" s="15" t="n">
        <x:v>1</x:v>
      </x:c>
      <x:c r="BS779" s="16" t="n">
        <x:v>0.05</x:v>
      </x:c>
      <x:c r="BT779" s="14" t="str">
        <x:v>One episode</x:v>
      </x:c>
      <x:c r="BU779" s="14" t="str">
        <x:v>Medium</x:v>
      </x:c>
      <x:c r="BV779" s="14" t="str">
        <x:v>Derived from supplied IMDb episode count and the documented production-total proxy.</x:v>
      </x:c>
      <x:c r="BW779" s="14" t="str">
        <x:v>Unable to determine</x:v>
      </x:c>
      <x:c r="BX779" s="14" t="str">
        <x:v>Supplied cast data establishes the credit and episode presence but does not establish narrative prominence.</x:v>
      </x:c>
      <x:c r="BY779" s="14" t="str">
        <x:v>Supplied IMDb cast-list workbook</x:v>
      </x:c>
      <x:c r="BZ7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9" s="14" t="str">
        <x:v>Not classified</x:v>
      </x:c>
      <x:c r="CB779" s="14" t="str">
        <x:v>Unable to determine</x:v>
      </x:c>
      <x:c r="CC779" s="14" t="str">
        <x:v>Unique</x:v>
      </x:c>
      <x:c r="CD779" s="14" t="str">
        <x:v>None identified</x:v>
      </x:c>
    </x:row>
    <x:row r="780">
      <x:c r="A780" s="14" t="str">
        <x:v>tt11639300|nm12503941|emma brice</x:v>
      </x:c>
      <x:c r="B780" s="14" t="str">
        <x:v>02</x:v>
      </x:c>
      <x:c r="C780" s="14" t="str">
        <x:v>2021_IMDb_Cast_Lists_Batch_02(1).xlsx</x:v>
      </x:c>
      <x:c r="D780" s="14" t="str">
        <x:v>Grace</x:v>
      </x:c>
      <x:c r="E780" s="14" t="n">
        <x:v>214</x:v>
      </x:c>
      <x:c r="F780" s="14" t="str">
        <x:v>Grace</x:v>
      </x:c>
      <x:c r="G780" s="14" t="str">
        <x:v>tt11639300</x:v>
      </x:c>
      <x:c r="H780" s="14" t="n">
        <x:v>2021</x:v>
      </x:c>
      <x:c r="I780" s="14" t="n">
        <x:v>2023</x:v>
      </x:c>
      <x:c r="J780" s="14" t="str">
        <x:v>Future Carry-Forward Cohort</x:v>
      </x:c>
      <x:c r="K780" s="14" t="n">
        <x:v>2021</x:v>
      </x:c>
      <x:c r="L780" s="14" t="str">
        <x:v>Available from 2021 analysis</x:v>
      </x:c>
      <x:c r="M780" s="15" t="n">
        <x:v>207</x:v>
      </x:c>
      <x:c r="N780" s="14" t="str">
        <x:v>Kitty Castledine</x:v>
      </x:c>
      <x:c r="O780" s="14" t="str">
        <x:v>nm12503941</x:v>
      </x:c>
      <x:c r="P780" s="14" t="str">
        <x:v>Emma Brice</x:v>
      </x:c>
      <x:c r="Q780" s="15" t="n">
        <x:v>1</x:v>
      </x:c>
      <x:c r="R780" s="14" t="str">
        <x:v>2024</x:v>
      </x:c>
      <x:c r="S780" s="14" t="n">
        <x:v>2024</x:v>
      </x:c>
      <x:c r="T780" s="14" t="n">
        <x:v>2024</x:v>
      </x:c>
      <x:c r="U780" s="14" t="str">
        <x:v>Post-2021 casting excluded</x:v>
      </x:c>
      <x:c r="V780" s="14" t="str">
        <x:v>Earliest supplied year is 2024, later than the 2021 study year.</x:v>
      </x:c>
      <x:c r="W780" s="14"/>
      <x:c r="X780" s="14" t="str">
        <x:v>Carried forward to 2024</x:v>
      </x:c>
      <x:c r="Y780" s="14"/>
      <x:c r="Z780" s="14" t="str">
        <x:v>Grace.docx</x:v>
      </x:c>
      <x:c r="AA7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0" s="14" t="str">
        <x:v>Existing established-register match</x:v>
      </x:c>
      <x:c r="AC780" s="14" t="str">
        <x:v>Wheelchair user | Physical disability</x:v>
      </x:c>
      <x:c r="AD780" s="14" t="str">
        <x:v>Existing register classification: Wheelchair user | Physical disability</x:v>
      </x:c>
      <x:c r="AE780" s="14" t="str">
        <x:v>Established_Disability_Category_Register V1.1.xlsx</x:v>
      </x:c>
      <x:c r="AF780" s="14"/>
      <x:c r="AG780" s="14" t="str">
        <x:v>Established user-supplied classification retained for deduplication; evidence was not re-researched in this batch.</x:v>
      </x:c>
      <x:c r="AH780" s="14" t="str">
        <x:v>ITV / ITVX</x:v>
      </x:c>
      <x:c r="AI780" s="14" t="str">
        <x:v>UK original commission</x:v>
      </x:c>
      <x:c r="AJ780" s="14" t="str">
        <x:v>Exact normalised title</x:v>
      </x:c>
      <x:c r="AK780" s="14" t="str">
        <x:v>Medium</x:v>
      </x:c>
      <x:c r="AL780" s="14" t="str">
        <x:v>Verified for commissioner/platform scope; uk original commission.</x:v>
      </x:c>
      <x:c r="AM780" s="17" t="e">
        <x:f>HYPERLINK("https://en.wikipedia.org/wiki/Grace","Open source")</x:f>
        <x:v>HYPERLINK is not implemented. linkLocation=https://en.wikipedia.org/wiki/Grace, friendlyName=Open source</x:v>
      </x:c>
      <x:c r="AN780" s="14" t="str">
        <x:v>No qualifying BBC relationship</x:v>
      </x:c>
      <x:c r="AO780" s="14" t="str">
        <x:v>No</x:v>
      </x:c>
      <x:c r="AP780" s="14" t="str">
        <x:v>Out of scope</x:v>
      </x:c>
      <x:c r="AQ780" s="14" t="str">
        <x:v>No</x:v>
      </x:c>
      <x:c r="AR780" s="14" t="str">
        <x:v>Resolved from master register</x:v>
      </x:c>
      <x:c r="AS780" s="14" t="str">
        <x:v>Exact IMDb performer ID match</x:v>
      </x:c>
      <x:c r="AT780" s="14" t="str">
        <x:v>nm12503941</x:v>
      </x:c>
      <x:c r="AU780" s="14" t="str">
        <x:v>Wheelchair user | Physical disability</x:v>
      </x:c>
      <x:c r="AV780" s="14" t="str">
        <x:v>Yes</x:v>
      </x:c>
      <x:c r="AW780" s="14" t="str">
        <x:v>Wheelchair user | Physical disability</x:v>
      </x:c>
      <x:c r="AX780" s="14" t="str">
        <x:v>No</x:v>
      </x:c>
      <x:c r="AY780" s="14" t="str">
        <x:v>Matched</x:v>
      </x:c>
      <x:c r="AZ780" s="14" t="str">
        <x:v>Final supplied register</x:v>
      </x:c>
      <x:c r="BA780" s="14"/>
      <x:c r="BB780" s="14" t="str">
        <x:v>Exact IMDb performer ID match</x:v>
      </x:c>
      <x:c r="BC780" s="14" t="str">
        <x:v>nm12503941</x:v>
      </x:c>
      <x:c r="BD780" s="14" t="str">
        <x:v>Kitty Castledine</x:v>
      </x:c>
      <x:c r="BE780" s="14" t="str">
        <x:v>Wheelchair user | Physical disability</x:v>
      </x:c>
      <x:c r="BF780" s="14" t="str">
        <x:v>Yes</x:v>
      </x:c>
      <x:c r="BG780" s="14" t="str">
        <x:v>Wheelchair user | Physical disability</x:v>
      </x:c>
      <x:c r="BH780" s="14" t="str">
        <x:v>No</x:v>
      </x:c>
      <x:c r="BI780" s="14" t="str">
        <x:v>User-supplied established classification</x:v>
      </x:c>
      <x:c r="BJ780" s="14" t="str">
        <x:v>03_Wheelchair_user.csv | 04_Physical_disability.csv</x:v>
      </x:c>
      <x:c r="BK780" s="14"/>
      <x:c r="BL780" s="14" t="str">
        <x:v>Matched</x:v>
      </x:c>
      <x:c r="BM780" s="14" t="str">
        <x:v>Final supplied register</x:v>
      </x:c>
      <x:c r="BN780" s="14"/>
      <x:c r="BO780" s="14" t="n">
        <x:v>20</x:v>
      </x:c>
      <x:c r="BP780" s="14" t="str">
        <x:v>Maximum eligible IMDb cast-credit total (20), shared by 4 performer(s); not independently verified as a 2021-only episode total.</x:v>
      </x:c>
      <x:c r="BQ780" s="14" t="str">
        <x:v>Medium</x:v>
      </x:c>
      <x:c r="BR780" s="15" t="n">
        <x:v>1</x:v>
      </x:c>
      <x:c r="BS780" s="16" t="n">
        <x:v>0.05</x:v>
      </x:c>
      <x:c r="BT780" s="14" t="str">
        <x:v>One episode</x:v>
      </x:c>
      <x:c r="BU780" s="14" t="str">
        <x:v>Medium</x:v>
      </x:c>
      <x:c r="BV780" s="14" t="str">
        <x:v>Derived from supplied IMDb episode count and the documented production-total proxy.</x:v>
      </x:c>
      <x:c r="BW780" s="14" t="str">
        <x:v>Unable to determine</x:v>
      </x:c>
      <x:c r="BX780" s="14" t="str">
        <x:v>Supplied cast data establishes the credit and episode presence but does not establish narrative prominence.</x:v>
      </x:c>
      <x:c r="BY780" s="14" t="str">
        <x:v>Supplied IMDb cast-list workbook</x:v>
      </x:c>
      <x:c r="BZ7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0" s="14" t="str">
        <x:v>Not classified</x:v>
      </x:c>
      <x:c r="CB780" s="14" t="str">
        <x:v>Unable to determine</x:v>
      </x:c>
      <x:c r="CC780" s="14" t="str">
        <x:v>Unique</x:v>
      </x:c>
      <x:c r="CD780" s="14" t="str">
        <x:v>None identified</x:v>
      </x:c>
    </x:row>
    <x:row r="781">
      <x:c r="A781" s="14" t="str">
        <x:v>tt11639300|nm0325646|annette</x:v>
      </x:c>
      <x:c r="B781" s="14" t="str">
        <x:v>02</x:v>
      </x:c>
      <x:c r="C781" s="14" t="str">
        <x:v>2021_IMDb_Cast_Lists_Batch_02(1).xlsx</x:v>
      </x:c>
      <x:c r="D781" s="14" t="str">
        <x:v>Grace</x:v>
      </x:c>
      <x:c r="E781" s="14" t="n">
        <x:v>215</x:v>
      </x:c>
      <x:c r="F781" s="14" t="str">
        <x:v>Grace</x:v>
      </x:c>
      <x:c r="G781" s="14" t="str">
        <x:v>tt11639300</x:v>
      </x:c>
      <x:c r="H781" s="14" t="n">
        <x:v>2021</x:v>
      </x:c>
      <x:c r="I781" s="14" t="n">
        <x:v>2023</x:v>
      </x:c>
      <x:c r="J781" s="14" t="str">
        <x:v>Future Carry-Forward Cohort</x:v>
      </x:c>
      <x:c r="K781" s="14" t="n">
        <x:v>2021</x:v>
      </x:c>
      <x:c r="L781" s="14" t="str">
        <x:v>Available from 2021 analysis</x:v>
      </x:c>
      <x:c r="M781" s="15" t="n">
        <x:v>208</x:v>
      </x:c>
      <x:c r="N781" s="14" t="str">
        <x:v>Nicky Goldie</x:v>
      </x:c>
      <x:c r="O781" s="14" t="str">
        <x:v>nm0325646</x:v>
      </x:c>
      <x:c r="P781" s="14" t="str">
        <x:v>Annette</x:v>
      </x:c>
      <x:c r="Q781" s="15" t="n">
        <x:v>1</x:v>
      </x:c>
      <x:c r="R781" s="14" t="str">
        <x:v>2024</x:v>
      </x:c>
      <x:c r="S781" s="14" t="n">
        <x:v>2024</x:v>
      </x:c>
      <x:c r="T781" s="14" t="n">
        <x:v>2024</x:v>
      </x:c>
      <x:c r="U781" s="14" t="str">
        <x:v>Post-2021 casting excluded</x:v>
      </x:c>
      <x:c r="V781" s="14" t="str">
        <x:v>Earliest supplied year is 2024, later than the 2021 study year.</x:v>
      </x:c>
      <x:c r="W781" s="14"/>
      <x:c r="X781" s="14" t="str">
        <x:v>Carried forward to 2024</x:v>
      </x:c>
      <x:c r="Y781" s="14"/>
      <x:c r="Z781" s="14" t="str">
        <x:v>Grace.docx</x:v>
      </x:c>
      <x:c r="AA7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1" s="14" t="str">
        <x:v>No established-register match</x:v>
      </x:c>
      <x:c r="AC781" s="14"/>
      <x:c r="AD781" s="14"/>
      <x:c r="AE781" s="14"/>
      <x:c r="AF781" s="14"/>
      <x:c r="AG781" s="14" t="str">
        <x:v>No qualifying conclusion recorded. Absence from the register is not evidence that the performer is not disabled.</x:v>
      </x:c>
      <x:c r="AH781" s="14" t="str">
        <x:v>ITV / ITVX</x:v>
      </x:c>
      <x:c r="AI781" s="14" t="str">
        <x:v>UK original commission</x:v>
      </x:c>
      <x:c r="AJ781" s="14" t="str">
        <x:v>Exact normalised title</x:v>
      </x:c>
      <x:c r="AK781" s="14" t="str">
        <x:v>Medium</x:v>
      </x:c>
      <x:c r="AL781" s="14" t="str">
        <x:v>Verified for commissioner/platform scope; uk original commission.</x:v>
      </x:c>
      <x:c r="AM781" s="17" t="e">
        <x:f>HYPERLINK("https://en.wikipedia.org/wiki/Grace","Open source")</x:f>
        <x:v>HYPERLINK is not implemented. linkLocation=https://en.wikipedia.org/wiki/Grace, friendlyName=Open source</x:v>
      </x:c>
      <x:c r="AN781" s="14" t="str">
        <x:v>No qualifying BBC relationship</x:v>
      </x:c>
      <x:c r="AO781" s="14" t="str">
        <x:v>No</x:v>
      </x:c>
      <x:c r="AP781" s="14" t="str">
        <x:v>Out of scope</x:v>
      </x:c>
      <x:c r="AQ781" s="14" t="str">
        <x:v>No</x:v>
      </x:c>
      <x:c r="AR781" s="14" t="str">
        <x:v>Resolved from master register</x:v>
      </x:c>
      <x:c r="AS781" s="14" t="str">
        <x:v>No established-register match</x:v>
      </x:c>
      <x:c r="AT781" s="14"/>
      <x:c r="AU781" s="14"/>
      <x:c r="AV781" s="14" t="str">
        <x:v>No established apparent-disability match</x:v>
      </x:c>
      <x:c r="AW781" s="14"/>
      <x:c r="AX781" s="14" t="str">
        <x:v>No</x:v>
      </x:c>
      <x:c r="AY781" s="14" t="str">
        <x:v>Unmatched</x:v>
      </x:c>
      <x:c r="AZ781" s="14" t="str">
        <x:v>Final supplied register</x:v>
      </x:c>
      <x:c r="BA781" s="14" t="str">
        <x:v>Absence from the register is not evidence that the performer is not disabled.</x:v>
      </x:c>
      <x:c r="BB781" s="14" t="str">
        <x:v>No established-register match</x:v>
      </x:c>
      <x:c r="BC781" s="14"/>
      <x:c r="BD781" s="14"/>
      <x:c r="BE781" s="14"/>
      <x:c r="BF781" s="14" t="str">
        <x:v>No established apparent-disability match</x:v>
      </x:c>
      <x:c r="BG781" s="14"/>
      <x:c r="BH781" s="14" t="str">
        <x:v>No</x:v>
      </x:c>
      <x:c r="BI781" s="14"/>
      <x:c r="BJ781" s="14"/>
      <x:c r="BK781" s="14"/>
      <x:c r="BL781" s="14" t="str">
        <x:v>Unmatched</x:v>
      </x:c>
      <x:c r="BM781" s="14" t="str">
        <x:v>Final supplied register</x:v>
      </x:c>
      <x:c r="BN781" s="14" t="str">
        <x:v>Absence from the register is not evidence that the performer is not disabled.</x:v>
      </x:c>
      <x:c r="BO781" s="14" t="n">
        <x:v>20</x:v>
      </x:c>
      <x:c r="BP781" s="14" t="str">
        <x:v>Maximum eligible IMDb cast-credit total (20), shared by 4 performer(s); not independently verified as a 2021-only episode total.</x:v>
      </x:c>
      <x:c r="BQ781" s="14" t="str">
        <x:v>Medium</x:v>
      </x:c>
      <x:c r="BR781" s="15" t="n">
        <x:v>1</x:v>
      </x:c>
      <x:c r="BS781" s="16" t="n">
        <x:v>0.05</x:v>
      </x:c>
      <x:c r="BT781" s="14" t="str">
        <x:v>One episode</x:v>
      </x:c>
      <x:c r="BU781" s="14" t="str">
        <x:v>Medium</x:v>
      </x:c>
      <x:c r="BV781" s="14" t="str">
        <x:v>Derived from supplied IMDb episode count and the documented production-total proxy.</x:v>
      </x:c>
      <x:c r="BW781" s="14" t="str">
        <x:v>Unable to determine</x:v>
      </x:c>
      <x:c r="BX781" s="14" t="str">
        <x:v>Supplied cast data establishes the credit and episode presence but does not establish narrative prominence.</x:v>
      </x:c>
      <x:c r="BY781" s="14" t="str">
        <x:v>Supplied IMDb cast-list workbook</x:v>
      </x:c>
      <x:c r="BZ7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1" s="14" t="str">
        <x:v>Not classified</x:v>
      </x:c>
      <x:c r="CB781" s="14" t="str">
        <x:v>Unable to determine</x:v>
      </x:c>
      <x:c r="CC781" s="14" t="str">
        <x:v>Unique</x:v>
      </x:c>
      <x:c r="CD781" s="14" t="str">
        <x:v>None identified</x:v>
      </x:c>
    </x:row>
    <x:row r="782">
      <x:c r="A782" s="14" t="str">
        <x:v>tt11639300|nm2647965|annie</x:v>
      </x:c>
      <x:c r="B782" s="14" t="str">
        <x:v>02</x:v>
      </x:c>
      <x:c r="C782" s="14" t="str">
        <x:v>2021_IMDb_Cast_Lists_Batch_02(1).xlsx</x:v>
      </x:c>
      <x:c r="D782" s="14" t="str">
        <x:v>Grace</x:v>
      </x:c>
      <x:c r="E782" s="14" t="n">
        <x:v>216</x:v>
      </x:c>
      <x:c r="F782" s="14" t="str">
        <x:v>Grace</x:v>
      </x:c>
      <x:c r="G782" s="14" t="str">
        <x:v>tt11639300</x:v>
      </x:c>
      <x:c r="H782" s="14" t="n">
        <x:v>2021</x:v>
      </x:c>
      <x:c r="I782" s="14" t="n">
        <x:v>2023</x:v>
      </x:c>
      <x:c r="J782" s="14" t="str">
        <x:v>Future Carry-Forward Cohort</x:v>
      </x:c>
      <x:c r="K782" s="14" t="n">
        <x:v>2021</x:v>
      </x:c>
      <x:c r="L782" s="14" t="str">
        <x:v>Available from 2021 analysis</x:v>
      </x:c>
      <x:c r="M782" s="15" t="n">
        <x:v>209</x:v>
      </x:c>
      <x:c r="N782" s="14" t="str">
        <x:v>Sarah Leigh</x:v>
      </x:c>
      <x:c r="O782" s="14" t="str">
        <x:v>nm2647965</x:v>
      </x:c>
      <x:c r="P782" s="14" t="str">
        <x:v>Annie</x:v>
      </x:c>
      <x:c r="Q782" s="15" t="n">
        <x:v>1</x:v>
      </x:c>
      <x:c r="R782" s="14" t="str">
        <x:v>2024</x:v>
      </x:c>
      <x:c r="S782" s="14" t="n">
        <x:v>2024</x:v>
      </x:c>
      <x:c r="T782" s="14" t="n">
        <x:v>2024</x:v>
      </x:c>
      <x:c r="U782" s="14" t="str">
        <x:v>Post-2021 casting excluded</x:v>
      </x:c>
      <x:c r="V782" s="14" t="str">
        <x:v>Earliest supplied year is 2024, later than the 2021 study year.</x:v>
      </x:c>
      <x:c r="W782" s="14"/>
      <x:c r="X782" s="14" t="str">
        <x:v>Carried forward to 2024</x:v>
      </x:c>
      <x:c r="Y782" s="14"/>
      <x:c r="Z782" s="14" t="str">
        <x:v>Grace.docx</x:v>
      </x:c>
      <x:c r="AA7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2" s="14" t="str">
        <x:v>No established-register match</x:v>
      </x:c>
      <x:c r="AC782" s="14"/>
      <x:c r="AD782" s="14"/>
      <x:c r="AE782" s="14"/>
      <x:c r="AF782" s="14"/>
      <x:c r="AG782" s="14" t="str">
        <x:v>No qualifying conclusion recorded. Absence from the register is not evidence that the performer is not disabled.</x:v>
      </x:c>
      <x:c r="AH782" s="14" t="str">
        <x:v>ITV / ITVX</x:v>
      </x:c>
      <x:c r="AI782" s="14" t="str">
        <x:v>UK original commission</x:v>
      </x:c>
      <x:c r="AJ782" s="14" t="str">
        <x:v>Exact normalised title</x:v>
      </x:c>
      <x:c r="AK782" s="14" t="str">
        <x:v>Medium</x:v>
      </x:c>
      <x:c r="AL782" s="14" t="str">
        <x:v>Verified for commissioner/platform scope; uk original commission.</x:v>
      </x:c>
      <x:c r="AM782" s="17" t="e">
        <x:f>HYPERLINK("https://en.wikipedia.org/wiki/Grace","Open source")</x:f>
        <x:v>HYPERLINK is not implemented. linkLocation=https://en.wikipedia.org/wiki/Grace, friendlyName=Open source</x:v>
      </x:c>
      <x:c r="AN782" s="14" t="str">
        <x:v>No qualifying BBC relationship</x:v>
      </x:c>
      <x:c r="AO782" s="14" t="str">
        <x:v>No</x:v>
      </x:c>
      <x:c r="AP782" s="14" t="str">
        <x:v>Out of scope</x:v>
      </x:c>
      <x:c r="AQ782" s="14" t="str">
        <x:v>No</x:v>
      </x:c>
      <x:c r="AR782" s="14" t="str">
        <x:v>Resolved from master register</x:v>
      </x:c>
      <x:c r="AS782" s="14" t="str">
        <x:v>No established-register match</x:v>
      </x:c>
      <x:c r="AT782" s="14"/>
      <x:c r="AU782" s="14"/>
      <x:c r="AV782" s="14" t="str">
        <x:v>No established apparent-disability match</x:v>
      </x:c>
      <x:c r="AW782" s="14"/>
      <x:c r="AX782" s="14" t="str">
        <x:v>No</x:v>
      </x:c>
      <x:c r="AY782" s="14" t="str">
        <x:v>Unmatched</x:v>
      </x:c>
      <x:c r="AZ782" s="14" t="str">
        <x:v>Final supplied register</x:v>
      </x:c>
      <x:c r="BA782" s="14" t="str">
        <x:v>Absence from the register is not evidence that the performer is not disabled.</x:v>
      </x:c>
      <x:c r="BB782" s="14" t="str">
        <x:v>No established-register match</x:v>
      </x:c>
      <x:c r="BC782" s="14"/>
      <x:c r="BD782" s="14"/>
      <x:c r="BE782" s="14"/>
      <x:c r="BF782" s="14" t="str">
        <x:v>No established apparent-disability match</x:v>
      </x:c>
      <x:c r="BG782" s="14"/>
      <x:c r="BH782" s="14" t="str">
        <x:v>No</x:v>
      </x:c>
      <x:c r="BI782" s="14"/>
      <x:c r="BJ782" s="14"/>
      <x:c r="BK782" s="14"/>
      <x:c r="BL782" s="14" t="str">
        <x:v>Unmatched</x:v>
      </x:c>
      <x:c r="BM782" s="14" t="str">
        <x:v>Final supplied register</x:v>
      </x:c>
      <x:c r="BN782" s="14" t="str">
        <x:v>Absence from the register is not evidence that the performer is not disabled.</x:v>
      </x:c>
      <x:c r="BO782" s="14" t="n">
        <x:v>20</x:v>
      </x:c>
      <x:c r="BP782" s="14" t="str">
        <x:v>Maximum eligible IMDb cast-credit total (20), shared by 4 performer(s); not independently verified as a 2021-only episode total.</x:v>
      </x:c>
      <x:c r="BQ782" s="14" t="str">
        <x:v>Medium</x:v>
      </x:c>
      <x:c r="BR782" s="15" t="n">
        <x:v>1</x:v>
      </x:c>
      <x:c r="BS782" s="16" t="n">
        <x:v>0.05</x:v>
      </x:c>
      <x:c r="BT782" s="14" t="str">
        <x:v>One episode</x:v>
      </x:c>
      <x:c r="BU782" s="14" t="str">
        <x:v>Medium</x:v>
      </x:c>
      <x:c r="BV782" s="14" t="str">
        <x:v>Derived from supplied IMDb episode count and the documented production-total proxy.</x:v>
      </x:c>
      <x:c r="BW782" s="14" t="str">
        <x:v>Unable to determine</x:v>
      </x:c>
      <x:c r="BX782" s="14" t="str">
        <x:v>Supplied cast data establishes the credit and episode presence but does not establish narrative prominence.</x:v>
      </x:c>
      <x:c r="BY782" s="14" t="str">
        <x:v>Supplied IMDb cast-list workbook</x:v>
      </x:c>
      <x:c r="BZ7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2" s="14" t="str">
        <x:v>Not classified</x:v>
      </x:c>
      <x:c r="CB782" s="14" t="str">
        <x:v>Unable to determine</x:v>
      </x:c>
      <x:c r="CC782" s="14" t="str">
        <x:v>Unique</x:v>
      </x:c>
      <x:c r="CD782" s="14" t="str">
        <x:v>None identified</x:v>
      </x:c>
    </x:row>
    <x:row r="783">
      <x:c r="A783" s="14" t="str">
        <x:v>tt11639300|nm11558549|simon</x:v>
      </x:c>
      <x:c r="B783" s="14" t="str">
        <x:v>02</x:v>
      </x:c>
      <x:c r="C783" s="14" t="str">
        <x:v>2021_IMDb_Cast_Lists_Batch_02(1).xlsx</x:v>
      </x:c>
      <x:c r="D783" s="14" t="str">
        <x:v>Grace</x:v>
      </x:c>
      <x:c r="E783" s="14" t="n">
        <x:v>228</x:v>
      </x:c>
      <x:c r="F783" s="14" t="str">
        <x:v>Grace</x:v>
      </x:c>
      <x:c r="G783" s="14" t="str">
        <x:v>tt11639300</x:v>
      </x:c>
      <x:c r="H783" s="14" t="n">
        <x:v>2021</x:v>
      </x:c>
      <x:c r="I783" s="14" t="n">
        <x:v>2023</x:v>
      </x:c>
      <x:c r="J783" s="14" t="str">
        <x:v>Future Carry-Forward Cohort</x:v>
      </x:c>
      <x:c r="K783" s="14" t="n">
        <x:v>2021</x:v>
      </x:c>
      <x:c r="L783" s="14" t="str">
        <x:v>Available from 2021 analysis</x:v>
      </x:c>
      <x:c r="M783" s="15" t="n">
        <x:v>221</x:v>
      </x:c>
      <x:c r="N783" s="14" t="str">
        <x:v>Alan Wilyman</x:v>
      </x:c>
      <x:c r="O783" s="14" t="str">
        <x:v>nm11558549</x:v>
      </x:c>
      <x:c r="P783" s="14" t="str">
        <x:v>Simon</x:v>
      </x:c>
      <x:c r="Q783" s="15" t="n">
        <x:v>1</x:v>
      </x:c>
      <x:c r="R783" s="14" t="str">
        <x:v>2024</x:v>
      </x:c>
      <x:c r="S783" s="14" t="n">
        <x:v>2024</x:v>
      </x:c>
      <x:c r="T783" s="14" t="n">
        <x:v>2024</x:v>
      </x:c>
      <x:c r="U783" s="14" t="str">
        <x:v>Post-2021 casting excluded</x:v>
      </x:c>
      <x:c r="V783" s="14" t="str">
        <x:v>Earliest supplied year is 2024, later than the 2021 study year.</x:v>
      </x:c>
      <x:c r="W783" s="14"/>
      <x:c r="X783" s="14" t="str">
        <x:v>Carried forward to 2024</x:v>
      </x:c>
      <x:c r="Y783" s="14"/>
      <x:c r="Z783" s="14" t="str">
        <x:v>Grace.docx</x:v>
      </x:c>
      <x:c r="AA7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3" s="14" t="str">
        <x:v>No established-register match</x:v>
      </x:c>
      <x:c r="AC783" s="14"/>
      <x:c r="AD783" s="14"/>
      <x:c r="AE783" s="14"/>
      <x:c r="AF783" s="14"/>
      <x:c r="AG783" s="14" t="str">
        <x:v>No qualifying conclusion recorded. Absence from the register is not evidence that the performer is not disabled.</x:v>
      </x:c>
      <x:c r="AH783" s="14" t="str">
        <x:v>ITV / ITVX</x:v>
      </x:c>
      <x:c r="AI783" s="14" t="str">
        <x:v>UK original commission</x:v>
      </x:c>
      <x:c r="AJ783" s="14" t="str">
        <x:v>Exact normalised title</x:v>
      </x:c>
      <x:c r="AK783" s="14" t="str">
        <x:v>Medium</x:v>
      </x:c>
      <x:c r="AL783" s="14" t="str">
        <x:v>Verified for commissioner/platform scope; uk original commission.</x:v>
      </x:c>
      <x:c r="AM783" s="17" t="e">
        <x:f>HYPERLINK("https://en.wikipedia.org/wiki/Grace","Open source")</x:f>
        <x:v>HYPERLINK is not implemented. linkLocation=https://en.wikipedia.org/wiki/Grace, friendlyName=Open source</x:v>
      </x:c>
      <x:c r="AN783" s="14" t="str">
        <x:v>No qualifying BBC relationship</x:v>
      </x:c>
      <x:c r="AO783" s="14" t="str">
        <x:v>No</x:v>
      </x:c>
      <x:c r="AP783" s="14" t="str">
        <x:v>Out of scope</x:v>
      </x:c>
      <x:c r="AQ783" s="14" t="str">
        <x:v>No</x:v>
      </x:c>
      <x:c r="AR783" s="14" t="str">
        <x:v>Resolved from master register</x:v>
      </x:c>
      <x:c r="AS783" s="14" t="str">
        <x:v>No established-register match</x:v>
      </x:c>
      <x:c r="AT783" s="14"/>
      <x:c r="AU783" s="14"/>
      <x:c r="AV783" s="14" t="str">
        <x:v>No established apparent-disability match</x:v>
      </x:c>
      <x:c r="AW783" s="14"/>
      <x:c r="AX783" s="14" t="str">
        <x:v>No</x:v>
      </x:c>
      <x:c r="AY783" s="14" t="str">
        <x:v>Unmatched</x:v>
      </x:c>
      <x:c r="AZ783" s="14" t="str">
        <x:v>Final supplied register</x:v>
      </x:c>
      <x:c r="BA783" s="14" t="str">
        <x:v>Absence from the register is not evidence that the performer is not disabled.</x:v>
      </x:c>
      <x:c r="BB783" s="14" t="str">
        <x:v>No established-register match</x:v>
      </x:c>
      <x:c r="BC783" s="14"/>
      <x:c r="BD783" s="14"/>
      <x:c r="BE783" s="14"/>
      <x:c r="BF783" s="14" t="str">
        <x:v>No established apparent-disability match</x:v>
      </x:c>
      <x:c r="BG783" s="14"/>
      <x:c r="BH783" s="14" t="str">
        <x:v>No</x:v>
      </x:c>
      <x:c r="BI783" s="14"/>
      <x:c r="BJ783" s="14"/>
      <x:c r="BK783" s="14"/>
      <x:c r="BL783" s="14" t="str">
        <x:v>Unmatched</x:v>
      </x:c>
      <x:c r="BM783" s="14" t="str">
        <x:v>Final supplied register</x:v>
      </x:c>
      <x:c r="BN783" s="14" t="str">
        <x:v>Absence from the register is not evidence that the performer is not disabled.</x:v>
      </x:c>
      <x:c r="BO783" s="14" t="n">
        <x:v>20</x:v>
      </x:c>
      <x:c r="BP783" s="14" t="str">
        <x:v>Maximum eligible IMDb cast-credit total (20), shared by 4 performer(s); not independently verified as a 2021-only episode total.</x:v>
      </x:c>
      <x:c r="BQ783" s="14" t="str">
        <x:v>Medium</x:v>
      </x:c>
      <x:c r="BR783" s="15" t="n">
        <x:v>1</x:v>
      </x:c>
      <x:c r="BS783" s="16" t="n">
        <x:v>0.05</x:v>
      </x:c>
      <x:c r="BT783" s="14" t="str">
        <x:v>One episode</x:v>
      </x:c>
      <x:c r="BU783" s="14" t="str">
        <x:v>Medium</x:v>
      </x:c>
      <x:c r="BV783" s="14" t="str">
        <x:v>Derived from supplied IMDb episode count and the documented production-total proxy.</x:v>
      </x:c>
      <x:c r="BW783" s="14" t="str">
        <x:v>Unable to determine</x:v>
      </x:c>
      <x:c r="BX783" s="14" t="str">
        <x:v>Supplied cast data establishes the credit and episode presence but does not establish narrative prominence.</x:v>
      </x:c>
      <x:c r="BY783" s="14" t="str">
        <x:v>Supplied IMDb cast-list workbook</x:v>
      </x:c>
      <x:c r="BZ7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3" s="14" t="str">
        <x:v>Not classified</x:v>
      </x:c>
      <x:c r="CB783" s="14" t="str">
        <x:v>Unable to determine</x:v>
      </x:c>
      <x:c r="CC783" s="14" t="str">
        <x:v>Unique</x:v>
      </x:c>
      <x:c r="CD783" s="14" t="str">
        <x:v>None identified</x:v>
      </x:c>
    </x:row>
    <x:row r="784">
      <x:c r="A784" s="14" t="str">
        <x:v>tt11639300|nm14710297|young gavin</x:v>
      </x:c>
      <x:c r="B784" s="14" t="str">
        <x:v>02</x:v>
      </x:c>
      <x:c r="C784" s="14" t="str">
        <x:v>2021_IMDb_Cast_Lists_Batch_02(1).xlsx</x:v>
      </x:c>
      <x:c r="D784" s="14" t="str">
        <x:v>Grace</x:v>
      </x:c>
      <x:c r="E784" s="14" t="n">
        <x:v>229</x:v>
      </x:c>
      <x:c r="F784" s="14" t="str">
        <x:v>Grace</x:v>
      </x:c>
      <x:c r="G784" s="14" t="str">
        <x:v>tt11639300</x:v>
      </x:c>
      <x:c r="H784" s="14" t="n">
        <x:v>2021</x:v>
      </x:c>
      <x:c r="I784" s="14" t="n">
        <x:v>2023</x:v>
      </x:c>
      <x:c r="J784" s="14" t="str">
        <x:v>Future Carry-Forward Cohort</x:v>
      </x:c>
      <x:c r="K784" s="14" t="n">
        <x:v>2021</x:v>
      </x:c>
      <x:c r="L784" s="14" t="str">
        <x:v>Available from 2021 analysis</x:v>
      </x:c>
      <x:c r="M784" s="15" t="n">
        <x:v>222</x:v>
      </x:c>
      <x:c r="N784" s="14" t="str">
        <x:v>Jensen Clayden</x:v>
      </x:c>
      <x:c r="O784" s="14" t="str">
        <x:v>nm14710297</x:v>
      </x:c>
      <x:c r="P784" s="14" t="str">
        <x:v>Young Gavin</x:v>
      </x:c>
      <x:c r="Q784" s="15" t="n">
        <x:v>1</x:v>
      </x:c>
      <x:c r="R784" s="14" t="str">
        <x:v>2024</x:v>
      </x:c>
      <x:c r="S784" s="14" t="n">
        <x:v>2024</x:v>
      </x:c>
      <x:c r="T784" s="14" t="n">
        <x:v>2024</x:v>
      </x:c>
      <x:c r="U784" s="14" t="str">
        <x:v>Post-2021 casting excluded</x:v>
      </x:c>
      <x:c r="V784" s="14" t="str">
        <x:v>Earliest supplied year is 2024, later than the 2021 study year.</x:v>
      </x:c>
      <x:c r="W784" s="14"/>
      <x:c r="X784" s="14" t="str">
        <x:v>Carried forward to 2024</x:v>
      </x:c>
      <x:c r="Y784" s="14"/>
      <x:c r="Z784" s="14" t="str">
        <x:v>Grace.docx</x:v>
      </x:c>
      <x:c r="AA7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4" s="14" t="str">
        <x:v>No established-register match</x:v>
      </x:c>
      <x:c r="AC784" s="14"/>
      <x:c r="AD784" s="14"/>
      <x:c r="AE784" s="14"/>
      <x:c r="AF784" s="14"/>
      <x:c r="AG784" s="14" t="str">
        <x:v>No qualifying conclusion recorded. Absence from the register is not evidence that the performer is not disabled.</x:v>
      </x:c>
      <x:c r="AH784" s="14" t="str">
        <x:v>ITV / ITVX</x:v>
      </x:c>
      <x:c r="AI784" s="14" t="str">
        <x:v>UK original commission</x:v>
      </x:c>
      <x:c r="AJ784" s="14" t="str">
        <x:v>Exact normalised title</x:v>
      </x:c>
      <x:c r="AK784" s="14" t="str">
        <x:v>Medium</x:v>
      </x:c>
      <x:c r="AL784" s="14" t="str">
        <x:v>Verified for commissioner/platform scope; uk original commission.</x:v>
      </x:c>
      <x:c r="AM784" s="17" t="e">
        <x:f>HYPERLINK("https://en.wikipedia.org/wiki/Grace","Open source")</x:f>
        <x:v>HYPERLINK is not implemented. linkLocation=https://en.wikipedia.org/wiki/Grace, friendlyName=Open source</x:v>
      </x:c>
      <x:c r="AN784" s="14" t="str">
        <x:v>No qualifying BBC relationship</x:v>
      </x:c>
      <x:c r="AO784" s="14" t="str">
        <x:v>No</x:v>
      </x:c>
      <x:c r="AP784" s="14" t="str">
        <x:v>Out of scope</x:v>
      </x:c>
      <x:c r="AQ784" s="14" t="str">
        <x:v>No</x:v>
      </x:c>
      <x:c r="AR784" s="14" t="str">
        <x:v>Resolved from master register</x:v>
      </x:c>
      <x:c r="AS784" s="14" t="str">
        <x:v>No established-register match</x:v>
      </x:c>
      <x:c r="AT784" s="14"/>
      <x:c r="AU784" s="14"/>
      <x:c r="AV784" s="14" t="str">
        <x:v>No established apparent-disability match</x:v>
      </x:c>
      <x:c r="AW784" s="14"/>
      <x:c r="AX784" s="14" t="str">
        <x:v>No</x:v>
      </x:c>
      <x:c r="AY784" s="14" t="str">
        <x:v>Unmatched</x:v>
      </x:c>
      <x:c r="AZ784" s="14" t="str">
        <x:v>Final supplied register</x:v>
      </x:c>
      <x:c r="BA784" s="14" t="str">
        <x:v>Absence from the register is not evidence that the performer is not disabled.</x:v>
      </x:c>
      <x:c r="BB784" s="14" t="str">
        <x:v>No established-register match</x:v>
      </x:c>
      <x:c r="BC784" s="14"/>
      <x:c r="BD784" s="14"/>
      <x:c r="BE784" s="14"/>
      <x:c r="BF784" s="14" t="str">
        <x:v>No established apparent-disability match</x:v>
      </x:c>
      <x:c r="BG784" s="14"/>
      <x:c r="BH784" s="14" t="str">
        <x:v>No</x:v>
      </x:c>
      <x:c r="BI784" s="14"/>
      <x:c r="BJ784" s="14"/>
      <x:c r="BK784" s="14"/>
      <x:c r="BL784" s="14" t="str">
        <x:v>Unmatched</x:v>
      </x:c>
      <x:c r="BM784" s="14" t="str">
        <x:v>Final supplied register</x:v>
      </x:c>
      <x:c r="BN784" s="14" t="str">
        <x:v>Absence from the register is not evidence that the performer is not disabled.</x:v>
      </x:c>
      <x:c r="BO784" s="14" t="n">
        <x:v>20</x:v>
      </x:c>
      <x:c r="BP784" s="14" t="str">
        <x:v>Maximum eligible IMDb cast-credit total (20), shared by 4 performer(s); not independently verified as a 2021-only episode total.</x:v>
      </x:c>
      <x:c r="BQ784" s="14" t="str">
        <x:v>Medium</x:v>
      </x:c>
      <x:c r="BR784" s="15" t="n">
        <x:v>1</x:v>
      </x:c>
      <x:c r="BS784" s="16" t="n">
        <x:v>0.05</x:v>
      </x:c>
      <x:c r="BT784" s="14" t="str">
        <x:v>One episode</x:v>
      </x:c>
      <x:c r="BU784" s="14" t="str">
        <x:v>Medium</x:v>
      </x:c>
      <x:c r="BV784" s="14" t="str">
        <x:v>Derived from supplied IMDb episode count and the documented production-total proxy.</x:v>
      </x:c>
      <x:c r="BW784" s="14" t="str">
        <x:v>Unable to determine</x:v>
      </x:c>
      <x:c r="BX784" s="14" t="str">
        <x:v>Supplied cast data establishes the credit and episode presence but does not establish narrative prominence.</x:v>
      </x:c>
      <x:c r="BY784" s="14" t="str">
        <x:v>Supplied IMDb cast-list workbook</x:v>
      </x:c>
      <x:c r="BZ7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4" s="14" t="str">
        <x:v>Not classified</x:v>
      </x:c>
      <x:c r="CB784" s="14" t="str">
        <x:v>Unable to determine</x:v>
      </x:c>
      <x:c r="CC784" s="14" t="str">
        <x:v>Unique</x:v>
      </x:c>
      <x:c r="CD784" s="14" t="str">
        <x:v>None identified</x:v>
      </x:c>
    </x:row>
    <x:row r="785">
      <x:c r="A785" s="14" t="str">
        <x:v>tt11639300|nm2236098|icu nurse</x:v>
      </x:c>
      <x:c r="B785" s="14" t="str">
        <x:v>02</x:v>
      </x:c>
      <x:c r="C785" s="14" t="str">
        <x:v>2021_IMDb_Cast_Lists_Batch_02(1).xlsx</x:v>
      </x:c>
      <x:c r="D785" s="14" t="str">
        <x:v>Grace</x:v>
      </x:c>
      <x:c r="E785" s="14" t="n">
        <x:v>230</x:v>
      </x:c>
      <x:c r="F785" s="14" t="str">
        <x:v>Grace</x:v>
      </x:c>
      <x:c r="G785" s="14" t="str">
        <x:v>tt11639300</x:v>
      </x:c>
      <x:c r="H785" s="14" t="n">
        <x:v>2021</x:v>
      </x:c>
      <x:c r="I785" s="14" t="n">
        <x:v>2023</x:v>
      </x:c>
      <x:c r="J785" s="14" t="str">
        <x:v>Future Carry-Forward Cohort</x:v>
      </x:c>
      <x:c r="K785" s="14" t="n">
        <x:v>2021</x:v>
      </x:c>
      <x:c r="L785" s="14" t="str">
        <x:v>Available from 2021 analysis</x:v>
      </x:c>
      <x:c r="M785" s="15" t="n">
        <x:v>223</x:v>
      </x:c>
      <x:c r="N785" s="14" t="str">
        <x:v>Oliver Akwe</x:v>
      </x:c>
      <x:c r="O785" s="14" t="str">
        <x:v>nm2236098</x:v>
      </x:c>
      <x:c r="P785" s="14" t="str">
        <x:v>ICU Nurse</x:v>
      </x:c>
      <x:c r="Q785" s="15" t="n">
        <x:v>1</x:v>
      </x:c>
      <x:c r="R785" s="14" t="str">
        <x:v>2024</x:v>
      </x:c>
      <x:c r="S785" s="14" t="n">
        <x:v>2024</x:v>
      </x:c>
      <x:c r="T785" s="14" t="n">
        <x:v>2024</x:v>
      </x:c>
      <x:c r="U785" s="14" t="str">
        <x:v>Post-2021 casting excluded</x:v>
      </x:c>
      <x:c r="V785" s="14" t="str">
        <x:v>Earliest supplied year is 2024, later than the 2021 study year.</x:v>
      </x:c>
      <x:c r="W785" s="14"/>
      <x:c r="X785" s="14" t="str">
        <x:v>Carried forward to 2024</x:v>
      </x:c>
      <x:c r="Y785" s="14"/>
      <x:c r="Z785" s="14" t="str">
        <x:v>Grace.docx</x:v>
      </x:c>
      <x:c r="AA7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5" s="14" t="str">
        <x:v>No established-register match</x:v>
      </x:c>
      <x:c r="AC785" s="14"/>
      <x:c r="AD785" s="14"/>
      <x:c r="AE785" s="14"/>
      <x:c r="AF785" s="14"/>
      <x:c r="AG785" s="14" t="str">
        <x:v>No qualifying conclusion recorded. Absence from the register is not evidence that the performer is not disabled.</x:v>
      </x:c>
      <x:c r="AH785" s="14" t="str">
        <x:v>ITV / ITVX</x:v>
      </x:c>
      <x:c r="AI785" s="14" t="str">
        <x:v>UK original commission</x:v>
      </x:c>
      <x:c r="AJ785" s="14" t="str">
        <x:v>Exact normalised title</x:v>
      </x:c>
      <x:c r="AK785" s="14" t="str">
        <x:v>Medium</x:v>
      </x:c>
      <x:c r="AL785" s="14" t="str">
        <x:v>Verified for commissioner/platform scope; uk original commission.</x:v>
      </x:c>
      <x:c r="AM785" s="17" t="e">
        <x:f>HYPERLINK("https://en.wikipedia.org/wiki/Grace","Open source")</x:f>
        <x:v>HYPERLINK is not implemented. linkLocation=https://en.wikipedia.org/wiki/Grace, friendlyName=Open source</x:v>
      </x:c>
      <x:c r="AN785" s="14" t="str">
        <x:v>No qualifying BBC relationship</x:v>
      </x:c>
      <x:c r="AO785" s="14" t="str">
        <x:v>No</x:v>
      </x:c>
      <x:c r="AP785" s="14" t="str">
        <x:v>Out of scope</x:v>
      </x:c>
      <x:c r="AQ785" s="14" t="str">
        <x:v>No</x:v>
      </x:c>
      <x:c r="AR785" s="14" t="str">
        <x:v>Resolved from master register</x:v>
      </x:c>
      <x:c r="AS785" s="14" t="str">
        <x:v>No established-register match</x:v>
      </x:c>
      <x:c r="AT785" s="14"/>
      <x:c r="AU785" s="14"/>
      <x:c r="AV785" s="14" t="str">
        <x:v>No established apparent-disability match</x:v>
      </x:c>
      <x:c r="AW785" s="14"/>
      <x:c r="AX785" s="14" t="str">
        <x:v>No</x:v>
      </x:c>
      <x:c r="AY785" s="14" t="str">
        <x:v>Unmatched</x:v>
      </x:c>
      <x:c r="AZ785" s="14" t="str">
        <x:v>Final supplied register</x:v>
      </x:c>
      <x:c r="BA785" s="14" t="str">
        <x:v>Absence from the register is not evidence that the performer is not disabled.</x:v>
      </x:c>
      <x:c r="BB785" s="14" t="str">
        <x:v>No established-register match</x:v>
      </x:c>
      <x:c r="BC785" s="14"/>
      <x:c r="BD785" s="14"/>
      <x:c r="BE785" s="14"/>
      <x:c r="BF785" s="14" t="str">
        <x:v>No established apparent-disability match</x:v>
      </x:c>
      <x:c r="BG785" s="14"/>
      <x:c r="BH785" s="14" t="str">
        <x:v>No</x:v>
      </x:c>
      <x:c r="BI785" s="14"/>
      <x:c r="BJ785" s="14"/>
      <x:c r="BK785" s="14"/>
      <x:c r="BL785" s="14" t="str">
        <x:v>Unmatched</x:v>
      </x:c>
      <x:c r="BM785" s="14" t="str">
        <x:v>Final supplied register</x:v>
      </x:c>
      <x:c r="BN785" s="14" t="str">
        <x:v>Absence from the register is not evidence that the performer is not disabled.</x:v>
      </x:c>
      <x:c r="BO785" s="14" t="n">
        <x:v>20</x:v>
      </x:c>
      <x:c r="BP785" s="14" t="str">
        <x:v>Maximum eligible IMDb cast-credit total (20), shared by 4 performer(s); not independently verified as a 2021-only episode total.</x:v>
      </x:c>
      <x:c r="BQ785" s="14" t="str">
        <x:v>Medium</x:v>
      </x:c>
      <x:c r="BR785" s="15" t="n">
        <x:v>1</x:v>
      </x:c>
      <x:c r="BS785" s="16" t="n">
        <x:v>0.05</x:v>
      </x:c>
      <x:c r="BT785" s="14" t="str">
        <x:v>One episode</x:v>
      </x:c>
      <x:c r="BU785" s="14" t="str">
        <x:v>Medium</x:v>
      </x:c>
      <x:c r="BV785" s="14" t="str">
        <x:v>Derived from supplied IMDb episode count and the documented production-total proxy.</x:v>
      </x:c>
      <x:c r="BW785" s="14" t="str">
        <x:v>Unable to determine</x:v>
      </x:c>
      <x:c r="BX785" s="14" t="str">
        <x:v>Supplied cast data establishes the credit and episode presence but does not establish narrative prominence.</x:v>
      </x:c>
      <x:c r="BY785" s="14" t="str">
        <x:v>Supplied IMDb cast-list workbook</x:v>
      </x:c>
      <x:c r="BZ7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5" s="14" t="str">
        <x:v>Not classified</x:v>
      </x:c>
      <x:c r="CB785" s="14" t="str">
        <x:v>Unable to determine</x:v>
      </x:c>
      <x:c r="CC785" s="14" t="str">
        <x:v>Unique</x:v>
      </x:c>
      <x:c r="CD785" s="14" t="str">
        <x:v>None identified</x:v>
      </x:c>
    </x:row>
    <x:row r="786">
      <x:c r="A786" s="14" t="str">
        <x:v>tt11639300|nm0312245|tim skevington</x:v>
      </x:c>
      <x:c r="B786" s="14" t="str">
        <x:v>02</x:v>
      </x:c>
      <x:c r="C786" s="14" t="str">
        <x:v>2021_IMDb_Cast_Lists_Batch_02(1).xlsx</x:v>
      </x:c>
      <x:c r="D786" s="14" t="str">
        <x:v>Grace</x:v>
      </x:c>
      <x:c r="E786" s="14" t="n">
        <x:v>242</x:v>
      </x:c>
      <x:c r="F786" s="14" t="str">
        <x:v>Grace</x:v>
      </x:c>
      <x:c r="G786" s="14" t="str">
        <x:v>tt11639300</x:v>
      </x:c>
      <x:c r="H786" s="14" t="n">
        <x:v>2021</x:v>
      </x:c>
      <x:c r="I786" s="14" t="n">
        <x:v>2023</x:v>
      </x:c>
      <x:c r="J786" s="14" t="str">
        <x:v>Future Carry-Forward Cohort</x:v>
      </x:c>
      <x:c r="K786" s="14" t="n">
        <x:v>2021</x:v>
      </x:c>
      <x:c r="L786" s="14" t="str">
        <x:v>Available from 2021 analysis</x:v>
      </x:c>
      <x:c r="M786" s="15" t="n">
        <x:v>235</x:v>
      </x:c>
      <x:c r="N786" s="14" t="str">
        <x:v>Ian Gelder</x:v>
      </x:c>
      <x:c r="O786" s="14" t="str">
        <x:v>nm0312245</x:v>
      </x:c>
      <x:c r="P786" s="14" t="str">
        <x:v>Tim Skevington</x:v>
      </x:c>
      <x:c r="Q786" s="15" t="n">
        <x:v>1</x:v>
      </x:c>
      <x:c r="R786" s="14" t="str">
        <x:v>2024</x:v>
      </x:c>
      <x:c r="S786" s="14" t="n">
        <x:v>2024</x:v>
      </x:c>
      <x:c r="T786" s="14" t="n">
        <x:v>2024</x:v>
      </x:c>
      <x:c r="U786" s="14" t="str">
        <x:v>Post-2021 casting excluded</x:v>
      </x:c>
      <x:c r="V786" s="14" t="str">
        <x:v>Earliest supplied year is 2024, later than the 2021 study year.</x:v>
      </x:c>
      <x:c r="W786" s="14"/>
      <x:c r="X786" s="14" t="str">
        <x:v>Carried forward to 2024</x:v>
      </x:c>
      <x:c r="Y786" s="14"/>
      <x:c r="Z786" s="14" t="str">
        <x:v>Grace.docx</x:v>
      </x:c>
      <x:c r="AA7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6" s="14" t="str">
        <x:v>No established-register match</x:v>
      </x:c>
      <x:c r="AC786" s="14"/>
      <x:c r="AD786" s="14"/>
      <x:c r="AE786" s="14"/>
      <x:c r="AF786" s="14"/>
      <x:c r="AG786" s="14" t="str">
        <x:v>No qualifying conclusion recorded. Absence from the register is not evidence that the performer is not disabled.</x:v>
      </x:c>
      <x:c r="AH786" s="14" t="str">
        <x:v>ITV / ITVX</x:v>
      </x:c>
      <x:c r="AI786" s="14" t="str">
        <x:v>UK original commission</x:v>
      </x:c>
      <x:c r="AJ786" s="14" t="str">
        <x:v>Exact normalised title</x:v>
      </x:c>
      <x:c r="AK786" s="14" t="str">
        <x:v>Medium</x:v>
      </x:c>
      <x:c r="AL786" s="14" t="str">
        <x:v>Verified for commissioner/platform scope; uk original commission.</x:v>
      </x:c>
      <x:c r="AM786" s="17" t="e">
        <x:f>HYPERLINK("https://en.wikipedia.org/wiki/Grace","Open source")</x:f>
        <x:v>HYPERLINK is not implemented. linkLocation=https://en.wikipedia.org/wiki/Grace, friendlyName=Open source</x:v>
      </x:c>
      <x:c r="AN786" s="14" t="str">
        <x:v>No qualifying BBC relationship</x:v>
      </x:c>
      <x:c r="AO786" s="14" t="str">
        <x:v>No</x:v>
      </x:c>
      <x:c r="AP786" s="14" t="str">
        <x:v>Out of scope</x:v>
      </x:c>
      <x:c r="AQ786" s="14" t="str">
        <x:v>No</x:v>
      </x:c>
      <x:c r="AR786" s="14" t="str">
        <x:v>Resolved from master register</x:v>
      </x:c>
      <x:c r="AS786" s="14" t="str">
        <x:v>No established-register match</x:v>
      </x:c>
      <x:c r="AT786" s="14"/>
      <x:c r="AU786" s="14"/>
      <x:c r="AV786" s="14" t="str">
        <x:v>No established apparent-disability match</x:v>
      </x:c>
      <x:c r="AW786" s="14"/>
      <x:c r="AX786" s="14" t="str">
        <x:v>No</x:v>
      </x:c>
      <x:c r="AY786" s="14" t="str">
        <x:v>Unmatched</x:v>
      </x:c>
      <x:c r="AZ786" s="14" t="str">
        <x:v>Final supplied register</x:v>
      </x:c>
      <x:c r="BA786" s="14" t="str">
        <x:v>Absence from the register is not evidence that the performer is not disabled.</x:v>
      </x:c>
      <x:c r="BB786" s="14" t="str">
        <x:v>No established-register match</x:v>
      </x:c>
      <x:c r="BC786" s="14"/>
      <x:c r="BD786" s="14"/>
      <x:c r="BE786" s="14"/>
      <x:c r="BF786" s="14" t="str">
        <x:v>No established apparent-disability match</x:v>
      </x:c>
      <x:c r="BG786" s="14"/>
      <x:c r="BH786" s="14" t="str">
        <x:v>No</x:v>
      </x:c>
      <x:c r="BI786" s="14"/>
      <x:c r="BJ786" s="14"/>
      <x:c r="BK786" s="14"/>
      <x:c r="BL786" s="14" t="str">
        <x:v>Unmatched</x:v>
      </x:c>
      <x:c r="BM786" s="14" t="str">
        <x:v>Final supplied register</x:v>
      </x:c>
      <x:c r="BN786" s="14" t="str">
        <x:v>Absence from the register is not evidence that the performer is not disabled.</x:v>
      </x:c>
      <x:c r="BO786" s="14" t="n">
        <x:v>20</x:v>
      </x:c>
      <x:c r="BP786" s="14" t="str">
        <x:v>Maximum eligible IMDb cast-credit total (20), shared by 4 performer(s); not independently verified as a 2021-only episode total.</x:v>
      </x:c>
      <x:c r="BQ786" s="14" t="str">
        <x:v>Medium</x:v>
      </x:c>
      <x:c r="BR786" s="15" t="n">
        <x:v>1</x:v>
      </x:c>
      <x:c r="BS786" s="16" t="n">
        <x:v>0.05</x:v>
      </x:c>
      <x:c r="BT786" s="14" t="str">
        <x:v>One episode</x:v>
      </x:c>
      <x:c r="BU786" s="14" t="str">
        <x:v>Medium</x:v>
      </x:c>
      <x:c r="BV786" s="14" t="str">
        <x:v>Derived from supplied IMDb episode count and the documented production-total proxy.</x:v>
      </x:c>
      <x:c r="BW786" s="14" t="str">
        <x:v>Unable to determine</x:v>
      </x:c>
      <x:c r="BX786" s="14" t="str">
        <x:v>Supplied cast data establishes the credit and episode presence but does not establish narrative prominence.</x:v>
      </x:c>
      <x:c r="BY786" s="14" t="str">
        <x:v>Supplied IMDb cast-list workbook</x:v>
      </x:c>
      <x:c r="BZ7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6" s="14" t="str">
        <x:v>Not classified</x:v>
      </x:c>
      <x:c r="CB786" s="14" t="str">
        <x:v>Unable to determine</x:v>
      </x:c>
      <x:c r="CC786" s="14" t="str">
        <x:v>Unique</x:v>
      </x:c>
      <x:c r="CD786" s="14" t="str">
        <x:v>None identified</x:v>
      </x:c>
    </x:row>
    <x:row r="787">
      <x:c r="A787" s="14" t="str">
        <x:v>tt11639300|nm13676015|ian padmore</x:v>
      </x:c>
      <x:c r="B787" s="14" t="str">
        <x:v>02</x:v>
      </x:c>
      <x:c r="C787" s="14" t="str">
        <x:v>2021_IMDb_Cast_Lists_Batch_02(1).xlsx</x:v>
      </x:c>
      <x:c r="D787" s="14" t="str">
        <x:v>Grace</x:v>
      </x:c>
      <x:c r="E787" s="14" t="n">
        <x:v>243</x:v>
      </x:c>
      <x:c r="F787" s="14" t="str">
        <x:v>Grace</x:v>
      </x:c>
      <x:c r="G787" s="14" t="str">
        <x:v>tt11639300</x:v>
      </x:c>
      <x:c r="H787" s="14" t="n">
        <x:v>2021</x:v>
      </x:c>
      <x:c r="I787" s="14" t="n">
        <x:v>2023</x:v>
      </x:c>
      <x:c r="J787" s="14" t="str">
        <x:v>Future Carry-Forward Cohort</x:v>
      </x:c>
      <x:c r="K787" s="14" t="n">
        <x:v>2021</x:v>
      </x:c>
      <x:c r="L787" s="14" t="str">
        <x:v>Available from 2021 analysis</x:v>
      </x:c>
      <x:c r="M787" s="15" t="n">
        <x:v>236</x:v>
      </x:c>
      <x:c r="N787" s="14" t="str">
        <x:v>Alan Mooney</x:v>
      </x:c>
      <x:c r="O787" s="14" t="str">
        <x:v>nm13676015</x:v>
      </x:c>
      <x:c r="P787" s="14" t="str">
        <x:v>Ian Padmore</x:v>
      </x:c>
      <x:c r="Q787" s="15" t="n">
        <x:v>1</x:v>
      </x:c>
      <x:c r="R787" s="14" t="str">
        <x:v>2024</x:v>
      </x:c>
      <x:c r="S787" s="14" t="n">
        <x:v>2024</x:v>
      </x:c>
      <x:c r="T787" s="14" t="n">
        <x:v>2024</x:v>
      </x:c>
      <x:c r="U787" s="14" t="str">
        <x:v>Post-2021 casting excluded</x:v>
      </x:c>
      <x:c r="V787" s="14" t="str">
        <x:v>Earliest supplied year is 2024, later than the 2021 study year.</x:v>
      </x:c>
      <x:c r="W787" s="14"/>
      <x:c r="X787" s="14" t="str">
        <x:v>Carried forward to 2024</x:v>
      </x:c>
      <x:c r="Y787" s="14"/>
      <x:c r="Z787" s="14" t="str">
        <x:v>Grace.docx</x:v>
      </x:c>
      <x:c r="AA7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7" s="14" t="str">
        <x:v>No established-register match</x:v>
      </x:c>
      <x:c r="AC787" s="14"/>
      <x:c r="AD787" s="14"/>
      <x:c r="AE787" s="14"/>
      <x:c r="AF787" s="14"/>
      <x:c r="AG787" s="14" t="str">
        <x:v>No qualifying conclusion recorded. Absence from the register is not evidence that the performer is not disabled.</x:v>
      </x:c>
      <x:c r="AH787" s="14" t="str">
        <x:v>ITV / ITVX</x:v>
      </x:c>
      <x:c r="AI787" s="14" t="str">
        <x:v>UK original commission</x:v>
      </x:c>
      <x:c r="AJ787" s="14" t="str">
        <x:v>Exact normalised title</x:v>
      </x:c>
      <x:c r="AK787" s="14" t="str">
        <x:v>Medium</x:v>
      </x:c>
      <x:c r="AL787" s="14" t="str">
        <x:v>Verified for commissioner/platform scope; uk original commission.</x:v>
      </x:c>
      <x:c r="AM787" s="17" t="e">
        <x:f>HYPERLINK("https://en.wikipedia.org/wiki/Grace","Open source")</x:f>
        <x:v>HYPERLINK is not implemented. linkLocation=https://en.wikipedia.org/wiki/Grace, friendlyName=Open source</x:v>
      </x:c>
      <x:c r="AN787" s="14" t="str">
        <x:v>No qualifying BBC relationship</x:v>
      </x:c>
      <x:c r="AO787" s="14" t="str">
        <x:v>No</x:v>
      </x:c>
      <x:c r="AP787" s="14" t="str">
        <x:v>Out of scope</x:v>
      </x:c>
      <x:c r="AQ787" s="14" t="str">
        <x:v>No</x:v>
      </x:c>
      <x:c r="AR787" s="14" t="str">
        <x:v>Resolved from master register</x:v>
      </x:c>
      <x:c r="AS787" s="14" t="str">
        <x:v>No established-register match</x:v>
      </x:c>
      <x:c r="AT787" s="14"/>
      <x:c r="AU787" s="14"/>
      <x:c r="AV787" s="14" t="str">
        <x:v>No established apparent-disability match</x:v>
      </x:c>
      <x:c r="AW787" s="14"/>
      <x:c r="AX787" s="14" t="str">
        <x:v>No</x:v>
      </x:c>
      <x:c r="AY787" s="14" t="str">
        <x:v>Unmatched</x:v>
      </x:c>
      <x:c r="AZ787" s="14" t="str">
        <x:v>Final supplied register</x:v>
      </x:c>
      <x:c r="BA787" s="14" t="str">
        <x:v>Absence from the register is not evidence that the performer is not disabled.</x:v>
      </x:c>
      <x:c r="BB787" s="14" t="str">
        <x:v>No established-register match</x:v>
      </x:c>
      <x:c r="BC787" s="14"/>
      <x:c r="BD787" s="14"/>
      <x:c r="BE787" s="14"/>
      <x:c r="BF787" s="14" t="str">
        <x:v>No established apparent-disability match</x:v>
      </x:c>
      <x:c r="BG787" s="14"/>
      <x:c r="BH787" s="14" t="str">
        <x:v>No</x:v>
      </x:c>
      <x:c r="BI787" s="14"/>
      <x:c r="BJ787" s="14"/>
      <x:c r="BK787" s="14"/>
      <x:c r="BL787" s="14" t="str">
        <x:v>Unmatched</x:v>
      </x:c>
      <x:c r="BM787" s="14" t="str">
        <x:v>Final supplied register</x:v>
      </x:c>
      <x:c r="BN787" s="14" t="str">
        <x:v>Absence from the register is not evidence that the performer is not disabled.</x:v>
      </x:c>
      <x:c r="BO787" s="14" t="n">
        <x:v>20</x:v>
      </x:c>
      <x:c r="BP787" s="14" t="str">
        <x:v>Maximum eligible IMDb cast-credit total (20), shared by 4 performer(s); not independently verified as a 2021-only episode total.</x:v>
      </x:c>
      <x:c r="BQ787" s="14" t="str">
        <x:v>Medium</x:v>
      </x:c>
      <x:c r="BR787" s="15" t="n">
        <x:v>1</x:v>
      </x:c>
      <x:c r="BS787" s="16" t="n">
        <x:v>0.05</x:v>
      </x:c>
      <x:c r="BT787" s="14" t="str">
        <x:v>One episode</x:v>
      </x:c>
      <x:c r="BU787" s="14" t="str">
        <x:v>Medium</x:v>
      </x:c>
      <x:c r="BV787" s="14" t="str">
        <x:v>Derived from supplied IMDb episode count and the documented production-total proxy.</x:v>
      </x:c>
      <x:c r="BW787" s="14" t="str">
        <x:v>Unable to determine</x:v>
      </x:c>
      <x:c r="BX787" s="14" t="str">
        <x:v>Supplied cast data establishes the credit and episode presence but does not establish narrative prominence.</x:v>
      </x:c>
      <x:c r="BY787" s="14" t="str">
        <x:v>Supplied IMDb cast-list workbook</x:v>
      </x:c>
      <x:c r="BZ7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7" s="14" t="str">
        <x:v>Not classified</x:v>
      </x:c>
      <x:c r="CB787" s="14" t="str">
        <x:v>Unable to determine</x:v>
      </x:c>
      <x:c r="CC787" s="14" t="str">
        <x:v>Unique</x:v>
      </x:c>
      <x:c r="CD787" s="14" t="str">
        <x:v>None identified</x:v>
      </x:c>
    </x:row>
    <x:row r="788">
      <x:c r="A788" s="14" t="str">
        <x:v>tt11639300|nm11012428|female croupier</x:v>
      </x:c>
      <x:c r="B788" s="14" t="str">
        <x:v>02</x:v>
      </x:c>
      <x:c r="C788" s="14" t="str">
        <x:v>2021_IMDb_Cast_Lists_Batch_02(1).xlsx</x:v>
      </x:c>
      <x:c r="D788" s="14" t="str">
        <x:v>Grace</x:v>
      </x:c>
      <x:c r="E788" s="14" t="n">
        <x:v>244</x:v>
      </x:c>
      <x:c r="F788" s="14" t="str">
        <x:v>Grace</x:v>
      </x:c>
      <x:c r="G788" s="14" t="str">
        <x:v>tt11639300</x:v>
      </x:c>
      <x:c r="H788" s="14" t="n">
        <x:v>2021</x:v>
      </x:c>
      <x:c r="I788" s="14" t="n">
        <x:v>2023</x:v>
      </x:c>
      <x:c r="J788" s="14" t="str">
        <x:v>Future Carry-Forward Cohort</x:v>
      </x:c>
      <x:c r="K788" s="14" t="n">
        <x:v>2021</x:v>
      </x:c>
      <x:c r="L788" s="14" t="str">
        <x:v>Available from 2021 analysis</x:v>
      </x:c>
      <x:c r="M788" s="15" t="n">
        <x:v>237</x:v>
      </x:c>
      <x:c r="N788" s="14" t="str">
        <x:v>Lydia Danistan</x:v>
      </x:c>
      <x:c r="O788" s="14" t="str">
        <x:v>nm11012428</x:v>
      </x:c>
      <x:c r="P788" s="14" t="str">
        <x:v>Female Croupier</x:v>
      </x:c>
      <x:c r="Q788" s="15" t="n">
        <x:v>1</x:v>
      </x:c>
      <x:c r="R788" s="14" t="str">
        <x:v>2024</x:v>
      </x:c>
      <x:c r="S788" s="14" t="n">
        <x:v>2024</x:v>
      </x:c>
      <x:c r="T788" s="14" t="n">
        <x:v>2024</x:v>
      </x:c>
      <x:c r="U788" s="14" t="str">
        <x:v>Post-2021 casting excluded</x:v>
      </x:c>
      <x:c r="V788" s="14" t="str">
        <x:v>Earliest supplied year is 2024, later than the 2021 study year.</x:v>
      </x:c>
      <x:c r="W788" s="14"/>
      <x:c r="X788" s="14" t="str">
        <x:v>Carried forward to 2024</x:v>
      </x:c>
      <x:c r="Y788" s="14"/>
      <x:c r="Z788" s="14" t="str">
        <x:v>Grace.docx</x:v>
      </x:c>
      <x:c r="AA7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8" s="14" t="str">
        <x:v>No established-register match</x:v>
      </x:c>
      <x:c r="AC788" s="14"/>
      <x:c r="AD788" s="14"/>
      <x:c r="AE788" s="14"/>
      <x:c r="AF788" s="14"/>
      <x:c r="AG788" s="14" t="str">
        <x:v>No qualifying conclusion recorded. Absence from the register is not evidence that the performer is not disabled.</x:v>
      </x:c>
      <x:c r="AH788" s="14" t="str">
        <x:v>ITV / ITVX</x:v>
      </x:c>
      <x:c r="AI788" s="14" t="str">
        <x:v>UK original commission</x:v>
      </x:c>
      <x:c r="AJ788" s="14" t="str">
        <x:v>Exact normalised title</x:v>
      </x:c>
      <x:c r="AK788" s="14" t="str">
        <x:v>Medium</x:v>
      </x:c>
      <x:c r="AL788" s="14" t="str">
        <x:v>Verified for commissioner/platform scope; uk original commission.</x:v>
      </x:c>
      <x:c r="AM788" s="17" t="e">
        <x:f>HYPERLINK("https://en.wikipedia.org/wiki/Grace","Open source")</x:f>
        <x:v>HYPERLINK is not implemented. linkLocation=https://en.wikipedia.org/wiki/Grace, friendlyName=Open source</x:v>
      </x:c>
      <x:c r="AN788" s="14" t="str">
        <x:v>No qualifying BBC relationship</x:v>
      </x:c>
      <x:c r="AO788" s="14" t="str">
        <x:v>No</x:v>
      </x:c>
      <x:c r="AP788" s="14" t="str">
        <x:v>Out of scope</x:v>
      </x:c>
      <x:c r="AQ788" s="14" t="str">
        <x:v>No</x:v>
      </x:c>
      <x:c r="AR788" s="14" t="str">
        <x:v>Resolved from master register</x:v>
      </x:c>
      <x:c r="AS788" s="14" t="str">
        <x:v>No established-register match</x:v>
      </x:c>
      <x:c r="AT788" s="14"/>
      <x:c r="AU788" s="14"/>
      <x:c r="AV788" s="14" t="str">
        <x:v>No established apparent-disability match</x:v>
      </x:c>
      <x:c r="AW788" s="14"/>
      <x:c r="AX788" s="14" t="str">
        <x:v>No</x:v>
      </x:c>
      <x:c r="AY788" s="14" t="str">
        <x:v>Unmatched</x:v>
      </x:c>
      <x:c r="AZ788" s="14" t="str">
        <x:v>Final supplied register</x:v>
      </x:c>
      <x:c r="BA788" s="14" t="str">
        <x:v>Absence from the register is not evidence that the performer is not disabled.</x:v>
      </x:c>
      <x:c r="BB788" s="14" t="str">
        <x:v>No established-register match</x:v>
      </x:c>
      <x:c r="BC788" s="14"/>
      <x:c r="BD788" s="14"/>
      <x:c r="BE788" s="14"/>
      <x:c r="BF788" s="14" t="str">
        <x:v>No established apparent-disability match</x:v>
      </x:c>
      <x:c r="BG788" s="14"/>
      <x:c r="BH788" s="14" t="str">
        <x:v>No</x:v>
      </x:c>
      <x:c r="BI788" s="14"/>
      <x:c r="BJ788" s="14"/>
      <x:c r="BK788" s="14"/>
      <x:c r="BL788" s="14" t="str">
        <x:v>Unmatched</x:v>
      </x:c>
      <x:c r="BM788" s="14" t="str">
        <x:v>Final supplied register</x:v>
      </x:c>
      <x:c r="BN788" s="14" t="str">
        <x:v>Absence from the register is not evidence that the performer is not disabled.</x:v>
      </x:c>
      <x:c r="BO788" s="14" t="n">
        <x:v>20</x:v>
      </x:c>
      <x:c r="BP788" s="14" t="str">
        <x:v>Maximum eligible IMDb cast-credit total (20), shared by 4 performer(s); not independently verified as a 2021-only episode total.</x:v>
      </x:c>
      <x:c r="BQ788" s="14" t="str">
        <x:v>Medium</x:v>
      </x:c>
      <x:c r="BR788" s="15" t="n">
        <x:v>1</x:v>
      </x:c>
      <x:c r="BS788" s="16" t="n">
        <x:v>0.05</x:v>
      </x:c>
      <x:c r="BT788" s="14" t="str">
        <x:v>One episode</x:v>
      </x:c>
      <x:c r="BU788" s="14" t="str">
        <x:v>Medium</x:v>
      </x:c>
      <x:c r="BV788" s="14" t="str">
        <x:v>Derived from supplied IMDb episode count and the documented production-total proxy.</x:v>
      </x:c>
      <x:c r="BW788" s="14" t="str">
        <x:v>Unable to determine</x:v>
      </x:c>
      <x:c r="BX788" s="14" t="str">
        <x:v>Supplied cast data establishes the credit and episode presence but does not establish narrative prominence.</x:v>
      </x:c>
      <x:c r="BY788" s="14" t="str">
        <x:v>Supplied IMDb cast-list workbook</x:v>
      </x:c>
      <x:c r="BZ7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8" s="14" t="str">
        <x:v>Not classified</x:v>
      </x:c>
      <x:c r="CB788" s="14" t="str">
        <x:v>Unable to determine</x:v>
      </x:c>
      <x:c r="CC788" s="14" t="str">
        <x:v>Unique</x:v>
      </x:c>
      <x:c r="CD788" s="14" t="str">
        <x:v>None identified</x:v>
      </x:c>
    </x:row>
    <x:row r="789">
      <x:c r="A789" s="14" t="str">
        <x:v>tt11639300|nm7401849|young clive ellis</x:v>
      </x:c>
      <x:c r="B789" s="14" t="str">
        <x:v>02</x:v>
      </x:c>
      <x:c r="C789" s="14" t="str">
        <x:v>2021_IMDb_Cast_Lists_Batch_02(1).xlsx</x:v>
      </x:c>
      <x:c r="D789" s="14" t="str">
        <x:v>Grace</x:v>
      </x:c>
      <x:c r="E789" s="14" t="n">
        <x:v>258</x:v>
      </x:c>
      <x:c r="F789" s="14" t="str">
        <x:v>Grace</x:v>
      </x:c>
      <x:c r="G789" s="14" t="str">
        <x:v>tt11639300</x:v>
      </x:c>
      <x:c r="H789" s="14" t="n">
        <x:v>2021</x:v>
      </x:c>
      <x:c r="I789" s="14" t="n">
        <x:v>2023</x:v>
      </x:c>
      <x:c r="J789" s="14" t="str">
        <x:v>Future Carry-Forward Cohort</x:v>
      </x:c>
      <x:c r="K789" s="14" t="n">
        <x:v>2021</x:v>
      </x:c>
      <x:c r="L789" s="14" t="str">
        <x:v>Available from 2021 analysis</x:v>
      </x:c>
      <x:c r="M789" s="15" t="n">
        <x:v>251</x:v>
      </x:c>
      <x:c r="N789" s="14" t="str">
        <x:v>Bleu Landau</x:v>
      </x:c>
      <x:c r="O789" s="14" t="str">
        <x:v>nm7401849</x:v>
      </x:c>
      <x:c r="P789" s="14" t="str">
        <x:v>Young Clive Ellis</x:v>
      </x:c>
      <x:c r="Q789" s="15" t="n">
        <x:v>1</x:v>
      </x:c>
      <x:c r="R789" s="14" t="str">
        <x:v>2024</x:v>
      </x:c>
      <x:c r="S789" s="14" t="n">
        <x:v>2024</x:v>
      </x:c>
      <x:c r="T789" s="14" t="n">
        <x:v>2024</x:v>
      </x:c>
      <x:c r="U789" s="14" t="str">
        <x:v>Post-2021 casting excluded</x:v>
      </x:c>
      <x:c r="V789" s="14" t="str">
        <x:v>Earliest supplied year is 2024, later than the 2021 study year.</x:v>
      </x:c>
      <x:c r="W789" s="14"/>
      <x:c r="X789" s="14" t="str">
        <x:v>Carried forward to 2024</x:v>
      </x:c>
      <x:c r="Y789" s="14"/>
      <x:c r="Z789" s="14" t="str">
        <x:v>Grace.docx</x:v>
      </x:c>
      <x:c r="AA7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9" s="14" t="str">
        <x:v>No established-register match</x:v>
      </x:c>
      <x:c r="AC789" s="14"/>
      <x:c r="AD789" s="14"/>
      <x:c r="AE789" s="14"/>
      <x:c r="AF789" s="14"/>
      <x:c r="AG789" s="14" t="str">
        <x:v>No qualifying conclusion recorded. Absence from the register is not evidence that the performer is not disabled.</x:v>
      </x:c>
      <x:c r="AH789" s="14" t="str">
        <x:v>ITV / ITVX</x:v>
      </x:c>
      <x:c r="AI789" s="14" t="str">
        <x:v>UK original commission</x:v>
      </x:c>
      <x:c r="AJ789" s="14" t="str">
        <x:v>Exact normalised title</x:v>
      </x:c>
      <x:c r="AK789" s="14" t="str">
        <x:v>Medium</x:v>
      </x:c>
      <x:c r="AL789" s="14" t="str">
        <x:v>Verified for commissioner/platform scope; uk original commission.</x:v>
      </x:c>
      <x:c r="AM789" s="17" t="e">
        <x:f>HYPERLINK("https://en.wikipedia.org/wiki/Grace","Open source")</x:f>
        <x:v>HYPERLINK is not implemented. linkLocation=https://en.wikipedia.org/wiki/Grace, friendlyName=Open source</x:v>
      </x:c>
      <x:c r="AN789" s="14" t="str">
        <x:v>No qualifying BBC relationship</x:v>
      </x:c>
      <x:c r="AO789" s="14" t="str">
        <x:v>No</x:v>
      </x:c>
      <x:c r="AP789" s="14" t="str">
        <x:v>Out of scope</x:v>
      </x:c>
      <x:c r="AQ789" s="14" t="str">
        <x:v>No</x:v>
      </x:c>
      <x:c r="AR789" s="14" t="str">
        <x:v>Resolved from master register</x:v>
      </x:c>
      <x:c r="AS789" s="14" t="str">
        <x:v>No established-register match</x:v>
      </x:c>
      <x:c r="AT789" s="14"/>
      <x:c r="AU789" s="14"/>
      <x:c r="AV789" s="14" t="str">
        <x:v>No established apparent-disability match</x:v>
      </x:c>
      <x:c r="AW789" s="14"/>
      <x:c r="AX789" s="14" t="str">
        <x:v>No</x:v>
      </x:c>
      <x:c r="AY789" s="14" t="str">
        <x:v>Unmatched</x:v>
      </x:c>
      <x:c r="AZ789" s="14" t="str">
        <x:v>Final supplied register</x:v>
      </x:c>
      <x:c r="BA789" s="14" t="str">
        <x:v>Absence from the register is not evidence that the performer is not disabled.</x:v>
      </x:c>
      <x:c r="BB789" s="14" t="str">
        <x:v>No established-register match</x:v>
      </x:c>
      <x:c r="BC789" s="14"/>
      <x:c r="BD789" s="14"/>
      <x:c r="BE789" s="14"/>
      <x:c r="BF789" s="14" t="str">
        <x:v>No established apparent-disability match</x:v>
      </x:c>
      <x:c r="BG789" s="14"/>
      <x:c r="BH789" s="14" t="str">
        <x:v>No</x:v>
      </x:c>
      <x:c r="BI789" s="14"/>
      <x:c r="BJ789" s="14"/>
      <x:c r="BK789" s="14"/>
      <x:c r="BL789" s="14" t="str">
        <x:v>Unmatched</x:v>
      </x:c>
      <x:c r="BM789" s="14" t="str">
        <x:v>Final supplied register</x:v>
      </x:c>
      <x:c r="BN789" s="14" t="str">
        <x:v>Absence from the register is not evidence that the performer is not disabled.</x:v>
      </x:c>
      <x:c r="BO789" s="14" t="n">
        <x:v>20</x:v>
      </x:c>
      <x:c r="BP789" s="14" t="str">
        <x:v>Maximum eligible IMDb cast-credit total (20), shared by 4 performer(s); not independently verified as a 2021-only episode total.</x:v>
      </x:c>
      <x:c r="BQ789" s="14" t="str">
        <x:v>Medium</x:v>
      </x:c>
      <x:c r="BR789" s="15" t="n">
        <x:v>1</x:v>
      </x:c>
      <x:c r="BS789" s="16" t="n">
        <x:v>0.05</x:v>
      </x:c>
      <x:c r="BT789" s="14" t="str">
        <x:v>One episode</x:v>
      </x:c>
      <x:c r="BU789" s="14" t="str">
        <x:v>Medium</x:v>
      </x:c>
      <x:c r="BV789" s="14" t="str">
        <x:v>Derived from supplied IMDb episode count and the documented production-total proxy.</x:v>
      </x:c>
      <x:c r="BW789" s="14" t="str">
        <x:v>Unable to determine</x:v>
      </x:c>
      <x:c r="BX789" s="14" t="str">
        <x:v>Supplied cast data establishes the credit and episode presence but does not establish narrative prominence.</x:v>
      </x:c>
      <x:c r="BY789" s="14" t="str">
        <x:v>Supplied IMDb cast-list workbook</x:v>
      </x:c>
      <x:c r="BZ7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9" s="14" t="str">
        <x:v>Not classified</x:v>
      </x:c>
      <x:c r="CB789" s="14" t="str">
        <x:v>Unable to determine</x:v>
      </x:c>
      <x:c r="CC789" s="14" t="str">
        <x:v>Unique</x:v>
      </x:c>
      <x:c r="CD789" s="14" t="str">
        <x:v>None identified</x:v>
      </x:c>
    </x:row>
    <x:row r="790">
      <x:c r="A790" s="14" t="str">
        <x:v>tt11639300|nm16235452|young cassie</x:v>
      </x:c>
      <x:c r="B790" s="14" t="str">
        <x:v>02</x:v>
      </x:c>
      <x:c r="C790" s="14" t="str">
        <x:v>2021_IMDb_Cast_Lists_Batch_02(1).xlsx</x:v>
      </x:c>
      <x:c r="D790" s="14" t="str">
        <x:v>Grace</x:v>
      </x:c>
      <x:c r="E790" s="14" t="n">
        <x:v>259</x:v>
      </x:c>
      <x:c r="F790" s="14" t="str">
        <x:v>Grace</x:v>
      </x:c>
      <x:c r="G790" s="14" t="str">
        <x:v>tt11639300</x:v>
      </x:c>
      <x:c r="H790" s="14" t="n">
        <x:v>2021</x:v>
      </x:c>
      <x:c r="I790" s="14" t="n">
        <x:v>2023</x:v>
      </x:c>
      <x:c r="J790" s="14" t="str">
        <x:v>Future Carry-Forward Cohort</x:v>
      </x:c>
      <x:c r="K790" s="14" t="n">
        <x:v>2021</x:v>
      </x:c>
      <x:c r="L790" s="14" t="str">
        <x:v>Available from 2021 analysis</x:v>
      </x:c>
      <x:c r="M790" s="15" t="n">
        <x:v>252</x:v>
      </x:c>
      <x:c r="N790" s="14" t="str">
        <x:v>Saoirse Mai Maguire</x:v>
      </x:c>
      <x:c r="O790" s="14" t="str">
        <x:v>nm16235452</x:v>
      </x:c>
      <x:c r="P790" s="14" t="str">
        <x:v>Young Cassie</x:v>
      </x:c>
      <x:c r="Q790" s="15" t="n">
        <x:v>1</x:v>
      </x:c>
      <x:c r="R790" s="14" t="str">
        <x:v>2024</x:v>
      </x:c>
      <x:c r="S790" s="14" t="n">
        <x:v>2024</x:v>
      </x:c>
      <x:c r="T790" s="14" t="n">
        <x:v>2024</x:v>
      </x:c>
      <x:c r="U790" s="14" t="str">
        <x:v>Post-2021 casting excluded</x:v>
      </x:c>
      <x:c r="V790" s="14" t="str">
        <x:v>Earliest supplied year is 2024, later than the 2021 study year.</x:v>
      </x:c>
      <x:c r="W790" s="14"/>
      <x:c r="X790" s="14" t="str">
        <x:v>Carried forward to 2024</x:v>
      </x:c>
      <x:c r="Y790" s="14"/>
      <x:c r="Z790" s="14" t="str">
        <x:v>Grace.docx</x:v>
      </x:c>
      <x:c r="AA7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0" s="14" t="str">
        <x:v>No established-register match</x:v>
      </x:c>
      <x:c r="AC790" s="14"/>
      <x:c r="AD790" s="14"/>
      <x:c r="AE790" s="14"/>
      <x:c r="AF790" s="14"/>
      <x:c r="AG790" s="14" t="str">
        <x:v>No qualifying conclusion recorded. Absence from the register is not evidence that the performer is not disabled.</x:v>
      </x:c>
      <x:c r="AH790" s="14" t="str">
        <x:v>ITV / ITVX</x:v>
      </x:c>
      <x:c r="AI790" s="14" t="str">
        <x:v>UK original commission</x:v>
      </x:c>
      <x:c r="AJ790" s="14" t="str">
        <x:v>Exact normalised title</x:v>
      </x:c>
      <x:c r="AK790" s="14" t="str">
        <x:v>Medium</x:v>
      </x:c>
      <x:c r="AL790" s="14" t="str">
        <x:v>Verified for commissioner/platform scope; uk original commission.</x:v>
      </x:c>
      <x:c r="AM790" s="17" t="e">
        <x:f>HYPERLINK("https://en.wikipedia.org/wiki/Grace","Open source")</x:f>
        <x:v>HYPERLINK is not implemented. linkLocation=https://en.wikipedia.org/wiki/Grace, friendlyName=Open source</x:v>
      </x:c>
      <x:c r="AN790" s="14" t="str">
        <x:v>No qualifying BBC relationship</x:v>
      </x:c>
      <x:c r="AO790" s="14" t="str">
        <x:v>No</x:v>
      </x:c>
      <x:c r="AP790" s="14" t="str">
        <x:v>Out of scope</x:v>
      </x:c>
      <x:c r="AQ790" s="14" t="str">
        <x:v>No</x:v>
      </x:c>
      <x:c r="AR790" s="14" t="str">
        <x:v>Resolved from master register</x:v>
      </x:c>
      <x:c r="AS790" s="14" t="str">
        <x:v>No established-register match</x:v>
      </x:c>
      <x:c r="AT790" s="14"/>
      <x:c r="AU790" s="14"/>
      <x:c r="AV790" s="14" t="str">
        <x:v>No established apparent-disability match</x:v>
      </x:c>
      <x:c r="AW790" s="14"/>
      <x:c r="AX790" s="14" t="str">
        <x:v>No</x:v>
      </x:c>
      <x:c r="AY790" s="14" t="str">
        <x:v>Unmatched</x:v>
      </x:c>
      <x:c r="AZ790" s="14" t="str">
        <x:v>Final supplied register</x:v>
      </x:c>
      <x:c r="BA790" s="14" t="str">
        <x:v>Absence from the register is not evidence that the performer is not disabled.</x:v>
      </x:c>
      <x:c r="BB790" s="14" t="str">
        <x:v>No established-register match</x:v>
      </x:c>
      <x:c r="BC790" s="14"/>
      <x:c r="BD790" s="14"/>
      <x:c r="BE790" s="14"/>
      <x:c r="BF790" s="14" t="str">
        <x:v>No established apparent-disability match</x:v>
      </x:c>
      <x:c r="BG790" s="14"/>
      <x:c r="BH790" s="14" t="str">
        <x:v>No</x:v>
      </x:c>
      <x:c r="BI790" s="14"/>
      <x:c r="BJ790" s="14"/>
      <x:c r="BK790" s="14"/>
      <x:c r="BL790" s="14" t="str">
        <x:v>Unmatched</x:v>
      </x:c>
      <x:c r="BM790" s="14" t="str">
        <x:v>Final supplied register</x:v>
      </x:c>
      <x:c r="BN790" s="14" t="str">
        <x:v>Absence from the register is not evidence that the performer is not disabled.</x:v>
      </x:c>
      <x:c r="BO790" s="14" t="n">
        <x:v>20</x:v>
      </x:c>
      <x:c r="BP790" s="14" t="str">
        <x:v>Maximum eligible IMDb cast-credit total (20), shared by 4 performer(s); not independently verified as a 2021-only episode total.</x:v>
      </x:c>
      <x:c r="BQ790" s="14" t="str">
        <x:v>Medium</x:v>
      </x:c>
      <x:c r="BR790" s="15" t="n">
        <x:v>1</x:v>
      </x:c>
      <x:c r="BS790" s="16" t="n">
        <x:v>0.05</x:v>
      </x:c>
      <x:c r="BT790" s="14" t="str">
        <x:v>One episode</x:v>
      </x:c>
      <x:c r="BU790" s="14" t="str">
        <x:v>Medium</x:v>
      </x:c>
      <x:c r="BV790" s="14" t="str">
        <x:v>Derived from supplied IMDb episode count and the documented production-total proxy.</x:v>
      </x:c>
      <x:c r="BW790" s="14" t="str">
        <x:v>Unable to determine</x:v>
      </x:c>
      <x:c r="BX790" s="14" t="str">
        <x:v>Supplied cast data establishes the credit and episode presence but does not establish narrative prominence.</x:v>
      </x:c>
      <x:c r="BY790" s="14" t="str">
        <x:v>Supplied IMDb cast-list workbook</x:v>
      </x:c>
      <x:c r="BZ7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0" s="14" t="str">
        <x:v>Not classified</x:v>
      </x:c>
      <x:c r="CB790" s="14" t="str">
        <x:v>Unable to determine</x:v>
      </x:c>
      <x:c r="CC790" s="14" t="str">
        <x:v>Unique</x:v>
      </x:c>
      <x:c r="CD790" s="14" t="str">
        <x:v>None identified</x:v>
      </x:c>
    </x:row>
    <x:row r="791">
      <x:c r="A791" s="14" t="str">
        <x:v>tt11639300|nm0189603|smallbone associate</x:v>
      </x:c>
      <x:c r="B791" s="14" t="str">
        <x:v>02</x:v>
      </x:c>
      <x:c r="C791" s="14" t="str">
        <x:v>2021_IMDb_Cast_Lists_Batch_02(1).xlsx</x:v>
      </x:c>
      <x:c r="D791" s="14" t="str">
        <x:v>Grace</x:v>
      </x:c>
      <x:c r="E791" s="14" t="n">
        <x:v>273</x:v>
      </x:c>
      <x:c r="F791" s="14" t="str">
        <x:v>Grace</x:v>
      </x:c>
      <x:c r="G791" s="14" t="str">
        <x:v>tt11639300</x:v>
      </x:c>
      <x:c r="H791" s="14" t="n">
        <x:v>2021</x:v>
      </x:c>
      <x:c r="I791" s="14" t="n">
        <x:v>2023</x:v>
      </x:c>
      <x:c r="J791" s="14" t="str">
        <x:v>Future Carry-Forward Cohort</x:v>
      </x:c>
      <x:c r="K791" s="14" t="n">
        <x:v>2021</x:v>
      </x:c>
      <x:c r="L791" s="14" t="str">
        <x:v>Available from 2021 analysis</x:v>
      </x:c>
      <x:c r="M791" s="15" t="n">
        <x:v>266</x:v>
      </x:c>
      <x:c r="N791" s="14" t="str">
        <x:v>Ben Crowe</x:v>
      </x:c>
      <x:c r="O791" s="14" t="str">
        <x:v>nm0189603</x:v>
      </x:c>
      <x:c r="P791" s="14" t="str">
        <x:v>Smallbone Associate</x:v>
      </x:c>
      <x:c r="Q791" s="15" t="n">
        <x:v>1</x:v>
      </x:c>
      <x:c r="R791" s="14" t="str">
        <x:v>2024</x:v>
      </x:c>
      <x:c r="S791" s="14" t="n">
        <x:v>2024</x:v>
      </x:c>
      <x:c r="T791" s="14" t="n">
        <x:v>2024</x:v>
      </x:c>
      <x:c r="U791" s="14" t="str">
        <x:v>Post-2021 casting excluded</x:v>
      </x:c>
      <x:c r="V791" s="14" t="str">
        <x:v>Earliest supplied year is 2024, later than the 2021 study year.</x:v>
      </x:c>
      <x:c r="W791" s="14"/>
      <x:c r="X791" s="14" t="str">
        <x:v>Carried forward to 2024</x:v>
      </x:c>
      <x:c r="Y791" s="14"/>
      <x:c r="Z791" s="14" t="str">
        <x:v>Grace.docx</x:v>
      </x:c>
      <x:c r="AA7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1" s="14" t="str">
        <x:v>No established-register match</x:v>
      </x:c>
      <x:c r="AC791" s="14"/>
      <x:c r="AD791" s="14"/>
      <x:c r="AE791" s="14"/>
      <x:c r="AF791" s="14"/>
      <x:c r="AG791" s="14" t="str">
        <x:v>No qualifying conclusion recorded. Absence from the register is not evidence that the performer is not disabled.</x:v>
      </x:c>
      <x:c r="AH791" s="14" t="str">
        <x:v>ITV / ITVX</x:v>
      </x:c>
      <x:c r="AI791" s="14" t="str">
        <x:v>UK original commission</x:v>
      </x:c>
      <x:c r="AJ791" s="14" t="str">
        <x:v>Exact normalised title</x:v>
      </x:c>
      <x:c r="AK791" s="14" t="str">
        <x:v>Medium</x:v>
      </x:c>
      <x:c r="AL791" s="14" t="str">
        <x:v>Verified for commissioner/platform scope; uk original commission.</x:v>
      </x:c>
      <x:c r="AM791" s="17" t="e">
        <x:f>HYPERLINK("https://en.wikipedia.org/wiki/Grace","Open source")</x:f>
        <x:v>HYPERLINK is not implemented. linkLocation=https://en.wikipedia.org/wiki/Grace, friendlyName=Open source</x:v>
      </x:c>
      <x:c r="AN791" s="14" t="str">
        <x:v>No qualifying BBC relationship</x:v>
      </x:c>
      <x:c r="AO791" s="14" t="str">
        <x:v>No</x:v>
      </x:c>
      <x:c r="AP791" s="14" t="str">
        <x:v>Out of scope</x:v>
      </x:c>
      <x:c r="AQ791" s="14" t="str">
        <x:v>No</x:v>
      </x:c>
      <x:c r="AR791" s="14" t="str">
        <x:v>Resolved from master register</x:v>
      </x:c>
      <x:c r="AS791" s="14" t="str">
        <x:v>No established-register match</x:v>
      </x:c>
      <x:c r="AT791" s="14"/>
      <x:c r="AU791" s="14"/>
      <x:c r="AV791" s="14" t="str">
        <x:v>No established apparent-disability match</x:v>
      </x:c>
      <x:c r="AW791" s="14"/>
      <x:c r="AX791" s="14" t="str">
        <x:v>No</x:v>
      </x:c>
      <x:c r="AY791" s="14" t="str">
        <x:v>Unmatched</x:v>
      </x:c>
      <x:c r="AZ791" s="14" t="str">
        <x:v>Final supplied register</x:v>
      </x:c>
      <x:c r="BA791" s="14" t="str">
        <x:v>Absence from the register is not evidence that the performer is not disabled.</x:v>
      </x:c>
      <x:c r="BB791" s="14" t="str">
        <x:v>No established-register match</x:v>
      </x:c>
      <x:c r="BC791" s="14"/>
      <x:c r="BD791" s="14"/>
      <x:c r="BE791" s="14"/>
      <x:c r="BF791" s="14" t="str">
        <x:v>No established apparent-disability match</x:v>
      </x:c>
      <x:c r="BG791" s="14"/>
      <x:c r="BH791" s="14" t="str">
        <x:v>No</x:v>
      </x:c>
      <x:c r="BI791" s="14"/>
      <x:c r="BJ791" s="14"/>
      <x:c r="BK791" s="14"/>
      <x:c r="BL791" s="14" t="str">
        <x:v>Unmatched</x:v>
      </x:c>
      <x:c r="BM791" s="14" t="str">
        <x:v>Final supplied register</x:v>
      </x:c>
      <x:c r="BN791" s="14" t="str">
        <x:v>Absence from the register is not evidence that the performer is not disabled.</x:v>
      </x:c>
      <x:c r="BO791" s="14" t="n">
        <x:v>20</x:v>
      </x:c>
      <x:c r="BP791" s="14" t="str">
        <x:v>Maximum eligible IMDb cast-credit total (20), shared by 4 performer(s); not independently verified as a 2021-only episode total.</x:v>
      </x:c>
      <x:c r="BQ791" s="14" t="str">
        <x:v>Medium</x:v>
      </x:c>
      <x:c r="BR791" s="15" t="n">
        <x:v>1</x:v>
      </x:c>
      <x:c r="BS791" s="16" t="n">
        <x:v>0.05</x:v>
      </x:c>
      <x:c r="BT791" s="14" t="str">
        <x:v>One episode</x:v>
      </x:c>
      <x:c r="BU791" s="14" t="str">
        <x:v>Medium</x:v>
      </x:c>
      <x:c r="BV791" s="14" t="str">
        <x:v>Derived from supplied IMDb episode count and the documented production-total proxy.</x:v>
      </x:c>
      <x:c r="BW791" s="14" t="str">
        <x:v>Unable to determine</x:v>
      </x:c>
      <x:c r="BX791" s="14" t="str">
        <x:v>Supplied cast data establishes the credit and episode presence but does not establish narrative prominence.</x:v>
      </x:c>
      <x:c r="BY791" s="14" t="str">
        <x:v>Supplied IMDb cast-list workbook</x:v>
      </x:c>
      <x:c r="BZ7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1" s="14" t="str">
        <x:v>Not classified</x:v>
      </x:c>
      <x:c r="CB791" s="14" t="str">
        <x:v>Unable to determine</x:v>
      </x:c>
      <x:c r="CC791" s="14" t="str">
        <x:v>Unique</x:v>
      </x:c>
      <x:c r="CD791" s="14" t="str">
        <x:v>None identified</x:v>
      </x:c>
    </x:row>
    <x:row r="792">
      <x:c r="A792" s="14" t="str">
        <x:v>tt11639300|nm16045917|young aileen</x:v>
      </x:c>
      <x:c r="B792" s="14" t="str">
        <x:v>02</x:v>
      </x:c>
      <x:c r="C792" s="14" t="str">
        <x:v>2021_IMDb_Cast_Lists_Batch_02(1).xlsx</x:v>
      </x:c>
      <x:c r="D792" s="14" t="str">
        <x:v>Grace</x:v>
      </x:c>
      <x:c r="E792" s="14" t="n">
        <x:v>274</x:v>
      </x:c>
      <x:c r="F792" s="14" t="str">
        <x:v>Grace</x:v>
      </x:c>
      <x:c r="G792" s="14" t="str">
        <x:v>tt11639300</x:v>
      </x:c>
      <x:c r="H792" s="14" t="n">
        <x:v>2021</x:v>
      </x:c>
      <x:c r="I792" s="14" t="n">
        <x:v>2023</x:v>
      </x:c>
      <x:c r="J792" s="14" t="str">
        <x:v>Future Carry-Forward Cohort</x:v>
      </x:c>
      <x:c r="K792" s="14" t="n">
        <x:v>2021</x:v>
      </x:c>
      <x:c r="L792" s="14" t="str">
        <x:v>Available from 2021 analysis</x:v>
      </x:c>
      <x:c r="M792" s="15" t="n">
        <x:v>267</x:v>
      </x:c>
      <x:c r="N792" s="14" t="str">
        <x:v>Phoebe Mulhall</x:v>
      </x:c>
      <x:c r="O792" s="14" t="str">
        <x:v>nm16045917</x:v>
      </x:c>
      <x:c r="P792" s="14" t="str">
        <x:v>Young Aileen</x:v>
      </x:c>
      <x:c r="Q792" s="15" t="n">
        <x:v>1</x:v>
      </x:c>
      <x:c r="R792" s="14" t="str">
        <x:v>2024</x:v>
      </x:c>
      <x:c r="S792" s="14" t="n">
        <x:v>2024</x:v>
      </x:c>
      <x:c r="T792" s="14" t="n">
        <x:v>2024</x:v>
      </x:c>
      <x:c r="U792" s="14" t="str">
        <x:v>Post-2021 casting excluded</x:v>
      </x:c>
      <x:c r="V792" s="14" t="str">
        <x:v>Earliest supplied year is 2024, later than the 2021 study year.</x:v>
      </x:c>
      <x:c r="W792" s="14"/>
      <x:c r="X792" s="14" t="str">
        <x:v>Carried forward to 2024</x:v>
      </x:c>
      <x:c r="Y792" s="14"/>
      <x:c r="Z792" s="14" t="str">
        <x:v>Grace.docx</x:v>
      </x:c>
      <x:c r="AA7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2" s="14" t="str">
        <x:v>No established-register match</x:v>
      </x:c>
      <x:c r="AC792" s="14"/>
      <x:c r="AD792" s="14"/>
      <x:c r="AE792" s="14"/>
      <x:c r="AF792" s="14"/>
      <x:c r="AG792" s="14" t="str">
        <x:v>No qualifying conclusion recorded. Absence from the register is not evidence that the performer is not disabled.</x:v>
      </x:c>
      <x:c r="AH792" s="14" t="str">
        <x:v>ITV / ITVX</x:v>
      </x:c>
      <x:c r="AI792" s="14" t="str">
        <x:v>UK original commission</x:v>
      </x:c>
      <x:c r="AJ792" s="14" t="str">
        <x:v>Exact normalised title</x:v>
      </x:c>
      <x:c r="AK792" s="14" t="str">
        <x:v>Medium</x:v>
      </x:c>
      <x:c r="AL792" s="14" t="str">
        <x:v>Verified for commissioner/platform scope; uk original commission.</x:v>
      </x:c>
      <x:c r="AM792" s="17" t="e">
        <x:f>HYPERLINK("https://en.wikipedia.org/wiki/Grace","Open source")</x:f>
        <x:v>HYPERLINK is not implemented. linkLocation=https://en.wikipedia.org/wiki/Grace, friendlyName=Open source</x:v>
      </x:c>
      <x:c r="AN792" s="14" t="str">
        <x:v>No qualifying BBC relationship</x:v>
      </x:c>
      <x:c r="AO792" s="14" t="str">
        <x:v>No</x:v>
      </x:c>
      <x:c r="AP792" s="14" t="str">
        <x:v>Out of scope</x:v>
      </x:c>
      <x:c r="AQ792" s="14" t="str">
        <x:v>No</x:v>
      </x:c>
      <x:c r="AR792" s="14" t="str">
        <x:v>Resolved from master register</x:v>
      </x:c>
      <x:c r="AS792" s="14" t="str">
        <x:v>No established-register match</x:v>
      </x:c>
      <x:c r="AT792" s="14"/>
      <x:c r="AU792" s="14"/>
      <x:c r="AV792" s="14" t="str">
        <x:v>No established apparent-disability match</x:v>
      </x:c>
      <x:c r="AW792" s="14"/>
      <x:c r="AX792" s="14" t="str">
        <x:v>No</x:v>
      </x:c>
      <x:c r="AY792" s="14" t="str">
        <x:v>Unmatched</x:v>
      </x:c>
      <x:c r="AZ792" s="14" t="str">
        <x:v>Final supplied register</x:v>
      </x:c>
      <x:c r="BA792" s="14" t="str">
        <x:v>Absence from the register is not evidence that the performer is not disabled.</x:v>
      </x:c>
      <x:c r="BB792" s="14" t="str">
        <x:v>No established-register match</x:v>
      </x:c>
      <x:c r="BC792" s="14"/>
      <x:c r="BD792" s="14"/>
      <x:c r="BE792" s="14"/>
      <x:c r="BF792" s="14" t="str">
        <x:v>No established apparent-disability match</x:v>
      </x:c>
      <x:c r="BG792" s="14"/>
      <x:c r="BH792" s="14" t="str">
        <x:v>No</x:v>
      </x:c>
      <x:c r="BI792" s="14"/>
      <x:c r="BJ792" s="14"/>
      <x:c r="BK792" s="14"/>
      <x:c r="BL792" s="14" t="str">
        <x:v>Unmatched</x:v>
      </x:c>
      <x:c r="BM792" s="14" t="str">
        <x:v>Final supplied register</x:v>
      </x:c>
      <x:c r="BN792" s="14" t="str">
        <x:v>Absence from the register is not evidence that the performer is not disabled.</x:v>
      </x:c>
      <x:c r="BO792" s="14" t="n">
        <x:v>20</x:v>
      </x:c>
      <x:c r="BP792" s="14" t="str">
        <x:v>Maximum eligible IMDb cast-credit total (20), shared by 4 performer(s); not independently verified as a 2021-only episode total.</x:v>
      </x:c>
      <x:c r="BQ792" s="14" t="str">
        <x:v>Medium</x:v>
      </x:c>
      <x:c r="BR792" s="15" t="n">
        <x:v>1</x:v>
      </x:c>
      <x:c r="BS792" s="16" t="n">
        <x:v>0.05</x:v>
      </x:c>
      <x:c r="BT792" s="14" t="str">
        <x:v>One episode</x:v>
      </x:c>
      <x:c r="BU792" s="14" t="str">
        <x:v>Medium</x:v>
      </x:c>
      <x:c r="BV792" s="14" t="str">
        <x:v>Derived from supplied IMDb episode count and the documented production-total proxy.</x:v>
      </x:c>
      <x:c r="BW792" s="14" t="str">
        <x:v>Unable to determine</x:v>
      </x:c>
      <x:c r="BX792" s="14" t="str">
        <x:v>Supplied cast data establishes the credit and episode presence but does not establish narrative prominence.</x:v>
      </x:c>
      <x:c r="BY792" s="14" t="str">
        <x:v>Supplied IMDb cast-list workbook</x:v>
      </x:c>
      <x:c r="BZ7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2" s="14" t="str">
        <x:v>Not classified</x:v>
      </x:c>
      <x:c r="CB792" s="14" t="str">
        <x:v>Unable to determine</x:v>
      </x:c>
      <x:c r="CC792" s="14" t="str">
        <x:v>Unique</x:v>
      </x:c>
      <x:c r="CD792" s="14" t="str">
        <x:v>None identified</x:v>
      </x:c>
    </x:row>
    <x:row r="793">
      <x:c r="A793" s="14" t="str">
        <x:v>tt11639300|nm16235453|young jodie</x:v>
      </x:c>
      <x:c r="B793" s="14" t="str">
        <x:v>02</x:v>
      </x:c>
      <x:c r="C793" s="14" t="str">
        <x:v>2021_IMDb_Cast_Lists_Batch_02(1).xlsx</x:v>
      </x:c>
      <x:c r="D793" s="14" t="str">
        <x:v>Grace</x:v>
      </x:c>
      <x:c r="E793" s="14" t="n">
        <x:v>275</x:v>
      </x:c>
      <x:c r="F793" s="14" t="str">
        <x:v>Grace</x:v>
      </x:c>
      <x:c r="G793" s="14" t="str">
        <x:v>tt11639300</x:v>
      </x:c>
      <x:c r="H793" s="14" t="n">
        <x:v>2021</x:v>
      </x:c>
      <x:c r="I793" s="14" t="n">
        <x:v>2023</x:v>
      </x:c>
      <x:c r="J793" s="14" t="str">
        <x:v>Future Carry-Forward Cohort</x:v>
      </x:c>
      <x:c r="K793" s="14" t="n">
        <x:v>2021</x:v>
      </x:c>
      <x:c r="L793" s="14" t="str">
        <x:v>Available from 2021 analysis</x:v>
      </x:c>
      <x:c r="M793" s="15" t="n">
        <x:v>268</x:v>
      </x:c>
      <x:c r="N793" s="14" t="str">
        <x:v>Molly Maclaine</x:v>
      </x:c>
      <x:c r="O793" s="14" t="str">
        <x:v>nm16235453</x:v>
      </x:c>
      <x:c r="P793" s="14" t="str">
        <x:v>Young Jodie</x:v>
      </x:c>
      <x:c r="Q793" s="15" t="n">
        <x:v>1</x:v>
      </x:c>
      <x:c r="R793" s="14" t="str">
        <x:v>2024</x:v>
      </x:c>
      <x:c r="S793" s="14" t="n">
        <x:v>2024</x:v>
      </x:c>
      <x:c r="T793" s="14" t="n">
        <x:v>2024</x:v>
      </x:c>
      <x:c r="U793" s="14" t="str">
        <x:v>Post-2021 casting excluded</x:v>
      </x:c>
      <x:c r="V793" s="14" t="str">
        <x:v>Earliest supplied year is 2024, later than the 2021 study year.</x:v>
      </x:c>
      <x:c r="W793" s="14"/>
      <x:c r="X793" s="14" t="str">
        <x:v>Carried forward to 2024</x:v>
      </x:c>
      <x:c r="Y793" s="14"/>
      <x:c r="Z793" s="14" t="str">
        <x:v>Grace.docx</x:v>
      </x:c>
      <x:c r="AA7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3" s="14" t="str">
        <x:v>No established-register match</x:v>
      </x:c>
      <x:c r="AC793" s="14"/>
      <x:c r="AD793" s="14"/>
      <x:c r="AE793" s="14"/>
      <x:c r="AF793" s="14"/>
      <x:c r="AG793" s="14" t="str">
        <x:v>No qualifying conclusion recorded. Absence from the register is not evidence that the performer is not disabled.</x:v>
      </x:c>
      <x:c r="AH793" s="14" t="str">
        <x:v>ITV / ITVX</x:v>
      </x:c>
      <x:c r="AI793" s="14" t="str">
        <x:v>UK original commission</x:v>
      </x:c>
      <x:c r="AJ793" s="14" t="str">
        <x:v>Exact normalised title</x:v>
      </x:c>
      <x:c r="AK793" s="14" t="str">
        <x:v>Medium</x:v>
      </x:c>
      <x:c r="AL793" s="14" t="str">
        <x:v>Verified for commissioner/platform scope; uk original commission.</x:v>
      </x:c>
      <x:c r="AM793" s="17" t="e">
        <x:f>HYPERLINK("https://en.wikipedia.org/wiki/Grace","Open source")</x:f>
        <x:v>HYPERLINK is not implemented. linkLocation=https://en.wikipedia.org/wiki/Grace, friendlyName=Open source</x:v>
      </x:c>
      <x:c r="AN793" s="14" t="str">
        <x:v>No qualifying BBC relationship</x:v>
      </x:c>
      <x:c r="AO793" s="14" t="str">
        <x:v>No</x:v>
      </x:c>
      <x:c r="AP793" s="14" t="str">
        <x:v>Out of scope</x:v>
      </x:c>
      <x:c r="AQ793" s="14" t="str">
        <x:v>No</x:v>
      </x:c>
      <x:c r="AR793" s="14" t="str">
        <x:v>Resolved from master register</x:v>
      </x:c>
      <x:c r="AS793" s="14" t="str">
        <x:v>No established-register match</x:v>
      </x:c>
      <x:c r="AT793" s="14"/>
      <x:c r="AU793" s="14"/>
      <x:c r="AV793" s="14" t="str">
        <x:v>No established apparent-disability match</x:v>
      </x:c>
      <x:c r="AW793" s="14"/>
      <x:c r="AX793" s="14" t="str">
        <x:v>No</x:v>
      </x:c>
      <x:c r="AY793" s="14" t="str">
        <x:v>Unmatched</x:v>
      </x:c>
      <x:c r="AZ793" s="14" t="str">
        <x:v>Final supplied register</x:v>
      </x:c>
      <x:c r="BA793" s="14" t="str">
        <x:v>Absence from the register is not evidence that the performer is not disabled.</x:v>
      </x:c>
      <x:c r="BB793" s="14" t="str">
        <x:v>No established-register match</x:v>
      </x:c>
      <x:c r="BC793" s="14"/>
      <x:c r="BD793" s="14"/>
      <x:c r="BE793" s="14"/>
      <x:c r="BF793" s="14" t="str">
        <x:v>No established apparent-disability match</x:v>
      </x:c>
      <x:c r="BG793" s="14"/>
      <x:c r="BH793" s="14" t="str">
        <x:v>No</x:v>
      </x:c>
      <x:c r="BI793" s="14"/>
      <x:c r="BJ793" s="14"/>
      <x:c r="BK793" s="14"/>
      <x:c r="BL793" s="14" t="str">
        <x:v>Unmatched</x:v>
      </x:c>
      <x:c r="BM793" s="14" t="str">
        <x:v>Final supplied register</x:v>
      </x:c>
      <x:c r="BN793" s="14" t="str">
        <x:v>Absence from the register is not evidence that the performer is not disabled.</x:v>
      </x:c>
      <x:c r="BO793" s="14" t="n">
        <x:v>20</x:v>
      </x:c>
      <x:c r="BP793" s="14" t="str">
        <x:v>Maximum eligible IMDb cast-credit total (20), shared by 4 performer(s); not independently verified as a 2021-only episode total.</x:v>
      </x:c>
      <x:c r="BQ793" s="14" t="str">
        <x:v>Medium</x:v>
      </x:c>
      <x:c r="BR793" s="15" t="n">
        <x:v>1</x:v>
      </x:c>
      <x:c r="BS793" s="16" t="n">
        <x:v>0.05</x:v>
      </x:c>
      <x:c r="BT793" s="14" t="str">
        <x:v>One episode</x:v>
      </x:c>
      <x:c r="BU793" s="14" t="str">
        <x:v>Medium</x:v>
      </x:c>
      <x:c r="BV793" s="14" t="str">
        <x:v>Derived from supplied IMDb episode count and the documented production-total proxy.</x:v>
      </x:c>
      <x:c r="BW793" s="14" t="str">
        <x:v>Unable to determine</x:v>
      </x:c>
      <x:c r="BX793" s="14" t="str">
        <x:v>Supplied cast data establishes the credit and episode presence but does not establish narrative prominence.</x:v>
      </x:c>
      <x:c r="BY793" s="14" t="str">
        <x:v>Supplied IMDb cast-list workbook</x:v>
      </x:c>
      <x:c r="BZ7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3" s="14" t="str">
        <x:v>Not classified</x:v>
      </x:c>
      <x:c r="CB793" s="14" t="str">
        <x:v>Unable to determine</x:v>
      </x:c>
      <x:c r="CC793" s="14" t="str">
        <x:v>Unique</x:v>
      </x:c>
      <x:c r="CD793" s="14" t="str">
        <x:v>None identified</x:v>
      </x:c>
    </x:row>
    <x:row r="794">
      <x:c r="A794" s="14" t="str">
        <x:v>tt11639300|nm7202482|young harrison</x:v>
      </x:c>
      <x:c r="B794" s="14" t="str">
        <x:v>02</x:v>
      </x:c>
      <x:c r="C794" s="14" t="str">
        <x:v>2021_IMDb_Cast_Lists_Batch_02(1).xlsx</x:v>
      </x:c>
      <x:c r="D794" s="14" t="str">
        <x:v>Grace</x:v>
      </x:c>
      <x:c r="E794" s="14" t="n">
        <x:v>284</x:v>
      </x:c>
      <x:c r="F794" s="14" t="str">
        <x:v>Grace</x:v>
      </x:c>
      <x:c r="G794" s="14" t="str">
        <x:v>tt11639300</x:v>
      </x:c>
      <x:c r="H794" s="14" t="n">
        <x:v>2021</x:v>
      </x:c>
      <x:c r="I794" s="14" t="n">
        <x:v>2023</x:v>
      </x:c>
      <x:c r="J794" s="14" t="str">
        <x:v>Future Carry-Forward Cohort</x:v>
      </x:c>
      <x:c r="K794" s="14" t="n">
        <x:v>2021</x:v>
      </x:c>
      <x:c r="L794" s="14" t="str">
        <x:v>Available from 2021 analysis</x:v>
      </x:c>
      <x:c r="M794" s="15" t="n">
        <x:v>277</x:v>
      </x:c>
      <x:c r="N794" s="14" t="str">
        <x:v>George Kent</x:v>
      </x:c>
      <x:c r="O794" s="14" t="str">
        <x:v>nm7202482</x:v>
      </x:c>
      <x:c r="P794" s="14" t="str">
        <x:v>Young Harrison</x:v>
      </x:c>
      <x:c r="Q794" s="15" t="n">
        <x:v>1</x:v>
      </x:c>
      <x:c r="R794" s="14" t="str">
        <x:v>2024</x:v>
      </x:c>
      <x:c r="S794" s="14" t="n">
        <x:v>2024</x:v>
      </x:c>
      <x:c r="T794" s="14" t="n">
        <x:v>2024</x:v>
      </x:c>
      <x:c r="U794" s="14" t="str">
        <x:v>Post-2021 casting excluded</x:v>
      </x:c>
      <x:c r="V794" s="14" t="str">
        <x:v>Earliest supplied year is 2024, later than the 2021 study year.</x:v>
      </x:c>
      <x:c r="W794" s="14"/>
      <x:c r="X794" s="14" t="str">
        <x:v>Carried forward to 2024</x:v>
      </x:c>
      <x:c r="Y794" s="14"/>
      <x:c r="Z794" s="14" t="str">
        <x:v>Grace.docx</x:v>
      </x:c>
      <x:c r="AA7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4" s="14" t="str">
        <x:v>No established-register match</x:v>
      </x:c>
      <x:c r="AC794" s="14"/>
      <x:c r="AD794" s="14"/>
      <x:c r="AE794" s="14"/>
      <x:c r="AF794" s="14"/>
      <x:c r="AG794" s="14" t="str">
        <x:v>No qualifying conclusion recorded. Absence from the register is not evidence that the performer is not disabled.</x:v>
      </x:c>
      <x:c r="AH794" s="14" t="str">
        <x:v>ITV / ITVX</x:v>
      </x:c>
      <x:c r="AI794" s="14" t="str">
        <x:v>UK original commission</x:v>
      </x:c>
      <x:c r="AJ794" s="14" t="str">
        <x:v>Exact normalised title</x:v>
      </x:c>
      <x:c r="AK794" s="14" t="str">
        <x:v>Medium</x:v>
      </x:c>
      <x:c r="AL794" s="14" t="str">
        <x:v>Verified for commissioner/platform scope; uk original commission.</x:v>
      </x:c>
      <x:c r="AM794" s="17" t="e">
        <x:f>HYPERLINK("https://en.wikipedia.org/wiki/Grace","Open source")</x:f>
        <x:v>HYPERLINK is not implemented. linkLocation=https://en.wikipedia.org/wiki/Grace, friendlyName=Open source</x:v>
      </x:c>
      <x:c r="AN794" s="14" t="str">
        <x:v>No qualifying BBC relationship</x:v>
      </x:c>
      <x:c r="AO794" s="14" t="str">
        <x:v>No</x:v>
      </x:c>
      <x:c r="AP794" s="14" t="str">
        <x:v>Out of scope</x:v>
      </x:c>
      <x:c r="AQ794" s="14" t="str">
        <x:v>No</x:v>
      </x:c>
      <x:c r="AR794" s="14" t="str">
        <x:v>Resolved from master register</x:v>
      </x:c>
      <x:c r="AS794" s="14" t="str">
        <x:v>No established-register match</x:v>
      </x:c>
      <x:c r="AT794" s="14"/>
      <x:c r="AU794" s="14"/>
      <x:c r="AV794" s="14" t="str">
        <x:v>No established apparent-disability match</x:v>
      </x:c>
      <x:c r="AW794" s="14"/>
      <x:c r="AX794" s="14" t="str">
        <x:v>No</x:v>
      </x:c>
      <x:c r="AY794" s="14" t="str">
        <x:v>Unmatched</x:v>
      </x:c>
      <x:c r="AZ794" s="14" t="str">
        <x:v>Final supplied register</x:v>
      </x:c>
      <x:c r="BA794" s="14" t="str">
        <x:v>Absence from the register is not evidence that the performer is not disabled.</x:v>
      </x:c>
      <x:c r="BB794" s="14" t="str">
        <x:v>No established-register match</x:v>
      </x:c>
      <x:c r="BC794" s="14"/>
      <x:c r="BD794" s="14"/>
      <x:c r="BE794" s="14"/>
      <x:c r="BF794" s="14" t="str">
        <x:v>No established apparent-disability match</x:v>
      </x:c>
      <x:c r="BG794" s="14"/>
      <x:c r="BH794" s="14" t="str">
        <x:v>No</x:v>
      </x:c>
      <x:c r="BI794" s="14"/>
      <x:c r="BJ794" s="14"/>
      <x:c r="BK794" s="14"/>
      <x:c r="BL794" s="14" t="str">
        <x:v>Unmatched</x:v>
      </x:c>
      <x:c r="BM794" s="14" t="str">
        <x:v>Final supplied register</x:v>
      </x:c>
      <x:c r="BN794" s="14" t="str">
        <x:v>Absence from the register is not evidence that the performer is not disabled.</x:v>
      </x:c>
      <x:c r="BO794" s="14" t="n">
        <x:v>20</x:v>
      </x:c>
      <x:c r="BP794" s="14" t="str">
        <x:v>Maximum eligible IMDb cast-credit total (20), shared by 4 performer(s); not independently verified as a 2021-only episode total.</x:v>
      </x:c>
      <x:c r="BQ794" s="14" t="str">
        <x:v>Medium</x:v>
      </x:c>
      <x:c r="BR794" s="15" t="n">
        <x:v>1</x:v>
      </x:c>
      <x:c r="BS794" s="16" t="n">
        <x:v>0.05</x:v>
      </x:c>
      <x:c r="BT794" s="14" t="str">
        <x:v>One episode</x:v>
      </x:c>
      <x:c r="BU794" s="14" t="str">
        <x:v>Medium</x:v>
      </x:c>
      <x:c r="BV794" s="14" t="str">
        <x:v>Derived from supplied IMDb episode count and the documented production-total proxy.</x:v>
      </x:c>
      <x:c r="BW794" s="14" t="str">
        <x:v>Unable to determine</x:v>
      </x:c>
      <x:c r="BX794" s="14" t="str">
        <x:v>Supplied cast data establishes the credit and episode presence but does not establish narrative prominence.</x:v>
      </x:c>
      <x:c r="BY794" s="14" t="str">
        <x:v>Supplied IMDb cast-list workbook</x:v>
      </x:c>
      <x:c r="BZ7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4" s="14" t="str">
        <x:v>Not classified</x:v>
      </x:c>
      <x:c r="CB794" s="14" t="str">
        <x:v>Unable to determine</x:v>
      </x:c>
      <x:c r="CC794" s="14" t="str">
        <x:v>Unique</x:v>
      </x:c>
      <x:c r="CD794" s="14" t="str">
        <x:v>None identified</x:v>
      </x:c>
    </x:row>
    <x:row r="795">
      <x:c r="A795" s="14" t="str">
        <x:v>tt11639300|nm12087245|pc croft</x:v>
      </x:c>
      <x:c r="B795" s="14" t="str">
        <x:v>02</x:v>
      </x:c>
      <x:c r="C795" s="14" t="str">
        <x:v>2021_IMDb_Cast_Lists_Batch_02(1).xlsx</x:v>
      </x:c>
      <x:c r="D795" s="14" t="str">
        <x:v>Grace</x:v>
      </x:c>
      <x:c r="E795" s="14" t="n">
        <x:v>285</x:v>
      </x:c>
      <x:c r="F795" s="14" t="str">
        <x:v>Grace</x:v>
      </x:c>
      <x:c r="G795" s="14" t="str">
        <x:v>tt11639300</x:v>
      </x:c>
      <x:c r="H795" s="14" t="n">
        <x:v>2021</x:v>
      </x:c>
      <x:c r="I795" s="14" t="n">
        <x:v>2023</x:v>
      </x:c>
      <x:c r="J795" s="14" t="str">
        <x:v>Future Carry-Forward Cohort</x:v>
      </x:c>
      <x:c r="K795" s="14" t="n">
        <x:v>2021</x:v>
      </x:c>
      <x:c r="L795" s="14" t="str">
        <x:v>Available from 2021 analysis</x:v>
      </x:c>
      <x:c r="M795" s="15" t="n">
        <x:v>278</x:v>
      </x:c>
      <x:c r="N795" s="14" t="str">
        <x:v>Baker Mukasa</x:v>
      </x:c>
      <x:c r="O795" s="14" t="str">
        <x:v>nm12087245</x:v>
      </x:c>
      <x:c r="P795" s="14" t="str">
        <x:v>PC Croft</x:v>
      </x:c>
      <x:c r="Q795" s="15" t="n">
        <x:v>1</x:v>
      </x:c>
      <x:c r="R795" s="14" t="str">
        <x:v>2024</x:v>
      </x:c>
      <x:c r="S795" s="14" t="n">
        <x:v>2024</x:v>
      </x:c>
      <x:c r="T795" s="14" t="n">
        <x:v>2024</x:v>
      </x:c>
      <x:c r="U795" s="14" t="str">
        <x:v>Post-2021 casting excluded</x:v>
      </x:c>
      <x:c r="V795" s="14" t="str">
        <x:v>Earliest supplied year is 2024, later than the 2021 study year.</x:v>
      </x:c>
      <x:c r="W795" s="14"/>
      <x:c r="X795" s="14" t="str">
        <x:v>Carried forward to 2024</x:v>
      </x:c>
      <x:c r="Y795" s="14"/>
      <x:c r="Z795" s="14" t="str">
        <x:v>Grace.docx</x:v>
      </x:c>
      <x:c r="AA7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5" s="14" t="str">
        <x:v>No established-register match</x:v>
      </x:c>
      <x:c r="AC795" s="14"/>
      <x:c r="AD795" s="14"/>
      <x:c r="AE795" s="14"/>
      <x:c r="AF795" s="14"/>
      <x:c r="AG795" s="14" t="str">
        <x:v>No qualifying conclusion recorded. Absence from the register is not evidence that the performer is not disabled.</x:v>
      </x:c>
      <x:c r="AH795" s="14" t="str">
        <x:v>ITV / ITVX</x:v>
      </x:c>
      <x:c r="AI795" s="14" t="str">
        <x:v>UK original commission</x:v>
      </x:c>
      <x:c r="AJ795" s="14" t="str">
        <x:v>Exact normalised title</x:v>
      </x:c>
      <x:c r="AK795" s="14" t="str">
        <x:v>Medium</x:v>
      </x:c>
      <x:c r="AL795" s="14" t="str">
        <x:v>Verified for commissioner/platform scope; uk original commission.</x:v>
      </x:c>
      <x:c r="AM795" s="17" t="e">
        <x:f>HYPERLINK("https://en.wikipedia.org/wiki/Grace","Open source")</x:f>
        <x:v>HYPERLINK is not implemented. linkLocation=https://en.wikipedia.org/wiki/Grace, friendlyName=Open source</x:v>
      </x:c>
      <x:c r="AN795" s="14" t="str">
        <x:v>No qualifying BBC relationship</x:v>
      </x:c>
      <x:c r="AO795" s="14" t="str">
        <x:v>No</x:v>
      </x:c>
      <x:c r="AP795" s="14" t="str">
        <x:v>Out of scope</x:v>
      </x:c>
      <x:c r="AQ795" s="14" t="str">
        <x:v>No</x:v>
      </x:c>
      <x:c r="AR795" s="14" t="str">
        <x:v>Resolved from master register</x:v>
      </x:c>
      <x:c r="AS795" s="14" t="str">
        <x:v>No established-register match</x:v>
      </x:c>
      <x:c r="AT795" s="14"/>
      <x:c r="AU795" s="14"/>
      <x:c r="AV795" s="14" t="str">
        <x:v>No established apparent-disability match</x:v>
      </x:c>
      <x:c r="AW795" s="14"/>
      <x:c r="AX795" s="14" t="str">
        <x:v>No</x:v>
      </x:c>
      <x:c r="AY795" s="14" t="str">
        <x:v>Unmatched</x:v>
      </x:c>
      <x:c r="AZ795" s="14" t="str">
        <x:v>Final supplied register</x:v>
      </x:c>
      <x:c r="BA795" s="14" t="str">
        <x:v>Absence from the register is not evidence that the performer is not disabled.</x:v>
      </x:c>
      <x:c r="BB795" s="14" t="str">
        <x:v>No established-register match</x:v>
      </x:c>
      <x:c r="BC795" s="14"/>
      <x:c r="BD795" s="14"/>
      <x:c r="BE795" s="14"/>
      <x:c r="BF795" s="14" t="str">
        <x:v>No established apparent-disability match</x:v>
      </x:c>
      <x:c r="BG795" s="14"/>
      <x:c r="BH795" s="14" t="str">
        <x:v>No</x:v>
      </x:c>
      <x:c r="BI795" s="14"/>
      <x:c r="BJ795" s="14"/>
      <x:c r="BK795" s="14"/>
      <x:c r="BL795" s="14" t="str">
        <x:v>Unmatched</x:v>
      </x:c>
      <x:c r="BM795" s="14" t="str">
        <x:v>Final supplied register</x:v>
      </x:c>
      <x:c r="BN795" s="14" t="str">
        <x:v>Absence from the register is not evidence that the performer is not disabled.</x:v>
      </x:c>
      <x:c r="BO795" s="14" t="n">
        <x:v>20</x:v>
      </x:c>
      <x:c r="BP795" s="14" t="str">
        <x:v>Maximum eligible IMDb cast-credit total (20), shared by 4 performer(s); not independently verified as a 2021-only episode total.</x:v>
      </x:c>
      <x:c r="BQ795" s="14" t="str">
        <x:v>Medium</x:v>
      </x:c>
      <x:c r="BR795" s="15" t="n">
        <x:v>1</x:v>
      </x:c>
      <x:c r="BS795" s="16" t="n">
        <x:v>0.05</x:v>
      </x:c>
      <x:c r="BT795" s="14" t="str">
        <x:v>One episode</x:v>
      </x:c>
      <x:c r="BU795" s="14" t="str">
        <x:v>Medium</x:v>
      </x:c>
      <x:c r="BV795" s="14" t="str">
        <x:v>Derived from supplied IMDb episode count and the documented production-total proxy.</x:v>
      </x:c>
      <x:c r="BW795" s="14" t="str">
        <x:v>Unable to determine</x:v>
      </x:c>
      <x:c r="BX795" s="14" t="str">
        <x:v>Supplied cast data establishes the credit and episode presence but does not establish narrative prominence.</x:v>
      </x:c>
      <x:c r="BY795" s="14" t="str">
        <x:v>Supplied IMDb cast-list workbook</x:v>
      </x:c>
      <x:c r="BZ7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5" s="14" t="str">
        <x:v>Not classified</x:v>
      </x:c>
      <x:c r="CB795" s="14" t="str">
        <x:v>Unable to determine</x:v>
      </x:c>
      <x:c r="CC795" s="14" t="str">
        <x:v>Unique</x:v>
      </x:c>
      <x:c r="CD795" s="14" t="str">
        <x:v>None identified</x:v>
      </x:c>
    </x:row>
    <x:row r="796">
      <x:c r="A796" s="14" t="str">
        <x:v>tt11639300|nm2388072|charity host</x:v>
      </x:c>
      <x:c r="B796" s="14" t="str">
        <x:v>02</x:v>
      </x:c>
      <x:c r="C796" s="14" t="str">
        <x:v>2021_IMDb_Cast_Lists_Batch_02(1).xlsx</x:v>
      </x:c>
      <x:c r="D796" s="14" t="str">
        <x:v>Grace</x:v>
      </x:c>
      <x:c r="E796" s="14" t="n">
        <x:v>286</x:v>
      </x:c>
      <x:c r="F796" s="14" t="str">
        <x:v>Grace</x:v>
      </x:c>
      <x:c r="G796" s="14" t="str">
        <x:v>tt11639300</x:v>
      </x:c>
      <x:c r="H796" s="14" t="n">
        <x:v>2021</x:v>
      </x:c>
      <x:c r="I796" s="14" t="n">
        <x:v>2023</x:v>
      </x:c>
      <x:c r="J796" s="14" t="str">
        <x:v>Future Carry-Forward Cohort</x:v>
      </x:c>
      <x:c r="K796" s="14" t="n">
        <x:v>2021</x:v>
      </x:c>
      <x:c r="L796" s="14" t="str">
        <x:v>Available from 2021 analysis</x:v>
      </x:c>
      <x:c r="M796" s="15" t="n">
        <x:v>279</x:v>
      </x:c>
      <x:c r="N796" s="14" t="str">
        <x:v>Susie Riddell</x:v>
      </x:c>
      <x:c r="O796" s="14" t="str">
        <x:v>nm2388072</x:v>
      </x:c>
      <x:c r="P796" s="14" t="str">
        <x:v>Charity Host</x:v>
      </x:c>
      <x:c r="Q796" s="15" t="n">
        <x:v>1</x:v>
      </x:c>
      <x:c r="R796" s="14" t="str">
        <x:v>2024</x:v>
      </x:c>
      <x:c r="S796" s="14" t="n">
        <x:v>2024</x:v>
      </x:c>
      <x:c r="T796" s="14" t="n">
        <x:v>2024</x:v>
      </x:c>
      <x:c r="U796" s="14" t="str">
        <x:v>Post-2021 casting excluded</x:v>
      </x:c>
      <x:c r="V796" s="14" t="str">
        <x:v>Earliest supplied year is 2024, later than the 2021 study year.</x:v>
      </x:c>
      <x:c r="W796" s="14"/>
      <x:c r="X796" s="14" t="str">
        <x:v>Carried forward to 2024</x:v>
      </x:c>
      <x:c r="Y796" s="14"/>
      <x:c r="Z796" s="14" t="str">
        <x:v>Grace.docx</x:v>
      </x:c>
      <x:c r="AA7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6" s="14" t="str">
        <x:v>No established-register match</x:v>
      </x:c>
      <x:c r="AC796" s="14"/>
      <x:c r="AD796" s="14"/>
      <x:c r="AE796" s="14"/>
      <x:c r="AF796" s="14"/>
      <x:c r="AG796" s="14" t="str">
        <x:v>No qualifying conclusion recorded. Absence from the register is not evidence that the performer is not disabled.</x:v>
      </x:c>
      <x:c r="AH796" s="14" t="str">
        <x:v>ITV / ITVX</x:v>
      </x:c>
      <x:c r="AI796" s="14" t="str">
        <x:v>UK original commission</x:v>
      </x:c>
      <x:c r="AJ796" s="14" t="str">
        <x:v>Exact normalised title</x:v>
      </x:c>
      <x:c r="AK796" s="14" t="str">
        <x:v>Medium</x:v>
      </x:c>
      <x:c r="AL796" s="14" t="str">
        <x:v>Verified for commissioner/platform scope; uk original commission.</x:v>
      </x:c>
      <x:c r="AM796" s="17" t="e">
        <x:f>HYPERLINK("https://en.wikipedia.org/wiki/Grace","Open source")</x:f>
        <x:v>HYPERLINK is not implemented. linkLocation=https://en.wikipedia.org/wiki/Grace, friendlyName=Open source</x:v>
      </x:c>
      <x:c r="AN796" s="14" t="str">
        <x:v>No qualifying BBC relationship</x:v>
      </x:c>
      <x:c r="AO796" s="14" t="str">
        <x:v>No</x:v>
      </x:c>
      <x:c r="AP796" s="14" t="str">
        <x:v>Out of scope</x:v>
      </x:c>
      <x:c r="AQ796" s="14" t="str">
        <x:v>No</x:v>
      </x:c>
      <x:c r="AR796" s="14" t="str">
        <x:v>Resolved from master register</x:v>
      </x:c>
      <x:c r="AS796" s="14" t="str">
        <x:v>No established-register match</x:v>
      </x:c>
      <x:c r="AT796" s="14"/>
      <x:c r="AU796" s="14"/>
      <x:c r="AV796" s="14" t="str">
        <x:v>No established apparent-disability match</x:v>
      </x:c>
      <x:c r="AW796" s="14"/>
      <x:c r="AX796" s="14" t="str">
        <x:v>No</x:v>
      </x:c>
      <x:c r="AY796" s="14" t="str">
        <x:v>Unmatched</x:v>
      </x:c>
      <x:c r="AZ796" s="14" t="str">
        <x:v>Final supplied register</x:v>
      </x:c>
      <x:c r="BA796" s="14" t="str">
        <x:v>Absence from the register is not evidence that the performer is not disabled.</x:v>
      </x:c>
      <x:c r="BB796" s="14" t="str">
        <x:v>No established-register match</x:v>
      </x:c>
      <x:c r="BC796" s="14"/>
      <x:c r="BD796" s="14"/>
      <x:c r="BE796" s="14"/>
      <x:c r="BF796" s="14" t="str">
        <x:v>No established apparent-disability match</x:v>
      </x:c>
      <x:c r="BG796" s="14"/>
      <x:c r="BH796" s="14" t="str">
        <x:v>No</x:v>
      </x:c>
      <x:c r="BI796" s="14"/>
      <x:c r="BJ796" s="14"/>
      <x:c r="BK796" s="14"/>
      <x:c r="BL796" s="14" t="str">
        <x:v>Unmatched</x:v>
      </x:c>
      <x:c r="BM796" s="14" t="str">
        <x:v>Final supplied register</x:v>
      </x:c>
      <x:c r="BN796" s="14" t="str">
        <x:v>Absence from the register is not evidence that the performer is not disabled.</x:v>
      </x:c>
      <x:c r="BO796" s="14" t="n">
        <x:v>20</x:v>
      </x:c>
      <x:c r="BP796" s="14" t="str">
        <x:v>Maximum eligible IMDb cast-credit total (20), shared by 4 performer(s); not independently verified as a 2021-only episode total.</x:v>
      </x:c>
      <x:c r="BQ796" s="14" t="str">
        <x:v>Medium</x:v>
      </x:c>
      <x:c r="BR796" s="15" t="n">
        <x:v>1</x:v>
      </x:c>
      <x:c r="BS796" s="16" t="n">
        <x:v>0.05</x:v>
      </x:c>
      <x:c r="BT796" s="14" t="str">
        <x:v>One episode</x:v>
      </x:c>
      <x:c r="BU796" s="14" t="str">
        <x:v>Medium</x:v>
      </x:c>
      <x:c r="BV796" s="14" t="str">
        <x:v>Derived from supplied IMDb episode count and the documented production-total proxy.</x:v>
      </x:c>
      <x:c r="BW796" s="14" t="str">
        <x:v>Unable to determine</x:v>
      </x:c>
      <x:c r="BX796" s="14" t="str">
        <x:v>Supplied cast data establishes the credit and episode presence but does not establish narrative prominence.</x:v>
      </x:c>
      <x:c r="BY796" s="14" t="str">
        <x:v>Supplied IMDb cast-list workbook</x:v>
      </x:c>
      <x:c r="BZ7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6" s="14" t="str">
        <x:v>Not classified</x:v>
      </x:c>
      <x:c r="CB796" s="14" t="str">
        <x:v>Unable to determine</x:v>
      </x:c>
      <x:c r="CC796" s="14" t="str">
        <x:v>Unique</x:v>
      </x:c>
      <x:c r="CD796" s="14" t="str">
        <x:v>None identified</x:v>
      </x:c>
    </x:row>
    <x:row r="797">
      <x:c r="A797" s="14" t="str">
        <x:v>tt11639300|nm2093741|aunty vi</x:v>
      </x:c>
      <x:c r="B797" s="14" t="str">
        <x:v>02</x:v>
      </x:c>
      <x:c r="C797" s="14" t="str">
        <x:v>2021_IMDb_Cast_Lists_Batch_02(1).xlsx</x:v>
      </x:c>
      <x:c r="D797" s="14" t="str">
        <x:v>Grace</x:v>
      </x:c>
      <x:c r="E797" s="14" t="n">
        <x:v>287</x:v>
      </x:c>
      <x:c r="F797" s="14" t="str">
        <x:v>Grace</x:v>
      </x:c>
      <x:c r="G797" s="14" t="str">
        <x:v>tt11639300</x:v>
      </x:c>
      <x:c r="H797" s="14" t="n">
        <x:v>2021</x:v>
      </x:c>
      <x:c r="I797" s="14" t="n">
        <x:v>2023</x:v>
      </x:c>
      <x:c r="J797" s="14" t="str">
        <x:v>Future Carry-Forward Cohort</x:v>
      </x:c>
      <x:c r="K797" s="14" t="n">
        <x:v>2021</x:v>
      </x:c>
      <x:c r="L797" s="14" t="str">
        <x:v>Available from 2021 analysis</x:v>
      </x:c>
      <x:c r="M797" s="15" t="n">
        <x:v>280</x:v>
      </x:c>
      <x:c r="N797" s="14" t="str">
        <x:v>Michelle Connolly</x:v>
      </x:c>
      <x:c r="O797" s="14" t="str">
        <x:v>nm2093741</x:v>
      </x:c>
      <x:c r="P797" s="14" t="str">
        <x:v>Aunty Vi</x:v>
      </x:c>
      <x:c r="Q797" s="15" t="n">
        <x:v>1</x:v>
      </x:c>
      <x:c r="R797" s="14" t="str">
        <x:v>2024</x:v>
      </x:c>
      <x:c r="S797" s="14" t="n">
        <x:v>2024</x:v>
      </x:c>
      <x:c r="T797" s="14" t="n">
        <x:v>2024</x:v>
      </x:c>
      <x:c r="U797" s="14" t="str">
        <x:v>Post-2021 casting excluded</x:v>
      </x:c>
      <x:c r="V797" s="14" t="str">
        <x:v>Earliest supplied year is 2024, later than the 2021 study year.</x:v>
      </x:c>
      <x:c r="W797" s="14"/>
      <x:c r="X797" s="14" t="str">
        <x:v>Carried forward to 2024</x:v>
      </x:c>
      <x:c r="Y797" s="14"/>
      <x:c r="Z797" s="14" t="str">
        <x:v>Grace.docx</x:v>
      </x:c>
      <x:c r="AA7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7" s="14" t="str">
        <x:v>No established-register match</x:v>
      </x:c>
      <x:c r="AC797" s="14"/>
      <x:c r="AD797" s="14"/>
      <x:c r="AE797" s="14"/>
      <x:c r="AF797" s="14"/>
      <x:c r="AG797" s="14" t="str">
        <x:v>No qualifying conclusion recorded. Absence from the register is not evidence that the performer is not disabled.</x:v>
      </x:c>
      <x:c r="AH797" s="14" t="str">
        <x:v>ITV / ITVX</x:v>
      </x:c>
      <x:c r="AI797" s="14" t="str">
        <x:v>UK original commission</x:v>
      </x:c>
      <x:c r="AJ797" s="14" t="str">
        <x:v>Exact normalised title</x:v>
      </x:c>
      <x:c r="AK797" s="14" t="str">
        <x:v>Medium</x:v>
      </x:c>
      <x:c r="AL797" s="14" t="str">
        <x:v>Verified for commissioner/platform scope; uk original commission.</x:v>
      </x:c>
      <x:c r="AM797" s="17" t="e">
        <x:f>HYPERLINK("https://en.wikipedia.org/wiki/Grace","Open source")</x:f>
        <x:v>HYPERLINK is not implemented. linkLocation=https://en.wikipedia.org/wiki/Grace, friendlyName=Open source</x:v>
      </x:c>
      <x:c r="AN797" s="14" t="str">
        <x:v>No qualifying BBC relationship</x:v>
      </x:c>
      <x:c r="AO797" s="14" t="str">
        <x:v>No</x:v>
      </x:c>
      <x:c r="AP797" s="14" t="str">
        <x:v>Out of scope</x:v>
      </x:c>
      <x:c r="AQ797" s="14" t="str">
        <x:v>No</x:v>
      </x:c>
      <x:c r="AR797" s="14" t="str">
        <x:v>Resolved from master register</x:v>
      </x:c>
      <x:c r="AS797" s="14" t="str">
        <x:v>No established-register match</x:v>
      </x:c>
      <x:c r="AT797" s="14"/>
      <x:c r="AU797" s="14"/>
      <x:c r="AV797" s="14" t="str">
        <x:v>No established apparent-disability match</x:v>
      </x:c>
      <x:c r="AW797" s="14"/>
      <x:c r="AX797" s="14" t="str">
        <x:v>No</x:v>
      </x:c>
      <x:c r="AY797" s="14" t="str">
        <x:v>Unmatched</x:v>
      </x:c>
      <x:c r="AZ797" s="14" t="str">
        <x:v>Final supplied register</x:v>
      </x:c>
      <x:c r="BA797" s="14" t="str">
        <x:v>Absence from the register is not evidence that the performer is not disabled.</x:v>
      </x:c>
      <x:c r="BB797" s="14" t="str">
        <x:v>No established-register match</x:v>
      </x:c>
      <x:c r="BC797" s="14"/>
      <x:c r="BD797" s="14"/>
      <x:c r="BE797" s="14"/>
      <x:c r="BF797" s="14" t="str">
        <x:v>No established apparent-disability match</x:v>
      </x:c>
      <x:c r="BG797" s="14"/>
      <x:c r="BH797" s="14" t="str">
        <x:v>No</x:v>
      </x:c>
      <x:c r="BI797" s="14"/>
      <x:c r="BJ797" s="14"/>
      <x:c r="BK797" s="14"/>
      <x:c r="BL797" s="14" t="str">
        <x:v>Unmatched</x:v>
      </x:c>
      <x:c r="BM797" s="14" t="str">
        <x:v>Final supplied register</x:v>
      </x:c>
      <x:c r="BN797" s="14" t="str">
        <x:v>Absence from the register is not evidence that the performer is not disabled.</x:v>
      </x:c>
      <x:c r="BO797" s="14" t="n">
        <x:v>20</x:v>
      </x:c>
      <x:c r="BP797" s="14" t="str">
        <x:v>Maximum eligible IMDb cast-credit total (20), shared by 4 performer(s); not independently verified as a 2021-only episode total.</x:v>
      </x:c>
      <x:c r="BQ797" s="14" t="str">
        <x:v>Medium</x:v>
      </x:c>
      <x:c r="BR797" s="15" t="n">
        <x:v>1</x:v>
      </x:c>
      <x:c r="BS797" s="16" t="n">
        <x:v>0.05</x:v>
      </x:c>
      <x:c r="BT797" s="14" t="str">
        <x:v>One episode</x:v>
      </x:c>
      <x:c r="BU797" s="14" t="str">
        <x:v>Medium</x:v>
      </x:c>
      <x:c r="BV797" s="14" t="str">
        <x:v>Derived from supplied IMDb episode count and the documented production-total proxy.</x:v>
      </x:c>
      <x:c r="BW797" s="14" t="str">
        <x:v>Unable to determine</x:v>
      </x:c>
      <x:c r="BX797" s="14" t="str">
        <x:v>Supplied cast data establishes the credit and episode presence but does not establish narrative prominence.</x:v>
      </x:c>
      <x:c r="BY797" s="14" t="str">
        <x:v>Supplied IMDb cast-list workbook</x:v>
      </x:c>
      <x:c r="BZ7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7" s="14" t="str">
        <x:v>Not classified</x:v>
      </x:c>
      <x:c r="CB797" s="14" t="str">
        <x:v>Unable to determine</x:v>
      </x:c>
      <x:c r="CC797" s="14" t="str">
        <x:v>Unique</x:v>
      </x:c>
      <x:c r="CD797" s="14" t="str">
        <x:v>None identified</x:v>
      </x:c>
    </x:row>
    <x:row r="798">
      <x:c r="A798" s="14" t="str">
        <x:v>tt11639300|nm12119199|young felix</x:v>
      </x:c>
      <x:c r="B798" s="14" t="str">
        <x:v>02</x:v>
      </x:c>
      <x:c r="C798" s="14" t="str">
        <x:v>2021_IMDb_Cast_Lists_Batch_02(1).xlsx</x:v>
      </x:c>
      <x:c r="D798" s="14" t="str">
        <x:v>Grace</x:v>
      </x:c>
      <x:c r="E798" s="14" t="n">
        <x:v>296</x:v>
      </x:c>
      <x:c r="F798" s="14" t="str">
        <x:v>Grace</x:v>
      </x:c>
      <x:c r="G798" s="14" t="str">
        <x:v>tt11639300</x:v>
      </x:c>
      <x:c r="H798" s="14" t="n">
        <x:v>2021</x:v>
      </x:c>
      <x:c r="I798" s="14" t="n">
        <x:v>2023</x:v>
      </x:c>
      <x:c r="J798" s="14" t="str">
        <x:v>Future Carry-Forward Cohort</x:v>
      </x:c>
      <x:c r="K798" s="14" t="n">
        <x:v>2021</x:v>
      </x:c>
      <x:c r="L798" s="14" t="str">
        <x:v>Available from 2021 analysis</x:v>
      </x:c>
      <x:c r="M798" s="15" t="n">
        <x:v>289</x:v>
      </x:c>
      <x:c r="N798" s="14" t="str">
        <x:v>Finn RL Wilson</x:v>
      </x:c>
      <x:c r="O798" s="14" t="str">
        <x:v>nm12119199</x:v>
      </x:c>
      <x:c r="P798" s="14" t="str">
        <x:v>Young Felix</x:v>
      </x:c>
      <x:c r="Q798" s="15" t="n">
        <x:v>1</x:v>
      </x:c>
      <x:c r="R798" s="14" t="str">
        <x:v>2024</x:v>
      </x:c>
      <x:c r="S798" s="14" t="n">
        <x:v>2024</x:v>
      </x:c>
      <x:c r="T798" s="14" t="n">
        <x:v>2024</x:v>
      </x:c>
      <x:c r="U798" s="14" t="str">
        <x:v>Post-2021 casting excluded</x:v>
      </x:c>
      <x:c r="V798" s="14" t="str">
        <x:v>Earliest supplied year is 2024, later than the 2021 study year.</x:v>
      </x:c>
      <x:c r="W798" s="14"/>
      <x:c r="X798" s="14" t="str">
        <x:v>Carried forward to 2024</x:v>
      </x:c>
      <x:c r="Y798" s="14" t="str">
        <x:v>(as Finn Wilson)</x:v>
      </x:c>
      <x:c r="Z798" s="14" t="str">
        <x:v>Grace.docx</x:v>
      </x:c>
      <x:c r="AA7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8" s="14" t="str">
        <x:v>No established-register match</x:v>
      </x:c>
      <x:c r="AC798" s="14"/>
      <x:c r="AD798" s="14"/>
      <x:c r="AE798" s="14"/>
      <x:c r="AF798" s="14"/>
      <x:c r="AG798" s="14" t="str">
        <x:v>No qualifying conclusion recorded. Absence from the register is not evidence that the performer is not disabled.</x:v>
      </x:c>
      <x:c r="AH798" s="14" t="str">
        <x:v>ITV / ITVX</x:v>
      </x:c>
      <x:c r="AI798" s="14" t="str">
        <x:v>UK original commission</x:v>
      </x:c>
      <x:c r="AJ798" s="14" t="str">
        <x:v>Exact normalised title</x:v>
      </x:c>
      <x:c r="AK798" s="14" t="str">
        <x:v>Medium</x:v>
      </x:c>
      <x:c r="AL798" s="14" t="str">
        <x:v>Verified for commissioner/platform scope; uk original commission.</x:v>
      </x:c>
      <x:c r="AM798" s="17" t="e">
        <x:f>HYPERLINK("https://en.wikipedia.org/wiki/Grace","Open source")</x:f>
        <x:v>HYPERLINK is not implemented. linkLocation=https://en.wikipedia.org/wiki/Grace, friendlyName=Open source</x:v>
      </x:c>
      <x:c r="AN798" s="14" t="str">
        <x:v>No qualifying BBC relationship</x:v>
      </x:c>
      <x:c r="AO798" s="14" t="str">
        <x:v>No</x:v>
      </x:c>
      <x:c r="AP798" s="14" t="str">
        <x:v>Out of scope</x:v>
      </x:c>
      <x:c r="AQ798" s="14" t="str">
        <x:v>No</x:v>
      </x:c>
      <x:c r="AR798" s="14" t="str">
        <x:v>Resolved from master register</x:v>
      </x:c>
      <x:c r="AS798" s="14" t="str">
        <x:v>No established-register match</x:v>
      </x:c>
      <x:c r="AT798" s="14"/>
      <x:c r="AU798" s="14"/>
      <x:c r="AV798" s="14" t="str">
        <x:v>No established apparent-disability match</x:v>
      </x:c>
      <x:c r="AW798" s="14"/>
      <x:c r="AX798" s="14" t="str">
        <x:v>No</x:v>
      </x:c>
      <x:c r="AY798" s="14" t="str">
        <x:v>Unmatched</x:v>
      </x:c>
      <x:c r="AZ798" s="14" t="str">
        <x:v>Final supplied register</x:v>
      </x:c>
      <x:c r="BA798" s="14" t="str">
        <x:v>Absence from the register is not evidence that the performer is not disabled.</x:v>
      </x:c>
      <x:c r="BB798" s="14" t="str">
        <x:v>No established-register match</x:v>
      </x:c>
      <x:c r="BC798" s="14"/>
      <x:c r="BD798" s="14"/>
      <x:c r="BE798" s="14"/>
      <x:c r="BF798" s="14" t="str">
        <x:v>No established apparent-disability match</x:v>
      </x:c>
      <x:c r="BG798" s="14"/>
      <x:c r="BH798" s="14" t="str">
        <x:v>No</x:v>
      </x:c>
      <x:c r="BI798" s="14"/>
      <x:c r="BJ798" s="14"/>
      <x:c r="BK798" s="14"/>
      <x:c r="BL798" s="14" t="str">
        <x:v>Unmatched</x:v>
      </x:c>
      <x:c r="BM798" s="14" t="str">
        <x:v>Final supplied register</x:v>
      </x:c>
      <x:c r="BN798" s="14" t="str">
        <x:v>Absence from the register is not evidence that the performer is not disabled.</x:v>
      </x:c>
      <x:c r="BO798" s="14" t="n">
        <x:v>20</x:v>
      </x:c>
      <x:c r="BP798" s="14" t="str">
        <x:v>Maximum eligible IMDb cast-credit total (20), shared by 4 performer(s); not independently verified as a 2021-only episode total.</x:v>
      </x:c>
      <x:c r="BQ798" s="14" t="str">
        <x:v>Medium</x:v>
      </x:c>
      <x:c r="BR798" s="15" t="n">
        <x:v>1</x:v>
      </x:c>
      <x:c r="BS798" s="16" t="n">
        <x:v>0.05</x:v>
      </x:c>
      <x:c r="BT798" s="14" t="str">
        <x:v>One episode</x:v>
      </x:c>
      <x:c r="BU798" s="14" t="str">
        <x:v>Medium</x:v>
      </x:c>
      <x:c r="BV798" s="14" t="str">
        <x:v>Derived from supplied IMDb episode count and the documented production-total proxy.</x:v>
      </x:c>
      <x:c r="BW798" s="14" t="str">
        <x:v>Unable to determine</x:v>
      </x:c>
      <x:c r="BX798" s="14" t="str">
        <x:v>Supplied cast data establishes the credit and episode presence but does not establish narrative prominence.</x:v>
      </x:c>
      <x:c r="BY798" s="14" t="str">
        <x:v>Supplied IMDb cast-list workbook</x:v>
      </x:c>
      <x:c r="BZ7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8" s="14" t="str">
        <x:v>Not classified</x:v>
      </x:c>
      <x:c r="CB798" s="14" t="str">
        <x:v>Unable to determine</x:v>
      </x:c>
      <x:c r="CC798" s="14" t="str">
        <x:v>Unique</x:v>
      </x:c>
      <x:c r="CD798" s="14" t="str">
        <x:v>None identified</x:v>
      </x:c>
    </x:row>
    <x:row r="799">
      <x:c r="A799" s="14" t="str">
        <x:v>tt11639300|nm3328412|jason</x:v>
      </x:c>
      <x:c r="B799" s="14" t="str">
        <x:v>02</x:v>
      </x:c>
      <x:c r="C799" s="14" t="str">
        <x:v>2021_IMDb_Cast_Lists_Batch_02(1).xlsx</x:v>
      </x:c>
      <x:c r="D799" s="14" t="str">
        <x:v>Grace</x:v>
      </x:c>
      <x:c r="E799" s="14" t="n">
        <x:v>304</x:v>
      </x:c>
      <x:c r="F799" s="14" t="str">
        <x:v>Grace</x:v>
      </x:c>
      <x:c r="G799" s="14" t="str">
        <x:v>tt11639300</x:v>
      </x:c>
      <x:c r="H799" s="14" t="n">
        <x:v>2021</x:v>
      </x:c>
      <x:c r="I799" s="14" t="n">
        <x:v>2023</x:v>
      </x:c>
      <x:c r="J799" s="14" t="str">
        <x:v>Future Carry-Forward Cohort</x:v>
      </x:c>
      <x:c r="K799" s="14" t="n">
        <x:v>2021</x:v>
      </x:c>
      <x:c r="L799" s="14" t="str">
        <x:v>Available from 2021 analysis</x:v>
      </x:c>
      <x:c r="M799" s="15" t="n">
        <x:v>297</x:v>
      </x:c>
      <x:c r="N799" s="14" t="str">
        <x:v>Oisín Stack</x:v>
      </x:c>
      <x:c r="O799" s="14" t="str">
        <x:v>nm3328412</x:v>
      </x:c>
      <x:c r="P799" s="14" t="str">
        <x:v>Jason</x:v>
      </x:c>
      <x:c r="Q799" s="15" t="n">
        <x:v>1</x:v>
      </x:c>
      <x:c r="R799" s="14" t="str">
        <x:v>2024</x:v>
      </x:c>
      <x:c r="S799" s="14" t="n">
        <x:v>2024</x:v>
      </x:c>
      <x:c r="T799" s="14" t="n">
        <x:v>2024</x:v>
      </x:c>
      <x:c r="U799" s="14" t="str">
        <x:v>Post-2021 casting excluded</x:v>
      </x:c>
      <x:c r="V799" s="14" t="str">
        <x:v>Earliest supplied year is 2024, later than the 2021 study year.</x:v>
      </x:c>
      <x:c r="W799" s="14"/>
      <x:c r="X799" s="14" t="str">
        <x:v>Carried forward to 2024</x:v>
      </x:c>
      <x:c r="Y799" s="14"/>
      <x:c r="Z799" s="14" t="str">
        <x:v>Grace.docx</x:v>
      </x:c>
      <x:c r="AA7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9" s="14" t="str">
        <x:v>No established-register match</x:v>
      </x:c>
      <x:c r="AC799" s="14"/>
      <x:c r="AD799" s="14"/>
      <x:c r="AE799" s="14"/>
      <x:c r="AF799" s="14"/>
      <x:c r="AG799" s="14" t="str">
        <x:v>No qualifying conclusion recorded. Absence from the register is not evidence that the performer is not disabled.</x:v>
      </x:c>
      <x:c r="AH799" s="14" t="str">
        <x:v>ITV / ITVX</x:v>
      </x:c>
      <x:c r="AI799" s="14" t="str">
        <x:v>UK original commission</x:v>
      </x:c>
      <x:c r="AJ799" s="14" t="str">
        <x:v>Exact normalised title</x:v>
      </x:c>
      <x:c r="AK799" s="14" t="str">
        <x:v>Medium</x:v>
      </x:c>
      <x:c r="AL799" s="14" t="str">
        <x:v>Verified for commissioner/platform scope; uk original commission.</x:v>
      </x:c>
      <x:c r="AM799" s="17" t="e">
        <x:f>HYPERLINK("https://en.wikipedia.org/wiki/Grace","Open source")</x:f>
        <x:v>HYPERLINK is not implemented. linkLocation=https://en.wikipedia.org/wiki/Grace, friendlyName=Open source</x:v>
      </x:c>
      <x:c r="AN799" s="14" t="str">
        <x:v>No qualifying BBC relationship</x:v>
      </x:c>
      <x:c r="AO799" s="14" t="str">
        <x:v>No</x:v>
      </x:c>
      <x:c r="AP799" s="14" t="str">
        <x:v>Out of scope</x:v>
      </x:c>
      <x:c r="AQ799" s="14" t="str">
        <x:v>No</x:v>
      </x:c>
      <x:c r="AR799" s="14" t="str">
        <x:v>Resolved from master register</x:v>
      </x:c>
      <x:c r="AS799" s="14" t="str">
        <x:v>No established-register match</x:v>
      </x:c>
      <x:c r="AT799" s="14"/>
      <x:c r="AU799" s="14"/>
      <x:c r="AV799" s="14" t="str">
        <x:v>No established apparent-disability match</x:v>
      </x:c>
      <x:c r="AW799" s="14"/>
      <x:c r="AX799" s="14" t="str">
        <x:v>No</x:v>
      </x:c>
      <x:c r="AY799" s="14" t="str">
        <x:v>Unmatched</x:v>
      </x:c>
      <x:c r="AZ799" s="14" t="str">
        <x:v>Final supplied register</x:v>
      </x:c>
      <x:c r="BA799" s="14" t="str">
        <x:v>Absence from the register is not evidence that the performer is not disabled.</x:v>
      </x:c>
      <x:c r="BB799" s="14" t="str">
        <x:v>No established-register match</x:v>
      </x:c>
      <x:c r="BC799" s="14"/>
      <x:c r="BD799" s="14"/>
      <x:c r="BE799" s="14"/>
      <x:c r="BF799" s="14" t="str">
        <x:v>No established apparent-disability match</x:v>
      </x:c>
      <x:c r="BG799" s="14"/>
      <x:c r="BH799" s="14" t="str">
        <x:v>No</x:v>
      </x:c>
      <x:c r="BI799" s="14"/>
      <x:c r="BJ799" s="14"/>
      <x:c r="BK799" s="14"/>
      <x:c r="BL799" s="14" t="str">
        <x:v>Unmatched</x:v>
      </x:c>
      <x:c r="BM799" s="14" t="str">
        <x:v>Final supplied register</x:v>
      </x:c>
      <x:c r="BN799" s="14" t="str">
        <x:v>Absence from the register is not evidence that the performer is not disabled.</x:v>
      </x:c>
      <x:c r="BO799" s="14" t="n">
        <x:v>20</x:v>
      </x:c>
      <x:c r="BP799" s="14" t="str">
        <x:v>Maximum eligible IMDb cast-credit total (20), shared by 4 performer(s); not independently verified as a 2021-only episode total.</x:v>
      </x:c>
      <x:c r="BQ799" s="14" t="str">
        <x:v>Medium</x:v>
      </x:c>
      <x:c r="BR799" s="15" t="n">
        <x:v>1</x:v>
      </x:c>
      <x:c r="BS799" s="16" t="n">
        <x:v>0.05</x:v>
      </x:c>
      <x:c r="BT799" s="14" t="str">
        <x:v>One episode</x:v>
      </x:c>
      <x:c r="BU799" s="14" t="str">
        <x:v>Medium</x:v>
      </x:c>
      <x:c r="BV799" s="14" t="str">
        <x:v>Derived from supplied IMDb episode count and the documented production-total proxy.</x:v>
      </x:c>
      <x:c r="BW799" s="14" t="str">
        <x:v>Unable to determine</x:v>
      </x:c>
      <x:c r="BX799" s="14" t="str">
        <x:v>Supplied cast data establishes the credit and episode presence but does not establish narrative prominence.</x:v>
      </x:c>
      <x:c r="BY799" s="14" t="str">
        <x:v>Supplied IMDb cast-list workbook</x:v>
      </x:c>
      <x:c r="BZ7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9" s="14" t="str">
        <x:v>Not classified</x:v>
      </x:c>
      <x:c r="CB799" s="14" t="str">
        <x:v>Unable to determine</x:v>
      </x:c>
      <x:c r="CC799" s="14" t="str">
        <x:v>Unique</x:v>
      </x:c>
      <x:c r="CD799" s="14" t="str">
        <x:v>None identified</x:v>
      </x:c>
    </x:row>
    <x:row r="800">
      <x:c r="A800" s="14" t="str">
        <x:v>tt11639300|nm5916683|young mole</x:v>
      </x:c>
      <x:c r="B800" s="14" t="str">
        <x:v>02</x:v>
      </x:c>
      <x:c r="C800" s="14" t="str">
        <x:v>2021_IMDb_Cast_Lists_Batch_02(1).xlsx</x:v>
      </x:c>
      <x:c r="D800" s="14" t="str">
        <x:v>Grace</x:v>
      </x:c>
      <x:c r="E800" s="14" t="n">
        <x:v>305</x:v>
      </x:c>
      <x:c r="F800" s="14" t="str">
        <x:v>Grace</x:v>
      </x:c>
      <x:c r="G800" s="14" t="str">
        <x:v>tt11639300</x:v>
      </x:c>
      <x:c r="H800" s="14" t="n">
        <x:v>2021</x:v>
      </x:c>
      <x:c r="I800" s="14" t="n">
        <x:v>2023</x:v>
      </x:c>
      <x:c r="J800" s="14" t="str">
        <x:v>Future Carry-Forward Cohort</x:v>
      </x:c>
      <x:c r="K800" s="14" t="n">
        <x:v>2021</x:v>
      </x:c>
      <x:c r="L800" s="14" t="str">
        <x:v>Available from 2021 analysis</x:v>
      </x:c>
      <x:c r="M800" s="15" t="n">
        <x:v>298</x:v>
      </x:c>
      <x:c r="N800" s="14" t="str">
        <x:v>Ilan Galkoff</x:v>
      </x:c>
      <x:c r="O800" s="14" t="str">
        <x:v>nm5916683</x:v>
      </x:c>
      <x:c r="P800" s="14" t="str">
        <x:v>Young Mole</x:v>
      </x:c>
      <x:c r="Q800" s="15" t="n">
        <x:v>1</x:v>
      </x:c>
      <x:c r="R800" s="14" t="str">
        <x:v>2024</x:v>
      </x:c>
      <x:c r="S800" s="14" t="n">
        <x:v>2024</x:v>
      </x:c>
      <x:c r="T800" s="14" t="n">
        <x:v>2024</x:v>
      </x:c>
      <x:c r="U800" s="14" t="str">
        <x:v>Post-2021 casting excluded</x:v>
      </x:c>
      <x:c r="V800" s="14" t="str">
        <x:v>Earliest supplied year is 2024, later than the 2021 study year.</x:v>
      </x:c>
      <x:c r="W800" s="14"/>
      <x:c r="X800" s="14" t="str">
        <x:v>Carried forward to 2024</x:v>
      </x:c>
      <x:c r="Y800" s="14"/>
      <x:c r="Z800" s="14" t="str">
        <x:v>Grace.docx</x:v>
      </x:c>
      <x:c r="AA8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0" s="14" t="str">
        <x:v>No established-register match</x:v>
      </x:c>
      <x:c r="AC800" s="14"/>
      <x:c r="AD800" s="14"/>
      <x:c r="AE800" s="14"/>
      <x:c r="AF800" s="14"/>
      <x:c r="AG800" s="14" t="str">
        <x:v>No qualifying conclusion recorded. Absence from the register is not evidence that the performer is not disabled.</x:v>
      </x:c>
      <x:c r="AH800" s="14" t="str">
        <x:v>ITV / ITVX</x:v>
      </x:c>
      <x:c r="AI800" s="14" t="str">
        <x:v>UK original commission</x:v>
      </x:c>
      <x:c r="AJ800" s="14" t="str">
        <x:v>Exact normalised title</x:v>
      </x:c>
      <x:c r="AK800" s="14" t="str">
        <x:v>Medium</x:v>
      </x:c>
      <x:c r="AL800" s="14" t="str">
        <x:v>Verified for commissioner/platform scope; uk original commission.</x:v>
      </x:c>
      <x:c r="AM800" s="17" t="e">
        <x:f>HYPERLINK("https://en.wikipedia.org/wiki/Grace","Open source")</x:f>
        <x:v>HYPERLINK is not implemented. linkLocation=https://en.wikipedia.org/wiki/Grace, friendlyName=Open source</x:v>
      </x:c>
      <x:c r="AN800" s="14" t="str">
        <x:v>No qualifying BBC relationship</x:v>
      </x:c>
      <x:c r="AO800" s="14" t="str">
        <x:v>No</x:v>
      </x:c>
      <x:c r="AP800" s="14" t="str">
        <x:v>Out of scope</x:v>
      </x:c>
      <x:c r="AQ800" s="14" t="str">
        <x:v>No</x:v>
      </x:c>
      <x:c r="AR800" s="14" t="str">
        <x:v>Resolved from master register</x:v>
      </x:c>
      <x:c r="AS800" s="14" t="str">
        <x:v>No established-register match</x:v>
      </x:c>
      <x:c r="AT800" s="14"/>
      <x:c r="AU800" s="14"/>
      <x:c r="AV800" s="14" t="str">
        <x:v>No established apparent-disability match</x:v>
      </x:c>
      <x:c r="AW800" s="14"/>
      <x:c r="AX800" s="14" t="str">
        <x:v>No</x:v>
      </x:c>
      <x:c r="AY800" s="14" t="str">
        <x:v>Unmatched</x:v>
      </x:c>
      <x:c r="AZ800" s="14" t="str">
        <x:v>Final supplied register</x:v>
      </x:c>
      <x:c r="BA800" s="14" t="str">
        <x:v>Absence from the register is not evidence that the performer is not disabled.</x:v>
      </x:c>
      <x:c r="BB800" s="14" t="str">
        <x:v>No established-register match</x:v>
      </x:c>
      <x:c r="BC800" s="14"/>
      <x:c r="BD800" s="14"/>
      <x:c r="BE800" s="14"/>
      <x:c r="BF800" s="14" t="str">
        <x:v>No established apparent-disability match</x:v>
      </x:c>
      <x:c r="BG800" s="14"/>
      <x:c r="BH800" s="14" t="str">
        <x:v>No</x:v>
      </x:c>
      <x:c r="BI800" s="14"/>
      <x:c r="BJ800" s="14"/>
      <x:c r="BK800" s="14"/>
      <x:c r="BL800" s="14" t="str">
        <x:v>Unmatched</x:v>
      </x:c>
      <x:c r="BM800" s="14" t="str">
        <x:v>Final supplied register</x:v>
      </x:c>
      <x:c r="BN800" s="14" t="str">
        <x:v>Absence from the register is not evidence that the performer is not disabled.</x:v>
      </x:c>
      <x:c r="BO800" s="14" t="n">
        <x:v>20</x:v>
      </x:c>
      <x:c r="BP800" s="14" t="str">
        <x:v>Maximum eligible IMDb cast-credit total (20), shared by 4 performer(s); not independently verified as a 2021-only episode total.</x:v>
      </x:c>
      <x:c r="BQ800" s="14" t="str">
        <x:v>Medium</x:v>
      </x:c>
      <x:c r="BR800" s="15" t="n">
        <x:v>1</x:v>
      </x:c>
      <x:c r="BS800" s="16" t="n">
        <x:v>0.05</x:v>
      </x:c>
      <x:c r="BT800" s="14" t="str">
        <x:v>One episode</x:v>
      </x:c>
      <x:c r="BU800" s="14" t="str">
        <x:v>Medium</x:v>
      </x:c>
      <x:c r="BV800" s="14" t="str">
        <x:v>Derived from supplied IMDb episode count and the documented production-total proxy.</x:v>
      </x:c>
      <x:c r="BW800" s="14" t="str">
        <x:v>Unable to determine</x:v>
      </x:c>
      <x:c r="BX800" s="14" t="str">
        <x:v>Supplied cast data establishes the credit and episode presence but does not establish narrative prominence.</x:v>
      </x:c>
      <x:c r="BY800" s="14" t="str">
        <x:v>Supplied IMDb cast-list workbook</x:v>
      </x:c>
      <x:c r="BZ8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0" s="14" t="str">
        <x:v>Not classified</x:v>
      </x:c>
      <x:c r="CB800" s="14" t="str">
        <x:v>Unable to determine</x:v>
      </x:c>
      <x:c r="CC800" s="14" t="str">
        <x:v>Unique</x:v>
      </x:c>
      <x:c r="CD800" s="14" t="str">
        <x:v>None identified</x:v>
      </x:c>
    </x:row>
    <x:row r="801">
      <x:c r="A801" s="14" t="str">
        <x:v>tt11639300|nm3327250|marion dupont</x:v>
      </x:c>
      <x:c r="B801" s="14" t="str">
        <x:v>02</x:v>
      </x:c>
      <x:c r="C801" s="14" t="str">
        <x:v>2021_IMDb_Cast_Lists_Batch_02(1).xlsx</x:v>
      </x:c>
      <x:c r="D801" s="14" t="str">
        <x:v>Grace</x:v>
      </x:c>
      <x:c r="E801" s="14" t="n">
        <x:v>319</x:v>
      </x:c>
      <x:c r="F801" s="14" t="str">
        <x:v>Grace</x:v>
      </x:c>
      <x:c r="G801" s="14" t="str">
        <x:v>tt11639300</x:v>
      </x:c>
      <x:c r="H801" s="14" t="n">
        <x:v>2021</x:v>
      </x:c>
      <x:c r="I801" s="14" t="n">
        <x:v>2023</x:v>
      </x:c>
      <x:c r="J801" s="14" t="str">
        <x:v>Future Carry-Forward Cohort</x:v>
      </x:c>
      <x:c r="K801" s="14" t="n">
        <x:v>2021</x:v>
      </x:c>
      <x:c r="L801" s="14" t="str">
        <x:v>Available from 2021 analysis</x:v>
      </x:c>
      <x:c r="M801" s="15" t="n">
        <x:v>312</x:v>
      </x:c>
      <x:c r="N801" s="14" t="str">
        <x:v>Jessica Ellerby</x:v>
      </x:c>
      <x:c r="O801" s="14" t="str">
        <x:v>nm3327250</x:v>
      </x:c>
      <x:c r="P801" s="14" t="str">
        <x:v>Marion Dupont</x:v>
      </x:c>
      <x:c r="Q801" s="15" t="n">
        <x:v>1</x:v>
      </x:c>
      <x:c r="R801" s="14" t="str">
        <x:v>2024</x:v>
      </x:c>
      <x:c r="S801" s="14" t="n">
        <x:v>2024</x:v>
      </x:c>
      <x:c r="T801" s="14" t="n">
        <x:v>2024</x:v>
      </x:c>
      <x:c r="U801" s="14" t="str">
        <x:v>Post-2021 casting excluded</x:v>
      </x:c>
      <x:c r="V801" s="14" t="str">
        <x:v>Earliest supplied year is 2024, later than the 2021 study year.</x:v>
      </x:c>
      <x:c r="W801" s="14"/>
      <x:c r="X801" s="14" t="str">
        <x:v>Carried forward to 2024</x:v>
      </x:c>
      <x:c r="Y801" s="14"/>
      <x:c r="Z801" s="14" t="str">
        <x:v>Grace.docx</x:v>
      </x:c>
      <x:c r="AA8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1" s="14" t="str">
        <x:v>No established-register match</x:v>
      </x:c>
      <x:c r="AC801" s="14"/>
      <x:c r="AD801" s="14"/>
      <x:c r="AE801" s="14"/>
      <x:c r="AF801" s="14"/>
      <x:c r="AG801" s="14" t="str">
        <x:v>No qualifying conclusion recorded. Absence from the register is not evidence that the performer is not disabled.</x:v>
      </x:c>
      <x:c r="AH801" s="14" t="str">
        <x:v>ITV / ITVX</x:v>
      </x:c>
      <x:c r="AI801" s="14" t="str">
        <x:v>UK original commission</x:v>
      </x:c>
      <x:c r="AJ801" s="14" t="str">
        <x:v>Exact normalised title</x:v>
      </x:c>
      <x:c r="AK801" s="14" t="str">
        <x:v>Medium</x:v>
      </x:c>
      <x:c r="AL801" s="14" t="str">
        <x:v>Verified for commissioner/platform scope; uk original commission.</x:v>
      </x:c>
      <x:c r="AM801" s="17" t="e">
        <x:f>HYPERLINK("https://en.wikipedia.org/wiki/Grace","Open source")</x:f>
        <x:v>HYPERLINK is not implemented. linkLocation=https://en.wikipedia.org/wiki/Grace, friendlyName=Open source</x:v>
      </x:c>
      <x:c r="AN801" s="14" t="str">
        <x:v>No qualifying BBC relationship</x:v>
      </x:c>
      <x:c r="AO801" s="14" t="str">
        <x:v>No</x:v>
      </x:c>
      <x:c r="AP801" s="14" t="str">
        <x:v>Out of scope</x:v>
      </x:c>
      <x:c r="AQ801" s="14" t="str">
        <x:v>No</x:v>
      </x:c>
      <x:c r="AR801" s="14" t="str">
        <x:v>Resolved from master register</x:v>
      </x:c>
      <x:c r="AS801" s="14" t="str">
        <x:v>No established-register match</x:v>
      </x:c>
      <x:c r="AT801" s="14"/>
      <x:c r="AU801" s="14"/>
      <x:c r="AV801" s="14" t="str">
        <x:v>No established apparent-disability match</x:v>
      </x:c>
      <x:c r="AW801" s="14"/>
      <x:c r="AX801" s="14" t="str">
        <x:v>No</x:v>
      </x:c>
      <x:c r="AY801" s="14" t="str">
        <x:v>Unmatched</x:v>
      </x:c>
      <x:c r="AZ801" s="14" t="str">
        <x:v>Final supplied register</x:v>
      </x:c>
      <x:c r="BA801" s="14" t="str">
        <x:v>Absence from the register is not evidence that the performer is not disabled.</x:v>
      </x:c>
      <x:c r="BB801" s="14" t="str">
        <x:v>No established-register match</x:v>
      </x:c>
      <x:c r="BC801" s="14"/>
      <x:c r="BD801" s="14"/>
      <x:c r="BE801" s="14"/>
      <x:c r="BF801" s="14" t="str">
        <x:v>No established apparent-disability match</x:v>
      </x:c>
      <x:c r="BG801" s="14"/>
      <x:c r="BH801" s="14" t="str">
        <x:v>No</x:v>
      </x:c>
      <x:c r="BI801" s="14"/>
      <x:c r="BJ801" s="14"/>
      <x:c r="BK801" s="14"/>
      <x:c r="BL801" s="14" t="str">
        <x:v>Unmatched</x:v>
      </x:c>
      <x:c r="BM801" s="14" t="str">
        <x:v>Final supplied register</x:v>
      </x:c>
      <x:c r="BN801" s="14" t="str">
        <x:v>Absence from the register is not evidence that the performer is not disabled.</x:v>
      </x:c>
      <x:c r="BO801" s="14" t="n">
        <x:v>20</x:v>
      </x:c>
      <x:c r="BP801" s="14" t="str">
        <x:v>Maximum eligible IMDb cast-credit total (20), shared by 4 performer(s); not independently verified as a 2021-only episode total.</x:v>
      </x:c>
      <x:c r="BQ801" s="14" t="str">
        <x:v>Medium</x:v>
      </x:c>
      <x:c r="BR801" s="15" t="n">
        <x:v>1</x:v>
      </x:c>
      <x:c r="BS801" s="16" t="n">
        <x:v>0.05</x:v>
      </x:c>
      <x:c r="BT801" s="14" t="str">
        <x:v>One episode</x:v>
      </x:c>
      <x:c r="BU801" s="14" t="str">
        <x:v>Medium</x:v>
      </x:c>
      <x:c r="BV801" s="14" t="str">
        <x:v>Derived from supplied IMDb episode count and the documented production-total proxy.</x:v>
      </x:c>
      <x:c r="BW801" s="14" t="str">
        <x:v>Unable to determine</x:v>
      </x:c>
      <x:c r="BX801" s="14" t="str">
        <x:v>Supplied cast data establishes the credit and episode presence but does not establish narrative prominence.</x:v>
      </x:c>
      <x:c r="BY801" s="14" t="str">
        <x:v>Supplied IMDb cast-list workbook</x:v>
      </x:c>
      <x:c r="BZ8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1" s="14" t="str">
        <x:v>Not classified</x:v>
      </x:c>
      <x:c r="CB801" s="14" t="str">
        <x:v>Unable to determine</x:v>
      </x:c>
      <x:c r="CC801" s="14" t="str">
        <x:v>Unique</x:v>
      </x:c>
      <x:c r="CD801" s="14" t="str">
        <x:v>None identified</x:v>
      </x:c>
    </x:row>
    <x:row r="802">
      <x:c r="A802" s="14" t="str">
        <x:v>tt11639300|nm10211746|reporter 1</x:v>
      </x:c>
      <x:c r="B802" s="14" t="str">
        <x:v>02</x:v>
      </x:c>
      <x:c r="C802" s="14" t="str">
        <x:v>2021_IMDb_Cast_Lists_Batch_02(1).xlsx</x:v>
      </x:c>
      <x:c r="D802" s="14" t="str">
        <x:v>Grace</x:v>
      </x:c>
      <x:c r="E802" s="14" t="n">
        <x:v>320</x:v>
      </x:c>
      <x:c r="F802" s="14" t="str">
        <x:v>Grace</x:v>
      </x:c>
      <x:c r="G802" s="14" t="str">
        <x:v>tt11639300</x:v>
      </x:c>
      <x:c r="H802" s="14" t="n">
        <x:v>2021</x:v>
      </x:c>
      <x:c r="I802" s="14" t="n">
        <x:v>2023</x:v>
      </x:c>
      <x:c r="J802" s="14" t="str">
        <x:v>Future Carry-Forward Cohort</x:v>
      </x:c>
      <x:c r="K802" s="14" t="n">
        <x:v>2021</x:v>
      </x:c>
      <x:c r="L802" s="14" t="str">
        <x:v>Available from 2021 analysis</x:v>
      </x:c>
      <x:c r="M802" s="15" t="n">
        <x:v>313</x:v>
      </x:c>
      <x:c r="N802" s="14" t="str">
        <x:v>Donavan Imber</x:v>
      </x:c>
      <x:c r="O802" s="14" t="str">
        <x:v>nm10211746</x:v>
      </x:c>
      <x:c r="P802" s="14" t="str">
        <x:v>Reporter 1</x:v>
      </x:c>
      <x:c r="Q802" s="15" t="n">
        <x:v>1</x:v>
      </x:c>
      <x:c r="R802" s="14" t="str">
        <x:v>2024</x:v>
      </x:c>
      <x:c r="S802" s="14" t="n">
        <x:v>2024</x:v>
      </x:c>
      <x:c r="T802" s="14" t="n">
        <x:v>2024</x:v>
      </x:c>
      <x:c r="U802" s="14" t="str">
        <x:v>Post-2021 casting excluded</x:v>
      </x:c>
      <x:c r="V802" s="14" t="str">
        <x:v>Earliest supplied year is 2024, later than the 2021 study year.</x:v>
      </x:c>
      <x:c r="W802" s="14"/>
      <x:c r="X802" s="14" t="str">
        <x:v>Carried forward to 2024</x:v>
      </x:c>
      <x:c r="Y802" s="14"/>
      <x:c r="Z802" s="14" t="str">
        <x:v>Grace.docx</x:v>
      </x:c>
      <x:c r="AA8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2" s="14" t="str">
        <x:v>No established-register match</x:v>
      </x:c>
      <x:c r="AC802" s="14"/>
      <x:c r="AD802" s="14"/>
      <x:c r="AE802" s="14"/>
      <x:c r="AF802" s="14"/>
      <x:c r="AG802" s="14" t="str">
        <x:v>No qualifying conclusion recorded. Absence from the register is not evidence that the performer is not disabled.</x:v>
      </x:c>
      <x:c r="AH802" s="14" t="str">
        <x:v>ITV / ITVX</x:v>
      </x:c>
      <x:c r="AI802" s="14" t="str">
        <x:v>UK original commission</x:v>
      </x:c>
      <x:c r="AJ802" s="14" t="str">
        <x:v>Exact normalised title</x:v>
      </x:c>
      <x:c r="AK802" s="14" t="str">
        <x:v>Medium</x:v>
      </x:c>
      <x:c r="AL802" s="14" t="str">
        <x:v>Verified for commissioner/platform scope; uk original commission.</x:v>
      </x:c>
      <x:c r="AM802" s="17" t="e">
        <x:f>HYPERLINK("https://en.wikipedia.org/wiki/Grace","Open source")</x:f>
        <x:v>HYPERLINK is not implemented. linkLocation=https://en.wikipedia.org/wiki/Grace, friendlyName=Open source</x:v>
      </x:c>
      <x:c r="AN802" s="14" t="str">
        <x:v>No qualifying BBC relationship</x:v>
      </x:c>
      <x:c r="AO802" s="14" t="str">
        <x:v>No</x:v>
      </x:c>
      <x:c r="AP802" s="14" t="str">
        <x:v>Out of scope</x:v>
      </x:c>
      <x:c r="AQ802" s="14" t="str">
        <x:v>No</x:v>
      </x:c>
      <x:c r="AR802" s="14" t="str">
        <x:v>Resolved from master register</x:v>
      </x:c>
      <x:c r="AS802" s="14" t="str">
        <x:v>No established-register match</x:v>
      </x:c>
      <x:c r="AT802" s="14"/>
      <x:c r="AU802" s="14"/>
      <x:c r="AV802" s="14" t="str">
        <x:v>No established apparent-disability match</x:v>
      </x:c>
      <x:c r="AW802" s="14"/>
      <x:c r="AX802" s="14" t="str">
        <x:v>No</x:v>
      </x:c>
      <x:c r="AY802" s="14" t="str">
        <x:v>Unmatched</x:v>
      </x:c>
      <x:c r="AZ802" s="14" t="str">
        <x:v>Final supplied register</x:v>
      </x:c>
      <x:c r="BA802" s="14" t="str">
        <x:v>Absence from the register is not evidence that the performer is not disabled.</x:v>
      </x:c>
      <x:c r="BB802" s="14" t="str">
        <x:v>No established-register match</x:v>
      </x:c>
      <x:c r="BC802" s="14"/>
      <x:c r="BD802" s="14"/>
      <x:c r="BE802" s="14"/>
      <x:c r="BF802" s="14" t="str">
        <x:v>No established apparent-disability match</x:v>
      </x:c>
      <x:c r="BG802" s="14"/>
      <x:c r="BH802" s="14" t="str">
        <x:v>No</x:v>
      </x:c>
      <x:c r="BI802" s="14"/>
      <x:c r="BJ802" s="14"/>
      <x:c r="BK802" s="14"/>
      <x:c r="BL802" s="14" t="str">
        <x:v>Unmatched</x:v>
      </x:c>
      <x:c r="BM802" s="14" t="str">
        <x:v>Final supplied register</x:v>
      </x:c>
      <x:c r="BN802" s="14" t="str">
        <x:v>Absence from the register is not evidence that the performer is not disabled.</x:v>
      </x:c>
      <x:c r="BO802" s="14" t="n">
        <x:v>20</x:v>
      </x:c>
      <x:c r="BP802" s="14" t="str">
        <x:v>Maximum eligible IMDb cast-credit total (20), shared by 4 performer(s); not independently verified as a 2021-only episode total.</x:v>
      </x:c>
      <x:c r="BQ802" s="14" t="str">
        <x:v>Medium</x:v>
      </x:c>
      <x:c r="BR802" s="15" t="n">
        <x:v>1</x:v>
      </x:c>
      <x:c r="BS802" s="16" t="n">
        <x:v>0.05</x:v>
      </x:c>
      <x:c r="BT802" s="14" t="str">
        <x:v>One episode</x:v>
      </x:c>
      <x:c r="BU802" s="14" t="str">
        <x:v>Medium</x:v>
      </x:c>
      <x:c r="BV802" s="14" t="str">
        <x:v>Derived from supplied IMDb episode count and the documented production-total proxy.</x:v>
      </x:c>
      <x:c r="BW802" s="14" t="str">
        <x:v>Unable to determine</x:v>
      </x:c>
      <x:c r="BX802" s="14" t="str">
        <x:v>Supplied cast data establishes the credit and episode presence but does not establish narrative prominence.</x:v>
      </x:c>
      <x:c r="BY802" s="14" t="str">
        <x:v>Supplied IMDb cast-list workbook</x:v>
      </x:c>
      <x:c r="BZ8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2" s="14" t="str">
        <x:v>Not classified</x:v>
      </x:c>
      <x:c r="CB802" s="14" t="str">
        <x:v>Unable to determine</x:v>
      </x:c>
      <x:c r="CC802" s="14" t="str">
        <x:v>Unique</x:v>
      </x:c>
      <x:c r="CD802" s="14" t="str">
        <x:v>None identified</x:v>
      </x:c>
    </x:row>
    <x:row r="803">
      <x:c r="A803" s="14" t="str">
        <x:v>tt11639300|nm8790166|shona</x:v>
      </x:c>
      <x:c r="B803" s="14" t="str">
        <x:v>02</x:v>
      </x:c>
      <x:c r="C803" s="14" t="str">
        <x:v>2021_IMDb_Cast_Lists_Batch_02(1).xlsx</x:v>
      </x:c>
      <x:c r="D803" s="14" t="str">
        <x:v>Grace</x:v>
      </x:c>
      <x:c r="E803" s="14" t="n">
        <x:v>328</x:v>
      </x:c>
      <x:c r="F803" s="14" t="str">
        <x:v>Grace</x:v>
      </x:c>
      <x:c r="G803" s="14" t="str">
        <x:v>tt11639300</x:v>
      </x:c>
      <x:c r="H803" s="14" t="n">
        <x:v>2021</x:v>
      </x:c>
      <x:c r="I803" s="14" t="n">
        <x:v>2023</x:v>
      </x:c>
      <x:c r="J803" s="14" t="str">
        <x:v>Future Carry-Forward Cohort</x:v>
      </x:c>
      <x:c r="K803" s="14" t="n">
        <x:v>2021</x:v>
      </x:c>
      <x:c r="L803" s="14" t="str">
        <x:v>Available from 2021 analysis</x:v>
      </x:c>
      <x:c r="M803" s="15" t="n">
        <x:v>321</x:v>
      </x:c>
      <x:c r="N803" s="14" t="str">
        <x:v>Maria Crittell</x:v>
      </x:c>
      <x:c r="O803" s="14" t="str">
        <x:v>nm8790166</x:v>
      </x:c>
      <x:c r="P803" s="14" t="str">
        <x:v>Shona</x:v>
      </x:c>
      <x:c r="Q803" s="15" t="n">
        <x:v>1</x:v>
      </x:c>
      <x:c r="R803" s="14" t="str">
        <x:v>2024</x:v>
      </x:c>
      <x:c r="S803" s="14" t="n">
        <x:v>2024</x:v>
      </x:c>
      <x:c r="T803" s="14" t="n">
        <x:v>2024</x:v>
      </x:c>
      <x:c r="U803" s="14" t="str">
        <x:v>Post-2021 casting excluded</x:v>
      </x:c>
      <x:c r="V803" s="14" t="str">
        <x:v>Earliest supplied year is 2024, later than the 2021 study year.</x:v>
      </x:c>
      <x:c r="W803" s="14"/>
      <x:c r="X803" s="14" t="str">
        <x:v>Carried forward to 2024</x:v>
      </x:c>
      <x:c r="Y803" s="14"/>
      <x:c r="Z803" s="14" t="str">
        <x:v>Grace.docx</x:v>
      </x:c>
      <x:c r="AA8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3" s="14" t="str">
        <x:v>No established-register match</x:v>
      </x:c>
      <x:c r="AC803" s="14"/>
      <x:c r="AD803" s="14"/>
      <x:c r="AE803" s="14"/>
      <x:c r="AF803" s="14"/>
      <x:c r="AG803" s="14" t="str">
        <x:v>No qualifying conclusion recorded. Absence from the register is not evidence that the performer is not disabled.</x:v>
      </x:c>
      <x:c r="AH803" s="14" t="str">
        <x:v>ITV / ITVX</x:v>
      </x:c>
      <x:c r="AI803" s="14" t="str">
        <x:v>UK original commission</x:v>
      </x:c>
      <x:c r="AJ803" s="14" t="str">
        <x:v>Exact normalised title</x:v>
      </x:c>
      <x:c r="AK803" s="14" t="str">
        <x:v>Medium</x:v>
      </x:c>
      <x:c r="AL803" s="14" t="str">
        <x:v>Verified for commissioner/platform scope; uk original commission.</x:v>
      </x:c>
      <x:c r="AM803" s="17" t="e">
        <x:f>HYPERLINK("https://en.wikipedia.org/wiki/Grace","Open source")</x:f>
        <x:v>HYPERLINK is not implemented. linkLocation=https://en.wikipedia.org/wiki/Grace, friendlyName=Open source</x:v>
      </x:c>
      <x:c r="AN803" s="14" t="str">
        <x:v>No qualifying BBC relationship</x:v>
      </x:c>
      <x:c r="AO803" s="14" t="str">
        <x:v>No</x:v>
      </x:c>
      <x:c r="AP803" s="14" t="str">
        <x:v>Out of scope</x:v>
      </x:c>
      <x:c r="AQ803" s="14" t="str">
        <x:v>No</x:v>
      </x:c>
      <x:c r="AR803" s="14" t="str">
        <x:v>Resolved from master register</x:v>
      </x:c>
      <x:c r="AS803" s="14" t="str">
        <x:v>No established-register match</x:v>
      </x:c>
      <x:c r="AT803" s="14"/>
      <x:c r="AU803" s="14"/>
      <x:c r="AV803" s="14" t="str">
        <x:v>No established apparent-disability match</x:v>
      </x:c>
      <x:c r="AW803" s="14"/>
      <x:c r="AX803" s="14" t="str">
        <x:v>No</x:v>
      </x:c>
      <x:c r="AY803" s="14" t="str">
        <x:v>Unmatched</x:v>
      </x:c>
      <x:c r="AZ803" s="14" t="str">
        <x:v>Final supplied register</x:v>
      </x:c>
      <x:c r="BA803" s="14" t="str">
        <x:v>Absence from the register is not evidence that the performer is not disabled.</x:v>
      </x:c>
      <x:c r="BB803" s="14" t="str">
        <x:v>No established-register match</x:v>
      </x:c>
      <x:c r="BC803" s="14"/>
      <x:c r="BD803" s="14"/>
      <x:c r="BE803" s="14"/>
      <x:c r="BF803" s="14" t="str">
        <x:v>No established apparent-disability match</x:v>
      </x:c>
      <x:c r="BG803" s="14"/>
      <x:c r="BH803" s="14" t="str">
        <x:v>No</x:v>
      </x:c>
      <x:c r="BI803" s="14"/>
      <x:c r="BJ803" s="14"/>
      <x:c r="BK803" s="14"/>
      <x:c r="BL803" s="14" t="str">
        <x:v>Unmatched</x:v>
      </x:c>
      <x:c r="BM803" s="14" t="str">
        <x:v>Final supplied register</x:v>
      </x:c>
      <x:c r="BN803" s="14" t="str">
        <x:v>Absence from the register is not evidence that the performer is not disabled.</x:v>
      </x:c>
      <x:c r="BO803" s="14" t="n">
        <x:v>20</x:v>
      </x:c>
      <x:c r="BP803" s="14" t="str">
        <x:v>Maximum eligible IMDb cast-credit total (20), shared by 4 performer(s); not independently verified as a 2021-only episode total.</x:v>
      </x:c>
      <x:c r="BQ803" s="14" t="str">
        <x:v>Medium</x:v>
      </x:c>
      <x:c r="BR803" s="15" t="n">
        <x:v>1</x:v>
      </x:c>
      <x:c r="BS803" s="16" t="n">
        <x:v>0.05</x:v>
      </x:c>
      <x:c r="BT803" s="14" t="str">
        <x:v>One episode</x:v>
      </x:c>
      <x:c r="BU803" s="14" t="str">
        <x:v>Medium</x:v>
      </x:c>
      <x:c r="BV803" s="14" t="str">
        <x:v>Derived from supplied IMDb episode count and the documented production-total proxy.</x:v>
      </x:c>
      <x:c r="BW803" s="14" t="str">
        <x:v>Unable to determine</x:v>
      </x:c>
      <x:c r="BX803" s="14" t="str">
        <x:v>Supplied cast data establishes the credit and episode presence but does not establish narrative prominence.</x:v>
      </x:c>
      <x:c r="BY803" s="14" t="str">
        <x:v>Supplied IMDb cast-list workbook</x:v>
      </x:c>
      <x:c r="BZ8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3" s="14" t="str">
        <x:v>Not classified</x:v>
      </x:c>
      <x:c r="CB803" s="14" t="str">
        <x:v>Unable to determine</x:v>
      </x:c>
      <x:c r="CC803" s="14" t="str">
        <x:v>Unique</x:v>
      </x:c>
      <x:c r="CD803" s="14" t="str">
        <x:v>None identified</x:v>
      </x:c>
    </x:row>
    <x:row r="804">
      <x:c r="A804" s="14" t="str">
        <x:v>tt11639300|nm12929175|reporter 2</x:v>
      </x:c>
      <x:c r="B804" s="14" t="str">
        <x:v>02</x:v>
      </x:c>
      <x:c r="C804" s="14" t="str">
        <x:v>2021_IMDb_Cast_Lists_Batch_02(1).xlsx</x:v>
      </x:c>
      <x:c r="D804" s="14" t="str">
        <x:v>Grace</x:v>
      </x:c>
      <x:c r="E804" s="14" t="n">
        <x:v>329</x:v>
      </x:c>
      <x:c r="F804" s="14" t="str">
        <x:v>Grace</x:v>
      </x:c>
      <x:c r="G804" s="14" t="str">
        <x:v>tt11639300</x:v>
      </x:c>
      <x:c r="H804" s="14" t="n">
        <x:v>2021</x:v>
      </x:c>
      <x:c r="I804" s="14" t="n">
        <x:v>2023</x:v>
      </x:c>
      <x:c r="J804" s="14" t="str">
        <x:v>Future Carry-Forward Cohort</x:v>
      </x:c>
      <x:c r="K804" s="14" t="n">
        <x:v>2021</x:v>
      </x:c>
      <x:c r="L804" s="14" t="str">
        <x:v>Available from 2021 analysis</x:v>
      </x:c>
      <x:c r="M804" s="15" t="n">
        <x:v>322</x:v>
      </x:c>
      <x:c r="N804" s="14" t="str">
        <x:v>Ahmed Hamad</x:v>
      </x:c>
      <x:c r="O804" s="14" t="str">
        <x:v>nm12929175</x:v>
      </x:c>
      <x:c r="P804" s="14" t="str">
        <x:v>Reporter 2</x:v>
      </x:c>
      <x:c r="Q804" s="15" t="n">
        <x:v>1</x:v>
      </x:c>
      <x:c r="R804" s="14" t="str">
        <x:v>2024</x:v>
      </x:c>
      <x:c r="S804" s="14" t="n">
        <x:v>2024</x:v>
      </x:c>
      <x:c r="T804" s="14" t="n">
        <x:v>2024</x:v>
      </x:c>
      <x:c r="U804" s="14" t="str">
        <x:v>Post-2021 casting excluded</x:v>
      </x:c>
      <x:c r="V804" s="14" t="str">
        <x:v>Earliest supplied year is 2024, later than the 2021 study year.</x:v>
      </x:c>
      <x:c r="W804" s="14"/>
      <x:c r="X804" s="14" t="str">
        <x:v>Carried forward to 2024</x:v>
      </x:c>
      <x:c r="Y804" s="14"/>
      <x:c r="Z804" s="14" t="str">
        <x:v>Grace.docx</x:v>
      </x:c>
      <x:c r="AA8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4" s="14" t="str">
        <x:v>No established-register match</x:v>
      </x:c>
      <x:c r="AC804" s="14"/>
      <x:c r="AD804" s="14"/>
      <x:c r="AE804" s="14"/>
      <x:c r="AF804" s="14"/>
      <x:c r="AG804" s="14" t="str">
        <x:v>No qualifying conclusion recorded. Absence from the register is not evidence that the performer is not disabled.</x:v>
      </x:c>
      <x:c r="AH804" s="14" t="str">
        <x:v>ITV / ITVX</x:v>
      </x:c>
      <x:c r="AI804" s="14" t="str">
        <x:v>UK original commission</x:v>
      </x:c>
      <x:c r="AJ804" s="14" t="str">
        <x:v>Exact normalised title</x:v>
      </x:c>
      <x:c r="AK804" s="14" t="str">
        <x:v>Medium</x:v>
      </x:c>
      <x:c r="AL804" s="14" t="str">
        <x:v>Verified for commissioner/platform scope; uk original commission.</x:v>
      </x:c>
      <x:c r="AM804" s="17" t="e">
        <x:f>HYPERLINK("https://en.wikipedia.org/wiki/Grace","Open source")</x:f>
        <x:v>HYPERLINK is not implemented. linkLocation=https://en.wikipedia.org/wiki/Grace, friendlyName=Open source</x:v>
      </x:c>
      <x:c r="AN804" s="14" t="str">
        <x:v>No qualifying BBC relationship</x:v>
      </x:c>
      <x:c r="AO804" s="14" t="str">
        <x:v>No</x:v>
      </x:c>
      <x:c r="AP804" s="14" t="str">
        <x:v>Out of scope</x:v>
      </x:c>
      <x:c r="AQ804" s="14" t="str">
        <x:v>No</x:v>
      </x:c>
      <x:c r="AR804" s="14" t="str">
        <x:v>Resolved from master register</x:v>
      </x:c>
      <x:c r="AS804" s="14" t="str">
        <x:v>No established-register match</x:v>
      </x:c>
      <x:c r="AT804" s="14"/>
      <x:c r="AU804" s="14"/>
      <x:c r="AV804" s="14" t="str">
        <x:v>No established apparent-disability match</x:v>
      </x:c>
      <x:c r="AW804" s="14"/>
      <x:c r="AX804" s="14" t="str">
        <x:v>No</x:v>
      </x:c>
      <x:c r="AY804" s="14" t="str">
        <x:v>Unmatched</x:v>
      </x:c>
      <x:c r="AZ804" s="14" t="str">
        <x:v>Final supplied register</x:v>
      </x:c>
      <x:c r="BA804" s="14" t="str">
        <x:v>Absence from the register is not evidence that the performer is not disabled.</x:v>
      </x:c>
      <x:c r="BB804" s="14" t="str">
        <x:v>No established-register match</x:v>
      </x:c>
      <x:c r="BC804" s="14"/>
      <x:c r="BD804" s="14"/>
      <x:c r="BE804" s="14"/>
      <x:c r="BF804" s="14" t="str">
        <x:v>No established apparent-disability match</x:v>
      </x:c>
      <x:c r="BG804" s="14"/>
      <x:c r="BH804" s="14" t="str">
        <x:v>No</x:v>
      </x:c>
      <x:c r="BI804" s="14"/>
      <x:c r="BJ804" s="14"/>
      <x:c r="BK804" s="14"/>
      <x:c r="BL804" s="14" t="str">
        <x:v>Unmatched</x:v>
      </x:c>
      <x:c r="BM804" s="14" t="str">
        <x:v>Final supplied register</x:v>
      </x:c>
      <x:c r="BN804" s="14" t="str">
        <x:v>Absence from the register is not evidence that the performer is not disabled.</x:v>
      </x:c>
      <x:c r="BO804" s="14" t="n">
        <x:v>20</x:v>
      </x:c>
      <x:c r="BP804" s="14" t="str">
        <x:v>Maximum eligible IMDb cast-credit total (20), shared by 4 performer(s); not independently verified as a 2021-only episode total.</x:v>
      </x:c>
      <x:c r="BQ804" s="14" t="str">
        <x:v>Medium</x:v>
      </x:c>
      <x:c r="BR804" s="15" t="n">
        <x:v>1</x:v>
      </x:c>
      <x:c r="BS804" s="16" t="n">
        <x:v>0.05</x:v>
      </x:c>
      <x:c r="BT804" s="14" t="str">
        <x:v>One episode</x:v>
      </x:c>
      <x:c r="BU804" s="14" t="str">
        <x:v>Medium</x:v>
      </x:c>
      <x:c r="BV804" s="14" t="str">
        <x:v>Derived from supplied IMDb episode count and the documented production-total proxy.</x:v>
      </x:c>
      <x:c r="BW804" s="14" t="str">
        <x:v>Unable to determine</x:v>
      </x:c>
      <x:c r="BX804" s="14" t="str">
        <x:v>Supplied cast data establishes the credit and episode presence but does not establish narrative prominence.</x:v>
      </x:c>
      <x:c r="BY804" s="14" t="str">
        <x:v>Supplied IMDb cast-list workbook</x:v>
      </x:c>
      <x:c r="BZ8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4" s="14" t="str">
        <x:v>Not classified</x:v>
      </x:c>
      <x:c r="CB804" s="14" t="str">
        <x:v>Unable to determine</x:v>
      </x:c>
      <x:c r="CC804" s="14" t="str">
        <x:v>Unique</x:v>
      </x:c>
      <x:c r="CD804" s="14" t="str">
        <x:v>None identified</x:v>
      </x:c>
    </x:row>
    <x:row r="805">
      <x:c r="A805" s="14" t="str">
        <x:v>tt11639300|nm0448053|frank tudor</x:v>
      </x:c>
      <x:c r="B805" s="14" t="str">
        <x:v>02</x:v>
      </x:c>
      <x:c r="C805" s="14" t="str">
        <x:v>2021_IMDb_Cast_Lists_Batch_02(1).xlsx</x:v>
      </x:c>
      <x:c r="D805" s="14" t="str">
        <x:v>Grace</x:v>
      </x:c>
      <x:c r="E805" s="14" t="n">
        <x:v>336</x:v>
      </x:c>
      <x:c r="F805" s="14" t="str">
        <x:v>Grace</x:v>
      </x:c>
      <x:c r="G805" s="14" t="str">
        <x:v>tt11639300</x:v>
      </x:c>
      <x:c r="H805" s="14" t="n">
        <x:v>2021</x:v>
      </x:c>
      <x:c r="I805" s="14" t="n">
        <x:v>2023</x:v>
      </x:c>
      <x:c r="J805" s="14" t="str">
        <x:v>Future Carry-Forward Cohort</x:v>
      </x:c>
      <x:c r="K805" s="14" t="n">
        <x:v>2021</x:v>
      </x:c>
      <x:c r="L805" s="14" t="str">
        <x:v>Available from 2021 analysis</x:v>
      </x:c>
      <x:c r="M805" s="15" t="n">
        <x:v>329</x:v>
      </x:c>
      <x:c r="N805" s="14" t="str">
        <x:v>Gordon Kennedy</x:v>
      </x:c>
      <x:c r="O805" s="14" t="str">
        <x:v>nm0448053</x:v>
      </x:c>
      <x:c r="P805" s="14" t="str">
        <x:v>Frank Tudor</x:v>
      </x:c>
      <x:c r="Q805" s="15" t="n">
        <x:v>1</x:v>
      </x:c>
      <x:c r="R805" s="14" t="str">
        <x:v>2024</x:v>
      </x:c>
      <x:c r="S805" s="14" t="n">
        <x:v>2024</x:v>
      </x:c>
      <x:c r="T805" s="14" t="n">
        <x:v>2024</x:v>
      </x:c>
      <x:c r="U805" s="14" t="str">
        <x:v>Post-2021 casting excluded</x:v>
      </x:c>
      <x:c r="V805" s="14" t="str">
        <x:v>Earliest supplied year is 2024, later than the 2021 study year.</x:v>
      </x:c>
      <x:c r="W805" s="14"/>
      <x:c r="X805" s="14" t="str">
        <x:v>Carried forward to 2024</x:v>
      </x:c>
      <x:c r="Y805" s="14"/>
      <x:c r="Z805" s="14" t="str">
        <x:v>Grace.docx</x:v>
      </x:c>
      <x:c r="AA8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5" s="14" t="str">
        <x:v>No established-register match</x:v>
      </x:c>
      <x:c r="AC805" s="14"/>
      <x:c r="AD805" s="14"/>
      <x:c r="AE805" s="14"/>
      <x:c r="AF805" s="14"/>
      <x:c r="AG805" s="14" t="str">
        <x:v>No qualifying conclusion recorded. Absence from the register is not evidence that the performer is not disabled.</x:v>
      </x:c>
      <x:c r="AH805" s="14" t="str">
        <x:v>ITV / ITVX</x:v>
      </x:c>
      <x:c r="AI805" s="14" t="str">
        <x:v>UK original commission</x:v>
      </x:c>
      <x:c r="AJ805" s="14" t="str">
        <x:v>Exact normalised title</x:v>
      </x:c>
      <x:c r="AK805" s="14" t="str">
        <x:v>Medium</x:v>
      </x:c>
      <x:c r="AL805" s="14" t="str">
        <x:v>Verified for commissioner/platform scope; uk original commission.</x:v>
      </x:c>
      <x:c r="AM805" s="17" t="e">
        <x:f>HYPERLINK("https://en.wikipedia.org/wiki/Grace","Open source")</x:f>
        <x:v>HYPERLINK is not implemented. linkLocation=https://en.wikipedia.org/wiki/Grace, friendlyName=Open source</x:v>
      </x:c>
      <x:c r="AN805" s="14" t="str">
        <x:v>No qualifying BBC relationship</x:v>
      </x:c>
      <x:c r="AO805" s="14" t="str">
        <x:v>No</x:v>
      </x:c>
      <x:c r="AP805" s="14" t="str">
        <x:v>Out of scope</x:v>
      </x:c>
      <x:c r="AQ805" s="14" t="str">
        <x:v>No</x:v>
      </x:c>
      <x:c r="AR805" s="14" t="str">
        <x:v>Resolved from master register</x:v>
      </x:c>
      <x:c r="AS805" s="14" t="str">
        <x:v>No established-register match</x:v>
      </x:c>
      <x:c r="AT805" s="14"/>
      <x:c r="AU805" s="14"/>
      <x:c r="AV805" s="14" t="str">
        <x:v>No established apparent-disability match</x:v>
      </x:c>
      <x:c r="AW805" s="14"/>
      <x:c r="AX805" s="14" t="str">
        <x:v>No</x:v>
      </x:c>
      <x:c r="AY805" s="14" t="str">
        <x:v>Unmatched</x:v>
      </x:c>
      <x:c r="AZ805" s="14" t="str">
        <x:v>Final supplied register</x:v>
      </x:c>
      <x:c r="BA805" s="14" t="str">
        <x:v>Absence from the register is not evidence that the performer is not disabled.</x:v>
      </x:c>
      <x:c r="BB805" s="14" t="str">
        <x:v>No established-register match</x:v>
      </x:c>
      <x:c r="BC805" s="14"/>
      <x:c r="BD805" s="14"/>
      <x:c r="BE805" s="14"/>
      <x:c r="BF805" s="14" t="str">
        <x:v>No established apparent-disability match</x:v>
      </x:c>
      <x:c r="BG805" s="14"/>
      <x:c r="BH805" s="14" t="str">
        <x:v>No</x:v>
      </x:c>
      <x:c r="BI805" s="14"/>
      <x:c r="BJ805" s="14"/>
      <x:c r="BK805" s="14"/>
      <x:c r="BL805" s="14" t="str">
        <x:v>Unmatched</x:v>
      </x:c>
      <x:c r="BM805" s="14" t="str">
        <x:v>Final supplied register</x:v>
      </x:c>
      <x:c r="BN805" s="14" t="str">
        <x:v>Absence from the register is not evidence that the performer is not disabled.</x:v>
      </x:c>
      <x:c r="BO805" s="14" t="n">
        <x:v>20</x:v>
      </x:c>
      <x:c r="BP805" s="14" t="str">
        <x:v>Maximum eligible IMDb cast-credit total (20), shared by 4 performer(s); not independently verified as a 2021-only episode total.</x:v>
      </x:c>
      <x:c r="BQ805" s="14" t="str">
        <x:v>Medium</x:v>
      </x:c>
      <x:c r="BR805" s="15" t="n">
        <x:v>1</x:v>
      </x:c>
      <x:c r="BS805" s="16" t="n">
        <x:v>0.05</x:v>
      </x:c>
      <x:c r="BT805" s="14" t="str">
        <x:v>One episode</x:v>
      </x:c>
      <x:c r="BU805" s="14" t="str">
        <x:v>Medium</x:v>
      </x:c>
      <x:c r="BV805" s="14" t="str">
        <x:v>Derived from supplied IMDb episode count and the documented production-total proxy.</x:v>
      </x:c>
      <x:c r="BW805" s="14" t="str">
        <x:v>Unable to determine</x:v>
      </x:c>
      <x:c r="BX805" s="14" t="str">
        <x:v>Supplied cast data establishes the credit and episode presence but does not establish narrative prominence.</x:v>
      </x:c>
      <x:c r="BY805" s="14" t="str">
        <x:v>Supplied IMDb cast-list workbook</x:v>
      </x:c>
      <x:c r="BZ8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5" s="14" t="str">
        <x:v>Not classified</x:v>
      </x:c>
      <x:c r="CB805" s="14" t="str">
        <x:v>Unable to determine</x:v>
      </x:c>
      <x:c r="CC805" s="14" t="str">
        <x:v>Unique</x:v>
      </x:c>
      <x:c r="CD805" s="14" t="str">
        <x:v>None identified</x:v>
      </x:c>
    </x:row>
    <x:row r="806">
      <x:c r="A806" s="14" t="str">
        <x:v>tt11639300|nm10572105|fred northshaw</x:v>
      </x:c>
      <x:c r="B806" s="14" t="str">
        <x:v>02</x:v>
      </x:c>
      <x:c r="C806" s="14" t="str">
        <x:v>2021_IMDb_Cast_Lists_Batch_02(1).xlsx</x:v>
      </x:c>
      <x:c r="D806" s="14" t="str">
        <x:v>Grace</x:v>
      </x:c>
      <x:c r="E806" s="14" t="n">
        <x:v>337</x:v>
      </x:c>
      <x:c r="F806" s="14" t="str">
        <x:v>Grace</x:v>
      </x:c>
      <x:c r="G806" s="14" t="str">
        <x:v>tt11639300</x:v>
      </x:c>
      <x:c r="H806" s="14" t="n">
        <x:v>2021</x:v>
      </x:c>
      <x:c r="I806" s="14" t="n">
        <x:v>2023</x:v>
      </x:c>
      <x:c r="J806" s="14" t="str">
        <x:v>Future Carry-Forward Cohort</x:v>
      </x:c>
      <x:c r="K806" s="14" t="n">
        <x:v>2021</x:v>
      </x:c>
      <x:c r="L806" s="14" t="str">
        <x:v>Available from 2021 analysis</x:v>
      </x:c>
      <x:c r="M806" s="15" t="n">
        <x:v>330</x:v>
      </x:c>
      <x:c r="N806" s="14" t="str">
        <x:v>Thomas Flynn</x:v>
      </x:c>
      <x:c r="O806" s="14" t="str">
        <x:v>nm10572105</x:v>
      </x:c>
      <x:c r="P806" s="14" t="str">
        <x:v>Fred Northshaw</x:v>
      </x:c>
      <x:c r="Q806" s="15" t="n">
        <x:v>1</x:v>
      </x:c>
      <x:c r="R806" s="14" t="str">
        <x:v>2024</x:v>
      </x:c>
      <x:c r="S806" s="14" t="n">
        <x:v>2024</x:v>
      </x:c>
      <x:c r="T806" s="14" t="n">
        <x:v>2024</x:v>
      </x:c>
      <x:c r="U806" s="14" t="str">
        <x:v>Post-2021 casting excluded</x:v>
      </x:c>
      <x:c r="V806" s="14" t="str">
        <x:v>Earliest supplied year is 2024, later than the 2021 study year.</x:v>
      </x:c>
      <x:c r="W806" s="14"/>
      <x:c r="X806" s="14" t="str">
        <x:v>Carried forward to 2024</x:v>
      </x:c>
      <x:c r="Y806" s="14"/>
      <x:c r="Z806" s="14" t="str">
        <x:v>Grace.docx</x:v>
      </x:c>
      <x:c r="AA8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6" s="14" t="str">
        <x:v>No established-register match</x:v>
      </x:c>
      <x:c r="AC806" s="14"/>
      <x:c r="AD806" s="14"/>
      <x:c r="AE806" s="14"/>
      <x:c r="AF806" s="14"/>
      <x:c r="AG806" s="14" t="str">
        <x:v>No qualifying conclusion recorded. Absence from the register is not evidence that the performer is not disabled.</x:v>
      </x:c>
      <x:c r="AH806" s="14" t="str">
        <x:v>ITV / ITVX</x:v>
      </x:c>
      <x:c r="AI806" s="14" t="str">
        <x:v>UK original commission</x:v>
      </x:c>
      <x:c r="AJ806" s="14" t="str">
        <x:v>Exact normalised title</x:v>
      </x:c>
      <x:c r="AK806" s="14" t="str">
        <x:v>Medium</x:v>
      </x:c>
      <x:c r="AL806" s="14" t="str">
        <x:v>Verified for commissioner/platform scope; uk original commission.</x:v>
      </x:c>
      <x:c r="AM806" s="17" t="e">
        <x:f>HYPERLINK("https://en.wikipedia.org/wiki/Grace","Open source")</x:f>
        <x:v>HYPERLINK is not implemented. linkLocation=https://en.wikipedia.org/wiki/Grace, friendlyName=Open source</x:v>
      </x:c>
      <x:c r="AN806" s="14" t="str">
        <x:v>No qualifying BBC relationship</x:v>
      </x:c>
      <x:c r="AO806" s="14" t="str">
        <x:v>No</x:v>
      </x:c>
      <x:c r="AP806" s="14" t="str">
        <x:v>Out of scope</x:v>
      </x:c>
      <x:c r="AQ806" s="14" t="str">
        <x:v>No</x:v>
      </x:c>
      <x:c r="AR806" s="14" t="str">
        <x:v>Resolved from master register</x:v>
      </x:c>
      <x:c r="AS806" s="14" t="str">
        <x:v>No established-register match</x:v>
      </x:c>
      <x:c r="AT806" s="14"/>
      <x:c r="AU806" s="14"/>
      <x:c r="AV806" s="14" t="str">
        <x:v>No established apparent-disability match</x:v>
      </x:c>
      <x:c r="AW806" s="14"/>
      <x:c r="AX806" s="14" t="str">
        <x:v>No</x:v>
      </x:c>
      <x:c r="AY806" s="14" t="str">
        <x:v>Unmatched</x:v>
      </x:c>
      <x:c r="AZ806" s="14" t="str">
        <x:v>Final supplied register</x:v>
      </x:c>
      <x:c r="BA806" s="14" t="str">
        <x:v>Absence from the register is not evidence that the performer is not disabled.</x:v>
      </x:c>
      <x:c r="BB806" s="14" t="str">
        <x:v>No established-register match</x:v>
      </x:c>
      <x:c r="BC806" s="14"/>
      <x:c r="BD806" s="14"/>
      <x:c r="BE806" s="14"/>
      <x:c r="BF806" s="14" t="str">
        <x:v>No established apparent-disability match</x:v>
      </x:c>
      <x:c r="BG806" s="14"/>
      <x:c r="BH806" s="14" t="str">
        <x:v>No</x:v>
      </x:c>
      <x:c r="BI806" s="14"/>
      <x:c r="BJ806" s="14"/>
      <x:c r="BK806" s="14"/>
      <x:c r="BL806" s="14" t="str">
        <x:v>Unmatched</x:v>
      </x:c>
      <x:c r="BM806" s="14" t="str">
        <x:v>Final supplied register</x:v>
      </x:c>
      <x:c r="BN806" s="14" t="str">
        <x:v>Absence from the register is not evidence that the performer is not disabled.</x:v>
      </x:c>
      <x:c r="BO806" s="14" t="n">
        <x:v>20</x:v>
      </x:c>
      <x:c r="BP806" s="14" t="str">
        <x:v>Maximum eligible IMDb cast-credit total (20), shared by 4 performer(s); not independently verified as a 2021-only episode total.</x:v>
      </x:c>
      <x:c r="BQ806" s="14" t="str">
        <x:v>Medium</x:v>
      </x:c>
      <x:c r="BR806" s="15" t="n">
        <x:v>1</x:v>
      </x:c>
      <x:c r="BS806" s="16" t="n">
        <x:v>0.05</x:v>
      </x:c>
      <x:c r="BT806" s="14" t="str">
        <x:v>One episode</x:v>
      </x:c>
      <x:c r="BU806" s="14" t="str">
        <x:v>Medium</x:v>
      </x:c>
      <x:c r="BV806" s="14" t="str">
        <x:v>Derived from supplied IMDb episode count and the documented production-total proxy.</x:v>
      </x:c>
      <x:c r="BW806" s="14" t="str">
        <x:v>Unable to determine</x:v>
      </x:c>
      <x:c r="BX806" s="14" t="str">
        <x:v>Supplied cast data establishes the credit and episode presence but does not establish narrative prominence.</x:v>
      </x:c>
      <x:c r="BY806" s="14" t="str">
        <x:v>Supplied IMDb cast-list workbook</x:v>
      </x:c>
      <x:c r="BZ8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6" s="14" t="str">
        <x:v>Not classified</x:v>
      </x:c>
      <x:c r="CB806" s="14" t="str">
        <x:v>Unable to determine</x:v>
      </x:c>
      <x:c r="CC806" s="14" t="str">
        <x:v>Unique</x:v>
      </x:c>
      <x:c r="CD806" s="14" t="str">
        <x:v>None identified</x:v>
      </x:c>
    </x:row>
    <x:row r="807">
      <x:c r="A807" s="14" t="str">
        <x:v>tt11639300|nm1354542|mark drake</x:v>
      </x:c>
      <x:c r="B807" s="14" t="str">
        <x:v>02</x:v>
      </x:c>
      <x:c r="C807" s="14" t="str">
        <x:v>2021_IMDb_Cast_Lists_Batch_02(1).xlsx</x:v>
      </x:c>
      <x:c r="D807" s="14" t="str">
        <x:v>Grace</x:v>
      </x:c>
      <x:c r="E807" s="14" t="n">
        <x:v>343</x:v>
      </x:c>
      <x:c r="F807" s="14" t="str">
        <x:v>Grace</x:v>
      </x:c>
      <x:c r="G807" s="14" t="str">
        <x:v>tt11639300</x:v>
      </x:c>
      <x:c r="H807" s="14" t="n">
        <x:v>2021</x:v>
      </x:c>
      <x:c r="I807" s="14" t="n">
        <x:v>2023</x:v>
      </x:c>
      <x:c r="J807" s="14" t="str">
        <x:v>Future Carry-Forward Cohort</x:v>
      </x:c>
      <x:c r="K807" s="14" t="n">
        <x:v>2021</x:v>
      </x:c>
      <x:c r="L807" s="14" t="str">
        <x:v>Available from 2021 analysis</x:v>
      </x:c>
      <x:c r="M807" s="15" t="n">
        <x:v>336</x:v>
      </x:c>
      <x:c r="N807" s="14" t="str">
        <x:v>Grant Burgin</x:v>
      </x:c>
      <x:c r="O807" s="14" t="str">
        <x:v>nm1354542</x:v>
      </x:c>
      <x:c r="P807" s="14" t="str">
        <x:v>Mark Drake</x:v>
      </x:c>
      <x:c r="Q807" s="15" t="n">
        <x:v>1</x:v>
      </x:c>
      <x:c r="R807" s="14" t="str">
        <x:v>2024</x:v>
      </x:c>
      <x:c r="S807" s="14" t="n">
        <x:v>2024</x:v>
      </x:c>
      <x:c r="T807" s="14" t="n">
        <x:v>2024</x:v>
      </x:c>
      <x:c r="U807" s="14" t="str">
        <x:v>Post-2021 casting excluded</x:v>
      </x:c>
      <x:c r="V807" s="14" t="str">
        <x:v>Earliest supplied year is 2024, later than the 2021 study year.</x:v>
      </x:c>
      <x:c r="W807" s="14"/>
      <x:c r="X807" s="14" t="str">
        <x:v>Carried forward to 2024</x:v>
      </x:c>
      <x:c r="Y807" s="14"/>
      <x:c r="Z807" s="14" t="str">
        <x:v>Grace.docx</x:v>
      </x:c>
      <x:c r="AA8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7" s="14" t="str">
        <x:v>No established-register match</x:v>
      </x:c>
      <x:c r="AC807" s="14"/>
      <x:c r="AD807" s="14"/>
      <x:c r="AE807" s="14"/>
      <x:c r="AF807" s="14"/>
      <x:c r="AG807" s="14" t="str">
        <x:v>No qualifying conclusion recorded. Absence from the register is not evidence that the performer is not disabled.</x:v>
      </x:c>
      <x:c r="AH807" s="14" t="str">
        <x:v>ITV / ITVX</x:v>
      </x:c>
      <x:c r="AI807" s="14" t="str">
        <x:v>UK original commission</x:v>
      </x:c>
      <x:c r="AJ807" s="14" t="str">
        <x:v>Exact normalised title</x:v>
      </x:c>
      <x:c r="AK807" s="14" t="str">
        <x:v>Medium</x:v>
      </x:c>
      <x:c r="AL807" s="14" t="str">
        <x:v>Verified for commissioner/platform scope; uk original commission.</x:v>
      </x:c>
      <x:c r="AM807" s="17" t="e">
        <x:f>HYPERLINK("https://en.wikipedia.org/wiki/Grace","Open source")</x:f>
        <x:v>HYPERLINK is not implemented. linkLocation=https://en.wikipedia.org/wiki/Grace, friendlyName=Open source</x:v>
      </x:c>
      <x:c r="AN807" s="14" t="str">
        <x:v>No qualifying BBC relationship</x:v>
      </x:c>
      <x:c r="AO807" s="14" t="str">
        <x:v>No</x:v>
      </x:c>
      <x:c r="AP807" s="14" t="str">
        <x:v>Out of scope</x:v>
      </x:c>
      <x:c r="AQ807" s="14" t="str">
        <x:v>No</x:v>
      </x:c>
      <x:c r="AR807" s="14" t="str">
        <x:v>Resolved from master register</x:v>
      </x:c>
      <x:c r="AS807" s="14" t="str">
        <x:v>No established-register match</x:v>
      </x:c>
      <x:c r="AT807" s="14"/>
      <x:c r="AU807" s="14"/>
      <x:c r="AV807" s="14" t="str">
        <x:v>No established apparent-disability match</x:v>
      </x:c>
      <x:c r="AW807" s="14"/>
      <x:c r="AX807" s="14" t="str">
        <x:v>No</x:v>
      </x:c>
      <x:c r="AY807" s="14" t="str">
        <x:v>Unmatched</x:v>
      </x:c>
      <x:c r="AZ807" s="14" t="str">
        <x:v>Final supplied register</x:v>
      </x:c>
      <x:c r="BA807" s="14" t="str">
        <x:v>Absence from the register is not evidence that the performer is not disabled.</x:v>
      </x:c>
      <x:c r="BB807" s="14" t="str">
        <x:v>No established-register match</x:v>
      </x:c>
      <x:c r="BC807" s="14"/>
      <x:c r="BD807" s="14"/>
      <x:c r="BE807" s="14"/>
      <x:c r="BF807" s="14" t="str">
        <x:v>No established apparent-disability match</x:v>
      </x:c>
      <x:c r="BG807" s="14"/>
      <x:c r="BH807" s="14" t="str">
        <x:v>No</x:v>
      </x:c>
      <x:c r="BI807" s="14"/>
      <x:c r="BJ807" s="14"/>
      <x:c r="BK807" s="14"/>
      <x:c r="BL807" s="14" t="str">
        <x:v>Unmatched</x:v>
      </x:c>
      <x:c r="BM807" s="14" t="str">
        <x:v>Final supplied register</x:v>
      </x:c>
      <x:c r="BN807" s="14" t="str">
        <x:v>Absence from the register is not evidence that the performer is not disabled.</x:v>
      </x:c>
      <x:c r="BO807" s="14" t="n">
        <x:v>20</x:v>
      </x:c>
      <x:c r="BP807" s="14" t="str">
        <x:v>Maximum eligible IMDb cast-credit total (20), shared by 4 performer(s); not independently verified as a 2021-only episode total.</x:v>
      </x:c>
      <x:c r="BQ807" s="14" t="str">
        <x:v>Medium</x:v>
      </x:c>
      <x:c r="BR807" s="15" t="n">
        <x:v>1</x:v>
      </x:c>
      <x:c r="BS807" s="16" t="n">
        <x:v>0.05</x:v>
      </x:c>
      <x:c r="BT807" s="14" t="str">
        <x:v>One episode</x:v>
      </x:c>
      <x:c r="BU807" s="14" t="str">
        <x:v>Medium</x:v>
      </x:c>
      <x:c r="BV807" s="14" t="str">
        <x:v>Derived from supplied IMDb episode count and the documented production-total proxy.</x:v>
      </x:c>
      <x:c r="BW807" s="14" t="str">
        <x:v>Unable to determine</x:v>
      </x:c>
      <x:c r="BX807" s="14" t="str">
        <x:v>Supplied cast data establishes the credit and episode presence but does not establish narrative prominence.</x:v>
      </x:c>
      <x:c r="BY807" s="14" t="str">
        <x:v>Supplied IMDb cast-list workbook</x:v>
      </x:c>
      <x:c r="BZ8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7" s="14" t="str">
        <x:v>Not classified</x:v>
      </x:c>
      <x:c r="CB807" s="14" t="str">
        <x:v>Unable to determine</x:v>
      </x:c>
      <x:c r="CC807" s="14" t="str">
        <x:v>Unique</x:v>
      </x:c>
      <x:c r="CD807" s="14" t="str">
        <x:v>None identified</x:v>
      </x:c>
    </x:row>
    <x:row r="808">
      <x:c r="A808" s="14" t="str">
        <x:v>tt11639300|nm0500691|henry gilbert</x:v>
      </x:c>
      <x:c r="B808" s="14" t="str">
        <x:v>02</x:v>
      </x:c>
      <x:c r="C808" s="14" t="str">
        <x:v>2021_IMDb_Cast_Lists_Batch_02(1).xlsx</x:v>
      </x:c>
      <x:c r="D808" s="14" t="str">
        <x:v>Grace</x:v>
      </x:c>
      <x:c r="E808" s="14" t="n">
        <x:v>344</x:v>
      </x:c>
      <x:c r="F808" s="14" t="str">
        <x:v>Grace</x:v>
      </x:c>
      <x:c r="G808" s="14" t="str">
        <x:v>tt11639300</x:v>
      </x:c>
      <x:c r="H808" s="14" t="n">
        <x:v>2021</x:v>
      </x:c>
      <x:c r="I808" s="14" t="n">
        <x:v>2023</x:v>
      </x:c>
      <x:c r="J808" s="14" t="str">
        <x:v>Future Carry-Forward Cohort</x:v>
      </x:c>
      <x:c r="K808" s="14" t="n">
        <x:v>2021</x:v>
      </x:c>
      <x:c r="L808" s="14" t="str">
        <x:v>Available from 2021 analysis</x:v>
      </x:c>
      <x:c r="M808" s="15" t="n">
        <x:v>337</x:v>
      </x:c>
      <x:c r="N808" s="14" t="str">
        <x:v>Alan Leith</x:v>
      </x:c>
      <x:c r="O808" s="14" t="str">
        <x:v>nm0500691</x:v>
      </x:c>
      <x:c r="P808" s="14" t="str">
        <x:v>Henry Gilbert</x:v>
      </x:c>
      <x:c r="Q808" s="15" t="n">
        <x:v>1</x:v>
      </x:c>
      <x:c r="R808" s="14" t="str">
        <x:v>2024</x:v>
      </x:c>
      <x:c r="S808" s="14" t="n">
        <x:v>2024</x:v>
      </x:c>
      <x:c r="T808" s="14" t="n">
        <x:v>2024</x:v>
      </x:c>
      <x:c r="U808" s="14" t="str">
        <x:v>Post-2021 casting excluded</x:v>
      </x:c>
      <x:c r="V808" s="14" t="str">
        <x:v>Earliest supplied year is 2024, later than the 2021 study year.</x:v>
      </x:c>
      <x:c r="W808" s="14"/>
      <x:c r="X808" s="14" t="str">
        <x:v>Carried forward to 2024</x:v>
      </x:c>
      <x:c r="Y808" s="14"/>
      <x:c r="Z808" s="14" t="str">
        <x:v>Grace.docx</x:v>
      </x:c>
      <x:c r="AA8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8" s="14" t="str">
        <x:v>No established-register match</x:v>
      </x:c>
      <x:c r="AC808" s="14"/>
      <x:c r="AD808" s="14"/>
      <x:c r="AE808" s="14"/>
      <x:c r="AF808" s="14"/>
      <x:c r="AG808" s="14" t="str">
        <x:v>No qualifying conclusion recorded. Absence from the register is not evidence that the performer is not disabled.</x:v>
      </x:c>
      <x:c r="AH808" s="14" t="str">
        <x:v>ITV / ITVX</x:v>
      </x:c>
      <x:c r="AI808" s="14" t="str">
        <x:v>UK original commission</x:v>
      </x:c>
      <x:c r="AJ808" s="14" t="str">
        <x:v>Exact normalised title</x:v>
      </x:c>
      <x:c r="AK808" s="14" t="str">
        <x:v>Medium</x:v>
      </x:c>
      <x:c r="AL808" s="14" t="str">
        <x:v>Verified for commissioner/platform scope; uk original commission.</x:v>
      </x:c>
      <x:c r="AM808" s="17" t="e">
        <x:f>HYPERLINK("https://en.wikipedia.org/wiki/Grace","Open source")</x:f>
        <x:v>HYPERLINK is not implemented. linkLocation=https://en.wikipedia.org/wiki/Grace, friendlyName=Open source</x:v>
      </x:c>
      <x:c r="AN808" s="14" t="str">
        <x:v>No qualifying BBC relationship</x:v>
      </x:c>
      <x:c r="AO808" s="14" t="str">
        <x:v>No</x:v>
      </x:c>
      <x:c r="AP808" s="14" t="str">
        <x:v>Out of scope</x:v>
      </x:c>
      <x:c r="AQ808" s="14" t="str">
        <x:v>No</x:v>
      </x:c>
      <x:c r="AR808" s="14" t="str">
        <x:v>Resolved from master register</x:v>
      </x:c>
      <x:c r="AS808" s="14" t="str">
        <x:v>No established-register match</x:v>
      </x:c>
      <x:c r="AT808" s="14"/>
      <x:c r="AU808" s="14"/>
      <x:c r="AV808" s="14" t="str">
        <x:v>No established apparent-disability match</x:v>
      </x:c>
      <x:c r="AW808" s="14"/>
      <x:c r="AX808" s="14" t="str">
        <x:v>No</x:v>
      </x:c>
      <x:c r="AY808" s="14" t="str">
        <x:v>Unmatched</x:v>
      </x:c>
      <x:c r="AZ808" s="14" t="str">
        <x:v>Final supplied register</x:v>
      </x:c>
      <x:c r="BA808" s="14" t="str">
        <x:v>Absence from the register is not evidence that the performer is not disabled.</x:v>
      </x:c>
      <x:c r="BB808" s="14" t="str">
        <x:v>No established-register match</x:v>
      </x:c>
      <x:c r="BC808" s="14"/>
      <x:c r="BD808" s="14"/>
      <x:c r="BE808" s="14"/>
      <x:c r="BF808" s="14" t="str">
        <x:v>No established apparent-disability match</x:v>
      </x:c>
      <x:c r="BG808" s="14"/>
      <x:c r="BH808" s="14" t="str">
        <x:v>No</x:v>
      </x:c>
      <x:c r="BI808" s="14"/>
      <x:c r="BJ808" s="14"/>
      <x:c r="BK808" s="14"/>
      <x:c r="BL808" s="14" t="str">
        <x:v>Unmatched</x:v>
      </x:c>
      <x:c r="BM808" s="14" t="str">
        <x:v>Final supplied register</x:v>
      </x:c>
      <x:c r="BN808" s="14" t="str">
        <x:v>Absence from the register is not evidence that the performer is not disabled.</x:v>
      </x:c>
      <x:c r="BO808" s="14" t="n">
        <x:v>20</x:v>
      </x:c>
      <x:c r="BP808" s="14" t="str">
        <x:v>Maximum eligible IMDb cast-credit total (20), shared by 4 performer(s); not independently verified as a 2021-only episode total.</x:v>
      </x:c>
      <x:c r="BQ808" s="14" t="str">
        <x:v>Medium</x:v>
      </x:c>
      <x:c r="BR808" s="15" t="n">
        <x:v>1</x:v>
      </x:c>
      <x:c r="BS808" s="16" t="n">
        <x:v>0.05</x:v>
      </x:c>
      <x:c r="BT808" s="14" t="str">
        <x:v>One episode</x:v>
      </x:c>
      <x:c r="BU808" s="14" t="str">
        <x:v>Medium</x:v>
      </x:c>
      <x:c r="BV808" s="14" t="str">
        <x:v>Derived from supplied IMDb episode count and the documented production-total proxy.</x:v>
      </x:c>
      <x:c r="BW808" s="14" t="str">
        <x:v>Unable to determine</x:v>
      </x:c>
      <x:c r="BX808" s="14" t="str">
        <x:v>Supplied cast data establishes the credit and episode presence but does not establish narrative prominence.</x:v>
      </x:c>
      <x:c r="BY808" s="14" t="str">
        <x:v>Supplied IMDb cast-list workbook</x:v>
      </x:c>
      <x:c r="BZ8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8" s="14" t="str">
        <x:v>Not classified</x:v>
      </x:c>
      <x:c r="CB808" s="14" t="str">
        <x:v>Unable to determine</x:v>
      </x:c>
      <x:c r="CC808" s="14" t="str">
        <x:v>Unique</x:v>
      </x:c>
      <x:c r="CD808" s="14" t="str">
        <x:v>None identified</x:v>
      </x:c>
    </x:row>
    <x:row r="809">
      <x:c r="A809" s="14" t="str">
        <x:v>tt11639300|nm1372296|sean barnes</x:v>
      </x:c>
      <x:c r="B809" s="14" t="str">
        <x:v>02</x:v>
      </x:c>
      <x:c r="C809" s="14" t="str">
        <x:v>2021_IMDb_Cast_Lists_Batch_02(1).xlsx</x:v>
      </x:c>
      <x:c r="D809" s="14" t="str">
        <x:v>Grace</x:v>
      </x:c>
      <x:c r="E809" s="14" t="n">
        <x:v>349</x:v>
      </x:c>
      <x:c r="F809" s="14" t="str">
        <x:v>Grace</x:v>
      </x:c>
      <x:c r="G809" s="14" t="str">
        <x:v>tt11639300</x:v>
      </x:c>
      <x:c r="H809" s="14" t="n">
        <x:v>2021</x:v>
      </x:c>
      <x:c r="I809" s="14" t="n">
        <x:v>2023</x:v>
      </x:c>
      <x:c r="J809" s="14" t="str">
        <x:v>Future Carry-Forward Cohort</x:v>
      </x:c>
      <x:c r="K809" s="14" t="n">
        <x:v>2021</x:v>
      </x:c>
      <x:c r="L809" s="14" t="str">
        <x:v>Available from 2021 analysis</x:v>
      </x:c>
      <x:c r="M809" s="15" t="n">
        <x:v>342</x:v>
      </x:c>
      <x:c r="N809" s="14" t="str">
        <x:v>Alan Turkington</x:v>
      </x:c>
      <x:c r="O809" s="14" t="str">
        <x:v>nm1372296</x:v>
      </x:c>
      <x:c r="P809" s="14" t="str">
        <x:v>Sean Barnes</x:v>
      </x:c>
      <x:c r="Q809" s="15" t="n">
        <x:v>1</x:v>
      </x:c>
      <x:c r="R809" s="14" t="str">
        <x:v>2024</x:v>
      </x:c>
      <x:c r="S809" s="14" t="n">
        <x:v>2024</x:v>
      </x:c>
      <x:c r="T809" s="14" t="n">
        <x:v>2024</x:v>
      </x:c>
      <x:c r="U809" s="14" t="str">
        <x:v>Post-2021 casting excluded</x:v>
      </x:c>
      <x:c r="V809" s="14" t="str">
        <x:v>Earliest supplied year is 2024, later than the 2021 study year.</x:v>
      </x:c>
      <x:c r="W809" s="14"/>
      <x:c r="X809" s="14" t="str">
        <x:v>Carried forward to 2024</x:v>
      </x:c>
      <x:c r="Y809" s="14"/>
      <x:c r="Z809" s="14" t="str">
        <x:v>Grace.docx</x:v>
      </x:c>
      <x:c r="AA8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9" s="14" t="str">
        <x:v>No established-register match</x:v>
      </x:c>
      <x:c r="AC809" s="14"/>
      <x:c r="AD809" s="14"/>
      <x:c r="AE809" s="14"/>
      <x:c r="AF809" s="14"/>
      <x:c r="AG809" s="14" t="str">
        <x:v>No qualifying conclusion recorded. Absence from the register is not evidence that the performer is not disabled.</x:v>
      </x:c>
      <x:c r="AH809" s="14" t="str">
        <x:v>ITV / ITVX</x:v>
      </x:c>
      <x:c r="AI809" s="14" t="str">
        <x:v>UK original commission</x:v>
      </x:c>
      <x:c r="AJ809" s="14" t="str">
        <x:v>Exact normalised title</x:v>
      </x:c>
      <x:c r="AK809" s="14" t="str">
        <x:v>Medium</x:v>
      </x:c>
      <x:c r="AL809" s="14" t="str">
        <x:v>Verified for commissioner/platform scope; uk original commission.</x:v>
      </x:c>
      <x:c r="AM809" s="17" t="e">
        <x:f>HYPERLINK("https://en.wikipedia.org/wiki/Grace","Open source")</x:f>
        <x:v>HYPERLINK is not implemented. linkLocation=https://en.wikipedia.org/wiki/Grace, friendlyName=Open source</x:v>
      </x:c>
      <x:c r="AN809" s="14" t="str">
        <x:v>No qualifying BBC relationship</x:v>
      </x:c>
      <x:c r="AO809" s="14" t="str">
        <x:v>No</x:v>
      </x:c>
      <x:c r="AP809" s="14" t="str">
        <x:v>Out of scope</x:v>
      </x:c>
      <x:c r="AQ809" s="14" t="str">
        <x:v>No</x:v>
      </x:c>
      <x:c r="AR809" s="14" t="str">
        <x:v>Resolved from master register</x:v>
      </x:c>
      <x:c r="AS809" s="14" t="str">
        <x:v>No established-register match</x:v>
      </x:c>
      <x:c r="AT809" s="14"/>
      <x:c r="AU809" s="14"/>
      <x:c r="AV809" s="14" t="str">
        <x:v>No established apparent-disability match</x:v>
      </x:c>
      <x:c r="AW809" s="14"/>
      <x:c r="AX809" s="14" t="str">
        <x:v>No</x:v>
      </x:c>
      <x:c r="AY809" s="14" t="str">
        <x:v>Unmatched</x:v>
      </x:c>
      <x:c r="AZ809" s="14" t="str">
        <x:v>Final supplied register</x:v>
      </x:c>
      <x:c r="BA809" s="14" t="str">
        <x:v>Absence from the register is not evidence that the performer is not disabled.</x:v>
      </x:c>
      <x:c r="BB809" s="14" t="str">
        <x:v>No established-register match</x:v>
      </x:c>
      <x:c r="BC809" s="14"/>
      <x:c r="BD809" s="14"/>
      <x:c r="BE809" s="14"/>
      <x:c r="BF809" s="14" t="str">
        <x:v>No established apparent-disability match</x:v>
      </x:c>
      <x:c r="BG809" s="14"/>
      <x:c r="BH809" s="14" t="str">
        <x:v>No</x:v>
      </x:c>
      <x:c r="BI809" s="14"/>
      <x:c r="BJ809" s="14"/>
      <x:c r="BK809" s="14"/>
      <x:c r="BL809" s="14" t="str">
        <x:v>Unmatched</x:v>
      </x:c>
      <x:c r="BM809" s="14" t="str">
        <x:v>Final supplied register</x:v>
      </x:c>
      <x:c r="BN809" s="14" t="str">
        <x:v>Absence from the register is not evidence that the performer is not disabled.</x:v>
      </x:c>
      <x:c r="BO809" s="14" t="n">
        <x:v>20</x:v>
      </x:c>
      <x:c r="BP809" s="14" t="str">
        <x:v>Maximum eligible IMDb cast-credit total (20), shared by 4 performer(s); not independently verified as a 2021-only episode total.</x:v>
      </x:c>
      <x:c r="BQ809" s="14" t="str">
        <x:v>Medium</x:v>
      </x:c>
      <x:c r="BR809" s="15" t="n">
        <x:v>1</x:v>
      </x:c>
      <x:c r="BS809" s="16" t="n">
        <x:v>0.05</x:v>
      </x:c>
      <x:c r="BT809" s="14" t="str">
        <x:v>One episode</x:v>
      </x:c>
      <x:c r="BU809" s="14" t="str">
        <x:v>Medium</x:v>
      </x:c>
      <x:c r="BV809" s="14" t="str">
        <x:v>Derived from supplied IMDb episode count and the documented production-total proxy.</x:v>
      </x:c>
      <x:c r="BW809" s="14" t="str">
        <x:v>Unable to determine</x:v>
      </x:c>
      <x:c r="BX809" s="14" t="str">
        <x:v>Supplied cast data establishes the credit and episode presence but does not establish narrative prominence.</x:v>
      </x:c>
      <x:c r="BY809" s="14" t="str">
        <x:v>Supplied IMDb cast-list workbook</x:v>
      </x:c>
      <x:c r="BZ8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9" s="14" t="str">
        <x:v>Not classified</x:v>
      </x:c>
      <x:c r="CB809" s="14" t="str">
        <x:v>Unable to determine</x:v>
      </x:c>
      <x:c r="CC809" s="14" t="str">
        <x:v>Unique</x:v>
      </x:c>
      <x:c r="CD809" s="14" t="str">
        <x:v>None identified</x:v>
      </x:c>
    </x:row>
    <x:row r="810">
      <x:c r="A810" s="14" t="str">
        <x:v>tt11639300|nm16232315|young lisa white</x:v>
      </x:c>
      <x:c r="B810" s="14" t="str">
        <x:v>02</x:v>
      </x:c>
      <x:c r="C810" s="14" t="str">
        <x:v>2021_IMDb_Cast_Lists_Batch_02(1).xlsx</x:v>
      </x:c>
      <x:c r="D810" s="14" t="str">
        <x:v>Grace</x:v>
      </x:c>
      <x:c r="E810" s="14" t="n">
        <x:v>350</x:v>
      </x:c>
      <x:c r="F810" s="14" t="str">
        <x:v>Grace</x:v>
      </x:c>
      <x:c r="G810" s="14" t="str">
        <x:v>tt11639300</x:v>
      </x:c>
      <x:c r="H810" s="14" t="n">
        <x:v>2021</x:v>
      </x:c>
      <x:c r="I810" s="14" t="n">
        <x:v>2023</x:v>
      </x:c>
      <x:c r="J810" s="14" t="str">
        <x:v>Future Carry-Forward Cohort</x:v>
      </x:c>
      <x:c r="K810" s="14" t="n">
        <x:v>2021</x:v>
      </x:c>
      <x:c r="L810" s="14" t="str">
        <x:v>Available from 2021 analysis</x:v>
      </x:c>
      <x:c r="M810" s="15" t="n">
        <x:v>343</x:v>
      </x:c>
      <x:c r="N810" s="14" t="str">
        <x:v>Madeleine Jabir</x:v>
      </x:c>
      <x:c r="O810" s="14" t="str">
        <x:v>nm16232315</x:v>
      </x:c>
      <x:c r="P810" s="14" t="str">
        <x:v>Young Lisa White</x:v>
      </x:c>
      <x:c r="Q810" s="15" t="n">
        <x:v>1</x:v>
      </x:c>
      <x:c r="R810" s="14" t="str">
        <x:v>2024</x:v>
      </x:c>
      <x:c r="S810" s="14" t="n">
        <x:v>2024</x:v>
      </x:c>
      <x:c r="T810" s="14" t="n">
        <x:v>2024</x:v>
      </x:c>
      <x:c r="U810" s="14" t="str">
        <x:v>Post-2021 casting excluded</x:v>
      </x:c>
      <x:c r="V810" s="14" t="str">
        <x:v>Earliest supplied year is 2024, later than the 2021 study year.</x:v>
      </x:c>
      <x:c r="W810" s="14"/>
      <x:c r="X810" s="14" t="str">
        <x:v>Carried forward to 2024</x:v>
      </x:c>
      <x:c r="Y810" s="14"/>
      <x:c r="Z810" s="14" t="str">
        <x:v>Grace.docx</x:v>
      </x:c>
      <x:c r="AA8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0" s="14" t="str">
        <x:v>No established-register match</x:v>
      </x:c>
      <x:c r="AC810" s="14"/>
      <x:c r="AD810" s="14"/>
      <x:c r="AE810" s="14"/>
      <x:c r="AF810" s="14"/>
      <x:c r="AG810" s="14" t="str">
        <x:v>No qualifying conclusion recorded. Absence from the register is not evidence that the performer is not disabled.</x:v>
      </x:c>
      <x:c r="AH810" s="14" t="str">
        <x:v>ITV / ITVX</x:v>
      </x:c>
      <x:c r="AI810" s="14" t="str">
        <x:v>UK original commission</x:v>
      </x:c>
      <x:c r="AJ810" s="14" t="str">
        <x:v>Exact normalised title</x:v>
      </x:c>
      <x:c r="AK810" s="14" t="str">
        <x:v>Medium</x:v>
      </x:c>
      <x:c r="AL810" s="14" t="str">
        <x:v>Verified for commissioner/platform scope; uk original commission.</x:v>
      </x:c>
      <x:c r="AM810" s="17" t="e">
        <x:f>HYPERLINK("https://en.wikipedia.org/wiki/Grace","Open source")</x:f>
        <x:v>HYPERLINK is not implemented. linkLocation=https://en.wikipedia.org/wiki/Grace, friendlyName=Open source</x:v>
      </x:c>
      <x:c r="AN810" s="14" t="str">
        <x:v>No qualifying BBC relationship</x:v>
      </x:c>
      <x:c r="AO810" s="14" t="str">
        <x:v>No</x:v>
      </x:c>
      <x:c r="AP810" s="14" t="str">
        <x:v>Out of scope</x:v>
      </x:c>
      <x:c r="AQ810" s="14" t="str">
        <x:v>No</x:v>
      </x:c>
      <x:c r="AR810" s="14" t="str">
        <x:v>Resolved from master register</x:v>
      </x:c>
      <x:c r="AS810" s="14" t="str">
        <x:v>No established-register match</x:v>
      </x:c>
      <x:c r="AT810" s="14"/>
      <x:c r="AU810" s="14"/>
      <x:c r="AV810" s="14" t="str">
        <x:v>No established apparent-disability match</x:v>
      </x:c>
      <x:c r="AW810" s="14"/>
      <x:c r="AX810" s="14" t="str">
        <x:v>No</x:v>
      </x:c>
      <x:c r="AY810" s="14" t="str">
        <x:v>Unmatched</x:v>
      </x:c>
      <x:c r="AZ810" s="14" t="str">
        <x:v>Final supplied register</x:v>
      </x:c>
      <x:c r="BA810" s="14" t="str">
        <x:v>Absence from the register is not evidence that the performer is not disabled.</x:v>
      </x:c>
      <x:c r="BB810" s="14" t="str">
        <x:v>No established-register match</x:v>
      </x:c>
      <x:c r="BC810" s="14"/>
      <x:c r="BD810" s="14"/>
      <x:c r="BE810" s="14"/>
      <x:c r="BF810" s="14" t="str">
        <x:v>No established apparent-disability match</x:v>
      </x:c>
      <x:c r="BG810" s="14"/>
      <x:c r="BH810" s="14" t="str">
        <x:v>No</x:v>
      </x:c>
      <x:c r="BI810" s="14"/>
      <x:c r="BJ810" s="14"/>
      <x:c r="BK810" s="14"/>
      <x:c r="BL810" s="14" t="str">
        <x:v>Unmatched</x:v>
      </x:c>
      <x:c r="BM810" s="14" t="str">
        <x:v>Final supplied register</x:v>
      </x:c>
      <x:c r="BN810" s="14" t="str">
        <x:v>Absence from the register is not evidence that the performer is not disabled.</x:v>
      </x:c>
      <x:c r="BO810" s="14" t="n">
        <x:v>20</x:v>
      </x:c>
      <x:c r="BP810" s="14" t="str">
        <x:v>Maximum eligible IMDb cast-credit total (20), shared by 4 performer(s); not independently verified as a 2021-only episode total.</x:v>
      </x:c>
      <x:c r="BQ810" s="14" t="str">
        <x:v>Medium</x:v>
      </x:c>
      <x:c r="BR810" s="15" t="n">
        <x:v>1</x:v>
      </x:c>
      <x:c r="BS810" s="16" t="n">
        <x:v>0.05</x:v>
      </x:c>
      <x:c r="BT810" s="14" t="str">
        <x:v>One episode</x:v>
      </x:c>
      <x:c r="BU810" s="14" t="str">
        <x:v>Medium</x:v>
      </x:c>
      <x:c r="BV810" s="14" t="str">
        <x:v>Derived from supplied IMDb episode count and the documented production-total proxy.</x:v>
      </x:c>
      <x:c r="BW810" s="14" t="str">
        <x:v>Unable to determine</x:v>
      </x:c>
      <x:c r="BX810" s="14" t="str">
        <x:v>Supplied cast data establishes the credit and episode presence but does not establish narrative prominence.</x:v>
      </x:c>
      <x:c r="BY810" s="14" t="str">
        <x:v>Supplied IMDb cast-list workbook</x:v>
      </x:c>
      <x:c r="BZ8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0" s="14" t="str">
        <x:v>Not classified</x:v>
      </x:c>
      <x:c r="CB810" s="14" t="str">
        <x:v>Unable to determine</x:v>
      </x:c>
      <x:c r="CC810" s="14" t="str">
        <x:v>Unique</x:v>
      </x:c>
      <x:c r="CD810" s="14" t="str">
        <x:v>None identified</x:v>
      </x:c>
    </x:row>
    <x:row r="811">
      <x:c r="A811" s="14" t="str">
        <x:v>tt11639300|nm0827664|senior clive ellis</x:v>
      </x:c>
      <x:c r="B811" s="14" t="str">
        <x:v>02</x:v>
      </x:c>
      <x:c r="C811" s="14" t="str">
        <x:v>2021_IMDb_Cast_Lists_Batch_02(1).xlsx</x:v>
      </x:c>
      <x:c r="D811" s="14" t="str">
        <x:v>Grace</x:v>
      </x:c>
      <x:c r="E811" s="14" t="n">
        <x:v>354</x:v>
      </x:c>
      <x:c r="F811" s="14" t="str">
        <x:v>Grace</x:v>
      </x:c>
      <x:c r="G811" s="14" t="str">
        <x:v>tt11639300</x:v>
      </x:c>
      <x:c r="H811" s="14" t="n">
        <x:v>2021</x:v>
      </x:c>
      <x:c r="I811" s="14" t="n">
        <x:v>2023</x:v>
      </x:c>
      <x:c r="J811" s="14" t="str">
        <x:v>Future Carry-Forward Cohort</x:v>
      </x:c>
      <x:c r="K811" s="14" t="n">
        <x:v>2021</x:v>
      </x:c>
      <x:c r="L811" s="14" t="str">
        <x:v>Available from 2021 analysis</x:v>
      </x:c>
      <x:c r="M811" s="15" t="n">
        <x:v>347</x:v>
      </x:c>
      <x:c r="N811" s="14" t="str">
        <x:v>David Sterne</x:v>
      </x:c>
      <x:c r="O811" s="14" t="str">
        <x:v>nm0827664</x:v>
      </x:c>
      <x:c r="P811" s="14" t="str">
        <x:v>Senior Clive Ellis</x:v>
      </x:c>
      <x:c r="Q811" s="15" t="n">
        <x:v>1</x:v>
      </x:c>
      <x:c r="R811" s="14" t="str">
        <x:v>2024</x:v>
      </x:c>
      <x:c r="S811" s="14" t="n">
        <x:v>2024</x:v>
      </x:c>
      <x:c r="T811" s="14" t="n">
        <x:v>2024</x:v>
      </x:c>
      <x:c r="U811" s="14" t="str">
        <x:v>Post-2021 casting excluded</x:v>
      </x:c>
      <x:c r="V811" s="14" t="str">
        <x:v>Earliest supplied year is 2024, later than the 2021 study year.</x:v>
      </x:c>
      <x:c r="W811" s="14"/>
      <x:c r="X811" s="14" t="str">
        <x:v>Carried forward to 2024</x:v>
      </x:c>
      <x:c r="Y811" s="14"/>
      <x:c r="Z811" s="14" t="str">
        <x:v>Grace.docx</x:v>
      </x:c>
      <x:c r="AA8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1" s="14" t="str">
        <x:v>No established-register match</x:v>
      </x:c>
      <x:c r="AC811" s="14"/>
      <x:c r="AD811" s="14"/>
      <x:c r="AE811" s="14"/>
      <x:c r="AF811" s="14"/>
      <x:c r="AG811" s="14" t="str">
        <x:v>No qualifying conclusion recorded. Absence from the register is not evidence that the performer is not disabled.</x:v>
      </x:c>
      <x:c r="AH811" s="14" t="str">
        <x:v>ITV / ITVX</x:v>
      </x:c>
      <x:c r="AI811" s="14" t="str">
        <x:v>UK original commission</x:v>
      </x:c>
      <x:c r="AJ811" s="14" t="str">
        <x:v>Exact normalised title</x:v>
      </x:c>
      <x:c r="AK811" s="14" t="str">
        <x:v>Medium</x:v>
      </x:c>
      <x:c r="AL811" s="14" t="str">
        <x:v>Verified for commissioner/platform scope; uk original commission.</x:v>
      </x:c>
      <x:c r="AM811" s="17" t="e">
        <x:f>HYPERLINK("https://en.wikipedia.org/wiki/Grace","Open source")</x:f>
        <x:v>HYPERLINK is not implemented. linkLocation=https://en.wikipedia.org/wiki/Grace, friendlyName=Open source</x:v>
      </x:c>
      <x:c r="AN811" s="14" t="str">
        <x:v>No qualifying BBC relationship</x:v>
      </x:c>
      <x:c r="AO811" s="14" t="str">
        <x:v>No</x:v>
      </x:c>
      <x:c r="AP811" s="14" t="str">
        <x:v>Out of scope</x:v>
      </x:c>
      <x:c r="AQ811" s="14" t="str">
        <x:v>No</x:v>
      </x:c>
      <x:c r="AR811" s="14" t="str">
        <x:v>Resolved from master register</x:v>
      </x:c>
      <x:c r="AS811" s="14" t="str">
        <x:v>No established-register match</x:v>
      </x:c>
      <x:c r="AT811" s="14"/>
      <x:c r="AU811" s="14"/>
      <x:c r="AV811" s="14" t="str">
        <x:v>No established apparent-disability match</x:v>
      </x:c>
      <x:c r="AW811" s="14"/>
      <x:c r="AX811" s="14" t="str">
        <x:v>No</x:v>
      </x:c>
      <x:c r="AY811" s="14" t="str">
        <x:v>Unmatched</x:v>
      </x:c>
      <x:c r="AZ811" s="14" t="str">
        <x:v>Final supplied register</x:v>
      </x:c>
      <x:c r="BA811" s="14" t="str">
        <x:v>Absence from the register is not evidence that the performer is not disabled.</x:v>
      </x:c>
      <x:c r="BB811" s="14" t="str">
        <x:v>No established-register match</x:v>
      </x:c>
      <x:c r="BC811" s="14"/>
      <x:c r="BD811" s="14"/>
      <x:c r="BE811" s="14"/>
      <x:c r="BF811" s="14" t="str">
        <x:v>No established apparent-disability match</x:v>
      </x:c>
      <x:c r="BG811" s="14"/>
      <x:c r="BH811" s="14" t="str">
        <x:v>No</x:v>
      </x:c>
      <x:c r="BI811" s="14"/>
      <x:c r="BJ811" s="14"/>
      <x:c r="BK811" s="14"/>
      <x:c r="BL811" s="14" t="str">
        <x:v>Unmatched</x:v>
      </x:c>
      <x:c r="BM811" s="14" t="str">
        <x:v>Final supplied register</x:v>
      </x:c>
      <x:c r="BN811" s="14" t="str">
        <x:v>Absence from the register is not evidence that the performer is not disabled.</x:v>
      </x:c>
      <x:c r="BO811" s="14" t="n">
        <x:v>20</x:v>
      </x:c>
      <x:c r="BP811" s="14" t="str">
        <x:v>Maximum eligible IMDb cast-credit total (20), shared by 4 performer(s); not independently verified as a 2021-only episode total.</x:v>
      </x:c>
      <x:c r="BQ811" s="14" t="str">
        <x:v>Medium</x:v>
      </x:c>
      <x:c r="BR811" s="15" t="n">
        <x:v>1</x:v>
      </x:c>
      <x:c r="BS811" s="16" t="n">
        <x:v>0.05</x:v>
      </x:c>
      <x:c r="BT811" s="14" t="str">
        <x:v>One episode</x:v>
      </x:c>
      <x:c r="BU811" s="14" t="str">
        <x:v>Medium</x:v>
      </x:c>
      <x:c r="BV811" s="14" t="str">
        <x:v>Derived from supplied IMDb episode count and the documented production-total proxy.</x:v>
      </x:c>
      <x:c r="BW811" s="14" t="str">
        <x:v>Unable to determine</x:v>
      </x:c>
      <x:c r="BX811" s="14" t="str">
        <x:v>Supplied cast data establishes the credit and episode presence but does not establish narrative prominence.</x:v>
      </x:c>
      <x:c r="BY811" s="14" t="str">
        <x:v>Supplied IMDb cast-list workbook</x:v>
      </x:c>
      <x:c r="BZ8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1" s="14" t="str">
        <x:v>Not classified</x:v>
      </x:c>
      <x:c r="CB811" s="14" t="str">
        <x:v>Unable to determine</x:v>
      </x:c>
      <x:c r="CC811" s="14" t="str">
        <x:v>Unique</x:v>
      </x:c>
      <x:c r="CD811" s="14" t="str">
        <x:v>None identified</x:v>
      </x:c>
    </x:row>
    <x:row r="812">
      <x:c r="A812" s="14" t="str">
        <x:v>tt11639300|nm16232316|young rex</x:v>
      </x:c>
      <x:c r="B812" s="14" t="str">
        <x:v>02</x:v>
      </x:c>
      <x:c r="C812" s="14" t="str">
        <x:v>2021_IMDb_Cast_Lists_Batch_02(1).xlsx</x:v>
      </x:c>
      <x:c r="D812" s="14" t="str">
        <x:v>Grace</x:v>
      </x:c>
      <x:c r="E812" s="14" t="n">
        <x:v>355</x:v>
      </x:c>
      <x:c r="F812" s="14" t="str">
        <x:v>Grace</x:v>
      </x:c>
      <x:c r="G812" s="14" t="str">
        <x:v>tt11639300</x:v>
      </x:c>
      <x:c r="H812" s="14" t="n">
        <x:v>2021</x:v>
      </x:c>
      <x:c r="I812" s="14" t="n">
        <x:v>2023</x:v>
      </x:c>
      <x:c r="J812" s="14" t="str">
        <x:v>Future Carry-Forward Cohort</x:v>
      </x:c>
      <x:c r="K812" s="14" t="n">
        <x:v>2021</x:v>
      </x:c>
      <x:c r="L812" s="14" t="str">
        <x:v>Available from 2021 analysis</x:v>
      </x:c>
      <x:c r="M812" s="15" t="n">
        <x:v>348</x:v>
      </x:c>
      <x:c r="N812" s="14" t="str">
        <x:v>Leo Patrick</x:v>
      </x:c>
      <x:c r="O812" s="14" t="str">
        <x:v>nm16232316</x:v>
      </x:c>
      <x:c r="P812" s="14" t="str">
        <x:v>Young Rex</x:v>
      </x:c>
      <x:c r="Q812" s="15" t="n">
        <x:v>1</x:v>
      </x:c>
      <x:c r="R812" s="14" t="str">
        <x:v>2024</x:v>
      </x:c>
      <x:c r="S812" s="14" t="n">
        <x:v>2024</x:v>
      </x:c>
      <x:c r="T812" s="14" t="n">
        <x:v>2024</x:v>
      </x:c>
      <x:c r="U812" s="14" t="str">
        <x:v>Post-2021 casting excluded</x:v>
      </x:c>
      <x:c r="V812" s="14" t="str">
        <x:v>Earliest supplied year is 2024, later than the 2021 study year.</x:v>
      </x:c>
      <x:c r="W812" s="14"/>
      <x:c r="X812" s="14" t="str">
        <x:v>Carried forward to 2024</x:v>
      </x:c>
      <x:c r="Y812" s="14"/>
      <x:c r="Z812" s="14" t="str">
        <x:v>Grace.docx</x:v>
      </x:c>
      <x:c r="AA8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2" s="14" t="str">
        <x:v>No established-register match</x:v>
      </x:c>
      <x:c r="AC812" s="14"/>
      <x:c r="AD812" s="14"/>
      <x:c r="AE812" s="14"/>
      <x:c r="AF812" s="14"/>
      <x:c r="AG812" s="14" t="str">
        <x:v>No qualifying conclusion recorded. Absence from the register is not evidence that the performer is not disabled.</x:v>
      </x:c>
      <x:c r="AH812" s="14" t="str">
        <x:v>ITV / ITVX</x:v>
      </x:c>
      <x:c r="AI812" s="14" t="str">
        <x:v>UK original commission</x:v>
      </x:c>
      <x:c r="AJ812" s="14" t="str">
        <x:v>Exact normalised title</x:v>
      </x:c>
      <x:c r="AK812" s="14" t="str">
        <x:v>Medium</x:v>
      </x:c>
      <x:c r="AL812" s="14" t="str">
        <x:v>Verified for commissioner/platform scope; uk original commission.</x:v>
      </x:c>
      <x:c r="AM812" s="17" t="e">
        <x:f>HYPERLINK("https://en.wikipedia.org/wiki/Grace","Open source")</x:f>
        <x:v>HYPERLINK is not implemented. linkLocation=https://en.wikipedia.org/wiki/Grace, friendlyName=Open source</x:v>
      </x:c>
      <x:c r="AN812" s="14" t="str">
        <x:v>No qualifying BBC relationship</x:v>
      </x:c>
      <x:c r="AO812" s="14" t="str">
        <x:v>No</x:v>
      </x:c>
      <x:c r="AP812" s="14" t="str">
        <x:v>Out of scope</x:v>
      </x:c>
      <x:c r="AQ812" s="14" t="str">
        <x:v>No</x:v>
      </x:c>
      <x:c r="AR812" s="14" t="str">
        <x:v>Resolved from master register</x:v>
      </x:c>
      <x:c r="AS812" s="14" t="str">
        <x:v>No established-register match</x:v>
      </x:c>
      <x:c r="AT812" s="14"/>
      <x:c r="AU812" s="14"/>
      <x:c r="AV812" s="14" t="str">
        <x:v>No established apparent-disability match</x:v>
      </x:c>
      <x:c r="AW812" s="14"/>
      <x:c r="AX812" s="14" t="str">
        <x:v>No</x:v>
      </x:c>
      <x:c r="AY812" s="14" t="str">
        <x:v>Unmatched</x:v>
      </x:c>
      <x:c r="AZ812" s="14" t="str">
        <x:v>Final supplied register</x:v>
      </x:c>
      <x:c r="BA812" s="14" t="str">
        <x:v>Absence from the register is not evidence that the performer is not disabled.</x:v>
      </x:c>
      <x:c r="BB812" s="14" t="str">
        <x:v>No established-register match</x:v>
      </x:c>
      <x:c r="BC812" s="14"/>
      <x:c r="BD812" s="14"/>
      <x:c r="BE812" s="14"/>
      <x:c r="BF812" s="14" t="str">
        <x:v>No established apparent-disability match</x:v>
      </x:c>
      <x:c r="BG812" s="14"/>
      <x:c r="BH812" s="14" t="str">
        <x:v>No</x:v>
      </x:c>
      <x:c r="BI812" s="14"/>
      <x:c r="BJ812" s="14"/>
      <x:c r="BK812" s="14"/>
      <x:c r="BL812" s="14" t="str">
        <x:v>Unmatched</x:v>
      </x:c>
      <x:c r="BM812" s="14" t="str">
        <x:v>Final supplied register</x:v>
      </x:c>
      <x:c r="BN812" s="14" t="str">
        <x:v>Absence from the register is not evidence that the performer is not disabled.</x:v>
      </x:c>
      <x:c r="BO812" s="14" t="n">
        <x:v>20</x:v>
      </x:c>
      <x:c r="BP812" s="14" t="str">
        <x:v>Maximum eligible IMDb cast-credit total (20), shared by 4 performer(s); not independently verified as a 2021-only episode total.</x:v>
      </x:c>
      <x:c r="BQ812" s="14" t="str">
        <x:v>Medium</x:v>
      </x:c>
      <x:c r="BR812" s="15" t="n">
        <x:v>1</x:v>
      </x:c>
      <x:c r="BS812" s="16" t="n">
        <x:v>0.05</x:v>
      </x:c>
      <x:c r="BT812" s="14" t="str">
        <x:v>One episode</x:v>
      </x:c>
      <x:c r="BU812" s="14" t="str">
        <x:v>Medium</x:v>
      </x:c>
      <x:c r="BV812" s="14" t="str">
        <x:v>Derived from supplied IMDb episode count and the documented production-total proxy.</x:v>
      </x:c>
      <x:c r="BW812" s="14" t="str">
        <x:v>Unable to determine</x:v>
      </x:c>
      <x:c r="BX812" s="14" t="str">
        <x:v>Supplied cast data establishes the credit and episode presence but does not establish narrative prominence.</x:v>
      </x:c>
      <x:c r="BY812" s="14" t="str">
        <x:v>Supplied IMDb cast-list workbook</x:v>
      </x:c>
      <x:c r="BZ8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2" s="14" t="str">
        <x:v>Not classified</x:v>
      </x:c>
      <x:c r="CB812" s="14" t="str">
        <x:v>Unable to determine</x:v>
      </x:c>
      <x:c r="CC812" s="14" t="str">
        <x:v>Unique</x:v>
      </x:c>
      <x:c r="CD812" s="14" t="str">
        <x:v>None identified</x:v>
      </x:c>
    </x:row>
    <x:row r="813">
      <x:c r="A813" s="14" t="str">
        <x:v>tt11639300|nm0095719|maggie horner</x:v>
      </x:c>
      <x:c r="B813" s="14" t="str">
        <x:v>02</x:v>
      </x:c>
      <x:c r="C813" s="14" t="str">
        <x:v>2021_IMDb_Cast_Lists_Batch_02(1).xlsx</x:v>
      </x:c>
      <x:c r="D813" s="14" t="str">
        <x:v>Grace</x:v>
      </x:c>
      <x:c r="E813" s="14" t="n">
        <x:v>359</x:v>
      </x:c>
      <x:c r="F813" s="14" t="str">
        <x:v>Grace</x:v>
      </x:c>
      <x:c r="G813" s="14" t="str">
        <x:v>tt11639300</x:v>
      </x:c>
      <x:c r="H813" s="14" t="n">
        <x:v>2021</x:v>
      </x:c>
      <x:c r="I813" s="14" t="n">
        <x:v>2023</x:v>
      </x:c>
      <x:c r="J813" s="14" t="str">
        <x:v>Future Carry-Forward Cohort</x:v>
      </x:c>
      <x:c r="K813" s="14" t="n">
        <x:v>2021</x:v>
      </x:c>
      <x:c r="L813" s="14" t="str">
        <x:v>Available from 2021 analysis</x:v>
      </x:c>
      <x:c r="M813" s="15" t="n">
        <x:v>352</x:v>
      </x:c>
      <x:c r="N813" s="14" t="str">
        <x:v>Janie Booth</x:v>
      </x:c>
      <x:c r="O813" s="14" t="str">
        <x:v>nm0095719</x:v>
      </x:c>
      <x:c r="P813" s="14" t="str">
        <x:v>Maggie Horner</x:v>
      </x:c>
      <x:c r="Q813" s="15" t="n">
        <x:v>1</x:v>
      </x:c>
      <x:c r="R813" s="14" t="str">
        <x:v>2024</x:v>
      </x:c>
      <x:c r="S813" s="14" t="n">
        <x:v>2024</x:v>
      </x:c>
      <x:c r="T813" s="14" t="n">
        <x:v>2024</x:v>
      </x:c>
      <x:c r="U813" s="14" t="str">
        <x:v>Post-2021 casting excluded</x:v>
      </x:c>
      <x:c r="V813" s="14" t="str">
        <x:v>Earliest supplied year is 2024, later than the 2021 study year.</x:v>
      </x:c>
      <x:c r="W813" s="14"/>
      <x:c r="X813" s="14" t="str">
        <x:v>Carried forward to 2024</x:v>
      </x:c>
      <x:c r="Y813" s="14"/>
      <x:c r="Z813" s="14" t="str">
        <x:v>Grace.docx</x:v>
      </x:c>
      <x:c r="AA8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3" s="14" t="str">
        <x:v>No established-register match</x:v>
      </x:c>
      <x:c r="AC813" s="14"/>
      <x:c r="AD813" s="14"/>
      <x:c r="AE813" s="14"/>
      <x:c r="AF813" s="14"/>
      <x:c r="AG813" s="14" t="str">
        <x:v>No qualifying conclusion recorded. Absence from the register is not evidence that the performer is not disabled.</x:v>
      </x:c>
      <x:c r="AH813" s="14" t="str">
        <x:v>ITV / ITVX</x:v>
      </x:c>
      <x:c r="AI813" s="14" t="str">
        <x:v>UK original commission</x:v>
      </x:c>
      <x:c r="AJ813" s="14" t="str">
        <x:v>Exact normalised title</x:v>
      </x:c>
      <x:c r="AK813" s="14" t="str">
        <x:v>Medium</x:v>
      </x:c>
      <x:c r="AL813" s="14" t="str">
        <x:v>Verified for commissioner/platform scope; uk original commission.</x:v>
      </x:c>
      <x:c r="AM813" s="17" t="e">
        <x:f>HYPERLINK("https://en.wikipedia.org/wiki/Grace","Open source")</x:f>
        <x:v>HYPERLINK is not implemented. linkLocation=https://en.wikipedia.org/wiki/Grace, friendlyName=Open source</x:v>
      </x:c>
      <x:c r="AN813" s="14" t="str">
        <x:v>No qualifying BBC relationship</x:v>
      </x:c>
      <x:c r="AO813" s="14" t="str">
        <x:v>No</x:v>
      </x:c>
      <x:c r="AP813" s="14" t="str">
        <x:v>Out of scope</x:v>
      </x:c>
      <x:c r="AQ813" s="14" t="str">
        <x:v>No</x:v>
      </x:c>
      <x:c r="AR813" s="14" t="str">
        <x:v>Resolved from master register</x:v>
      </x:c>
      <x:c r="AS813" s="14" t="str">
        <x:v>No established-register match</x:v>
      </x:c>
      <x:c r="AT813" s="14"/>
      <x:c r="AU813" s="14"/>
      <x:c r="AV813" s="14" t="str">
        <x:v>No established apparent-disability match</x:v>
      </x:c>
      <x:c r="AW813" s="14"/>
      <x:c r="AX813" s="14" t="str">
        <x:v>No</x:v>
      </x:c>
      <x:c r="AY813" s="14" t="str">
        <x:v>Unmatched</x:v>
      </x:c>
      <x:c r="AZ813" s="14" t="str">
        <x:v>Final supplied register</x:v>
      </x:c>
      <x:c r="BA813" s="14" t="str">
        <x:v>Absence from the register is not evidence that the performer is not disabled.</x:v>
      </x:c>
      <x:c r="BB813" s="14" t="str">
        <x:v>No established-register match</x:v>
      </x:c>
      <x:c r="BC813" s="14"/>
      <x:c r="BD813" s="14"/>
      <x:c r="BE813" s="14"/>
      <x:c r="BF813" s="14" t="str">
        <x:v>No established apparent-disability match</x:v>
      </x:c>
      <x:c r="BG813" s="14"/>
      <x:c r="BH813" s="14" t="str">
        <x:v>No</x:v>
      </x:c>
      <x:c r="BI813" s="14"/>
      <x:c r="BJ813" s="14"/>
      <x:c r="BK813" s="14"/>
      <x:c r="BL813" s="14" t="str">
        <x:v>Unmatched</x:v>
      </x:c>
      <x:c r="BM813" s="14" t="str">
        <x:v>Final supplied register</x:v>
      </x:c>
      <x:c r="BN813" s="14" t="str">
        <x:v>Absence from the register is not evidence that the performer is not disabled.</x:v>
      </x:c>
      <x:c r="BO813" s="14" t="n">
        <x:v>20</x:v>
      </x:c>
      <x:c r="BP813" s="14" t="str">
        <x:v>Maximum eligible IMDb cast-credit total (20), shared by 4 performer(s); not independently verified as a 2021-only episode total.</x:v>
      </x:c>
      <x:c r="BQ813" s="14" t="str">
        <x:v>Medium</x:v>
      </x:c>
      <x:c r="BR813" s="15" t="n">
        <x:v>1</x:v>
      </x:c>
      <x:c r="BS813" s="16" t="n">
        <x:v>0.05</x:v>
      </x:c>
      <x:c r="BT813" s="14" t="str">
        <x:v>One episode</x:v>
      </x:c>
      <x:c r="BU813" s="14" t="str">
        <x:v>Medium</x:v>
      </x:c>
      <x:c r="BV813" s="14" t="str">
        <x:v>Derived from supplied IMDb episode count and the documented production-total proxy.</x:v>
      </x:c>
      <x:c r="BW813" s="14" t="str">
        <x:v>Unable to determine</x:v>
      </x:c>
      <x:c r="BX813" s="14" t="str">
        <x:v>Supplied cast data establishes the credit and episode presence but does not establish narrative prominence.</x:v>
      </x:c>
      <x:c r="BY813" s="14" t="str">
        <x:v>Supplied IMDb cast-list workbook</x:v>
      </x:c>
      <x:c r="BZ8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3" s="14" t="str">
        <x:v>Not classified</x:v>
      </x:c>
      <x:c r="CB813" s="14" t="str">
        <x:v>Unable to determine</x:v>
      </x:c>
      <x:c r="CC813" s="14" t="str">
        <x:v>Unique</x:v>
      </x:c>
      <x:c r="CD813" s="14" t="str">
        <x:v>None identified</x:v>
      </x:c>
    </x:row>
    <x:row r="814">
      <x:c r="A814" s="14" t="str">
        <x:v>tt11981644|nm0765285|dci maiya goswami</x:v>
      </x:c>
      <x:c r="B814" s="14" t="str">
        <x:v>02</x:v>
      </x:c>
      <x:c r="C814" s="14" t="str">
        <x:v>2021_IMDb_Cast_Lists_Batch_02(1).xlsx</x:v>
      </x:c>
      <x:c r="D814" s="14" t="str">
        <x:v>Professor T</x:v>
      </x:c>
      <x:c r="E814" s="14" t="n">
        <x:v>17</x:v>
      </x:c>
      <x:c r="F814" s="14" t="str">
        <x:v>Professor T</x:v>
      </x:c>
      <x:c r="G814" s="14" t="str">
        <x:v>tt11981644</x:v>
      </x:c>
      <x:c r="H814" s="14" t="n">
        <x:v>2021</x:v>
      </x:c>
      <x:c r="I814" s="14" t="n">
        <x:v>2023</x:v>
      </x:c>
      <x:c r="J814" s="14" t="str">
        <x:v>Future Carry-Forward Cohort</x:v>
      </x:c>
      <x:c r="K814" s="14" t="n">
        <x:v>2021</x:v>
      </x:c>
      <x:c r="L814" s="14" t="str">
        <x:v>Available from 2021 analysis</x:v>
      </x:c>
      <x:c r="M814" s="15" t="n">
        <x:v>10</x:v>
      </x:c>
      <x:c r="N814" s="14" t="str">
        <x:v>Sunetra Sarker</x:v>
      </x:c>
      <x:c r="O814" s="14" t="str">
        <x:v>nm0765285</x:v>
      </x:c>
      <x:c r="P814" s="14" t="str">
        <x:v>DCI Maiya Goswami</x:v>
      </x:c>
      <x:c r="Q814" s="15" t="n">
        <x:v>15</x:v>
      </x:c>
      <x:c r="R814" s="14" t="str">
        <x:v>2024–2026</x:v>
      </x:c>
      <x:c r="S814" s="14" t="n">
        <x:v>2024</x:v>
      </x:c>
      <x:c r="T814" s="14" t="n">
        <x:v>2024</x:v>
      </x:c>
      <x:c r="U814" s="14" t="str">
        <x:v>Post-2021 casting excluded</x:v>
      </x:c>
      <x:c r="V814" s="14" t="str">
        <x:v>Earliest supplied year is 2024, later than the 2021 study year.</x:v>
      </x:c>
      <x:c r="W814" s="14"/>
      <x:c r="X814" s="14" t="str">
        <x:v>Carried forward to 2024</x:v>
      </x:c>
      <x:c r="Y814" s="14"/>
      <x:c r="Z814" s="14" t="str">
        <x:v>Professor T.docx</x:v>
      </x:c>
      <x:c r="AA81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4" s="14" t="str">
        <x:v>No established-register match</x:v>
      </x:c>
      <x:c r="AC814" s="14"/>
      <x:c r="AD814" s="14"/>
      <x:c r="AE814" s="14"/>
      <x:c r="AF814" s="14"/>
      <x:c r="AG814" s="14" t="str">
        <x:v>No qualifying conclusion recorded. Absence from the register is not evidence that the performer is not disabled.</x:v>
      </x:c>
      <x:c r="AH814" s="14" t="str">
        <x:v>ITV / ITVX</x:v>
      </x:c>
      <x:c r="AI814" s="14" t="str">
        <x:v>UK original commission</x:v>
      </x:c>
      <x:c r="AJ814" s="14" t="str">
        <x:v>Exact normalised title</x:v>
      </x:c>
      <x:c r="AK814" s="14" t="str">
        <x:v>Medium</x:v>
      </x:c>
      <x:c r="AL814" s="14" t="str">
        <x:v>Verified for commissioner/platform scope; uk original commission.</x:v>
      </x:c>
      <x:c r="AM814" s="17" t="e">
        <x:f>HYPERLINK("https://en.wikipedia.org/wiki/Professor_T.","Open source")</x:f>
        <x:v>HYPERLINK is not implemented. linkLocation=https://en.wikipedia.org/wiki/Professor_T., friendlyName=Open source</x:v>
      </x:c>
      <x:c r="AN814" s="14" t="str">
        <x:v>No qualifying BBC relationship</x:v>
      </x:c>
      <x:c r="AO814" s="14" t="str">
        <x:v>No</x:v>
      </x:c>
      <x:c r="AP814" s="14" t="str">
        <x:v>Out of scope</x:v>
      </x:c>
      <x:c r="AQ814" s="14" t="str">
        <x:v>No</x:v>
      </x:c>
      <x:c r="AR814" s="14" t="str">
        <x:v>Resolved from master register</x:v>
      </x:c>
      <x:c r="AS814" s="14" t="str">
        <x:v>No established-register match</x:v>
      </x:c>
      <x:c r="AT814" s="14"/>
      <x:c r="AU814" s="14"/>
      <x:c r="AV814" s="14" t="str">
        <x:v>No established apparent-disability match</x:v>
      </x:c>
      <x:c r="AW814" s="14"/>
      <x:c r="AX814" s="14" t="str">
        <x:v>No</x:v>
      </x:c>
      <x:c r="AY814" s="14" t="str">
        <x:v>Unmatched</x:v>
      </x:c>
      <x:c r="AZ814" s="14" t="str">
        <x:v>Final supplied register</x:v>
      </x:c>
      <x:c r="BA814" s="14" t="str">
        <x:v>Absence from the register is not evidence that the performer is not disabled.</x:v>
      </x:c>
      <x:c r="BB814" s="14" t="str">
        <x:v>No established-register match</x:v>
      </x:c>
      <x:c r="BC814" s="14"/>
      <x:c r="BD814" s="14"/>
      <x:c r="BE814" s="14"/>
      <x:c r="BF814" s="14" t="str">
        <x:v>No established apparent-disability match</x:v>
      </x:c>
      <x:c r="BG814" s="14"/>
      <x:c r="BH814" s="14" t="str">
        <x:v>No</x:v>
      </x:c>
      <x:c r="BI814" s="14"/>
      <x:c r="BJ814" s="14"/>
      <x:c r="BK814" s="14"/>
      <x:c r="BL814" s="14" t="str">
        <x:v>Unmatched</x:v>
      </x:c>
      <x:c r="BM814" s="14" t="str">
        <x:v>Final supplied register</x:v>
      </x:c>
      <x:c r="BN814" s="14" t="str">
        <x:v>Absence from the register is not evidence that the performer is not disabled.</x:v>
      </x:c>
      <x:c r="BO814" s="14" t="n">
        <x:v>30</x:v>
      </x:c>
      <x:c r="BP814" s="14" t="str">
        <x:v>Maximum eligible IMDb cast-credit total (30), shared by 2 performer(s); not independently verified as a 2021-only episode total.</x:v>
      </x:c>
      <x:c r="BQ814" s="14" t="str">
        <x:v>Medium</x:v>
      </x:c>
      <x:c r="BR814" s="15" t="n">
        <x:v>15</x:v>
      </x:c>
      <x:c r="BS814" s="16" t="n">
        <x:v>0.5</x:v>
      </x:c>
      <x:c r="BT814" s="14" t="str">
        <x:v>Minority of episodes</x:v>
      </x:c>
      <x:c r="BU814" s="14" t="str">
        <x:v>Medium</x:v>
      </x:c>
      <x:c r="BV814" s="14" t="str">
        <x:v>Derived from supplied IMDb episode count and the documented production-total proxy.</x:v>
      </x:c>
      <x:c r="BW814" s="14" t="str">
        <x:v>Unable to determine</x:v>
      </x:c>
      <x:c r="BX814" s="14" t="str">
        <x:v>Supplied cast data establishes the credit and episode presence but does not establish narrative prominence.</x:v>
      </x:c>
      <x:c r="BY814" s="14" t="str">
        <x:v>Supplied IMDb cast-list workbook</x:v>
      </x:c>
      <x:c r="BZ81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4" s="14" t="str">
        <x:v>Not classified</x:v>
      </x:c>
      <x:c r="CB814" s="14" t="str">
        <x:v>Unable to determine</x:v>
      </x:c>
      <x:c r="CC814" s="14" t="str">
        <x:v>Unique</x:v>
      </x:c>
      <x:c r="CD814" s="14" t="str">
        <x:v>None identified</x:v>
      </x:c>
    </x:row>
    <x:row r="815">
      <x:c r="A815" s="14" t="str">
        <x:v>tt11981644|nm0525971|bob winters</x:v>
      </x:c>
      <x:c r="B815" s="14" t="str">
        <x:v>02</x:v>
      </x:c>
      <x:c r="C815" s="14" t="str">
        <x:v>2021_IMDb_Cast_Lists_Batch_02(1).xlsx</x:v>
      </x:c>
      <x:c r="D815" s="14" t="str">
        <x:v>Professor T</x:v>
      </x:c>
      <x:c r="E815" s="14" t="n">
        <x:v>22</x:v>
      </x:c>
      <x:c r="F815" s="14" t="str">
        <x:v>Professor T</x:v>
      </x:c>
      <x:c r="G815" s="14" t="str">
        <x:v>tt11981644</x:v>
      </x:c>
      <x:c r="H815" s="14" t="n">
        <x:v>2021</x:v>
      </x:c>
      <x:c r="I815" s="14" t="n">
        <x:v>2023</x:v>
      </x:c>
      <x:c r="J815" s="14" t="str">
        <x:v>Future Carry-Forward Cohort</x:v>
      </x:c>
      <x:c r="K815" s="14" t="n">
        <x:v>2021</x:v>
      </x:c>
      <x:c r="L815" s="14" t="str">
        <x:v>Available from 2021 analysis</x:v>
      </x:c>
      <x:c r="M815" s="15" t="n">
        <x:v>15</x:v>
      </x:c>
      <x:c r="N815" s="14" t="str">
        <x:v>Michael Lumsden</x:v>
      </x:c>
      <x:c r="O815" s="14" t="str">
        <x:v>nm0525971</x:v>
      </x:c>
      <x:c r="P815" s="14" t="str">
        <x:v>Bob Winters</x:v>
      </x:c>
      <x:c r="Q815" s="15" t="n">
        <x:v>7</x:v>
      </x:c>
      <x:c r="R815" s="14" t="str">
        <x:v>2024–2026</x:v>
      </x:c>
      <x:c r="S815" s="14" t="n">
        <x:v>2024</x:v>
      </x:c>
      <x:c r="T815" s="14" t="n">
        <x:v>2024</x:v>
      </x:c>
      <x:c r="U815" s="14" t="str">
        <x:v>Post-2021 casting excluded</x:v>
      </x:c>
      <x:c r="V815" s="14" t="str">
        <x:v>Earliest supplied year is 2024, later than the 2021 study year.</x:v>
      </x:c>
      <x:c r="W815" s="14"/>
      <x:c r="X815" s="14" t="str">
        <x:v>Carried forward to 2024</x:v>
      </x:c>
      <x:c r="Y815" s="14"/>
      <x:c r="Z815" s="14" t="str">
        <x:v>Professor T.docx</x:v>
      </x:c>
      <x:c r="AA81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5" s="14" t="str">
        <x:v>No established-register match</x:v>
      </x:c>
      <x:c r="AC815" s="14"/>
      <x:c r="AD815" s="14"/>
      <x:c r="AE815" s="14"/>
      <x:c r="AF815" s="14"/>
      <x:c r="AG815" s="14" t="str">
        <x:v>No qualifying conclusion recorded. Absence from the register is not evidence that the performer is not disabled.</x:v>
      </x:c>
      <x:c r="AH815" s="14" t="str">
        <x:v>ITV / ITVX</x:v>
      </x:c>
      <x:c r="AI815" s="14" t="str">
        <x:v>UK original commission</x:v>
      </x:c>
      <x:c r="AJ815" s="14" t="str">
        <x:v>Exact normalised title</x:v>
      </x:c>
      <x:c r="AK815" s="14" t="str">
        <x:v>Medium</x:v>
      </x:c>
      <x:c r="AL815" s="14" t="str">
        <x:v>Verified for commissioner/platform scope; uk original commission.</x:v>
      </x:c>
      <x:c r="AM815" s="17" t="e">
        <x:f>HYPERLINK("https://en.wikipedia.org/wiki/Professor_T.","Open source")</x:f>
        <x:v>HYPERLINK is not implemented. linkLocation=https://en.wikipedia.org/wiki/Professor_T., friendlyName=Open source</x:v>
      </x:c>
      <x:c r="AN815" s="14" t="str">
        <x:v>No qualifying BBC relationship</x:v>
      </x:c>
      <x:c r="AO815" s="14" t="str">
        <x:v>No</x:v>
      </x:c>
      <x:c r="AP815" s="14" t="str">
        <x:v>Out of scope</x:v>
      </x:c>
      <x:c r="AQ815" s="14" t="str">
        <x:v>No</x:v>
      </x:c>
      <x:c r="AR815" s="14" t="str">
        <x:v>Resolved from master register</x:v>
      </x:c>
      <x:c r="AS815" s="14" t="str">
        <x:v>No established-register match</x:v>
      </x:c>
      <x:c r="AT815" s="14"/>
      <x:c r="AU815" s="14"/>
      <x:c r="AV815" s="14" t="str">
        <x:v>No established apparent-disability match</x:v>
      </x:c>
      <x:c r="AW815" s="14"/>
      <x:c r="AX815" s="14" t="str">
        <x:v>No</x:v>
      </x:c>
      <x:c r="AY815" s="14" t="str">
        <x:v>Unmatched</x:v>
      </x:c>
      <x:c r="AZ815" s="14" t="str">
        <x:v>Final supplied register</x:v>
      </x:c>
      <x:c r="BA815" s="14" t="str">
        <x:v>Absence from the register is not evidence that the performer is not disabled.</x:v>
      </x:c>
      <x:c r="BB815" s="14" t="str">
        <x:v>No established-register match</x:v>
      </x:c>
      <x:c r="BC815" s="14"/>
      <x:c r="BD815" s="14"/>
      <x:c r="BE815" s="14"/>
      <x:c r="BF815" s="14" t="str">
        <x:v>No established apparent-disability match</x:v>
      </x:c>
      <x:c r="BG815" s="14"/>
      <x:c r="BH815" s="14" t="str">
        <x:v>No</x:v>
      </x:c>
      <x:c r="BI815" s="14"/>
      <x:c r="BJ815" s="14"/>
      <x:c r="BK815" s="14"/>
      <x:c r="BL815" s="14" t="str">
        <x:v>Unmatched</x:v>
      </x:c>
      <x:c r="BM815" s="14" t="str">
        <x:v>Final supplied register</x:v>
      </x:c>
      <x:c r="BN815" s="14" t="str">
        <x:v>Absence from the register is not evidence that the performer is not disabled.</x:v>
      </x:c>
      <x:c r="BO815" s="14" t="n">
        <x:v>30</x:v>
      </x:c>
      <x:c r="BP815" s="14" t="str">
        <x:v>Maximum eligible IMDb cast-credit total (30), shared by 2 performer(s); not independently verified as a 2021-only episode total.</x:v>
      </x:c>
      <x:c r="BQ815" s="14" t="str">
        <x:v>Medium</x:v>
      </x:c>
      <x:c r="BR815" s="15" t="n">
        <x:v>7</x:v>
      </x:c>
      <x:c r="BS815" s="16" t="n">
        <x:v>0.2333333333333333</x:v>
      </x:c>
      <x:c r="BT815" s="14" t="str">
        <x:v>Minority of episodes</x:v>
      </x:c>
      <x:c r="BU815" s="14" t="str">
        <x:v>Medium</x:v>
      </x:c>
      <x:c r="BV815" s="14" t="str">
        <x:v>Derived from supplied IMDb episode count and the documented production-total proxy.</x:v>
      </x:c>
      <x:c r="BW815" s="14" t="str">
        <x:v>Unable to determine</x:v>
      </x:c>
      <x:c r="BX815" s="14" t="str">
        <x:v>Supplied cast data establishes the credit and episode presence but does not establish narrative prominence.</x:v>
      </x:c>
      <x:c r="BY815" s="14" t="str">
        <x:v>Supplied IMDb cast-list workbook</x:v>
      </x:c>
      <x:c r="BZ81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5" s="14" t="str">
        <x:v>Not classified</x:v>
      </x:c>
      <x:c r="CB815" s="14" t="str">
        <x:v>Unable to determine</x:v>
      </x:c>
      <x:c r="CC815" s="14" t="str">
        <x:v>Unique</x:v>
      </x:c>
      <x:c r="CD815" s="14" t="str">
        <x:v>None identified</x:v>
      </x:c>
    </x:row>
    <x:row r="816">
      <x:c r="A816" s="14" t="str">
        <x:v>tt11981644|nm15274600|soco / crime officer</x:v>
      </x:c>
      <x:c r="B816" s="14" t="str">
        <x:v>02</x:v>
      </x:c>
      <x:c r="C816" s="14" t="str">
        <x:v>2021_IMDb_Cast_Lists_Batch_02(1).xlsx</x:v>
      </x:c>
      <x:c r="D816" s="14" t="str">
        <x:v>Professor T</x:v>
      </x:c>
      <x:c r="E816" s="14" t="n">
        <x:v>23</x:v>
      </x:c>
      <x:c r="F816" s="14" t="str">
        <x:v>Professor T</x:v>
      </x:c>
      <x:c r="G816" s="14" t="str">
        <x:v>tt11981644</x:v>
      </x:c>
      <x:c r="H816" s="14" t="n">
        <x:v>2021</x:v>
      </x:c>
      <x:c r="I816" s="14" t="n">
        <x:v>2023</x:v>
      </x:c>
      <x:c r="J816" s="14" t="str">
        <x:v>Future Carry-Forward Cohort</x:v>
      </x:c>
      <x:c r="K816" s="14" t="n">
        <x:v>2021</x:v>
      </x:c>
      <x:c r="L816" s="14" t="str">
        <x:v>Available from 2021 analysis</x:v>
      </x:c>
      <x:c r="M816" s="15" t="n">
        <x:v>16</x:v>
      </x:c>
      <x:c r="N816" s="14" t="str">
        <x:v>Sharon Verdegem</x:v>
      </x:c>
      <x:c r="O816" s="14" t="str">
        <x:v>nm15274600</x:v>
      </x:c>
      <x:c r="P816" s="14" t="str">
        <x:v>Soco / Crime Officer</x:v>
      </x:c>
      <x:c r="Q816" s="15" t="n">
        <x:v>6</x:v>
      </x:c>
      <x:c r="R816" s="14" t="str">
        <x:v>2024–2026</x:v>
      </x:c>
      <x:c r="S816" s="14" t="n">
        <x:v>2024</x:v>
      </x:c>
      <x:c r="T816" s="14" t="n">
        <x:v>2024</x:v>
      </x:c>
      <x:c r="U816" s="14" t="str">
        <x:v>Post-2021 casting excluded</x:v>
      </x:c>
      <x:c r="V816" s="14" t="str">
        <x:v>Earliest supplied year is 2024, later than the 2021 study year.</x:v>
      </x:c>
      <x:c r="W816" s="14"/>
      <x:c r="X816" s="14" t="str">
        <x:v>Carried forward to 2024</x:v>
      </x:c>
      <x:c r="Y816" s="14"/>
      <x:c r="Z816" s="14" t="str">
        <x:v>Professor T.docx</x:v>
      </x:c>
      <x:c r="AA81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6" s="14" t="str">
        <x:v>No established-register match</x:v>
      </x:c>
      <x:c r="AC816" s="14"/>
      <x:c r="AD816" s="14"/>
      <x:c r="AE816" s="14"/>
      <x:c r="AF816" s="14"/>
      <x:c r="AG816" s="14" t="str">
        <x:v>No qualifying conclusion recorded. Absence from the register is not evidence that the performer is not disabled.</x:v>
      </x:c>
      <x:c r="AH816" s="14" t="str">
        <x:v>ITV / ITVX</x:v>
      </x:c>
      <x:c r="AI816" s="14" t="str">
        <x:v>UK original commission</x:v>
      </x:c>
      <x:c r="AJ816" s="14" t="str">
        <x:v>Exact normalised title</x:v>
      </x:c>
      <x:c r="AK816" s="14" t="str">
        <x:v>Medium</x:v>
      </x:c>
      <x:c r="AL816" s="14" t="str">
        <x:v>Verified for commissioner/platform scope; uk original commission.</x:v>
      </x:c>
      <x:c r="AM816" s="17" t="e">
        <x:f>HYPERLINK("https://en.wikipedia.org/wiki/Professor_T.","Open source")</x:f>
        <x:v>HYPERLINK is not implemented. linkLocation=https://en.wikipedia.org/wiki/Professor_T., friendlyName=Open source</x:v>
      </x:c>
      <x:c r="AN816" s="14" t="str">
        <x:v>No qualifying BBC relationship</x:v>
      </x:c>
      <x:c r="AO816" s="14" t="str">
        <x:v>No</x:v>
      </x:c>
      <x:c r="AP816" s="14" t="str">
        <x:v>Out of scope</x:v>
      </x:c>
      <x:c r="AQ816" s="14" t="str">
        <x:v>No</x:v>
      </x:c>
      <x:c r="AR816" s="14" t="str">
        <x:v>Resolved from master register</x:v>
      </x:c>
      <x:c r="AS816" s="14" t="str">
        <x:v>No established-register match</x:v>
      </x:c>
      <x:c r="AT816" s="14"/>
      <x:c r="AU816" s="14"/>
      <x:c r="AV816" s="14" t="str">
        <x:v>No established apparent-disability match</x:v>
      </x:c>
      <x:c r="AW816" s="14"/>
      <x:c r="AX816" s="14" t="str">
        <x:v>No</x:v>
      </x:c>
      <x:c r="AY816" s="14" t="str">
        <x:v>Unmatched</x:v>
      </x:c>
      <x:c r="AZ816" s="14" t="str">
        <x:v>Final supplied register</x:v>
      </x:c>
      <x:c r="BA816" s="14" t="str">
        <x:v>Absence from the register is not evidence that the performer is not disabled.</x:v>
      </x:c>
      <x:c r="BB816" s="14" t="str">
        <x:v>No established-register match</x:v>
      </x:c>
      <x:c r="BC816" s="14"/>
      <x:c r="BD816" s="14"/>
      <x:c r="BE816" s="14"/>
      <x:c r="BF816" s="14" t="str">
        <x:v>No established apparent-disability match</x:v>
      </x:c>
      <x:c r="BG816" s="14"/>
      <x:c r="BH816" s="14" t="str">
        <x:v>No</x:v>
      </x:c>
      <x:c r="BI816" s="14"/>
      <x:c r="BJ816" s="14"/>
      <x:c r="BK816" s="14"/>
      <x:c r="BL816" s="14" t="str">
        <x:v>Unmatched</x:v>
      </x:c>
      <x:c r="BM816" s="14" t="str">
        <x:v>Final supplied register</x:v>
      </x:c>
      <x:c r="BN816" s="14" t="str">
        <x:v>Absence from the register is not evidence that the performer is not disabled.</x:v>
      </x:c>
      <x:c r="BO816" s="14" t="n">
        <x:v>30</x:v>
      </x:c>
      <x:c r="BP816" s="14" t="str">
        <x:v>Maximum eligible IMDb cast-credit total (30), shared by 2 performer(s); not independently verified as a 2021-only episode total.</x:v>
      </x:c>
      <x:c r="BQ816" s="14" t="str">
        <x:v>Medium</x:v>
      </x:c>
      <x:c r="BR816" s="15" t="n">
        <x:v>6</x:v>
      </x:c>
      <x:c r="BS816" s="16" t="n">
        <x:v>0.2</x:v>
      </x:c>
      <x:c r="BT816" s="14" t="str">
        <x:v>Minority of episodes</x:v>
      </x:c>
      <x:c r="BU816" s="14" t="str">
        <x:v>Medium</x:v>
      </x:c>
      <x:c r="BV816" s="14" t="str">
        <x:v>Derived from supplied IMDb episode count and the documented production-total proxy.</x:v>
      </x:c>
      <x:c r="BW816" s="14" t="str">
        <x:v>Unable to determine</x:v>
      </x:c>
      <x:c r="BX816" s="14" t="str">
        <x:v>Supplied cast data establishes the credit and episode presence but does not establish narrative prominence.</x:v>
      </x:c>
      <x:c r="BY816" s="14" t="str">
        <x:v>Supplied IMDb cast-list workbook</x:v>
      </x:c>
      <x:c r="BZ81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6" s="14" t="str">
        <x:v>Not classified</x:v>
      </x:c>
      <x:c r="CB816" s="14" t="str">
        <x:v>Unable to determine</x:v>
      </x:c>
      <x:c r="CC816" s="14" t="str">
        <x:v>Unique</x:v>
      </x:c>
      <x:c r="CD816" s="14" t="str">
        <x:v>None identified</x:v>
      </x:c>
    </x:row>
    <x:row r="817">
      <x:c r="A817" s="14" t="str">
        <x:v>tt11981644|nm0743605|prison officer jon steddon</x:v>
      </x:c>
      <x:c r="B817" s="14" t="str">
        <x:v>02</x:v>
      </x:c>
      <x:c r="C817" s="14" t="str">
        <x:v>2021_IMDb_Cast_Lists_Batch_02(1).xlsx</x:v>
      </x:c>
      <x:c r="D817" s="14" t="str">
        <x:v>Professor T</x:v>
      </x:c>
      <x:c r="E817" s="14" t="n">
        <x:v>34</x:v>
      </x:c>
      <x:c r="F817" s="14" t="str">
        <x:v>Professor T</x:v>
      </x:c>
      <x:c r="G817" s="14" t="str">
        <x:v>tt11981644</x:v>
      </x:c>
      <x:c r="H817" s="14" t="n">
        <x:v>2021</x:v>
      </x:c>
      <x:c r="I817" s="14" t="n">
        <x:v>2023</x:v>
      </x:c>
      <x:c r="J817" s="14" t="str">
        <x:v>Future Carry-Forward Cohort</x:v>
      </x:c>
      <x:c r="K817" s="14" t="n">
        <x:v>2021</x:v>
      </x:c>
      <x:c r="L817" s="14" t="str">
        <x:v>Available from 2021 analysis</x:v>
      </x:c>
      <x:c r="M817" s="15" t="n">
        <x:v>27</x:v>
      </x:c>
      <x:c r="N817" s="14" t="str">
        <x:v>Lee Ross</x:v>
      </x:c>
      <x:c r="O817" s="14" t="str">
        <x:v>nm0743605</x:v>
      </x:c>
      <x:c r="P817" s="14" t="str">
        <x:v>Prison Officer Jon Steddon</x:v>
      </x:c>
      <x:c r="Q817" s="15" t="n">
        <x:v>3</x:v>
      </x:c>
      <x:c r="R817" s="14" t="str">
        <x:v>2024</x:v>
      </x:c>
      <x:c r="S817" s="14" t="n">
        <x:v>2024</x:v>
      </x:c>
      <x:c r="T817" s="14" t="n">
        <x:v>2024</x:v>
      </x:c>
      <x:c r="U817" s="14" t="str">
        <x:v>Post-2021 casting excluded</x:v>
      </x:c>
      <x:c r="V817" s="14" t="str">
        <x:v>Earliest supplied year is 2024, later than the 2021 study year.</x:v>
      </x:c>
      <x:c r="W817" s="14"/>
      <x:c r="X817" s="14" t="str">
        <x:v>Carried forward to 2024</x:v>
      </x:c>
      <x:c r="Y817" s="14"/>
      <x:c r="Z817" s="14" t="str">
        <x:v>Professor T.docx</x:v>
      </x:c>
      <x:c r="AA81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7" s="14" t="str">
        <x:v>No established-register match</x:v>
      </x:c>
      <x:c r="AC817" s="14"/>
      <x:c r="AD817" s="14"/>
      <x:c r="AE817" s="14"/>
      <x:c r="AF817" s="14"/>
      <x:c r="AG817" s="14" t="str">
        <x:v>No qualifying conclusion recorded. Absence from the register is not evidence that the performer is not disabled.</x:v>
      </x:c>
      <x:c r="AH817" s="14" t="str">
        <x:v>ITV / ITVX</x:v>
      </x:c>
      <x:c r="AI817" s="14" t="str">
        <x:v>UK original commission</x:v>
      </x:c>
      <x:c r="AJ817" s="14" t="str">
        <x:v>Exact normalised title</x:v>
      </x:c>
      <x:c r="AK817" s="14" t="str">
        <x:v>Medium</x:v>
      </x:c>
      <x:c r="AL817" s="14" t="str">
        <x:v>Verified for commissioner/platform scope; uk original commission.</x:v>
      </x:c>
      <x:c r="AM817" s="17" t="e">
        <x:f>HYPERLINK("https://en.wikipedia.org/wiki/Professor_T.","Open source")</x:f>
        <x:v>HYPERLINK is not implemented. linkLocation=https://en.wikipedia.org/wiki/Professor_T., friendlyName=Open source</x:v>
      </x:c>
      <x:c r="AN817" s="14" t="str">
        <x:v>No qualifying BBC relationship</x:v>
      </x:c>
      <x:c r="AO817" s="14" t="str">
        <x:v>No</x:v>
      </x:c>
      <x:c r="AP817" s="14" t="str">
        <x:v>Out of scope</x:v>
      </x:c>
      <x:c r="AQ817" s="14" t="str">
        <x:v>No</x:v>
      </x:c>
      <x:c r="AR817" s="14" t="str">
        <x:v>Resolved from master register</x:v>
      </x:c>
      <x:c r="AS817" s="14" t="str">
        <x:v>No established-register match</x:v>
      </x:c>
      <x:c r="AT817" s="14"/>
      <x:c r="AU817" s="14"/>
      <x:c r="AV817" s="14" t="str">
        <x:v>No established apparent-disability match</x:v>
      </x:c>
      <x:c r="AW817" s="14"/>
      <x:c r="AX817" s="14" t="str">
        <x:v>No</x:v>
      </x:c>
      <x:c r="AY817" s="14" t="str">
        <x:v>Unmatched</x:v>
      </x:c>
      <x:c r="AZ817" s="14" t="str">
        <x:v>Final supplied register</x:v>
      </x:c>
      <x:c r="BA817" s="14" t="str">
        <x:v>Absence from the register is not evidence that the performer is not disabled.</x:v>
      </x:c>
      <x:c r="BB817" s="14" t="str">
        <x:v>No established-register match</x:v>
      </x:c>
      <x:c r="BC817" s="14"/>
      <x:c r="BD817" s="14"/>
      <x:c r="BE817" s="14"/>
      <x:c r="BF817" s="14" t="str">
        <x:v>No established apparent-disability match</x:v>
      </x:c>
      <x:c r="BG817" s="14"/>
      <x:c r="BH817" s="14" t="str">
        <x:v>No</x:v>
      </x:c>
      <x:c r="BI817" s="14"/>
      <x:c r="BJ817" s="14"/>
      <x:c r="BK817" s="14"/>
      <x:c r="BL817" s="14" t="str">
        <x:v>Unmatched</x:v>
      </x:c>
      <x:c r="BM817" s="14" t="str">
        <x:v>Final supplied register</x:v>
      </x:c>
      <x:c r="BN817" s="14" t="str">
        <x:v>Absence from the register is not evidence that the performer is not disabled.</x:v>
      </x:c>
      <x:c r="BO817" s="14" t="n">
        <x:v>30</x:v>
      </x:c>
      <x:c r="BP817" s="14" t="str">
        <x:v>Maximum eligible IMDb cast-credit total (30), shared by 2 performer(s); not independently verified as a 2021-only episode total.</x:v>
      </x:c>
      <x:c r="BQ817" s="14" t="str">
        <x:v>Medium</x:v>
      </x:c>
      <x:c r="BR817" s="15" t="n">
        <x:v>3</x:v>
      </x:c>
      <x:c r="BS817" s="16" t="n">
        <x:v>0.1</x:v>
      </x:c>
      <x:c r="BT817" s="14" t="str">
        <x:v>Minority of episodes</x:v>
      </x:c>
      <x:c r="BU817" s="14" t="str">
        <x:v>Medium</x:v>
      </x:c>
      <x:c r="BV817" s="14" t="str">
        <x:v>Derived from supplied IMDb episode count and the documented production-total proxy.</x:v>
      </x:c>
      <x:c r="BW817" s="14" t="str">
        <x:v>Unable to determine</x:v>
      </x:c>
      <x:c r="BX817" s="14" t="str">
        <x:v>Supplied cast data establishes the credit and episode presence but does not establish narrative prominence.</x:v>
      </x:c>
      <x:c r="BY817" s="14" t="str">
        <x:v>Supplied IMDb cast-list workbook</x:v>
      </x:c>
      <x:c r="BZ81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7" s="14" t="str">
        <x:v>Not classified</x:v>
      </x:c>
      <x:c r="CB817" s="14" t="str">
        <x:v>Unable to determine</x:v>
      </x:c>
      <x:c r="CC817" s="14" t="str">
        <x:v>Unique</x:v>
      </x:c>
      <x:c r="CD817" s="14" t="str">
        <x:v>None identified</x:v>
      </x:c>
    </x:row>
    <x:row r="818">
      <x:c r="A818" s="14" t="str">
        <x:v>tt11981644|nm0562793|prison officer levi burridge</x:v>
      </x:c>
      <x:c r="B818" s="14" t="str">
        <x:v>02</x:v>
      </x:c>
      <x:c r="C818" s="14" t="str">
        <x:v>2021_IMDb_Cast_Lists_Batch_02(1).xlsx</x:v>
      </x:c>
      <x:c r="D818" s="14" t="str">
        <x:v>Professor T</x:v>
      </x:c>
      <x:c r="E818" s="14" t="n">
        <x:v>35</x:v>
      </x:c>
      <x:c r="F818" s="14" t="str">
        <x:v>Professor T</x:v>
      </x:c>
      <x:c r="G818" s="14" t="str">
        <x:v>tt11981644</x:v>
      </x:c>
      <x:c r="H818" s="14" t="n">
        <x:v>2021</x:v>
      </x:c>
      <x:c r="I818" s="14" t="n">
        <x:v>2023</x:v>
      </x:c>
      <x:c r="J818" s="14" t="str">
        <x:v>Future Carry-Forward Cohort</x:v>
      </x:c>
      <x:c r="K818" s="14" t="n">
        <x:v>2021</x:v>
      </x:c>
      <x:c r="L818" s="14" t="str">
        <x:v>Available from 2021 analysis</x:v>
      </x:c>
      <x:c r="M818" s="15" t="n">
        <x:v>28</x:v>
      </x:c>
      <x:c r="N818" s="14" t="str">
        <x:v>Terence Maynard</x:v>
      </x:c>
      <x:c r="O818" s="14" t="str">
        <x:v>nm0562793</x:v>
      </x:c>
      <x:c r="P818" s="14" t="str">
        <x:v>Prison Officer Levi Burridge</x:v>
      </x:c>
      <x:c r="Q818" s="15" t="n">
        <x:v>3</x:v>
      </x:c>
      <x:c r="R818" s="14" t="str">
        <x:v>2024</x:v>
      </x:c>
      <x:c r="S818" s="14" t="n">
        <x:v>2024</x:v>
      </x:c>
      <x:c r="T818" s="14" t="n">
        <x:v>2024</x:v>
      </x:c>
      <x:c r="U818" s="14" t="str">
        <x:v>Post-2021 casting excluded</x:v>
      </x:c>
      <x:c r="V818" s="14" t="str">
        <x:v>Earliest supplied year is 2024, later than the 2021 study year.</x:v>
      </x:c>
      <x:c r="W818" s="14"/>
      <x:c r="X818" s="14" t="str">
        <x:v>Carried forward to 2024</x:v>
      </x:c>
      <x:c r="Y818" s="14"/>
      <x:c r="Z818" s="14" t="str">
        <x:v>Professor T.docx</x:v>
      </x:c>
      <x:c r="AA81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8" s="14" t="str">
        <x:v>No established-register match</x:v>
      </x:c>
      <x:c r="AC818" s="14"/>
      <x:c r="AD818" s="14"/>
      <x:c r="AE818" s="14"/>
      <x:c r="AF818" s="14"/>
      <x:c r="AG818" s="14" t="str">
        <x:v>No qualifying conclusion recorded. Absence from the register is not evidence that the performer is not disabled.</x:v>
      </x:c>
      <x:c r="AH818" s="14" t="str">
        <x:v>ITV / ITVX</x:v>
      </x:c>
      <x:c r="AI818" s="14" t="str">
        <x:v>UK original commission</x:v>
      </x:c>
      <x:c r="AJ818" s="14" t="str">
        <x:v>Exact normalised title</x:v>
      </x:c>
      <x:c r="AK818" s="14" t="str">
        <x:v>Medium</x:v>
      </x:c>
      <x:c r="AL818" s="14" t="str">
        <x:v>Verified for commissioner/platform scope; uk original commission.</x:v>
      </x:c>
      <x:c r="AM818" s="17" t="e">
        <x:f>HYPERLINK("https://en.wikipedia.org/wiki/Professor_T.","Open source")</x:f>
        <x:v>HYPERLINK is not implemented. linkLocation=https://en.wikipedia.org/wiki/Professor_T., friendlyName=Open source</x:v>
      </x:c>
      <x:c r="AN818" s="14" t="str">
        <x:v>No qualifying BBC relationship</x:v>
      </x:c>
      <x:c r="AO818" s="14" t="str">
        <x:v>No</x:v>
      </x:c>
      <x:c r="AP818" s="14" t="str">
        <x:v>Out of scope</x:v>
      </x:c>
      <x:c r="AQ818" s="14" t="str">
        <x:v>No</x:v>
      </x:c>
      <x:c r="AR818" s="14" t="str">
        <x:v>Resolved from master register</x:v>
      </x:c>
      <x:c r="AS818" s="14" t="str">
        <x:v>No established-register match</x:v>
      </x:c>
      <x:c r="AT818" s="14"/>
      <x:c r="AU818" s="14"/>
      <x:c r="AV818" s="14" t="str">
        <x:v>No established apparent-disability match</x:v>
      </x:c>
      <x:c r="AW818" s="14"/>
      <x:c r="AX818" s="14" t="str">
        <x:v>No</x:v>
      </x:c>
      <x:c r="AY818" s="14" t="str">
        <x:v>Unmatched</x:v>
      </x:c>
      <x:c r="AZ818" s="14" t="str">
        <x:v>Final supplied register</x:v>
      </x:c>
      <x:c r="BA818" s="14" t="str">
        <x:v>Absence from the register is not evidence that the performer is not disabled.</x:v>
      </x:c>
      <x:c r="BB818" s="14" t="str">
        <x:v>No established-register match</x:v>
      </x:c>
      <x:c r="BC818" s="14"/>
      <x:c r="BD818" s="14"/>
      <x:c r="BE818" s="14"/>
      <x:c r="BF818" s="14" t="str">
        <x:v>No established apparent-disability match</x:v>
      </x:c>
      <x:c r="BG818" s="14"/>
      <x:c r="BH818" s="14" t="str">
        <x:v>No</x:v>
      </x:c>
      <x:c r="BI818" s="14"/>
      <x:c r="BJ818" s="14"/>
      <x:c r="BK818" s="14"/>
      <x:c r="BL818" s="14" t="str">
        <x:v>Unmatched</x:v>
      </x:c>
      <x:c r="BM818" s="14" t="str">
        <x:v>Final supplied register</x:v>
      </x:c>
      <x:c r="BN818" s="14" t="str">
        <x:v>Absence from the register is not evidence that the performer is not disabled.</x:v>
      </x:c>
      <x:c r="BO818" s="14" t="n">
        <x:v>30</x:v>
      </x:c>
      <x:c r="BP818" s="14" t="str">
        <x:v>Maximum eligible IMDb cast-credit total (30), shared by 2 performer(s); not independently verified as a 2021-only episode total.</x:v>
      </x:c>
      <x:c r="BQ818" s="14" t="str">
        <x:v>Medium</x:v>
      </x:c>
      <x:c r="BR818" s="15" t="n">
        <x:v>3</x:v>
      </x:c>
      <x:c r="BS818" s="16" t="n">
        <x:v>0.1</x:v>
      </x:c>
      <x:c r="BT818" s="14" t="str">
        <x:v>Minority of episodes</x:v>
      </x:c>
      <x:c r="BU818" s="14" t="str">
        <x:v>Medium</x:v>
      </x:c>
      <x:c r="BV818" s="14" t="str">
        <x:v>Derived from supplied IMDb episode count and the documented production-total proxy.</x:v>
      </x:c>
      <x:c r="BW818" s="14" t="str">
        <x:v>Unable to determine</x:v>
      </x:c>
      <x:c r="BX818" s="14" t="str">
        <x:v>Supplied cast data establishes the credit and episode presence but does not establish narrative prominence.</x:v>
      </x:c>
      <x:c r="BY818" s="14" t="str">
        <x:v>Supplied IMDb cast-list workbook</x:v>
      </x:c>
      <x:c r="BZ81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8" s="14" t="str">
        <x:v>Not classified</x:v>
      </x:c>
      <x:c r="CB818" s="14" t="str">
        <x:v>Unable to determine</x:v>
      </x:c>
      <x:c r="CC818" s="14" t="str">
        <x:v>Unique</x:v>
      </x:c>
      <x:c r="CD818" s="14" t="str">
        <x:v>None identified</x:v>
      </x:c>
    </x:row>
    <x:row r="819">
      <x:c r="A819" s="14" t="str">
        <x:v>tt11981644|nm1666973|sammy hines</x:v>
      </x:c>
      <x:c r="B819" s="14" t="str">
        <x:v>02</x:v>
      </x:c>
      <x:c r="C819" s="14" t="str">
        <x:v>2021_IMDb_Cast_Lists_Batch_02(1).xlsx</x:v>
      </x:c>
      <x:c r="D819" s="14" t="str">
        <x:v>Professor T</x:v>
      </x:c>
      <x:c r="E819" s="14" t="n">
        <x:v>36</x:v>
      </x:c>
      <x:c r="F819" s="14" t="str">
        <x:v>Professor T</x:v>
      </x:c>
      <x:c r="G819" s="14" t="str">
        <x:v>tt11981644</x:v>
      </x:c>
      <x:c r="H819" s="14" t="n">
        <x:v>2021</x:v>
      </x:c>
      <x:c r="I819" s="14" t="n">
        <x:v>2023</x:v>
      </x:c>
      <x:c r="J819" s="14" t="str">
        <x:v>Future Carry-Forward Cohort</x:v>
      </x:c>
      <x:c r="K819" s="14" t="n">
        <x:v>2021</x:v>
      </x:c>
      <x:c r="L819" s="14" t="str">
        <x:v>Available from 2021 analysis</x:v>
      </x:c>
      <x:c r="M819" s="15" t="n">
        <x:v>29</x:v>
      </x:c>
      <x:c r="N819" s="14" t="str">
        <x:v>Jamie Maclachlan</x:v>
      </x:c>
      <x:c r="O819" s="14" t="str">
        <x:v>nm1666973</x:v>
      </x:c>
      <x:c r="P819" s="14" t="str">
        <x:v>Sammy Hines</x:v>
      </x:c>
      <x:c r="Q819" s="15" t="n">
        <x:v>3</x:v>
      </x:c>
      <x:c r="R819" s="14" t="str">
        <x:v>2024</x:v>
      </x:c>
      <x:c r="S819" s="14" t="n">
        <x:v>2024</x:v>
      </x:c>
      <x:c r="T819" s="14" t="n">
        <x:v>2024</x:v>
      </x:c>
      <x:c r="U819" s="14" t="str">
        <x:v>Post-2021 casting excluded</x:v>
      </x:c>
      <x:c r="V819" s="14" t="str">
        <x:v>Earliest supplied year is 2024, later than the 2021 study year.</x:v>
      </x:c>
      <x:c r="W819" s="14"/>
      <x:c r="X819" s="14" t="str">
        <x:v>Carried forward to 2024</x:v>
      </x:c>
      <x:c r="Y819" s="14"/>
      <x:c r="Z819" s="14" t="str">
        <x:v>Professor T.docx</x:v>
      </x:c>
      <x:c r="AA81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9" s="14" t="str">
        <x:v>No established-register match</x:v>
      </x:c>
      <x:c r="AC819" s="14"/>
      <x:c r="AD819" s="14"/>
      <x:c r="AE819" s="14"/>
      <x:c r="AF819" s="14"/>
      <x:c r="AG819" s="14" t="str">
        <x:v>No qualifying conclusion recorded. Absence from the register is not evidence that the performer is not disabled.</x:v>
      </x:c>
      <x:c r="AH819" s="14" t="str">
        <x:v>ITV / ITVX</x:v>
      </x:c>
      <x:c r="AI819" s="14" t="str">
        <x:v>UK original commission</x:v>
      </x:c>
      <x:c r="AJ819" s="14" t="str">
        <x:v>Exact normalised title</x:v>
      </x:c>
      <x:c r="AK819" s="14" t="str">
        <x:v>Medium</x:v>
      </x:c>
      <x:c r="AL819" s="14" t="str">
        <x:v>Verified for commissioner/platform scope; uk original commission.</x:v>
      </x:c>
      <x:c r="AM819" s="17" t="e">
        <x:f>HYPERLINK("https://en.wikipedia.org/wiki/Professor_T.","Open source")</x:f>
        <x:v>HYPERLINK is not implemented. linkLocation=https://en.wikipedia.org/wiki/Professor_T., friendlyName=Open source</x:v>
      </x:c>
      <x:c r="AN819" s="14" t="str">
        <x:v>No qualifying BBC relationship</x:v>
      </x:c>
      <x:c r="AO819" s="14" t="str">
        <x:v>No</x:v>
      </x:c>
      <x:c r="AP819" s="14" t="str">
        <x:v>Out of scope</x:v>
      </x:c>
      <x:c r="AQ819" s="14" t="str">
        <x:v>No</x:v>
      </x:c>
      <x:c r="AR819" s="14" t="str">
        <x:v>Resolved from master register</x:v>
      </x:c>
      <x:c r="AS819" s="14" t="str">
        <x:v>No established-register match</x:v>
      </x:c>
      <x:c r="AT819" s="14"/>
      <x:c r="AU819" s="14"/>
      <x:c r="AV819" s="14" t="str">
        <x:v>No established apparent-disability match</x:v>
      </x:c>
      <x:c r="AW819" s="14"/>
      <x:c r="AX819" s="14" t="str">
        <x:v>No</x:v>
      </x:c>
      <x:c r="AY819" s="14" t="str">
        <x:v>Unmatched</x:v>
      </x:c>
      <x:c r="AZ819" s="14" t="str">
        <x:v>Final supplied register</x:v>
      </x:c>
      <x:c r="BA819" s="14" t="str">
        <x:v>Absence from the register is not evidence that the performer is not disabled.</x:v>
      </x:c>
      <x:c r="BB819" s="14" t="str">
        <x:v>No established-register match</x:v>
      </x:c>
      <x:c r="BC819" s="14"/>
      <x:c r="BD819" s="14"/>
      <x:c r="BE819" s="14"/>
      <x:c r="BF819" s="14" t="str">
        <x:v>No established apparent-disability match</x:v>
      </x:c>
      <x:c r="BG819" s="14"/>
      <x:c r="BH819" s="14" t="str">
        <x:v>No</x:v>
      </x:c>
      <x:c r="BI819" s="14"/>
      <x:c r="BJ819" s="14"/>
      <x:c r="BK819" s="14"/>
      <x:c r="BL819" s="14" t="str">
        <x:v>Unmatched</x:v>
      </x:c>
      <x:c r="BM819" s="14" t="str">
        <x:v>Final supplied register</x:v>
      </x:c>
      <x:c r="BN819" s="14" t="str">
        <x:v>Absence from the register is not evidence that the performer is not disabled.</x:v>
      </x:c>
      <x:c r="BO819" s="14" t="n">
        <x:v>30</x:v>
      </x:c>
      <x:c r="BP819" s="14" t="str">
        <x:v>Maximum eligible IMDb cast-credit total (30), shared by 2 performer(s); not independently verified as a 2021-only episode total.</x:v>
      </x:c>
      <x:c r="BQ819" s="14" t="str">
        <x:v>Medium</x:v>
      </x:c>
      <x:c r="BR819" s="15" t="n">
        <x:v>3</x:v>
      </x:c>
      <x:c r="BS819" s="16" t="n">
        <x:v>0.1</x:v>
      </x:c>
      <x:c r="BT819" s="14" t="str">
        <x:v>Minority of episodes</x:v>
      </x:c>
      <x:c r="BU819" s="14" t="str">
        <x:v>Medium</x:v>
      </x:c>
      <x:c r="BV819" s="14" t="str">
        <x:v>Derived from supplied IMDb episode count and the documented production-total proxy.</x:v>
      </x:c>
      <x:c r="BW819" s="14" t="str">
        <x:v>Unable to determine</x:v>
      </x:c>
      <x:c r="BX819" s="14" t="str">
        <x:v>Supplied cast data establishes the credit and episode presence but does not establish narrative prominence.</x:v>
      </x:c>
      <x:c r="BY819" s="14" t="str">
        <x:v>Supplied IMDb cast-list workbook</x:v>
      </x:c>
      <x:c r="BZ81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9" s="14" t="str">
        <x:v>Not classified</x:v>
      </x:c>
      <x:c r="CB819" s="14" t="str">
        <x:v>Unable to determine</x:v>
      </x:c>
      <x:c r="CC819" s="14" t="str">
        <x:v>Unique</x:v>
      </x:c>
      <x:c r="CD819" s="14" t="str">
        <x:v>None identified</x:v>
      </x:c>
    </x:row>
    <x:row r="820">
      <x:c r="A820" s="14" t="str">
        <x:v>tt11981644|nm1197462|omar haq</x:v>
      </x:c>
      <x:c r="B820" s="14" t="str">
        <x:v>02</x:v>
      </x:c>
      <x:c r="C820" s="14" t="str">
        <x:v>2021_IMDb_Cast_Lists_Batch_02(1).xlsx</x:v>
      </x:c>
      <x:c r="D820" s="14" t="str">
        <x:v>Professor T</x:v>
      </x:c>
      <x:c r="E820" s="14" t="n">
        <x:v>39</x:v>
      </x:c>
      <x:c r="F820" s="14" t="str">
        <x:v>Professor T</x:v>
      </x:c>
      <x:c r="G820" s="14" t="str">
        <x:v>tt11981644</x:v>
      </x:c>
      <x:c r="H820" s="14" t="n">
        <x:v>2021</x:v>
      </x:c>
      <x:c r="I820" s="14" t="n">
        <x:v>2023</x:v>
      </x:c>
      <x:c r="J820" s="14" t="str">
        <x:v>Future Carry-Forward Cohort</x:v>
      </x:c>
      <x:c r="K820" s="14" t="n">
        <x:v>2021</x:v>
      </x:c>
      <x:c r="L820" s="14" t="str">
        <x:v>Available from 2021 analysis</x:v>
      </x:c>
      <x:c r="M820" s="15" t="n">
        <x:v>32</x:v>
      </x:c>
      <x:c r="N820" s="14" t="str">
        <x:v>Chris Ryman</x:v>
      </x:c>
      <x:c r="O820" s="14" t="str">
        <x:v>nm1197462</x:v>
      </x:c>
      <x:c r="P820" s="14" t="str">
        <x:v>Omar Haq</x:v>
      </x:c>
      <x:c r="Q820" s="15" t="n">
        <x:v>3</x:v>
      </x:c>
      <x:c r="R820" s="14" t="str">
        <x:v>2024</x:v>
      </x:c>
      <x:c r="S820" s="14" t="n">
        <x:v>2024</x:v>
      </x:c>
      <x:c r="T820" s="14" t="n">
        <x:v>2024</x:v>
      </x:c>
      <x:c r="U820" s="14" t="str">
        <x:v>Post-2021 casting excluded</x:v>
      </x:c>
      <x:c r="V820" s="14" t="str">
        <x:v>Earliest supplied year is 2024, later than the 2021 study year.</x:v>
      </x:c>
      <x:c r="W820" s="14"/>
      <x:c r="X820" s="14" t="str">
        <x:v>Carried forward to 2024</x:v>
      </x:c>
      <x:c r="Y820" s="14"/>
      <x:c r="Z820" s="14" t="str">
        <x:v>Professor T.docx</x:v>
      </x:c>
      <x:c r="AA82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0" s="14" t="str">
        <x:v>No established-register match</x:v>
      </x:c>
      <x:c r="AC820" s="14"/>
      <x:c r="AD820" s="14"/>
      <x:c r="AE820" s="14"/>
      <x:c r="AF820" s="14"/>
      <x:c r="AG820" s="14" t="str">
        <x:v>No qualifying conclusion recorded. Absence from the register is not evidence that the performer is not disabled.</x:v>
      </x:c>
      <x:c r="AH820" s="14" t="str">
        <x:v>ITV / ITVX</x:v>
      </x:c>
      <x:c r="AI820" s="14" t="str">
        <x:v>UK original commission</x:v>
      </x:c>
      <x:c r="AJ820" s="14" t="str">
        <x:v>Exact normalised title</x:v>
      </x:c>
      <x:c r="AK820" s="14" t="str">
        <x:v>Medium</x:v>
      </x:c>
      <x:c r="AL820" s="14" t="str">
        <x:v>Verified for commissioner/platform scope; uk original commission.</x:v>
      </x:c>
      <x:c r="AM820" s="17" t="e">
        <x:f>HYPERLINK("https://en.wikipedia.org/wiki/Professor_T.","Open source")</x:f>
        <x:v>HYPERLINK is not implemented. linkLocation=https://en.wikipedia.org/wiki/Professor_T., friendlyName=Open source</x:v>
      </x:c>
      <x:c r="AN820" s="14" t="str">
        <x:v>No qualifying BBC relationship</x:v>
      </x:c>
      <x:c r="AO820" s="14" t="str">
        <x:v>No</x:v>
      </x:c>
      <x:c r="AP820" s="14" t="str">
        <x:v>Out of scope</x:v>
      </x:c>
      <x:c r="AQ820" s="14" t="str">
        <x:v>No</x:v>
      </x:c>
      <x:c r="AR820" s="14" t="str">
        <x:v>Resolved from master register</x:v>
      </x:c>
      <x:c r="AS820" s="14" t="str">
        <x:v>No established-register match</x:v>
      </x:c>
      <x:c r="AT820" s="14"/>
      <x:c r="AU820" s="14"/>
      <x:c r="AV820" s="14" t="str">
        <x:v>No established apparent-disability match</x:v>
      </x:c>
      <x:c r="AW820" s="14"/>
      <x:c r="AX820" s="14" t="str">
        <x:v>No</x:v>
      </x:c>
      <x:c r="AY820" s="14" t="str">
        <x:v>Unmatched</x:v>
      </x:c>
      <x:c r="AZ820" s="14" t="str">
        <x:v>Final supplied register</x:v>
      </x:c>
      <x:c r="BA820" s="14" t="str">
        <x:v>Absence from the register is not evidence that the performer is not disabled.</x:v>
      </x:c>
      <x:c r="BB820" s="14" t="str">
        <x:v>No established-register match</x:v>
      </x:c>
      <x:c r="BC820" s="14"/>
      <x:c r="BD820" s="14"/>
      <x:c r="BE820" s="14"/>
      <x:c r="BF820" s="14" t="str">
        <x:v>No established apparent-disability match</x:v>
      </x:c>
      <x:c r="BG820" s="14"/>
      <x:c r="BH820" s="14" t="str">
        <x:v>No</x:v>
      </x:c>
      <x:c r="BI820" s="14"/>
      <x:c r="BJ820" s="14"/>
      <x:c r="BK820" s="14"/>
      <x:c r="BL820" s="14" t="str">
        <x:v>Unmatched</x:v>
      </x:c>
      <x:c r="BM820" s="14" t="str">
        <x:v>Final supplied register</x:v>
      </x:c>
      <x:c r="BN820" s="14" t="str">
        <x:v>Absence from the register is not evidence that the performer is not disabled.</x:v>
      </x:c>
      <x:c r="BO820" s="14" t="n">
        <x:v>30</x:v>
      </x:c>
      <x:c r="BP820" s="14" t="str">
        <x:v>Maximum eligible IMDb cast-credit total (30), shared by 2 performer(s); not independently verified as a 2021-only episode total.</x:v>
      </x:c>
      <x:c r="BQ820" s="14" t="str">
        <x:v>Medium</x:v>
      </x:c>
      <x:c r="BR820" s="15" t="n">
        <x:v>3</x:v>
      </x:c>
      <x:c r="BS820" s="16" t="n">
        <x:v>0.1</x:v>
      </x:c>
      <x:c r="BT820" s="14" t="str">
        <x:v>Minority of episodes</x:v>
      </x:c>
      <x:c r="BU820" s="14" t="str">
        <x:v>Medium</x:v>
      </x:c>
      <x:c r="BV820" s="14" t="str">
        <x:v>Derived from supplied IMDb episode count and the documented production-total proxy.</x:v>
      </x:c>
      <x:c r="BW820" s="14" t="str">
        <x:v>Unable to determine</x:v>
      </x:c>
      <x:c r="BX820" s="14" t="str">
        <x:v>Supplied cast data establishes the credit and episode presence but does not establish narrative prominence.</x:v>
      </x:c>
      <x:c r="BY820" s="14" t="str">
        <x:v>Supplied IMDb cast-list workbook</x:v>
      </x:c>
      <x:c r="BZ82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0" s="14" t="str">
        <x:v>Not classified</x:v>
      </x:c>
      <x:c r="CB820" s="14" t="str">
        <x:v>Unable to determine</x:v>
      </x:c>
      <x:c r="CC820" s="14" t="str">
        <x:v>Unique</x:v>
      </x:c>
      <x:c r="CD820" s="14" t="str">
        <x:v>None identified</x:v>
      </x:c>
    </x:row>
    <x:row r="821">
      <x:c r="A821" s="14" t="str">
        <x:v>tt11981644|nm2088694|adam bernard</x:v>
      </x:c>
      <x:c r="B821" s="14" t="str">
        <x:v>02</x:v>
      </x:c>
      <x:c r="C821" s="14" t="str">
        <x:v>2021_IMDb_Cast_Lists_Batch_02(1).xlsx</x:v>
      </x:c>
      <x:c r="D821" s="14" t="str">
        <x:v>Professor T</x:v>
      </x:c>
      <x:c r="E821" s="14" t="n">
        <x:v>47</x:v>
      </x:c>
      <x:c r="F821" s="14" t="str">
        <x:v>Professor T</x:v>
      </x:c>
      <x:c r="G821" s="14" t="str">
        <x:v>tt11981644</x:v>
      </x:c>
      <x:c r="H821" s="14" t="n">
        <x:v>2021</x:v>
      </x:c>
      <x:c r="I821" s="14" t="n">
        <x:v>2023</x:v>
      </x:c>
      <x:c r="J821" s="14" t="str">
        <x:v>Future Carry-Forward Cohort</x:v>
      </x:c>
      <x:c r="K821" s="14" t="n">
        <x:v>2021</x:v>
      </x:c>
      <x:c r="L821" s="14" t="str">
        <x:v>Available from 2021 analysis</x:v>
      </x:c>
      <x:c r="M821" s="15" t="n">
        <x:v>40</x:v>
      </x:c>
      <x:c r="N821" s="14" t="str">
        <x:v>Jack Ashton</x:v>
      </x:c>
      <x:c r="O821" s="14" t="str">
        <x:v>nm2088694</x:v>
      </x:c>
      <x:c r="P821" s="14" t="str">
        <x:v>Adam Bernard</x:v>
      </x:c>
      <x:c r="Q821" s="15" t="n">
        <x:v>2</x:v>
      </x:c>
      <x:c r="R821" s="14" t="str">
        <x:v>2024</x:v>
      </x:c>
      <x:c r="S821" s="14" t="n">
        <x:v>2024</x:v>
      </x:c>
      <x:c r="T821" s="14" t="n">
        <x:v>2024</x:v>
      </x:c>
      <x:c r="U821" s="14" t="str">
        <x:v>Post-2021 casting excluded</x:v>
      </x:c>
      <x:c r="V821" s="14" t="str">
        <x:v>Earliest supplied year is 2024, later than the 2021 study year.</x:v>
      </x:c>
      <x:c r="W821" s="14"/>
      <x:c r="X821" s="14" t="str">
        <x:v>Carried forward to 2024</x:v>
      </x:c>
      <x:c r="Y821" s="14"/>
      <x:c r="Z821" s="14" t="str">
        <x:v>Professor T.docx</x:v>
      </x:c>
      <x:c r="AA82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1" s="14" t="str">
        <x:v>No established-register match</x:v>
      </x:c>
      <x:c r="AC821" s="14"/>
      <x:c r="AD821" s="14"/>
      <x:c r="AE821" s="14"/>
      <x:c r="AF821" s="14"/>
      <x:c r="AG821" s="14" t="str">
        <x:v>No qualifying conclusion recorded. Absence from the register is not evidence that the performer is not disabled.</x:v>
      </x:c>
      <x:c r="AH821" s="14" t="str">
        <x:v>ITV / ITVX</x:v>
      </x:c>
      <x:c r="AI821" s="14" t="str">
        <x:v>UK original commission</x:v>
      </x:c>
      <x:c r="AJ821" s="14" t="str">
        <x:v>Exact normalised title</x:v>
      </x:c>
      <x:c r="AK821" s="14" t="str">
        <x:v>Medium</x:v>
      </x:c>
      <x:c r="AL821" s="14" t="str">
        <x:v>Verified for commissioner/platform scope; uk original commission.</x:v>
      </x:c>
      <x:c r="AM821" s="17" t="e">
        <x:f>HYPERLINK("https://en.wikipedia.org/wiki/Professor_T.","Open source")</x:f>
        <x:v>HYPERLINK is not implemented. linkLocation=https://en.wikipedia.org/wiki/Professor_T., friendlyName=Open source</x:v>
      </x:c>
      <x:c r="AN821" s="14" t="str">
        <x:v>No qualifying BBC relationship</x:v>
      </x:c>
      <x:c r="AO821" s="14" t="str">
        <x:v>No</x:v>
      </x:c>
      <x:c r="AP821" s="14" t="str">
        <x:v>Out of scope</x:v>
      </x:c>
      <x:c r="AQ821" s="14" t="str">
        <x:v>No</x:v>
      </x:c>
      <x:c r="AR821" s="14" t="str">
        <x:v>Resolved from master register</x:v>
      </x:c>
      <x:c r="AS821" s="14" t="str">
        <x:v>No established-register match</x:v>
      </x:c>
      <x:c r="AT821" s="14"/>
      <x:c r="AU821" s="14"/>
      <x:c r="AV821" s="14" t="str">
        <x:v>No established apparent-disability match</x:v>
      </x:c>
      <x:c r="AW821" s="14"/>
      <x:c r="AX821" s="14" t="str">
        <x:v>No</x:v>
      </x:c>
      <x:c r="AY821" s="14" t="str">
        <x:v>Unmatched</x:v>
      </x:c>
      <x:c r="AZ821" s="14" t="str">
        <x:v>Final supplied register</x:v>
      </x:c>
      <x:c r="BA821" s="14" t="str">
        <x:v>Absence from the register is not evidence that the performer is not disabled.</x:v>
      </x:c>
      <x:c r="BB821" s="14" t="str">
        <x:v>No established-register match</x:v>
      </x:c>
      <x:c r="BC821" s="14"/>
      <x:c r="BD821" s="14"/>
      <x:c r="BE821" s="14"/>
      <x:c r="BF821" s="14" t="str">
        <x:v>No established apparent-disability match</x:v>
      </x:c>
      <x:c r="BG821" s="14"/>
      <x:c r="BH821" s="14" t="str">
        <x:v>No</x:v>
      </x:c>
      <x:c r="BI821" s="14"/>
      <x:c r="BJ821" s="14"/>
      <x:c r="BK821" s="14"/>
      <x:c r="BL821" s="14" t="str">
        <x:v>Unmatched</x:v>
      </x:c>
      <x:c r="BM821" s="14" t="str">
        <x:v>Final supplied register</x:v>
      </x:c>
      <x:c r="BN821" s="14" t="str">
        <x:v>Absence from the register is not evidence that the performer is not disabled.</x:v>
      </x:c>
      <x:c r="BO821" s="14" t="n">
        <x:v>30</x:v>
      </x:c>
      <x:c r="BP821" s="14" t="str">
        <x:v>Maximum eligible IMDb cast-credit total (30), shared by 2 performer(s); not independently verified as a 2021-only episode total.</x:v>
      </x:c>
      <x:c r="BQ821" s="14" t="str">
        <x:v>Medium</x:v>
      </x:c>
      <x:c r="BR821" s="15" t="n">
        <x:v>2</x:v>
      </x:c>
      <x:c r="BS821" s="16" t="n">
        <x:v>0.06666666666666667</x:v>
      </x:c>
      <x:c r="BT821" s="14" t="str">
        <x:v>Minority of episodes</x:v>
      </x:c>
      <x:c r="BU821" s="14" t="str">
        <x:v>Medium</x:v>
      </x:c>
      <x:c r="BV821" s="14" t="str">
        <x:v>Derived from supplied IMDb episode count and the documented production-total proxy.</x:v>
      </x:c>
      <x:c r="BW821" s="14" t="str">
        <x:v>Unable to determine</x:v>
      </x:c>
      <x:c r="BX821" s="14" t="str">
        <x:v>Supplied cast data establishes the credit and episode presence but does not establish narrative prominence.</x:v>
      </x:c>
      <x:c r="BY821" s="14" t="str">
        <x:v>Supplied IMDb cast-list workbook</x:v>
      </x:c>
      <x:c r="BZ82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1" s="14" t="str">
        <x:v>Not classified</x:v>
      </x:c>
      <x:c r="CB821" s="14" t="str">
        <x:v>Unable to determine</x:v>
      </x:c>
      <x:c r="CC821" s="14" t="str">
        <x:v>Unique</x:v>
      </x:c>
      <x:c r="CD821" s="14" t="str">
        <x:v>None identified</x:v>
      </x:c>
    </x:row>
    <x:row r="822">
      <x:c r="A822" s="14" t="str">
        <x:v>tt11981644|nm15274588|lawyer joseph / board member</x:v>
      </x:c>
      <x:c r="B822" s="14" t="str">
        <x:v>02</x:v>
      </x:c>
      <x:c r="C822" s="14" t="str">
        <x:v>2021_IMDb_Cast_Lists_Batch_02(1).xlsx</x:v>
      </x:c>
      <x:c r="D822" s="14" t="str">
        <x:v>Professor T</x:v>
      </x:c>
      <x:c r="E822" s="14" t="n">
        <x:v>52</x:v>
      </x:c>
      <x:c r="F822" s="14" t="str">
        <x:v>Professor T</x:v>
      </x:c>
      <x:c r="G822" s="14" t="str">
        <x:v>tt11981644</x:v>
      </x:c>
      <x:c r="H822" s="14" t="n">
        <x:v>2021</x:v>
      </x:c>
      <x:c r="I822" s="14" t="n">
        <x:v>2023</x:v>
      </x:c>
      <x:c r="J822" s="14" t="str">
        <x:v>Future Carry-Forward Cohort</x:v>
      </x:c>
      <x:c r="K822" s="14" t="n">
        <x:v>2021</x:v>
      </x:c>
      <x:c r="L822" s="14" t="str">
        <x:v>Available from 2021 analysis</x:v>
      </x:c>
      <x:c r="M822" s="15" t="n">
        <x:v>45</x:v>
      </x:c>
      <x:c r="N822" s="14" t="str">
        <x:v>Richard Turner</x:v>
      </x:c>
      <x:c r="O822" s="14" t="str">
        <x:v>nm15274588</x:v>
      </x:c>
      <x:c r="P822" s="14" t="str">
        <x:v>Lawyer Joseph / Board Member</x:v>
      </x:c>
      <x:c r="Q822" s="15" t="n">
        <x:v>2</x:v>
      </x:c>
      <x:c r="R822" s="14" t="str">
        <x:v>2024</x:v>
      </x:c>
      <x:c r="S822" s="14" t="n">
        <x:v>2024</x:v>
      </x:c>
      <x:c r="T822" s="14" t="n">
        <x:v>2024</x:v>
      </x:c>
      <x:c r="U822" s="14" t="str">
        <x:v>Post-2021 casting excluded</x:v>
      </x:c>
      <x:c r="V822" s="14" t="str">
        <x:v>Earliest supplied year is 2024, later than the 2021 study year.</x:v>
      </x:c>
      <x:c r="W822" s="14"/>
      <x:c r="X822" s="14" t="str">
        <x:v>Carried forward to 2024</x:v>
      </x:c>
      <x:c r="Y822" s="14"/>
      <x:c r="Z822" s="14" t="str">
        <x:v>Professor T.docx</x:v>
      </x:c>
      <x:c r="AA82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2" s="14" t="str">
        <x:v>No established-register match</x:v>
      </x:c>
      <x:c r="AC822" s="14"/>
      <x:c r="AD822" s="14"/>
      <x:c r="AE822" s="14"/>
      <x:c r="AF822" s="14"/>
      <x:c r="AG822" s="14" t="str">
        <x:v>No qualifying conclusion recorded. Absence from the register is not evidence that the performer is not disabled.</x:v>
      </x:c>
      <x:c r="AH822" s="14" t="str">
        <x:v>ITV / ITVX</x:v>
      </x:c>
      <x:c r="AI822" s="14" t="str">
        <x:v>UK original commission</x:v>
      </x:c>
      <x:c r="AJ822" s="14" t="str">
        <x:v>Exact normalised title</x:v>
      </x:c>
      <x:c r="AK822" s="14" t="str">
        <x:v>Medium</x:v>
      </x:c>
      <x:c r="AL822" s="14" t="str">
        <x:v>Verified for commissioner/platform scope; uk original commission.</x:v>
      </x:c>
      <x:c r="AM822" s="17" t="e">
        <x:f>HYPERLINK("https://en.wikipedia.org/wiki/Professor_T.","Open source")</x:f>
        <x:v>HYPERLINK is not implemented. linkLocation=https://en.wikipedia.org/wiki/Professor_T., friendlyName=Open source</x:v>
      </x:c>
      <x:c r="AN822" s="14" t="str">
        <x:v>No qualifying BBC relationship</x:v>
      </x:c>
      <x:c r="AO822" s="14" t="str">
        <x:v>No</x:v>
      </x:c>
      <x:c r="AP822" s="14" t="str">
        <x:v>Out of scope</x:v>
      </x:c>
      <x:c r="AQ822" s="14" t="str">
        <x:v>No</x:v>
      </x:c>
      <x:c r="AR822" s="14" t="str">
        <x:v>Resolved from master register</x:v>
      </x:c>
      <x:c r="AS822" s="14" t="str">
        <x:v>No established-register match</x:v>
      </x:c>
      <x:c r="AT822" s="14"/>
      <x:c r="AU822" s="14"/>
      <x:c r="AV822" s="14" t="str">
        <x:v>No established apparent-disability match</x:v>
      </x:c>
      <x:c r="AW822" s="14"/>
      <x:c r="AX822" s="14" t="str">
        <x:v>No</x:v>
      </x:c>
      <x:c r="AY822" s="14" t="str">
        <x:v>Unmatched</x:v>
      </x:c>
      <x:c r="AZ822" s="14" t="str">
        <x:v>Final supplied register</x:v>
      </x:c>
      <x:c r="BA822" s="14" t="str">
        <x:v>Absence from the register is not evidence that the performer is not disabled.</x:v>
      </x:c>
      <x:c r="BB822" s="14" t="str">
        <x:v>No established-register match</x:v>
      </x:c>
      <x:c r="BC822" s="14"/>
      <x:c r="BD822" s="14"/>
      <x:c r="BE822" s="14"/>
      <x:c r="BF822" s="14" t="str">
        <x:v>No established apparent-disability match</x:v>
      </x:c>
      <x:c r="BG822" s="14"/>
      <x:c r="BH822" s="14" t="str">
        <x:v>No</x:v>
      </x:c>
      <x:c r="BI822" s="14"/>
      <x:c r="BJ822" s="14"/>
      <x:c r="BK822" s="14"/>
      <x:c r="BL822" s="14" t="str">
        <x:v>Unmatched</x:v>
      </x:c>
      <x:c r="BM822" s="14" t="str">
        <x:v>Final supplied register</x:v>
      </x:c>
      <x:c r="BN822" s="14" t="str">
        <x:v>Absence from the register is not evidence that the performer is not disabled.</x:v>
      </x:c>
      <x:c r="BO822" s="14" t="n">
        <x:v>30</x:v>
      </x:c>
      <x:c r="BP822" s="14" t="str">
        <x:v>Maximum eligible IMDb cast-credit total (30), shared by 2 performer(s); not independently verified as a 2021-only episode total.</x:v>
      </x:c>
      <x:c r="BQ822" s="14" t="str">
        <x:v>Medium</x:v>
      </x:c>
      <x:c r="BR822" s="15" t="n">
        <x:v>2</x:v>
      </x:c>
      <x:c r="BS822" s="16" t="n">
        <x:v>0.06666666666666667</x:v>
      </x:c>
      <x:c r="BT822" s="14" t="str">
        <x:v>Minority of episodes</x:v>
      </x:c>
      <x:c r="BU822" s="14" t="str">
        <x:v>Medium</x:v>
      </x:c>
      <x:c r="BV822" s="14" t="str">
        <x:v>Derived from supplied IMDb episode count and the documented production-total proxy.</x:v>
      </x:c>
      <x:c r="BW822" s="14" t="str">
        <x:v>Unable to determine</x:v>
      </x:c>
      <x:c r="BX822" s="14" t="str">
        <x:v>Supplied cast data establishes the credit and episode presence but does not establish narrative prominence.</x:v>
      </x:c>
      <x:c r="BY822" s="14" t="str">
        <x:v>Supplied IMDb cast-list workbook</x:v>
      </x:c>
      <x:c r="BZ82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2" s="14" t="str">
        <x:v>Not classified</x:v>
      </x:c>
      <x:c r="CB822" s="14" t="str">
        <x:v>Unable to determine</x:v>
      </x:c>
      <x:c r="CC822" s="14" t="str">
        <x:v>Unique</x:v>
      </x:c>
      <x:c r="CD822" s="14" t="str">
        <x:v>None identified</x:v>
      </x:c>
    </x:row>
    <x:row r="823">
      <x:c r="A823" s="14" t="str">
        <x:v>tt11981644|nm1521372|the judge</x:v>
      </x:c>
      <x:c r="B823" s="14" t="str">
        <x:v>02</x:v>
      </x:c>
      <x:c r="C823" s="14" t="str">
        <x:v>2021_IMDb_Cast_Lists_Batch_02(1).xlsx</x:v>
      </x:c>
      <x:c r="D823" s="14" t="str">
        <x:v>Professor T</x:v>
      </x:c>
      <x:c r="E823" s="14" t="n">
        <x:v>60</x:v>
      </x:c>
      <x:c r="F823" s="14" t="str">
        <x:v>Professor T</x:v>
      </x:c>
      <x:c r="G823" s="14" t="str">
        <x:v>tt11981644</x:v>
      </x:c>
      <x:c r="H823" s="14" t="n">
        <x:v>2021</x:v>
      </x:c>
      <x:c r="I823" s="14" t="n">
        <x:v>2023</x:v>
      </x:c>
      <x:c r="J823" s="14" t="str">
        <x:v>Future Carry-Forward Cohort</x:v>
      </x:c>
      <x:c r="K823" s="14" t="n">
        <x:v>2021</x:v>
      </x:c>
      <x:c r="L823" s="14" t="str">
        <x:v>Available from 2021 analysis</x:v>
      </x:c>
      <x:c r="M823" s="15" t="n">
        <x:v>53</x:v>
      </x:c>
      <x:c r="N823" s="14" t="str">
        <x:v>Caroline Martin</x:v>
      </x:c>
      <x:c r="O823" s="14" t="str">
        <x:v>nm1521372</x:v>
      </x:c>
      <x:c r="P823" s="14" t="str">
        <x:v>The Judge</x:v>
      </x:c>
      <x:c r="Q823" s="15" t="n">
        <x:v>1</x:v>
      </x:c>
      <x:c r="R823" s="14" t="str">
        <x:v>2024</x:v>
      </x:c>
      <x:c r="S823" s="14" t="n">
        <x:v>2024</x:v>
      </x:c>
      <x:c r="T823" s="14" t="n">
        <x:v>2024</x:v>
      </x:c>
      <x:c r="U823" s="14" t="str">
        <x:v>Post-2021 casting excluded</x:v>
      </x:c>
      <x:c r="V823" s="14" t="str">
        <x:v>Earliest supplied year is 2024, later than the 2021 study year.</x:v>
      </x:c>
      <x:c r="W823" s="14"/>
      <x:c r="X823" s="14" t="str">
        <x:v>Carried forward to 2024</x:v>
      </x:c>
      <x:c r="Y823" s="14"/>
      <x:c r="Z823" s="14" t="str">
        <x:v>Professor T.docx</x:v>
      </x:c>
      <x:c r="AA82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3" s="14" t="str">
        <x:v>No established-register match</x:v>
      </x:c>
      <x:c r="AC823" s="14"/>
      <x:c r="AD823" s="14"/>
      <x:c r="AE823" s="14"/>
      <x:c r="AF823" s="14"/>
      <x:c r="AG823" s="14" t="str">
        <x:v>No qualifying conclusion recorded. Absence from the register is not evidence that the performer is not disabled.</x:v>
      </x:c>
      <x:c r="AH823" s="14" t="str">
        <x:v>ITV / ITVX</x:v>
      </x:c>
      <x:c r="AI823" s="14" t="str">
        <x:v>UK original commission</x:v>
      </x:c>
      <x:c r="AJ823" s="14" t="str">
        <x:v>Exact normalised title</x:v>
      </x:c>
      <x:c r="AK823" s="14" t="str">
        <x:v>Medium</x:v>
      </x:c>
      <x:c r="AL823" s="14" t="str">
        <x:v>Verified for commissioner/platform scope; uk original commission.</x:v>
      </x:c>
      <x:c r="AM823" s="17" t="e">
        <x:f>HYPERLINK("https://en.wikipedia.org/wiki/Professor_T.","Open source")</x:f>
        <x:v>HYPERLINK is not implemented. linkLocation=https://en.wikipedia.org/wiki/Professor_T., friendlyName=Open source</x:v>
      </x:c>
      <x:c r="AN823" s="14" t="str">
        <x:v>No qualifying BBC relationship</x:v>
      </x:c>
      <x:c r="AO823" s="14" t="str">
        <x:v>No</x:v>
      </x:c>
      <x:c r="AP823" s="14" t="str">
        <x:v>Out of scope</x:v>
      </x:c>
      <x:c r="AQ823" s="14" t="str">
        <x:v>No</x:v>
      </x:c>
      <x:c r="AR823" s="14" t="str">
        <x:v>Resolved from master register</x:v>
      </x:c>
      <x:c r="AS823" s="14" t="str">
        <x:v>No established-register match</x:v>
      </x:c>
      <x:c r="AT823" s="14"/>
      <x:c r="AU823" s="14"/>
      <x:c r="AV823" s="14" t="str">
        <x:v>No established apparent-disability match</x:v>
      </x:c>
      <x:c r="AW823" s="14"/>
      <x:c r="AX823" s="14" t="str">
        <x:v>No</x:v>
      </x:c>
      <x:c r="AY823" s="14" t="str">
        <x:v>Unmatched</x:v>
      </x:c>
      <x:c r="AZ823" s="14" t="str">
        <x:v>Final supplied register</x:v>
      </x:c>
      <x:c r="BA823" s="14" t="str">
        <x:v>Absence from the register is not evidence that the performer is not disabled.</x:v>
      </x:c>
      <x:c r="BB823" s="14" t="str">
        <x:v>No established-register match</x:v>
      </x:c>
      <x:c r="BC823" s="14"/>
      <x:c r="BD823" s="14"/>
      <x:c r="BE823" s="14"/>
      <x:c r="BF823" s="14" t="str">
        <x:v>No established apparent-disability match</x:v>
      </x:c>
      <x:c r="BG823" s="14"/>
      <x:c r="BH823" s="14" t="str">
        <x:v>No</x:v>
      </x:c>
      <x:c r="BI823" s="14"/>
      <x:c r="BJ823" s="14"/>
      <x:c r="BK823" s="14"/>
      <x:c r="BL823" s="14" t="str">
        <x:v>Unmatched</x:v>
      </x:c>
      <x:c r="BM823" s="14" t="str">
        <x:v>Final supplied register</x:v>
      </x:c>
      <x:c r="BN823" s="14" t="str">
        <x:v>Absence from the register is not evidence that the performer is not disabled.</x:v>
      </x:c>
      <x:c r="BO823" s="14" t="n">
        <x:v>30</x:v>
      </x:c>
      <x:c r="BP823" s="14" t="str">
        <x:v>Maximum eligible IMDb cast-credit total (30), shared by 2 performer(s); not independently verified as a 2021-only episode total.</x:v>
      </x:c>
      <x:c r="BQ823" s="14" t="str">
        <x:v>Medium</x:v>
      </x:c>
      <x:c r="BR823" s="15" t="n">
        <x:v>1</x:v>
      </x:c>
      <x:c r="BS823" s="16" t="n">
        <x:v>0.03333333333333333</x:v>
      </x:c>
      <x:c r="BT823" s="14" t="str">
        <x:v>One episode</x:v>
      </x:c>
      <x:c r="BU823" s="14" t="str">
        <x:v>Medium</x:v>
      </x:c>
      <x:c r="BV823" s="14" t="str">
        <x:v>Derived from supplied IMDb episode count and the documented production-total proxy.</x:v>
      </x:c>
      <x:c r="BW823" s="14" t="str">
        <x:v>Unable to determine</x:v>
      </x:c>
      <x:c r="BX823" s="14" t="str">
        <x:v>Supplied cast data establishes the credit and episode presence but does not establish narrative prominence.</x:v>
      </x:c>
      <x:c r="BY823" s="14" t="str">
        <x:v>Supplied IMDb cast-list workbook</x:v>
      </x:c>
      <x:c r="BZ82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3" s="14" t="str">
        <x:v>Not classified</x:v>
      </x:c>
      <x:c r="CB823" s="14" t="str">
        <x:v>Unable to determine</x:v>
      </x:c>
      <x:c r="CC823" s="14" t="str">
        <x:v>Unique</x:v>
      </x:c>
      <x:c r="CD823" s="14" t="str">
        <x:v>None identified</x:v>
      </x:c>
    </x:row>
    <x:row r="824">
      <x:c r="A824" s="14" t="str">
        <x:v>tt11981644|nm12207206|amara dhar</x:v>
      </x:c>
      <x:c r="B824" s="14" t="str">
        <x:v>02</x:v>
      </x:c>
      <x:c r="C824" s="14" t="str">
        <x:v>2021_IMDb_Cast_Lists_Batch_02(1).xlsx</x:v>
      </x:c>
      <x:c r="D824" s="14" t="str">
        <x:v>Professor T</x:v>
      </x:c>
      <x:c r="E824" s="14" t="n">
        <x:v>61</x:v>
      </x:c>
      <x:c r="F824" s="14" t="str">
        <x:v>Professor T</x:v>
      </x:c>
      <x:c r="G824" s="14" t="str">
        <x:v>tt11981644</x:v>
      </x:c>
      <x:c r="H824" s="14" t="n">
        <x:v>2021</x:v>
      </x:c>
      <x:c r="I824" s="14" t="n">
        <x:v>2023</x:v>
      </x:c>
      <x:c r="J824" s="14" t="str">
        <x:v>Future Carry-Forward Cohort</x:v>
      </x:c>
      <x:c r="K824" s="14" t="n">
        <x:v>2021</x:v>
      </x:c>
      <x:c r="L824" s="14" t="str">
        <x:v>Available from 2021 analysis</x:v>
      </x:c>
      <x:c r="M824" s="15" t="n">
        <x:v>54</x:v>
      </x:c>
      <x:c r="N824" s="14" t="str">
        <x:v>Chanel Fernandes</x:v>
      </x:c>
      <x:c r="O824" s="14" t="str">
        <x:v>nm12207206</x:v>
      </x:c>
      <x:c r="P824" s="14" t="str">
        <x:v>Amara Dhar</x:v>
      </x:c>
      <x:c r="Q824" s="15" t="n">
        <x:v>1</x:v>
      </x:c>
      <x:c r="R824" s="14" t="str">
        <x:v>2024</x:v>
      </x:c>
      <x:c r="S824" s="14" t="n">
        <x:v>2024</x:v>
      </x:c>
      <x:c r="T824" s="14" t="n">
        <x:v>2024</x:v>
      </x:c>
      <x:c r="U824" s="14" t="str">
        <x:v>Post-2021 casting excluded</x:v>
      </x:c>
      <x:c r="V824" s="14" t="str">
        <x:v>Earliest supplied year is 2024, later than the 2021 study year.</x:v>
      </x:c>
      <x:c r="W824" s="14"/>
      <x:c r="X824" s="14" t="str">
        <x:v>Carried forward to 2024</x:v>
      </x:c>
      <x:c r="Y824" s="14"/>
      <x:c r="Z824" s="14" t="str">
        <x:v>Professor T.docx</x:v>
      </x:c>
      <x:c r="AA82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4" s="14" t="str">
        <x:v>No established-register match</x:v>
      </x:c>
      <x:c r="AC824" s="14"/>
      <x:c r="AD824" s="14"/>
      <x:c r="AE824" s="14"/>
      <x:c r="AF824" s="14"/>
      <x:c r="AG824" s="14" t="str">
        <x:v>No qualifying conclusion recorded. Absence from the register is not evidence that the performer is not disabled.</x:v>
      </x:c>
      <x:c r="AH824" s="14" t="str">
        <x:v>ITV / ITVX</x:v>
      </x:c>
      <x:c r="AI824" s="14" t="str">
        <x:v>UK original commission</x:v>
      </x:c>
      <x:c r="AJ824" s="14" t="str">
        <x:v>Exact normalised title</x:v>
      </x:c>
      <x:c r="AK824" s="14" t="str">
        <x:v>Medium</x:v>
      </x:c>
      <x:c r="AL824" s="14" t="str">
        <x:v>Verified for commissioner/platform scope; uk original commission.</x:v>
      </x:c>
      <x:c r="AM824" s="17" t="e">
        <x:f>HYPERLINK("https://en.wikipedia.org/wiki/Professor_T.","Open source")</x:f>
        <x:v>HYPERLINK is not implemented. linkLocation=https://en.wikipedia.org/wiki/Professor_T., friendlyName=Open source</x:v>
      </x:c>
      <x:c r="AN824" s="14" t="str">
        <x:v>No qualifying BBC relationship</x:v>
      </x:c>
      <x:c r="AO824" s="14" t="str">
        <x:v>No</x:v>
      </x:c>
      <x:c r="AP824" s="14" t="str">
        <x:v>Out of scope</x:v>
      </x:c>
      <x:c r="AQ824" s="14" t="str">
        <x:v>No</x:v>
      </x:c>
      <x:c r="AR824" s="14" t="str">
        <x:v>Resolved from master register</x:v>
      </x:c>
      <x:c r="AS824" s="14" t="str">
        <x:v>No established-register match</x:v>
      </x:c>
      <x:c r="AT824" s="14"/>
      <x:c r="AU824" s="14"/>
      <x:c r="AV824" s="14" t="str">
        <x:v>No established apparent-disability match</x:v>
      </x:c>
      <x:c r="AW824" s="14"/>
      <x:c r="AX824" s="14" t="str">
        <x:v>No</x:v>
      </x:c>
      <x:c r="AY824" s="14" t="str">
        <x:v>Unmatched</x:v>
      </x:c>
      <x:c r="AZ824" s="14" t="str">
        <x:v>Final supplied register</x:v>
      </x:c>
      <x:c r="BA824" s="14" t="str">
        <x:v>Absence from the register is not evidence that the performer is not disabled.</x:v>
      </x:c>
      <x:c r="BB824" s="14" t="str">
        <x:v>No established-register match</x:v>
      </x:c>
      <x:c r="BC824" s="14"/>
      <x:c r="BD824" s="14"/>
      <x:c r="BE824" s="14"/>
      <x:c r="BF824" s="14" t="str">
        <x:v>No established apparent-disability match</x:v>
      </x:c>
      <x:c r="BG824" s="14"/>
      <x:c r="BH824" s="14" t="str">
        <x:v>No</x:v>
      </x:c>
      <x:c r="BI824" s="14"/>
      <x:c r="BJ824" s="14"/>
      <x:c r="BK824" s="14"/>
      <x:c r="BL824" s="14" t="str">
        <x:v>Unmatched</x:v>
      </x:c>
      <x:c r="BM824" s="14" t="str">
        <x:v>Final supplied register</x:v>
      </x:c>
      <x:c r="BN824" s="14" t="str">
        <x:v>Absence from the register is not evidence that the performer is not disabled.</x:v>
      </x:c>
      <x:c r="BO824" s="14" t="n">
        <x:v>30</x:v>
      </x:c>
      <x:c r="BP824" s="14" t="str">
        <x:v>Maximum eligible IMDb cast-credit total (30), shared by 2 performer(s); not independently verified as a 2021-only episode total.</x:v>
      </x:c>
      <x:c r="BQ824" s="14" t="str">
        <x:v>Medium</x:v>
      </x:c>
      <x:c r="BR824" s="15" t="n">
        <x:v>1</x:v>
      </x:c>
      <x:c r="BS824" s="16" t="n">
        <x:v>0.03333333333333333</x:v>
      </x:c>
      <x:c r="BT824" s="14" t="str">
        <x:v>One episode</x:v>
      </x:c>
      <x:c r="BU824" s="14" t="str">
        <x:v>Medium</x:v>
      </x:c>
      <x:c r="BV824" s="14" t="str">
        <x:v>Derived from supplied IMDb episode count and the documented production-total proxy.</x:v>
      </x:c>
      <x:c r="BW824" s="14" t="str">
        <x:v>Unable to determine</x:v>
      </x:c>
      <x:c r="BX824" s="14" t="str">
        <x:v>Supplied cast data establishes the credit and episode presence but does not establish narrative prominence.</x:v>
      </x:c>
      <x:c r="BY824" s="14" t="str">
        <x:v>Supplied IMDb cast-list workbook</x:v>
      </x:c>
      <x:c r="BZ82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4" s="14" t="str">
        <x:v>Not classified</x:v>
      </x:c>
      <x:c r="CB824" s="14" t="str">
        <x:v>Unable to determine</x:v>
      </x:c>
      <x:c r="CC824" s="14" t="str">
        <x:v>Unique</x:v>
      </x:c>
      <x:c r="CD824" s="14" t="str">
        <x:v>None identified</x:v>
      </x:c>
    </x:row>
    <x:row r="825">
      <x:c r="A825" s="14" t="str">
        <x:v>tt11981644|nm12484107|fabian scholes</x:v>
      </x:c>
      <x:c r="B825" s="14" t="str">
        <x:v>02</x:v>
      </x:c>
      <x:c r="C825" s="14" t="str">
        <x:v>2021_IMDb_Cast_Lists_Batch_02(1).xlsx</x:v>
      </x:c>
      <x:c r="D825" s="14" t="str">
        <x:v>Professor T</x:v>
      </x:c>
      <x:c r="E825" s="14" t="n">
        <x:v>62</x:v>
      </x:c>
      <x:c r="F825" s="14" t="str">
        <x:v>Professor T</x:v>
      </x:c>
      <x:c r="G825" s="14" t="str">
        <x:v>tt11981644</x:v>
      </x:c>
      <x:c r="H825" s="14" t="n">
        <x:v>2021</x:v>
      </x:c>
      <x:c r="I825" s="14" t="n">
        <x:v>2023</x:v>
      </x:c>
      <x:c r="J825" s="14" t="str">
        <x:v>Future Carry-Forward Cohort</x:v>
      </x:c>
      <x:c r="K825" s="14" t="n">
        <x:v>2021</x:v>
      </x:c>
      <x:c r="L825" s="14" t="str">
        <x:v>Available from 2021 analysis</x:v>
      </x:c>
      <x:c r="M825" s="15" t="n">
        <x:v>55</x:v>
      </x:c>
      <x:c r="N825" s="14" t="str">
        <x:v>Joeravar Sangha</x:v>
      </x:c>
      <x:c r="O825" s="14" t="str">
        <x:v>nm12484107</x:v>
      </x:c>
      <x:c r="P825" s="14" t="str">
        <x:v>Fabian Scholes</x:v>
      </x:c>
      <x:c r="Q825" s="15" t="n">
        <x:v>1</x:v>
      </x:c>
      <x:c r="R825" s="14" t="str">
        <x:v>2024</x:v>
      </x:c>
      <x:c r="S825" s="14" t="n">
        <x:v>2024</x:v>
      </x:c>
      <x:c r="T825" s="14" t="n">
        <x:v>2024</x:v>
      </x:c>
      <x:c r="U825" s="14" t="str">
        <x:v>Post-2021 casting excluded</x:v>
      </x:c>
      <x:c r="V825" s="14" t="str">
        <x:v>Earliest supplied year is 2024, later than the 2021 study year.</x:v>
      </x:c>
      <x:c r="W825" s="14"/>
      <x:c r="X825" s="14" t="str">
        <x:v>Carried forward to 2024</x:v>
      </x:c>
      <x:c r="Y825" s="14"/>
      <x:c r="Z825" s="14" t="str">
        <x:v>Professor T.docx</x:v>
      </x:c>
      <x:c r="AA82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5" s="14" t="str">
        <x:v>No established-register match</x:v>
      </x:c>
      <x:c r="AC825" s="14"/>
      <x:c r="AD825" s="14"/>
      <x:c r="AE825" s="14"/>
      <x:c r="AF825" s="14"/>
      <x:c r="AG825" s="14" t="str">
        <x:v>No qualifying conclusion recorded. Absence from the register is not evidence that the performer is not disabled.</x:v>
      </x:c>
      <x:c r="AH825" s="14" t="str">
        <x:v>ITV / ITVX</x:v>
      </x:c>
      <x:c r="AI825" s="14" t="str">
        <x:v>UK original commission</x:v>
      </x:c>
      <x:c r="AJ825" s="14" t="str">
        <x:v>Exact normalised title</x:v>
      </x:c>
      <x:c r="AK825" s="14" t="str">
        <x:v>Medium</x:v>
      </x:c>
      <x:c r="AL825" s="14" t="str">
        <x:v>Verified for commissioner/platform scope; uk original commission.</x:v>
      </x:c>
      <x:c r="AM825" s="17" t="e">
        <x:f>HYPERLINK("https://en.wikipedia.org/wiki/Professor_T.","Open source")</x:f>
        <x:v>HYPERLINK is not implemented. linkLocation=https://en.wikipedia.org/wiki/Professor_T., friendlyName=Open source</x:v>
      </x:c>
      <x:c r="AN825" s="14" t="str">
        <x:v>No qualifying BBC relationship</x:v>
      </x:c>
      <x:c r="AO825" s="14" t="str">
        <x:v>No</x:v>
      </x:c>
      <x:c r="AP825" s="14" t="str">
        <x:v>Out of scope</x:v>
      </x:c>
      <x:c r="AQ825" s="14" t="str">
        <x:v>No</x:v>
      </x:c>
      <x:c r="AR825" s="14" t="str">
        <x:v>Resolved from master register</x:v>
      </x:c>
      <x:c r="AS825" s="14" t="str">
        <x:v>No established-register match</x:v>
      </x:c>
      <x:c r="AT825" s="14"/>
      <x:c r="AU825" s="14"/>
      <x:c r="AV825" s="14" t="str">
        <x:v>No established apparent-disability match</x:v>
      </x:c>
      <x:c r="AW825" s="14"/>
      <x:c r="AX825" s="14" t="str">
        <x:v>No</x:v>
      </x:c>
      <x:c r="AY825" s="14" t="str">
        <x:v>Unmatched</x:v>
      </x:c>
      <x:c r="AZ825" s="14" t="str">
        <x:v>Final supplied register</x:v>
      </x:c>
      <x:c r="BA825" s="14" t="str">
        <x:v>Absence from the register is not evidence that the performer is not disabled.</x:v>
      </x:c>
      <x:c r="BB825" s="14" t="str">
        <x:v>No established-register match</x:v>
      </x:c>
      <x:c r="BC825" s="14"/>
      <x:c r="BD825" s="14"/>
      <x:c r="BE825" s="14"/>
      <x:c r="BF825" s="14" t="str">
        <x:v>No established apparent-disability match</x:v>
      </x:c>
      <x:c r="BG825" s="14"/>
      <x:c r="BH825" s="14" t="str">
        <x:v>No</x:v>
      </x:c>
      <x:c r="BI825" s="14"/>
      <x:c r="BJ825" s="14"/>
      <x:c r="BK825" s="14"/>
      <x:c r="BL825" s="14" t="str">
        <x:v>Unmatched</x:v>
      </x:c>
      <x:c r="BM825" s="14" t="str">
        <x:v>Final supplied register</x:v>
      </x:c>
      <x:c r="BN825" s="14" t="str">
        <x:v>Absence from the register is not evidence that the performer is not disabled.</x:v>
      </x:c>
      <x:c r="BO825" s="14" t="n">
        <x:v>30</x:v>
      </x:c>
      <x:c r="BP825" s="14" t="str">
        <x:v>Maximum eligible IMDb cast-credit total (30), shared by 2 performer(s); not independently verified as a 2021-only episode total.</x:v>
      </x:c>
      <x:c r="BQ825" s="14" t="str">
        <x:v>Medium</x:v>
      </x:c>
      <x:c r="BR825" s="15" t="n">
        <x:v>1</x:v>
      </x:c>
      <x:c r="BS825" s="16" t="n">
        <x:v>0.03333333333333333</x:v>
      </x:c>
      <x:c r="BT825" s="14" t="str">
        <x:v>One episode</x:v>
      </x:c>
      <x:c r="BU825" s="14" t="str">
        <x:v>Medium</x:v>
      </x:c>
      <x:c r="BV825" s="14" t="str">
        <x:v>Derived from supplied IMDb episode count and the documented production-total proxy.</x:v>
      </x:c>
      <x:c r="BW825" s="14" t="str">
        <x:v>Unable to determine</x:v>
      </x:c>
      <x:c r="BX825" s="14" t="str">
        <x:v>Supplied cast data establishes the credit and episode presence but does not establish narrative prominence.</x:v>
      </x:c>
      <x:c r="BY825" s="14" t="str">
        <x:v>Supplied IMDb cast-list workbook</x:v>
      </x:c>
      <x:c r="BZ82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5" s="14" t="str">
        <x:v>Not classified</x:v>
      </x:c>
      <x:c r="CB825" s="14" t="str">
        <x:v>Unable to determine</x:v>
      </x:c>
      <x:c r="CC825" s="14" t="str">
        <x:v>Unique</x:v>
      </x:c>
      <x:c r="CD825" s="14" t="str">
        <x:v>None identified</x:v>
      </x:c>
    </x:row>
    <x:row r="826">
      <x:c r="A826" s="14" t="str">
        <x:v>tt11981644|nm10230385|greta parkes</x:v>
      </x:c>
      <x:c r="B826" s="14" t="str">
        <x:v>02</x:v>
      </x:c>
      <x:c r="C826" s="14" t="str">
        <x:v>2021_IMDb_Cast_Lists_Batch_02(1).xlsx</x:v>
      </x:c>
      <x:c r="D826" s="14" t="str">
        <x:v>Professor T</x:v>
      </x:c>
      <x:c r="E826" s="14" t="n">
        <x:v>65</x:v>
      </x:c>
      <x:c r="F826" s="14" t="str">
        <x:v>Professor T</x:v>
      </x:c>
      <x:c r="G826" s="14" t="str">
        <x:v>tt11981644</x:v>
      </x:c>
      <x:c r="H826" s="14" t="n">
        <x:v>2021</x:v>
      </x:c>
      <x:c r="I826" s="14" t="n">
        <x:v>2023</x:v>
      </x:c>
      <x:c r="J826" s="14" t="str">
        <x:v>Future Carry-Forward Cohort</x:v>
      </x:c>
      <x:c r="K826" s="14" t="n">
        <x:v>2021</x:v>
      </x:c>
      <x:c r="L826" s="14" t="str">
        <x:v>Available from 2021 analysis</x:v>
      </x:c>
      <x:c r="M826" s="15" t="n">
        <x:v>58</x:v>
      </x:c>
      <x:c r="N826" s="14" t="str">
        <x:v>Isobel Laidler</x:v>
      </x:c>
      <x:c r="O826" s="14" t="str">
        <x:v>nm10230385</x:v>
      </x:c>
      <x:c r="P826" s="14" t="str">
        <x:v>Greta Parkes</x:v>
      </x:c>
      <x:c r="Q826" s="15" t="n">
        <x:v>1</x:v>
      </x:c>
      <x:c r="R826" s="14" t="str">
        <x:v>2024</x:v>
      </x:c>
      <x:c r="S826" s="14" t="n">
        <x:v>2024</x:v>
      </x:c>
      <x:c r="T826" s="14" t="n">
        <x:v>2024</x:v>
      </x:c>
      <x:c r="U826" s="14" t="str">
        <x:v>Post-2021 casting excluded</x:v>
      </x:c>
      <x:c r="V826" s="14" t="str">
        <x:v>Earliest supplied year is 2024, later than the 2021 study year.</x:v>
      </x:c>
      <x:c r="W826" s="14"/>
      <x:c r="X826" s="14" t="str">
        <x:v>Carried forward to 2024</x:v>
      </x:c>
      <x:c r="Y826" s="14"/>
      <x:c r="Z826" s="14" t="str">
        <x:v>Professor T.docx</x:v>
      </x:c>
      <x:c r="AA82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6" s="14" t="str">
        <x:v>No established-register match</x:v>
      </x:c>
      <x:c r="AC826" s="14"/>
      <x:c r="AD826" s="14"/>
      <x:c r="AE826" s="14"/>
      <x:c r="AF826" s="14"/>
      <x:c r="AG826" s="14" t="str">
        <x:v>No qualifying conclusion recorded. Absence from the register is not evidence that the performer is not disabled.</x:v>
      </x:c>
      <x:c r="AH826" s="14" t="str">
        <x:v>ITV / ITVX</x:v>
      </x:c>
      <x:c r="AI826" s="14" t="str">
        <x:v>UK original commission</x:v>
      </x:c>
      <x:c r="AJ826" s="14" t="str">
        <x:v>Exact normalised title</x:v>
      </x:c>
      <x:c r="AK826" s="14" t="str">
        <x:v>Medium</x:v>
      </x:c>
      <x:c r="AL826" s="14" t="str">
        <x:v>Verified for commissioner/platform scope; uk original commission.</x:v>
      </x:c>
      <x:c r="AM826" s="17" t="e">
        <x:f>HYPERLINK("https://en.wikipedia.org/wiki/Professor_T.","Open source")</x:f>
        <x:v>HYPERLINK is not implemented. linkLocation=https://en.wikipedia.org/wiki/Professor_T., friendlyName=Open source</x:v>
      </x:c>
      <x:c r="AN826" s="14" t="str">
        <x:v>No qualifying BBC relationship</x:v>
      </x:c>
      <x:c r="AO826" s="14" t="str">
        <x:v>No</x:v>
      </x:c>
      <x:c r="AP826" s="14" t="str">
        <x:v>Out of scope</x:v>
      </x:c>
      <x:c r="AQ826" s="14" t="str">
        <x:v>No</x:v>
      </x:c>
      <x:c r="AR826" s="14" t="str">
        <x:v>Resolved from master register</x:v>
      </x:c>
      <x:c r="AS826" s="14" t="str">
        <x:v>No established-register match</x:v>
      </x:c>
      <x:c r="AT826" s="14"/>
      <x:c r="AU826" s="14"/>
      <x:c r="AV826" s="14" t="str">
        <x:v>No established apparent-disability match</x:v>
      </x:c>
      <x:c r="AW826" s="14"/>
      <x:c r="AX826" s="14" t="str">
        <x:v>No</x:v>
      </x:c>
      <x:c r="AY826" s="14" t="str">
        <x:v>Unmatched</x:v>
      </x:c>
      <x:c r="AZ826" s="14" t="str">
        <x:v>Final supplied register</x:v>
      </x:c>
      <x:c r="BA826" s="14" t="str">
        <x:v>Absence from the register is not evidence that the performer is not disabled.</x:v>
      </x:c>
      <x:c r="BB826" s="14" t="str">
        <x:v>No established-register match</x:v>
      </x:c>
      <x:c r="BC826" s="14"/>
      <x:c r="BD826" s="14"/>
      <x:c r="BE826" s="14"/>
      <x:c r="BF826" s="14" t="str">
        <x:v>No established apparent-disability match</x:v>
      </x:c>
      <x:c r="BG826" s="14"/>
      <x:c r="BH826" s="14" t="str">
        <x:v>No</x:v>
      </x:c>
      <x:c r="BI826" s="14"/>
      <x:c r="BJ826" s="14"/>
      <x:c r="BK826" s="14"/>
      <x:c r="BL826" s="14" t="str">
        <x:v>Unmatched</x:v>
      </x:c>
      <x:c r="BM826" s="14" t="str">
        <x:v>Final supplied register</x:v>
      </x:c>
      <x:c r="BN826" s="14" t="str">
        <x:v>Absence from the register is not evidence that the performer is not disabled.</x:v>
      </x:c>
      <x:c r="BO826" s="14" t="n">
        <x:v>30</x:v>
      </x:c>
      <x:c r="BP826" s="14" t="str">
        <x:v>Maximum eligible IMDb cast-credit total (30), shared by 2 performer(s); not independently verified as a 2021-only episode total.</x:v>
      </x:c>
      <x:c r="BQ826" s="14" t="str">
        <x:v>Medium</x:v>
      </x:c>
      <x:c r="BR826" s="15" t="n">
        <x:v>1</x:v>
      </x:c>
      <x:c r="BS826" s="16" t="n">
        <x:v>0.03333333333333333</x:v>
      </x:c>
      <x:c r="BT826" s="14" t="str">
        <x:v>One episode</x:v>
      </x:c>
      <x:c r="BU826" s="14" t="str">
        <x:v>Medium</x:v>
      </x:c>
      <x:c r="BV826" s="14" t="str">
        <x:v>Derived from supplied IMDb episode count and the documented production-total proxy.</x:v>
      </x:c>
      <x:c r="BW826" s="14" t="str">
        <x:v>Unable to determine</x:v>
      </x:c>
      <x:c r="BX826" s="14" t="str">
        <x:v>Supplied cast data establishes the credit and episode presence but does not establish narrative prominence.</x:v>
      </x:c>
      <x:c r="BY826" s="14" t="str">
        <x:v>Supplied IMDb cast-list workbook</x:v>
      </x:c>
      <x:c r="BZ82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6" s="14" t="str">
        <x:v>Not classified</x:v>
      </x:c>
      <x:c r="CB826" s="14" t="str">
        <x:v>Unable to determine</x:v>
      </x:c>
      <x:c r="CC826" s="14" t="str">
        <x:v>Unique</x:v>
      </x:c>
      <x:c r="CD826" s="14" t="str">
        <x:v>None identified</x:v>
      </x:c>
    </x:row>
    <x:row r="827">
      <x:c r="A827" s="14" t="str">
        <x:v>tt11981644|nm14281491|seb vermorel</x:v>
      </x:c>
      <x:c r="B827" s="14" t="str">
        <x:v>02</x:v>
      </x:c>
      <x:c r="C827" s="14" t="str">
        <x:v>2021_IMDb_Cast_Lists_Batch_02(1).xlsx</x:v>
      </x:c>
      <x:c r="D827" s="14" t="str">
        <x:v>Professor T</x:v>
      </x:c>
      <x:c r="E827" s="14" t="n">
        <x:v>71</x:v>
      </x:c>
      <x:c r="F827" s="14" t="str">
        <x:v>Professor T</x:v>
      </x:c>
      <x:c r="G827" s="14" t="str">
        <x:v>tt11981644</x:v>
      </x:c>
      <x:c r="H827" s="14" t="n">
        <x:v>2021</x:v>
      </x:c>
      <x:c r="I827" s="14" t="n">
        <x:v>2023</x:v>
      </x:c>
      <x:c r="J827" s="14" t="str">
        <x:v>Future Carry-Forward Cohort</x:v>
      </x:c>
      <x:c r="K827" s="14" t="n">
        <x:v>2021</x:v>
      </x:c>
      <x:c r="L827" s="14" t="str">
        <x:v>Available from 2021 analysis</x:v>
      </x:c>
      <x:c r="M827" s="15" t="n">
        <x:v>64</x:v>
      </x:c>
      <x:c r="N827" s="14" t="str">
        <x:v>Ben Wilson</x:v>
      </x:c>
      <x:c r="O827" s="14" t="str">
        <x:v>nm14281491</x:v>
      </x:c>
      <x:c r="P827" s="14" t="str">
        <x:v>Seb Vermorel</x:v>
      </x:c>
      <x:c r="Q827" s="15" t="n">
        <x:v>1</x:v>
      </x:c>
      <x:c r="R827" s="14" t="str">
        <x:v>2024</x:v>
      </x:c>
      <x:c r="S827" s="14" t="n">
        <x:v>2024</x:v>
      </x:c>
      <x:c r="T827" s="14" t="n">
        <x:v>2024</x:v>
      </x:c>
      <x:c r="U827" s="14" t="str">
        <x:v>Post-2021 casting excluded</x:v>
      </x:c>
      <x:c r="V827" s="14" t="str">
        <x:v>Earliest supplied year is 2024, later than the 2021 study year.</x:v>
      </x:c>
      <x:c r="W827" s="14"/>
      <x:c r="X827" s="14" t="str">
        <x:v>Carried forward to 2024</x:v>
      </x:c>
      <x:c r="Y827" s="14"/>
      <x:c r="Z827" s="14" t="str">
        <x:v>Professor T.docx</x:v>
      </x:c>
      <x:c r="AA82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7" s="14" t="str">
        <x:v>No established-register match</x:v>
      </x:c>
      <x:c r="AC827" s="14"/>
      <x:c r="AD827" s="14"/>
      <x:c r="AE827" s="14"/>
      <x:c r="AF827" s="14"/>
      <x:c r="AG827" s="14" t="str">
        <x:v>No qualifying conclusion recorded. Absence from the register is not evidence that the performer is not disabled.</x:v>
      </x:c>
      <x:c r="AH827" s="14" t="str">
        <x:v>ITV / ITVX</x:v>
      </x:c>
      <x:c r="AI827" s="14" t="str">
        <x:v>UK original commission</x:v>
      </x:c>
      <x:c r="AJ827" s="14" t="str">
        <x:v>Exact normalised title</x:v>
      </x:c>
      <x:c r="AK827" s="14" t="str">
        <x:v>Medium</x:v>
      </x:c>
      <x:c r="AL827" s="14" t="str">
        <x:v>Verified for commissioner/platform scope; uk original commission.</x:v>
      </x:c>
      <x:c r="AM827" s="17" t="e">
        <x:f>HYPERLINK("https://en.wikipedia.org/wiki/Professor_T.","Open source")</x:f>
        <x:v>HYPERLINK is not implemented. linkLocation=https://en.wikipedia.org/wiki/Professor_T., friendlyName=Open source</x:v>
      </x:c>
      <x:c r="AN827" s="14" t="str">
        <x:v>No qualifying BBC relationship</x:v>
      </x:c>
      <x:c r="AO827" s="14" t="str">
        <x:v>No</x:v>
      </x:c>
      <x:c r="AP827" s="14" t="str">
        <x:v>Out of scope</x:v>
      </x:c>
      <x:c r="AQ827" s="14" t="str">
        <x:v>No</x:v>
      </x:c>
      <x:c r="AR827" s="14" t="str">
        <x:v>Resolved from master register</x:v>
      </x:c>
      <x:c r="AS827" s="14" t="str">
        <x:v>No established-register match</x:v>
      </x:c>
      <x:c r="AT827" s="14"/>
      <x:c r="AU827" s="14"/>
      <x:c r="AV827" s="14" t="str">
        <x:v>No established apparent-disability match</x:v>
      </x:c>
      <x:c r="AW827" s="14"/>
      <x:c r="AX827" s="14" t="str">
        <x:v>No</x:v>
      </x:c>
      <x:c r="AY827" s="14" t="str">
        <x:v>Unmatched</x:v>
      </x:c>
      <x:c r="AZ827" s="14" t="str">
        <x:v>Final supplied register</x:v>
      </x:c>
      <x:c r="BA827" s="14" t="str">
        <x:v>Absence from the register is not evidence that the performer is not disabled.</x:v>
      </x:c>
      <x:c r="BB827" s="14" t="str">
        <x:v>No established-register match</x:v>
      </x:c>
      <x:c r="BC827" s="14"/>
      <x:c r="BD827" s="14"/>
      <x:c r="BE827" s="14"/>
      <x:c r="BF827" s="14" t="str">
        <x:v>No established apparent-disability match</x:v>
      </x:c>
      <x:c r="BG827" s="14"/>
      <x:c r="BH827" s="14" t="str">
        <x:v>No</x:v>
      </x:c>
      <x:c r="BI827" s="14"/>
      <x:c r="BJ827" s="14"/>
      <x:c r="BK827" s="14"/>
      <x:c r="BL827" s="14" t="str">
        <x:v>Unmatched</x:v>
      </x:c>
      <x:c r="BM827" s="14" t="str">
        <x:v>Final supplied register</x:v>
      </x:c>
      <x:c r="BN827" s="14" t="str">
        <x:v>Absence from the register is not evidence that the performer is not disabled.</x:v>
      </x:c>
      <x:c r="BO827" s="14" t="n">
        <x:v>30</x:v>
      </x:c>
      <x:c r="BP827" s="14" t="str">
        <x:v>Maximum eligible IMDb cast-credit total (30), shared by 2 performer(s); not independently verified as a 2021-only episode total.</x:v>
      </x:c>
      <x:c r="BQ827" s="14" t="str">
        <x:v>Medium</x:v>
      </x:c>
      <x:c r="BR827" s="15" t="n">
        <x:v>1</x:v>
      </x:c>
      <x:c r="BS827" s="16" t="n">
        <x:v>0.03333333333333333</x:v>
      </x:c>
      <x:c r="BT827" s="14" t="str">
        <x:v>One episode</x:v>
      </x:c>
      <x:c r="BU827" s="14" t="str">
        <x:v>Medium</x:v>
      </x:c>
      <x:c r="BV827" s="14" t="str">
        <x:v>Derived from supplied IMDb episode count and the documented production-total proxy.</x:v>
      </x:c>
      <x:c r="BW827" s="14" t="str">
        <x:v>Unable to determine</x:v>
      </x:c>
      <x:c r="BX827" s="14" t="str">
        <x:v>Supplied cast data establishes the credit and episode presence but does not establish narrative prominence.</x:v>
      </x:c>
      <x:c r="BY827" s="14" t="str">
        <x:v>Supplied IMDb cast-list workbook</x:v>
      </x:c>
      <x:c r="BZ82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7" s="14" t="str">
        <x:v>Not classified</x:v>
      </x:c>
      <x:c r="CB827" s="14" t="str">
        <x:v>Unable to determine</x:v>
      </x:c>
      <x:c r="CC827" s="14" t="str">
        <x:v>Unique</x:v>
      </x:c>
      <x:c r="CD827" s="14" t="str">
        <x:v>None identified</x:v>
      </x:c>
    </x:row>
    <x:row r="828">
      <x:c r="A828" s="14" t="str">
        <x:v>tt11981644|nm2935576|tina morley</x:v>
      </x:c>
      <x:c r="B828" s="14" t="str">
        <x:v>02</x:v>
      </x:c>
      <x:c r="C828" s="14" t="str">
        <x:v>2021_IMDb_Cast_Lists_Batch_02(1).xlsx</x:v>
      </x:c>
      <x:c r="D828" s="14" t="str">
        <x:v>Professor T</x:v>
      </x:c>
      <x:c r="E828" s="14" t="n">
        <x:v>94</x:v>
      </x:c>
      <x:c r="F828" s="14" t="str">
        <x:v>Professor T</x:v>
      </x:c>
      <x:c r="G828" s="14" t="str">
        <x:v>tt11981644</x:v>
      </x:c>
      <x:c r="H828" s="14" t="n">
        <x:v>2021</x:v>
      </x:c>
      <x:c r="I828" s="14" t="n">
        <x:v>2023</x:v>
      </x:c>
      <x:c r="J828" s="14" t="str">
        <x:v>Future Carry-Forward Cohort</x:v>
      </x:c>
      <x:c r="K828" s="14" t="n">
        <x:v>2021</x:v>
      </x:c>
      <x:c r="L828" s="14" t="str">
        <x:v>Available from 2021 analysis</x:v>
      </x:c>
      <x:c r="M828" s="15" t="n">
        <x:v>87</x:v>
      </x:c>
      <x:c r="N828" s="14" t="str">
        <x:v>Jeany Spark</x:v>
      </x:c>
      <x:c r="O828" s="14" t="str">
        <x:v>nm2935576</x:v>
      </x:c>
      <x:c r="P828" s="14" t="str">
        <x:v>Tina Morley</x:v>
      </x:c>
      <x:c r="Q828" s="15" t="n">
        <x:v>1</x:v>
      </x:c>
      <x:c r="R828" s="14" t="str">
        <x:v>2024</x:v>
      </x:c>
      <x:c r="S828" s="14" t="n">
        <x:v>2024</x:v>
      </x:c>
      <x:c r="T828" s="14" t="n">
        <x:v>2024</x:v>
      </x:c>
      <x:c r="U828" s="14" t="str">
        <x:v>Post-2021 casting excluded</x:v>
      </x:c>
      <x:c r="V828" s="14" t="str">
        <x:v>Earliest supplied year is 2024, later than the 2021 study year.</x:v>
      </x:c>
      <x:c r="W828" s="14"/>
      <x:c r="X828" s="14" t="str">
        <x:v>Carried forward to 2024</x:v>
      </x:c>
      <x:c r="Y828" s="14"/>
      <x:c r="Z828" s="14" t="str">
        <x:v>Professor T.docx</x:v>
      </x:c>
      <x:c r="AA82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8" s="14" t="str">
        <x:v>No established-register match</x:v>
      </x:c>
      <x:c r="AC828" s="14"/>
      <x:c r="AD828" s="14"/>
      <x:c r="AE828" s="14"/>
      <x:c r="AF828" s="14"/>
      <x:c r="AG828" s="14" t="str">
        <x:v>No qualifying conclusion recorded. Absence from the register is not evidence that the performer is not disabled.</x:v>
      </x:c>
      <x:c r="AH828" s="14" t="str">
        <x:v>ITV / ITVX</x:v>
      </x:c>
      <x:c r="AI828" s="14" t="str">
        <x:v>UK original commission</x:v>
      </x:c>
      <x:c r="AJ828" s="14" t="str">
        <x:v>Exact normalised title</x:v>
      </x:c>
      <x:c r="AK828" s="14" t="str">
        <x:v>Medium</x:v>
      </x:c>
      <x:c r="AL828" s="14" t="str">
        <x:v>Verified for commissioner/platform scope; uk original commission.</x:v>
      </x:c>
      <x:c r="AM828" s="17" t="e">
        <x:f>HYPERLINK("https://en.wikipedia.org/wiki/Professor_T.","Open source")</x:f>
        <x:v>HYPERLINK is not implemented. linkLocation=https://en.wikipedia.org/wiki/Professor_T., friendlyName=Open source</x:v>
      </x:c>
      <x:c r="AN828" s="14" t="str">
        <x:v>No qualifying BBC relationship</x:v>
      </x:c>
      <x:c r="AO828" s="14" t="str">
        <x:v>No</x:v>
      </x:c>
      <x:c r="AP828" s="14" t="str">
        <x:v>Out of scope</x:v>
      </x:c>
      <x:c r="AQ828" s="14" t="str">
        <x:v>No</x:v>
      </x:c>
      <x:c r="AR828" s="14" t="str">
        <x:v>Resolved from master register</x:v>
      </x:c>
      <x:c r="AS828" s="14" t="str">
        <x:v>No established-register match</x:v>
      </x:c>
      <x:c r="AT828" s="14"/>
      <x:c r="AU828" s="14"/>
      <x:c r="AV828" s="14" t="str">
        <x:v>No established apparent-disability match</x:v>
      </x:c>
      <x:c r="AW828" s="14"/>
      <x:c r="AX828" s="14" t="str">
        <x:v>No</x:v>
      </x:c>
      <x:c r="AY828" s="14" t="str">
        <x:v>Unmatched</x:v>
      </x:c>
      <x:c r="AZ828" s="14" t="str">
        <x:v>Final supplied register</x:v>
      </x:c>
      <x:c r="BA828" s="14" t="str">
        <x:v>Absence from the register is not evidence that the performer is not disabled.</x:v>
      </x:c>
      <x:c r="BB828" s="14" t="str">
        <x:v>No established-register match</x:v>
      </x:c>
      <x:c r="BC828" s="14"/>
      <x:c r="BD828" s="14"/>
      <x:c r="BE828" s="14"/>
      <x:c r="BF828" s="14" t="str">
        <x:v>No established apparent-disability match</x:v>
      </x:c>
      <x:c r="BG828" s="14"/>
      <x:c r="BH828" s="14" t="str">
        <x:v>No</x:v>
      </x:c>
      <x:c r="BI828" s="14"/>
      <x:c r="BJ828" s="14"/>
      <x:c r="BK828" s="14"/>
      <x:c r="BL828" s="14" t="str">
        <x:v>Unmatched</x:v>
      </x:c>
      <x:c r="BM828" s="14" t="str">
        <x:v>Final supplied register</x:v>
      </x:c>
      <x:c r="BN828" s="14" t="str">
        <x:v>Absence from the register is not evidence that the performer is not disabled.</x:v>
      </x:c>
      <x:c r="BO828" s="14" t="n">
        <x:v>30</x:v>
      </x:c>
      <x:c r="BP828" s="14" t="str">
        <x:v>Maximum eligible IMDb cast-credit total (30), shared by 2 performer(s); not independently verified as a 2021-only episode total.</x:v>
      </x:c>
      <x:c r="BQ828" s="14" t="str">
        <x:v>Medium</x:v>
      </x:c>
      <x:c r="BR828" s="15" t="n">
        <x:v>1</x:v>
      </x:c>
      <x:c r="BS828" s="16" t="n">
        <x:v>0.03333333333333333</x:v>
      </x:c>
      <x:c r="BT828" s="14" t="str">
        <x:v>One episode</x:v>
      </x:c>
      <x:c r="BU828" s="14" t="str">
        <x:v>Medium</x:v>
      </x:c>
      <x:c r="BV828" s="14" t="str">
        <x:v>Derived from supplied IMDb episode count and the documented production-total proxy.</x:v>
      </x:c>
      <x:c r="BW828" s="14" t="str">
        <x:v>Unable to determine</x:v>
      </x:c>
      <x:c r="BX828" s="14" t="str">
        <x:v>Supplied cast data establishes the credit and episode presence but does not establish narrative prominence.</x:v>
      </x:c>
      <x:c r="BY828" s="14" t="str">
        <x:v>Supplied IMDb cast-list workbook</x:v>
      </x:c>
      <x:c r="BZ82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8" s="14" t="str">
        <x:v>Not classified</x:v>
      </x:c>
      <x:c r="CB828" s="14" t="str">
        <x:v>Unable to determine</x:v>
      </x:c>
      <x:c r="CC828" s="14" t="str">
        <x:v>Unique</x:v>
      </x:c>
      <x:c r="CD828" s="14" t="str">
        <x:v>None identified</x:v>
      </x:c>
    </x:row>
    <x:row r="829">
      <x:c r="A829" s="14" t="str">
        <x:v>tt11981644|nm3227473|peter tierney</x:v>
      </x:c>
      <x:c r="B829" s="14" t="str">
        <x:v>02</x:v>
      </x:c>
      <x:c r="C829" s="14" t="str">
        <x:v>2021_IMDb_Cast_Lists_Batch_02(1).xlsx</x:v>
      </x:c>
      <x:c r="D829" s="14" t="str">
        <x:v>Professor T</x:v>
      </x:c>
      <x:c r="E829" s="14" t="n">
        <x:v>104</x:v>
      </x:c>
      <x:c r="F829" s="14" t="str">
        <x:v>Professor T</x:v>
      </x:c>
      <x:c r="G829" s="14" t="str">
        <x:v>tt11981644</x:v>
      </x:c>
      <x:c r="H829" s="14" t="n">
        <x:v>2021</x:v>
      </x:c>
      <x:c r="I829" s="14" t="n">
        <x:v>2023</x:v>
      </x:c>
      <x:c r="J829" s="14" t="str">
        <x:v>Future Carry-Forward Cohort</x:v>
      </x:c>
      <x:c r="K829" s="14" t="n">
        <x:v>2021</x:v>
      </x:c>
      <x:c r="L829" s="14" t="str">
        <x:v>Available from 2021 analysis</x:v>
      </x:c>
      <x:c r="M829" s="15" t="n">
        <x:v>97</x:v>
      </x:c>
      <x:c r="N829" s="14" t="str">
        <x:v>John Hollingworth</x:v>
      </x:c>
      <x:c r="O829" s="14" t="str">
        <x:v>nm3227473</x:v>
      </x:c>
      <x:c r="P829" s="14" t="str">
        <x:v>Peter Tierney</x:v>
      </x:c>
      <x:c r="Q829" s="15" t="n">
        <x:v>1</x:v>
      </x:c>
      <x:c r="R829" s="14" t="str">
        <x:v>2024</x:v>
      </x:c>
      <x:c r="S829" s="14" t="n">
        <x:v>2024</x:v>
      </x:c>
      <x:c r="T829" s="14" t="n">
        <x:v>2024</x:v>
      </x:c>
      <x:c r="U829" s="14" t="str">
        <x:v>Post-2021 casting excluded</x:v>
      </x:c>
      <x:c r="V829" s="14" t="str">
        <x:v>Earliest supplied year is 2024, later than the 2021 study year.</x:v>
      </x:c>
      <x:c r="W829" s="14"/>
      <x:c r="X829" s="14" t="str">
        <x:v>Carried forward to 2024</x:v>
      </x:c>
      <x:c r="Y829" s="14"/>
      <x:c r="Z829" s="14" t="str">
        <x:v>Professor T.docx</x:v>
      </x:c>
      <x:c r="AA82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9" s="14" t="str">
        <x:v>No established-register match</x:v>
      </x:c>
      <x:c r="AC829" s="14"/>
      <x:c r="AD829" s="14"/>
      <x:c r="AE829" s="14"/>
      <x:c r="AF829" s="14"/>
      <x:c r="AG829" s="14" t="str">
        <x:v>No qualifying conclusion recorded. Absence from the register is not evidence that the performer is not disabled.</x:v>
      </x:c>
      <x:c r="AH829" s="14" t="str">
        <x:v>ITV / ITVX</x:v>
      </x:c>
      <x:c r="AI829" s="14" t="str">
        <x:v>UK original commission</x:v>
      </x:c>
      <x:c r="AJ829" s="14" t="str">
        <x:v>Exact normalised title</x:v>
      </x:c>
      <x:c r="AK829" s="14" t="str">
        <x:v>Medium</x:v>
      </x:c>
      <x:c r="AL829" s="14" t="str">
        <x:v>Verified for commissioner/platform scope; uk original commission.</x:v>
      </x:c>
      <x:c r="AM829" s="17" t="e">
        <x:f>HYPERLINK("https://en.wikipedia.org/wiki/Professor_T.","Open source")</x:f>
        <x:v>HYPERLINK is not implemented. linkLocation=https://en.wikipedia.org/wiki/Professor_T., friendlyName=Open source</x:v>
      </x:c>
      <x:c r="AN829" s="14" t="str">
        <x:v>No qualifying BBC relationship</x:v>
      </x:c>
      <x:c r="AO829" s="14" t="str">
        <x:v>No</x:v>
      </x:c>
      <x:c r="AP829" s="14" t="str">
        <x:v>Out of scope</x:v>
      </x:c>
      <x:c r="AQ829" s="14" t="str">
        <x:v>No</x:v>
      </x:c>
      <x:c r="AR829" s="14" t="str">
        <x:v>Resolved from master register</x:v>
      </x:c>
      <x:c r="AS829" s="14" t="str">
        <x:v>No established-register match</x:v>
      </x:c>
      <x:c r="AT829" s="14"/>
      <x:c r="AU829" s="14"/>
      <x:c r="AV829" s="14" t="str">
        <x:v>No established apparent-disability match</x:v>
      </x:c>
      <x:c r="AW829" s="14"/>
      <x:c r="AX829" s="14" t="str">
        <x:v>No</x:v>
      </x:c>
      <x:c r="AY829" s="14" t="str">
        <x:v>Unmatched</x:v>
      </x:c>
      <x:c r="AZ829" s="14" t="str">
        <x:v>Final supplied register</x:v>
      </x:c>
      <x:c r="BA829" s="14" t="str">
        <x:v>Absence from the register is not evidence that the performer is not disabled.</x:v>
      </x:c>
      <x:c r="BB829" s="14" t="str">
        <x:v>No established-register match</x:v>
      </x:c>
      <x:c r="BC829" s="14"/>
      <x:c r="BD829" s="14"/>
      <x:c r="BE829" s="14"/>
      <x:c r="BF829" s="14" t="str">
        <x:v>No established apparent-disability match</x:v>
      </x:c>
      <x:c r="BG829" s="14"/>
      <x:c r="BH829" s="14" t="str">
        <x:v>No</x:v>
      </x:c>
      <x:c r="BI829" s="14"/>
      <x:c r="BJ829" s="14"/>
      <x:c r="BK829" s="14"/>
      <x:c r="BL829" s="14" t="str">
        <x:v>Unmatched</x:v>
      </x:c>
      <x:c r="BM829" s="14" t="str">
        <x:v>Final supplied register</x:v>
      </x:c>
      <x:c r="BN829" s="14" t="str">
        <x:v>Absence from the register is not evidence that the performer is not disabled.</x:v>
      </x:c>
      <x:c r="BO829" s="14" t="n">
        <x:v>30</x:v>
      </x:c>
      <x:c r="BP829" s="14" t="str">
        <x:v>Maximum eligible IMDb cast-credit total (30), shared by 2 performer(s); not independently verified as a 2021-only episode total.</x:v>
      </x:c>
      <x:c r="BQ829" s="14" t="str">
        <x:v>Medium</x:v>
      </x:c>
      <x:c r="BR829" s="15" t="n">
        <x:v>1</x:v>
      </x:c>
      <x:c r="BS829" s="16" t="n">
        <x:v>0.03333333333333333</x:v>
      </x:c>
      <x:c r="BT829" s="14" t="str">
        <x:v>One episode</x:v>
      </x:c>
      <x:c r="BU829" s="14" t="str">
        <x:v>Medium</x:v>
      </x:c>
      <x:c r="BV829" s="14" t="str">
        <x:v>Derived from supplied IMDb episode count and the documented production-total proxy.</x:v>
      </x:c>
      <x:c r="BW829" s="14" t="str">
        <x:v>Unable to determine</x:v>
      </x:c>
      <x:c r="BX829" s="14" t="str">
        <x:v>Supplied cast data establishes the credit and episode presence but does not establish narrative prominence.</x:v>
      </x:c>
      <x:c r="BY829" s="14" t="str">
        <x:v>Supplied IMDb cast-list workbook</x:v>
      </x:c>
      <x:c r="BZ82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9" s="14" t="str">
        <x:v>Not classified</x:v>
      </x:c>
      <x:c r="CB829" s="14" t="str">
        <x:v>Unable to determine</x:v>
      </x:c>
      <x:c r="CC829" s="14" t="str">
        <x:v>Unique</x:v>
      </x:c>
      <x:c r="CD829" s="14" t="str">
        <x:v>None identified</x:v>
      </x:c>
    </x:row>
    <x:row r="830">
      <x:c r="A830" s="14" t="str">
        <x:v>tt11981644|nm0513201|reverend virgil hall</x:v>
      </x:c>
      <x:c r="B830" s="14" t="str">
        <x:v>02</x:v>
      </x:c>
      <x:c r="C830" s="14" t="str">
        <x:v>2021_IMDb_Cast_Lists_Batch_02(1).xlsx</x:v>
      </x:c>
      <x:c r="D830" s="14" t="str">
        <x:v>Professor T</x:v>
      </x:c>
      <x:c r="E830" s="14" t="n">
        <x:v>105</x:v>
      </x:c>
      <x:c r="F830" s="14" t="str">
        <x:v>Professor T</x:v>
      </x:c>
      <x:c r="G830" s="14" t="str">
        <x:v>tt11981644</x:v>
      </x:c>
      <x:c r="H830" s="14" t="n">
        <x:v>2021</x:v>
      </x:c>
      <x:c r="I830" s="14" t="n">
        <x:v>2023</x:v>
      </x:c>
      <x:c r="J830" s="14" t="str">
        <x:v>Future Carry-Forward Cohort</x:v>
      </x:c>
      <x:c r="K830" s="14" t="n">
        <x:v>2021</x:v>
      </x:c>
      <x:c r="L830" s="14" t="str">
        <x:v>Available from 2021 analysis</x:v>
      </x:c>
      <x:c r="M830" s="15" t="n">
        <x:v>98</x:v>
      </x:c>
      <x:c r="N830" s="14" t="str">
        <x:v>Richard Lintern</x:v>
      </x:c>
      <x:c r="O830" s="14" t="str">
        <x:v>nm0513201</x:v>
      </x:c>
      <x:c r="P830" s="14" t="str">
        <x:v>Reverend Virgil Hall</x:v>
      </x:c>
      <x:c r="Q830" s="15" t="n">
        <x:v>1</x:v>
      </x:c>
      <x:c r="R830" s="14" t="str">
        <x:v>2024</x:v>
      </x:c>
      <x:c r="S830" s="14" t="n">
        <x:v>2024</x:v>
      </x:c>
      <x:c r="T830" s="14" t="n">
        <x:v>2024</x:v>
      </x:c>
      <x:c r="U830" s="14" t="str">
        <x:v>Post-2021 casting excluded</x:v>
      </x:c>
      <x:c r="V830" s="14" t="str">
        <x:v>Earliest supplied year is 2024, later than the 2021 study year.</x:v>
      </x:c>
      <x:c r="W830" s="14"/>
      <x:c r="X830" s="14" t="str">
        <x:v>Carried forward to 2024</x:v>
      </x:c>
      <x:c r="Y830" s="14"/>
      <x:c r="Z830" s="14" t="str">
        <x:v>Professor T.docx</x:v>
      </x:c>
      <x:c r="AA83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0" s="14" t="str">
        <x:v>No established-register match</x:v>
      </x:c>
      <x:c r="AC830" s="14"/>
      <x:c r="AD830" s="14"/>
      <x:c r="AE830" s="14"/>
      <x:c r="AF830" s="14"/>
      <x:c r="AG830" s="14" t="str">
        <x:v>No qualifying conclusion recorded. Absence from the register is not evidence that the performer is not disabled.</x:v>
      </x:c>
      <x:c r="AH830" s="14" t="str">
        <x:v>ITV / ITVX</x:v>
      </x:c>
      <x:c r="AI830" s="14" t="str">
        <x:v>UK original commission</x:v>
      </x:c>
      <x:c r="AJ830" s="14" t="str">
        <x:v>Exact normalised title</x:v>
      </x:c>
      <x:c r="AK830" s="14" t="str">
        <x:v>Medium</x:v>
      </x:c>
      <x:c r="AL830" s="14" t="str">
        <x:v>Verified for commissioner/platform scope; uk original commission.</x:v>
      </x:c>
      <x:c r="AM830" s="17" t="e">
        <x:f>HYPERLINK("https://en.wikipedia.org/wiki/Professor_T.","Open source")</x:f>
        <x:v>HYPERLINK is not implemented. linkLocation=https://en.wikipedia.org/wiki/Professor_T., friendlyName=Open source</x:v>
      </x:c>
      <x:c r="AN830" s="14" t="str">
        <x:v>No qualifying BBC relationship</x:v>
      </x:c>
      <x:c r="AO830" s="14" t="str">
        <x:v>No</x:v>
      </x:c>
      <x:c r="AP830" s="14" t="str">
        <x:v>Out of scope</x:v>
      </x:c>
      <x:c r="AQ830" s="14" t="str">
        <x:v>No</x:v>
      </x:c>
      <x:c r="AR830" s="14" t="str">
        <x:v>Resolved from master register</x:v>
      </x:c>
      <x:c r="AS830" s="14" t="str">
        <x:v>No established-register match</x:v>
      </x:c>
      <x:c r="AT830" s="14"/>
      <x:c r="AU830" s="14"/>
      <x:c r="AV830" s="14" t="str">
        <x:v>No established apparent-disability match</x:v>
      </x:c>
      <x:c r="AW830" s="14"/>
      <x:c r="AX830" s="14" t="str">
        <x:v>No</x:v>
      </x:c>
      <x:c r="AY830" s="14" t="str">
        <x:v>Unmatched</x:v>
      </x:c>
      <x:c r="AZ830" s="14" t="str">
        <x:v>Final supplied register</x:v>
      </x:c>
      <x:c r="BA830" s="14" t="str">
        <x:v>Absence from the register is not evidence that the performer is not disabled.</x:v>
      </x:c>
      <x:c r="BB830" s="14" t="str">
        <x:v>No established-register match</x:v>
      </x:c>
      <x:c r="BC830" s="14"/>
      <x:c r="BD830" s="14"/>
      <x:c r="BE830" s="14"/>
      <x:c r="BF830" s="14" t="str">
        <x:v>No established apparent-disability match</x:v>
      </x:c>
      <x:c r="BG830" s="14"/>
      <x:c r="BH830" s="14" t="str">
        <x:v>No</x:v>
      </x:c>
      <x:c r="BI830" s="14"/>
      <x:c r="BJ830" s="14"/>
      <x:c r="BK830" s="14"/>
      <x:c r="BL830" s="14" t="str">
        <x:v>Unmatched</x:v>
      </x:c>
      <x:c r="BM830" s="14" t="str">
        <x:v>Final supplied register</x:v>
      </x:c>
      <x:c r="BN830" s="14" t="str">
        <x:v>Absence from the register is not evidence that the performer is not disabled.</x:v>
      </x:c>
      <x:c r="BO830" s="14" t="n">
        <x:v>30</x:v>
      </x:c>
      <x:c r="BP830" s="14" t="str">
        <x:v>Maximum eligible IMDb cast-credit total (30), shared by 2 performer(s); not independently verified as a 2021-only episode total.</x:v>
      </x:c>
      <x:c r="BQ830" s="14" t="str">
        <x:v>Medium</x:v>
      </x:c>
      <x:c r="BR830" s="15" t="n">
        <x:v>1</x:v>
      </x:c>
      <x:c r="BS830" s="16" t="n">
        <x:v>0.03333333333333333</x:v>
      </x:c>
      <x:c r="BT830" s="14" t="str">
        <x:v>One episode</x:v>
      </x:c>
      <x:c r="BU830" s="14" t="str">
        <x:v>Medium</x:v>
      </x:c>
      <x:c r="BV830" s="14" t="str">
        <x:v>Derived from supplied IMDb episode count and the documented production-total proxy.</x:v>
      </x:c>
      <x:c r="BW830" s="14" t="str">
        <x:v>Unable to determine</x:v>
      </x:c>
      <x:c r="BX830" s="14" t="str">
        <x:v>Supplied cast data establishes the credit and episode presence but does not establish narrative prominence.</x:v>
      </x:c>
      <x:c r="BY830" s="14" t="str">
        <x:v>Supplied IMDb cast-list workbook</x:v>
      </x:c>
      <x:c r="BZ83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0" s="14" t="str">
        <x:v>Not classified</x:v>
      </x:c>
      <x:c r="CB830" s="14" t="str">
        <x:v>Unable to determine</x:v>
      </x:c>
      <x:c r="CC830" s="14" t="str">
        <x:v>Unique</x:v>
      </x:c>
      <x:c r="CD830" s="14" t="str">
        <x:v>None identified</x:v>
      </x:c>
    </x:row>
    <x:row r="831">
      <x:c r="A831" s="14" t="str">
        <x:v>tt11981644|nm0054087|alex morley</x:v>
      </x:c>
      <x:c r="B831" s="14" t="str">
        <x:v>02</x:v>
      </x:c>
      <x:c r="C831" s="14" t="str">
        <x:v>2021_IMDb_Cast_Lists_Batch_02(1).xlsx</x:v>
      </x:c>
      <x:c r="D831" s="14" t="str">
        <x:v>Professor T</x:v>
      </x:c>
      <x:c r="E831" s="14" t="n">
        <x:v>106</x:v>
      </x:c>
      <x:c r="F831" s="14" t="str">
        <x:v>Professor T</x:v>
      </x:c>
      <x:c r="G831" s="14" t="str">
        <x:v>tt11981644</x:v>
      </x:c>
      <x:c r="H831" s="14" t="n">
        <x:v>2021</x:v>
      </x:c>
      <x:c r="I831" s="14" t="n">
        <x:v>2023</x:v>
      </x:c>
      <x:c r="J831" s="14" t="str">
        <x:v>Future Carry-Forward Cohort</x:v>
      </x:c>
      <x:c r="K831" s="14" t="n">
        <x:v>2021</x:v>
      </x:c>
      <x:c r="L831" s="14" t="str">
        <x:v>Available from 2021 analysis</x:v>
      </x:c>
      <x:c r="M831" s="15" t="n">
        <x:v>99</x:v>
      </x:c>
      <x:c r="N831" s="14" t="str">
        <x:v>Roger Barclay</x:v>
      </x:c>
      <x:c r="O831" s="14" t="str">
        <x:v>nm0054087</x:v>
      </x:c>
      <x:c r="P831" s="14" t="str">
        <x:v>Alex Morley</x:v>
      </x:c>
      <x:c r="Q831" s="15" t="n">
        <x:v>1</x:v>
      </x:c>
      <x:c r="R831" s="14" t="str">
        <x:v>2024</x:v>
      </x:c>
      <x:c r="S831" s="14" t="n">
        <x:v>2024</x:v>
      </x:c>
      <x:c r="T831" s="14" t="n">
        <x:v>2024</x:v>
      </x:c>
      <x:c r="U831" s="14" t="str">
        <x:v>Post-2021 casting excluded</x:v>
      </x:c>
      <x:c r="V831" s="14" t="str">
        <x:v>Earliest supplied year is 2024, later than the 2021 study year.</x:v>
      </x:c>
      <x:c r="W831" s="14"/>
      <x:c r="X831" s="14" t="str">
        <x:v>Carried forward to 2024</x:v>
      </x:c>
      <x:c r="Y831" s="14"/>
      <x:c r="Z831" s="14" t="str">
        <x:v>Professor T.docx</x:v>
      </x:c>
      <x:c r="AA83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1" s="14" t="str">
        <x:v>No established-register match</x:v>
      </x:c>
      <x:c r="AC831" s="14"/>
      <x:c r="AD831" s="14"/>
      <x:c r="AE831" s="14"/>
      <x:c r="AF831" s="14"/>
      <x:c r="AG831" s="14" t="str">
        <x:v>No qualifying conclusion recorded. Absence from the register is not evidence that the performer is not disabled.</x:v>
      </x:c>
      <x:c r="AH831" s="14" t="str">
        <x:v>ITV / ITVX</x:v>
      </x:c>
      <x:c r="AI831" s="14" t="str">
        <x:v>UK original commission</x:v>
      </x:c>
      <x:c r="AJ831" s="14" t="str">
        <x:v>Exact normalised title</x:v>
      </x:c>
      <x:c r="AK831" s="14" t="str">
        <x:v>Medium</x:v>
      </x:c>
      <x:c r="AL831" s="14" t="str">
        <x:v>Verified for commissioner/platform scope; uk original commission.</x:v>
      </x:c>
      <x:c r="AM831" s="17" t="e">
        <x:f>HYPERLINK("https://en.wikipedia.org/wiki/Professor_T.","Open source")</x:f>
        <x:v>HYPERLINK is not implemented. linkLocation=https://en.wikipedia.org/wiki/Professor_T., friendlyName=Open source</x:v>
      </x:c>
      <x:c r="AN831" s="14" t="str">
        <x:v>No qualifying BBC relationship</x:v>
      </x:c>
      <x:c r="AO831" s="14" t="str">
        <x:v>No</x:v>
      </x:c>
      <x:c r="AP831" s="14" t="str">
        <x:v>Out of scope</x:v>
      </x:c>
      <x:c r="AQ831" s="14" t="str">
        <x:v>No</x:v>
      </x:c>
      <x:c r="AR831" s="14" t="str">
        <x:v>Resolved from master register</x:v>
      </x:c>
      <x:c r="AS831" s="14" t="str">
        <x:v>No established-register match</x:v>
      </x:c>
      <x:c r="AT831" s="14"/>
      <x:c r="AU831" s="14"/>
      <x:c r="AV831" s="14" t="str">
        <x:v>No established apparent-disability match</x:v>
      </x:c>
      <x:c r="AW831" s="14"/>
      <x:c r="AX831" s="14" t="str">
        <x:v>No</x:v>
      </x:c>
      <x:c r="AY831" s="14" t="str">
        <x:v>Unmatched</x:v>
      </x:c>
      <x:c r="AZ831" s="14" t="str">
        <x:v>Final supplied register</x:v>
      </x:c>
      <x:c r="BA831" s="14" t="str">
        <x:v>Absence from the register is not evidence that the performer is not disabled.</x:v>
      </x:c>
      <x:c r="BB831" s="14" t="str">
        <x:v>No established-register match</x:v>
      </x:c>
      <x:c r="BC831" s="14"/>
      <x:c r="BD831" s="14"/>
      <x:c r="BE831" s="14"/>
      <x:c r="BF831" s="14" t="str">
        <x:v>No established apparent-disability match</x:v>
      </x:c>
      <x:c r="BG831" s="14"/>
      <x:c r="BH831" s="14" t="str">
        <x:v>No</x:v>
      </x:c>
      <x:c r="BI831" s="14"/>
      <x:c r="BJ831" s="14"/>
      <x:c r="BK831" s="14"/>
      <x:c r="BL831" s="14" t="str">
        <x:v>Unmatched</x:v>
      </x:c>
      <x:c r="BM831" s="14" t="str">
        <x:v>Final supplied register</x:v>
      </x:c>
      <x:c r="BN831" s="14" t="str">
        <x:v>Absence from the register is not evidence that the performer is not disabled.</x:v>
      </x:c>
      <x:c r="BO831" s="14" t="n">
        <x:v>30</x:v>
      </x:c>
      <x:c r="BP831" s="14" t="str">
        <x:v>Maximum eligible IMDb cast-credit total (30), shared by 2 performer(s); not independently verified as a 2021-only episode total.</x:v>
      </x:c>
      <x:c r="BQ831" s="14" t="str">
        <x:v>Medium</x:v>
      </x:c>
      <x:c r="BR831" s="15" t="n">
        <x:v>1</x:v>
      </x:c>
      <x:c r="BS831" s="16" t="n">
        <x:v>0.03333333333333333</x:v>
      </x:c>
      <x:c r="BT831" s="14" t="str">
        <x:v>One episode</x:v>
      </x:c>
      <x:c r="BU831" s="14" t="str">
        <x:v>Medium</x:v>
      </x:c>
      <x:c r="BV831" s="14" t="str">
        <x:v>Derived from supplied IMDb episode count and the documented production-total proxy.</x:v>
      </x:c>
      <x:c r="BW831" s="14" t="str">
        <x:v>Unable to determine</x:v>
      </x:c>
      <x:c r="BX831" s="14" t="str">
        <x:v>Supplied cast data establishes the credit and episode presence but does not establish narrative prominence.</x:v>
      </x:c>
      <x:c r="BY831" s="14" t="str">
        <x:v>Supplied IMDb cast-list workbook</x:v>
      </x:c>
      <x:c r="BZ83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1" s="14" t="str">
        <x:v>Not classified</x:v>
      </x:c>
      <x:c r="CB831" s="14" t="str">
        <x:v>Unable to determine</x:v>
      </x:c>
      <x:c r="CC831" s="14" t="str">
        <x:v>Unique</x:v>
      </x:c>
      <x:c r="CD831" s="14" t="str">
        <x:v>None identified</x:v>
      </x:c>
    </x:row>
    <x:row r="832">
      <x:c r="A832" s="14" t="str">
        <x:v>tt11981644|nm4128484|theresa carver</x:v>
      </x:c>
      <x:c r="B832" s="14" t="str">
        <x:v>02</x:v>
      </x:c>
      <x:c r="C832" s="14" t="str">
        <x:v>2021_IMDb_Cast_Lists_Batch_02(1).xlsx</x:v>
      </x:c>
      <x:c r="D832" s="14" t="str">
        <x:v>Professor T</x:v>
      </x:c>
      <x:c r="E832" s="14" t="n">
        <x:v>107</x:v>
      </x:c>
      <x:c r="F832" s="14" t="str">
        <x:v>Professor T</x:v>
      </x:c>
      <x:c r="G832" s="14" t="str">
        <x:v>tt11981644</x:v>
      </x:c>
      <x:c r="H832" s="14" t="n">
        <x:v>2021</x:v>
      </x:c>
      <x:c r="I832" s="14" t="n">
        <x:v>2023</x:v>
      </x:c>
      <x:c r="J832" s="14" t="str">
        <x:v>Future Carry-Forward Cohort</x:v>
      </x:c>
      <x:c r="K832" s="14" t="n">
        <x:v>2021</x:v>
      </x:c>
      <x:c r="L832" s="14" t="str">
        <x:v>Available from 2021 analysis</x:v>
      </x:c>
      <x:c r="M832" s="15" t="n">
        <x:v>100</x:v>
      </x:c>
      <x:c r="N832" s="14" t="str">
        <x:v>Moyo Akandé</x:v>
      </x:c>
      <x:c r="O832" s="14" t="str">
        <x:v>nm4128484</x:v>
      </x:c>
      <x:c r="P832" s="14" t="str">
        <x:v>Theresa Carver</x:v>
      </x:c>
      <x:c r="Q832" s="15" t="n">
        <x:v>1</x:v>
      </x:c>
      <x:c r="R832" s="14" t="str">
        <x:v>2024</x:v>
      </x:c>
      <x:c r="S832" s="14" t="n">
        <x:v>2024</x:v>
      </x:c>
      <x:c r="T832" s="14" t="n">
        <x:v>2024</x:v>
      </x:c>
      <x:c r="U832" s="14" t="str">
        <x:v>Post-2021 casting excluded</x:v>
      </x:c>
      <x:c r="V832" s="14" t="str">
        <x:v>Earliest supplied year is 2024, later than the 2021 study year.</x:v>
      </x:c>
      <x:c r="W832" s="14"/>
      <x:c r="X832" s="14" t="str">
        <x:v>Carried forward to 2024</x:v>
      </x:c>
      <x:c r="Y832" s="14"/>
      <x:c r="Z832" s="14" t="str">
        <x:v>Professor T.docx</x:v>
      </x:c>
      <x:c r="AA83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2" s="14" t="str">
        <x:v>No established-register match</x:v>
      </x:c>
      <x:c r="AC832" s="14"/>
      <x:c r="AD832" s="14"/>
      <x:c r="AE832" s="14"/>
      <x:c r="AF832" s="14"/>
      <x:c r="AG832" s="14" t="str">
        <x:v>No qualifying conclusion recorded. Absence from the register is not evidence that the performer is not disabled.</x:v>
      </x:c>
      <x:c r="AH832" s="14" t="str">
        <x:v>ITV / ITVX</x:v>
      </x:c>
      <x:c r="AI832" s="14" t="str">
        <x:v>UK original commission</x:v>
      </x:c>
      <x:c r="AJ832" s="14" t="str">
        <x:v>Exact normalised title</x:v>
      </x:c>
      <x:c r="AK832" s="14" t="str">
        <x:v>Medium</x:v>
      </x:c>
      <x:c r="AL832" s="14" t="str">
        <x:v>Verified for commissioner/platform scope; uk original commission.</x:v>
      </x:c>
      <x:c r="AM832" s="17" t="e">
        <x:f>HYPERLINK("https://en.wikipedia.org/wiki/Professor_T.","Open source")</x:f>
        <x:v>HYPERLINK is not implemented. linkLocation=https://en.wikipedia.org/wiki/Professor_T., friendlyName=Open source</x:v>
      </x:c>
      <x:c r="AN832" s="14" t="str">
        <x:v>No qualifying BBC relationship</x:v>
      </x:c>
      <x:c r="AO832" s="14" t="str">
        <x:v>No</x:v>
      </x:c>
      <x:c r="AP832" s="14" t="str">
        <x:v>Out of scope</x:v>
      </x:c>
      <x:c r="AQ832" s="14" t="str">
        <x:v>No</x:v>
      </x:c>
      <x:c r="AR832" s="14" t="str">
        <x:v>Resolved from master register</x:v>
      </x:c>
      <x:c r="AS832" s="14" t="str">
        <x:v>No established-register match</x:v>
      </x:c>
      <x:c r="AT832" s="14"/>
      <x:c r="AU832" s="14"/>
      <x:c r="AV832" s="14" t="str">
        <x:v>No established apparent-disability match</x:v>
      </x:c>
      <x:c r="AW832" s="14"/>
      <x:c r="AX832" s="14" t="str">
        <x:v>No</x:v>
      </x:c>
      <x:c r="AY832" s="14" t="str">
        <x:v>Unmatched</x:v>
      </x:c>
      <x:c r="AZ832" s="14" t="str">
        <x:v>Final supplied register</x:v>
      </x:c>
      <x:c r="BA832" s="14" t="str">
        <x:v>Absence from the register is not evidence that the performer is not disabled.</x:v>
      </x:c>
      <x:c r="BB832" s="14" t="str">
        <x:v>No established-register match</x:v>
      </x:c>
      <x:c r="BC832" s="14"/>
      <x:c r="BD832" s="14"/>
      <x:c r="BE832" s="14"/>
      <x:c r="BF832" s="14" t="str">
        <x:v>No established apparent-disability match</x:v>
      </x:c>
      <x:c r="BG832" s="14"/>
      <x:c r="BH832" s="14" t="str">
        <x:v>No</x:v>
      </x:c>
      <x:c r="BI832" s="14"/>
      <x:c r="BJ832" s="14"/>
      <x:c r="BK832" s="14"/>
      <x:c r="BL832" s="14" t="str">
        <x:v>Unmatched</x:v>
      </x:c>
      <x:c r="BM832" s="14" t="str">
        <x:v>Final supplied register</x:v>
      </x:c>
      <x:c r="BN832" s="14" t="str">
        <x:v>Absence from the register is not evidence that the performer is not disabled.</x:v>
      </x:c>
      <x:c r="BO832" s="14" t="n">
        <x:v>30</x:v>
      </x:c>
      <x:c r="BP832" s="14" t="str">
        <x:v>Maximum eligible IMDb cast-credit total (30), shared by 2 performer(s); not independently verified as a 2021-only episode total.</x:v>
      </x:c>
      <x:c r="BQ832" s="14" t="str">
        <x:v>Medium</x:v>
      </x:c>
      <x:c r="BR832" s="15" t="n">
        <x:v>1</x:v>
      </x:c>
      <x:c r="BS832" s="16" t="n">
        <x:v>0.03333333333333333</x:v>
      </x:c>
      <x:c r="BT832" s="14" t="str">
        <x:v>One episode</x:v>
      </x:c>
      <x:c r="BU832" s="14" t="str">
        <x:v>Medium</x:v>
      </x:c>
      <x:c r="BV832" s="14" t="str">
        <x:v>Derived from supplied IMDb episode count and the documented production-total proxy.</x:v>
      </x:c>
      <x:c r="BW832" s="14" t="str">
        <x:v>Unable to determine</x:v>
      </x:c>
      <x:c r="BX832" s="14" t="str">
        <x:v>Supplied cast data establishes the credit and episode presence but does not establish narrative prominence.</x:v>
      </x:c>
      <x:c r="BY832" s="14" t="str">
        <x:v>Supplied IMDb cast-list workbook</x:v>
      </x:c>
      <x:c r="BZ83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2" s="14" t="str">
        <x:v>Not classified</x:v>
      </x:c>
      <x:c r="CB832" s="14" t="str">
        <x:v>Unable to determine</x:v>
      </x:c>
      <x:c r="CC832" s="14" t="str">
        <x:v>Unique</x:v>
      </x:c>
      <x:c r="CD832" s="14" t="str">
        <x:v>None identified</x:v>
      </x:c>
    </x:row>
    <x:row r="833">
      <x:c r="A833" s="14" t="str">
        <x:v>tt11981644|nm4723190|max turnbull</x:v>
      </x:c>
      <x:c r="B833" s="14" t="str">
        <x:v>02</x:v>
      </x:c>
      <x:c r="C833" s="14" t="str">
        <x:v>2021_IMDb_Cast_Lists_Batch_02(1).xlsx</x:v>
      </x:c>
      <x:c r="D833" s="14" t="str">
        <x:v>Professor T</x:v>
      </x:c>
      <x:c r="E833" s="14" t="n">
        <x:v>118</x:v>
      </x:c>
      <x:c r="F833" s="14" t="str">
        <x:v>Professor T</x:v>
      </x:c>
      <x:c r="G833" s="14" t="str">
        <x:v>tt11981644</x:v>
      </x:c>
      <x:c r="H833" s="14" t="n">
        <x:v>2021</x:v>
      </x:c>
      <x:c r="I833" s="14" t="n">
        <x:v>2023</x:v>
      </x:c>
      <x:c r="J833" s="14" t="str">
        <x:v>Future Carry-Forward Cohort</x:v>
      </x:c>
      <x:c r="K833" s="14" t="n">
        <x:v>2021</x:v>
      </x:c>
      <x:c r="L833" s="14" t="str">
        <x:v>Available from 2021 analysis</x:v>
      </x:c>
      <x:c r="M833" s="15" t="n">
        <x:v>111</x:v>
      </x:c>
      <x:c r="N833" s="14" t="str">
        <x:v>Jeremy Neumark Jones</x:v>
      </x:c>
      <x:c r="O833" s="14" t="str">
        <x:v>nm4723190</x:v>
      </x:c>
      <x:c r="P833" s="14" t="str">
        <x:v>Max Turnbull</x:v>
      </x:c>
      <x:c r="Q833" s="15" t="n">
        <x:v>1</x:v>
      </x:c>
      <x:c r="R833" s="14" t="str">
        <x:v>2024</x:v>
      </x:c>
      <x:c r="S833" s="14" t="n">
        <x:v>2024</x:v>
      </x:c>
      <x:c r="T833" s="14" t="n">
        <x:v>2024</x:v>
      </x:c>
      <x:c r="U833" s="14" t="str">
        <x:v>Post-2021 casting excluded</x:v>
      </x:c>
      <x:c r="V833" s="14" t="str">
        <x:v>Earliest supplied year is 2024, later than the 2021 study year.</x:v>
      </x:c>
      <x:c r="W833" s="14"/>
      <x:c r="X833" s="14" t="str">
        <x:v>Carried forward to 2024</x:v>
      </x:c>
      <x:c r="Y833" s="14"/>
      <x:c r="Z833" s="14" t="str">
        <x:v>Professor T.docx</x:v>
      </x:c>
      <x:c r="AA83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3" s="14" t="str">
        <x:v>No established-register match</x:v>
      </x:c>
      <x:c r="AC833" s="14"/>
      <x:c r="AD833" s="14"/>
      <x:c r="AE833" s="14"/>
      <x:c r="AF833" s="14"/>
      <x:c r="AG833" s="14" t="str">
        <x:v>No qualifying conclusion recorded. Absence from the register is not evidence that the performer is not disabled.</x:v>
      </x:c>
      <x:c r="AH833" s="14" t="str">
        <x:v>ITV / ITVX</x:v>
      </x:c>
      <x:c r="AI833" s="14" t="str">
        <x:v>UK original commission</x:v>
      </x:c>
      <x:c r="AJ833" s="14" t="str">
        <x:v>Exact normalised title</x:v>
      </x:c>
      <x:c r="AK833" s="14" t="str">
        <x:v>Medium</x:v>
      </x:c>
      <x:c r="AL833" s="14" t="str">
        <x:v>Verified for commissioner/platform scope; uk original commission.</x:v>
      </x:c>
      <x:c r="AM833" s="17" t="e">
        <x:f>HYPERLINK("https://en.wikipedia.org/wiki/Professor_T.","Open source")</x:f>
        <x:v>HYPERLINK is not implemented. linkLocation=https://en.wikipedia.org/wiki/Professor_T., friendlyName=Open source</x:v>
      </x:c>
      <x:c r="AN833" s="14" t="str">
        <x:v>No qualifying BBC relationship</x:v>
      </x:c>
      <x:c r="AO833" s="14" t="str">
        <x:v>No</x:v>
      </x:c>
      <x:c r="AP833" s="14" t="str">
        <x:v>Out of scope</x:v>
      </x:c>
      <x:c r="AQ833" s="14" t="str">
        <x:v>No</x:v>
      </x:c>
      <x:c r="AR833" s="14" t="str">
        <x:v>Resolved from master register</x:v>
      </x:c>
      <x:c r="AS833" s="14" t="str">
        <x:v>No established-register match</x:v>
      </x:c>
      <x:c r="AT833" s="14"/>
      <x:c r="AU833" s="14"/>
      <x:c r="AV833" s="14" t="str">
        <x:v>No established apparent-disability match</x:v>
      </x:c>
      <x:c r="AW833" s="14"/>
      <x:c r="AX833" s="14" t="str">
        <x:v>No</x:v>
      </x:c>
      <x:c r="AY833" s="14" t="str">
        <x:v>Unmatched</x:v>
      </x:c>
      <x:c r="AZ833" s="14" t="str">
        <x:v>Final supplied register</x:v>
      </x:c>
      <x:c r="BA833" s="14" t="str">
        <x:v>Absence from the register is not evidence that the performer is not disabled.</x:v>
      </x:c>
      <x:c r="BB833" s="14" t="str">
        <x:v>No established-register match</x:v>
      </x:c>
      <x:c r="BC833" s="14"/>
      <x:c r="BD833" s="14"/>
      <x:c r="BE833" s="14"/>
      <x:c r="BF833" s="14" t="str">
        <x:v>No established apparent-disability match</x:v>
      </x:c>
      <x:c r="BG833" s="14"/>
      <x:c r="BH833" s="14" t="str">
        <x:v>No</x:v>
      </x:c>
      <x:c r="BI833" s="14"/>
      <x:c r="BJ833" s="14"/>
      <x:c r="BK833" s="14"/>
      <x:c r="BL833" s="14" t="str">
        <x:v>Unmatched</x:v>
      </x:c>
      <x:c r="BM833" s="14" t="str">
        <x:v>Final supplied register</x:v>
      </x:c>
      <x:c r="BN833" s="14" t="str">
        <x:v>Absence from the register is not evidence that the performer is not disabled.</x:v>
      </x:c>
      <x:c r="BO833" s="14" t="n">
        <x:v>30</x:v>
      </x:c>
      <x:c r="BP833" s="14" t="str">
        <x:v>Maximum eligible IMDb cast-credit total (30), shared by 2 performer(s); not independently verified as a 2021-only episode total.</x:v>
      </x:c>
      <x:c r="BQ833" s="14" t="str">
        <x:v>Medium</x:v>
      </x:c>
      <x:c r="BR833" s="15" t="n">
        <x:v>1</x:v>
      </x:c>
      <x:c r="BS833" s="16" t="n">
        <x:v>0.03333333333333333</x:v>
      </x:c>
      <x:c r="BT833" s="14" t="str">
        <x:v>One episode</x:v>
      </x:c>
      <x:c r="BU833" s="14" t="str">
        <x:v>Medium</x:v>
      </x:c>
      <x:c r="BV833" s="14" t="str">
        <x:v>Derived from supplied IMDb episode count and the documented production-total proxy.</x:v>
      </x:c>
      <x:c r="BW833" s="14" t="str">
        <x:v>Unable to determine</x:v>
      </x:c>
      <x:c r="BX833" s="14" t="str">
        <x:v>Supplied cast data establishes the credit and episode presence but does not establish narrative prominence.</x:v>
      </x:c>
      <x:c r="BY833" s="14" t="str">
        <x:v>Supplied IMDb cast-list workbook</x:v>
      </x:c>
      <x:c r="BZ83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3" s="14" t="str">
        <x:v>Not classified</x:v>
      </x:c>
      <x:c r="CB833" s="14" t="str">
        <x:v>Unable to determine</x:v>
      </x:c>
      <x:c r="CC833" s="14" t="str">
        <x:v>Unique</x:v>
      </x:c>
      <x:c r="CD833" s="14" t="str">
        <x:v>None identified</x:v>
      </x:c>
    </x:row>
    <x:row r="834">
      <x:c r="A834" s="14" t="str">
        <x:v>tt11981644|nm1580945|erik haiden</x:v>
      </x:c>
      <x:c r="B834" s="14" t="str">
        <x:v>02</x:v>
      </x:c>
      <x:c r="C834" s="14" t="str">
        <x:v>2021_IMDb_Cast_Lists_Batch_02(1).xlsx</x:v>
      </x:c>
      <x:c r="D834" s="14" t="str">
        <x:v>Professor T</x:v>
      </x:c>
      <x:c r="E834" s="14" t="n">
        <x:v>119</x:v>
      </x:c>
      <x:c r="F834" s="14" t="str">
        <x:v>Professor T</x:v>
      </x:c>
      <x:c r="G834" s="14" t="str">
        <x:v>tt11981644</x:v>
      </x:c>
      <x:c r="H834" s="14" t="n">
        <x:v>2021</x:v>
      </x:c>
      <x:c r="I834" s="14" t="n">
        <x:v>2023</x:v>
      </x:c>
      <x:c r="J834" s="14" t="str">
        <x:v>Future Carry-Forward Cohort</x:v>
      </x:c>
      <x:c r="K834" s="14" t="n">
        <x:v>2021</x:v>
      </x:c>
      <x:c r="L834" s="14" t="str">
        <x:v>Available from 2021 analysis</x:v>
      </x:c>
      <x:c r="M834" s="15" t="n">
        <x:v>112</x:v>
      </x:c>
      <x:c r="N834" s="14" t="str">
        <x:v>Cornelius Booth</x:v>
      </x:c>
      <x:c r="O834" s="14" t="str">
        <x:v>nm1580945</x:v>
      </x:c>
      <x:c r="P834" s="14" t="str">
        <x:v>Erik Haiden</x:v>
      </x:c>
      <x:c r="Q834" s="15" t="n">
        <x:v>1</x:v>
      </x:c>
      <x:c r="R834" s="14" t="str">
        <x:v>2024</x:v>
      </x:c>
      <x:c r="S834" s="14" t="n">
        <x:v>2024</x:v>
      </x:c>
      <x:c r="T834" s="14" t="n">
        <x:v>2024</x:v>
      </x:c>
      <x:c r="U834" s="14" t="str">
        <x:v>Post-2021 casting excluded</x:v>
      </x:c>
      <x:c r="V834" s="14" t="str">
        <x:v>Earliest supplied year is 2024, later than the 2021 study year.</x:v>
      </x:c>
      <x:c r="W834" s="14"/>
      <x:c r="X834" s="14" t="str">
        <x:v>Carried forward to 2024</x:v>
      </x:c>
      <x:c r="Y834" s="14"/>
      <x:c r="Z834" s="14" t="str">
        <x:v>Professor T.docx</x:v>
      </x:c>
      <x:c r="AA8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4" s="14" t="str">
        <x:v>No established-register match</x:v>
      </x:c>
      <x:c r="AC834" s="14"/>
      <x:c r="AD834" s="14"/>
      <x:c r="AE834" s="14"/>
      <x:c r="AF834" s="14"/>
      <x:c r="AG834" s="14" t="str">
        <x:v>No qualifying conclusion recorded. Absence from the register is not evidence that the performer is not disabled.</x:v>
      </x:c>
      <x:c r="AH834" s="14" t="str">
        <x:v>ITV / ITVX</x:v>
      </x:c>
      <x:c r="AI834" s="14" t="str">
        <x:v>UK original commission</x:v>
      </x:c>
      <x:c r="AJ834" s="14" t="str">
        <x:v>Exact normalised title</x:v>
      </x:c>
      <x:c r="AK834" s="14" t="str">
        <x:v>Medium</x:v>
      </x:c>
      <x:c r="AL834" s="14" t="str">
        <x:v>Verified for commissioner/platform scope; uk original commission.</x:v>
      </x:c>
      <x:c r="AM834" s="17" t="e">
        <x:f>HYPERLINK("https://en.wikipedia.org/wiki/Professor_T.","Open source")</x:f>
        <x:v>HYPERLINK is not implemented. linkLocation=https://en.wikipedia.org/wiki/Professor_T., friendlyName=Open source</x:v>
      </x:c>
      <x:c r="AN834" s="14" t="str">
        <x:v>No qualifying BBC relationship</x:v>
      </x:c>
      <x:c r="AO834" s="14" t="str">
        <x:v>No</x:v>
      </x:c>
      <x:c r="AP834" s="14" t="str">
        <x:v>Out of scope</x:v>
      </x:c>
      <x:c r="AQ834" s="14" t="str">
        <x:v>No</x:v>
      </x:c>
      <x:c r="AR834" s="14" t="str">
        <x:v>Resolved from master register</x:v>
      </x:c>
      <x:c r="AS834" s="14" t="str">
        <x:v>No established-register match</x:v>
      </x:c>
      <x:c r="AT834" s="14"/>
      <x:c r="AU834" s="14"/>
      <x:c r="AV834" s="14" t="str">
        <x:v>No established apparent-disability match</x:v>
      </x:c>
      <x:c r="AW834" s="14"/>
      <x:c r="AX834" s="14" t="str">
        <x:v>No</x:v>
      </x:c>
      <x:c r="AY834" s="14" t="str">
        <x:v>Unmatched</x:v>
      </x:c>
      <x:c r="AZ834" s="14" t="str">
        <x:v>Final supplied register</x:v>
      </x:c>
      <x:c r="BA834" s="14" t="str">
        <x:v>Absence from the register is not evidence that the performer is not disabled.</x:v>
      </x:c>
      <x:c r="BB834" s="14" t="str">
        <x:v>No established-register match</x:v>
      </x:c>
      <x:c r="BC834" s="14"/>
      <x:c r="BD834" s="14"/>
      <x:c r="BE834" s="14"/>
      <x:c r="BF834" s="14" t="str">
        <x:v>No established apparent-disability match</x:v>
      </x:c>
      <x:c r="BG834" s="14"/>
      <x:c r="BH834" s="14" t="str">
        <x:v>No</x:v>
      </x:c>
      <x:c r="BI834" s="14"/>
      <x:c r="BJ834" s="14"/>
      <x:c r="BK834" s="14"/>
      <x:c r="BL834" s="14" t="str">
        <x:v>Unmatched</x:v>
      </x:c>
      <x:c r="BM834" s="14" t="str">
        <x:v>Final supplied register</x:v>
      </x:c>
      <x:c r="BN834" s="14" t="str">
        <x:v>Absence from the register is not evidence that the performer is not disabled.</x:v>
      </x:c>
      <x:c r="BO834" s="14" t="n">
        <x:v>30</x:v>
      </x:c>
      <x:c r="BP834" s="14" t="str">
        <x:v>Maximum eligible IMDb cast-credit total (30), shared by 2 performer(s); not independently verified as a 2021-only episode total.</x:v>
      </x:c>
      <x:c r="BQ834" s="14" t="str">
        <x:v>Medium</x:v>
      </x:c>
      <x:c r="BR834" s="15" t="n">
        <x:v>1</x:v>
      </x:c>
      <x:c r="BS834" s="16" t="n">
        <x:v>0.03333333333333333</x:v>
      </x:c>
      <x:c r="BT834" s="14" t="str">
        <x:v>One episode</x:v>
      </x:c>
      <x:c r="BU834" s="14" t="str">
        <x:v>Medium</x:v>
      </x:c>
      <x:c r="BV834" s="14" t="str">
        <x:v>Derived from supplied IMDb episode count and the documented production-total proxy.</x:v>
      </x:c>
      <x:c r="BW834" s="14" t="str">
        <x:v>Unable to determine</x:v>
      </x:c>
      <x:c r="BX834" s="14" t="str">
        <x:v>Supplied cast data establishes the credit and episode presence but does not establish narrative prominence.</x:v>
      </x:c>
      <x:c r="BY834" s="14" t="str">
        <x:v>Supplied IMDb cast-list workbook</x:v>
      </x:c>
      <x:c r="BZ8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4" s="14" t="str">
        <x:v>Not classified</x:v>
      </x:c>
      <x:c r="CB834" s="14" t="str">
        <x:v>Unable to determine</x:v>
      </x:c>
      <x:c r="CC834" s="14" t="str">
        <x:v>Unique</x:v>
      </x:c>
      <x:c r="CD834" s="14" t="str">
        <x:v>None identified</x:v>
      </x:c>
    </x:row>
    <x:row r="835">
      <x:c r="A835" s="14" t="str">
        <x:v>tt11981644|nm7891358|graydon hall</x:v>
      </x:c>
      <x:c r="B835" s="14" t="str">
        <x:v>02</x:v>
      </x:c>
      <x:c r="C835" s="14" t="str">
        <x:v>2021_IMDb_Cast_Lists_Batch_02(1).xlsx</x:v>
      </x:c>
      <x:c r="D835" s="14" t="str">
        <x:v>Professor T</x:v>
      </x:c>
      <x:c r="E835" s="14" t="n">
        <x:v>120</x:v>
      </x:c>
      <x:c r="F835" s="14" t="str">
        <x:v>Professor T</x:v>
      </x:c>
      <x:c r="G835" s="14" t="str">
        <x:v>tt11981644</x:v>
      </x:c>
      <x:c r="H835" s="14" t="n">
        <x:v>2021</x:v>
      </x:c>
      <x:c r="I835" s="14" t="n">
        <x:v>2023</x:v>
      </x:c>
      <x:c r="J835" s="14" t="str">
        <x:v>Future Carry-Forward Cohort</x:v>
      </x:c>
      <x:c r="K835" s="14" t="n">
        <x:v>2021</x:v>
      </x:c>
      <x:c r="L835" s="14" t="str">
        <x:v>Available from 2021 analysis</x:v>
      </x:c>
      <x:c r="M835" s="15" t="n">
        <x:v>113</x:v>
      </x:c>
      <x:c r="N835" s="14" t="str">
        <x:v>Louis Strong</x:v>
      </x:c>
      <x:c r="O835" s="14" t="str">
        <x:v>nm7891358</x:v>
      </x:c>
      <x:c r="P835" s="14" t="str">
        <x:v>Graydon Hall</x:v>
      </x:c>
      <x:c r="Q835" s="15" t="n">
        <x:v>1</x:v>
      </x:c>
      <x:c r="R835" s="14" t="str">
        <x:v>2024</x:v>
      </x:c>
      <x:c r="S835" s="14" t="n">
        <x:v>2024</x:v>
      </x:c>
      <x:c r="T835" s="14" t="n">
        <x:v>2024</x:v>
      </x:c>
      <x:c r="U835" s="14" t="str">
        <x:v>Post-2021 casting excluded</x:v>
      </x:c>
      <x:c r="V835" s="14" t="str">
        <x:v>Earliest supplied year is 2024, later than the 2021 study year.</x:v>
      </x:c>
      <x:c r="W835" s="14"/>
      <x:c r="X835" s="14" t="str">
        <x:v>Carried forward to 2024</x:v>
      </x:c>
      <x:c r="Y835" s="14"/>
      <x:c r="Z835" s="14" t="str">
        <x:v>Professor T.docx</x:v>
      </x:c>
      <x:c r="AA8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5" s="14" t="str">
        <x:v>No established-register match</x:v>
      </x:c>
      <x:c r="AC835" s="14"/>
      <x:c r="AD835" s="14"/>
      <x:c r="AE835" s="14"/>
      <x:c r="AF835" s="14"/>
      <x:c r="AG835" s="14" t="str">
        <x:v>No qualifying conclusion recorded. Absence from the register is not evidence that the performer is not disabled.</x:v>
      </x:c>
      <x:c r="AH835" s="14" t="str">
        <x:v>ITV / ITVX</x:v>
      </x:c>
      <x:c r="AI835" s="14" t="str">
        <x:v>UK original commission</x:v>
      </x:c>
      <x:c r="AJ835" s="14" t="str">
        <x:v>Exact normalised title</x:v>
      </x:c>
      <x:c r="AK835" s="14" t="str">
        <x:v>Medium</x:v>
      </x:c>
      <x:c r="AL835" s="14" t="str">
        <x:v>Verified for commissioner/platform scope; uk original commission.</x:v>
      </x:c>
      <x:c r="AM835" s="17" t="e">
        <x:f>HYPERLINK("https://en.wikipedia.org/wiki/Professor_T.","Open source")</x:f>
        <x:v>HYPERLINK is not implemented. linkLocation=https://en.wikipedia.org/wiki/Professor_T., friendlyName=Open source</x:v>
      </x:c>
      <x:c r="AN835" s="14" t="str">
        <x:v>No qualifying BBC relationship</x:v>
      </x:c>
      <x:c r="AO835" s="14" t="str">
        <x:v>No</x:v>
      </x:c>
      <x:c r="AP835" s="14" t="str">
        <x:v>Out of scope</x:v>
      </x:c>
      <x:c r="AQ835" s="14" t="str">
        <x:v>No</x:v>
      </x:c>
      <x:c r="AR835" s="14" t="str">
        <x:v>Resolved from master register</x:v>
      </x:c>
      <x:c r="AS835" s="14" t="str">
        <x:v>No established-register match</x:v>
      </x:c>
      <x:c r="AT835" s="14"/>
      <x:c r="AU835" s="14"/>
      <x:c r="AV835" s="14" t="str">
        <x:v>No established apparent-disability match</x:v>
      </x:c>
      <x:c r="AW835" s="14"/>
      <x:c r="AX835" s="14" t="str">
        <x:v>No</x:v>
      </x:c>
      <x:c r="AY835" s="14" t="str">
        <x:v>Unmatched</x:v>
      </x:c>
      <x:c r="AZ835" s="14" t="str">
        <x:v>Final supplied register</x:v>
      </x:c>
      <x:c r="BA835" s="14" t="str">
        <x:v>Absence from the register is not evidence that the performer is not disabled.</x:v>
      </x:c>
      <x:c r="BB835" s="14" t="str">
        <x:v>No established-register match</x:v>
      </x:c>
      <x:c r="BC835" s="14"/>
      <x:c r="BD835" s="14"/>
      <x:c r="BE835" s="14"/>
      <x:c r="BF835" s="14" t="str">
        <x:v>No established apparent-disability match</x:v>
      </x:c>
      <x:c r="BG835" s="14"/>
      <x:c r="BH835" s="14" t="str">
        <x:v>No</x:v>
      </x:c>
      <x:c r="BI835" s="14"/>
      <x:c r="BJ835" s="14"/>
      <x:c r="BK835" s="14"/>
      <x:c r="BL835" s="14" t="str">
        <x:v>Unmatched</x:v>
      </x:c>
      <x:c r="BM835" s="14" t="str">
        <x:v>Final supplied register</x:v>
      </x:c>
      <x:c r="BN835" s="14" t="str">
        <x:v>Absence from the register is not evidence that the performer is not disabled.</x:v>
      </x:c>
      <x:c r="BO835" s="14" t="n">
        <x:v>30</x:v>
      </x:c>
      <x:c r="BP835" s="14" t="str">
        <x:v>Maximum eligible IMDb cast-credit total (30), shared by 2 performer(s); not independently verified as a 2021-only episode total.</x:v>
      </x:c>
      <x:c r="BQ835" s="14" t="str">
        <x:v>Medium</x:v>
      </x:c>
      <x:c r="BR835" s="15" t="n">
        <x:v>1</x:v>
      </x:c>
      <x:c r="BS835" s="16" t="n">
        <x:v>0.03333333333333333</x:v>
      </x:c>
      <x:c r="BT835" s="14" t="str">
        <x:v>One episode</x:v>
      </x:c>
      <x:c r="BU835" s="14" t="str">
        <x:v>Medium</x:v>
      </x:c>
      <x:c r="BV835" s="14" t="str">
        <x:v>Derived from supplied IMDb episode count and the documented production-total proxy.</x:v>
      </x:c>
      <x:c r="BW835" s="14" t="str">
        <x:v>Unable to determine</x:v>
      </x:c>
      <x:c r="BX835" s="14" t="str">
        <x:v>Supplied cast data establishes the credit and episode presence but does not establish narrative prominence.</x:v>
      </x:c>
      <x:c r="BY835" s="14" t="str">
        <x:v>Supplied IMDb cast-list workbook</x:v>
      </x:c>
      <x:c r="BZ8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5" s="14" t="str">
        <x:v>Not classified</x:v>
      </x:c>
      <x:c r="CB835" s="14" t="str">
        <x:v>Unable to determine</x:v>
      </x:c>
      <x:c r="CC835" s="14" t="str">
        <x:v>Unique</x:v>
      </x:c>
      <x:c r="CD835" s="14" t="str">
        <x:v>None identified</x:v>
      </x:c>
    </x:row>
    <x:row r="836">
      <x:c r="A836" s="14" t="str">
        <x:v>tt11981644|nm15274470|assistant gym coach</x:v>
      </x:c>
      <x:c r="B836" s="14" t="str">
        <x:v>02</x:v>
      </x:c>
      <x:c r="C836" s="14" t="str">
        <x:v>2021_IMDb_Cast_Lists_Batch_02(1).xlsx</x:v>
      </x:c>
      <x:c r="D836" s="14" t="str">
        <x:v>Professor T</x:v>
      </x:c>
      <x:c r="E836" s="14" t="n">
        <x:v>121</x:v>
      </x:c>
      <x:c r="F836" s="14" t="str">
        <x:v>Professor T</x:v>
      </x:c>
      <x:c r="G836" s="14" t="str">
        <x:v>tt11981644</x:v>
      </x:c>
      <x:c r="H836" s="14" t="n">
        <x:v>2021</x:v>
      </x:c>
      <x:c r="I836" s="14" t="n">
        <x:v>2023</x:v>
      </x:c>
      <x:c r="J836" s="14" t="str">
        <x:v>Future Carry-Forward Cohort</x:v>
      </x:c>
      <x:c r="K836" s="14" t="n">
        <x:v>2021</x:v>
      </x:c>
      <x:c r="L836" s="14" t="str">
        <x:v>Available from 2021 analysis</x:v>
      </x:c>
      <x:c r="M836" s="15" t="n">
        <x:v>114</x:v>
      </x:c>
      <x:c r="N836" s="14" t="str">
        <x:v>David Hoffman</x:v>
      </x:c>
      <x:c r="O836" s="14" t="str">
        <x:v>nm15274470</x:v>
      </x:c>
      <x:c r="P836" s="14" t="str">
        <x:v>Assistant Gym Coach</x:v>
      </x:c>
      <x:c r="Q836" s="15" t="n">
        <x:v>1</x:v>
      </x:c>
      <x:c r="R836" s="14" t="str">
        <x:v>2024</x:v>
      </x:c>
      <x:c r="S836" s="14" t="n">
        <x:v>2024</x:v>
      </x:c>
      <x:c r="T836" s="14" t="n">
        <x:v>2024</x:v>
      </x:c>
      <x:c r="U836" s="14" t="str">
        <x:v>Post-2021 casting excluded</x:v>
      </x:c>
      <x:c r="V836" s="14" t="str">
        <x:v>Earliest supplied year is 2024, later than the 2021 study year.</x:v>
      </x:c>
      <x:c r="W836" s="14"/>
      <x:c r="X836" s="14" t="str">
        <x:v>Carried forward to 2024</x:v>
      </x:c>
      <x:c r="Y836" s="14" t="str">
        <x:v>(as David Hoffmann)</x:v>
      </x:c>
      <x:c r="Z836" s="14" t="str">
        <x:v>Professor T.docx</x:v>
      </x:c>
      <x:c r="AA8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6" s="14" t="str">
        <x:v>No established-register match</x:v>
      </x:c>
      <x:c r="AC836" s="14"/>
      <x:c r="AD836" s="14"/>
      <x:c r="AE836" s="14"/>
      <x:c r="AF836" s="14"/>
      <x:c r="AG836" s="14" t="str">
        <x:v>No qualifying conclusion recorded. Absence from the register is not evidence that the performer is not disabled.</x:v>
      </x:c>
      <x:c r="AH836" s="14" t="str">
        <x:v>ITV / ITVX</x:v>
      </x:c>
      <x:c r="AI836" s="14" t="str">
        <x:v>UK original commission</x:v>
      </x:c>
      <x:c r="AJ836" s="14" t="str">
        <x:v>Exact normalised title</x:v>
      </x:c>
      <x:c r="AK836" s="14" t="str">
        <x:v>Medium</x:v>
      </x:c>
      <x:c r="AL836" s="14" t="str">
        <x:v>Verified for commissioner/platform scope; uk original commission.</x:v>
      </x:c>
      <x:c r="AM836" s="17" t="e">
        <x:f>HYPERLINK("https://en.wikipedia.org/wiki/Professor_T.","Open source")</x:f>
        <x:v>HYPERLINK is not implemented. linkLocation=https://en.wikipedia.org/wiki/Professor_T., friendlyName=Open source</x:v>
      </x:c>
      <x:c r="AN836" s="14" t="str">
        <x:v>No qualifying BBC relationship</x:v>
      </x:c>
      <x:c r="AO836" s="14" t="str">
        <x:v>No</x:v>
      </x:c>
      <x:c r="AP836" s="14" t="str">
        <x:v>Out of scope</x:v>
      </x:c>
      <x:c r="AQ836" s="14" t="str">
        <x:v>No</x:v>
      </x:c>
      <x:c r="AR836" s="14" t="str">
        <x:v>Resolved from master register</x:v>
      </x:c>
      <x:c r="AS836" s="14" t="str">
        <x:v>No established-register match</x:v>
      </x:c>
      <x:c r="AT836" s="14"/>
      <x:c r="AU836" s="14"/>
      <x:c r="AV836" s="14" t="str">
        <x:v>No established apparent-disability match</x:v>
      </x:c>
      <x:c r="AW836" s="14"/>
      <x:c r="AX836" s="14" t="str">
        <x:v>No</x:v>
      </x:c>
      <x:c r="AY836" s="14" t="str">
        <x:v>Unmatched</x:v>
      </x:c>
      <x:c r="AZ836" s="14" t="str">
        <x:v>Final supplied register</x:v>
      </x:c>
      <x:c r="BA836" s="14" t="str">
        <x:v>Absence from the register is not evidence that the performer is not disabled.</x:v>
      </x:c>
      <x:c r="BB836" s="14" t="str">
        <x:v>No established-register match</x:v>
      </x:c>
      <x:c r="BC836" s="14"/>
      <x:c r="BD836" s="14"/>
      <x:c r="BE836" s="14"/>
      <x:c r="BF836" s="14" t="str">
        <x:v>No established apparent-disability match</x:v>
      </x:c>
      <x:c r="BG836" s="14"/>
      <x:c r="BH836" s="14" t="str">
        <x:v>No</x:v>
      </x:c>
      <x:c r="BI836" s="14"/>
      <x:c r="BJ836" s="14"/>
      <x:c r="BK836" s="14"/>
      <x:c r="BL836" s="14" t="str">
        <x:v>Unmatched</x:v>
      </x:c>
      <x:c r="BM836" s="14" t="str">
        <x:v>Final supplied register</x:v>
      </x:c>
      <x:c r="BN836" s="14" t="str">
        <x:v>Absence from the register is not evidence that the performer is not disabled.</x:v>
      </x:c>
      <x:c r="BO836" s="14" t="n">
        <x:v>30</x:v>
      </x:c>
      <x:c r="BP836" s="14" t="str">
        <x:v>Maximum eligible IMDb cast-credit total (30), shared by 2 performer(s); not independently verified as a 2021-only episode total.</x:v>
      </x:c>
      <x:c r="BQ836" s="14" t="str">
        <x:v>Medium</x:v>
      </x:c>
      <x:c r="BR836" s="15" t="n">
        <x:v>1</x:v>
      </x:c>
      <x:c r="BS836" s="16" t="n">
        <x:v>0.03333333333333333</x:v>
      </x:c>
      <x:c r="BT836" s="14" t="str">
        <x:v>One episode</x:v>
      </x:c>
      <x:c r="BU836" s="14" t="str">
        <x:v>Medium</x:v>
      </x:c>
      <x:c r="BV836" s="14" t="str">
        <x:v>Derived from supplied IMDb episode count and the documented production-total proxy.</x:v>
      </x:c>
      <x:c r="BW836" s="14" t="str">
        <x:v>Unable to determine</x:v>
      </x:c>
      <x:c r="BX836" s="14" t="str">
        <x:v>Supplied cast data establishes the credit and episode presence but does not establish narrative prominence.</x:v>
      </x:c>
      <x:c r="BY836" s="14" t="str">
        <x:v>Supplied IMDb cast-list workbook</x:v>
      </x:c>
      <x:c r="BZ8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6" s="14" t="str">
        <x:v>Not classified</x:v>
      </x:c>
      <x:c r="CB836" s="14" t="str">
        <x:v>Unable to determine</x:v>
      </x:c>
      <x:c r="CC836" s="14" t="str">
        <x:v>Unique</x:v>
      </x:c>
      <x:c r="CD836" s="14" t="str">
        <x:v>None identified</x:v>
      </x:c>
    </x:row>
    <x:row r="837">
      <x:c r="A837" s="14" t="str">
        <x:v>tt11981644|nm0915948|gisele haiden</x:v>
      </x:c>
      <x:c r="B837" s="14" t="str">
        <x:v>02</x:v>
      </x:c>
      <x:c r="C837" s="14" t="str">
        <x:v>2021_IMDb_Cast_Lists_Batch_02(1).xlsx</x:v>
      </x:c>
      <x:c r="D837" s="14" t="str">
        <x:v>Professor T</x:v>
      </x:c>
      <x:c r="E837" s="14" t="n">
        <x:v>129</x:v>
      </x:c>
      <x:c r="F837" s="14" t="str">
        <x:v>Professor T</x:v>
      </x:c>
      <x:c r="G837" s="14" t="str">
        <x:v>tt11981644</x:v>
      </x:c>
      <x:c r="H837" s="14" t="n">
        <x:v>2021</x:v>
      </x:c>
      <x:c r="I837" s="14" t="n">
        <x:v>2023</x:v>
      </x:c>
      <x:c r="J837" s="14" t="str">
        <x:v>Future Carry-Forward Cohort</x:v>
      </x:c>
      <x:c r="K837" s="14" t="n">
        <x:v>2021</x:v>
      </x:c>
      <x:c r="L837" s="14" t="str">
        <x:v>Available from 2021 analysis</x:v>
      </x:c>
      <x:c r="M837" s="15" t="n">
        <x:v>122</x:v>
      </x:c>
      <x:c r="N837" s="14" t="str">
        <x:v>Robin Weaver</x:v>
      </x:c>
      <x:c r="O837" s="14" t="str">
        <x:v>nm0915948</x:v>
      </x:c>
      <x:c r="P837" s="14" t="str">
        <x:v>Gisele Haiden</x:v>
      </x:c>
      <x:c r="Q837" s="15" t="n">
        <x:v>1</x:v>
      </x:c>
      <x:c r="R837" s="14" t="str">
        <x:v>2024</x:v>
      </x:c>
      <x:c r="S837" s="14" t="n">
        <x:v>2024</x:v>
      </x:c>
      <x:c r="T837" s="14" t="n">
        <x:v>2024</x:v>
      </x:c>
      <x:c r="U837" s="14" t="str">
        <x:v>Post-2021 casting excluded</x:v>
      </x:c>
      <x:c r="V837" s="14" t="str">
        <x:v>Earliest supplied year is 2024, later than the 2021 study year.</x:v>
      </x:c>
      <x:c r="W837" s="14"/>
      <x:c r="X837" s="14" t="str">
        <x:v>Carried forward to 2024</x:v>
      </x:c>
      <x:c r="Y837" s="14"/>
      <x:c r="Z837" s="14" t="str">
        <x:v>Professor T.docx</x:v>
      </x:c>
      <x:c r="AA8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7" s="14" t="str">
        <x:v>No established-register match</x:v>
      </x:c>
      <x:c r="AC837" s="14"/>
      <x:c r="AD837" s="14"/>
      <x:c r="AE837" s="14"/>
      <x:c r="AF837" s="14"/>
      <x:c r="AG837" s="14" t="str">
        <x:v>No qualifying conclusion recorded. Absence from the register is not evidence that the performer is not disabled.</x:v>
      </x:c>
      <x:c r="AH837" s="14" t="str">
        <x:v>ITV / ITVX</x:v>
      </x:c>
      <x:c r="AI837" s="14" t="str">
        <x:v>UK original commission</x:v>
      </x:c>
      <x:c r="AJ837" s="14" t="str">
        <x:v>Exact normalised title</x:v>
      </x:c>
      <x:c r="AK837" s="14" t="str">
        <x:v>Medium</x:v>
      </x:c>
      <x:c r="AL837" s="14" t="str">
        <x:v>Verified for commissioner/platform scope; uk original commission.</x:v>
      </x:c>
      <x:c r="AM837" s="17" t="e">
        <x:f>HYPERLINK("https://en.wikipedia.org/wiki/Professor_T.","Open source")</x:f>
        <x:v>HYPERLINK is not implemented. linkLocation=https://en.wikipedia.org/wiki/Professor_T., friendlyName=Open source</x:v>
      </x:c>
      <x:c r="AN837" s="14" t="str">
        <x:v>No qualifying BBC relationship</x:v>
      </x:c>
      <x:c r="AO837" s="14" t="str">
        <x:v>No</x:v>
      </x:c>
      <x:c r="AP837" s="14" t="str">
        <x:v>Out of scope</x:v>
      </x:c>
      <x:c r="AQ837" s="14" t="str">
        <x:v>No</x:v>
      </x:c>
      <x:c r="AR837" s="14" t="str">
        <x:v>Resolved from master register</x:v>
      </x:c>
      <x:c r="AS837" s="14" t="str">
        <x:v>No established-register match</x:v>
      </x:c>
      <x:c r="AT837" s="14"/>
      <x:c r="AU837" s="14"/>
      <x:c r="AV837" s="14" t="str">
        <x:v>No established apparent-disability match</x:v>
      </x:c>
      <x:c r="AW837" s="14"/>
      <x:c r="AX837" s="14" t="str">
        <x:v>No</x:v>
      </x:c>
      <x:c r="AY837" s="14" t="str">
        <x:v>Unmatched</x:v>
      </x:c>
      <x:c r="AZ837" s="14" t="str">
        <x:v>Final supplied register</x:v>
      </x:c>
      <x:c r="BA837" s="14" t="str">
        <x:v>Absence from the register is not evidence that the performer is not disabled.</x:v>
      </x:c>
      <x:c r="BB837" s="14" t="str">
        <x:v>No established-register match</x:v>
      </x:c>
      <x:c r="BC837" s="14"/>
      <x:c r="BD837" s="14"/>
      <x:c r="BE837" s="14"/>
      <x:c r="BF837" s="14" t="str">
        <x:v>No established apparent-disability match</x:v>
      </x:c>
      <x:c r="BG837" s="14"/>
      <x:c r="BH837" s="14" t="str">
        <x:v>No</x:v>
      </x:c>
      <x:c r="BI837" s="14"/>
      <x:c r="BJ837" s="14"/>
      <x:c r="BK837" s="14"/>
      <x:c r="BL837" s="14" t="str">
        <x:v>Unmatched</x:v>
      </x:c>
      <x:c r="BM837" s="14" t="str">
        <x:v>Final supplied register</x:v>
      </x:c>
      <x:c r="BN837" s="14" t="str">
        <x:v>Absence from the register is not evidence that the performer is not disabled.</x:v>
      </x:c>
      <x:c r="BO837" s="14" t="n">
        <x:v>30</x:v>
      </x:c>
      <x:c r="BP837" s="14" t="str">
        <x:v>Maximum eligible IMDb cast-credit total (30), shared by 2 performer(s); not independently verified as a 2021-only episode total.</x:v>
      </x:c>
      <x:c r="BQ837" s="14" t="str">
        <x:v>Medium</x:v>
      </x:c>
      <x:c r="BR837" s="15" t="n">
        <x:v>1</x:v>
      </x:c>
      <x:c r="BS837" s="16" t="n">
        <x:v>0.03333333333333333</x:v>
      </x:c>
      <x:c r="BT837" s="14" t="str">
        <x:v>One episode</x:v>
      </x:c>
      <x:c r="BU837" s="14" t="str">
        <x:v>Medium</x:v>
      </x:c>
      <x:c r="BV837" s="14" t="str">
        <x:v>Derived from supplied IMDb episode count and the documented production-total proxy.</x:v>
      </x:c>
      <x:c r="BW837" s="14" t="str">
        <x:v>Unable to determine</x:v>
      </x:c>
      <x:c r="BX837" s="14" t="str">
        <x:v>Supplied cast data establishes the credit and episode presence but does not establish narrative prominence.</x:v>
      </x:c>
      <x:c r="BY837" s="14" t="str">
        <x:v>Supplied IMDb cast-list workbook</x:v>
      </x:c>
      <x:c r="BZ8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7" s="14" t="str">
        <x:v>Not classified</x:v>
      </x:c>
      <x:c r="CB837" s="14" t="str">
        <x:v>Unable to determine</x:v>
      </x:c>
      <x:c r="CC837" s="14" t="str">
        <x:v>Unique</x:v>
      </x:c>
      <x:c r="CD837" s="14" t="str">
        <x:v>None identified</x:v>
      </x:c>
    </x:row>
    <x:row r="838">
      <x:c r="A838" s="14" t="str">
        <x:v>tt11981644|nm15274656|catherine hall</x:v>
      </x:c>
      <x:c r="B838" s="14" t="str">
        <x:v>02</x:v>
      </x:c>
      <x:c r="C838" s="14" t="str">
        <x:v>2021_IMDb_Cast_Lists_Batch_02(1).xlsx</x:v>
      </x:c>
      <x:c r="D838" s="14" t="str">
        <x:v>Professor T</x:v>
      </x:c>
      <x:c r="E838" s="14" t="n">
        <x:v>130</x:v>
      </x:c>
      <x:c r="F838" s="14" t="str">
        <x:v>Professor T</x:v>
      </x:c>
      <x:c r="G838" s="14" t="str">
        <x:v>tt11981644</x:v>
      </x:c>
      <x:c r="H838" s="14" t="n">
        <x:v>2021</x:v>
      </x:c>
      <x:c r="I838" s="14" t="n">
        <x:v>2023</x:v>
      </x:c>
      <x:c r="J838" s="14" t="str">
        <x:v>Future Carry-Forward Cohort</x:v>
      </x:c>
      <x:c r="K838" s="14" t="n">
        <x:v>2021</x:v>
      </x:c>
      <x:c r="L838" s="14" t="str">
        <x:v>Available from 2021 analysis</x:v>
      </x:c>
      <x:c r="M838" s="15" t="n">
        <x:v>123</x:v>
      </x:c>
      <x:c r="N838" s="14" t="str">
        <x:v>Maria Lamont</x:v>
      </x:c>
      <x:c r="O838" s="14" t="str">
        <x:v>nm15274656</x:v>
      </x:c>
      <x:c r="P838" s="14" t="str">
        <x:v>Catherine Hall</x:v>
      </x:c>
      <x:c r="Q838" s="15" t="n">
        <x:v>1</x:v>
      </x:c>
      <x:c r="R838" s="14" t="str">
        <x:v>2024</x:v>
      </x:c>
      <x:c r="S838" s="14" t="n">
        <x:v>2024</x:v>
      </x:c>
      <x:c r="T838" s="14" t="n">
        <x:v>2024</x:v>
      </x:c>
      <x:c r="U838" s="14" t="str">
        <x:v>Post-2021 casting excluded</x:v>
      </x:c>
      <x:c r="V838" s="14" t="str">
        <x:v>Earliest supplied year is 2024, later than the 2021 study year.</x:v>
      </x:c>
      <x:c r="W838" s="14"/>
      <x:c r="X838" s="14" t="str">
        <x:v>Carried forward to 2024</x:v>
      </x:c>
      <x:c r="Y838" s="14"/>
      <x:c r="Z838" s="14" t="str">
        <x:v>Professor T.docx</x:v>
      </x:c>
      <x:c r="AA8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8" s="14" t="str">
        <x:v>No established-register match</x:v>
      </x:c>
      <x:c r="AC838" s="14"/>
      <x:c r="AD838" s="14"/>
      <x:c r="AE838" s="14"/>
      <x:c r="AF838" s="14"/>
      <x:c r="AG838" s="14" t="str">
        <x:v>No qualifying conclusion recorded. Absence from the register is not evidence that the performer is not disabled.</x:v>
      </x:c>
      <x:c r="AH838" s="14" t="str">
        <x:v>ITV / ITVX</x:v>
      </x:c>
      <x:c r="AI838" s="14" t="str">
        <x:v>UK original commission</x:v>
      </x:c>
      <x:c r="AJ838" s="14" t="str">
        <x:v>Exact normalised title</x:v>
      </x:c>
      <x:c r="AK838" s="14" t="str">
        <x:v>Medium</x:v>
      </x:c>
      <x:c r="AL838" s="14" t="str">
        <x:v>Verified for commissioner/platform scope; uk original commission.</x:v>
      </x:c>
      <x:c r="AM838" s="17" t="e">
        <x:f>HYPERLINK("https://en.wikipedia.org/wiki/Professor_T.","Open source")</x:f>
        <x:v>HYPERLINK is not implemented. linkLocation=https://en.wikipedia.org/wiki/Professor_T., friendlyName=Open source</x:v>
      </x:c>
      <x:c r="AN838" s="14" t="str">
        <x:v>No qualifying BBC relationship</x:v>
      </x:c>
      <x:c r="AO838" s="14" t="str">
        <x:v>No</x:v>
      </x:c>
      <x:c r="AP838" s="14" t="str">
        <x:v>Out of scope</x:v>
      </x:c>
      <x:c r="AQ838" s="14" t="str">
        <x:v>No</x:v>
      </x:c>
      <x:c r="AR838" s="14" t="str">
        <x:v>Resolved from master register</x:v>
      </x:c>
      <x:c r="AS838" s="14" t="str">
        <x:v>No established-register match</x:v>
      </x:c>
      <x:c r="AT838" s="14"/>
      <x:c r="AU838" s="14"/>
      <x:c r="AV838" s="14" t="str">
        <x:v>No established apparent-disability match</x:v>
      </x:c>
      <x:c r="AW838" s="14"/>
      <x:c r="AX838" s="14" t="str">
        <x:v>No</x:v>
      </x:c>
      <x:c r="AY838" s="14" t="str">
        <x:v>Unmatched</x:v>
      </x:c>
      <x:c r="AZ838" s="14" t="str">
        <x:v>Final supplied register</x:v>
      </x:c>
      <x:c r="BA838" s="14" t="str">
        <x:v>Absence from the register is not evidence that the performer is not disabled.</x:v>
      </x:c>
      <x:c r="BB838" s="14" t="str">
        <x:v>No established-register match</x:v>
      </x:c>
      <x:c r="BC838" s="14"/>
      <x:c r="BD838" s="14"/>
      <x:c r="BE838" s="14"/>
      <x:c r="BF838" s="14" t="str">
        <x:v>No established apparent-disability match</x:v>
      </x:c>
      <x:c r="BG838" s="14"/>
      <x:c r="BH838" s="14" t="str">
        <x:v>No</x:v>
      </x:c>
      <x:c r="BI838" s="14"/>
      <x:c r="BJ838" s="14"/>
      <x:c r="BK838" s="14"/>
      <x:c r="BL838" s="14" t="str">
        <x:v>Unmatched</x:v>
      </x:c>
      <x:c r="BM838" s="14" t="str">
        <x:v>Final supplied register</x:v>
      </x:c>
      <x:c r="BN838" s="14" t="str">
        <x:v>Absence from the register is not evidence that the performer is not disabled.</x:v>
      </x:c>
      <x:c r="BO838" s="14" t="n">
        <x:v>30</x:v>
      </x:c>
      <x:c r="BP838" s="14" t="str">
        <x:v>Maximum eligible IMDb cast-credit total (30), shared by 2 performer(s); not independently verified as a 2021-only episode total.</x:v>
      </x:c>
      <x:c r="BQ838" s="14" t="str">
        <x:v>Medium</x:v>
      </x:c>
      <x:c r="BR838" s="15" t="n">
        <x:v>1</x:v>
      </x:c>
      <x:c r="BS838" s="16" t="n">
        <x:v>0.03333333333333333</x:v>
      </x:c>
      <x:c r="BT838" s="14" t="str">
        <x:v>One episode</x:v>
      </x:c>
      <x:c r="BU838" s="14" t="str">
        <x:v>Medium</x:v>
      </x:c>
      <x:c r="BV838" s="14" t="str">
        <x:v>Derived from supplied IMDb episode count and the documented production-total proxy.</x:v>
      </x:c>
      <x:c r="BW838" s="14" t="str">
        <x:v>Unable to determine</x:v>
      </x:c>
      <x:c r="BX838" s="14" t="str">
        <x:v>Supplied cast data establishes the credit and episode presence but does not establish narrative prominence.</x:v>
      </x:c>
      <x:c r="BY838" s="14" t="str">
        <x:v>Supplied IMDb cast-list workbook</x:v>
      </x:c>
      <x:c r="BZ8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8" s="14" t="str">
        <x:v>Not classified</x:v>
      </x:c>
      <x:c r="CB838" s="14" t="str">
        <x:v>Unable to determine</x:v>
      </x:c>
      <x:c r="CC838" s="14" t="str">
        <x:v>Unique</x:v>
      </x:c>
      <x:c r="CD838" s="14" t="str">
        <x:v>None identified</x:v>
      </x:c>
    </x:row>
    <x:row r="839">
      <x:c r="A839" s="14" t="str">
        <x:v>tt11981644|nm1029242|anthony dixon</x:v>
      </x:c>
      <x:c r="B839" s="14" t="str">
        <x:v>02</x:v>
      </x:c>
      <x:c r="C839" s="14" t="str">
        <x:v>2021_IMDb_Cast_Lists_Batch_02(1).xlsx</x:v>
      </x:c>
      <x:c r="D839" s="14" t="str">
        <x:v>Professor T</x:v>
      </x:c>
      <x:c r="E839" s="14" t="n">
        <x:v>141</x:v>
      </x:c>
      <x:c r="F839" s="14" t="str">
        <x:v>Professor T</x:v>
      </x:c>
      <x:c r="G839" s="14" t="str">
        <x:v>tt11981644</x:v>
      </x:c>
      <x:c r="H839" s="14" t="n">
        <x:v>2021</x:v>
      </x:c>
      <x:c r="I839" s="14" t="n">
        <x:v>2023</x:v>
      </x:c>
      <x:c r="J839" s="14" t="str">
        <x:v>Future Carry-Forward Cohort</x:v>
      </x:c>
      <x:c r="K839" s="14" t="n">
        <x:v>2021</x:v>
      </x:c>
      <x:c r="L839" s="14" t="str">
        <x:v>Available from 2021 analysis</x:v>
      </x:c>
      <x:c r="M839" s="15" t="n">
        <x:v>134</x:v>
      </x:c>
      <x:c r="N839" s="14" t="str">
        <x:v>Adam El Hagar</x:v>
      </x:c>
      <x:c r="O839" s="14" t="str">
        <x:v>nm1029242</x:v>
      </x:c>
      <x:c r="P839" s="14" t="str">
        <x:v>Anthony Dixon</x:v>
      </x:c>
      <x:c r="Q839" s="15" t="n">
        <x:v>1</x:v>
      </x:c>
      <x:c r="R839" s="14" t="str">
        <x:v>2024</x:v>
      </x:c>
      <x:c r="S839" s="14" t="n">
        <x:v>2024</x:v>
      </x:c>
      <x:c r="T839" s="14" t="n">
        <x:v>2024</x:v>
      </x:c>
      <x:c r="U839" s="14" t="str">
        <x:v>Post-2021 casting excluded</x:v>
      </x:c>
      <x:c r="V839" s="14" t="str">
        <x:v>Earliest supplied year is 2024, later than the 2021 study year.</x:v>
      </x:c>
      <x:c r="W839" s="14"/>
      <x:c r="X839" s="14" t="str">
        <x:v>Carried forward to 2024</x:v>
      </x:c>
      <x:c r="Y839" s="14"/>
      <x:c r="Z839" s="14" t="str">
        <x:v>Professor T.docx</x:v>
      </x:c>
      <x:c r="AA8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9" s="14" t="str">
        <x:v>No established-register match</x:v>
      </x:c>
      <x:c r="AC839" s="14"/>
      <x:c r="AD839" s="14"/>
      <x:c r="AE839" s="14"/>
      <x:c r="AF839" s="14"/>
      <x:c r="AG839" s="14" t="str">
        <x:v>No qualifying conclusion recorded. Absence from the register is not evidence that the performer is not disabled.</x:v>
      </x:c>
      <x:c r="AH839" s="14" t="str">
        <x:v>ITV / ITVX</x:v>
      </x:c>
      <x:c r="AI839" s="14" t="str">
        <x:v>UK original commission</x:v>
      </x:c>
      <x:c r="AJ839" s="14" t="str">
        <x:v>Exact normalised title</x:v>
      </x:c>
      <x:c r="AK839" s="14" t="str">
        <x:v>Medium</x:v>
      </x:c>
      <x:c r="AL839" s="14" t="str">
        <x:v>Verified for commissioner/platform scope; uk original commission.</x:v>
      </x:c>
      <x:c r="AM839" s="17" t="e">
        <x:f>HYPERLINK("https://en.wikipedia.org/wiki/Professor_T.","Open source")</x:f>
        <x:v>HYPERLINK is not implemented. linkLocation=https://en.wikipedia.org/wiki/Professor_T., friendlyName=Open source</x:v>
      </x:c>
      <x:c r="AN839" s="14" t="str">
        <x:v>No qualifying BBC relationship</x:v>
      </x:c>
      <x:c r="AO839" s="14" t="str">
        <x:v>No</x:v>
      </x:c>
      <x:c r="AP839" s="14" t="str">
        <x:v>Out of scope</x:v>
      </x:c>
      <x:c r="AQ839" s="14" t="str">
        <x:v>No</x:v>
      </x:c>
      <x:c r="AR839" s="14" t="str">
        <x:v>Resolved from master register</x:v>
      </x:c>
      <x:c r="AS839" s="14" t="str">
        <x:v>No established-register match</x:v>
      </x:c>
      <x:c r="AT839" s="14"/>
      <x:c r="AU839" s="14"/>
      <x:c r="AV839" s="14" t="str">
        <x:v>No established apparent-disability match</x:v>
      </x:c>
      <x:c r="AW839" s="14"/>
      <x:c r="AX839" s="14" t="str">
        <x:v>No</x:v>
      </x:c>
      <x:c r="AY839" s="14" t="str">
        <x:v>Unmatched</x:v>
      </x:c>
      <x:c r="AZ839" s="14" t="str">
        <x:v>Final supplied register</x:v>
      </x:c>
      <x:c r="BA839" s="14" t="str">
        <x:v>Absence from the register is not evidence that the performer is not disabled.</x:v>
      </x:c>
      <x:c r="BB839" s="14" t="str">
        <x:v>No established-register match</x:v>
      </x:c>
      <x:c r="BC839" s="14"/>
      <x:c r="BD839" s="14"/>
      <x:c r="BE839" s="14"/>
      <x:c r="BF839" s="14" t="str">
        <x:v>No established apparent-disability match</x:v>
      </x:c>
      <x:c r="BG839" s="14"/>
      <x:c r="BH839" s="14" t="str">
        <x:v>No</x:v>
      </x:c>
      <x:c r="BI839" s="14"/>
      <x:c r="BJ839" s="14"/>
      <x:c r="BK839" s="14"/>
      <x:c r="BL839" s="14" t="str">
        <x:v>Unmatched</x:v>
      </x:c>
      <x:c r="BM839" s="14" t="str">
        <x:v>Final supplied register</x:v>
      </x:c>
      <x:c r="BN839" s="14" t="str">
        <x:v>Absence from the register is not evidence that the performer is not disabled.</x:v>
      </x:c>
      <x:c r="BO839" s="14" t="n">
        <x:v>30</x:v>
      </x:c>
      <x:c r="BP839" s="14" t="str">
        <x:v>Maximum eligible IMDb cast-credit total (30), shared by 2 performer(s); not independently verified as a 2021-only episode total.</x:v>
      </x:c>
      <x:c r="BQ839" s="14" t="str">
        <x:v>Medium</x:v>
      </x:c>
      <x:c r="BR839" s="15" t="n">
        <x:v>1</x:v>
      </x:c>
      <x:c r="BS839" s="16" t="n">
        <x:v>0.03333333333333333</x:v>
      </x:c>
      <x:c r="BT839" s="14" t="str">
        <x:v>One episode</x:v>
      </x:c>
      <x:c r="BU839" s="14" t="str">
        <x:v>Medium</x:v>
      </x:c>
      <x:c r="BV839" s="14" t="str">
        <x:v>Derived from supplied IMDb episode count and the documented production-total proxy.</x:v>
      </x:c>
      <x:c r="BW839" s="14" t="str">
        <x:v>Unable to determine</x:v>
      </x:c>
      <x:c r="BX839" s="14" t="str">
        <x:v>Supplied cast data establishes the credit and episode presence but does not establish narrative prominence.</x:v>
      </x:c>
      <x:c r="BY839" s="14" t="str">
        <x:v>Supplied IMDb cast-list workbook</x:v>
      </x:c>
      <x:c r="BZ8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9" s="14" t="str">
        <x:v>Not classified</x:v>
      </x:c>
      <x:c r="CB839" s="14" t="str">
        <x:v>Unable to determine</x:v>
      </x:c>
      <x:c r="CC839" s="14" t="str">
        <x:v>Unique</x:v>
      </x:c>
      <x:c r="CD839" s="14" t="str">
        <x:v>None identified</x:v>
      </x:c>
    </x:row>
    <x:row r="840">
      <x:c r="A840" s="14" t="str">
        <x:v>tt11981644|nm10321739|crime officer</x:v>
      </x:c>
      <x:c r="B840" s="14" t="str">
        <x:v>02</x:v>
      </x:c>
      <x:c r="C840" s="14" t="str">
        <x:v>2021_IMDb_Cast_Lists_Batch_02(1).xlsx</x:v>
      </x:c>
      <x:c r="D840" s="14" t="str">
        <x:v>Professor T</x:v>
      </x:c>
      <x:c r="E840" s="14" t="n">
        <x:v>142</x:v>
      </x:c>
      <x:c r="F840" s="14" t="str">
        <x:v>Professor T</x:v>
      </x:c>
      <x:c r="G840" s="14" t="str">
        <x:v>tt11981644</x:v>
      </x:c>
      <x:c r="H840" s="14" t="n">
        <x:v>2021</x:v>
      </x:c>
      <x:c r="I840" s="14" t="n">
        <x:v>2023</x:v>
      </x:c>
      <x:c r="J840" s="14" t="str">
        <x:v>Future Carry-Forward Cohort</x:v>
      </x:c>
      <x:c r="K840" s="14" t="n">
        <x:v>2021</x:v>
      </x:c>
      <x:c r="L840" s="14" t="str">
        <x:v>Available from 2021 analysis</x:v>
      </x:c>
      <x:c r="M840" s="15" t="n">
        <x:v>135</x:v>
      </x:c>
      <x:c r="N840" s="14" t="str">
        <x:v>Dawit de Koning</x:v>
      </x:c>
      <x:c r="O840" s="14" t="str">
        <x:v>nm10321739</x:v>
      </x:c>
      <x:c r="P840" s="14" t="str">
        <x:v>Crime Officer</x:v>
      </x:c>
      <x:c r="Q840" s="15" t="n">
        <x:v>1</x:v>
      </x:c>
      <x:c r="R840" s="14" t="str">
        <x:v>2024</x:v>
      </x:c>
      <x:c r="S840" s="14" t="n">
        <x:v>2024</x:v>
      </x:c>
      <x:c r="T840" s="14" t="n">
        <x:v>2024</x:v>
      </x:c>
      <x:c r="U840" s="14" t="str">
        <x:v>Post-2021 casting excluded</x:v>
      </x:c>
      <x:c r="V840" s="14" t="str">
        <x:v>Earliest supplied year is 2024, later than the 2021 study year.</x:v>
      </x:c>
      <x:c r="W840" s="14"/>
      <x:c r="X840" s="14" t="str">
        <x:v>Carried forward to 2024</x:v>
      </x:c>
      <x:c r="Y840" s="14" t="str">
        <x:v>(as Dawit Dekoning)</x:v>
      </x:c>
      <x:c r="Z840" s="14" t="str">
        <x:v>Professor T.docx</x:v>
      </x:c>
      <x:c r="AA8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0" s="14" t="str">
        <x:v>No established-register match</x:v>
      </x:c>
      <x:c r="AC840" s="14"/>
      <x:c r="AD840" s="14"/>
      <x:c r="AE840" s="14"/>
      <x:c r="AF840" s="14"/>
      <x:c r="AG840" s="14" t="str">
        <x:v>No qualifying conclusion recorded. Absence from the register is not evidence that the performer is not disabled.</x:v>
      </x:c>
      <x:c r="AH840" s="14" t="str">
        <x:v>ITV / ITVX</x:v>
      </x:c>
      <x:c r="AI840" s="14" t="str">
        <x:v>UK original commission</x:v>
      </x:c>
      <x:c r="AJ840" s="14" t="str">
        <x:v>Exact normalised title</x:v>
      </x:c>
      <x:c r="AK840" s="14" t="str">
        <x:v>Medium</x:v>
      </x:c>
      <x:c r="AL840" s="14" t="str">
        <x:v>Verified for commissioner/platform scope; uk original commission.</x:v>
      </x:c>
      <x:c r="AM840" s="17" t="e">
        <x:f>HYPERLINK("https://en.wikipedia.org/wiki/Professor_T.","Open source")</x:f>
        <x:v>HYPERLINK is not implemented. linkLocation=https://en.wikipedia.org/wiki/Professor_T., friendlyName=Open source</x:v>
      </x:c>
      <x:c r="AN840" s="14" t="str">
        <x:v>No qualifying BBC relationship</x:v>
      </x:c>
      <x:c r="AO840" s="14" t="str">
        <x:v>No</x:v>
      </x:c>
      <x:c r="AP840" s="14" t="str">
        <x:v>Out of scope</x:v>
      </x:c>
      <x:c r="AQ840" s="14" t="str">
        <x:v>No</x:v>
      </x:c>
      <x:c r="AR840" s="14" t="str">
        <x:v>Resolved from master register</x:v>
      </x:c>
      <x:c r="AS840" s="14" t="str">
        <x:v>No established-register match</x:v>
      </x:c>
      <x:c r="AT840" s="14"/>
      <x:c r="AU840" s="14"/>
      <x:c r="AV840" s="14" t="str">
        <x:v>No established apparent-disability match</x:v>
      </x:c>
      <x:c r="AW840" s="14"/>
      <x:c r="AX840" s="14" t="str">
        <x:v>No</x:v>
      </x:c>
      <x:c r="AY840" s="14" t="str">
        <x:v>Unmatched</x:v>
      </x:c>
      <x:c r="AZ840" s="14" t="str">
        <x:v>Final supplied register</x:v>
      </x:c>
      <x:c r="BA840" s="14" t="str">
        <x:v>Absence from the register is not evidence that the performer is not disabled.</x:v>
      </x:c>
      <x:c r="BB840" s="14" t="str">
        <x:v>No established-register match</x:v>
      </x:c>
      <x:c r="BC840" s="14"/>
      <x:c r="BD840" s="14"/>
      <x:c r="BE840" s="14"/>
      <x:c r="BF840" s="14" t="str">
        <x:v>No established apparent-disability match</x:v>
      </x:c>
      <x:c r="BG840" s="14"/>
      <x:c r="BH840" s="14" t="str">
        <x:v>No</x:v>
      </x:c>
      <x:c r="BI840" s="14"/>
      <x:c r="BJ840" s="14"/>
      <x:c r="BK840" s="14"/>
      <x:c r="BL840" s="14" t="str">
        <x:v>Unmatched</x:v>
      </x:c>
      <x:c r="BM840" s="14" t="str">
        <x:v>Final supplied register</x:v>
      </x:c>
      <x:c r="BN840" s="14" t="str">
        <x:v>Absence from the register is not evidence that the performer is not disabled.</x:v>
      </x:c>
      <x:c r="BO840" s="14" t="n">
        <x:v>30</x:v>
      </x:c>
      <x:c r="BP840" s="14" t="str">
        <x:v>Maximum eligible IMDb cast-credit total (30), shared by 2 performer(s); not independently verified as a 2021-only episode total.</x:v>
      </x:c>
      <x:c r="BQ840" s="14" t="str">
        <x:v>Medium</x:v>
      </x:c>
      <x:c r="BR840" s="15" t="n">
        <x:v>1</x:v>
      </x:c>
      <x:c r="BS840" s="16" t="n">
        <x:v>0.03333333333333333</x:v>
      </x:c>
      <x:c r="BT840" s="14" t="str">
        <x:v>One episode</x:v>
      </x:c>
      <x:c r="BU840" s="14" t="str">
        <x:v>Medium</x:v>
      </x:c>
      <x:c r="BV840" s="14" t="str">
        <x:v>Derived from supplied IMDb episode count and the documented production-total proxy.</x:v>
      </x:c>
      <x:c r="BW840" s="14" t="str">
        <x:v>Unable to determine</x:v>
      </x:c>
      <x:c r="BX840" s="14" t="str">
        <x:v>Supplied cast data establishes the credit and episode presence but does not establish narrative prominence.</x:v>
      </x:c>
      <x:c r="BY840" s="14" t="str">
        <x:v>Supplied IMDb cast-list workbook</x:v>
      </x:c>
      <x:c r="BZ8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0" s="14" t="str">
        <x:v>Not classified</x:v>
      </x:c>
      <x:c r="CB840" s="14" t="str">
        <x:v>Unable to determine</x:v>
      </x:c>
      <x:c r="CC840" s="14" t="str">
        <x:v>Unique</x:v>
      </x:c>
      <x:c r="CD840" s="14" t="str">
        <x:v>None identified</x:v>
      </x:c>
    </x:row>
    <x:row r="841">
      <x:c r="A841" s="14" t="str">
        <x:v>tt11981644|nm11872973|rosemary parrish</x:v>
      </x:c>
      <x:c r="B841" s="14" t="str">
        <x:v>02</x:v>
      </x:c>
      <x:c r="C841" s="14" t="str">
        <x:v>2021_IMDb_Cast_Lists_Batch_02(1).xlsx</x:v>
      </x:c>
      <x:c r="D841" s="14" t="str">
        <x:v>Professor T</x:v>
      </x:c>
      <x:c r="E841" s="14" t="n">
        <x:v>143</x:v>
      </x:c>
      <x:c r="F841" s="14" t="str">
        <x:v>Professor T</x:v>
      </x:c>
      <x:c r="G841" s="14" t="str">
        <x:v>tt11981644</x:v>
      </x:c>
      <x:c r="H841" s="14" t="n">
        <x:v>2021</x:v>
      </x:c>
      <x:c r="I841" s="14" t="n">
        <x:v>2023</x:v>
      </x:c>
      <x:c r="J841" s="14" t="str">
        <x:v>Future Carry-Forward Cohort</x:v>
      </x:c>
      <x:c r="K841" s="14" t="n">
        <x:v>2021</x:v>
      </x:c>
      <x:c r="L841" s="14" t="str">
        <x:v>Available from 2021 analysis</x:v>
      </x:c>
      <x:c r="M841" s="15" t="n">
        <x:v>136</x:v>
      </x:c>
      <x:c r="N841" s="14" t="str">
        <x:v>Kemi Awoderu</x:v>
      </x:c>
      <x:c r="O841" s="14" t="str">
        <x:v>nm11872973</x:v>
      </x:c>
      <x:c r="P841" s="14" t="str">
        <x:v>Rosemary Parrish</x:v>
      </x:c>
      <x:c r="Q841" s="15" t="n">
        <x:v>1</x:v>
      </x:c>
      <x:c r="R841" s="14" t="str">
        <x:v>2024</x:v>
      </x:c>
      <x:c r="S841" s="14" t="n">
        <x:v>2024</x:v>
      </x:c>
      <x:c r="T841" s="14" t="n">
        <x:v>2024</x:v>
      </x:c>
      <x:c r="U841" s="14" t="str">
        <x:v>Post-2021 casting excluded</x:v>
      </x:c>
      <x:c r="V841" s="14" t="str">
        <x:v>Earliest supplied year is 2024, later than the 2021 study year.</x:v>
      </x:c>
      <x:c r="W841" s="14"/>
      <x:c r="X841" s="14" t="str">
        <x:v>Carried forward to 2024</x:v>
      </x:c>
      <x:c r="Y841" s="14"/>
      <x:c r="Z841" s="14" t="str">
        <x:v>Professor T.docx</x:v>
      </x:c>
      <x:c r="AA8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1" s="14" t="str">
        <x:v>No established-register match</x:v>
      </x:c>
      <x:c r="AC841" s="14"/>
      <x:c r="AD841" s="14"/>
      <x:c r="AE841" s="14"/>
      <x:c r="AF841" s="14"/>
      <x:c r="AG841" s="14" t="str">
        <x:v>No qualifying conclusion recorded. Absence from the register is not evidence that the performer is not disabled.</x:v>
      </x:c>
      <x:c r="AH841" s="14" t="str">
        <x:v>ITV / ITVX</x:v>
      </x:c>
      <x:c r="AI841" s="14" t="str">
        <x:v>UK original commission</x:v>
      </x:c>
      <x:c r="AJ841" s="14" t="str">
        <x:v>Exact normalised title</x:v>
      </x:c>
      <x:c r="AK841" s="14" t="str">
        <x:v>Medium</x:v>
      </x:c>
      <x:c r="AL841" s="14" t="str">
        <x:v>Verified for commissioner/platform scope; uk original commission.</x:v>
      </x:c>
      <x:c r="AM841" s="17" t="e">
        <x:f>HYPERLINK("https://en.wikipedia.org/wiki/Professor_T.","Open source")</x:f>
        <x:v>HYPERLINK is not implemented. linkLocation=https://en.wikipedia.org/wiki/Professor_T., friendlyName=Open source</x:v>
      </x:c>
      <x:c r="AN841" s="14" t="str">
        <x:v>No qualifying BBC relationship</x:v>
      </x:c>
      <x:c r="AO841" s="14" t="str">
        <x:v>No</x:v>
      </x:c>
      <x:c r="AP841" s="14" t="str">
        <x:v>Out of scope</x:v>
      </x:c>
      <x:c r="AQ841" s="14" t="str">
        <x:v>No</x:v>
      </x:c>
      <x:c r="AR841" s="14" t="str">
        <x:v>Resolved from master register</x:v>
      </x:c>
      <x:c r="AS841" s="14" t="str">
        <x:v>No established-register match</x:v>
      </x:c>
      <x:c r="AT841" s="14"/>
      <x:c r="AU841" s="14"/>
      <x:c r="AV841" s="14" t="str">
        <x:v>No established apparent-disability match</x:v>
      </x:c>
      <x:c r="AW841" s="14"/>
      <x:c r="AX841" s="14" t="str">
        <x:v>No</x:v>
      </x:c>
      <x:c r="AY841" s="14" t="str">
        <x:v>Unmatched</x:v>
      </x:c>
      <x:c r="AZ841" s="14" t="str">
        <x:v>Final supplied register</x:v>
      </x:c>
      <x:c r="BA841" s="14" t="str">
        <x:v>Absence from the register is not evidence that the performer is not disabled.</x:v>
      </x:c>
      <x:c r="BB841" s="14" t="str">
        <x:v>No established-register match</x:v>
      </x:c>
      <x:c r="BC841" s="14"/>
      <x:c r="BD841" s="14"/>
      <x:c r="BE841" s="14"/>
      <x:c r="BF841" s="14" t="str">
        <x:v>No established apparent-disability match</x:v>
      </x:c>
      <x:c r="BG841" s="14"/>
      <x:c r="BH841" s="14" t="str">
        <x:v>No</x:v>
      </x:c>
      <x:c r="BI841" s="14"/>
      <x:c r="BJ841" s="14"/>
      <x:c r="BK841" s="14"/>
      <x:c r="BL841" s="14" t="str">
        <x:v>Unmatched</x:v>
      </x:c>
      <x:c r="BM841" s="14" t="str">
        <x:v>Final supplied register</x:v>
      </x:c>
      <x:c r="BN841" s="14" t="str">
        <x:v>Absence from the register is not evidence that the performer is not disabled.</x:v>
      </x:c>
      <x:c r="BO841" s="14" t="n">
        <x:v>30</x:v>
      </x:c>
      <x:c r="BP841" s="14" t="str">
        <x:v>Maximum eligible IMDb cast-credit total (30), shared by 2 performer(s); not independently verified as a 2021-only episode total.</x:v>
      </x:c>
      <x:c r="BQ841" s="14" t="str">
        <x:v>Medium</x:v>
      </x:c>
      <x:c r="BR841" s="15" t="n">
        <x:v>1</x:v>
      </x:c>
      <x:c r="BS841" s="16" t="n">
        <x:v>0.03333333333333333</x:v>
      </x:c>
      <x:c r="BT841" s="14" t="str">
        <x:v>One episode</x:v>
      </x:c>
      <x:c r="BU841" s="14" t="str">
        <x:v>Medium</x:v>
      </x:c>
      <x:c r="BV841" s="14" t="str">
        <x:v>Derived from supplied IMDb episode count and the documented production-total proxy.</x:v>
      </x:c>
      <x:c r="BW841" s="14" t="str">
        <x:v>Unable to determine</x:v>
      </x:c>
      <x:c r="BX841" s="14" t="str">
        <x:v>Supplied cast data establishes the credit and episode presence but does not establish narrative prominence.</x:v>
      </x:c>
      <x:c r="BY841" s="14" t="str">
        <x:v>Supplied IMDb cast-list workbook</x:v>
      </x:c>
      <x:c r="BZ8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1" s="14" t="str">
        <x:v>Not classified</x:v>
      </x:c>
      <x:c r="CB841" s="14" t="str">
        <x:v>Unable to determine</x:v>
      </x:c>
      <x:c r="CC841" s="14" t="str">
        <x:v>Unique</x:v>
      </x:c>
      <x:c r="CD841" s="14" t="str">
        <x:v>None identified</x:v>
      </x:c>
    </x:row>
    <x:row r="842">
      <x:c r="A842" s="14" t="str">
        <x:v>tt11981644|nm3565832|benny vause</x:v>
      </x:c>
      <x:c r="B842" s="14" t="str">
        <x:v>02</x:v>
      </x:c>
      <x:c r="C842" s="14" t="str">
        <x:v>2021_IMDb_Cast_Lists_Batch_02(1).xlsx</x:v>
      </x:c>
      <x:c r="D842" s="14" t="str">
        <x:v>Professor T</x:v>
      </x:c>
      <x:c r="E842" s="14" t="n">
        <x:v>157</x:v>
      </x:c>
      <x:c r="F842" s="14" t="str">
        <x:v>Professor T</x:v>
      </x:c>
      <x:c r="G842" s="14" t="str">
        <x:v>tt11981644</x:v>
      </x:c>
      <x:c r="H842" s="14" t="n">
        <x:v>2021</x:v>
      </x:c>
      <x:c r="I842" s="14" t="n">
        <x:v>2023</x:v>
      </x:c>
      <x:c r="J842" s="14" t="str">
        <x:v>Future Carry-Forward Cohort</x:v>
      </x:c>
      <x:c r="K842" s="14" t="n">
        <x:v>2021</x:v>
      </x:c>
      <x:c r="L842" s="14" t="str">
        <x:v>Available from 2021 analysis</x:v>
      </x:c>
      <x:c r="M842" s="15" t="n">
        <x:v>150</x:v>
      </x:c>
      <x:c r="N842" s="14" t="str">
        <x:v>Leon Harrop</x:v>
      </x:c>
      <x:c r="O842" s="14" t="str">
        <x:v>nm3565832</x:v>
      </x:c>
      <x:c r="P842" s="14" t="str">
        <x:v>Benny Vause</x:v>
      </x:c>
      <x:c r="Q842" s="15" t="n">
        <x:v>1</x:v>
      </x:c>
      <x:c r="R842" s="14" t="str">
        <x:v>2024</x:v>
      </x:c>
      <x:c r="S842" s="14" t="n">
        <x:v>2024</x:v>
      </x:c>
      <x:c r="T842" s="14" t="n">
        <x:v>2024</x:v>
      </x:c>
      <x:c r="U842" s="14" t="str">
        <x:v>Post-2021 casting excluded</x:v>
      </x:c>
      <x:c r="V842" s="14" t="str">
        <x:v>Earliest supplied year is 2024, later than the 2021 study year.</x:v>
      </x:c>
      <x:c r="W842" s="14"/>
      <x:c r="X842" s="14" t="str">
        <x:v>Carried forward to 2024</x:v>
      </x:c>
      <x:c r="Y842" s="14"/>
      <x:c r="Z842" s="14" t="str">
        <x:v>Professor T.docx</x:v>
      </x:c>
      <x:c r="AA8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2" s="14" t="str">
        <x:v>Existing established-register match</x:v>
      </x:c>
      <x:c r="AC842" s="14" t="str">
        <x:v>Down syndrome</x:v>
      </x:c>
      <x:c r="AD842" s="14" t="str">
        <x:v>Existing register classification: Down syndrome</x:v>
      </x:c>
      <x:c r="AE842" s="14" t="str">
        <x:v>Established_Disability_Category_Register V1.1.xlsx</x:v>
      </x:c>
      <x:c r="AF842" s="14"/>
      <x:c r="AG842" s="14" t="str">
        <x:v>Established user-supplied classification retained for deduplication; evidence was not re-researched in this batch.</x:v>
      </x:c>
      <x:c r="AH842" s="14" t="str">
        <x:v>ITV / ITVX</x:v>
      </x:c>
      <x:c r="AI842" s="14" t="str">
        <x:v>UK original commission</x:v>
      </x:c>
      <x:c r="AJ842" s="14" t="str">
        <x:v>Exact normalised title</x:v>
      </x:c>
      <x:c r="AK842" s="14" t="str">
        <x:v>Medium</x:v>
      </x:c>
      <x:c r="AL842" s="14" t="str">
        <x:v>Verified for commissioner/platform scope; uk original commission.</x:v>
      </x:c>
      <x:c r="AM842" s="17" t="e">
        <x:f>HYPERLINK("https://en.wikipedia.org/wiki/Professor_T.","Open source")</x:f>
        <x:v>HYPERLINK is not implemented. linkLocation=https://en.wikipedia.org/wiki/Professor_T., friendlyName=Open source</x:v>
      </x:c>
      <x:c r="AN842" s="14" t="str">
        <x:v>No qualifying BBC relationship</x:v>
      </x:c>
      <x:c r="AO842" s="14" t="str">
        <x:v>No</x:v>
      </x:c>
      <x:c r="AP842" s="14" t="str">
        <x:v>Out of scope</x:v>
      </x:c>
      <x:c r="AQ842" s="14" t="str">
        <x:v>No</x:v>
      </x:c>
      <x:c r="AR842" s="14" t="str">
        <x:v>Resolved from master register</x:v>
      </x:c>
      <x:c r="AS842" s="14" t="str">
        <x:v>Exact IMDb performer ID match</x:v>
      </x:c>
      <x:c r="AT842" s="14" t="str">
        <x:v>nm3565832</x:v>
      </x:c>
      <x:c r="AU842" s="14" t="str">
        <x:v>Down syndrome</x:v>
      </x:c>
      <x:c r="AV842" s="14" t="str">
        <x:v>Yes</x:v>
      </x:c>
      <x:c r="AW842" s="14" t="str">
        <x:v>Down syndrome</x:v>
      </x:c>
      <x:c r="AX842" s="14" t="str">
        <x:v>No</x:v>
      </x:c>
      <x:c r="AY842" s="14" t="str">
        <x:v>Matched</x:v>
      </x:c>
      <x:c r="AZ842" s="14" t="str">
        <x:v>Final supplied register</x:v>
      </x:c>
      <x:c r="BA842" s="14"/>
      <x:c r="BB842" s="14" t="str">
        <x:v>Exact IMDb performer ID match</x:v>
      </x:c>
      <x:c r="BC842" s="14" t="str">
        <x:v>nm3565832</x:v>
      </x:c>
      <x:c r="BD842" s="14" t="str">
        <x:v>Leon Harrop</x:v>
      </x:c>
      <x:c r="BE842" s="14" t="str">
        <x:v>Down syndrome</x:v>
      </x:c>
      <x:c r="BF842" s="14" t="str">
        <x:v>Yes</x:v>
      </x:c>
      <x:c r="BG842" s="14" t="str">
        <x:v>Down syndrome</x:v>
      </x:c>
      <x:c r="BH842" s="14" t="str">
        <x:v>No</x:v>
      </x:c>
      <x:c r="BI842" s="14" t="str">
        <x:v>User-supplied established classification</x:v>
      </x:c>
      <x:c r="BJ842" s="14" t="str">
        <x:v>01_Down_syndrome.csv</x:v>
      </x:c>
      <x:c r="BK842" s="14"/>
      <x:c r="BL842" s="14" t="str">
        <x:v>Matched</x:v>
      </x:c>
      <x:c r="BM842" s="14" t="str">
        <x:v>Final supplied register</x:v>
      </x:c>
      <x:c r="BN842" s="14"/>
      <x:c r="BO842" s="14" t="n">
        <x:v>30</x:v>
      </x:c>
      <x:c r="BP842" s="14" t="str">
        <x:v>Maximum eligible IMDb cast-credit total (30), shared by 2 performer(s); not independently verified as a 2021-only episode total.</x:v>
      </x:c>
      <x:c r="BQ842" s="14" t="str">
        <x:v>Medium</x:v>
      </x:c>
      <x:c r="BR842" s="15" t="n">
        <x:v>1</x:v>
      </x:c>
      <x:c r="BS842" s="16" t="n">
        <x:v>0.03333333333333333</x:v>
      </x:c>
      <x:c r="BT842" s="14" t="str">
        <x:v>One episode</x:v>
      </x:c>
      <x:c r="BU842" s="14" t="str">
        <x:v>Medium</x:v>
      </x:c>
      <x:c r="BV842" s="14" t="str">
        <x:v>Derived from supplied IMDb episode count and the documented production-total proxy.</x:v>
      </x:c>
      <x:c r="BW842" s="14" t="str">
        <x:v>Unable to determine</x:v>
      </x:c>
      <x:c r="BX842" s="14" t="str">
        <x:v>Supplied cast data establishes the credit and episode presence but does not establish narrative prominence.</x:v>
      </x:c>
      <x:c r="BY842" s="14" t="str">
        <x:v>Supplied IMDb cast-list workbook</x:v>
      </x:c>
      <x:c r="BZ8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2" s="14" t="str">
        <x:v>Not classified</x:v>
      </x:c>
      <x:c r="CB842" s="14" t="str">
        <x:v>Unable to determine</x:v>
      </x:c>
      <x:c r="CC842" s="14" t="str">
        <x:v>Unique</x:v>
      </x:c>
      <x:c r="CD842" s="14" t="str">
        <x:v>None identified</x:v>
      </x:c>
    </x:row>
    <x:row r="843">
      <x:c r="A843" s="14" t="str">
        <x:v>tt11981644|nm5145119|hotel guest</x:v>
      </x:c>
      <x:c r="B843" s="14" t="str">
        <x:v>02</x:v>
      </x:c>
      <x:c r="C843" s="14" t="str">
        <x:v>2021_IMDb_Cast_Lists_Batch_02(1).xlsx</x:v>
      </x:c>
      <x:c r="D843" s="14" t="str">
        <x:v>Professor T</x:v>
      </x:c>
      <x:c r="E843" s="14" t="n">
        <x:v>158</x:v>
      </x:c>
      <x:c r="F843" s="14" t="str">
        <x:v>Professor T</x:v>
      </x:c>
      <x:c r="G843" s="14" t="str">
        <x:v>tt11981644</x:v>
      </x:c>
      <x:c r="H843" s="14" t="n">
        <x:v>2021</x:v>
      </x:c>
      <x:c r="I843" s="14" t="n">
        <x:v>2023</x:v>
      </x:c>
      <x:c r="J843" s="14" t="str">
        <x:v>Future Carry-Forward Cohort</x:v>
      </x:c>
      <x:c r="K843" s="14" t="n">
        <x:v>2021</x:v>
      </x:c>
      <x:c r="L843" s="14" t="str">
        <x:v>Available from 2021 analysis</x:v>
      </x:c>
      <x:c r="M843" s="15" t="n">
        <x:v>151</x:v>
      </x:c>
      <x:c r="N843" s="14" t="str">
        <x:v>Alice Van Heuven</x:v>
      </x:c>
      <x:c r="O843" s="14" t="str">
        <x:v>nm5145119</x:v>
      </x:c>
      <x:c r="P843" s="14" t="str">
        <x:v>Hotel Guest</x:v>
      </x:c>
      <x:c r="Q843" s="15" t="n">
        <x:v>1</x:v>
      </x:c>
      <x:c r="R843" s="14" t="str">
        <x:v>2024</x:v>
      </x:c>
      <x:c r="S843" s="14" t="n">
        <x:v>2024</x:v>
      </x:c>
      <x:c r="T843" s="14" t="n">
        <x:v>2024</x:v>
      </x:c>
      <x:c r="U843" s="14" t="str">
        <x:v>Post-2021 casting excluded</x:v>
      </x:c>
      <x:c r="V843" s="14" t="str">
        <x:v>Earliest supplied year is 2024, later than the 2021 study year.</x:v>
      </x:c>
      <x:c r="W843" s="14"/>
      <x:c r="X843" s="14" t="str">
        <x:v>Carried forward to 2024</x:v>
      </x:c>
      <x:c r="Y843" s="14"/>
      <x:c r="Z843" s="14" t="str">
        <x:v>Professor T.docx</x:v>
      </x:c>
      <x:c r="AA8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3" s="14" t="str">
        <x:v>No established-register match</x:v>
      </x:c>
      <x:c r="AC843" s="14"/>
      <x:c r="AD843" s="14"/>
      <x:c r="AE843" s="14"/>
      <x:c r="AF843" s="14"/>
      <x:c r="AG843" s="14" t="str">
        <x:v>No qualifying conclusion recorded. Absence from the register is not evidence that the performer is not disabled.</x:v>
      </x:c>
      <x:c r="AH843" s="14" t="str">
        <x:v>ITV / ITVX</x:v>
      </x:c>
      <x:c r="AI843" s="14" t="str">
        <x:v>UK original commission</x:v>
      </x:c>
      <x:c r="AJ843" s="14" t="str">
        <x:v>Exact normalised title</x:v>
      </x:c>
      <x:c r="AK843" s="14" t="str">
        <x:v>Medium</x:v>
      </x:c>
      <x:c r="AL843" s="14" t="str">
        <x:v>Verified for commissioner/platform scope; uk original commission.</x:v>
      </x:c>
      <x:c r="AM843" s="17" t="e">
        <x:f>HYPERLINK("https://en.wikipedia.org/wiki/Professor_T.","Open source")</x:f>
        <x:v>HYPERLINK is not implemented. linkLocation=https://en.wikipedia.org/wiki/Professor_T., friendlyName=Open source</x:v>
      </x:c>
      <x:c r="AN843" s="14" t="str">
        <x:v>No qualifying BBC relationship</x:v>
      </x:c>
      <x:c r="AO843" s="14" t="str">
        <x:v>No</x:v>
      </x:c>
      <x:c r="AP843" s="14" t="str">
        <x:v>Out of scope</x:v>
      </x:c>
      <x:c r="AQ843" s="14" t="str">
        <x:v>No</x:v>
      </x:c>
      <x:c r="AR843" s="14" t="str">
        <x:v>Resolved from master register</x:v>
      </x:c>
      <x:c r="AS843" s="14" t="str">
        <x:v>No established-register match</x:v>
      </x:c>
      <x:c r="AT843" s="14"/>
      <x:c r="AU843" s="14"/>
      <x:c r="AV843" s="14" t="str">
        <x:v>No established apparent-disability match</x:v>
      </x:c>
      <x:c r="AW843" s="14"/>
      <x:c r="AX843" s="14" t="str">
        <x:v>No</x:v>
      </x:c>
      <x:c r="AY843" s="14" t="str">
        <x:v>Unmatched</x:v>
      </x:c>
      <x:c r="AZ843" s="14" t="str">
        <x:v>Final supplied register</x:v>
      </x:c>
      <x:c r="BA843" s="14" t="str">
        <x:v>Absence from the register is not evidence that the performer is not disabled.</x:v>
      </x:c>
      <x:c r="BB843" s="14" t="str">
        <x:v>No established-register match</x:v>
      </x:c>
      <x:c r="BC843" s="14"/>
      <x:c r="BD843" s="14"/>
      <x:c r="BE843" s="14"/>
      <x:c r="BF843" s="14" t="str">
        <x:v>No established apparent-disability match</x:v>
      </x:c>
      <x:c r="BG843" s="14"/>
      <x:c r="BH843" s="14" t="str">
        <x:v>No</x:v>
      </x:c>
      <x:c r="BI843" s="14"/>
      <x:c r="BJ843" s="14"/>
      <x:c r="BK843" s="14"/>
      <x:c r="BL843" s="14" t="str">
        <x:v>Unmatched</x:v>
      </x:c>
      <x:c r="BM843" s="14" t="str">
        <x:v>Final supplied register</x:v>
      </x:c>
      <x:c r="BN843" s="14" t="str">
        <x:v>Absence from the register is not evidence that the performer is not disabled.</x:v>
      </x:c>
      <x:c r="BO843" s="14" t="n">
        <x:v>30</x:v>
      </x:c>
      <x:c r="BP843" s="14" t="str">
        <x:v>Maximum eligible IMDb cast-credit total (30), shared by 2 performer(s); not independently verified as a 2021-only episode total.</x:v>
      </x:c>
      <x:c r="BQ843" s="14" t="str">
        <x:v>Medium</x:v>
      </x:c>
      <x:c r="BR843" s="15" t="n">
        <x:v>1</x:v>
      </x:c>
      <x:c r="BS843" s="16" t="n">
        <x:v>0.03333333333333333</x:v>
      </x:c>
      <x:c r="BT843" s="14" t="str">
        <x:v>One episode</x:v>
      </x:c>
      <x:c r="BU843" s="14" t="str">
        <x:v>Medium</x:v>
      </x:c>
      <x:c r="BV843" s="14" t="str">
        <x:v>Derived from supplied IMDb episode count and the documented production-total proxy.</x:v>
      </x:c>
      <x:c r="BW843" s="14" t="str">
        <x:v>Unable to determine</x:v>
      </x:c>
      <x:c r="BX843" s="14" t="str">
        <x:v>Supplied cast data establishes the credit and episode presence but does not establish narrative prominence.</x:v>
      </x:c>
      <x:c r="BY843" s="14" t="str">
        <x:v>Supplied IMDb cast-list workbook</x:v>
      </x:c>
      <x:c r="BZ8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3" s="14" t="str">
        <x:v>Not classified</x:v>
      </x:c>
      <x:c r="CB843" s="14" t="str">
        <x:v>Unable to determine</x:v>
      </x:c>
      <x:c r="CC843" s="14" t="str">
        <x:v>Unique</x:v>
      </x:c>
      <x:c r="CD843" s="14" t="str">
        <x:v>None identified</x:v>
      </x:c>
    </x:row>
    <x:row r="844">
      <x:c r="A844" s="14" t="str">
        <x:v>tt11981644|nm0599778|leah vermorel</x:v>
      </x:c>
      <x:c r="B844" s="14" t="str">
        <x:v>02</x:v>
      </x:c>
      <x:c r="C844" s="14" t="str">
        <x:v>2021_IMDb_Cast_Lists_Batch_02(1).xlsx</x:v>
      </x:c>
      <x:c r="D844" s="14" t="str">
        <x:v>Professor T</x:v>
      </x:c>
      <x:c r="E844" s="14" t="n">
        <x:v>169</x:v>
      </x:c>
      <x:c r="F844" s="14" t="str">
        <x:v>Professor T</x:v>
      </x:c>
      <x:c r="G844" s="14" t="str">
        <x:v>tt11981644</x:v>
      </x:c>
      <x:c r="H844" s="14" t="n">
        <x:v>2021</x:v>
      </x:c>
      <x:c r="I844" s="14" t="n">
        <x:v>2023</x:v>
      </x:c>
      <x:c r="J844" s="14" t="str">
        <x:v>Future Carry-Forward Cohort</x:v>
      </x:c>
      <x:c r="K844" s="14" t="n">
        <x:v>2021</x:v>
      </x:c>
      <x:c r="L844" s="14" t="str">
        <x:v>Available from 2021 analysis</x:v>
      </x:c>
      <x:c r="M844" s="15" t="n">
        <x:v>162</x:v>
      </x:c>
      <x:c r="N844" s="14" t="str">
        <x:v>Flora Montgomery</x:v>
      </x:c>
      <x:c r="O844" s="14" t="str">
        <x:v>nm0599778</x:v>
      </x:c>
      <x:c r="P844" s="14" t="str">
        <x:v>Leah Vermorel</x:v>
      </x:c>
      <x:c r="Q844" s="15" t="n">
        <x:v>1</x:v>
      </x:c>
      <x:c r="R844" s="14" t="str">
        <x:v>2024</x:v>
      </x:c>
      <x:c r="S844" s="14" t="n">
        <x:v>2024</x:v>
      </x:c>
      <x:c r="T844" s="14" t="n">
        <x:v>2024</x:v>
      </x:c>
      <x:c r="U844" s="14" t="str">
        <x:v>Post-2021 casting excluded</x:v>
      </x:c>
      <x:c r="V844" s="14" t="str">
        <x:v>Earliest supplied year is 2024, later than the 2021 study year.</x:v>
      </x:c>
      <x:c r="W844" s="14"/>
      <x:c r="X844" s="14" t="str">
        <x:v>Carried forward to 2024</x:v>
      </x:c>
      <x:c r="Y844" s="14"/>
      <x:c r="Z844" s="14" t="str">
        <x:v>Professor T.docx</x:v>
      </x:c>
      <x:c r="AA8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4" s="14" t="str">
        <x:v>No established-register match</x:v>
      </x:c>
      <x:c r="AC844" s="14"/>
      <x:c r="AD844" s="14"/>
      <x:c r="AE844" s="14"/>
      <x:c r="AF844" s="14"/>
      <x:c r="AG844" s="14" t="str">
        <x:v>No qualifying conclusion recorded. Absence from the register is not evidence that the performer is not disabled.</x:v>
      </x:c>
      <x:c r="AH844" s="14" t="str">
        <x:v>ITV / ITVX</x:v>
      </x:c>
      <x:c r="AI844" s="14" t="str">
        <x:v>UK original commission</x:v>
      </x:c>
      <x:c r="AJ844" s="14" t="str">
        <x:v>Exact normalised title</x:v>
      </x:c>
      <x:c r="AK844" s="14" t="str">
        <x:v>Medium</x:v>
      </x:c>
      <x:c r="AL844" s="14" t="str">
        <x:v>Verified for commissioner/platform scope; uk original commission.</x:v>
      </x:c>
      <x:c r="AM844" s="17" t="e">
        <x:f>HYPERLINK("https://en.wikipedia.org/wiki/Professor_T.","Open source")</x:f>
        <x:v>HYPERLINK is not implemented. linkLocation=https://en.wikipedia.org/wiki/Professor_T., friendlyName=Open source</x:v>
      </x:c>
      <x:c r="AN844" s="14" t="str">
        <x:v>No qualifying BBC relationship</x:v>
      </x:c>
      <x:c r="AO844" s="14" t="str">
        <x:v>No</x:v>
      </x:c>
      <x:c r="AP844" s="14" t="str">
        <x:v>Out of scope</x:v>
      </x:c>
      <x:c r="AQ844" s="14" t="str">
        <x:v>No</x:v>
      </x:c>
      <x:c r="AR844" s="14" t="str">
        <x:v>Resolved from master register</x:v>
      </x:c>
      <x:c r="AS844" s="14" t="str">
        <x:v>No established-register match</x:v>
      </x:c>
      <x:c r="AT844" s="14"/>
      <x:c r="AU844" s="14"/>
      <x:c r="AV844" s="14" t="str">
        <x:v>No established apparent-disability match</x:v>
      </x:c>
      <x:c r="AW844" s="14"/>
      <x:c r="AX844" s="14" t="str">
        <x:v>No</x:v>
      </x:c>
      <x:c r="AY844" s="14" t="str">
        <x:v>Unmatched</x:v>
      </x:c>
      <x:c r="AZ844" s="14" t="str">
        <x:v>Final supplied register</x:v>
      </x:c>
      <x:c r="BA844" s="14" t="str">
        <x:v>Absence from the register is not evidence that the performer is not disabled.</x:v>
      </x:c>
      <x:c r="BB844" s="14" t="str">
        <x:v>No established-register match</x:v>
      </x:c>
      <x:c r="BC844" s="14"/>
      <x:c r="BD844" s="14"/>
      <x:c r="BE844" s="14"/>
      <x:c r="BF844" s="14" t="str">
        <x:v>No established apparent-disability match</x:v>
      </x:c>
      <x:c r="BG844" s="14"/>
      <x:c r="BH844" s="14" t="str">
        <x:v>No</x:v>
      </x:c>
      <x:c r="BI844" s="14"/>
      <x:c r="BJ844" s="14"/>
      <x:c r="BK844" s="14"/>
      <x:c r="BL844" s="14" t="str">
        <x:v>Unmatched</x:v>
      </x:c>
      <x:c r="BM844" s="14" t="str">
        <x:v>Final supplied register</x:v>
      </x:c>
      <x:c r="BN844" s="14" t="str">
        <x:v>Absence from the register is not evidence that the performer is not disabled.</x:v>
      </x:c>
      <x:c r="BO844" s="14" t="n">
        <x:v>30</x:v>
      </x:c>
      <x:c r="BP844" s="14" t="str">
        <x:v>Maximum eligible IMDb cast-credit total (30), shared by 2 performer(s); not independently verified as a 2021-only episode total.</x:v>
      </x:c>
      <x:c r="BQ844" s="14" t="str">
        <x:v>Medium</x:v>
      </x:c>
      <x:c r="BR844" s="15" t="n">
        <x:v>1</x:v>
      </x:c>
      <x:c r="BS844" s="16" t="n">
        <x:v>0.03333333333333333</x:v>
      </x:c>
      <x:c r="BT844" s="14" t="str">
        <x:v>One episode</x:v>
      </x:c>
      <x:c r="BU844" s="14" t="str">
        <x:v>Medium</x:v>
      </x:c>
      <x:c r="BV844" s="14" t="str">
        <x:v>Derived from supplied IMDb episode count and the documented production-total proxy.</x:v>
      </x:c>
      <x:c r="BW844" s="14" t="str">
        <x:v>Unable to determine</x:v>
      </x:c>
      <x:c r="BX844" s="14" t="str">
        <x:v>Supplied cast data establishes the credit and episode presence but does not establish narrative prominence.</x:v>
      </x:c>
      <x:c r="BY844" s="14" t="str">
        <x:v>Supplied IMDb cast-list workbook</x:v>
      </x:c>
      <x:c r="BZ8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4" s="14" t="str">
        <x:v>Not classified</x:v>
      </x:c>
      <x:c r="CB844" s="14" t="str">
        <x:v>Unable to determine</x:v>
      </x:c>
      <x:c r="CC844" s="14" t="str">
        <x:v>Unique</x:v>
      </x:c>
      <x:c r="CD844" s="14" t="str">
        <x:v>None identified</x:v>
      </x:c>
    </x:row>
    <x:row r="845">
      <x:c r="A845" s="14" t="str">
        <x:v>tt11981644|nm0698056|edwyn harwood</x:v>
      </x:c>
      <x:c r="B845" s="14" t="str">
        <x:v>02</x:v>
      </x:c>
      <x:c r="C845" s="14" t="str">
        <x:v>2021_IMDb_Cast_Lists_Batch_02(1).xlsx</x:v>
      </x:c>
      <x:c r="D845" s="14" t="str">
        <x:v>Professor T</x:v>
      </x:c>
      <x:c r="E845" s="14" t="n">
        <x:v>170</x:v>
      </x:c>
      <x:c r="F845" s="14" t="str">
        <x:v>Professor T</x:v>
      </x:c>
      <x:c r="G845" s="14" t="str">
        <x:v>tt11981644</x:v>
      </x:c>
      <x:c r="H845" s="14" t="n">
        <x:v>2021</x:v>
      </x:c>
      <x:c r="I845" s="14" t="n">
        <x:v>2023</x:v>
      </x:c>
      <x:c r="J845" s="14" t="str">
        <x:v>Future Carry-Forward Cohort</x:v>
      </x:c>
      <x:c r="K845" s="14" t="n">
        <x:v>2021</x:v>
      </x:c>
      <x:c r="L845" s="14" t="str">
        <x:v>Available from 2021 analysis</x:v>
      </x:c>
      <x:c r="M845" s="15" t="n">
        <x:v>163</x:v>
      </x:c>
      <x:c r="N845" s="14" t="str">
        <x:v>Nicholas Pritchard</x:v>
      </x:c>
      <x:c r="O845" s="14" t="str">
        <x:v>nm0698056</x:v>
      </x:c>
      <x:c r="P845" s="14" t="str">
        <x:v>Edwyn Harwood</x:v>
      </x:c>
      <x:c r="Q845" s="15" t="n">
        <x:v>1</x:v>
      </x:c>
      <x:c r="R845" s="14" t="str">
        <x:v>2024</x:v>
      </x:c>
      <x:c r="S845" s="14" t="n">
        <x:v>2024</x:v>
      </x:c>
      <x:c r="T845" s="14" t="n">
        <x:v>2024</x:v>
      </x:c>
      <x:c r="U845" s="14" t="str">
        <x:v>Post-2021 casting excluded</x:v>
      </x:c>
      <x:c r="V845" s="14" t="str">
        <x:v>Earliest supplied year is 2024, later than the 2021 study year.</x:v>
      </x:c>
      <x:c r="W845" s="14"/>
      <x:c r="X845" s="14" t="str">
        <x:v>Carried forward to 2024</x:v>
      </x:c>
      <x:c r="Y845" s="14"/>
      <x:c r="Z845" s="14" t="str">
        <x:v>Professor T.docx</x:v>
      </x:c>
      <x:c r="AA8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5" s="14" t="str">
        <x:v>No established-register match</x:v>
      </x:c>
      <x:c r="AC845" s="14"/>
      <x:c r="AD845" s="14"/>
      <x:c r="AE845" s="14"/>
      <x:c r="AF845" s="14"/>
      <x:c r="AG845" s="14" t="str">
        <x:v>No qualifying conclusion recorded. Absence from the register is not evidence that the performer is not disabled.</x:v>
      </x:c>
      <x:c r="AH845" s="14" t="str">
        <x:v>ITV / ITVX</x:v>
      </x:c>
      <x:c r="AI845" s="14" t="str">
        <x:v>UK original commission</x:v>
      </x:c>
      <x:c r="AJ845" s="14" t="str">
        <x:v>Exact normalised title</x:v>
      </x:c>
      <x:c r="AK845" s="14" t="str">
        <x:v>Medium</x:v>
      </x:c>
      <x:c r="AL845" s="14" t="str">
        <x:v>Verified for commissioner/platform scope; uk original commission.</x:v>
      </x:c>
      <x:c r="AM845" s="17" t="e">
        <x:f>HYPERLINK("https://en.wikipedia.org/wiki/Professor_T.","Open source")</x:f>
        <x:v>HYPERLINK is not implemented. linkLocation=https://en.wikipedia.org/wiki/Professor_T., friendlyName=Open source</x:v>
      </x:c>
      <x:c r="AN845" s="14" t="str">
        <x:v>No qualifying BBC relationship</x:v>
      </x:c>
      <x:c r="AO845" s="14" t="str">
        <x:v>No</x:v>
      </x:c>
      <x:c r="AP845" s="14" t="str">
        <x:v>Out of scope</x:v>
      </x:c>
      <x:c r="AQ845" s="14" t="str">
        <x:v>No</x:v>
      </x:c>
      <x:c r="AR845" s="14" t="str">
        <x:v>Resolved from master register</x:v>
      </x:c>
      <x:c r="AS845" s="14" t="str">
        <x:v>No established-register match</x:v>
      </x:c>
      <x:c r="AT845" s="14"/>
      <x:c r="AU845" s="14"/>
      <x:c r="AV845" s="14" t="str">
        <x:v>No established apparent-disability match</x:v>
      </x:c>
      <x:c r="AW845" s="14"/>
      <x:c r="AX845" s="14" t="str">
        <x:v>No</x:v>
      </x:c>
      <x:c r="AY845" s="14" t="str">
        <x:v>Unmatched</x:v>
      </x:c>
      <x:c r="AZ845" s="14" t="str">
        <x:v>Final supplied register</x:v>
      </x:c>
      <x:c r="BA845" s="14" t="str">
        <x:v>Absence from the register is not evidence that the performer is not disabled.</x:v>
      </x:c>
      <x:c r="BB845" s="14" t="str">
        <x:v>No established-register match</x:v>
      </x:c>
      <x:c r="BC845" s="14"/>
      <x:c r="BD845" s="14"/>
      <x:c r="BE845" s="14"/>
      <x:c r="BF845" s="14" t="str">
        <x:v>No established apparent-disability match</x:v>
      </x:c>
      <x:c r="BG845" s="14"/>
      <x:c r="BH845" s="14" t="str">
        <x:v>No</x:v>
      </x:c>
      <x:c r="BI845" s="14"/>
      <x:c r="BJ845" s="14"/>
      <x:c r="BK845" s="14"/>
      <x:c r="BL845" s="14" t="str">
        <x:v>Unmatched</x:v>
      </x:c>
      <x:c r="BM845" s="14" t="str">
        <x:v>Final supplied register</x:v>
      </x:c>
      <x:c r="BN845" s="14" t="str">
        <x:v>Absence from the register is not evidence that the performer is not disabled.</x:v>
      </x:c>
      <x:c r="BO845" s="14" t="n">
        <x:v>30</x:v>
      </x:c>
      <x:c r="BP845" s="14" t="str">
        <x:v>Maximum eligible IMDb cast-credit total (30), shared by 2 performer(s); not independently verified as a 2021-only episode total.</x:v>
      </x:c>
      <x:c r="BQ845" s="14" t="str">
        <x:v>Medium</x:v>
      </x:c>
      <x:c r="BR845" s="15" t="n">
        <x:v>1</x:v>
      </x:c>
      <x:c r="BS845" s="16" t="n">
        <x:v>0.03333333333333333</x:v>
      </x:c>
      <x:c r="BT845" s="14" t="str">
        <x:v>One episode</x:v>
      </x:c>
      <x:c r="BU845" s="14" t="str">
        <x:v>Medium</x:v>
      </x:c>
      <x:c r="BV845" s="14" t="str">
        <x:v>Derived from supplied IMDb episode count and the documented production-total proxy.</x:v>
      </x:c>
      <x:c r="BW845" s="14" t="str">
        <x:v>Unable to determine</x:v>
      </x:c>
      <x:c r="BX845" s="14" t="str">
        <x:v>Supplied cast data establishes the credit and episode presence but does not establish narrative prominence.</x:v>
      </x:c>
      <x:c r="BY845" s="14" t="str">
        <x:v>Supplied IMDb cast-list workbook</x:v>
      </x:c>
      <x:c r="BZ8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5" s="14" t="str">
        <x:v>Not classified</x:v>
      </x:c>
      <x:c r="CB845" s="14" t="str">
        <x:v>Unable to determine</x:v>
      </x:c>
      <x:c r="CC845" s="14" t="str">
        <x:v>Unique</x:v>
      </x:c>
      <x:c r="CD845" s="14" t="str">
        <x:v>None identified</x:v>
      </x:c>
    </x:row>
    <x:row r="846">
      <x:c r="A846" s="14" t="str">
        <x:v>tt11981644|nm5934860|hotel guest</x:v>
      </x:c>
      <x:c r="B846" s="14" t="str">
        <x:v>02</x:v>
      </x:c>
      <x:c r="C846" s="14" t="str">
        <x:v>2021_IMDb_Cast_Lists_Batch_02(1).xlsx</x:v>
      </x:c>
      <x:c r="D846" s="14" t="str">
        <x:v>Professor T</x:v>
      </x:c>
      <x:c r="E846" s="14" t="n">
        <x:v>171</x:v>
      </x:c>
      <x:c r="F846" s="14" t="str">
        <x:v>Professor T</x:v>
      </x:c>
      <x:c r="G846" s="14" t="str">
        <x:v>tt11981644</x:v>
      </x:c>
      <x:c r="H846" s="14" t="n">
        <x:v>2021</x:v>
      </x:c>
      <x:c r="I846" s="14" t="n">
        <x:v>2023</x:v>
      </x:c>
      <x:c r="J846" s="14" t="str">
        <x:v>Future Carry-Forward Cohort</x:v>
      </x:c>
      <x:c r="K846" s="14" t="n">
        <x:v>2021</x:v>
      </x:c>
      <x:c r="L846" s="14" t="str">
        <x:v>Available from 2021 analysis</x:v>
      </x:c>
      <x:c r="M846" s="15" t="n">
        <x:v>164</x:v>
      </x:c>
      <x:c r="N846" s="14" t="str">
        <x:v>Dries de Sutter</x:v>
      </x:c>
      <x:c r="O846" s="14" t="str">
        <x:v>nm5934860</x:v>
      </x:c>
      <x:c r="P846" s="14" t="str">
        <x:v>Hotel Guest</x:v>
      </x:c>
      <x:c r="Q846" s="15" t="n">
        <x:v>1</x:v>
      </x:c>
      <x:c r="R846" s="14" t="str">
        <x:v>2024</x:v>
      </x:c>
      <x:c r="S846" s="14" t="n">
        <x:v>2024</x:v>
      </x:c>
      <x:c r="T846" s="14" t="n">
        <x:v>2024</x:v>
      </x:c>
      <x:c r="U846" s="14" t="str">
        <x:v>Post-2021 casting excluded</x:v>
      </x:c>
      <x:c r="V846" s="14" t="str">
        <x:v>Earliest supplied year is 2024, later than the 2021 study year.</x:v>
      </x:c>
      <x:c r="W846" s="14"/>
      <x:c r="X846" s="14" t="str">
        <x:v>Carried forward to 2024</x:v>
      </x:c>
      <x:c r="Y846" s="14"/>
      <x:c r="Z846" s="14" t="str">
        <x:v>Professor T.docx</x:v>
      </x:c>
      <x:c r="AA8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6" s="14" t="str">
        <x:v>No established-register match</x:v>
      </x:c>
      <x:c r="AC846" s="14"/>
      <x:c r="AD846" s="14"/>
      <x:c r="AE846" s="14"/>
      <x:c r="AF846" s="14"/>
      <x:c r="AG846" s="14" t="str">
        <x:v>No qualifying conclusion recorded. Absence from the register is not evidence that the performer is not disabled.</x:v>
      </x:c>
      <x:c r="AH846" s="14" t="str">
        <x:v>ITV / ITVX</x:v>
      </x:c>
      <x:c r="AI846" s="14" t="str">
        <x:v>UK original commission</x:v>
      </x:c>
      <x:c r="AJ846" s="14" t="str">
        <x:v>Exact normalised title</x:v>
      </x:c>
      <x:c r="AK846" s="14" t="str">
        <x:v>Medium</x:v>
      </x:c>
      <x:c r="AL846" s="14" t="str">
        <x:v>Verified for commissioner/platform scope; uk original commission.</x:v>
      </x:c>
      <x:c r="AM846" s="17" t="e">
        <x:f>HYPERLINK("https://en.wikipedia.org/wiki/Professor_T.","Open source")</x:f>
        <x:v>HYPERLINK is not implemented. linkLocation=https://en.wikipedia.org/wiki/Professor_T., friendlyName=Open source</x:v>
      </x:c>
      <x:c r="AN846" s="14" t="str">
        <x:v>No qualifying BBC relationship</x:v>
      </x:c>
      <x:c r="AO846" s="14" t="str">
        <x:v>No</x:v>
      </x:c>
      <x:c r="AP846" s="14" t="str">
        <x:v>Out of scope</x:v>
      </x:c>
      <x:c r="AQ846" s="14" t="str">
        <x:v>No</x:v>
      </x:c>
      <x:c r="AR846" s="14" t="str">
        <x:v>Resolved from master register</x:v>
      </x:c>
      <x:c r="AS846" s="14" t="str">
        <x:v>No established-register match</x:v>
      </x:c>
      <x:c r="AT846" s="14"/>
      <x:c r="AU846" s="14"/>
      <x:c r="AV846" s="14" t="str">
        <x:v>No established apparent-disability match</x:v>
      </x:c>
      <x:c r="AW846" s="14"/>
      <x:c r="AX846" s="14" t="str">
        <x:v>No</x:v>
      </x:c>
      <x:c r="AY846" s="14" t="str">
        <x:v>Unmatched</x:v>
      </x:c>
      <x:c r="AZ846" s="14" t="str">
        <x:v>Final supplied register</x:v>
      </x:c>
      <x:c r="BA846" s="14" t="str">
        <x:v>Absence from the register is not evidence that the performer is not disabled.</x:v>
      </x:c>
      <x:c r="BB846" s="14" t="str">
        <x:v>No established-register match</x:v>
      </x:c>
      <x:c r="BC846" s="14"/>
      <x:c r="BD846" s="14"/>
      <x:c r="BE846" s="14"/>
      <x:c r="BF846" s="14" t="str">
        <x:v>No established apparent-disability match</x:v>
      </x:c>
      <x:c r="BG846" s="14"/>
      <x:c r="BH846" s="14" t="str">
        <x:v>No</x:v>
      </x:c>
      <x:c r="BI846" s="14"/>
      <x:c r="BJ846" s="14"/>
      <x:c r="BK846" s="14"/>
      <x:c r="BL846" s="14" t="str">
        <x:v>Unmatched</x:v>
      </x:c>
      <x:c r="BM846" s="14" t="str">
        <x:v>Final supplied register</x:v>
      </x:c>
      <x:c r="BN846" s="14" t="str">
        <x:v>Absence from the register is not evidence that the performer is not disabled.</x:v>
      </x:c>
      <x:c r="BO846" s="14" t="n">
        <x:v>30</x:v>
      </x:c>
      <x:c r="BP846" s="14" t="str">
        <x:v>Maximum eligible IMDb cast-credit total (30), shared by 2 performer(s); not independently verified as a 2021-only episode total.</x:v>
      </x:c>
      <x:c r="BQ846" s="14" t="str">
        <x:v>Medium</x:v>
      </x:c>
      <x:c r="BR846" s="15" t="n">
        <x:v>1</x:v>
      </x:c>
      <x:c r="BS846" s="16" t="n">
        <x:v>0.03333333333333333</x:v>
      </x:c>
      <x:c r="BT846" s="14" t="str">
        <x:v>One episode</x:v>
      </x:c>
      <x:c r="BU846" s="14" t="str">
        <x:v>Medium</x:v>
      </x:c>
      <x:c r="BV846" s="14" t="str">
        <x:v>Derived from supplied IMDb episode count and the documented production-total proxy.</x:v>
      </x:c>
      <x:c r="BW846" s="14" t="str">
        <x:v>Unable to determine</x:v>
      </x:c>
      <x:c r="BX846" s="14" t="str">
        <x:v>Supplied cast data establishes the credit and episode presence but does not establish narrative prominence.</x:v>
      </x:c>
      <x:c r="BY846" s="14" t="str">
        <x:v>Supplied IMDb cast-list workbook</x:v>
      </x:c>
      <x:c r="BZ8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6" s="14" t="str">
        <x:v>Not classified</x:v>
      </x:c>
      <x:c r="CB846" s="14" t="str">
        <x:v>Unable to determine</x:v>
      </x:c>
      <x:c r="CC846" s="14" t="str">
        <x:v>Unique</x:v>
      </x:c>
      <x:c r="CD846" s="14" t="str">
        <x:v>None identified</x:v>
      </x:c>
    </x:row>
    <x:row r="847">
      <x:c r="A847" s="14" t="str">
        <x:v>tt11981644|nm0477324|duane vermorel</x:v>
      </x:c>
      <x:c r="B847" s="14" t="str">
        <x:v>02</x:v>
      </x:c>
      <x:c r="C847" s="14" t="str">
        <x:v>2021_IMDb_Cast_Lists_Batch_02(1).xlsx</x:v>
      </x:c>
      <x:c r="D847" s="14" t="str">
        <x:v>Professor T</x:v>
      </x:c>
      <x:c r="E847" s="14" t="n">
        <x:v>181</x:v>
      </x:c>
      <x:c r="F847" s="14" t="str">
        <x:v>Professor T</x:v>
      </x:c>
      <x:c r="G847" s="14" t="str">
        <x:v>tt11981644</x:v>
      </x:c>
      <x:c r="H847" s="14" t="n">
        <x:v>2021</x:v>
      </x:c>
      <x:c r="I847" s="14" t="n">
        <x:v>2023</x:v>
      </x:c>
      <x:c r="J847" s="14" t="str">
        <x:v>Future Carry-Forward Cohort</x:v>
      </x:c>
      <x:c r="K847" s="14" t="n">
        <x:v>2021</x:v>
      </x:c>
      <x:c r="L847" s="14" t="str">
        <x:v>Available from 2021 analysis</x:v>
      </x:c>
      <x:c r="M847" s="15" t="n">
        <x:v>174</x:v>
      </x:c>
      <x:c r="N847" s="14" t="str">
        <x:v>Gerald Kyd</x:v>
      </x:c>
      <x:c r="O847" s="14" t="str">
        <x:v>nm0477324</x:v>
      </x:c>
      <x:c r="P847" s="14" t="str">
        <x:v>Duane Vermorel</x:v>
      </x:c>
      <x:c r="Q847" s="15" t="n">
        <x:v>1</x:v>
      </x:c>
      <x:c r="R847" s="14" t="str">
        <x:v>2024</x:v>
      </x:c>
      <x:c r="S847" s="14" t="n">
        <x:v>2024</x:v>
      </x:c>
      <x:c r="T847" s="14" t="n">
        <x:v>2024</x:v>
      </x:c>
      <x:c r="U847" s="14" t="str">
        <x:v>Post-2021 casting excluded</x:v>
      </x:c>
      <x:c r="V847" s="14" t="str">
        <x:v>Earliest supplied year is 2024, later than the 2021 study year.</x:v>
      </x:c>
      <x:c r="W847" s="14"/>
      <x:c r="X847" s="14" t="str">
        <x:v>Carried forward to 2024</x:v>
      </x:c>
      <x:c r="Y847" s="14"/>
      <x:c r="Z847" s="14" t="str">
        <x:v>Professor T.docx</x:v>
      </x:c>
      <x:c r="AA8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7" s="14" t="str">
        <x:v>No established-register match</x:v>
      </x:c>
      <x:c r="AC847" s="14"/>
      <x:c r="AD847" s="14"/>
      <x:c r="AE847" s="14"/>
      <x:c r="AF847" s="14"/>
      <x:c r="AG847" s="14" t="str">
        <x:v>No qualifying conclusion recorded. Absence from the register is not evidence that the performer is not disabled.</x:v>
      </x:c>
      <x:c r="AH847" s="14" t="str">
        <x:v>ITV / ITVX</x:v>
      </x:c>
      <x:c r="AI847" s="14" t="str">
        <x:v>UK original commission</x:v>
      </x:c>
      <x:c r="AJ847" s="14" t="str">
        <x:v>Exact normalised title</x:v>
      </x:c>
      <x:c r="AK847" s="14" t="str">
        <x:v>Medium</x:v>
      </x:c>
      <x:c r="AL847" s="14" t="str">
        <x:v>Verified for commissioner/platform scope; uk original commission.</x:v>
      </x:c>
      <x:c r="AM847" s="17" t="e">
        <x:f>HYPERLINK("https://en.wikipedia.org/wiki/Professor_T.","Open source")</x:f>
        <x:v>HYPERLINK is not implemented. linkLocation=https://en.wikipedia.org/wiki/Professor_T., friendlyName=Open source</x:v>
      </x:c>
      <x:c r="AN847" s="14" t="str">
        <x:v>No qualifying BBC relationship</x:v>
      </x:c>
      <x:c r="AO847" s="14" t="str">
        <x:v>No</x:v>
      </x:c>
      <x:c r="AP847" s="14" t="str">
        <x:v>Out of scope</x:v>
      </x:c>
      <x:c r="AQ847" s="14" t="str">
        <x:v>No</x:v>
      </x:c>
      <x:c r="AR847" s="14" t="str">
        <x:v>Resolved from master register</x:v>
      </x:c>
      <x:c r="AS847" s="14" t="str">
        <x:v>No established-register match</x:v>
      </x:c>
      <x:c r="AT847" s="14"/>
      <x:c r="AU847" s="14"/>
      <x:c r="AV847" s="14" t="str">
        <x:v>No established apparent-disability match</x:v>
      </x:c>
      <x:c r="AW847" s="14"/>
      <x:c r="AX847" s="14" t="str">
        <x:v>No</x:v>
      </x:c>
      <x:c r="AY847" s="14" t="str">
        <x:v>Unmatched</x:v>
      </x:c>
      <x:c r="AZ847" s="14" t="str">
        <x:v>Final supplied register</x:v>
      </x:c>
      <x:c r="BA847" s="14" t="str">
        <x:v>Absence from the register is not evidence that the performer is not disabled.</x:v>
      </x:c>
      <x:c r="BB847" s="14" t="str">
        <x:v>No established-register match</x:v>
      </x:c>
      <x:c r="BC847" s="14"/>
      <x:c r="BD847" s="14"/>
      <x:c r="BE847" s="14"/>
      <x:c r="BF847" s="14" t="str">
        <x:v>No established apparent-disability match</x:v>
      </x:c>
      <x:c r="BG847" s="14"/>
      <x:c r="BH847" s="14" t="str">
        <x:v>No</x:v>
      </x:c>
      <x:c r="BI847" s="14"/>
      <x:c r="BJ847" s="14"/>
      <x:c r="BK847" s="14"/>
      <x:c r="BL847" s="14" t="str">
        <x:v>Unmatched</x:v>
      </x:c>
      <x:c r="BM847" s="14" t="str">
        <x:v>Final supplied register</x:v>
      </x:c>
      <x:c r="BN847" s="14" t="str">
        <x:v>Absence from the register is not evidence that the performer is not disabled.</x:v>
      </x:c>
      <x:c r="BO847" s="14" t="n">
        <x:v>30</x:v>
      </x:c>
      <x:c r="BP847" s="14" t="str">
        <x:v>Maximum eligible IMDb cast-credit total (30), shared by 2 performer(s); not independently verified as a 2021-only episode total.</x:v>
      </x:c>
      <x:c r="BQ847" s="14" t="str">
        <x:v>Medium</x:v>
      </x:c>
      <x:c r="BR847" s="15" t="n">
        <x:v>1</x:v>
      </x:c>
      <x:c r="BS847" s="16" t="n">
        <x:v>0.03333333333333333</x:v>
      </x:c>
      <x:c r="BT847" s="14" t="str">
        <x:v>One episode</x:v>
      </x:c>
      <x:c r="BU847" s="14" t="str">
        <x:v>Medium</x:v>
      </x:c>
      <x:c r="BV847" s="14" t="str">
        <x:v>Derived from supplied IMDb episode count and the documented production-total proxy.</x:v>
      </x:c>
      <x:c r="BW847" s="14" t="str">
        <x:v>Unable to determine</x:v>
      </x:c>
      <x:c r="BX847" s="14" t="str">
        <x:v>Supplied cast data establishes the credit and episode presence but does not establish narrative prominence.</x:v>
      </x:c>
      <x:c r="BY847" s="14" t="str">
        <x:v>Supplied IMDb cast-list workbook</x:v>
      </x:c>
      <x:c r="BZ8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7" s="14" t="str">
        <x:v>Not classified</x:v>
      </x:c>
      <x:c r="CB847" s="14" t="str">
        <x:v>Unable to determine</x:v>
      </x:c>
      <x:c r="CC847" s="14" t="str">
        <x:v>Unique</x:v>
      </x:c>
      <x:c r="CD847" s="14" t="str">
        <x:v>None identified</x:v>
      </x:c>
    </x:row>
    <x:row r="848">
      <x:c r="A848" s="14" t="str">
        <x:v>tt11981644|nm1955677|factory worker</x:v>
      </x:c>
      <x:c r="B848" s="14" t="str">
        <x:v>02</x:v>
      </x:c>
      <x:c r="C848" s="14" t="str">
        <x:v>2021_IMDb_Cast_Lists_Batch_02(1).xlsx</x:v>
      </x:c>
      <x:c r="D848" s="14" t="str">
        <x:v>Professor T</x:v>
      </x:c>
      <x:c r="E848" s="14" t="n">
        <x:v>182</x:v>
      </x:c>
      <x:c r="F848" s="14" t="str">
        <x:v>Professor T</x:v>
      </x:c>
      <x:c r="G848" s="14" t="str">
        <x:v>tt11981644</x:v>
      </x:c>
      <x:c r="H848" s="14" t="n">
        <x:v>2021</x:v>
      </x:c>
      <x:c r="I848" s="14" t="n">
        <x:v>2023</x:v>
      </x:c>
      <x:c r="J848" s="14" t="str">
        <x:v>Future Carry-Forward Cohort</x:v>
      </x:c>
      <x:c r="K848" s="14" t="n">
        <x:v>2021</x:v>
      </x:c>
      <x:c r="L848" s="14" t="str">
        <x:v>Available from 2021 analysis</x:v>
      </x:c>
      <x:c r="M848" s="15" t="n">
        <x:v>175</x:v>
      </x:c>
      <x:c r="N848" s="14" t="str">
        <x:v>Rob Oldfield</x:v>
      </x:c>
      <x:c r="O848" s="14" t="str">
        <x:v>nm1955677</x:v>
      </x:c>
      <x:c r="P848" s="14" t="str">
        <x:v>Factory Worker</x:v>
      </x:c>
      <x:c r="Q848" s="15" t="n">
        <x:v>1</x:v>
      </x:c>
      <x:c r="R848" s="14" t="str">
        <x:v>2024</x:v>
      </x:c>
      <x:c r="S848" s="14" t="n">
        <x:v>2024</x:v>
      </x:c>
      <x:c r="T848" s="14" t="n">
        <x:v>2024</x:v>
      </x:c>
      <x:c r="U848" s="14" t="str">
        <x:v>Post-2021 casting excluded</x:v>
      </x:c>
      <x:c r="V848" s="14" t="str">
        <x:v>Earliest supplied year is 2024, later than the 2021 study year.</x:v>
      </x:c>
      <x:c r="W848" s="14"/>
      <x:c r="X848" s="14" t="str">
        <x:v>Carried forward to 2024</x:v>
      </x:c>
      <x:c r="Y848" s="14"/>
      <x:c r="Z848" s="14" t="str">
        <x:v>Professor T.docx</x:v>
      </x:c>
      <x:c r="AA8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8" s="14" t="str">
        <x:v>No established-register match</x:v>
      </x:c>
      <x:c r="AC848" s="14"/>
      <x:c r="AD848" s="14"/>
      <x:c r="AE848" s="14"/>
      <x:c r="AF848" s="14"/>
      <x:c r="AG848" s="14" t="str">
        <x:v>No qualifying conclusion recorded. Absence from the register is not evidence that the performer is not disabled.</x:v>
      </x:c>
      <x:c r="AH848" s="14" t="str">
        <x:v>ITV / ITVX</x:v>
      </x:c>
      <x:c r="AI848" s="14" t="str">
        <x:v>UK original commission</x:v>
      </x:c>
      <x:c r="AJ848" s="14" t="str">
        <x:v>Exact normalised title</x:v>
      </x:c>
      <x:c r="AK848" s="14" t="str">
        <x:v>Medium</x:v>
      </x:c>
      <x:c r="AL848" s="14" t="str">
        <x:v>Verified for commissioner/platform scope; uk original commission.</x:v>
      </x:c>
      <x:c r="AM848" s="17" t="e">
        <x:f>HYPERLINK("https://en.wikipedia.org/wiki/Professor_T.","Open source")</x:f>
        <x:v>HYPERLINK is not implemented. linkLocation=https://en.wikipedia.org/wiki/Professor_T., friendlyName=Open source</x:v>
      </x:c>
      <x:c r="AN848" s="14" t="str">
        <x:v>No qualifying BBC relationship</x:v>
      </x:c>
      <x:c r="AO848" s="14" t="str">
        <x:v>No</x:v>
      </x:c>
      <x:c r="AP848" s="14" t="str">
        <x:v>Out of scope</x:v>
      </x:c>
      <x:c r="AQ848" s="14" t="str">
        <x:v>No</x:v>
      </x:c>
      <x:c r="AR848" s="14" t="str">
        <x:v>Resolved from master register</x:v>
      </x:c>
      <x:c r="AS848" s="14" t="str">
        <x:v>No established-register match</x:v>
      </x:c>
      <x:c r="AT848" s="14"/>
      <x:c r="AU848" s="14"/>
      <x:c r="AV848" s="14" t="str">
        <x:v>No established apparent-disability match</x:v>
      </x:c>
      <x:c r="AW848" s="14"/>
      <x:c r="AX848" s="14" t="str">
        <x:v>No</x:v>
      </x:c>
      <x:c r="AY848" s="14" t="str">
        <x:v>Unmatched</x:v>
      </x:c>
      <x:c r="AZ848" s="14" t="str">
        <x:v>Final supplied register</x:v>
      </x:c>
      <x:c r="BA848" s="14" t="str">
        <x:v>Absence from the register is not evidence that the performer is not disabled.</x:v>
      </x:c>
      <x:c r="BB848" s="14" t="str">
        <x:v>No established-register match</x:v>
      </x:c>
      <x:c r="BC848" s="14"/>
      <x:c r="BD848" s="14"/>
      <x:c r="BE848" s="14"/>
      <x:c r="BF848" s="14" t="str">
        <x:v>No established apparent-disability match</x:v>
      </x:c>
      <x:c r="BG848" s="14"/>
      <x:c r="BH848" s="14" t="str">
        <x:v>No</x:v>
      </x:c>
      <x:c r="BI848" s="14"/>
      <x:c r="BJ848" s="14"/>
      <x:c r="BK848" s="14"/>
      <x:c r="BL848" s="14" t="str">
        <x:v>Unmatched</x:v>
      </x:c>
      <x:c r="BM848" s="14" t="str">
        <x:v>Final supplied register</x:v>
      </x:c>
      <x:c r="BN848" s="14" t="str">
        <x:v>Absence from the register is not evidence that the performer is not disabled.</x:v>
      </x:c>
      <x:c r="BO848" s="14" t="n">
        <x:v>30</x:v>
      </x:c>
      <x:c r="BP848" s="14" t="str">
        <x:v>Maximum eligible IMDb cast-credit total (30), shared by 2 performer(s); not independently verified as a 2021-only episode total.</x:v>
      </x:c>
      <x:c r="BQ848" s="14" t="str">
        <x:v>Medium</x:v>
      </x:c>
      <x:c r="BR848" s="15" t="n">
        <x:v>1</x:v>
      </x:c>
      <x:c r="BS848" s="16" t="n">
        <x:v>0.03333333333333333</x:v>
      </x:c>
      <x:c r="BT848" s="14" t="str">
        <x:v>One episode</x:v>
      </x:c>
      <x:c r="BU848" s="14" t="str">
        <x:v>Medium</x:v>
      </x:c>
      <x:c r="BV848" s="14" t="str">
        <x:v>Derived from supplied IMDb episode count and the documented production-total proxy.</x:v>
      </x:c>
      <x:c r="BW848" s="14" t="str">
        <x:v>Unable to determine</x:v>
      </x:c>
      <x:c r="BX848" s="14" t="str">
        <x:v>Supplied cast data establishes the credit and episode presence but does not establish narrative prominence.</x:v>
      </x:c>
      <x:c r="BY848" s="14" t="str">
        <x:v>Supplied IMDb cast-list workbook</x:v>
      </x:c>
      <x:c r="BZ8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8" s="14" t="str">
        <x:v>Not classified</x:v>
      </x:c>
      <x:c r="CB848" s="14" t="str">
        <x:v>Unable to determine</x:v>
      </x:c>
      <x:c r="CC848" s="14" t="str">
        <x:v>Unique</x:v>
      </x:c>
      <x:c r="CD848" s="14" t="str">
        <x:v>None identified</x:v>
      </x:c>
    </x:row>
    <x:row r="849">
      <x:c r="A849" s="14" t="str">
        <x:v>tt11981644|nm14008063|hotel guest</x:v>
      </x:c>
      <x:c r="B849" s="14" t="str">
        <x:v>02</x:v>
      </x:c>
      <x:c r="C849" s="14" t="str">
        <x:v>2021_IMDb_Cast_Lists_Batch_02(1).xlsx</x:v>
      </x:c>
      <x:c r="D849" s="14" t="str">
        <x:v>Professor T</x:v>
      </x:c>
      <x:c r="E849" s="14" t="n">
        <x:v>183</x:v>
      </x:c>
      <x:c r="F849" s="14" t="str">
        <x:v>Professor T</x:v>
      </x:c>
      <x:c r="G849" s="14" t="str">
        <x:v>tt11981644</x:v>
      </x:c>
      <x:c r="H849" s="14" t="n">
        <x:v>2021</x:v>
      </x:c>
      <x:c r="I849" s="14" t="n">
        <x:v>2023</x:v>
      </x:c>
      <x:c r="J849" s="14" t="str">
        <x:v>Future Carry-Forward Cohort</x:v>
      </x:c>
      <x:c r="K849" s="14" t="n">
        <x:v>2021</x:v>
      </x:c>
      <x:c r="L849" s="14" t="str">
        <x:v>Available from 2021 analysis</x:v>
      </x:c>
      <x:c r="M849" s="15" t="n">
        <x:v>176</x:v>
      </x:c>
      <x:c r="N849" s="14" t="str">
        <x:v>Lauren De Bie</x:v>
      </x:c>
      <x:c r="O849" s="14" t="str">
        <x:v>nm14008063</x:v>
      </x:c>
      <x:c r="P849" s="14" t="str">
        <x:v>Hotel Guest</x:v>
      </x:c>
      <x:c r="Q849" s="15" t="n">
        <x:v>1</x:v>
      </x:c>
      <x:c r="R849" s="14" t="str">
        <x:v>2024</x:v>
      </x:c>
      <x:c r="S849" s="14" t="n">
        <x:v>2024</x:v>
      </x:c>
      <x:c r="T849" s="14" t="n">
        <x:v>2024</x:v>
      </x:c>
      <x:c r="U849" s="14" t="str">
        <x:v>Post-2021 casting excluded</x:v>
      </x:c>
      <x:c r="V849" s="14" t="str">
        <x:v>Earliest supplied year is 2024, later than the 2021 study year.</x:v>
      </x:c>
      <x:c r="W849" s="14"/>
      <x:c r="X849" s="14" t="str">
        <x:v>Carried forward to 2024</x:v>
      </x:c>
      <x:c r="Y849" s="14"/>
      <x:c r="Z849" s="14" t="str">
        <x:v>Professor T.docx</x:v>
      </x:c>
      <x:c r="AA8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9" s="14" t="str">
        <x:v>No established-register match</x:v>
      </x:c>
      <x:c r="AC849" s="14"/>
      <x:c r="AD849" s="14"/>
      <x:c r="AE849" s="14"/>
      <x:c r="AF849" s="14"/>
      <x:c r="AG849" s="14" t="str">
        <x:v>No qualifying conclusion recorded. Absence from the register is not evidence that the performer is not disabled.</x:v>
      </x:c>
      <x:c r="AH849" s="14" t="str">
        <x:v>ITV / ITVX</x:v>
      </x:c>
      <x:c r="AI849" s="14" t="str">
        <x:v>UK original commission</x:v>
      </x:c>
      <x:c r="AJ849" s="14" t="str">
        <x:v>Exact normalised title</x:v>
      </x:c>
      <x:c r="AK849" s="14" t="str">
        <x:v>Medium</x:v>
      </x:c>
      <x:c r="AL849" s="14" t="str">
        <x:v>Verified for commissioner/platform scope; uk original commission.</x:v>
      </x:c>
      <x:c r="AM849" s="17" t="e">
        <x:f>HYPERLINK("https://en.wikipedia.org/wiki/Professor_T.","Open source")</x:f>
        <x:v>HYPERLINK is not implemented. linkLocation=https://en.wikipedia.org/wiki/Professor_T., friendlyName=Open source</x:v>
      </x:c>
      <x:c r="AN849" s="14" t="str">
        <x:v>No qualifying BBC relationship</x:v>
      </x:c>
      <x:c r="AO849" s="14" t="str">
        <x:v>No</x:v>
      </x:c>
      <x:c r="AP849" s="14" t="str">
        <x:v>Out of scope</x:v>
      </x:c>
      <x:c r="AQ849" s="14" t="str">
        <x:v>No</x:v>
      </x:c>
      <x:c r="AR849" s="14" t="str">
        <x:v>Resolved from master register</x:v>
      </x:c>
      <x:c r="AS849" s="14" t="str">
        <x:v>No established-register match</x:v>
      </x:c>
      <x:c r="AT849" s="14"/>
      <x:c r="AU849" s="14"/>
      <x:c r="AV849" s="14" t="str">
        <x:v>No established apparent-disability match</x:v>
      </x:c>
      <x:c r="AW849" s="14"/>
      <x:c r="AX849" s="14" t="str">
        <x:v>No</x:v>
      </x:c>
      <x:c r="AY849" s="14" t="str">
        <x:v>Unmatched</x:v>
      </x:c>
      <x:c r="AZ849" s="14" t="str">
        <x:v>Final supplied register</x:v>
      </x:c>
      <x:c r="BA849" s="14" t="str">
        <x:v>Absence from the register is not evidence that the performer is not disabled.</x:v>
      </x:c>
      <x:c r="BB849" s="14" t="str">
        <x:v>No established-register match</x:v>
      </x:c>
      <x:c r="BC849" s="14"/>
      <x:c r="BD849" s="14"/>
      <x:c r="BE849" s="14"/>
      <x:c r="BF849" s="14" t="str">
        <x:v>No established apparent-disability match</x:v>
      </x:c>
      <x:c r="BG849" s="14"/>
      <x:c r="BH849" s="14" t="str">
        <x:v>No</x:v>
      </x:c>
      <x:c r="BI849" s="14"/>
      <x:c r="BJ849" s="14"/>
      <x:c r="BK849" s="14"/>
      <x:c r="BL849" s="14" t="str">
        <x:v>Unmatched</x:v>
      </x:c>
      <x:c r="BM849" s="14" t="str">
        <x:v>Final supplied register</x:v>
      </x:c>
      <x:c r="BN849" s="14" t="str">
        <x:v>Absence from the register is not evidence that the performer is not disabled.</x:v>
      </x:c>
      <x:c r="BO849" s="14" t="n">
        <x:v>30</x:v>
      </x:c>
      <x:c r="BP849" s="14" t="str">
        <x:v>Maximum eligible IMDb cast-credit total (30), shared by 2 performer(s); not independently verified as a 2021-only episode total.</x:v>
      </x:c>
      <x:c r="BQ849" s="14" t="str">
        <x:v>Medium</x:v>
      </x:c>
      <x:c r="BR849" s="15" t="n">
        <x:v>1</x:v>
      </x:c>
      <x:c r="BS849" s="16" t="n">
        <x:v>0.03333333333333333</x:v>
      </x:c>
      <x:c r="BT849" s="14" t="str">
        <x:v>One episode</x:v>
      </x:c>
      <x:c r="BU849" s="14" t="str">
        <x:v>Medium</x:v>
      </x:c>
      <x:c r="BV849" s="14" t="str">
        <x:v>Derived from supplied IMDb episode count and the documented production-total proxy.</x:v>
      </x:c>
      <x:c r="BW849" s="14" t="str">
        <x:v>Unable to determine</x:v>
      </x:c>
      <x:c r="BX849" s="14" t="str">
        <x:v>Supplied cast data establishes the credit and episode presence but does not establish narrative prominence.</x:v>
      </x:c>
      <x:c r="BY849" s="14" t="str">
        <x:v>Supplied IMDb cast-list workbook</x:v>
      </x:c>
      <x:c r="BZ8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9" s="14" t="str">
        <x:v>Not classified</x:v>
      </x:c>
      <x:c r="CB849" s="14" t="str">
        <x:v>Unable to determine</x:v>
      </x:c>
      <x:c r="CC849" s="14" t="str">
        <x:v>Unique</x:v>
      </x:c>
      <x:c r="CD849" s="14" t="str">
        <x:v>None identified</x:v>
      </x:c>
    </x:row>
    <x:row r="850">
      <x:c r="A850" s="14" t="str">
        <x:v>tt11981644|nm7974920|ferdy walters</x:v>
      </x:c>
      <x:c r="B850" s="14" t="str">
        <x:v>02</x:v>
      </x:c>
      <x:c r="C850" s="14" t="str">
        <x:v>2021_IMDb_Cast_Lists_Batch_02(1).xlsx</x:v>
      </x:c>
      <x:c r="D850" s="14" t="str">
        <x:v>Professor T</x:v>
      </x:c>
      <x:c r="E850" s="14" t="n">
        <x:v>192</x:v>
      </x:c>
      <x:c r="F850" s="14" t="str">
        <x:v>Professor T</x:v>
      </x:c>
      <x:c r="G850" s="14" t="str">
        <x:v>tt11981644</x:v>
      </x:c>
      <x:c r="H850" s="14" t="n">
        <x:v>2021</x:v>
      </x:c>
      <x:c r="I850" s="14" t="n">
        <x:v>2023</x:v>
      </x:c>
      <x:c r="J850" s="14" t="str">
        <x:v>Future Carry-Forward Cohort</x:v>
      </x:c>
      <x:c r="K850" s="14" t="n">
        <x:v>2021</x:v>
      </x:c>
      <x:c r="L850" s="14" t="str">
        <x:v>Available from 2021 analysis</x:v>
      </x:c>
      <x:c r="M850" s="15" t="n">
        <x:v>185</x:v>
      </x:c>
      <x:c r="N850" s="14" t="str">
        <x:v>Jonny Lavelle</x:v>
      </x:c>
      <x:c r="O850" s="14" t="str">
        <x:v>nm7974920</x:v>
      </x:c>
      <x:c r="P850" s="14" t="str">
        <x:v>Ferdy Walters</x:v>
      </x:c>
      <x:c r="Q850" s="15" t="n">
        <x:v>1</x:v>
      </x:c>
      <x:c r="R850" s="14" t="str">
        <x:v>2024</x:v>
      </x:c>
      <x:c r="S850" s="14" t="n">
        <x:v>2024</x:v>
      </x:c>
      <x:c r="T850" s="14" t="n">
        <x:v>2024</x:v>
      </x:c>
      <x:c r="U850" s="14" t="str">
        <x:v>Post-2021 casting excluded</x:v>
      </x:c>
      <x:c r="V850" s="14" t="str">
        <x:v>Earliest supplied year is 2024, later than the 2021 study year.</x:v>
      </x:c>
      <x:c r="W850" s="14"/>
      <x:c r="X850" s="14" t="str">
        <x:v>Carried forward to 2024</x:v>
      </x:c>
      <x:c r="Y850" s="14"/>
      <x:c r="Z850" s="14" t="str">
        <x:v>Professor T.docx</x:v>
      </x:c>
      <x:c r="AA8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0" s="14" t="str">
        <x:v>No established-register match</x:v>
      </x:c>
      <x:c r="AC850" s="14"/>
      <x:c r="AD850" s="14"/>
      <x:c r="AE850" s="14"/>
      <x:c r="AF850" s="14"/>
      <x:c r="AG850" s="14" t="str">
        <x:v>No qualifying conclusion recorded. Absence from the register is not evidence that the performer is not disabled.</x:v>
      </x:c>
      <x:c r="AH850" s="14" t="str">
        <x:v>ITV / ITVX</x:v>
      </x:c>
      <x:c r="AI850" s="14" t="str">
        <x:v>UK original commission</x:v>
      </x:c>
      <x:c r="AJ850" s="14" t="str">
        <x:v>Exact normalised title</x:v>
      </x:c>
      <x:c r="AK850" s="14" t="str">
        <x:v>Medium</x:v>
      </x:c>
      <x:c r="AL850" s="14" t="str">
        <x:v>Verified for commissioner/platform scope; uk original commission.</x:v>
      </x:c>
      <x:c r="AM850" s="17" t="e">
        <x:f>HYPERLINK("https://en.wikipedia.org/wiki/Professor_T.","Open source")</x:f>
        <x:v>HYPERLINK is not implemented. linkLocation=https://en.wikipedia.org/wiki/Professor_T., friendlyName=Open source</x:v>
      </x:c>
      <x:c r="AN850" s="14" t="str">
        <x:v>No qualifying BBC relationship</x:v>
      </x:c>
      <x:c r="AO850" s="14" t="str">
        <x:v>No</x:v>
      </x:c>
      <x:c r="AP850" s="14" t="str">
        <x:v>Out of scope</x:v>
      </x:c>
      <x:c r="AQ850" s="14" t="str">
        <x:v>No</x:v>
      </x:c>
      <x:c r="AR850" s="14" t="str">
        <x:v>Resolved from master register</x:v>
      </x:c>
      <x:c r="AS850" s="14" t="str">
        <x:v>No established-register match</x:v>
      </x:c>
      <x:c r="AT850" s="14"/>
      <x:c r="AU850" s="14"/>
      <x:c r="AV850" s="14" t="str">
        <x:v>No established apparent-disability match</x:v>
      </x:c>
      <x:c r="AW850" s="14"/>
      <x:c r="AX850" s="14" t="str">
        <x:v>No</x:v>
      </x:c>
      <x:c r="AY850" s="14" t="str">
        <x:v>Unmatched</x:v>
      </x:c>
      <x:c r="AZ850" s="14" t="str">
        <x:v>Final supplied register</x:v>
      </x:c>
      <x:c r="BA850" s="14" t="str">
        <x:v>Absence from the register is not evidence that the performer is not disabled.</x:v>
      </x:c>
      <x:c r="BB850" s="14" t="str">
        <x:v>No established-register match</x:v>
      </x:c>
      <x:c r="BC850" s="14"/>
      <x:c r="BD850" s="14"/>
      <x:c r="BE850" s="14"/>
      <x:c r="BF850" s="14" t="str">
        <x:v>No established apparent-disability match</x:v>
      </x:c>
      <x:c r="BG850" s="14"/>
      <x:c r="BH850" s="14" t="str">
        <x:v>No</x:v>
      </x:c>
      <x:c r="BI850" s="14"/>
      <x:c r="BJ850" s="14"/>
      <x:c r="BK850" s="14"/>
      <x:c r="BL850" s="14" t="str">
        <x:v>Unmatched</x:v>
      </x:c>
      <x:c r="BM850" s="14" t="str">
        <x:v>Final supplied register</x:v>
      </x:c>
      <x:c r="BN850" s="14" t="str">
        <x:v>Absence from the register is not evidence that the performer is not disabled.</x:v>
      </x:c>
      <x:c r="BO850" s="14" t="n">
        <x:v>30</x:v>
      </x:c>
      <x:c r="BP850" s="14" t="str">
        <x:v>Maximum eligible IMDb cast-credit total (30), shared by 2 performer(s); not independently verified as a 2021-only episode total.</x:v>
      </x:c>
      <x:c r="BQ850" s="14" t="str">
        <x:v>Medium</x:v>
      </x:c>
      <x:c r="BR850" s="15" t="n">
        <x:v>1</x:v>
      </x:c>
      <x:c r="BS850" s="16" t="n">
        <x:v>0.03333333333333333</x:v>
      </x:c>
      <x:c r="BT850" s="14" t="str">
        <x:v>One episode</x:v>
      </x:c>
      <x:c r="BU850" s="14" t="str">
        <x:v>Medium</x:v>
      </x:c>
      <x:c r="BV850" s="14" t="str">
        <x:v>Derived from supplied IMDb episode count and the documented production-total proxy.</x:v>
      </x:c>
      <x:c r="BW850" s="14" t="str">
        <x:v>Unable to determine</x:v>
      </x:c>
      <x:c r="BX850" s="14" t="str">
        <x:v>Supplied cast data establishes the credit and episode presence but does not establish narrative prominence.</x:v>
      </x:c>
      <x:c r="BY850" s="14" t="str">
        <x:v>Supplied IMDb cast-list workbook</x:v>
      </x:c>
      <x:c r="BZ8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0" s="14" t="str">
        <x:v>Not classified</x:v>
      </x:c>
      <x:c r="CB850" s="14" t="str">
        <x:v>Unable to determine</x:v>
      </x:c>
      <x:c r="CC850" s="14" t="str">
        <x:v>Unique</x:v>
      </x:c>
      <x:c r="CD850" s="14" t="str">
        <x:v>None identified</x:v>
      </x:c>
    </x:row>
    <x:row r="851">
      <x:c r="A851" s="14" t="str">
        <x:v>tt11981644|nm10174209|zeb drakeford</x:v>
      </x:c>
      <x:c r="B851" s="14" t="str">
        <x:v>02</x:v>
      </x:c>
      <x:c r="C851" s="14" t="str">
        <x:v>2021_IMDb_Cast_Lists_Batch_02(1).xlsx</x:v>
      </x:c>
      <x:c r="D851" s="14" t="str">
        <x:v>Professor T</x:v>
      </x:c>
      <x:c r="E851" s="14" t="n">
        <x:v>193</x:v>
      </x:c>
      <x:c r="F851" s="14" t="str">
        <x:v>Professor T</x:v>
      </x:c>
      <x:c r="G851" s="14" t="str">
        <x:v>tt11981644</x:v>
      </x:c>
      <x:c r="H851" s="14" t="n">
        <x:v>2021</x:v>
      </x:c>
      <x:c r="I851" s="14" t="n">
        <x:v>2023</x:v>
      </x:c>
      <x:c r="J851" s="14" t="str">
        <x:v>Future Carry-Forward Cohort</x:v>
      </x:c>
      <x:c r="K851" s="14" t="n">
        <x:v>2021</x:v>
      </x:c>
      <x:c r="L851" s="14" t="str">
        <x:v>Available from 2021 analysis</x:v>
      </x:c>
      <x:c r="M851" s="15" t="n">
        <x:v>186</x:v>
      </x:c>
      <x:c r="N851" s="14" t="str">
        <x:v>Ossian Luke</x:v>
      </x:c>
      <x:c r="O851" s="14" t="str">
        <x:v>nm10174209</x:v>
      </x:c>
      <x:c r="P851" s="14" t="str">
        <x:v>Zeb Drakeford</x:v>
      </x:c>
      <x:c r="Q851" s="15" t="n">
        <x:v>1</x:v>
      </x:c>
      <x:c r="R851" s="14" t="str">
        <x:v>2024</x:v>
      </x:c>
      <x:c r="S851" s="14" t="n">
        <x:v>2024</x:v>
      </x:c>
      <x:c r="T851" s="14" t="n">
        <x:v>2024</x:v>
      </x:c>
      <x:c r="U851" s="14" t="str">
        <x:v>Post-2021 casting excluded</x:v>
      </x:c>
      <x:c r="V851" s="14" t="str">
        <x:v>Earliest supplied year is 2024, later than the 2021 study year.</x:v>
      </x:c>
      <x:c r="W851" s="14"/>
      <x:c r="X851" s="14" t="str">
        <x:v>Carried forward to 2024</x:v>
      </x:c>
      <x:c r="Y851" s="14"/>
      <x:c r="Z851" s="14" t="str">
        <x:v>Professor T.docx</x:v>
      </x:c>
      <x:c r="AA8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1" s="14" t="str">
        <x:v>No established-register match</x:v>
      </x:c>
      <x:c r="AC851" s="14"/>
      <x:c r="AD851" s="14"/>
      <x:c r="AE851" s="14"/>
      <x:c r="AF851" s="14"/>
      <x:c r="AG851" s="14" t="str">
        <x:v>No qualifying conclusion recorded. Absence from the register is not evidence that the performer is not disabled.</x:v>
      </x:c>
      <x:c r="AH851" s="14" t="str">
        <x:v>ITV / ITVX</x:v>
      </x:c>
      <x:c r="AI851" s="14" t="str">
        <x:v>UK original commission</x:v>
      </x:c>
      <x:c r="AJ851" s="14" t="str">
        <x:v>Exact normalised title</x:v>
      </x:c>
      <x:c r="AK851" s="14" t="str">
        <x:v>Medium</x:v>
      </x:c>
      <x:c r="AL851" s="14" t="str">
        <x:v>Verified for commissioner/platform scope; uk original commission.</x:v>
      </x:c>
      <x:c r="AM851" s="17" t="e">
        <x:f>HYPERLINK("https://en.wikipedia.org/wiki/Professor_T.","Open source")</x:f>
        <x:v>HYPERLINK is not implemented. linkLocation=https://en.wikipedia.org/wiki/Professor_T., friendlyName=Open source</x:v>
      </x:c>
      <x:c r="AN851" s="14" t="str">
        <x:v>No qualifying BBC relationship</x:v>
      </x:c>
      <x:c r="AO851" s="14" t="str">
        <x:v>No</x:v>
      </x:c>
      <x:c r="AP851" s="14" t="str">
        <x:v>Out of scope</x:v>
      </x:c>
      <x:c r="AQ851" s="14" t="str">
        <x:v>No</x:v>
      </x:c>
      <x:c r="AR851" s="14" t="str">
        <x:v>Resolved from master register</x:v>
      </x:c>
      <x:c r="AS851" s="14" t="str">
        <x:v>No established-register match</x:v>
      </x:c>
      <x:c r="AT851" s="14"/>
      <x:c r="AU851" s="14"/>
      <x:c r="AV851" s="14" t="str">
        <x:v>No established apparent-disability match</x:v>
      </x:c>
      <x:c r="AW851" s="14"/>
      <x:c r="AX851" s="14" t="str">
        <x:v>No</x:v>
      </x:c>
      <x:c r="AY851" s="14" t="str">
        <x:v>Unmatched</x:v>
      </x:c>
      <x:c r="AZ851" s="14" t="str">
        <x:v>Final supplied register</x:v>
      </x:c>
      <x:c r="BA851" s="14" t="str">
        <x:v>Absence from the register is not evidence that the performer is not disabled.</x:v>
      </x:c>
      <x:c r="BB851" s="14" t="str">
        <x:v>No established-register match</x:v>
      </x:c>
      <x:c r="BC851" s="14"/>
      <x:c r="BD851" s="14"/>
      <x:c r="BE851" s="14"/>
      <x:c r="BF851" s="14" t="str">
        <x:v>No established apparent-disability match</x:v>
      </x:c>
      <x:c r="BG851" s="14"/>
      <x:c r="BH851" s="14" t="str">
        <x:v>No</x:v>
      </x:c>
      <x:c r="BI851" s="14"/>
      <x:c r="BJ851" s="14"/>
      <x:c r="BK851" s="14"/>
      <x:c r="BL851" s="14" t="str">
        <x:v>Unmatched</x:v>
      </x:c>
      <x:c r="BM851" s="14" t="str">
        <x:v>Final supplied register</x:v>
      </x:c>
      <x:c r="BN851" s="14" t="str">
        <x:v>Absence from the register is not evidence that the performer is not disabled.</x:v>
      </x:c>
      <x:c r="BO851" s="14" t="n">
        <x:v>30</x:v>
      </x:c>
      <x:c r="BP851" s="14" t="str">
        <x:v>Maximum eligible IMDb cast-credit total (30), shared by 2 performer(s); not independently verified as a 2021-only episode total.</x:v>
      </x:c>
      <x:c r="BQ851" s="14" t="str">
        <x:v>Medium</x:v>
      </x:c>
      <x:c r="BR851" s="15" t="n">
        <x:v>1</x:v>
      </x:c>
      <x:c r="BS851" s="16" t="n">
        <x:v>0.03333333333333333</x:v>
      </x:c>
      <x:c r="BT851" s="14" t="str">
        <x:v>One episode</x:v>
      </x:c>
      <x:c r="BU851" s="14" t="str">
        <x:v>Medium</x:v>
      </x:c>
      <x:c r="BV851" s="14" t="str">
        <x:v>Derived from supplied IMDb episode count and the documented production-total proxy.</x:v>
      </x:c>
      <x:c r="BW851" s="14" t="str">
        <x:v>Unable to determine</x:v>
      </x:c>
      <x:c r="BX851" s="14" t="str">
        <x:v>Supplied cast data establishes the credit and episode presence but does not establish narrative prominence.</x:v>
      </x:c>
      <x:c r="BY851" s="14" t="str">
        <x:v>Supplied IMDb cast-list workbook</x:v>
      </x:c>
      <x:c r="BZ8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1" s="14" t="str">
        <x:v>Not classified</x:v>
      </x:c>
      <x:c r="CB851" s="14" t="str">
        <x:v>Unable to determine</x:v>
      </x:c>
      <x:c r="CC851" s="14" t="str">
        <x:v>Unique</x:v>
      </x:c>
      <x:c r="CD851" s="14" t="str">
        <x:v>None identified</x:v>
      </x:c>
    </x:row>
    <x:row r="852">
      <x:c r="A852" s="14" t="str">
        <x:v>tt11981644|nm10016543|emil rhodes</x:v>
      </x:c>
      <x:c r="B852" s="14" t="str">
        <x:v>02</x:v>
      </x:c>
      <x:c r="C852" s="14" t="str">
        <x:v>2021_IMDb_Cast_Lists_Batch_02(1).xlsx</x:v>
      </x:c>
      <x:c r="D852" s="14" t="str">
        <x:v>Professor T</x:v>
      </x:c>
      <x:c r="E852" s="14" t="n">
        <x:v>194</x:v>
      </x:c>
      <x:c r="F852" s="14" t="str">
        <x:v>Professor T</x:v>
      </x:c>
      <x:c r="G852" s="14" t="str">
        <x:v>tt11981644</x:v>
      </x:c>
      <x:c r="H852" s="14" t="n">
        <x:v>2021</x:v>
      </x:c>
      <x:c r="I852" s="14" t="n">
        <x:v>2023</x:v>
      </x:c>
      <x:c r="J852" s="14" t="str">
        <x:v>Future Carry-Forward Cohort</x:v>
      </x:c>
      <x:c r="K852" s="14" t="n">
        <x:v>2021</x:v>
      </x:c>
      <x:c r="L852" s="14" t="str">
        <x:v>Available from 2021 analysis</x:v>
      </x:c>
      <x:c r="M852" s="15" t="n">
        <x:v>187</x:v>
      </x:c>
      <x:c r="N852" s="14" t="str">
        <x:v>Faisal Dacosta</x:v>
      </x:c>
      <x:c r="O852" s="14" t="str">
        <x:v>nm10016543</x:v>
      </x:c>
      <x:c r="P852" s="14" t="str">
        <x:v>Emil Rhodes</x:v>
      </x:c>
      <x:c r="Q852" s="15" t="n">
        <x:v>1</x:v>
      </x:c>
      <x:c r="R852" s="14" t="str">
        <x:v>2024</x:v>
      </x:c>
      <x:c r="S852" s="14" t="n">
        <x:v>2024</x:v>
      </x:c>
      <x:c r="T852" s="14" t="n">
        <x:v>2024</x:v>
      </x:c>
      <x:c r="U852" s="14" t="str">
        <x:v>Post-2021 casting excluded</x:v>
      </x:c>
      <x:c r="V852" s="14" t="str">
        <x:v>Earliest supplied year is 2024, later than the 2021 study year.</x:v>
      </x:c>
      <x:c r="W852" s="14"/>
      <x:c r="X852" s="14" t="str">
        <x:v>Carried forward to 2024</x:v>
      </x:c>
      <x:c r="Y852" s="14"/>
      <x:c r="Z852" s="14" t="str">
        <x:v>Professor T.docx</x:v>
      </x:c>
      <x:c r="AA8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2" s="14" t="str">
        <x:v>No established-register match</x:v>
      </x:c>
      <x:c r="AC852" s="14"/>
      <x:c r="AD852" s="14"/>
      <x:c r="AE852" s="14"/>
      <x:c r="AF852" s="14"/>
      <x:c r="AG852" s="14" t="str">
        <x:v>No qualifying conclusion recorded. Absence from the register is not evidence that the performer is not disabled.</x:v>
      </x:c>
      <x:c r="AH852" s="14" t="str">
        <x:v>ITV / ITVX</x:v>
      </x:c>
      <x:c r="AI852" s="14" t="str">
        <x:v>UK original commission</x:v>
      </x:c>
      <x:c r="AJ852" s="14" t="str">
        <x:v>Exact normalised title</x:v>
      </x:c>
      <x:c r="AK852" s="14" t="str">
        <x:v>Medium</x:v>
      </x:c>
      <x:c r="AL852" s="14" t="str">
        <x:v>Verified for commissioner/platform scope; uk original commission.</x:v>
      </x:c>
      <x:c r="AM852" s="17" t="e">
        <x:f>HYPERLINK("https://en.wikipedia.org/wiki/Professor_T.","Open source")</x:f>
        <x:v>HYPERLINK is not implemented. linkLocation=https://en.wikipedia.org/wiki/Professor_T., friendlyName=Open source</x:v>
      </x:c>
      <x:c r="AN852" s="14" t="str">
        <x:v>No qualifying BBC relationship</x:v>
      </x:c>
      <x:c r="AO852" s="14" t="str">
        <x:v>No</x:v>
      </x:c>
      <x:c r="AP852" s="14" t="str">
        <x:v>Out of scope</x:v>
      </x:c>
      <x:c r="AQ852" s="14" t="str">
        <x:v>No</x:v>
      </x:c>
      <x:c r="AR852" s="14" t="str">
        <x:v>Resolved from master register</x:v>
      </x:c>
      <x:c r="AS852" s="14" t="str">
        <x:v>No established-register match</x:v>
      </x:c>
      <x:c r="AT852" s="14"/>
      <x:c r="AU852" s="14"/>
      <x:c r="AV852" s="14" t="str">
        <x:v>No established apparent-disability match</x:v>
      </x:c>
      <x:c r="AW852" s="14"/>
      <x:c r="AX852" s="14" t="str">
        <x:v>No</x:v>
      </x:c>
      <x:c r="AY852" s="14" t="str">
        <x:v>Unmatched</x:v>
      </x:c>
      <x:c r="AZ852" s="14" t="str">
        <x:v>Final supplied register</x:v>
      </x:c>
      <x:c r="BA852" s="14" t="str">
        <x:v>Absence from the register is not evidence that the performer is not disabled.</x:v>
      </x:c>
      <x:c r="BB852" s="14" t="str">
        <x:v>No established-register match</x:v>
      </x:c>
      <x:c r="BC852" s="14"/>
      <x:c r="BD852" s="14"/>
      <x:c r="BE852" s="14"/>
      <x:c r="BF852" s="14" t="str">
        <x:v>No established apparent-disability match</x:v>
      </x:c>
      <x:c r="BG852" s="14"/>
      <x:c r="BH852" s="14" t="str">
        <x:v>No</x:v>
      </x:c>
      <x:c r="BI852" s="14"/>
      <x:c r="BJ852" s="14"/>
      <x:c r="BK852" s="14"/>
      <x:c r="BL852" s="14" t="str">
        <x:v>Unmatched</x:v>
      </x:c>
      <x:c r="BM852" s="14" t="str">
        <x:v>Final supplied register</x:v>
      </x:c>
      <x:c r="BN852" s="14" t="str">
        <x:v>Absence from the register is not evidence that the performer is not disabled.</x:v>
      </x:c>
      <x:c r="BO852" s="14" t="n">
        <x:v>30</x:v>
      </x:c>
      <x:c r="BP852" s="14" t="str">
        <x:v>Maximum eligible IMDb cast-credit total (30), shared by 2 performer(s); not independently verified as a 2021-only episode total.</x:v>
      </x:c>
      <x:c r="BQ852" s="14" t="str">
        <x:v>Medium</x:v>
      </x:c>
      <x:c r="BR852" s="15" t="n">
        <x:v>1</x:v>
      </x:c>
      <x:c r="BS852" s="16" t="n">
        <x:v>0.03333333333333333</x:v>
      </x:c>
      <x:c r="BT852" s="14" t="str">
        <x:v>One episode</x:v>
      </x:c>
      <x:c r="BU852" s="14" t="str">
        <x:v>Medium</x:v>
      </x:c>
      <x:c r="BV852" s="14" t="str">
        <x:v>Derived from supplied IMDb episode count and the documented production-total proxy.</x:v>
      </x:c>
      <x:c r="BW852" s="14" t="str">
        <x:v>Unable to determine</x:v>
      </x:c>
      <x:c r="BX852" s="14" t="str">
        <x:v>Supplied cast data establishes the credit and episode presence but does not establish narrative prominence.</x:v>
      </x:c>
      <x:c r="BY852" s="14" t="str">
        <x:v>Supplied IMDb cast-list workbook</x:v>
      </x:c>
      <x:c r="BZ8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2" s="14" t="str">
        <x:v>Not classified</x:v>
      </x:c>
      <x:c r="CB852" s="14" t="str">
        <x:v>Unable to determine</x:v>
      </x:c>
      <x:c r="CC852" s="14" t="str">
        <x:v>Unique</x:v>
      </x:c>
      <x:c r="CD852" s="14" t="str">
        <x:v>None identified</x:v>
      </x:c>
    </x:row>
    <x:row r="853">
      <x:c r="A853" s="14" t="str">
        <x:v>tt11981644|nm15274589|hotel guest</x:v>
      </x:c>
      <x:c r="B853" s="14" t="str">
        <x:v>02</x:v>
      </x:c>
      <x:c r="C853" s="14" t="str">
        <x:v>2021_IMDb_Cast_Lists_Batch_02(1).xlsx</x:v>
      </x:c>
      <x:c r="D853" s="14" t="str">
        <x:v>Professor T</x:v>
      </x:c>
      <x:c r="E853" s="14" t="n">
        <x:v>195</x:v>
      </x:c>
      <x:c r="F853" s="14" t="str">
        <x:v>Professor T</x:v>
      </x:c>
      <x:c r="G853" s="14" t="str">
        <x:v>tt11981644</x:v>
      </x:c>
      <x:c r="H853" s="14" t="n">
        <x:v>2021</x:v>
      </x:c>
      <x:c r="I853" s="14" t="n">
        <x:v>2023</x:v>
      </x:c>
      <x:c r="J853" s="14" t="str">
        <x:v>Future Carry-Forward Cohort</x:v>
      </x:c>
      <x:c r="K853" s="14" t="n">
        <x:v>2021</x:v>
      </x:c>
      <x:c r="L853" s="14" t="str">
        <x:v>Available from 2021 analysis</x:v>
      </x:c>
      <x:c r="M853" s="15" t="n">
        <x:v>188</x:v>
      </x:c>
      <x:c r="N853" s="14" t="str">
        <x:v>Henry Regan</x:v>
      </x:c>
      <x:c r="O853" s="14" t="str">
        <x:v>nm15274589</x:v>
      </x:c>
      <x:c r="P853" s="14" t="str">
        <x:v>Hotel Guest</x:v>
      </x:c>
      <x:c r="Q853" s="15" t="n">
        <x:v>1</x:v>
      </x:c>
      <x:c r="R853" s="14" t="str">
        <x:v>2024</x:v>
      </x:c>
      <x:c r="S853" s="14" t="n">
        <x:v>2024</x:v>
      </x:c>
      <x:c r="T853" s="14" t="n">
        <x:v>2024</x:v>
      </x:c>
      <x:c r="U853" s="14" t="str">
        <x:v>Post-2021 casting excluded</x:v>
      </x:c>
      <x:c r="V853" s="14" t="str">
        <x:v>Earliest supplied year is 2024, later than the 2021 study year.</x:v>
      </x:c>
      <x:c r="W853" s="14"/>
      <x:c r="X853" s="14" t="str">
        <x:v>Carried forward to 2024</x:v>
      </x:c>
      <x:c r="Y853" s="14"/>
      <x:c r="Z853" s="14" t="str">
        <x:v>Professor T.docx</x:v>
      </x:c>
      <x:c r="AA8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3" s="14" t="str">
        <x:v>No established-register match</x:v>
      </x:c>
      <x:c r="AC853" s="14"/>
      <x:c r="AD853" s="14"/>
      <x:c r="AE853" s="14"/>
      <x:c r="AF853" s="14"/>
      <x:c r="AG853" s="14" t="str">
        <x:v>No qualifying conclusion recorded. Absence from the register is not evidence that the performer is not disabled.</x:v>
      </x:c>
      <x:c r="AH853" s="14" t="str">
        <x:v>ITV / ITVX</x:v>
      </x:c>
      <x:c r="AI853" s="14" t="str">
        <x:v>UK original commission</x:v>
      </x:c>
      <x:c r="AJ853" s="14" t="str">
        <x:v>Exact normalised title</x:v>
      </x:c>
      <x:c r="AK853" s="14" t="str">
        <x:v>Medium</x:v>
      </x:c>
      <x:c r="AL853" s="14" t="str">
        <x:v>Verified for commissioner/platform scope; uk original commission.</x:v>
      </x:c>
      <x:c r="AM853" s="17" t="e">
        <x:f>HYPERLINK("https://en.wikipedia.org/wiki/Professor_T.","Open source")</x:f>
        <x:v>HYPERLINK is not implemented. linkLocation=https://en.wikipedia.org/wiki/Professor_T., friendlyName=Open source</x:v>
      </x:c>
      <x:c r="AN853" s="14" t="str">
        <x:v>No qualifying BBC relationship</x:v>
      </x:c>
      <x:c r="AO853" s="14" t="str">
        <x:v>No</x:v>
      </x:c>
      <x:c r="AP853" s="14" t="str">
        <x:v>Out of scope</x:v>
      </x:c>
      <x:c r="AQ853" s="14" t="str">
        <x:v>No</x:v>
      </x:c>
      <x:c r="AR853" s="14" t="str">
        <x:v>Resolved from master register</x:v>
      </x:c>
      <x:c r="AS853" s="14" t="str">
        <x:v>No established-register match</x:v>
      </x:c>
      <x:c r="AT853" s="14"/>
      <x:c r="AU853" s="14"/>
      <x:c r="AV853" s="14" t="str">
        <x:v>No established apparent-disability match</x:v>
      </x:c>
      <x:c r="AW853" s="14"/>
      <x:c r="AX853" s="14" t="str">
        <x:v>No</x:v>
      </x:c>
      <x:c r="AY853" s="14" t="str">
        <x:v>Unmatched</x:v>
      </x:c>
      <x:c r="AZ853" s="14" t="str">
        <x:v>Final supplied register</x:v>
      </x:c>
      <x:c r="BA853" s="14" t="str">
        <x:v>Absence from the register is not evidence that the performer is not disabled.</x:v>
      </x:c>
      <x:c r="BB853" s="14" t="str">
        <x:v>No established-register match</x:v>
      </x:c>
      <x:c r="BC853" s="14"/>
      <x:c r="BD853" s="14"/>
      <x:c r="BE853" s="14"/>
      <x:c r="BF853" s="14" t="str">
        <x:v>No established apparent-disability match</x:v>
      </x:c>
      <x:c r="BG853" s="14"/>
      <x:c r="BH853" s="14" t="str">
        <x:v>No</x:v>
      </x:c>
      <x:c r="BI853" s="14"/>
      <x:c r="BJ853" s="14"/>
      <x:c r="BK853" s="14"/>
      <x:c r="BL853" s="14" t="str">
        <x:v>Unmatched</x:v>
      </x:c>
      <x:c r="BM853" s="14" t="str">
        <x:v>Final supplied register</x:v>
      </x:c>
      <x:c r="BN853" s="14" t="str">
        <x:v>Absence from the register is not evidence that the performer is not disabled.</x:v>
      </x:c>
      <x:c r="BO853" s="14" t="n">
        <x:v>30</x:v>
      </x:c>
      <x:c r="BP853" s="14" t="str">
        <x:v>Maximum eligible IMDb cast-credit total (30), shared by 2 performer(s); not independently verified as a 2021-only episode total.</x:v>
      </x:c>
      <x:c r="BQ853" s="14" t="str">
        <x:v>Medium</x:v>
      </x:c>
      <x:c r="BR853" s="15" t="n">
        <x:v>1</x:v>
      </x:c>
      <x:c r="BS853" s="16" t="n">
        <x:v>0.03333333333333333</x:v>
      </x:c>
      <x:c r="BT853" s="14" t="str">
        <x:v>One episode</x:v>
      </x:c>
      <x:c r="BU853" s="14" t="str">
        <x:v>Medium</x:v>
      </x:c>
      <x:c r="BV853" s="14" t="str">
        <x:v>Derived from supplied IMDb episode count and the documented production-total proxy.</x:v>
      </x:c>
      <x:c r="BW853" s="14" t="str">
        <x:v>Unable to determine</x:v>
      </x:c>
      <x:c r="BX853" s="14" t="str">
        <x:v>Supplied cast data establishes the credit and episode presence but does not establish narrative prominence.</x:v>
      </x:c>
      <x:c r="BY853" s="14" t="str">
        <x:v>Supplied IMDb cast-list workbook</x:v>
      </x:c>
      <x:c r="BZ8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3" s="14" t="str">
        <x:v>Not classified</x:v>
      </x:c>
      <x:c r="CB853" s="14" t="str">
        <x:v>Unable to determine</x:v>
      </x:c>
      <x:c r="CC853" s="14" t="str">
        <x:v>Unique</x:v>
      </x:c>
      <x:c r="CD853" s="14" t="str">
        <x:v>None identified</x:v>
      </x:c>
    </x:row>
    <x:row r="854">
      <x:c r="A854" s="14" t="str">
        <x:v>tt11981644|nm5319433|vinette lawson</x:v>
      </x:c>
      <x:c r="B854" s="14" t="str">
        <x:v>02</x:v>
      </x:c>
      <x:c r="C854" s="14" t="str">
        <x:v>2021_IMDb_Cast_Lists_Batch_02(1).xlsx</x:v>
      </x:c>
      <x:c r="D854" s="14" t="str">
        <x:v>Professor T</x:v>
      </x:c>
      <x:c r="E854" s="14" t="n">
        <x:v>204</x:v>
      </x:c>
      <x:c r="F854" s="14" t="str">
        <x:v>Professor T</x:v>
      </x:c>
      <x:c r="G854" s="14" t="str">
        <x:v>tt11981644</x:v>
      </x:c>
      <x:c r="H854" s="14" t="n">
        <x:v>2021</x:v>
      </x:c>
      <x:c r="I854" s="14" t="n">
        <x:v>2023</x:v>
      </x:c>
      <x:c r="J854" s="14" t="str">
        <x:v>Future Carry-Forward Cohort</x:v>
      </x:c>
      <x:c r="K854" s="14" t="n">
        <x:v>2021</x:v>
      </x:c>
      <x:c r="L854" s="14" t="str">
        <x:v>Available from 2021 analysis</x:v>
      </x:c>
      <x:c r="M854" s="15" t="n">
        <x:v>197</x:v>
      </x:c>
      <x:c r="N854" s="14" t="str">
        <x:v>Rebecca Blackstone</x:v>
      </x:c>
      <x:c r="O854" s="14" t="str">
        <x:v>nm5319433</x:v>
      </x:c>
      <x:c r="P854" s="14" t="str">
        <x:v>Vinette Lawson</x:v>
      </x:c>
      <x:c r="Q854" s="15" t="n">
        <x:v>1</x:v>
      </x:c>
      <x:c r="R854" s="14" t="str">
        <x:v>2024</x:v>
      </x:c>
      <x:c r="S854" s="14" t="n">
        <x:v>2024</x:v>
      </x:c>
      <x:c r="T854" s="14" t="n">
        <x:v>2024</x:v>
      </x:c>
      <x:c r="U854" s="14" t="str">
        <x:v>Post-2021 casting excluded</x:v>
      </x:c>
      <x:c r="V854" s="14" t="str">
        <x:v>Earliest supplied year is 2024, later than the 2021 study year.</x:v>
      </x:c>
      <x:c r="W854" s="14"/>
      <x:c r="X854" s="14" t="str">
        <x:v>Carried forward to 2024</x:v>
      </x:c>
      <x:c r="Y854" s="14"/>
      <x:c r="Z854" s="14" t="str">
        <x:v>Professor T.docx</x:v>
      </x:c>
      <x:c r="AA8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4" s="14" t="str">
        <x:v>No established-register match</x:v>
      </x:c>
      <x:c r="AC854" s="14"/>
      <x:c r="AD854" s="14"/>
      <x:c r="AE854" s="14"/>
      <x:c r="AF854" s="14"/>
      <x:c r="AG854" s="14" t="str">
        <x:v>No qualifying conclusion recorded. Absence from the register is not evidence that the performer is not disabled.</x:v>
      </x:c>
      <x:c r="AH854" s="14" t="str">
        <x:v>ITV / ITVX</x:v>
      </x:c>
      <x:c r="AI854" s="14" t="str">
        <x:v>UK original commission</x:v>
      </x:c>
      <x:c r="AJ854" s="14" t="str">
        <x:v>Exact normalised title</x:v>
      </x:c>
      <x:c r="AK854" s="14" t="str">
        <x:v>Medium</x:v>
      </x:c>
      <x:c r="AL854" s="14" t="str">
        <x:v>Verified for commissioner/platform scope; uk original commission.</x:v>
      </x:c>
      <x:c r="AM854" s="17" t="e">
        <x:f>HYPERLINK("https://en.wikipedia.org/wiki/Professor_T.","Open source")</x:f>
        <x:v>HYPERLINK is not implemented. linkLocation=https://en.wikipedia.org/wiki/Professor_T., friendlyName=Open source</x:v>
      </x:c>
      <x:c r="AN854" s="14" t="str">
        <x:v>No qualifying BBC relationship</x:v>
      </x:c>
      <x:c r="AO854" s="14" t="str">
        <x:v>No</x:v>
      </x:c>
      <x:c r="AP854" s="14" t="str">
        <x:v>Out of scope</x:v>
      </x:c>
      <x:c r="AQ854" s="14" t="str">
        <x:v>No</x:v>
      </x:c>
      <x:c r="AR854" s="14" t="str">
        <x:v>Resolved from master register</x:v>
      </x:c>
      <x:c r="AS854" s="14" t="str">
        <x:v>No established-register match</x:v>
      </x:c>
      <x:c r="AT854" s="14"/>
      <x:c r="AU854" s="14"/>
      <x:c r="AV854" s="14" t="str">
        <x:v>No established apparent-disability match</x:v>
      </x:c>
      <x:c r="AW854" s="14"/>
      <x:c r="AX854" s="14" t="str">
        <x:v>No</x:v>
      </x:c>
      <x:c r="AY854" s="14" t="str">
        <x:v>Unmatched</x:v>
      </x:c>
      <x:c r="AZ854" s="14" t="str">
        <x:v>Final supplied register</x:v>
      </x:c>
      <x:c r="BA854" s="14" t="str">
        <x:v>Absence from the register is not evidence that the performer is not disabled.</x:v>
      </x:c>
      <x:c r="BB854" s="14" t="str">
        <x:v>No established-register match</x:v>
      </x:c>
      <x:c r="BC854" s="14"/>
      <x:c r="BD854" s="14"/>
      <x:c r="BE854" s="14"/>
      <x:c r="BF854" s="14" t="str">
        <x:v>No established apparent-disability match</x:v>
      </x:c>
      <x:c r="BG854" s="14"/>
      <x:c r="BH854" s="14" t="str">
        <x:v>No</x:v>
      </x:c>
      <x:c r="BI854" s="14"/>
      <x:c r="BJ854" s="14"/>
      <x:c r="BK854" s="14"/>
      <x:c r="BL854" s="14" t="str">
        <x:v>Unmatched</x:v>
      </x:c>
      <x:c r="BM854" s="14" t="str">
        <x:v>Final supplied register</x:v>
      </x:c>
      <x:c r="BN854" s="14" t="str">
        <x:v>Absence from the register is not evidence that the performer is not disabled.</x:v>
      </x:c>
      <x:c r="BO854" s="14" t="n">
        <x:v>30</x:v>
      </x:c>
      <x:c r="BP854" s="14" t="str">
        <x:v>Maximum eligible IMDb cast-credit total (30), shared by 2 performer(s); not independently verified as a 2021-only episode total.</x:v>
      </x:c>
      <x:c r="BQ854" s="14" t="str">
        <x:v>Medium</x:v>
      </x:c>
      <x:c r="BR854" s="15" t="n">
        <x:v>1</x:v>
      </x:c>
      <x:c r="BS854" s="16" t="n">
        <x:v>0.03333333333333333</x:v>
      </x:c>
      <x:c r="BT854" s="14" t="str">
        <x:v>One episode</x:v>
      </x:c>
      <x:c r="BU854" s="14" t="str">
        <x:v>Medium</x:v>
      </x:c>
      <x:c r="BV854" s="14" t="str">
        <x:v>Derived from supplied IMDb episode count and the documented production-total proxy.</x:v>
      </x:c>
      <x:c r="BW854" s="14" t="str">
        <x:v>Unable to determine</x:v>
      </x:c>
      <x:c r="BX854" s="14" t="str">
        <x:v>Supplied cast data establishes the credit and episode presence but does not establish narrative prominence.</x:v>
      </x:c>
      <x:c r="BY854" s="14" t="str">
        <x:v>Supplied IMDb cast-list workbook</x:v>
      </x:c>
      <x:c r="BZ8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4" s="14" t="str">
        <x:v>Not classified</x:v>
      </x:c>
      <x:c r="CB854" s="14" t="str">
        <x:v>Unable to determine</x:v>
      </x:c>
      <x:c r="CC854" s="14" t="str">
        <x:v>Unique</x:v>
      </x:c>
      <x:c r="CD854" s="14" t="str">
        <x:v>None identified</x:v>
      </x:c>
    </x:row>
    <x:row r="855">
      <x:c r="A855" s="14" t="str">
        <x:v>tt11981644|nm4759846|justin dennis</x:v>
      </x:c>
      <x:c r="B855" s="14" t="str">
        <x:v>02</x:v>
      </x:c>
      <x:c r="C855" s="14" t="str">
        <x:v>2021_IMDb_Cast_Lists_Batch_02(1).xlsx</x:v>
      </x:c>
      <x:c r="D855" s="14" t="str">
        <x:v>Professor T</x:v>
      </x:c>
      <x:c r="E855" s="14" t="n">
        <x:v>205</x:v>
      </x:c>
      <x:c r="F855" s="14" t="str">
        <x:v>Professor T</x:v>
      </x:c>
      <x:c r="G855" s="14" t="str">
        <x:v>tt11981644</x:v>
      </x:c>
      <x:c r="H855" s="14" t="n">
        <x:v>2021</x:v>
      </x:c>
      <x:c r="I855" s="14" t="n">
        <x:v>2023</x:v>
      </x:c>
      <x:c r="J855" s="14" t="str">
        <x:v>Future Carry-Forward Cohort</x:v>
      </x:c>
      <x:c r="K855" s="14" t="n">
        <x:v>2021</x:v>
      </x:c>
      <x:c r="L855" s="14" t="str">
        <x:v>Available from 2021 analysis</x:v>
      </x:c>
      <x:c r="M855" s="15" t="n">
        <x:v>198</x:v>
      </x:c>
      <x:c r="N855" s="14" t="str">
        <x:v>Robert Maskell</x:v>
      </x:c>
      <x:c r="O855" s="14" t="str">
        <x:v>nm4759846</x:v>
      </x:c>
      <x:c r="P855" s="14" t="str">
        <x:v>Justin Dennis</x:v>
      </x:c>
      <x:c r="Q855" s="15" t="n">
        <x:v>1</x:v>
      </x:c>
      <x:c r="R855" s="14" t="str">
        <x:v>2024</x:v>
      </x:c>
      <x:c r="S855" s="14" t="n">
        <x:v>2024</x:v>
      </x:c>
      <x:c r="T855" s="14" t="n">
        <x:v>2024</x:v>
      </x:c>
      <x:c r="U855" s="14" t="str">
        <x:v>Post-2021 casting excluded</x:v>
      </x:c>
      <x:c r="V855" s="14" t="str">
        <x:v>Earliest supplied year is 2024, later than the 2021 study year.</x:v>
      </x:c>
      <x:c r="W855" s="14"/>
      <x:c r="X855" s="14" t="str">
        <x:v>Carried forward to 2024</x:v>
      </x:c>
      <x:c r="Y855" s="14"/>
      <x:c r="Z855" s="14" t="str">
        <x:v>Professor T.docx</x:v>
      </x:c>
      <x:c r="AA8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5" s="14" t="str">
        <x:v>No established-register match</x:v>
      </x:c>
      <x:c r="AC855" s="14"/>
      <x:c r="AD855" s="14"/>
      <x:c r="AE855" s="14"/>
      <x:c r="AF855" s="14"/>
      <x:c r="AG855" s="14" t="str">
        <x:v>No qualifying conclusion recorded. Absence from the register is not evidence that the performer is not disabled.</x:v>
      </x:c>
      <x:c r="AH855" s="14" t="str">
        <x:v>ITV / ITVX</x:v>
      </x:c>
      <x:c r="AI855" s="14" t="str">
        <x:v>UK original commission</x:v>
      </x:c>
      <x:c r="AJ855" s="14" t="str">
        <x:v>Exact normalised title</x:v>
      </x:c>
      <x:c r="AK855" s="14" t="str">
        <x:v>Medium</x:v>
      </x:c>
      <x:c r="AL855" s="14" t="str">
        <x:v>Verified for commissioner/platform scope; uk original commission.</x:v>
      </x:c>
      <x:c r="AM855" s="17" t="e">
        <x:f>HYPERLINK("https://en.wikipedia.org/wiki/Professor_T.","Open source")</x:f>
        <x:v>HYPERLINK is not implemented. linkLocation=https://en.wikipedia.org/wiki/Professor_T., friendlyName=Open source</x:v>
      </x:c>
      <x:c r="AN855" s="14" t="str">
        <x:v>No qualifying BBC relationship</x:v>
      </x:c>
      <x:c r="AO855" s="14" t="str">
        <x:v>No</x:v>
      </x:c>
      <x:c r="AP855" s="14" t="str">
        <x:v>Out of scope</x:v>
      </x:c>
      <x:c r="AQ855" s="14" t="str">
        <x:v>No</x:v>
      </x:c>
      <x:c r="AR855" s="14" t="str">
        <x:v>Resolved from master register</x:v>
      </x:c>
      <x:c r="AS855" s="14" t="str">
        <x:v>No established-register match</x:v>
      </x:c>
      <x:c r="AT855" s="14"/>
      <x:c r="AU855" s="14"/>
      <x:c r="AV855" s="14" t="str">
        <x:v>No established apparent-disability match</x:v>
      </x:c>
      <x:c r="AW855" s="14"/>
      <x:c r="AX855" s="14" t="str">
        <x:v>No</x:v>
      </x:c>
      <x:c r="AY855" s="14" t="str">
        <x:v>Unmatched</x:v>
      </x:c>
      <x:c r="AZ855" s="14" t="str">
        <x:v>Final supplied register</x:v>
      </x:c>
      <x:c r="BA855" s="14" t="str">
        <x:v>Absence from the register is not evidence that the performer is not disabled.</x:v>
      </x:c>
      <x:c r="BB855" s="14" t="str">
        <x:v>No established-register match</x:v>
      </x:c>
      <x:c r="BC855" s="14"/>
      <x:c r="BD855" s="14"/>
      <x:c r="BE855" s="14"/>
      <x:c r="BF855" s="14" t="str">
        <x:v>No established apparent-disability match</x:v>
      </x:c>
      <x:c r="BG855" s="14"/>
      <x:c r="BH855" s="14" t="str">
        <x:v>No</x:v>
      </x:c>
      <x:c r="BI855" s="14"/>
      <x:c r="BJ855" s="14"/>
      <x:c r="BK855" s="14"/>
      <x:c r="BL855" s="14" t="str">
        <x:v>Unmatched</x:v>
      </x:c>
      <x:c r="BM855" s="14" t="str">
        <x:v>Final supplied register</x:v>
      </x:c>
      <x:c r="BN855" s="14" t="str">
        <x:v>Absence from the register is not evidence that the performer is not disabled.</x:v>
      </x:c>
      <x:c r="BO855" s="14" t="n">
        <x:v>30</x:v>
      </x:c>
      <x:c r="BP855" s="14" t="str">
        <x:v>Maximum eligible IMDb cast-credit total (30), shared by 2 performer(s); not independently verified as a 2021-only episode total.</x:v>
      </x:c>
      <x:c r="BQ855" s="14" t="str">
        <x:v>Medium</x:v>
      </x:c>
      <x:c r="BR855" s="15" t="n">
        <x:v>1</x:v>
      </x:c>
      <x:c r="BS855" s="16" t="n">
        <x:v>0.03333333333333333</x:v>
      </x:c>
      <x:c r="BT855" s="14" t="str">
        <x:v>One episode</x:v>
      </x:c>
      <x:c r="BU855" s="14" t="str">
        <x:v>Medium</x:v>
      </x:c>
      <x:c r="BV855" s="14" t="str">
        <x:v>Derived from supplied IMDb episode count and the documented production-total proxy.</x:v>
      </x:c>
      <x:c r="BW855" s="14" t="str">
        <x:v>Unable to determine</x:v>
      </x:c>
      <x:c r="BX855" s="14" t="str">
        <x:v>Supplied cast data establishes the credit and episode presence but does not establish narrative prominence.</x:v>
      </x:c>
      <x:c r="BY855" s="14" t="str">
        <x:v>Supplied IMDb cast-list workbook</x:v>
      </x:c>
      <x:c r="BZ8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5" s="14" t="str">
        <x:v>Not classified</x:v>
      </x:c>
      <x:c r="CB855" s="14" t="str">
        <x:v>Unable to determine</x:v>
      </x:c>
      <x:c r="CC855" s="14" t="str">
        <x:v>Unique</x:v>
      </x:c>
      <x:c r="CD855" s="14" t="str">
        <x:v>None identified</x:v>
      </x:c>
    </x:row>
    <x:row r="856">
      <x:c r="A856" s="14" t="str">
        <x:v>tt11981644|nm8341833|nuala wilson</x:v>
      </x:c>
      <x:c r="B856" s="14" t="str">
        <x:v>02</x:v>
      </x:c>
      <x:c r="C856" s="14" t="str">
        <x:v>2021_IMDb_Cast_Lists_Batch_02(1).xlsx</x:v>
      </x:c>
      <x:c r="D856" s="14" t="str">
        <x:v>Professor T</x:v>
      </x:c>
      <x:c r="E856" s="14" t="n">
        <x:v>206</x:v>
      </x:c>
      <x:c r="F856" s="14" t="str">
        <x:v>Professor T</x:v>
      </x:c>
      <x:c r="G856" s="14" t="str">
        <x:v>tt11981644</x:v>
      </x:c>
      <x:c r="H856" s="14" t="n">
        <x:v>2021</x:v>
      </x:c>
      <x:c r="I856" s="14" t="n">
        <x:v>2023</x:v>
      </x:c>
      <x:c r="J856" s="14" t="str">
        <x:v>Future Carry-Forward Cohort</x:v>
      </x:c>
      <x:c r="K856" s="14" t="n">
        <x:v>2021</x:v>
      </x:c>
      <x:c r="L856" s="14" t="str">
        <x:v>Available from 2021 analysis</x:v>
      </x:c>
      <x:c r="M856" s="15" t="n">
        <x:v>199</x:v>
      </x:c>
      <x:c r="N856" s="14" t="str">
        <x:v>Samantha Allison</x:v>
      </x:c>
      <x:c r="O856" s="14" t="str">
        <x:v>nm8341833</x:v>
      </x:c>
      <x:c r="P856" s="14" t="str">
        <x:v>Nuala Wilson</x:v>
      </x:c>
      <x:c r="Q856" s="15" t="n">
        <x:v>1</x:v>
      </x:c>
      <x:c r="R856" s="14" t="str">
        <x:v>2024</x:v>
      </x:c>
      <x:c r="S856" s="14" t="n">
        <x:v>2024</x:v>
      </x:c>
      <x:c r="T856" s="14" t="n">
        <x:v>2024</x:v>
      </x:c>
      <x:c r="U856" s="14" t="str">
        <x:v>Post-2021 casting excluded</x:v>
      </x:c>
      <x:c r="V856" s="14" t="str">
        <x:v>Earliest supplied year is 2024, later than the 2021 study year.</x:v>
      </x:c>
      <x:c r="W856" s="14"/>
      <x:c r="X856" s="14" t="str">
        <x:v>Carried forward to 2024</x:v>
      </x:c>
      <x:c r="Y856" s="14"/>
      <x:c r="Z856" s="14" t="str">
        <x:v>Professor T.docx</x:v>
      </x:c>
      <x:c r="AA8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6" s="14" t="str">
        <x:v>No established-register match</x:v>
      </x:c>
      <x:c r="AC856" s="14"/>
      <x:c r="AD856" s="14"/>
      <x:c r="AE856" s="14"/>
      <x:c r="AF856" s="14"/>
      <x:c r="AG856" s="14" t="str">
        <x:v>No qualifying conclusion recorded. Absence from the register is not evidence that the performer is not disabled.</x:v>
      </x:c>
      <x:c r="AH856" s="14" t="str">
        <x:v>ITV / ITVX</x:v>
      </x:c>
      <x:c r="AI856" s="14" t="str">
        <x:v>UK original commission</x:v>
      </x:c>
      <x:c r="AJ856" s="14" t="str">
        <x:v>Exact normalised title</x:v>
      </x:c>
      <x:c r="AK856" s="14" t="str">
        <x:v>Medium</x:v>
      </x:c>
      <x:c r="AL856" s="14" t="str">
        <x:v>Verified for commissioner/platform scope; uk original commission.</x:v>
      </x:c>
      <x:c r="AM856" s="17" t="e">
        <x:f>HYPERLINK("https://en.wikipedia.org/wiki/Professor_T.","Open source")</x:f>
        <x:v>HYPERLINK is not implemented. linkLocation=https://en.wikipedia.org/wiki/Professor_T., friendlyName=Open source</x:v>
      </x:c>
      <x:c r="AN856" s="14" t="str">
        <x:v>No qualifying BBC relationship</x:v>
      </x:c>
      <x:c r="AO856" s="14" t="str">
        <x:v>No</x:v>
      </x:c>
      <x:c r="AP856" s="14" t="str">
        <x:v>Out of scope</x:v>
      </x:c>
      <x:c r="AQ856" s="14" t="str">
        <x:v>No</x:v>
      </x:c>
      <x:c r="AR856" s="14" t="str">
        <x:v>Resolved from master register</x:v>
      </x:c>
      <x:c r="AS856" s="14" t="str">
        <x:v>No established-register match</x:v>
      </x:c>
      <x:c r="AT856" s="14"/>
      <x:c r="AU856" s="14"/>
      <x:c r="AV856" s="14" t="str">
        <x:v>No established apparent-disability match</x:v>
      </x:c>
      <x:c r="AW856" s="14"/>
      <x:c r="AX856" s="14" t="str">
        <x:v>No</x:v>
      </x:c>
      <x:c r="AY856" s="14" t="str">
        <x:v>Unmatched</x:v>
      </x:c>
      <x:c r="AZ856" s="14" t="str">
        <x:v>Final supplied register</x:v>
      </x:c>
      <x:c r="BA856" s="14" t="str">
        <x:v>Absence from the register is not evidence that the performer is not disabled.</x:v>
      </x:c>
      <x:c r="BB856" s="14" t="str">
        <x:v>No established-register match</x:v>
      </x:c>
      <x:c r="BC856" s="14"/>
      <x:c r="BD856" s="14"/>
      <x:c r="BE856" s="14"/>
      <x:c r="BF856" s="14" t="str">
        <x:v>No established apparent-disability match</x:v>
      </x:c>
      <x:c r="BG856" s="14"/>
      <x:c r="BH856" s="14" t="str">
        <x:v>No</x:v>
      </x:c>
      <x:c r="BI856" s="14"/>
      <x:c r="BJ856" s="14"/>
      <x:c r="BK856" s="14"/>
      <x:c r="BL856" s="14" t="str">
        <x:v>Unmatched</x:v>
      </x:c>
      <x:c r="BM856" s="14" t="str">
        <x:v>Final supplied register</x:v>
      </x:c>
      <x:c r="BN856" s="14" t="str">
        <x:v>Absence from the register is not evidence that the performer is not disabled.</x:v>
      </x:c>
      <x:c r="BO856" s="14" t="n">
        <x:v>30</x:v>
      </x:c>
      <x:c r="BP856" s="14" t="str">
        <x:v>Maximum eligible IMDb cast-credit total (30), shared by 2 performer(s); not independently verified as a 2021-only episode total.</x:v>
      </x:c>
      <x:c r="BQ856" s="14" t="str">
        <x:v>Medium</x:v>
      </x:c>
      <x:c r="BR856" s="15" t="n">
        <x:v>1</x:v>
      </x:c>
      <x:c r="BS856" s="16" t="n">
        <x:v>0.03333333333333333</x:v>
      </x:c>
      <x:c r="BT856" s="14" t="str">
        <x:v>One episode</x:v>
      </x:c>
      <x:c r="BU856" s="14" t="str">
        <x:v>Medium</x:v>
      </x:c>
      <x:c r="BV856" s="14" t="str">
        <x:v>Derived from supplied IMDb episode count and the documented production-total proxy.</x:v>
      </x:c>
      <x:c r="BW856" s="14" t="str">
        <x:v>Unable to determine</x:v>
      </x:c>
      <x:c r="BX856" s="14" t="str">
        <x:v>Supplied cast data establishes the credit and episode presence but does not establish narrative prominence.</x:v>
      </x:c>
      <x:c r="BY856" s="14" t="str">
        <x:v>Supplied IMDb cast-list workbook</x:v>
      </x:c>
      <x:c r="BZ8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6" s="14" t="str">
        <x:v>Not classified</x:v>
      </x:c>
      <x:c r="CB856" s="14" t="str">
        <x:v>Unable to determine</x:v>
      </x:c>
      <x:c r="CC856" s="14" t="str">
        <x:v>Unique</x:v>
      </x:c>
      <x:c r="CD856" s="14" t="str">
        <x:v>None identified</x:v>
      </x:c>
    </x:row>
    <x:row r="857">
      <x:c r="A857" s="14" t="str">
        <x:v>tt11981644|nm3391877|christina's husband</x:v>
      </x:c>
      <x:c r="B857" s="14" t="str">
        <x:v>02</x:v>
      </x:c>
      <x:c r="C857" s="14" t="str">
        <x:v>2021_IMDb_Cast_Lists_Batch_02(1).xlsx</x:v>
      </x:c>
      <x:c r="D857" s="14" t="str">
        <x:v>Professor T</x:v>
      </x:c>
      <x:c r="E857" s="14" t="n">
        <x:v>207</x:v>
      </x:c>
      <x:c r="F857" s="14" t="str">
        <x:v>Professor T</x:v>
      </x:c>
      <x:c r="G857" s="14" t="str">
        <x:v>tt11981644</x:v>
      </x:c>
      <x:c r="H857" s="14" t="n">
        <x:v>2021</x:v>
      </x:c>
      <x:c r="I857" s="14" t="n">
        <x:v>2023</x:v>
      </x:c>
      <x:c r="J857" s="14" t="str">
        <x:v>Future Carry-Forward Cohort</x:v>
      </x:c>
      <x:c r="K857" s="14" t="n">
        <x:v>2021</x:v>
      </x:c>
      <x:c r="L857" s="14" t="str">
        <x:v>Available from 2021 analysis</x:v>
      </x:c>
      <x:c r="M857" s="15" t="n">
        <x:v>200</x:v>
      </x:c>
      <x:c r="N857" s="14" t="str">
        <x:v>Christopher Buckeridge</x:v>
      </x:c>
      <x:c r="O857" s="14" t="str">
        <x:v>nm3391877</x:v>
      </x:c>
      <x:c r="P857" s="14" t="str">
        <x:v>Christina's Husband</x:v>
      </x:c>
      <x:c r="Q857" s="15" t="n">
        <x:v>1</x:v>
      </x:c>
      <x:c r="R857" s="14" t="str">
        <x:v>2024</x:v>
      </x:c>
      <x:c r="S857" s="14" t="n">
        <x:v>2024</x:v>
      </x:c>
      <x:c r="T857" s="14" t="n">
        <x:v>2024</x:v>
      </x:c>
      <x:c r="U857" s="14" t="str">
        <x:v>Post-2021 casting excluded</x:v>
      </x:c>
      <x:c r="V857" s="14" t="str">
        <x:v>Earliest supplied year is 2024, later than the 2021 study year.</x:v>
      </x:c>
      <x:c r="W857" s="14"/>
      <x:c r="X857" s="14" t="str">
        <x:v>Carried forward to 2024</x:v>
      </x:c>
      <x:c r="Y857" s="14"/>
      <x:c r="Z857" s="14" t="str">
        <x:v>Professor T.docx</x:v>
      </x:c>
      <x:c r="AA8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7" s="14" t="str">
        <x:v>No established-register match</x:v>
      </x:c>
      <x:c r="AC857" s="14"/>
      <x:c r="AD857" s="14"/>
      <x:c r="AE857" s="14"/>
      <x:c r="AF857" s="14"/>
      <x:c r="AG857" s="14" t="str">
        <x:v>No qualifying conclusion recorded. Absence from the register is not evidence that the performer is not disabled.</x:v>
      </x:c>
      <x:c r="AH857" s="14" t="str">
        <x:v>ITV / ITVX</x:v>
      </x:c>
      <x:c r="AI857" s="14" t="str">
        <x:v>UK original commission</x:v>
      </x:c>
      <x:c r="AJ857" s="14" t="str">
        <x:v>Exact normalised title</x:v>
      </x:c>
      <x:c r="AK857" s="14" t="str">
        <x:v>Medium</x:v>
      </x:c>
      <x:c r="AL857" s="14" t="str">
        <x:v>Verified for commissioner/platform scope; uk original commission.</x:v>
      </x:c>
      <x:c r="AM857" s="17" t="e">
        <x:f>HYPERLINK("https://en.wikipedia.org/wiki/Professor_T.","Open source")</x:f>
        <x:v>HYPERLINK is not implemented. linkLocation=https://en.wikipedia.org/wiki/Professor_T., friendlyName=Open source</x:v>
      </x:c>
      <x:c r="AN857" s="14" t="str">
        <x:v>No qualifying BBC relationship</x:v>
      </x:c>
      <x:c r="AO857" s="14" t="str">
        <x:v>No</x:v>
      </x:c>
      <x:c r="AP857" s="14" t="str">
        <x:v>Out of scope</x:v>
      </x:c>
      <x:c r="AQ857" s="14" t="str">
        <x:v>No</x:v>
      </x:c>
      <x:c r="AR857" s="14" t="str">
        <x:v>Resolved from master register</x:v>
      </x:c>
      <x:c r="AS857" s="14" t="str">
        <x:v>No established-register match</x:v>
      </x:c>
      <x:c r="AT857" s="14"/>
      <x:c r="AU857" s="14"/>
      <x:c r="AV857" s="14" t="str">
        <x:v>No established apparent-disability match</x:v>
      </x:c>
      <x:c r="AW857" s="14"/>
      <x:c r="AX857" s="14" t="str">
        <x:v>No</x:v>
      </x:c>
      <x:c r="AY857" s="14" t="str">
        <x:v>Unmatched</x:v>
      </x:c>
      <x:c r="AZ857" s="14" t="str">
        <x:v>Final supplied register</x:v>
      </x:c>
      <x:c r="BA857" s="14" t="str">
        <x:v>Absence from the register is not evidence that the performer is not disabled.</x:v>
      </x:c>
      <x:c r="BB857" s="14" t="str">
        <x:v>No established-register match</x:v>
      </x:c>
      <x:c r="BC857" s="14"/>
      <x:c r="BD857" s="14"/>
      <x:c r="BE857" s="14"/>
      <x:c r="BF857" s="14" t="str">
        <x:v>No established apparent-disability match</x:v>
      </x:c>
      <x:c r="BG857" s="14"/>
      <x:c r="BH857" s="14" t="str">
        <x:v>No</x:v>
      </x:c>
      <x:c r="BI857" s="14"/>
      <x:c r="BJ857" s="14"/>
      <x:c r="BK857" s="14"/>
      <x:c r="BL857" s="14" t="str">
        <x:v>Unmatched</x:v>
      </x:c>
      <x:c r="BM857" s="14" t="str">
        <x:v>Final supplied register</x:v>
      </x:c>
      <x:c r="BN857" s="14" t="str">
        <x:v>Absence from the register is not evidence that the performer is not disabled.</x:v>
      </x:c>
      <x:c r="BO857" s="14" t="n">
        <x:v>30</x:v>
      </x:c>
      <x:c r="BP857" s="14" t="str">
        <x:v>Maximum eligible IMDb cast-credit total (30), shared by 2 performer(s); not independently verified as a 2021-only episode total.</x:v>
      </x:c>
      <x:c r="BQ857" s="14" t="str">
        <x:v>Medium</x:v>
      </x:c>
      <x:c r="BR857" s="15" t="n">
        <x:v>1</x:v>
      </x:c>
      <x:c r="BS857" s="16" t="n">
        <x:v>0.03333333333333333</x:v>
      </x:c>
      <x:c r="BT857" s="14" t="str">
        <x:v>One episode</x:v>
      </x:c>
      <x:c r="BU857" s="14" t="str">
        <x:v>Medium</x:v>
      </x:c>
      <x:c r="BV857" s="14" t="str">
        <x:v>Derived from supplied IMDb episode count and the documented production-total proxy.</x:v>
      </x:c>
      <x:c r="BW857" s="14" t="str">
        <x:v>Unable to determine</x:v>
      </x:c>
      <x:c r="BX857" s="14" t="str">
        <x:v>Supplied cast data establishes the credit and episode presence but does not establish narrative prominence.</x:v>
      </x:c>
      <x:c r="BY857" s="14" t="str">
        <x:v>Supplied IMDb cast-list workbook</x:v>
      </x:c>
      <x:c r="BZ8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7" s="14" t="str">
        <x:v>Not classified</x:v>
      </x:c>
      <x:c r="CB857" s="14" t="str">
        <x:v>Unable to determine</x:v>
      </x:c>
      <x:c r="CC857" s="14" t="str">
        <x:v>Unique</x:v>
      </x:c>
      <x:c r="CD857" s="14" t="str">
        <x:v>None identified</x:v>
      </x:c>
    </x:row>
    <x:row r="858">
      <x:c r="A858" s="14" t="str">
        <x:v>tt11981644|nm4787232|gina dennis</x:v>
      </x:c>
      <x:c r="B858" s="14" t="str">
        <x:v>02</x:v>
      </x:c>
      <x:c r="C858" s="14" t="str">
        <x:v>2021_IMDb_Cast_Lists_Batch_02(1).xlsx</x:v>
      </x:c>
      <x:c r="D858" s="14" t="str">
        <x:v>Professor T</x:v>
      </x:c>
      <x:c r="E858" s="14" t="n">
        <x:v>214</x:v>
      </x:c>
      <x:c r="F858" s="14" t="str">
        <x:v>Professor T</x:v>
      </x:c>
      <x:c r="G858" s="14" t="str">
        <x:v>tt11981644</x:v>
      </x:c>
      <x:c r="H858" s="14" t="n">
        <x:v>2021</x:v>
      </x:c>
      <x:c r="I858" s="14" t="n">
        <x:v>2023</x:v>
      </x:c>
      <x:c r="J858" s="14" t="str">
        <x:v>Future Carry-Forward Cohort</x:v>
      </x:c>
      <x:c r="K858" s="14" t="n">
        <x:v>2021</x:v>
      </x:c>
      <x:c r="L858" s="14" t="str">
        <x:v>Available from 2021 analysis</x:v>
      </x:c>
      <x:c r="M858" s="15" t="n">
        <x:v>207</x:v>
      </x:c>
      <x:c r="N858" s="14" t="str">
        <x:v>Fiona Skinner</x:v>
      </x:c>
      <x:c r="O858" s="14" t="str">
        <x:v>nm4787232</x:v>
      </x:c>
      <x:c r="P858" s="14" t="str">
        <x:v>Gina Dennis</x:v>
      </x:c>
      <x:c r="Q858" s="15" t="n">
        <x:v>1</x:v>
      </x:c>
      <x:c r="R858" s="14" t="str">
        <x:v>2024</x:v>
      </x:c>
      <x:c r="S858" s="14" t="n">
        <x:v>2024</x:v>
      </x:c>
      <x:c r="T858" s="14" t="n">
        <x:v>2024</x:v>
      </x:c>
      <x:c r="U858" s="14" t="str">
        <x:v>Post-2021 casting excluded</x:v>
      </x:c>
      <x:c r="V858" s="14" t="str">
        <x:v>Earliest supplied year is 2024, later than the 2021 study year.</x:v>
      </x:c>
      <x:c r="W858" s="14"/>
      <x:c r="X858" s="14" t="str">
        <x:v>Carried forward to 2024</x:v>
      </x:c>
      <x:c r="Y858" s="14"/>
      <x:c r="Z858" s="14" t="str">
        <x:v>Professor T.docx</x:v>
      </x:c>
      <x:c r="AA8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8" s="14" t="str">
        <x:v>No established-register match</x:v>
      </x:c>
      <x:c r="AC858" s="14"/>
      <x:c r="AD858" s="14"/>
      <x:c r="AE858" s="14"/>
      <x:c r="AF858" s="14"/>
      <x:c r="AG858" s="14" t="str">
        <x:v>No qualifying conclusion recorded. Absence from the register is not evidence that the performer is not disabled.</x:v>
      </x:c>
      <x:c r="AH858" s="14" t="str">
        <x:v>ITV / ITVX</x:v>
      </x:c>
      <x:c r="AI858" s="14" t="str">
        <x:v>UK original commission</x:v>
      </x:c>
      <x:c r="AJ858" s="14" t="str">
        <x:v>Exact normalised title</x:v>
      </x:c>
      <x:c r="AK858" s="14" t="str">
        <x:v>Medium</x:v>
      </x:c>
      <x:c r="AL858" s="14" t="str">
        <x:v>Verified for commissioner/platform scope; uk original commission.</x:v>
      </x:c>
      <x:c r="AM858" s="17" t="e">
        <x:f>HYPERLINK("https://en.wikipedia.org/wiki/Professor_T.","Open source")</x:f>
        <x:v>HYPERLINK is not implemented. linkLocation=https://en.wikipedia.org/wiki/Professor_T., friendlyName=Open source</x:v>
      </x:c>
      <x:c r="AN858" s="14" t="str">
        <x:v>No qualifying BBC relationship</x:v>
      </x:c>
      <x:c r="AO858" s="14" t="str">
        <x:v>No</x:v>
      </x:c>
      <x:c r="AP858" s="14" t="str">
        <x:v>Out of scope</x:v>
      </x:c>
      <x:c r="AQ858" s="14" t="str">
        <x:v>No</x:v>
      </x:c>
      <x:c r="AR858" s="14" t="str">
        <x:v>Resolved from master register</x:v>
      </x:c>
      <x:c r="AS858" s="14" t="str">
        <x:v>No established-register match</x:v>
      </x:c>
      <x:c r="AT858" s="14"/>
      <x:c r="AU858" s="14"/>
      <x:c r="AV858" s="14" t="str">
        <x:v>No established apparent-disability match</x:v>
      </x:c>
      <x:c r="AW858" s="14"/>
      <x:c r="AX858" s="14" t="str">
        <x:v>No</x:v>
      </x:c>
      <x:c r="AY858" s="14" t="str">
        <x:v>Unmatched</x:v>
      </x:c>
      <x:c r="AZ858" s="14" t="str">
        <x:v>Final supplied register</x:v>
      </x:c>
      <x:c r="BA858" s="14" t="str">
        <x:v>Absence from the register is not evidence that the performer is not disabled.</x:v>
      </x:c>
      <x:c r="BB858" s="14" t="str">
        <x:v>No established-register match</x:v>
      </x:c>
      <x:c r="BC858" s="14"/>
      <x:c r="BD858" s="14"/>
      <x:c r="BE858" s="14"/>
      <x:c r="BF858" s="14" t="str">
        <x:v>No established apparent-disability match</x:v>
      </x:c>
      <x:c r="BG858" s="14"/>
      <x:c r="BH858" s="14" t="str">
        <x:v>No</x:v>
      </x:c>
      <x:c r="BI858" s="14"/>
      <x:c r="BJ858" s="14"/>
      <x:c r="BK858" s="14"/>
      <x:c r="BL858" s="14" t="str">
        <x:v>Unmatched</x:v>
      </x:c>
      <x:c r="BM858" s="14" t="str">
        <x:v>Final supplied register</x:v>
      </x:c>
      <x:c r="BN858" s="14" t="str">
        <x:v>Absence from the register is not evidence that the performer is not disabled.</x:v>
      </x:c>
      <x:c r="BO858" s="14" t="n">
        <x:v>30</x:v>
      </x:c>
      <x:c r="BP858" s="14" t="str">
        <x:v>Maximum eligible IMDb cast-credit total (30), shared by 2 performer(s); not independently verified as a 2021-only episode total.</x:v>
      </x:c>
      <x:c r="BQ858" s="14" t="str">
        <x:v>Medium</x:v>
      </x:c>
      <x:c r="BR858" s="15" t="n">
        <x:v>1</x:v>
      </x:c>
      <x:c r="BS858" s="16" t="n">
        <x:v>0.03333333333333333</x:v>
      </x:c>
      <x:c r="BT858" s="14" t="str">
        <x:v>One episode</x:v>
      </x:c>
      <x:c r="BU858" s="14" t="str">
        <x:v>Medium</x:v>
      </x:c>
      <x:c r="BV858" s="14" t="str">
        <x:v>Derived from supplied IMDb episode count and the documented production-total proxy.</x:v>
      </x:c>
      <x:c r="BW858" s="14" t="str">
        <x:v>Unable to determine</x:v>
      </x:c>
      <x:c r="BX858" s="14" t="str">
        <x:v>Supplied cast data establishes the credit and episode presence but does not establish narrative prominence.</x:v>
      </x:c>
      <x:c r="BY858" s="14" t="str">
        <x:v>Supplied IMDb cast-list workbook</x:v>
      </x:c>
      <x:c r="BZ8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8" s="14" t="str">
        <x:v>Not classified</x:v>
      </x:c>
      <x:c r="CB858" s="14" t="str">
        <x:v>Unable to determine</x:v>
      </x:c>
      <x:c r="CC858" s="14" t="str">
        <x:v>Unique</x:v>
      </x:c>
      <x:c r="CD858" s="14" t="str">
        <x:v>None identified</x:v>
      </x:c>
    </x:row>
    <x:row r="859">
      <x:c r="A859" s="14" t="str">
        <x:v>tt11981644|nm6587889|stacia janson</x:v>
      </x:c>
      <x:c r="B859" s="14" t="str">
        <x:v>02</x:v>
      </x:c>
      <x:c r="C859" s="14" t="str">
        <x:v>2021_IMDb_Cast_Lists_Batch_02(1).xlsx</x:v>
      </x:c>
      <x:c r="D859" s="14" t="str">
        <x:v>Professor T</x:v>
      </x:c>
      <x:c r="E859" s="14" t="n">
        <x:v>215</x:v>
      </x:c>
      <x:c r="F859" s="14" t="str">
        <x:v>Professor T</x:v>
      </x:c>
      <x:c r="G859" s="14" t="str">
        <x:v>tt11981644</x:v>
      </x:c>
      <x:c r="H859" s="14" t="n">
        <x:v>2021</x:v>
      </x:c>
      <x:c r="I859" s="14" t="n">
        <x:v>2023</x:v>
      </x:c>
      <x:c r="J859" s="14" t="str">
        <x:v>Future Carry-Forward Cohort</x:v>
      </x:c>
      <x:c r="K859" s="14" t="n">
        <x:v>2021</x:v>
      </x:c>
      <x:c r="L859" s="14" t="str">
        <x:v>Available from 2021 analysis</x:v>
      </x:c>
      <x:c r="M859" s="15" t="n">
        <x:v>208</x:v>
      </x:c>
      <x:c r="N859" s="14" t="str">
        <x:v>Nicolle Smartt</x:v>
      </x:c>
      <x:c r="O859" s="14" t="str">
        <x:v>nm6587889</x:v>
      </x:c>
      <x:c r="P859" s="14" t="str">
        <x:v>Stacia Janson</x:v>
      </x:c>
      <x:c r="Q859" s="15" t="n">
        <x:v>1</x:v>
      </x:c>
      <x:c r="R859" s="14" t="str">
        <x:v>2024</x:v>
      </x:c>
      <x:c r="S859" s="14" t="n">
        <x:v>2024</x:v>
      </x:c>
      <x:c r="T859" s="14" t="n">
        <x:v>2024</x:v>
      </x:c>
      <x:c r="U859" s="14" t="str">
        <x:v>Post-2021 casting excluded</x:v>
      </x:c>
      <x:c r="V859" s="14" t="str">
        <x:v>Earliest supplied year is 2024, later than the 2021 study year.</x:v>
      </x:c>
      <x:c r="W859" s="14"/>
      <x:c r="X859" s="14" t="str">
        <x:v>Carried forward to 2024</x:v>
      </x:c>
      <x:c r="Y859" s="14"/>
      <x:c r="Z859" s="14" t="str">
        <x:v>Professor T.docx</x:v>
      </x:c>
      <x:c r="AA8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9" s="14" t="str">
        <x:v>No established-register match</x:v>
      </x:c>
      <x:c r="AC859" s="14"/>
      <x:c r="AD859" s="14"/>
      <x:c r="AE859" s="14"/>
      <x:c r="AF859" s="14"/>
      <x:c r="AG859" s="14" t="str">
        <x:v>No qualifying conclusion recorded. Absence from the register is not evidence that the performer is not disabled.</x:v>
      </x:c>
      <x:c r="AH859" s="14" t="str">
        <x:v>ITV / ITVX</x:v>
      </x:c>
      <x:c r="AI859" s="14" t="str">
        <x:v>UK original commission</x:v>
      </x:c>
      <x:c r="AJ859" s="14" t="str">
        <x:v>Exact normalised title</x:v>
      </x:c>
      <x:c r="AK859" s="14" t="str">
        <x:v>Medium</x:v>
      </x:c>
      <x:c r="AL859" s="14" t="str">
        <x:v>Verified for commissioner/platform scope; uk original commission.</x:v>
      </x:c>
      <x:c r="AM859" s="17" t="e">
        <x:f>HYPERLINK("https://en.wikipedia.org/wiki/Professor_T.","Open source")</x:f>
        <x:v>HYPERLINK is not implemented. linkLocation=https://en.wikipedia.org/wiki/Professor_T., friendlyName=Open source</x:v>
      </x:c>
      <x:c r="AN859" s="14" t="str">
        <x:v>No qualifying BBC relationship</x:v>
      </x:c>
      <x:c r="AO859" s="14" t="str">
        <x:v>No</x:v>
      </x:c>
      <x:c r="AP859" s="14" t="str">
        <x:v>Out of scope</x:v>
      </x:c>
      <x:c r="AQ859" s="14" t="str">
        <x:v>No</x:v>
      </x:c>
      <x:c r="AR859" s="14" t="str">
        <x:v>Resolved from master register</x:v>
      </x:c>
      <x:c r="AS859" s="14" t="str">
        <x:v>No established-register match</x:v>
      </x:c>
      <x:c r="AT859" s="14"/>
      <x:c r="AU859" s="14"/>
      <x:c r="AV859" s="14" t="str">
        <x:v>No established apparent-disability match</x:v>
      </x:c>
      <x:c r="AW859" s="14"/>
      <x:c r="AX859" s="14" t="str">
        <x:v>No</x:v>
      </x:c>
      <x:c r="AY859" s="14" t="str">
        <x:v>Unmatched</x:v>
      </x:c>
      <x:c r="AZ859" s="14" t="str">
        <x:v>Final supplied register</x:v>
      </x:c>
      <x:c r="BA859" s="14" t="str">
        <x:v>Absence from the register is not evidence that the performer is not disabled.</x:v>
      </x:c>
      <x:c r="BB859" s="14" t="str">
        <x:v>No established-register match</x:v>
      </x:c>
      <x:c r="BC859" s="14"/>
      <x:c r="BD859" s="14"/>
      <x:c r="BE859" s="14"/>
      <x:c r="BF859" s="14" t="str">
        <x:v>No established apparent-disability match</x:v>
      </x:c>
      <x:c r="BG859" s="14"/>
      <x:c r="BH859" s="14" t="str">
        <x:v>No</x:v>
      </x:c>
      <x:c r="BI859" s="14"/>
      <x:c r="BJ859" s="14"/>
      <x:c r="BK859" s="14"/>
      <x:c r="BL859" s="14" t="str">
        <x:v>Unmatched</x:v>
      </x:c>
      <x:c r="BM859" s="14" t="str">
        <x:v>Final supplied register</x:v>
      </x:c>
      <x:c r="BN859" s="14" t="str">
        <x:v>Absence from the register is not evidence that the performer is not disabled.</x:v>
      </x:c>
      <x:c r="BO859" s="14" t="n">
        <x:v>30</x:v>
      </x:c>
      <x:c r="BP859" s="14" t="str">
        <x:v>Maximum eligible IMDb cast-credit total (30), shared by 2 performer(s); not independently verified as a 2021-only episode total.</x:v>
      </x:c>
      <x:c r="BQ859" s="14" t="str">
        <x:v>Medium</x:v>
      </x:c>
      <x:c r="BR859" s="15" t="n">
        <x:v>1</x:v>
      </x:c>
      <x:c r="BS859" s="16" t="n">
        <x:v>0.03333333333333333</x:v>
      </x:c>
      <x:c r="BT859" s="14" t="str">
        <x:v>One episode</x:v>
      </x:c>
      <x:c r="BU859" s="14" t="str">
        <x:v>Medium</x:v>
      </x:c>
      <x:c r="BV859" s="14" t="str">
        <x:v>Derived from supplied IMDb episode count and the documented production-total proxy.</x:v>
      </x:c>
      <x:c r="BW859" s="14" t="str">
        <x:v>Unable to determine</x:v>
      </x:c>
      <x:c r="BX859" s="14" t="str">
        <x:v>Supplied cast data establishes the credit and episode presence but does not establish narrative prominence.</x:v>
      </x:c>
      <x:c r="BY859" s="14" t="str">
        <x:v>Supplied IMDb cast-list workbook</x:v>
      </x:c>
      <x:c r="BZ8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9" s="14" t="str">
        <x:v>Not classified</x:v>
      </x:c>
      <x:c r="CB859" s="14" t="str">
        <x:v>Unable to determine</x:v>
      </x:c>
      <x:c r="CC859" s="14" t="str">
        <x:v>Unique</x:v>
      </x:c>
      <x:c r="CD859" s="14" t="str">
        <x:v>None identified</x:v>
      </x:c>
    </x:row>
    <x:row r="860">
      <x:c r="A860" s="14" t="str">
        <x:v>tt11981644|nm2973623|joseph bernard</x:v>
      </x:c>
      <x:c r="B860" s="14" t="str">
        <x:v>02</x:v>
      </x:c>
      <x:c r="C860" s="14" t="str">
        <x:v>2021_IMDb_Cast_Lists_Batch_02(1).xlsx</x:v>
      </x:c>
      <x:c r="D860" s="14" t="str">
        <x:v>Professor T</x:v>
      </x:c>
      <x:c r="E860" s="14" t="n">
        <x:v>224</x:v>
      </x:c>
      <x:c r="F860" s="14" t="str">
        <x:v>Professor T</x:v>
      </x:c>
      <x:c r="G860" s="14" t="str">
        <x:v>tt11981644</x:v>
      </x:c>
      <x:c r="H860" s="14" t="n">
        <x:v>2021</x:v>
      </x:c>
      <x:c r="I860" s="14" t="n">
        <x:v>2023</x:v>
      </x:c>
      <x:c r="J860" s="14" t="str">
        <x:v>Future Carry-Forward Cohort</x:v>
      </x:c>
      <x:c r="K860" s="14" t="n">
        <x:v>2021</x:v>
      </x:c>
      <x:c r="L860" s="14" t="str">
        <x:v>Available from 2021 analysis</x:v>
      </x:c>
      <x:c r="M860" s="15" t="n">
        <x:v>217</x:v>
      </x:c>
      <x:c r="N860" s="14" t="str">
        <x:v>Kyle Pryor</x:v>
      </x:c>
      <x:c r="O860" s="14" t="str">
        <x:v>nm2973623</x:v>
      </x:c>
      <x:c r="P860" s="14" t="str">
        <x:v>Joseph Bernard</x:v>
      </x:c>
      <x:c r="Q860" s="15" t="n">
        <x:v>1</x:v>
      </x:c>
      <x:c r="R860" s="14" t="str">
        <x:v>2024</x:v>
      </x:c>
      <x:c r="S860" s="14" t="n">
        <x:v>2024</x:v>
      </x:c>
      <x:c r="T860" s="14" t="n">
        <x:v>2024</x:v>
      </x:c>
      <x:c r="U860" s="14" t="str">
        <x:v>Post-2021 casting excluded</x:v>
      </x:c>
      <x:c r="V860" s="14" t="str">
        <x:v>Earliest supplied year is 2024, later than the 2021 study year.</x:v>
      </x:c>
      <x:c r="W860" s="14"/>
      <x:c r="X860" s="14" t="str">
        <x:v>Carried forward to 2024</x:v>
      </x:c>
      <x:c r="Y860" s="14"/>
      <x:c r="Z860" s="14" t="str">
        <x:v>Professor T.docx</x:v>
      </x:c>
      <x:c r="AA8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0" s="14" t="str">
        <x:v>No established-register match</x:v>
      </x:c>
      <x:c r="AC860" s="14"/>
      <x:c r="AD860" s="14"/>
      <x:c r="AE860" s="14"/>
      <x:c r="AF860" s="14"/>
      <x:c r="AG860" s="14" t="str">
        <x:v>No qualifying conclusion recorded. Absence from the register is not evidence that the performer is not disabled.</x:v>
      </x:c>
      <x:c r="AH860" s="14" t="str">
        <x:v>ITV / ITVX</x:v>
      </x:c>
      <x:c r="AI860" s="14" t="str">
        <x:v>UK original commission</x:v>
      </x:c>
      <x:c r="AJ860" s="14" t="str">
        <x:v>Exact normalised title</x:v>
      </x:c>
      <x:c r="AK860" s="14" t="str">
        <x:v>Medium</x:v>
      </x:c>
      <x:c r="AL860" s="14" t="str">
        <x:v>Verified for commissioner/platform scope; uk original commission.</x:v>
      </x:c>
      <x:c r="AM860" s="17" t="e">
        <x:f>HYPERLINK("https://en.wikipedia.org/wiki/Professor_T.","Open source")</x:f>
        <x:v>HYPERLINK is not implemented. linkLocation=https://en.wikipedia.org/wiki/Professor_T., friendlyName=Open source</x:v>
      </x:c>
      <x:c r="AN860" s="14" t="str">
        <x:v>No qualifying BBC relationship</x:v>
      </x:c>
      <x:c r="AO860" s="14" t="str">
        <x:v>No</x:v>
      </x:c>
      <x:c r="AP860" s="14" t="str">
        <x:v>Out of scope</x:v>
      </x:c>
      <x:c r="AQ860" s="14" t="str">
        <x:v>No</x:v>
      </x:c>
      <x:c r="AR860" s="14" t="str">
        <x:v>Resolved from master register</x:v>
      </x:c>
      <x:c r="AS860" s="14" t="str">
        <x:v>No established-register match</x:v>
      </x:c>
      <x:c r="AT860" s="14"/>
      <x:c r="AU860" s="14"/>
      <x:c r="AV860" s="14" t="str">
        <x:v>No established apparent-disability match</x:v>
      </x:c>
      <x:c r="AW860" s="14"/>
      <x:c r="AX860" s="14" t="str">
        <x:v>No</x:v>
      </x:c>
      <x:c r="AY860" s="14" t="str">
        <x:v>Unmatched</x:v>
      </x:c>
      <x:c r="AZ860" s="14" t="str">
        <x:v>Final supplied register</x:v>
      </x:c>
      <x:c r="BA860" s="14" t="str">
        <x:v>Absence from the register is not evidence that the performer is not disabled.</x:v>
      </x:c>
      <x:c r="BB860" s="14" t="str">
        <x:v>No established-register match</x:v>
      </x:c>
      <x:c r="BC860" s="14"/>
      <x:c r="BD860" s="14"/>
      <x:c r="BE860" s="14"/>
      <x:c r="BF860" s="14" t="str">
        <x:v>No established apparent-disability match</x:v>
      </x:c>
      <x:c r="BG860" s="14"/>
      <x:c r="BH860" s="14" t="str">
        <x:v>No</x:v>
      </x:c>
      <x:c r="BI860" s="14"/>
      <x:c r="BJ860" s="14"/>
      <x:c r="BK860" s="14"/>
      <x:c r="BL860" s="14" t="str">
        <x:v>Unmatched</x:v>
      </x:c>
      <x:c r="BM860" s="14" t="str">
        <x:v>Final supplied register</x:v>
      </x:c>
      <x:c r="BN860" s="14" t="str">
        <x:v>Absence from the register is not evidence that the performer is not disabled.</x:v>
      </x:c>
      <x:c r="BO860" s="14" t="n">
        <x:v>30</x:v>
      </x:c>
      <x:c r="BP860" s="14" t="str">
        <x:v>Maximum eligible IMDb cast-credit total (30), shared by 2 performer(s); not independently verified as a 2021-only episode total.</x:v>
      </x:c>
      <x:c r="BQ860" s="14" t="str">
        <x:v>Medium</x:v>
      </x:c>
      <x:c r="BR860" s="15" t="n">
        <x:v>1</x:v>
      </x:c>
      <x:c r="BS860" s="16" t="n">
        <x:v>0.03333333333333333</x:v>
      </x:c>
      <x:c r="BT860" s="14" t="str">
        <x:v>One episode</x:v>
      </x:c>
      <x:c r="BU860" s="14" t="str">
        <x:v>Medium</x:v>
      </x:c>
      <x:c r="BV860" s="14" t="str">
        <x:v>Derived from supplied IMDb episode count and the documented production-total proxy.</x:v>
      </x:c>
      <x:c r="BW860" s="14" t="str">
        <x:v>Unable to determine</x:v>
      </x:c>
      <x:c r="BX860" s="14" t="str">
        <x:v>Supplied cast data establishes the credit and episode presence but does not establish narrative prominence.</x:v>
      </x:c>
      <x:c r="BY860" s="14" t="str">
        <x:v>Supplied IMDb cast-list workbook</x:v>
      </x:c>
      <x:c r="BZ8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0" s="14" t="str">
        <x:v>Not classified</x:v>
      </x:c>
      <x:c r="CB860" s="14" t="str">
        <x:v>Unable to determine</x:v>
      </x:c>
      <x:c r="CC860" s="14" t="str">
        <x:v>Unique</x:v>
      </x:c>
      <x:c r="CD860" s="14" t="str">
        <x:v>None identified</x:v>
      </x:c>
    </x:row>
    <x:row r="861">
      <x:c r="A861" s="14" t="str">
        <x:v>tt11981644|nm1814341|malcolm ridgeway</x:v>
      </x:c>
      <x:c r="B861" s="14" t="str">
        <x:v>02</x:v>
      </x:c>
      <x:c r="C861" s="14" t="str">
        <x:v>2021_IMDb_Cast_Lists_Batch_02(1).xlsx</x:v>
      </x:c>
      <x:c r="D861" s="14" t="str">
        <x:v>Professor T</x:v>
      </x:c>
      <x:c r="E861" s="14" t="n">
        <x:v>225</x:v>
      </x:c>
      <x:c r="F861" s="14" t="str">
        <x:v>Professor T</x:v>
      </x:c>
      <x:c r="G861" s="14" t="str">
        <x:v>tt11981644</x:v>
      </x:c>
      <x:c r="H861" s="14" t="n">
        <x:v>2021</x:v>
      </x:c>
      <x:c r="I861" s="14" t="n">
        <x:v>2023</x:v>
      </x:c>
      <x:c r="J861" s="14" t="str">
        <x:v>Future Carry-Forward Cohort</x:v>
      </x:c>
      <x:c r="K861" s="14" t="n">
        <x:v>2021</x:v>
      </x:c>
      <x:c r="L861" s="14" t="str">
        <x:v>Available from 2021 analysis</x:v>
      </x:c>
      <x:c r="M861" s="15" t="n">
        <x:v>218</x:v>
      </x:c>
      <x:c r="N861" s="14" t="str">
        <x:v>Tom Stuart</x:v>
      </x:c>
      <x:c r="O861" s="14" t="str">
        <x:v>nm1814341</x:v>
      </x:c>
      <x:c r="P861" s="14" t="str">
        <x:v>Malcolm Ridgeway</x:v>
      </x:c>
      <x:c r="Q861" s="15" t="n">
        <x:v>1</x:v>
      </x:c>
      <x:c r="R861" s="14" t="str">
        <x:v>2024</x:v>
      </x:c>
      <x:c r="S861" s="14" t="n">
        <x:v>2024</x:v>
      </x:c>
      <x:c r="T861" s="14" t="n">
        <x:v>2024</x:v>
      </x:c>
      <x:c r="U861" s="14" t="str">
        <x:v>Post-2021 casting excluded</x:v>
      </x:c>
      <x:c r="V861" s="14" t="str">
        <x:v>Earliest supplied year is 2024, later than the 2021 study year.</x:v>
      </x:c>
      <x:c r="W861" s="14"/>
      <x:c r="X861" s="14" t="str">
        <x:v>Carried forward to 2024</x:v>
      </x:c>
      <x:c r="Y861" s="14"/>
      <x:c r="Z861" s="14" t="str">
        <x:v>Professor T.docx</x:v>
      </x:c>
      <x:c r="AA8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1" s="14" t="str">
        <x:v>No established-register match</x:v>
      </x:c>
      <x:c r="AC861" s="14"/>
      <x:c r="AD861" s="14"/>
      <x:c r="AE861" s="14"/>
      <x:c r="AF861" s="14"/>
      <x:c r="AG861" s="14" t="str">
        <x:v>No qualifying conclusion recorded. Absence from the register is not evidence that the performer is not disabled.</x:v>
      </x:c>
      <x:c r="AH861" s="14" t="str">
        <x:v>ITV / ITVX</x:v>
      </x:c>
      <x:c r="AI861" s="14" t="str">
        <x:v>UK original commission</x:v>
      </x:c>
      <x:c r="AJ861" s="14" t="str">
        <x:v>Exact normalised title</x:v>
      </x:c>
      <x:c r="AK861" s="14" t="str">
        <x:v>Medium</x:v>
      </x:c>
      <x:c r="AL861" s="14" t="str">
        <x:v>Verified for commissioner/platform scope; uk original commission.</x:v>
      </x:c>
      <x:c r="AM861" s="17" t="e">
        <x:f>HYPERLINK("https://en.wikipedia.org/wiki/Professor_T.","Open source")</x:f>
        <x:v>HYPERLINK is not implemented. linkLocation=https://en.wikipedia.org/wiki/Professor_T., friendlyName=Open source</x:v>
      </x:c>
      <x:c r="AN861" s="14" t="str">
        <x:v>No qualifying BBC relationship</x:v>
      </x:c>
      <x:c r="AO861" s="14" t="str">
        <x:v>No</x:v>
      </x:c>
      <x:c r="AP861" s="14" t="str">
        <x:v>Out of scope</x:v>
      </x:c>
      <x:c r="AQ861" s="14" t="str">
        <x:v>No</x:v>
      </x:c>
      <x:c r="AR861" s="14" t="str">
        <x:v>Resolved from master register</x:v>
      </x:c>
      <x:c r="AS861" s="14" t="str">
        <x:v>No established-register match</x:v>
      </x:c>
      <x:c r="AT861" s="14"/>
      <x:c r="AU861" s="14"/>
      <x:c r="AV861" s="14" t="str">
        <x:v>No established apparent-disability match</x:v>
      </x:c>
      <x:c r="AW861" s="14"/>
      <x:c r="AX861" s="14" t="str">
        <x:v>No</x:v>
      </x:c>
      <x:c r="AY861" s="14" t="str">
        <x:v>Unmatched</x:v>
      </x:c>
      <x:c r="AZ861" s="14" t="str">
        <x:v>Final supplied register</x:v>
      </x:c>
      <x:c r="BA861" s="14" t="str">
        <x:v>Absence from the register is not evidence that the performer is not disabled.</x:v>
      </x:c>
      <x:c r="BB861" s="14" t="str">
        <x:v>No established-register match</x:v>
      </x:c>
      <x:c r="BC861" s="14"/>
      <x:c r="BD861" s="14"/>
      <x:c r="BE861" s="14"/>
      <x:c r="BF861" s="14" t="str">
        <x:v>No established apparent-disability match</x:v>
      </x:c>
      <x:c r="BG861" s="14"/>
      <x:c r="BH861" s="14" t="str">
        <x:v>No</x:v>
      </x:c>
      <x:c r="BI861" s="14"/>
      <x:c r="BJ861" s="14"/>
      <x:c r="BK861" s="14"/>
      <x:c r="BL861" s="14" t="str">
        <x:v>Unmatched</x:v>
      </x:c>
      <x:c r="BM861" s="14" t="str">
        <x:v>Final supplied register</x:v>
      </x:c>
      <x:c r="BN861" s="14" t="str">
        <x:v>Absence from the register is not evidence that the performer is not disabled.</x:v>
      </x:c>
      <x:c r="BO861" s="14" t="n">
        <x:v>30</x:v>
      </x:c>
      <x:c r="BP861" s="14" t="str">
        <x:v>Maximum eligible IMDb cast-credit total (30), shared by 2 performer(s); not independently verified as a 2021-only episode total.</x:v>
      </x:c>
      <x:c r="BQ861" s="14" t="str">
        <x:v>Medium</x:v>
      </x:c>
      <x:c r="BR861" s="15" t="n">
        <x:v>1</x:v>
      </x:c>
      <x:c r="BS861" s="16" t="n">
        <x:v>0.03333333333333333</x:v>
      </x:c>
      <x:c r="BT861" s="14" t="str">
        <x:v>One episode</x:v>
      </x:c>
      <x:c r="BU861" s="14" t="str">
        <x:v>Medium</x:v>
      </x:c>
      <x:c r="BV861" s="14" t="str">
        <x:v>Derived from supplied IMDb episode count and the documented production-total proxy.</x:v>
      </x:c>
      <x:c r="BW861" s="14" t="str">
        <x:v>Unable to determine</x:v>
      </x:c>
      <x:c r="BX861" s="14" t="str">
        <x:v>Supplied cast data establishes the credit and episode presence but does not establish narrative prominence.</x:v>
      </x:c>
      <x:c r="BY861" s="14" t="str">
        <x:v>Supplied IMDb cast-list workbook</x:v>
      </x:c>
      <x:c r="BZ8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1" s="14" t="str">
        <x:v>Not classified</x:v>
      </x:c>
      <x:c r="CB861" s="14" t="str">
        <x:v>Unable to determine</x:v>
      </x:c>
      <x:c r="CC861" s="14" t="str">
        <x:v>Unique</x:v>
      </x:c>
      <x:c r="CD861" s="14" t="str">
        <x:v>None identified</x:v>
      </x:c>
    </x:row>
    <x:row r="862">
      <x:c r="A862" s="14" t="str">
        <x:v>tt11981644|nm0736209|hotel manager</x:v>
      </x:c>
      <x:c r="B862" s="14" t="str">
        <x:v>02</x:v>
      </x:c>
      <x:c r="C862" s="14" t="str">
        <x:v>2021_IMDb_Cast_Lists_Batch_02(1).xlsx</x:v>
      </x:c>
      <x:c r="D862" s="14" t="str">
        <x:v>Professor T</x:v>
      </x:c>
      <x:c r="E862" s="14" t="n">
        <x:v>226</x:v>
      </x:c>
      <x:c r="F862" s="14" t="str">
        <x:v>Professor T</x:v>
      </x:c>
      <x:c r="G862" s="14" t="str">
        <x:v>tt11981644</x:v>
      </x:c>
      <x:c r="H862" s="14" t="n">
        <x:v>2021</x:v>
      </x:c>
      <x:c r="I862" s="14" t="n">
        <x:v>2023</x:v>
      </x:c>
      <x:c r="J862" s="14" t="str">
        <x:v>Future Carry-Forward Cohort</x:v>
      </x:c>
      <x:c r="K862" s="14" t="n">
        <x:v>2021</x:v>
      </x:c>
      <x:c r="L862" s="14" t="str">
        <x:v>Available from 2021 analysis</x:v>
      </x:c>
      <x:c r="M862" s="15" t="n">
        <x:v>219</x:v>
      </x:c>
      <x:c r="N862" s="14" t="str">
        <x:v>Christian Roe</x:v>
      </x:c>
      <x:c r="O862" s="14" t="str">
        <x:v>nm0736209</x:v>
      </x:c>
      <x:c r="P862" s="14" t="str">
        <x:v>Hotel Manager</x:v>
      </x:c>
      <x:c r="Q862" s="15" t="n">
        <x:v>1</x:v>
      </x:c>
      <x:c r="R862" s="14" t="str">
        <x:v>2024</x:v>
      </x:c>
      <x:c r="S862" s="14" t="n">
        <x:v>2024</x:v>
      </x:c>
      <x:c r="T862" s="14" t="n">
        <x:v>2024</x:v>
      </x:c>
      <x:c r="U862" s="14" t="str">
        <x:v>Post-2021 casting excluded</x:v>
      </x:c>
      <x:c r="V862" s="14" t="str">
        <x:v>Earliest supplied year is 2024, later than the 2021 study year.</x:v>
      </x:c>
      <x:c r="W862" s="14"/>
      <x:c r="X862" s="14" t="str">
        <x:v>Carried forward to 2024</x:v>
      </x:c>
      <x:c r="Y862" s="14"/>
      <x:c r="Z862" s="14" t="str">
        <x:v>Professor T.docx</x:v>
      </x:c>
      <x:c r="AA8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2" s="14" t="str">
        <x:v>No established-register match</x:v>
      </x:c>
      <x:c r="AC862" s="14"/>
      <x:c r="AD862" s="14"/>
      <x:c r="AE862" s="14"/>
      <x:c r="AF862" s="14"/>
      <x:c r="AG862" s="14" t="str">
        <x:v>No qualifying conclusion recorded. Absence from the register is not evidence that the performer is not disabled.</x:v>
      </x:c>
      <x:c r="AH862" s="14" t="str">
        <x:v>ITV / ITVX</x:v>
      </x:c>
      <x:c r="AI862" s="14" t="str">
        <x:v>UK original commission</x:v>
      </x:c>
      <x:c r="AJ862" s="14" t="str">
        <x:v>Exact normalised title</x:v>
      </x:c>
      <x:c r="AK862" s="14" t="str">
        <x:v>Medium</x:v>
      </x:c>
      <x:c r="AL862" s="14" t="str">
        <x:v>Verified for commissioner/platform scope; uk original commission.</x:v>
      </x:c>
      <x:c r="AM862" s="17" t="e">
        <x:f>HYPERLINK("https://en.wikipedia.org/wiki/Professor_T.","Open source")</x:f>
        <x:v>HYPERLINK is not implemented. linkLocation=https://en.wikipedia.org/wiki/Professor_T., friendlyName=Open source</x:v>
      </x:c>
      <x:c r="AN862" s="14" t="str">
        <x:v>No qualifying BBC relationship</x:v>
      </x:c>
      <x:c r="AO862" s="14" t="str">
        <x:v>No</x:v>
      </x:c>
      <x:c r="AP862" s="14" t="str">
        <x:v>Out of scope</x:v>
      </x:c>
      <x:c r="AQ862" s="14" t="str">
        <x:v>No</x:v>
      </x:c>
      <x:c r="AR862" s="14" t="str">
        <x:v>Resolved from master register</x:v>
      </x:c>
      <x:c r="AS862" s="14" t="str">
        <x:v>No established-register match</x:v>
      </x:c>
      <x:c r="AT862" s="14"/>
      <x:c r="AU862" s="14"/>
      <x:c r="AV862" s="14" t="str">
        <x:v>No established apparent-disability match</x:v>
      </x:c>
      <x:c r="AW862" s="14"/>
      <x:c r="AX862" s="14" t="str">
        <x:v>No</x:v>
      </x:c>
      <x:c r="AY862" s="14" t="str">
        <x:v>Unmatched</x:v>
      </x:c>
      <x:c r="AZ862" s="14" t="str">
        <x:v>Final supplied register</x:v>
      </x:c>
      <x:c r="BA862" s="14" t="str">
        <x:v>Absence from the register is not evidence that the performer is not disabled.</x:v>
      </x:c>
      <x:c r="BB862" s="14" t="str">
        <x:v>No established-register match</x:v>
      </x:c>
      <x:c r="BC862" s="14"/>
      <x:c r="BD862" s="14"/>
      <x:c r="BE862" s="14"/>
      <x:c r="BF862" s="14" t="str">
        <x:v>No established apparent-disability match</x:v>
      </x:c>
      <x:c r="BG862" s="14"/>
      <x:c r="BH862" s="14" t="str">
        <x:v>No</x:v>
      </x:c>
      <x:c r="BI862" s="14"/>
      <x:c r="BJ862" s="14"/>
      <x:c r="BK862" s="14"/>
      <x:c r="BL862" s="14" t="str">
        <x:v>Unmatched</x:v>
      </x:c>
      <x:c r="BM862" s="14" t="str">
        <x:v>Final supplied register</x:v>
      </x:c>
      <x:c r="BN862" s="14" t="str">
        <x:v>Absence from the register is not evidence that the performer is not disabled.</x:v>
      </x:c>
      <x:c r="BO862" s="14" t="n">
        <x:v>30</x:v>
      </x:c>
      <x:c r="BP862" s="14" t="str">
        <x:v>Maximum eligible IMDb cast-credit total (30), shared by 2 performer(s); not independently verified as a 2021-only episode total.</x:v>
      </x:c>
      <x:c r="BQ862" s="14" t="str">
        <x:v>Medium</x:v>
      </x:c>
      <x:c r="BR862" s="15" t="n">
        <x:v>1</x:v>
      </x:c>
      <x:c r="BS862" s="16" t="n">
        <x:v>0.03333333333333333</x:v>
      </x:c>
      <x:c r="BT862" s="14" t="str">
        <x:v>One episode</x:v>
      </x:c>
      <x:c r="BU862" s="14" t="str">
        <x:v>Medium</x:v>
      </x:c>
      <x:c r="BV862" s="14" t="str">
        <x:v>Derived from supplied IMDb episode count and the documented production-total proxy.</x:v>
      </x:c>
      <x:c r="BW862" s="14" t="str">
        <x:v>Unable to determine</x:v>
      </x:c>
      <x:c r="BX862" s="14" t="str">
        <x:v>Supplied cast data establishes the credit and episode presence but does not establish narrative prominence.</x:v>
      </x:c>
      <x:c r="BY862" s="14" t="str">
        <x:v>Supplied IMDb cast-list workbook</x:v>
      </x:c>
      <x:c r="BZ8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2" s="14" t="str">
        <x:v>Not classified</x:v>
      </x:c>
      <x:c r="CB862" s="14" t="str">
        <x:v>Unable to determine</x:v>
      </x:c>
      <x:c r="CC862" s="14" t="str">
        <x:v>Unique</x:v>
      </x:c>
      <x:c r="CD862" s="14" t="str">
        <x:v>None identified</x:v>
      </x:c>
    </x:row>
    <x:row r="863">
      <x:c r="A863" s="14" t="str">
        <x:v>tt11981644|nm6297345|lab assistant</x:v>
      </x:c>
      <x:c r="B863" s="14" t="str">
        <x:v>02</x:v>
      </x:c>
      <x:c r="C863" s="14" t="str">
        <x:v>2021_IMDb_Cast_Lists_Batch_02(1).xlsx</x:v>
      </x:c>
      <x:c r="D863" s="14" t="str">
        <x:v>Professor T</x:v>
      </x:c>
      <x:c r="E863" s="14" t="n">
        <x:v>227</x:v>
      </x:c>
      <x:c r="F863" s="14" t="str">
        <x:v>Professor T</x:v>
      </x:c>
      <x:c r="G863" s="14" t="str">
        <x:v>tt11981644</x:v>
      </x:c>
      <x:c r="H863" s="14" t="n">
        <x:v>2021</x:v>
      </x:c>
      <x:c r="I863" s="14" t="n">
        <x:v>2023</x:v>
      </x:c>
      <x:c r="J863" s="14" t="str">
        <x:v>Future Carry-Forward Cohort</x:v>
      </x:c>
      <x:c r="K863" s="14" t="n">
        <x:v>2021</x:v>
      </x:c>
      <x:c r="L863" s="14" t="str">
        <x:v>Available from 2021 analysis</x:v>
      </x:c>
      <x:c r="M863" s="15" t="n">
        <x:v>220</x:v>
      </x:c>
      <x:c r="N863" s="14" t="str">
        <x:v>Sara Escriva</x:v>
      </x:c>
      <x:c r="O863" s="14" t="str">
        <x:v>nm6297345</x:v>
      </x:c>
      <x:c r="P863" s="14" t="str">
        <x:v>Lab Assistant</x:v>
      </x:c>
      <x:c r="Q863" s="15" t="n">
        <x:v>1</x:v>
      </x:c>
      <x:c r="R863" s="14" t="str">
        <x:v>2024</x:v>
      </x:c>
      <x:c r="S863" s="14" t="n">
        <x:v>2024</x:v>
      </x:c>
      <x:c r="T863" s="14" t="n">
        <x:v>2024</x:v>
      </x:c>
      <x:c r="U863" s="14" t="str">
        <x:v>Post-2021 casting excluded</x:v>
      </x:c>
      <x:c r="V863" s="14" t="str">
        <x:v>Earliest supplied year is 2024, later than the 2021 study year.</x:v>
      </x:c>
      <x:c r="W863" s="14"/>
      <x:c r="X863" s="14" t="str">
        <x:v>Carried forward to 2024</x:v>
      </x:c>
      <x:c r="Y863" s="14"/>
      <x:c r="Z863" s="14" t="str">
        <x:v>Professor T.docx</x:v>
      </x:c>
      <x:c r="AA8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3" s="14" t="str">
        <x:v>No established-register match</x:v>
      </x:c>
      <x:c r="AC863" s="14"/>
      <x:c r="AD863" s="14"/>
      <x:c r="AE863" s="14"/>
      <x:c r="AF863" s="14"/>
      <x:c r="AG863" s="14" t="str">
        <x:v>No qualifying conclusion recorded. Absence from the register is not evidence that the performer is not disabled.</x:v>
      </x:c>
      <x:c r="AH863" s="14" t="str">
        <x:v>ITV / ITVX</x:v>
      </x:c>
      <x:c r="AI863" s="14" t="str">
        <x:v>UK original commission</x:v>
      </x:c>
      <x:c r="AJ863" s="14" t="str">
        <x:v>Exact normalised title</x:v>
      </x:c>
      <x:c r="AK863" s="14" t="str">
        <x:v>Medium</x:v>
      </x:c>
      <x:c r="AL863" s="14" t="str">
        <x:v>Verified for commissioner/platform scope; uk original commission.</x:v>
      </x:c>
      <x:c r="AM863" s="17" t="e">
        <x:f>HYPERLINK("https://en.wikipedia.org/wiki/Professor_T.","Open source")</x:f>
        <x:v>HYPERLINK is not implemented. linkLocation=https://en.wikipedia.org/wiki/Professor_T., friendlyName=Open source</x:v>
      </x:c>
      <x:c r="AN863" s="14" t="str">
        <x:v>No qualifying BBC relationship</x:v>
      </x:c>
      <x:c r="AO863" s="14" t="str">
        <x:v>No</x:v>
      </x:c>
      <x:c r="AP863" s="14" t="str">
        <x:v>Out of scope</x:v>
      </x:c>
      <x:c r="AQ863" s="14" t="str">
        <x:v>No</x:v>
      </x:c>
      <x:c r="AR863" s="14" t="str">
        <x:v>Resolved from master register</x:v>
      </x:c>
      <x:c r="AS863" s="14" t="str">
        <x:v>No established-register match</x:v>
      </x:c>
      <x:c r="AT863" s="14"/>
      <x:c r="AU863" s="14"/>
      <x:c r="AV863" s="14" t="str">
        <x:v>No established apparent-disability match</x:v>
      </x:c>
      <x:c r="AW863" s="14"/>
      <x:c r="AX863" s="14" t="str">
        <x:v>No</x:v>
      </x:c>
      <x:c r="AY863" s="14" t="str">
        <x:v>Unmatched</x:v>
      </x:c>
      <x:c r="AZ863" s="14" t="str">
        <x:v>Final supplied register</x:v>
      </x:c>
      <x:c r="BA863" s="14" t="str">
        <x:v>Absence from the register is not evidence that the performer is not disabled.</x:v>
      </x:c>
      <x:c r="BB863" s="14" t="str">
        <x:v>No established-register match</x:v>
      </x:c>
      <x:c r="BC863" s="14"/>
      <x:c r="BD863" s="14"/>
      <x:c r="BE863" s="14"/>
      <x:c r="BF863" s="14" t="str">
        <x:v>No established apparent-disability match</x:v>
      </x:c>
      <x:c r="BG863" s="14"/>
      <x:c r="BH863" s="14" t="str">
        <x:v>No</x:v>
      </x:c>
      <x:c r="BI863" s="14"/>
      <x:c r="BJ863" s="14"/>
      <x:c r="BK863" s="14"/>
      <x:c r="BL863" s="14" t="str">
        <x:v>Unmatched</x:v>
      </x:c>
      <x:c r="BM863" s="14" t="str">
        <x:v>Final supplied register</x:v>
      </x:c>
      <x:c r="BN863" s="14" t="str">
        <x:v>Absence from the register is not evidence that the performer is not disabled.</x:v>
      </x:c>
      <x:c r="BO863" s="14" t="n">
        <x:v>30</x:v>
      </x:c>
      <x:c r="BP863" s="14" t="str">
        <x:v>Maximum eligible IMDb cast-credit total (30), shared by 2 performer(s); not independently verified as a 2021-only episode total.</x:v>
      </x:c>
      <x:c r="BQ863" s="14" t="str">
        <x:v>Medium</x:v>
      </x:c>
      <x:c r="BR863" s="15" t="n">
        <x:v>1</x:v>
      </x:c>
      <x:c r="BS863" s="16" t="n">
        <x:v>0.03333333333333333</x:v>
      </x:c>
      <x:c r="BT863" s="14" t="str">
        <x:v>One episode</x:v>
      </x:c>
      <x:c r="BU863" s="14" t="str">
        <x:v>Medium</x:v>
      </x:c>
      <x:c r="BV863" s="14" t="str">
        <x:v>Derived from supplied IMDb episode count and the documented production-total proxy.</x:v>
      </x:c>
      <x:c r="BW863" s="14" t="str">
        <x:v>Unable to determine</x:v>
      </x:c>
      <x:c r="BX863" s="14" t="str">
        <x:v>Supplied cast data establishes the credit and episode presence but does not establish narrative prominence.</x:v>
      </x:c>
      <x:c r="BY863" s="14" t="str">
        <x:v>Supplied IMDb cast-list workbook</x:v>
      </x:c>
      <x:c r="BZ8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3" s="14" t="str">
        <x:v>Not classified</x:v>
      </x:c>
      <x:c r="CB863" s="14" t="str">
        <x:v>Unable to determine</x:v>
      </x:c>
      <x:c r="CC863" s="14" t="str">
        <x:v>Unique</x:v>
      </x:c>
      <x:c r="CD863" s="14" t="str">
        <x:v>None identified</x:v>
      </x:c>
    </x:row>
    <x:row r="864">
      <x:c r="A864" s="14" t="str">
        <x:v>tt11981644|nm4010567|marianne tierney</x:v>
      </x:c>
      <x:c r="B864" s="14" t="str">
        <x:v>02</x:v>
      </x:c>
      <x:c r="C864" s="14" t="str">
        <x:v>2021_IMDb_Cast_Lists_Batch_02(1).xlsx</x:v>
      </x:c>
      <x:c r="D864" s="14" t="str">
        <x:v>Professor T</x:v>
      </x:c>
      <x:c r="E864" s="14" t="n">
        <x:v>235</x:v>
      </x:c>
      <x:c r="F864" s="14" t="str">
        <x:v>Professor T</x:v>
      </x:c>
      <x:c r="G864" s="14" t="str">
        <x:v>tt11981644</x:v>
      </x:c>
      <x:c r="H864" s="14" t="n">
        <x:v>2021</x:v>
      </x:c>
      <x:c r="I864" s="14" t="n">
        <x:v>2023</x:v>
      </x:c>
      <x:c r="J864" s="14" t="str">
        <x:v>Future Carry-Forward Cohort</x:v>
      </x:c>
      <x:c r="K864" s="14" t="n">
        <x:v>2021</x:v>
      </x:c>
      <x:c r="L864" s="14" t="str">
        <x:v>Available from 2021 analysis</x:v>
      </x:c>
      <x:c r="M864" s="15" t="n">
        <x:v>228</x:v>
      </x:c>
      <x:c r="N864" s="14" t="str">
        <x:v>Anna Anning</x:v>
      </x:c>
      <x:c r="O864" s="14" t="str">
        <x:v>nm4010567</x:v>
      </x:c>
      <x:c r="P864" s="14" t="str">
        <x:v>Marianne Tierney</x:v>
      </x:c>
      <x:c r="Q864" s="15" t="n">
        <x:v>1</x:v>
      </x:c>
      <x:c r="R864" s="14" t="str">
        <x:v>2024</x:v>
      </x:c>
      <x:c r="S864" s="14" t="n">
        <x:v>2024</x:v>
      </x:c>
      <x:c r="T864" s="14" t="n">
        <x:v>2024</x:v>
      </x:c>
      <x:c r="U864" s="14" t="str">
        <x:v>Post-2021 casting excluded</x:v>
      </x:c>
      <x:c r="V864" s="14" t="str">
        <x:v>Earliest supplied year is 2024, later than the 2021 study year.</x:v>
      </x:c>
      <x:c r="W864" s="14"/>
      <x:c r="X864" s="14" t="str">
        <x:v>Carried forward to 2024</x:v>
      </x:c>
      <x:c r="Y864" s="14"/>
      <x:c r="Z864" s="14" t="str">
        <x:v>Professor T.docx</x:v>
      </x:c>
      <x:c r="AA8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4" s="14" t="str">
        <x:v>No established-register match</x:v>
      </x:c>
      <x:c r="AC864" s="14"/>
      <x:c r="AD864" s="14"/>
      <x:c r="AE864" s="14"/>
      <x:c r="AF864" s="14"/>
      <x:c r="AG864" s="14" t="str">
        <x:v>No qualifying conclusion recorded. Absence from the register is not evidence that the performer is not disabled.</x:v>
      </x:c>
      <x:c r="AH864" s="14" t="str">
        <x:v>ITV / ITVX</x:v>
      </x:c>
      <x:c r="AI864" s="14" t="str">
        <x:v>UK original commission</x:v>
      </x:c>
      <x:c r="AJ864" s="14" t="str">
        <x:v>Exact normalised title</x:v>
      </x:c>
      <x:c r="AK864" s="14" t="str">
        <x:v>Medium</x:v>
      </x:c>
      <x:c r="AL864" s="14" t="str">
        <x:v>Verified for commissioner/platform scope; uk original commission.</x:v>
      </x:c>
      <x:c r="AM864" s="17" t="e">
        <x:f>HYPERLINK("https://en.wikipedia.org/wiki/Professor_T.","Open source")</x:f>
        <x:v>HYPERLINK is not implemented. linkLocation=https://en.wikipedia.org/wiki/Professor_T., friendlyName=Open source</x:v>
      </x:c>
      <x:c r="AN864" s="14" t="str">
        <x:v>No qualifying BBC relationship</x:v>
      </x:c>
      <x:c r="AO864" s="14" t="str">
        <x:v>No</x:v>
      </x:c>
      <x:c r="AP864" s="14" t="str">
        <x:v>Out of scope</x:v>
      </x:c>
      <x:c r="AQ864" s="14" t="str">
        <x:v>No</x:v>
      </x:c>
      <x:c r="AR864" s="14" t="str">
        <x:v>Resolved from master register</x:v>
      </x:c>
      <x:c r="AS864" s="14" t="str">
        <x:v>No established-register match</x:v>
      </x:c>
      <x:c r="AT864" s="14"/>
      <x:c r="AU864" s="14"/>
      <x:c r="AV864" s="14" t="str">
        <x:v>No established apparent-disability match</x:v>
      </x:c>
      <x:c r="AW864" s="14"/>
      <x:c r="AX864" s="14" t="str">
        <x:v>No</x:v>
      </x:c>
      <x:c r="AY864" s="14" t="str">
        <x:v>Unmatched</x:v>
      </x:c>
      <x:c r="AZ864" s="14" t="str">
        <x:v>Final supplied register</x:v>
      </x:c>
      <x:c r="BA864" s="14" t="str">
        <x:v>Absence from the register is not evidence that the performer is not disabled.</x:v>
      </x:c>
      <x:c r="BB864" s="14" t="str">
        <x:v>No established-register match</x:v>
      </x:c>
      <x:c r="BC864" s="14"/>
      <x:c r="BD864" s="14"/>
      <x:c r="BE864" s="14"/>
      <x:c r="BF864" s="14" t="str">
        <x:v>No established apparent-disability match</x:v>
      </x:c>
      <x:c r="BG864" s="14"/>
      <x:c r="BH864" s="14" t="str">
        <x:v>No</x:v>
      </x:c>
      <x:c r="BI864" s="14"/>
      <x:c r="BJ864" s="14"/>
      <x:c r="BK864" s="14"/>
      <x:c r="BL864" s="14" t="str">
        <x:v>Unmatched</x:v>
      </x:c>
      <x:c r="BM864" s="14" t="str">
        <x:v>Final supplied register</x:v>
      </x:c>
      <x:c r="BN864" s="14" t="str">
        <x:v>Absence from the register is not evidence that the performer is not disabled.</x:v>
      </x:c>
      <x:c r="BO864" s="14" t="n">
        <x:v>30</x:v>
      </x:c>
      <x:c r="BP864" s="14" t="str">
        <x:v>Maximum eligible IMDb cast-credit total (30), shared by 2 performer(s); not independently verified as a 2021-only episode total.</x:v>
      </x:c>
      <x:c r="BQ864" s="14" t="str">
        <x:v>Medium</x:v>
      </x:c>
      <x:c r="BR864" s="15" t="n">
        <x:v>1</x:v>
      </x:c>
      <x:c r="BS864" s="16" t="n">
        <x:v>0.03333333333333333</x:v>
      </x:c>
      <x:c r="BT864" s="14" t="str">
        <x:v>One episode</x:v>
      </x:c>
      <x:c r="BU864" s="14" t="str">
        <x:v>Medium</x:v>
      </x:c>
      <x:c r="BV864" s="14" t="str">
        <x:v>Derived from supplied IMDb episode count and the documented production-total proxy.</x:v>
      </x:c>
      <x:c r="BW864" s="14" t="str">
        <x:v>Unable to determine</x:v>
      </x:c>
      <x:c r="BX864" s="14" t="str">
        <x:v>Supplied cast data establishes the credit and episode presence but does not establish narrative prominence.</x:v>
      </x:c>
      <x:c r="BY864" s="14" t="str">
        <x:v>Supplied IMDb cast-list workbook</x:v>
      </x:c>
      <x:c r="BZ8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4" s="14" t="str">
        <x:v>Not classified</x:v>
      </x:c>
      <x:c r="CB864" s="14" t="str">
        <x:v>Unable to determine</x:v>
      </x:c>
      <x:c r="CC864" s="14" t="str">
        <x:v>Unique</x:v>
      </x:c>
      <x:c r="CD864" s="14" t="str">
        <x:v>None identified</x:v>
      </x:c>
    </x:row>
    <x:row r="865">
      <x:c r="A865" s="14" t="str">
        <x:v>tt11981644|nm15274673|prisoner</x:v>
      </x:c>
      <x:c r="B865" s="14" t="str">
        <x:v>02</x:v>
      </x:c>
      <x:c r="C865" s="14" t="str">
        <x:v>2021_IMDb_Cast_Lists_Batch_02(1).xlsx</x:v>
      </x:c>
      <x:c r="D865" s="14" t="str">
        <x:v>Professor T</x:v>
      </x:c>
      <x:c r="E865" s="14" t="n">
        <x:v>236</x:v>
      </x:c>
      <x:c r="F865" s="14" t="str">
        <x:v>Professor T</x:v>
      </x:c>
      <x:c r="G865" s="14" t="str">
        <x:v>tt11981644</x:v>
      </x:c>
      <x:c r="H865" s="14" t="n">
        <x:v>2021</x:v>
      </x:c>
      <x:c r="I865" s="14" t="n">
        <x:v>2023</x:v>
      </x:c>
      <x:c r="J865" s="14" t="str">
        <x:v>Future Carry-Forward Cohort</x:v>
      </x:c>
      <x:c r="K865" s="14" t="n">
        <x:v>2021</x:v>
      </x:c>
      <x:c r="L865" s="14" t="str">
        <x:v>Available from 2021 analysis</x:v>
      </x:c>
      <x:c r="M865" s="15" t="n">
        <x:v>229</x:v>
      </x:c>
      <x:c r="N865" s="14" t="str">
        <x:v>Martin Barnes</x:v>
      </x:c>
      <x:c r="O865" s="14" t="str">
        <x:v>nm15274673</x:v>
      </x:c>
      <x:c r="P865" s="14" t="str">
        <x:v>Prisoner</x:v>
      </x:c>
      <x:c r="Q865" s="15" t="n">
        <x:v>1</x:v>
      </x:c>
      <x:c r="R865" s="14" t="str">
        <x:v>2024</x:v>
      </x:c>
      <x:c r="S865" s="14" t="n">
        <x:v>2024</x:v>
      </x:c>
      <x:c r="T865" s="14" t="n">
        <x:v>2024</x:v>
      </x:c>
      <x:c r="U865" s="14" t="str">
        <x:v>Post-2021 casting excluded</x:v>
      </x:c>
      <x:c r="V865" s="14" t="str">
        <x:v>Earliest supplied year is 2024, later than the 2021 study year.</x:v>
      </x:c>
      <x:c r="W865" s="14"/>
      <x:c r="X865" s="14" t="str">
        <x:v>Carried forward to 2024</x:v>
      </x:c>
      <x:c r="Y865" s="14" t="str">
        <x:v>(as Martin J. Barnes)</x:v>
      </x:c>
      <x:c r="Z865" s="14" t="str">
        <x:v>Professor T.docx</x:v>
      </x:c>
      <x:c r="AA8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5" s="14" t="str">
        <x:v>No established-register match</x:v>
      </x:c>
      <x:c r="AC865" s="14"/>
      <x:c r="AD865" s="14"/>
      <x:c r="AE865" s="14"/>
      <x:c r="AF865" s="14"/>
      <x:c r="AG865" s="14" t="str">
        <x:v>No qualifying conclusion recorded. Absence from the register is not evidence that the performer is not disabled.</x:v>
      </x:c>
      <x:c r="AH865" s="14" t="str">
        <x:v>ITV / ITVX</x:v>
      </x:c>
      <x:c r="AI865" s="14" t="str">
        <x:v>UK original commission</x:v>
      </x:c>
      <x:c r="AJ865" s="14" t="str">
        <x:v>Exact normalised title</x:v>
      </x:c>
      <x:c r="AK865" s="14" t="str">
        <x:v>Medium</x:v>
      </x:c>
      <x:c r="AL865" s="14" t="str">
        <x:v>Verified for commissioner/platform scope; uk original commission.</x:v>
      </x:c>
      <x:c r="AM865" s="17" t="e">
        <x:f>HYPERLINK("https://en.wikipedia.org/wiki/Professor_T.","Open source")</x:f>
        <x:v>HYPERLINK is not implemented. linkLocation=https://en.wikipedia.org/wiki/Professor_T., friendlyName=Open source</x:v>
      </x:c>
      <x:c r="AN865" s="14" t="str">
        <x:v>No qualifying BBC relationship</x:v>
      </x:c>
      <x:c r="AO865" s="14" t="str">
        <x:v>No</x:v>
      </x:c>
      <x:c r="AP865" s="14" t="str">
        <x:v>Out of scope</x:v>
      </x:c>
      <x:c r="AQ865" s="14" t="str">
        <x:v>No</x:v>
      </x:c>
      <x:c r="AR865" s="14" t="str">
        <x:v>Resolved from master register</x:v>
      </x:c>
      <x:c r="AS865" s="14" t="str">
        <x:v>No established-register match</x:v>
      </x:c>
      <x:c r="AT865" s="14"/>
      <x:c r="AU865" s="14"/>
      <x:c r="AV865" s="14" t="str">
        <x:v>No established apparent-disability match</x:v>
      </x:c>
      <x:c r="AW865" s="14"/>
      <x:c r="AX865" s="14" t="str">
        <x:v>No</x:v>
      </x:c>
      <x:c r="AY865" s="14" t="str">
        <x:v>Unmatched</x:v>
      </x:c>
      <x:c r="AZ865" s="14" t="str">
        <x:v>Final supplied register</x:v>
      </x:c>
      <x:c r="BA865" s="14" t="str">
        <x:v>Absence from the register is not evidence that the performer is not disabled.</x:v>
      </x:c>
      <x:c r="BB865" s="14" t="str">
        <x:v>No established-register match</x:v>
      </x:c>
      <x:c r="BC865" s="14"/>
      <x:c r="BD865" s="14"/>
      <x:c r="BE865" s="14"/>
      <x:c r="BF865" s="14" t="str">
        <x:v>No established apparent-disability match</x:v>
      </x:c>
      <x:c r="BG865" s="14"/>
      <x:c r="BH865" s="14" t="str">
        <x:v>No</x:v>
      </x:c>
      <x:c r="BI865" s="14"/>
      <x:c r="BJ865" s="14"/>
      <x:c r="BK865" s="14"/>
      <x:c r="BL865" s="14" t="str">
        <x:v>Unmatched</x:v>
      </x:c>
      <x:c r="BM865" s="14" t="str">
        <x:v>Final supplied register</x:v>
      </x:c>
      <x:c r="BN865" s="14" t="str">
        <x:v>Absence from the register is not evidence that the performer is not disabled.</x:v>
      </x:c>
      <x:c r="BO865" s="14" t="n">
        <x:v>30</x:v>
      </x:c>
      <x:c r="BP865" s="14" t="str">
        <x:v>Maximum eligible IMDb cast-credit total (30), shared by 2 performer(s); not independently verified as a 2021-only episode total.</x:v>
      </x:c>
      <x:c r="BQ865" s="14" t="str">
        <x:v>Medium</x:v>
      </x:c>
      <x:c r="BR865" s="15" t="n">
        <x:v>1</x:v>
      </x:c>
      <x:c r="BS865" s="16" t="n">
        <x:v>0.03333333333333333</x:v>
      </x:c>
      <x:c r="BT865" s="14" t="str">
        <x:v>One episode</x:v>
      </x:c>
      <x:c r="BU865" s="14" t="str">
        <x:v>Medium</x:v>
      </x:c>
      <x:c r="BV865" s="14" t="str">
        <x:v>Derived from supplied IMDb episode count and the documented production-total proxy.</x:v>
      </x:c>
      <x:c r="BW865" s="14" t="str">
        <x:v>Unable to determine</x:v>
      </x:c>
      <x:c r="BX865" s="14" t="str">
        <x:v>Supplied cast data establishes the credit and episode presence but does not establish narrative prominence.</x:v>
      </x:c>
      <x:c r="BY865" s="14" t="str">
        <x:v>Supplied IMDb cast-list workbook</x:v>
      </x:c>
      <x:c r="BZ8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5" s="14" t="str">
        <x:v>Not classified</x:v>
      </x:c>
      <x:c r="CB865" s="14" t="str">
        <x:v>Unable to determine</x:v>
      </x:c>
      <x:c r="CC865" s="14" t="str">
        <x:v>Unique</x:v>
      </x:c>
      <x:c r="CD865" s="14" t="str">
        <x:v>None identified</x:v>
      </x:c>
    </x:row>
    <x:row r="866">
      <x:c r="A866" s="14" t="str">
        <x:v>tt11981644|nm10895810|cleaner</x:v>
      </x:c>
      <x:c r="B866" s="14" t="str">
        <x:v>02</x:v>
      </x:c>
      <x:c r="C866" s="14" t="str">
        <x:v>2021_IMDb_Cast_Lists_Batch_02(1).xlsx</x:v>
      </x:c>
      <x:c r="D866" s="14" t="str">
        <x:v>Professor T</x:v>
      </x:c>
      <x:c r="E866" s="14" t="n">
        <x:v>237</x:v>
      </x:c>
      <x:c r="F866" s="14" t="str">
        <x:v>Professor T</x:v>
      </x:c>
      <x:c r="G866" s="14" t="str">
        <x:v>tt11981644</x:v>
      </x:c>
      <x:c r="H866" s="14" t="n">
        <x:v>2021</x:v>
      </x:c>
      <x:c r="I866" s="14" t="n">
        <x:v>2023</x:v>
      </x:c>
      <x:c r="J866" s="14" t="str">
        <x:v>Future Carry-Forward Cohort</x:v>
      </x:c>
      <x:c r="K866" s="14" t="n">
        <x:v>2021</x:v>
      </x:c>
      <x:c r="L866" s="14" t="str">
        <x:v>Available from 2021 analysis</x:v>
      </x:c>
      <x:c r="M866" s="15" t="n">
        <x:v>230</x:v>
      </x:c>
      <x:c r="N866" s="14" t="str">
        <x:v>Nina Babet</x:v>
      </x:c>
      <x:c r="O866" s="14" t="str">
        <x:v>nm10895810</x:v>
      </x:c>
      <x:c r="P866" s="14" t="str">
        <x:v>Cleaner</x:v>
      </x:c>
      <x:c r="Q866" s="15" t="n">
        <x:v>1</x:v>
      </x:c>
      <x:c r="R866" s="14" t="str">
        <x:v>2024</x:v>
      </x:c>
      <x:c r="S866" s="14" t="n">
        <x:v>2024</x:v>
      </x:c>
      <x:c r="T866" s="14" t="n">
        <x:v>2024</x:v>
      </x:c>
      <x:c r="U866" s="14" t="str">
        <x:v>Post-2021 casting excluded</x:v>
      </x:c>
      <x:c r="V866" s="14" t="str">
        <x:v>Earliest supplied year is 2024, later than the 2021 study year.</x:v>
      </x:c>
      <x:c r="W866" s="14"/>
      <x:c r="X866" s="14" t="str">
        <x:v>Carried forward to 2024</x:v>
      </x:c>
      <x:c r="Y866" s="14"/>
      <x:c r="Z866" s="14" t="str">
        <x:v>Professor T.docx</x:v>
      </x:c>
      <x:c r="AA8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6" s="14" t="str">
        <x:v>No established-register match</x:v>
      </x:c>
      <x:c r="AC866" s="14"/>
      <x:c r="AD866" s="14"/>
      <x:c r="AE866" s="14"/>
      <x:c r="AF866" s="14"/>
      <x:c r="AG866" s="14" t="str">
        <x:v>No qualifying conclusion recorded. Absence from the register is not evidence that the performer is not disabled.</x:v>
      </x:c>
      <x:c r="AH866" s="14" t="str">
        <x:v>ITV / ITVX</x:v>
      </x:c>
      <x:c r="AI866" s="14" t="str">
        <x:v>UK original commission</x:v>
      </x:c>
      <x:c r="AJ866" s="14" t="str">
        <x:v>Exact normalised title</x:v>
      </x:c>
      <x:c r="AK866" s="14" t="str">
        <x:v>Medium</x:v>
      </x:c>
      <x:c r="AL866" s="14" t="str">
        <x:v>Verified for commissioner/platform scope; uk original commission.</x:v>
      </x:c>
      <x:c r="AM866" s="17" t="e">
        <x:f>HYPERLINK("https://en.wikipedia.org/wiki/Professor_T.","Open source")</x:f>
        <x:v>HYPERLINK is not implemented. linkLocation=https://en.wikipedia.org/wiki/Professor_T., friendlyName=Open source</x:v>
      </x:c>
      <x:c r="AN866" s="14" t="str">
        <x:v>No qualifying BBC relationship</x:v>
      </x:c>
      <x:c r="AO866" s="14" t="str">
        <x:v>No</x:v>
      </x:c>
      <x:c r="AP866" s="14" t="str">
        <x:v>Out of scope</x:v>
      </x:c>
      <x:c r="AQ866" s="14" t="str">
        <x:v>No</x:v>
      </x:c>
      <x:c r="AR866" s="14" t="str">
        <x:v>Resolved from master register</x:v>
      </x:c>
      <x:c r="AS866" s="14" t="str">
        <x:v>No established-register match</x:v>
      </x:c>
      <x:c r="AT866" s="14"/>
      <x:c r="AU866" s="14"/>
      <x:c r="AV866" s="14" t="str">
        <x:v>No established apparent-disability match</x:v>
      </x:c>
      <x:c r="AW866" s="14"/>
      <x:c r="AX866" s="14" t="str">
        <x:v>No</x:v>
      </x:c>
      <x:c r="AY866" s="14" t="str">
        <x:v>Unmatched</x:v>
      </x:c>
      <x:c r="AZ866" s="14" t="str">
        <x:v>Final supplied register</x:v>
      </x:c>
      <x:c r="BA866" s="14" t="str">
        <x:v>Absence from the register is not evidence that the performer is not disabled.</x:v>
      </x:c>
      <x:c r="BB866" s="14" t="str">
        <x:v>No established-register match</x:v>
      </x:c>
      <x:c r="BC866" s="14"/>
      <x:c r="BD866" s="14"/>
      <x:c r="BE866" s="14"/>
      <x:c r="BF866" s="14" t="str">
        <x:v>No established apparent-disability match</x:v>
      </x:c>
      <x:c r="BG866" s="14"/>
      <x:c r="BH866" s="14" t="str">
        <x:v>No</x:v>
      </x:c>
      <x:c r="BI866" s="14"/>
      <x:c r="BJ866" s="14"/>
      <x:c r="BK866" s="14"/>
      <x:c r="BL866" s="14" t="str">
        <x:v>Unmatched</x:v>
      </x:c>
      <x:c r="BM866" s="14" t="str">
        <x:v>Final supplied register</x:v>
      </x:c>
      <x:c r="BN866" s="14" t="str">
        <x:v>Absence from the register is not evidence that the performer is not disabled.</x:v>
      </x:c>
      <x:c r="BO866" s="14" t="n">
        <x:v>30</x:v>
      </x:c>
      <x:c r="BP866" s="14" t="str">
        <x:v>Maximum eligible IMDb cast-credit total (30), shared by 2 performer(s); not independently verified as a 2021-only episode total.</x:v>
      </x:c>
      <x:c r="BQ866" s="14" t="str">
        <x:v>Medium</x:v>
      </x:c>
      <x:c r="BR866" s="15" t="n">
        <x:v>1</x:v>
      </x:c>
      <x:c r="BS866" s="16" t="n">
        <x:v>0.03333333333333333</x:v>
      </x:c>
      <x:c r="BT866" s="14" t="str">
        <x:v>One episode</x:v>
      </x:c>
      <x:c r="BU866" s="14" t="str">
        <x:v>Medium</x:v>
      </x:c>
      <x:c r="BV866" s="14" t="str">
        <x:v>Derived from supplied IMDb episode count and the documented production-total proxy.</x:v>
      </x:c>
      <x:c r="BW866" s="14" t="str">
        <x:v>Unable to determine</x:v>
      </x:c>
      <x:c r="BX866" s="14" t="str">
        <x:v>Supplied cast data establishes the credit and episode presence but does not establish narrative prominence.</x:v>
      </x:c>
      <x:c r="BY866" s="14" t="str">
        <x:v>Supplied IMDb cast-list workbook</x:v>
      </x:c>
      <x:c r="BZ8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6" s="14" t="str">
        <x:v>Not classified</x:v>
      </x:c>
      <x:c r="CB866" s="14" t="str">
        <x:v>Unable to determine</x:v>
      </x:c>
      <x:c r="CC866" s="14" t="str">
        <x:v>Unique</x:v>
      </x:c>
      <x:c r="CD866" s="14" t="str">
        <x:v>None identified</x:v>
      </x:c>
    </x:row>
    <x:row r="867">
      <x:c r="A867" s="14" t="str">
        <x:v>tt11981644|nm9680761|pathologist</x:v>
      </x:c>
      <x:c r="B867" s="14" t="str">
        <x:v>02</x:v>
      </x:c>
      <x:c r="C867" s="14" t="str">
        <x:v>2021_IMDb_Cast_Lists_Batch_02(1).xlsx</x:v>
      </x:c>
      <x:c r="D867" s="14" t="str">
        <x:v>Professor T</x:v>
      </x:c>
      <x:c r="E867" s="14" t="n">
        <x:v>241</x:v>
      </x:c>
      <x:c r="F867" s="14" t="str">
        <x:v>Professor T</x:v>
      </x:c>
      <x:c r="G867" s="14" t="str">
        <x:v>tt11981644</x:v>
      </x:c>
      <x:c r="H867" s="14" t="n">
        <x:v>2021</x:v>
      </x:c>
      <x:c r="I867" s="14" t="n">
        <x:v>2023</x:v>
      </x:c>
      <x:c r="J867" s="14" t="str">
        <x:v>Future Carry-Forward Cohort</x:v>
      </x:c>
      <x:c r="K867" s="14" t="n">
        <x:v>2021</x:v>
      </x:c>
      <x:c r="L867" s="14" t="str">
        <x:v>Available from 2021 analysis</x:v>
      </x:c>
      <x:c r="M867" s="15" t="n">
        <x:v>234</x:v>
      </x:c>
      <x:c r="N867" s="14" t="str">
        <x:v>Roze Elisa</x:v>
      </x:c>
      <x:c r="O867" s="14" t="str">
        <x:v>nm9680761</x:v>
      </x:c>
      <x:c r="P867" s="14" t="str">
        <x:v>Pathologist</x:v>
      </x:c>
      <x:c r="Q867" s="15" t="n">
        <x:v>1</x:v>
      </x:c>
      <x:c r="R867" s="14" t="str">
        <x:v>2024</x:v>
      </x:c>
      <x:c r="S867" s="14" t="n">
        <x:v>2024</x:v>
      </x:c>
      <x:c r="T867" s="14" t="n">
        <x:v>2024</x:v>
      </x:c>
      <x:c r="U867" s="14" t="str">
        <x:v>Post-2021 casting excluded</x:v>
      </x:c>
      <x:c r="V867" s="14" t="str">
        <x:v>Earliest supplied year is 2024, later than the 2021 study year.</x:v>
      </x:c>
      <x:c r="W867" s="14"/>
      <x:c r="X867" s="14" t="str">
        <x:v>Carried forward to 2024</x:v>
      </x:c>
      <x:c r="Y867" s="14"/>
      <x:c r="Z867" s="14" t="str">
        <x:v>Professor T.docx</x:v>
      </x:c>
      <x:c r="AA8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7" s="14" t="str">
        <x:v>No established-register match</x:v>
      </x:c>
      <x:c r="AC867" s="14"/>
      <x:c r="AD867" s="14"/>
      <x:c r="AE867" s="14"/>
      <x:c r="AF867" s="14"/>
      <x:c r="AG867" s="14" t="str">
        <x:v>No qualifying conclusion recorded. Absence from the register is not evidence that the performer is not disabled.</x:v>
      </x:c>
      <x:c r="AH867" s="14" t="str">
        <x:v>ITV / ITVX</x:v>
      </x:c>
      <x:c r="AI867" s="14" t="str">
        <x:v>UK original commission</x:v>
      </x:c>
      <x:c r="AJ867" s="14" t="str">
        <x:v>Exact normalised title</x:v>
      </x:c>
      <x:c r="AK867" s="14" t="str">
        <x:v>Medium</x:v>
      </x:c>
      <x:c r="AL867" s="14" t="str">
        <x:v>Verified for commissioner/platform scope; uk original commission.</x:v>
      </x:c>
      <x:c r="AM867" s="17" t="e">
        <x:f>HYPERLINK("https://en.wikipedia.org/wiki/Professor_T.","Open source")</x:f>
        <x:v>HYPERLINK is not implemented. linkLocation=https://en.wikipedia.org/wiki/Professor_T., friendlyName=Open source</x:v>
      </x:c>
      <x:c r="AN867" s="14" t="str">
        <x:v>No qualifying BBC relationship</x:v>
      </x:c>
      <x:c r="AO867" s="14" t="str">
        <x:v>No</x:v>
      </x:c>
      <x:c r="AP867" s="14" t="str">
        <x:v>Out of scope</x:v>
      </x:c>
      <x:c r="AQ867" s="14" t="str">
        <x:v>No</x:v>
      </x:c>
      <x:c r="AR867" s="14" t="str">
        <x:v>Resolved from master register</x:v>
      </x:c>
      <x:c r="AS867" s="14" t="str">
        <x:v>No established-register match</x:v>
      </x:c>
      <x:c r="AT867" s="14"/>
      <x:c r="AU867" s="14"/>
      <x:c r="AV867" s="14" t="str">
        <x:v>No established apparent-disability match</x:v>
      </x:c>
      <x:c r="AW867" s="14"/>
      <x:c r="AX867" s="14" t="str">
        <x:v>No</x:v>
      </x:c>
      <x:c r="AY867" s="14" t="str">
        <x:v>Unmatched</x:v>
      </x:c>
      <x:c r="AZ867" s="14" t="str">
        <x:v>Final supplied register</x:v>
      </x:c>
      <x:c r="BA867" s="14" t="str">
        <x:v>Absence from the register is not evidence that the performer is not disabled.</x:v>
      </x:c>
      <x:c r="BB867" s="14" t="str">
        <x:v>No established-register match</x:v>
      </x:c>
      <x:c r="BC867" s="14"/>
      <x:c r="BD867" s="14"/>
      <x:c r="BE867" s="14"/>
      <x:c r="BF867" s="14" t="str">
        <x:v>No established apparent-disability match</x:v>
      </x:c>
      <x:c r="BG867" s="14"/>
      <x:c r="BH867" s="14" t="str">
        <x:v>No</x:v>
      </x:c>
      <x:c r="BI867" s="14"/>
      <x:c r="BJ867" s="14"/>
      <x:c r="BK867" s="14"/>
      <x:c r="BL867" s="14" t="str">
        <x:v>Unmatched</x:v>
      </x:c>
      <x:c r="BM867" s="14" t="str">
        <x:v>Final supplied register</x:v>
      </x:c>
      <x:c r="BN867" s="14" t="str">
        <x:v>Absence from the register is not evidence that the performer is not disabled.</x:v>
      </x:c>
      <x:c r="BO867" s="14" t="n">
        <x:v>30</x:v>
      </x:c>
      <x:c r="BP867" s="14" t="str">
        <x:v>Maximum eligible IMDb cast-credit total (30), shared by 2 performer(s); not independently verified as a 2021-only episode total.</x:v>
      </x:c>
      <x:c r="BQ867" s="14" t="str">
        <x:v>Medium</x:v>
      </x:c>
      <x:c r="BR867" s="15" t="n">
        <x:v>1</x:v>
      </x:c>
      <x:c r="BS867" s="16" t="n">
        <x:v>0.03333333333333333</x:v>
      </x:c>
      <x:c r="BT867" s="14" t="str">
        <x:v>One episode</x:v>
      </x:c>
      <x:c r="BU867" s="14" t="str">
        <x:v>Medium</x:v>
      </x:c>
      <x:c r="BV867" s="14" t="str">
        <x:v>Derived from supplied IMDb episode count and the documented production-total proxy.</x:v>
      </x:c>
      <x:c r="BW867" s="14" t="str">
        <x:v>Unable to determine</x:v>
      </x:c>
      <x:c r="BX867" s="14" t="str">
        <x:v>Supplied cast data establishes the credit and episode presence but does not establish narrative prominence.</x:v>
      </x:c>
      <x:c r="BY867" s="14" t="str">
        <x:v>Supplied IMDb cast-list workbook</x:v>
      </x:c>
      <x:c r="BZ8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7" s="14" t="str">
        <x:v>Not classified</x:v>
      </x:c>
      <x:c r="CB867" s="14" t="str">
        <x:v>Unable to determine</x:v>
      </x:c>
      <x:c r="CC867" s="14" t="str">
        <x:v>Unique</x:v>
      </x:c>
      <x:c r="CD867" s="14" t="str">
        <x:v>None identified</x:v>
      </x:c>
    </x:row>
    <x:row r="868">
      <x:c r="A868" s="14" t="str">
        <x:v>tt11981644|nm15274674|prisoner</x:v>
      </x:c>
      <x:c r="B868" s="14" t="str">
        <x:v>02</x:v>
      </x:c>
      <x:c r="C868" s="14" t="str">
        <x:v>2021_IMDb_Cast_Lists_Batch_02(1).xlsx</x:v>
      </x:c>
      <x:c r="D868" s="14" t="str">
        <x:v>Professor T</x:v>
      </x:c>
      <x:c r="E868" s="14" t="n">
        <x:v>242</x:v>
      </x:c>
      <x:c r="F868" s="14" t="str">
        <x:v>Professor T</x:v>
      </x:c>
      <x:c r="G868" s="14" t="str">
        <x:v>tt11981644</x:v>
      </x:c>
      <x:c r="H868" s="14" t="n">
        <x:v>2021</x:v>
      </x:c>
      <x:c r="I868" s="14" t="n">
        <x:v>2023</x:v>
      </x:c>
      <x:c r="J868" s="14" t="str">
        <x:v>Future Carry-Forward Cohort</x:v>
      </x:c>
      <x:c r="K868" s="14" t="n">
        <x:v>2021</x:v>
      </x:c>
      <x:c r="L868" s="14" t="str">
        <x:v>Available from 2021 analysis</x:v>
      </x:c>
      <x:c r="M868" s="15" t="n">
        <x:v>235</x:v>
      </x:c>
      <x:c r="N868" s="14" t="str">
        <x:v>Chris Brooker</x:v>
      </x:c>
      <x:c r="O868" s="14" t="str">
        <x:v>nm15274674</x:v>
      </x:c>
      <x:c r="P868" s="14" t="str">
        <x:v>Prisoner</x:v>
      </x:c>
      <x:c r="Q868" s="15" t="n">
        <x:v>1</x:v>
      </x:c>
      <x:c r="R868" s="14" t="str">
        <x:v>2024</x:v>
      </x:c>
      <x:c r="S868" s="14" t="n">
        <x:v>2024</x:v>
      </x:c>
      <x:c r="T868" s="14" t="n">
        <x:v>2024</x:v>
      </x:c>
      <x:c r="U868" s="14" t="str">
        <x:v>Post-2021 casting excluded</x:v>
      </x:c>
      <x:c r="V868" s="14" t="str">
        <x:v>Earliest supplied year is 2024, later than the 2021 study year.</x:v>
      </x:c>
      <x:c r="W868" s="14"/>
      <x:c r="X868" s="14" t="str">
        <x:v>Carried forward to 2024</x:v>
      </x:c>
      <x:c r="Y868" s="14"/>
      <x:c r="Z868" s="14" t="str">
        <x:v>Professor T.docx</x:v>
      </x:c>
      <x:c r="AA8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8" s="14" t="str">
        <x:v>No established-register match</x:v>
      </x:c>
      <x:c r="AC868" s="14"/>
      <x:c r="AD868" s="14"/>
      <x:c r="AE868" s="14"/>
      <x:c r="AF868" s="14"/>
      <x:c r="AG868" s="14" t="str">
        <x:v>No qualifying conclusion recorded. Absence from the register is not evidence that the performer is not disabled.</x:v>
      </x:c>
      <x:c r="AH868" s="14" t="str">
        <x:v>ITV / ITVX</x:v>
      </x:c>
      <x:c r="AI868" s="14" t="str">
        <x:v>UK original commission</x:v>
      </x:c>
      <x:c r="AJ868" s="14" t="str">
        <x:v>Exact normalised title</x:v>
      </x:c>
      <x:c r="AK868" s="14" t="str">
        <x:v>Medium</x:v>
      </x:c>
      <x:c r="AL868" s="14" t="str">
        <x:v>Verified for commissioner/platform scope; uk original commission.</x:v>
      </x:c>
      <x:c r="AM868" s="17" t="e">
        <x:f>HYPERLINK("https://en.wikipedia.org/wiki/Professor_T.","Open source")</x:f>
        <x:v>HYPERLINK is not implemented. linkLocation=https://en.wikipedia.org/wiki/Professor_T., friendlyName=Open source</x:v>
      </x:c>
      <x:c r="AN868" s="14" t="str">
        <x:v>No qualifying BBC relationship</x:v>
      </x:c>
      <x:c r="AO868" s="14" t="str">
        <x:v>No</x:v>
      </x:c>
      <x:c r="AP868" s="14" t="str">
        <x:v>Out of scope</x:v>
      </x:c>
      <x:c r="AQ868" s="14" t="str">
        <x:v>No</x:v>
      </x:c>
      <x:c r="AR868" s="14" t="str">
        <x:v>Resolved from master register</x:v>
      </x:c>
      <x:c r="AS868" s="14" t="str">
        <x:v>No established-register match</x:v>
      </x:c>
      <x:c r="AT868" s="14"/>
      <x:c r="AU868" s="14"/>
      <x:c r="AV868" s="14" t="str">
        <x:v>No established apparent-disability match</x:v>
      </x:c>
      <x:c r="AW868" s="14"/>
      <x:c r="AX868" s="14" t="str">
        <x:v>No</x:v>
      </x:c>
      <x:c r="AY868" s="14" t="str">
        <x:v>Unmatched</x:v>
      </x:c>
      <x:c r="AZ868" s="14" t="str">
        <x:v>Final supplied register</x:v>
      </x:c>
      <x:c r="BA868" s="14" t="str">
        <x:v>Absence from the register is not evidence that the performer is not disabled.</x:v>
      </x:c>
      <x:c r="BB868" s="14" t="str">
        <x:v>No established-register match</x:v>
      </x:c>
      <x:c r="BC868" s="14"/>
      <x:c r="BD868" s="14"/>
      <x:c r="BE868" s="14"/>
      <x:c r="BF868" s="14" t="str">
        <x:v>No established apparent-disability match</x:v>
      </x:c>
      <x:c r="BG868" s="14"/>
      <x:c r="BH868" s="14" t="str">
        <x:v>No</x:v>
      </x:c>
      <x:c r="BI868" s="14"/>
      <x:c r="BJ868" s="14"/>
      <x:c r="BK868" s="14"/>
      <x:c r="BL868" s="14" t="str">
        <x:v>Unmatched</x:v>
      </x:c>
      <x:c r="BM868" s="14" t="str">
        <x:v>Final supplied register</x:v>
      </x:c>
      <x:c r="BN868" s="14" t="str">
        <x:v>Absence from the register is not evidence that the performer is not disabled.</x:v>
      </x:c>
      <x:c r="BO868" s="14" t="n">
        <x:v>30</x:v>
      </x:c>
      <x:c r="BP868" s="14" t="str">
        <x:v>Maximum eligible IMDb cast-credit total (30), shared by 2 performer(s); not independently verified as a 2021-only episode total.</x:v>
      </x:c>
      <x:c r="BQ868" s="14" t="str">
        <x:v>Medium</x:v>
      </x:c>
      <x:c r="BR868" s="15" t="n">
        <x:v>1</x:v>
      </x:c>
      <x:c r="BS868" s="16" t="n">
        <x:v>0.03333333333333333</x:v>
      </x:c>
      <x:c r="BT868" s="14" t="str">
        <x:v>One episode</x:v>
      </x:c>
      <x:c r="BU868" s="14" t="str">
        <x:v>Medium</x:v>
      </x:c>
      <x:c r="BV868" s="14" t="str">
        <x:v>Derived from supplied IMDb episode count and the documented production-total proxy.</x:v>
      </x:c>
      <x:c r="BW868" s="14" t="str">
        <x:v>Unable to determine</x:v>
      </x:c>
      <x:c r="BX868" s="14" t="str">
        <x:v>Supplied cast data establishes the credit and episode presence but does not establish narrative prominence.</x:v>
      </x:c>
      <x:c r="BY868" s="14" t="str">
        <x:v>Supplied IMDb cast-list workbook</x:v>
      </x:c>
      <x:c r="BZ8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8" s="14" t="str">
        <x:v>Not classified</x:v>
      </x:c>
      <x:c r="CB868" s="14" t="str">
        <x:v>Unable to determine</x:v>
      </x:c>
      <x:c r="CC868" s="14" t="str">
        <x:v>Unique</x:v>
      </x:c>
      <x:c r="CD868" s="14" t="str">
        <x:v>None identified</x:v>
      </x:c>
    </x:row>
    <x:row r="869">
      <x:c r="A869" s="14" t="str">
        <x:v>tt11403434|nm2253821|sam malik</x:v>
      </x:c>
      <x:c r="B869" s="14" t="str">
        <x:v>03</x:v>
      </x:c>
      <x:c r="C869" s="14" t="str">
        <x:v>2021_IMDb_Cast_Lists_Batch_03(1).xlsx</x:v>
      </x:c>
      <x:c r="D869" s="14" t="str">
        <x:v>Showtrial</x:v>
      </x:c>
      <x:c r="E869" s="14" t="n">
        <x:v>8</x:v>
      </x:c>
      <x:c r="F869" s="14" t="str">
        <x:v>Showtrial</x:v>
      </x:c>
      <x:c r="G869" s="14" t="str">
        <x:v>tt11403434</x:v>
      </x:c>
      <x:c r="H869" s="14" t="n">
        <x:v>2021</x:v>
      </x:c>
      <x:c r="I869" s="14" t="n">
        <x:v>2023</x:v>
      </x:c>
      <x:c r="J869" s="14" t="str">
        <x:v>Future Carry-Forward Cohort</x:v>
      </x:c>
      <x:c r="K869" s="14" t="n">
        <x:v>2021</x:v>
      </x:c>
      <x:c r="L869" s="14" t="str">
        <x:v>Available from 2021 analysis</x:v>
      </x:c>
      <x:c r="M869" s="15" t="n">
        <x:v>1</x:v>
      </x:c>
      <x:c r="N869" s="14" t="str">
        <x:v>Adeel Akhtar</x:v>
      </x:c>
      <x:c r="O869" s="14" t="str">
        <x:v>nm2253821</x:v>
      </x:c>
      <x:c r="P869" s="14" t="str">
        <x:v>Sam Malik</x:v>
      </x:c>
      <x:c r="Q869" s="15" t="n">
        <x:v>5</x:v>
      </x:c>
      <x:c r="R869" s="14" t="str">
        <x:v>2024</x:v>
      </x:c>
      <x:c r="S869" s="14" t="n">
        <x:v>2024</x:v>
      </x:c>
      <x:c r="T869" s="14" t="n">
        <x:v>2024</x:v>
      </x:c>
      <x:c r="U869" s="14" t="str">
        <x:v>Post-2021 casting excluded</x:v>
      </x:c>
      <x:c r="V869" s="14" t="str">
        <x:v>Earliest supplied year is 2024, later than the 2021 study year.</x:v>
      </x:c>
      <x:c r="W869" s="14"/>
      <x:c r="X869" s="14" t="str">
        <x:v>Carried forward to 2024</x:v>
      </x:c>
      <x:c r="Y869" s="14"/>
      <x:c r="Z869" s="14" t="str">
        <x:v>Showtrial.docx</x:v>
      </x:c>
      <x:c r="AA86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69" s="14" t="str">
        <x:v>No established-register match</x:v>
      </x:c>
      <x:c r="AC869" s="14"/>
      <x:c r="AD869" s="14"/>
      <x:c r="AE869" s="14"/>
      <x:c r="AF869" s="14"/>
      <x:c r="AG869" s="14" t="str">
        <x:v>No qualifying conclusion recorded. Absence from the register is not evidence that the performer is not disabled.</x:v>
      </x:c>
      <x:c r="AH869" s="14" t="str">
        <x:v>BBC</x:v>
      </x:c>
      <x:c r="AI869" s="14" t="str">
        <x:v>UK original commission</x:v>
      </x:c>
      <x:c r="AJ869" s="14" t="str">
        <x:v>Exact normalised title</x:v>
      </x:c>
      <x:c r="AK869" s="14" t="str">
        <x:v>Medium</x:v>
      </x:c>
      <x:c r="AL869" s="14" t="str">
        <x:v>Verified for commissioner/platform scope; uk original commission.</x:v>
      </x:c>
      <x:c r="AM869" s="17" t="e">
        <x:f>HYPERLINK("https://en.wikipedia.org/wiki/Show_trial","Open source")</x:f>
        <x:v>HYPERLINK is not implemented. linkLocation=https://en.wikipedia.org/wiki/Show_trial, friendlyName=Open source</x:v>
      </x:c>
      <x:c r="AN869" s="14" t="str">
        <x:v>BBC public-service commission</x:v>
      </x:c>
      <x:c r="AO869" s="14" t="str">
        <x:v>Yes</x:v>
      </x:c>
      <x:c r="AP869" s="14" t="str">
        <x:v>Direct BBC public-service scope</x:v>
      </x:c>
      <x:c r="AQ869" s="14" t="str">
        <x:v>Yes</x:v>
      </x:c>
      <x:c r="AR869" s="14" t="str">
        <x:v>Resolved from master register</x:v>
      </x:c>
      <x:c r="AS869" s="14" t="str">
        <x:v>No established-register match</x:v>
      </x:c>
      <x:c r="AT869" s="14"/>
      <x:c r="AU869" s="14"/>
      <x:c r="AV869" s="14" t="str">
        <x:v>No established apparent-disability match</x:v>
      </x:c>
      <x:c r="AW869" s="14"/>
      <x:c r="AX869" s="14" t="str">
        <x:v>No</x:v>
      </x:c>
      <x:c r="AY869" s="14" t="str">
        <x:v>Unmatched</x:v>
      </x:c>
      <x:c r="AZ869" s="14" t="str">
        <x:v>Final supplied register</x:v>
      </x:c>
      <x:c r="BA869" s="14" t="str">
        <x:v>Absence from the register is not evidence that the performer is not disabled.</x:v>
      </x:c>
      <x:c r="BB869" s="14" t="str">
        <x:v>No established-register match</x:v>
      </x:c>
      <x:c r="BC869" s="14"/>
      <x:c r="BD869" s="14"/>
      <x:c r="BE869" s="14"/>
      <x:c r="BF869" s="14" t="str">
        <x:v>No established apparent-disability match</x:v>
      </x:c>
      <x:c r="BG869" s="14"/>
      <x:c r="BH869" s="14" t="str">
        <x:v>No</x:v>
      </x:c>
      <x:c r="BI869" s="14"/>
      <x:c r="BJ869" s="14"/>
      <x:c r="BK869" s="14"/>
      <x:c r="BL869" s="14" t="str">
        <x:v>Unmatched</x:v>
      </x:c>
      <x:c r="BM869" s="14" t="str">
        <x:v>Final supplied register</x:v>
      </x:c>
      <x:c r="BN869" s="14" t="str">
        <x:v>Absence from the register is not evidence that the performer is not disabled.</x:v>
      </x:c>
      <x:c r="BO869" s="14" t="n">
        <x:v>5</x:v>
      </x:c>
      <x:c r="BP869" s="14" t="str">
        <x:v>Maximum eligible IMDb cast-credit total (5), shared by 18 performer(s); not independently verified as a 2021-only episode total.</x:v>
      </x:c>
      <x:c r="BQ869" s="14" t="str">
        <x:v>Medium</x:v>
      </x:c>
      <x:c r="BR869" s="15" t="n">
        <x:v>5</x:v>
      </x:c>
      <x:c r="BS869" s="16" t="n">
        <x:v>1</x:v>
      </x:c>
      <x:c r="BT869" s="14" t="str">
        <x:v>All episodes</x:v>
      </x:c>
      <x:c r="BU869" s="14" t="str">
        <x:v>Medium</x:v>
      </x:c>
      <x:c r="BV869" s="14" t="str">
        <x:v>Derived from supplied IMDb episode count and the documented production-total proxy.</x:v>
      </x:c>
      <x:c r="BW869" s="14" t="str">
        <x:v>Unable to determine</x:v>
      </x:c>
      <x:c r="BX869" s="14" t="str">
        <x:v>Supplied cast data establishes the credit and episode presence but does not establish narrative prominence.</x:v>
      </x:c>
      <x:c r="BY869" s="14" t="str">
        <x:v>Supplied IMDb cast-list workbook</x:v>
      </x:c>
      <x:c r="BZ86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69" s="14" t="str">
        <x:v>Not classified</x:v>
      </x:c>
      <x:c r="CB869" s="14" t="str">
        <x:v>Unable to determine</x:v>
      </x:c>
      <x:c r="CC869" s="14" t="str">
        <x:v>Unique</x:v>
      </x:c>
      <x:c r="CD869" s="14" t="str">
        <x:v>None identified</x:v>
      </x:c>
    </x:row>
    <x:row r="870">
      <x:c r="A870" s="14" t="str">
        <x:v>tt11403434|nm0035480|leila hassoun-kenny</x:v>
      </x:c>
      <x:c r="B870" s="14" t="str">
        <x:v>03</x:v>
      </x:c>
      <x:c r="C870" s="14" t="str">
        <x:v>2021_IMDb_Cast_Lists_Batch_03(1).xlsx</x:v>
      </x:c>
      <x:c r="D870" s="14" t="str">
        <x:v>Showtrial</x:v>
      </x:c>
      <x:c r="E870" s="14" t="n">
        <x:v>10</x:v>
      </x:c>
      <x:c r="F870" s="14" t="str">
        <x:v>Showtrial</x:v>
      </x:c>
      <x:c r="G870" s="14" t="str">
        <x:v>tt11403434</x:v>
      </x:c>
      <x:c r="H870" s="14" t="n">
        <x:v>2021</x:v>
      </x:c>
      <x:c r="I870" s="14" t="n">
        <x:v>2023</x:v>
      </x:c>
      <x:c r="J870" s="14" t="str">
        <x:v>Future Carry-Forward Cohort</x:v>
      </x:c>
      <x:c r="K870" s="14" t="n">
        <x:v>2021</x:v>
      </x:c>
      <x:c r="L870" s="14" t="str">
        <x:v>Available from 2021 analysis</x:v>
      </x:c>
      <x:c r="M870" s="15" t="n">
        <x:v>3</x:v>
      </x:c>
      <x:c r="N870" s="14" t="str">
        <x:v>Nathalie Armin</x:v>
      </x:c>
      <x:c r="O870" s="14" t="str">
        <x:v>nm0035480</x:v>
      </x:c>
      <x:c r="P870" s="14" t="str">
        <x:v>Leila Hassoun-Kenny</x:v>
      </x:c>
      <x:c r="Q870" s="15" t="n">
        <x:v>5</x:v>
      </x:c>
      <x:c r="R870" s="14" t="str">
        <x:v>2024</x:v>
      </x:c>
      <x:c r="S870" s="14" t="n">
        <x:v>2024</x:v>
      </x:c>
      <x:c r="T870" s="14" t="n">
        <x:v>2024</x:v>
      </x:c>
      <x:c r="U870" s="14" t="str">
        <x:v>Post-2021 casting excluded</x:v>
      </x:c>
      <x:c r="V870" s="14" t="str">
        <x:v>Earliest supplied year is 2024, later than the 2021 study year.</x:v>
      </x:c>
      <x:c r="W870" s="14"/>
      <x:c r="X870" s="14" t="str">
        <x:v>Carried forward to 2024</x:v>
      </x:c>
      <x:c r="Y870" s="14"/>
      <x:c r="Z870" s="14" t="str">
        <x:v>Showtrial.docx</x:v>
      </x:c>
      <x:c r="AA87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0" s="14" t="str">
        <x:v>No established-register match</x:v>
      </x:c>
      <x:c r="AC870" s="14"/>
      <x:c r="AD870" s="14"/>
      <x:c r="AE870" s="14"/>
      <x:c r="AF870" s="14"/>
      <x:c r="AG870" s="14" t="str">
        <x:v>No qualifying conclusion recorded. Absence from the register is not evidence that the performer is not disabled.</x:v>
      </x:c>
      <x:c r="AH870" s="14" t="str">
        <x:v>BBC</x:v>
      </x:c>
      <x:c r="AI870" s="14" t="str">
        <x:v>UK original commission</x:v>
      </x:c>
      <x:c r="AJ870" s="14" t="str">
        <x:v>Exact normalised title</x:v>
      </x:c>
      <x:c r="AK870" s="14" t="str">
        <x:v>Medium</x:v>
      </x:c>
      <x:c r="AL870" s="14" t="str">
        <x:v>Verified for commissioner/platform scope; uk original commission.</x:v>
      </x:c>
      <x:c r="AM870" s="17" t="e">
        <x:f>HYPERLINK("https://en.wikipedia.org/wiki/Show_trial","Open source")</x:f>
        <x:v>HYPERLINK is not implemented. linkLocation=https://en.wikipedia.org/wiki/Show_trial, friendlyName=Open source</x:v>
      </x:c>
      <x:c r="AN870" s="14" t="str">
        <x:v>BBC public-service commission</x:v>
      </x:c>
      <x:c r="AO870" s="14" t="str">
        <x:v>Yes</x:v>
      </x:c>
      <x:c r="AP870" s="14" t="str">
        <x:v>Direct BBC public-service scope</x:v>
      </x:c>
      <x:c r="AQ870" s="14" t="str">
        <x:v>Yes</x:v>
      </x:c>
      <x:c r="AR870" s="14" t="str">
        <x:v>Resolved from master register</x:v>
      </x:c>
      <x:c r="AS870" s="14" t="str">
        <x:v>No established-register match</x:v>
      </x:c>
      <x:c r="AT870" s="14"/>
      <x:c r="AU870" s="14"/>
      <x:c r="AV870" s="14" t="str">
        <x:v>No established apparent-disability match</x:v>
      </x:c>
      <x:c r="AW870" s="14"/>
      <x:c r="AX870" s="14" t="str">
        <x:v>No</x:v>
      </x:c>
      <x:c r="AY870" s="14" t="str">
        <x:v>Unmatched</x:v>
      </x:c>
      <x:c r="AZ870" s="14" t="str">
        <x:v>Final supplied register</x:v>
      </x:c>
      <x:c r="BA870" s="14" t="str">
        <x:v>Absence from the register is not evidence that the performer is not disabled.</x:v>
      </x:c>
      <x:c r="BB870" s="14" t="str">
        <x:v>No established-register match</x:v>
      </x:c>
      <x:c r="BC870" s="14"/>
      <x:c r="BD870" s="14"/>
      <x:c r="BE870" s="14"/>
      <x:c r="BF870" s="14" t="str">
        <x:v>No established apparent-disability match</x:v>
      </x:c>
      <x:c r="BG870" s="14"/>
      <x:c r="BH870" s="14" t="str">
        <x:v>No</x:v>
      </x:c>
      <x:c r="BI870" s="14"/>
      <x:c r="BJ870" s="14"/>
      <x:c r="BK870" s="14"/>
      <x:c r="BL870" s="14" t="str">
        <x:v>Unmatched</x:v>
      </x:c>
      <x:c r="BM870" s="14" t="str">
        <x:v>Final supplied register</x:v>
      </x:c>
      <x:c r="BN870" s="14" t="str">
        <x:v>Absence from the register is not evidence that the performer is not disabled.</x:v>
      </x:c>
      <x:c r="BO870" s="14" t="n">
        <x:v>5</x:v>
      </x:c>
      <x:c r="BP870" s="14" t="str">
        <x:v>Maximum eligible IMDb cast-credit total (5), shared by 18 performer(s); not independently verified as a 2021-only episode total.</x:v>
      </x:c>
      <x:c r="BQ870" s="14" t="str">
        <x:v>Medium</x:v>
      </x:c>
      <x:c r="BR870" s="15" t="n">
        <x:v>5</x:v>
      </x:c>
      <x:c r="BS870" s="16" t="n">
        <x:v>1</x:v>
      </x:c>
      <x:c r="BT870" s="14" t="str">
        <x:v>All episodes</x:v>
      </x:c>
      <x:c r="BU870" s="14" t="str">
        <x:v>Medium</x:v>
      </x:c>
      <x:c r="BV870" s="14" t="str">
        <x:v>Derived from supplied IMDb episode count and the documented production-total proxy.</x:v>
      </x:c>
      <x:c r="BW870" s="14" t="str">
        <x:v>Unable to determine</x:v>
      </x:c>
      <x:c r="BX870" s="14" t="str">
        <x:v>Supplied cast data establishes the credit and episode presence but does not establish narrative prominence.</x:v>
      </x:c>
      <x:c r="BY870" s="14" t="str">
        <x:v>Supplied IMDb cast-list workbook</x:v>
      </x:c>
      <x:c r="BZ87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0" s="14" t="str">
        <x:v>Not classified</x:v>
      </x:c>
      <x:c r="CB870" s="14" t="str">
        <x:v>Unable to determine</x:v>
      </x:c>
      <x:c r="CC870" s="14" t="str">
        <x:v>Unique</x:v>
      </x:c>
      <x:c r="CD870" s="14" t="str">
        <x:v>None identified</x:v>
      </x:c>
    </x:row>
    <x:row r="871">
      <x:c r="A871" s="14" t="str">
        <x:v>tt11403434|nm2523072|pc justin mitchell</x:v>
      </x:c>
      <x:c r="B871" s="14" t="str">
        <x:v>03</x:v>
      </x:c>
      <x:c r="C871" s="14" t="str">
        <x:v>2021_IMDb_Cast_Lists_Batch_03(1).xlsx</x:v>
      </x:c>
      <x:c r="D871" s="14" t="str">
        <x:v>Showtrial</x:v>
      </x:c>
      <x:c r="E871" s="14" t="n">
        <x:v>13</x:v>
      </x:c>
      <x:c r="F871" s="14" t="str">
        <x:v>Showtrial</x:v>
      </x:c>
      <x:c r="G871" s="14" t="str">
        <x:v>tt11403434</x:v>
      </x:c>
      <x:c r="H871" s="14" t="n">
        <x:v>2021</x:v>
      </x:c>
      <x:c r="I871" s="14" t="n">
        <x:v>2023</x:v>
      </x:c>
      <x:c r="J871" s="14" t="str">
        <x:v>Future Carry-Forward Cohort</x:v>
      </x:c>
      <x:c r="K871" s="14" t="n">
        <x:v>2021</x:v>
      </x:c>
      <x:c r="L871" s="14" t="str">
        <x:v>Available from 2021 analysis</x:v>
      </x:c>
      <x:c r="M871" s="15" t="n">
        <x:v>6</x:v>
      </x:c>
      <x:c r="N871" s="14" t="str">
        <x:v>Michael Socha</x:v>
      </x:c>
      <x:c r="O871" s="14" t="str">
        <x:v>nm2523072</x:v>
      </x:c>
      <x:c r="P871" s="14" t="str">
        <x:v>PC Justin Mitchell</x:v>
      </x:c>
      <x:c r="Q871" s="15" t="n">
        <x:v>5</x:v>
      </x:c>
      <x:c r="R871" s="14" t="str">
        <x:v>2024</x:v>
      </x:c>
      <x:c r="S871" s="14" t="n">
        <x:v>2024</x:v>
      </x:c>
      <x:c r="T871" s="14" t="n">
        <x:v>2024</x:v>
      </x:c>
      <x:c r="U871" s="14" t="str">
        <x:v>Post-2021 casting excluded</x:v>
      </x:c>
      <x:c r="V871" s="14" t="str">
        <x:v>Earliest supplied year is 2024, later than the 2021 study year.</x:v>
      </x:c>
      <x:c r="W871" s="14"/>
      <x:c r="X871" s="14" t="str">
        <x:v>Carried forward to 2024</x:v>
      </x:c>
      <x:c r="Y871" s="14"/>
      <x:c r="Z871" s="14" t="str">
        <x:v>Showtrial.docx</x:v>
      </x:c>
      <x:c r="AA87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1" s="14" t="str">
        <x:v>No established-register match</x:v>
      </x:c>
      <x:c r="AC871" s="14"/>
      <x:c r="AD871" s="14"/>
      <x:c r="AE871" s="14"/>
      <x:c r="AF871" s="14"/>
      <x:c r="AG871" s="14" t="str">
        <x:v>No qualifying conclusion recorded. Absence from the register is not evidence that the performer is not disabled.</x:v>
      </x:c>
      <x:c r="AH871" s="14" t="str">
        <x:v>BBC</x:v>
      </x:c>
      <x:c r="AI871" s="14" t="str">
        <x:v>UK original commission</x:v>
      </x:c>
      <x:c r="AJ871" s="14" t="str">
        <x:v>Exact normalised title</x:v>
      </x:c>
      <x:c r="AK871" s="14" t="str">
        <x:v>Medium</x:v>
      </x:c>
      <x:c r="AL871" s="14" t="str">
        <x:v>Verified for commissioner/platform scope; uk original commission.</x:v>
      </x:c>
      <x:c r="AM871" s="17" t="e">
        <x:f>HYPERLINK("https://en.wikipedia.org/wiki/Show_trial","Open source")</x:f>
        <x:v>HYPERLINK is not implemented. linkLocation=https://en.wikipedia.org/wiki/Show_trial, friendlyName=Open source</x:v>
      </x:c>
      <x:c r="AN871" s="14" t="str">
        <x:v>BBC public-service commission</x:v>
      </x:c>
      <x:c r="AO871" s="14" t="str">
        <x:v>Yes</x:v>
      </x:c>
      <x:c r="AP871" s="14" t="str">
        <x:v>Direct BBC public-service scope</x:v>
      </x:c>
      <x:c r="AQ871" s="14" t="str">
        <x:v>Yes</x:v>
      </x:c>
      <x:c r="AR871" s="14" t="str">
        <x:v>Resolved from master register</x:v>
      </x:c>
      <x:c r="AS871" s="14" t="str">
        <x:v>No established-register match</x:v>
      </x:c>
      <x:c r="AT871" s="14"/>
      <x:c r="AU871" s="14"/>
      <x:c r="AV871" s="14" t="str">
        <x:v>No established apparent-disability match</x:v>
      </x:c>
      <x:c r="AW871" s="14"/>
      <x:c r="AX871" s="14" t="str">
        <x:v>No</x:v>
      </x:c>
      <x:c r="AY871" s="14" t="str">
        <x:v>Unmatched</x:v>
      </x:c>
      <x:c r="AZ871" s="14" t="str">
        <x:v>Final supplied register</x:v>
      </x:c>
      <x:c r="BA871" s="14" t="str">
        <x:v>Absence from the register is not evidence that the performer is not disabled.</x:v>
      </x:c>
      <x:c r="BB871" s="14" t="str">
        <x:v>No established-register match</x:v>
      </x:c>
      <x:c r="BC871" s="14"/>
      <x:c r="BD871" s="14"/>
      <x:c r="BE871" s="14"/>
      <x:c r="BF871" s="14" t="str">
        <x:v>No established apparent-disability match</x:v>
      </x:c>
      <x:c r="BG871" s="14"/>
      <x:c r="BH871" s="14" t="str">
        <x:v>No</x:v>
      </x:c>
      <x:c r="BI871" s="14"/>
      <x:c r="BJ871" s="14"/>
      <x:c r="BK871" s="14"/>
      <x:c r="BL871" s="14" t="str">
        <x:v>Unmatched</x:v>
      </x:c>
      <x:c r="BM871" s="14" t="str">
        <x:v>Final supplied register</x:v>
      </x:c>
      <x:c r="BN871" s="14" t="str">
        <x:v>Absence from the register is not evidence that the performer is not disabled.</x:v>
      </x:c>
      <x:c r="BO871" s="14" t="n">
        <x:v>5</x:v>
      </x:c>
      <x:c r="BP871" s="14" t="str">
        <x:v>Maximum eligible IMDb cast-credit total (5), shared by 18 performer(s); not independently verified as a 2021-only episode total.</x:v>
      </x:c>
      <x:c r="BQ871" s="14" t="str">
        <x:v>Medium</x:v>
      </x:c>
      <x:c r="BR871" s="15" t="n">
        <x:v>5</x:v>
      </x:c>
      <x:c r="BS871" s="16" t="n">
        <x:v>1</x:v>
      </x:c>
      <x:c r="BT871" s="14" t="str">
        <x:v>All episodes</x:v>
      </x:c>
      <x:c r="BU871" s="14" t="str">
        <x:v>Medium</x:v>
      </x:c>
      <x:c r="BV871" s="14" t="str">
        <x:v>Derived from supplied IMDb episode count and the documented production-total proxy.</x:v>
      </x:c>
      <x:c r="BW871" s="14" t="str">
        <x:v>Unable to determine</x:v>
      </x:c>
      <x:c r="BX871" s="14" t="str">
        <x:v>Supplied cast data establishes the credit and episode presence but does not establish narrative prominence.</x:v>
      </x:c>
      <x:c r="BY871" s="14" t="str">
        <x:v>Supplied IMDb cast-list workbook</x:v>
      </x:c>
      <x:c r="BZ87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1" s="14" t="str">
        <x:v>Not classified</x:v>
      </x:c>
      <x:c r="CB871" s="14" t="str">
        <x:v>Unable to determine</x:v>
      </x:c>
      <x:c r="CC871" s="14" t="str">
        <x:v>Unique</x:v>
      </x:c>
      <x:c r="CD871" s="14" t="str">
        <x:v>None identified</x:v>
      </x:c>
    </x:row>
    <x:row r="872">
      <x:c r="A872" s="14" t="str">
        <x:v>tt11403434|nm1478079|di miles southgate</x:v>
      </x:c>
      <x:c r="B872" s="14" t="str">
        <x:v>03</x:v>
      </x:c>
      <x:c r="C872" s="14" t="str">
        <x:v>2021_IMDb_Cast_Lists_Batch_03(1).xlsx</x:v>
      </x:c>
      <x:c r="D872" s="14" t="str">
        <x:v>Showtrial</x:v>
      </x:c>
      <x:c r="E872" s="14" t="n">
        <x:v>15</x:v>
      </x:c>
      <x:c r="F872" s="14" t="str">
        <x:v>Showtrial</x:v>
      </x:c>
      <x:c r="G872" s="14" t="str">
        <x:v>tt11403434</x:v>
      </x:c>
      <x:c r="H872" s="14" t="n">
        <x:v>2021</x:v>
      </x:c>
      <x:c r="I872" s="14" t="n">
        <x:v>2023</x:v>
      </x:c>
      <x:c r="J872" s="14" t="str">
        <x:v>Future Carry-Forward Cohort</x:v>
      </x:c>
      <x:c r="K872" s="14" t="n">
        <x:v>2021</x:v>
      </x:c>
      <x:c r="L872" s="14" t="str">
        <x:v>Available from 2021 analysis</x:v>
      </x:c>
      <x:c r="M872" s="15" t="n">
        <x:v>8</x:v>
      </x:c>
      <x:c r="N872" s="14" t="str">
        <x:v>Joe Dempsie</x:v>
      </x:c>
      <x:c r="O872" s="14" t="str">
        <x:v>nm1478079</x:v>
      </x:c>
      <x:c r="P872" s="14" t="str">
        <x:v>DI Miles Southgate</x:v>
      </x:c>
      <x:c r="Q872" s="15" t="n">
        <x:v>5</x:v>
      </x:c>
      <x:c r="R872" s="14" t="str">
        <x:v>2024</x:v>
      </x:c>
      <x:c r="S872" s="14" t="n">
        <x:v>2024</x:v>
      </x:c>
      <x:c r="T872" s="14" t="n">
        <x:v>2024</x:v>
      </x:c>
      <x:c r="U872" s="14" t="str">
        <x:v>Post-2021 casting excluded</x:v>
      </x:c>
      <x:c r="V872" s="14" t="str">
        <x:v>Earliest supplied year is 2024, later than the 2021 study year.</x:v>
      </x:c>
      <x:c r="W872" s="14"/>
      <x:c r="X872" s="14" t="str">
        <x:v>Carried forward to 2024</x:v>
      </x:c>
      <x:c r="Y872" s="14"/>
      <x:c r="Z872" s="14" t="str">
        <x:v>Showtrial.docx</x:v>
      </x:c>
      <x:c r="AA87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2" s="14" t="str">
        <x:v>No established-register match</x:v>
      </x:c>
      <x:c r="AC872" s="14"/>
      <x:c r="AD872" s="14"/>
      <x:c r="AE872" s="14"/>
      <x:c r="AF872" s="14"/>
      <x:c r="AG872" s="14" t="str">
        <x:v>No qualifying conclusion recorded. Absence from the register is not evidence that the performer is not disabled.</x:v>
      </x:c>
      <x:c r="AH872" s="14" t="str">
        <x:v>BBC</x:v>
      </x:c>
      <x:c r="AI872" s="14" t="str">
        <x:v>UK original commission</x:v>
      </x:c>
      <x:c r="AJ872" s="14" t="str">
        <x:v>Exact normalised title</x:v>
      </x:c>
      <x:c r="AK872" s="14" t="str">
        <x:v>Medium</x:v>
      </x:c>
      <x:c r="AL872" s="14" t="str">
        <x:v>Verified for commissioner/platform scope; uk original commission.</x:v>
      </x:c>
      <x:c r="AM872" s="17" t="e">
        <x:f>HYPERLINK("https://en.wikipedia.org/wiki/Show_trial","Open source")</x:f>
        <x:v>HYPERLINK is not implemented. linkLocation=https://en.wikipedia.org/wiki/Show_trial, friendlyName=Open source</x:v>
      </x:c>
      <x:c r="AN872" s="14" t="str">
        <x:v>BBC public-service commission</x:v>
      </x:c>
      <x:c r="AO872" s="14" t="str">
        <x:v>Yes</x:v>
      </x:c>
      <x:c r="AP872" s="14" t="str">
        <x:v>Direct BBC public-service scope</x:v>
      </x:c>
      <x:c r="AQ872" s="14" t="str">
        <x:v>Yes</x:v>
      </x:c>
      <x:c r="AR872" s="14" t="str">
        <x:v>Resolved from master register</x:v>
      </x:c>
      <x:c r="AS872" s="14" t="str">
        <x:v>No established-register match</x:v>
      </x:c>
      <x:c r="AT872" s="14"/>
      <x:c r="AU872" s="14"/>
      <x:c r="AV872" s="14" t="str">
        <x:v>No established apparent-disability match</x:v>
      </x:c>
      <x:c r="AW872" s="14"/>
      <x:c r="AX872" s="14" t="str">
        <x:v>No</x:v>
      </x:c>
      <x:c r="AY872" s="14" t="str">
        <x:v>Unmatched</x:v>
      </x:c>
      <x:c r="AZ872" s="14" t="str">
        <x:v>Final supplied register</x:v>
      </x:c>
      <x:c r="BA872" s="14" t="str">
        <x:v>Absence from the register is not evidence that the performer is not disabled.</x:v>
      </x:c>
      <x:c r="BB872" s="14" t="str">
        <x:v>No established-register match</x:v>
      </x:c>
      <x:c r="BC872" s="14"/>
      <x:c r="BD872" s="14"/>
      <x:c r="BE872" s="14"/>
      <x:c r="BF872" s="14" t="str">
        <x:v>No established apparent-disability match</x:v>
      </x:c>
      <x:c r="BG872" s="14"/>
      <x:c r="BH872" s="14" t="str">
        <x:v>No</x:v>
      </x:c>
      <x:c r="BI872" s="14"/>
      <x:c r="BJ872" s="14"/>
      <x:c r="BK872" s="14"/>
      <x:c r="BL872" s="14" t="str">
        <x:v>Unmatched</x:v>
      </x:c>
      <x:c r="BM872" s="14" t="str">
        <x:v>Final supplied register</x:v>
      </x:c>
      <x:c r="BN872" s="14" t="str">
        <x:v>Absence from the register is not evidence that the performer is not disabled.</x:v>
      </x:c>
      <x:c r="BO872" s="14" t="n">
        <x:v>5</x:v>
      </x:c>
      <x:c r="BP872" s="14" t="str">
        <x:v>Maximum eligible IMDb cast-credit total (5), shared by 18 performer(s); not independently verified as a 2021-only episode total.</x:v>
      </x:c>
      <x:c r="BQ872" s="14" t="str">
        <x:v>Medium</x:v>
      </x:c>
      <x:c r="BR872" s="15" t="n">
        <x:v>5</x:v>
      </x:c>
      <x:c r="BS872" s="16" t="n">
        <x:v>1</x:v>
      </x:c>
      <x:c r="BT872" s="14" t="str">
        <x:v>All episodes</x:v>
      </x:c>
      <x:c r="BU872" s="14" t="str">
        <x:v>Medium</x:v>
      </x:c>
      <x:c r="BV872" s="14" t="str">
        <x:v>Derived from supplied IMDb episode count and the documented production-total proxy.</x:v>
      </x:c>
      <x:c r="BW872" s="14" t="str">
        <x:v>Unable to determine</x:v>
      </x:c>
      <x:c r="BX872" s="14" t="str">
        <x:v>Supplied cast data establishes the credit and episode presence but does not establish narrative prominence.</x:v>
      </x:c>
      <x:c r="BY872" s="14" t="str">
        <x:v>Supplied IMDb cast-list workbook</x:v>
      </x:c>
      <x:c r="BZ87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2" s="14" t="str">
        <x:v>Not classified</x:v>
      </x:c>
      <x:c r="CB872" s="14" t="str">
        <x:v>Unable to determine</x:v>
      </x:c>
      <x:c r="CC872" s="14" t="str">
        <x:v>Unique</x:v>
      </x:c>
      <x:c r="CD872" s="14" t="str">
        <x:v>None identified</x:v>
      </x:c>
    </x:row>
    <x:row r="873">
      <x:c r="A873" s="14" t="str">
        <x:v>tt11403434|nm6160535|felix owusu</x:v>
      </x:c>
      <x:c r="B873" s="14" t="str">
        <x:v>03</x:v>
      </x:c>
      <x:c r="C873" s="14" t="str">
        <x:v>2021_IMDb_Cast_Lists_Batch_03(1).xlsx</x:v>
      </x:c>
      <x:c r="D873" s="14" t="str">
        <x:v>Showtrial</x:v>
      </x:c>
      <x:c r="E873" s="14" t="n">
        <x:v>17</x:v>
      </x:c>
      <x:c r="F873" s="14" t="str">
        <x:v>Showtrial</x:v>
      </x:c>
      <x:c r="G873" s="14" t="str">
        <x:v>tt11403434</x:v>
      </x:c>
      <x:c r="H873" s="14" t="n">
        <x:v>2021</x:v>
      </x:c>
      <x:c r="I873" s="14" t="n">
        <x:v>2023</x:v>
      </x:c>
      <x:c r="J873" s="14" t="str">
        <x:v>Future Carry-Forward Cohort</x:v>
      </x:c>
      <x:c r="K873" s="14" t="n">
        <x:v>2021</x:v>
      </x:c>
      <x:c r="L873" s="14" t="str">
        <x:v>Available from 2021 analysis</x:v>
      </x:c>
      <x:c r="M873" s="15" t="n">
        <x:v>10</x:v>
      </x:c>
      <x:c r="N873" s="14" t="str">
        <x:v>Fisayo Akinade</x:v>
      </x:c>
      <x:c r="O873" s="14" t="str">
        <x:v>nm6160535</x:v>
      </x:c>
      <x:c r="P873" s="14" t="str">
        <x:v>Felix Owusu</x:v>
      </x:c>
      <x:c r="Q873" s="15" t="n">
        <x:v>5</x:v>
      </x:c>
      <x:c r="R873" s="14" t="str">
        <x:v>2024</x:v>
      </x:c>
      <x:c r="S873" s="14" t="n">
        <x:v>2024</x:v>
      </x:c>
      <x:c r="T873" s="14" t="n">
        <x:v>2024</x:v>
      </x:c>
      <x:c r="U873" s="14" t="str">
        <x:v>Post-2021 casting excluded</x:v>
      </x:c>
      <x:c r="V873" s="14" t="str">
        <x:v>Earliest supplied year is 2024, later than the 2021 study year.</x:v>
      </x:c>
      <x:c r="W873" s="14"/>
      <x:c r="X873" s="14" t="str">
        <x:v>Carried forward to 2024</x:v>
      </x:c>
      <x:c r="Y873" s="14"/>
      <x:c r="Z873" s="14" t="str">
        <x:v>Showtrial.docx</x:v>
      </x:c>
      <x:c r="AA87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3" s="14" t="str">
        <x:v>No established-register match</x:v>
      </x:c>
      <x:c r="AC873" s="14"/>
      <x:c r="AD873" s="14"/>
      <x:c r="AE873" s="14"/>
      <x:c r="AF873" s="14"/>
      <x:c r="AG873" s="14" t="str">
        <x:v>No qualifying conclusion recorded. Absence from the register is not evidence that the performer is not disabled.</x:v>
      </x:c>
      <x:c r="AH873" s="14" t="str">
        <x:v>BBC</x:v>
      </x:c>
      <x:c r="AI873" s="14" t="str">
        <x:v>UK original commission</x:v>
      </x:c>
      <x:c r="AJ873" s="14" t="str">
        <x:v>Exact normalised title</x:v>
      </x:c>
      <x:c r="AK873" s="14" t="str">
        <x:v>Medium</x:v>
      </x:c>
      <x:c r="AL873" s="14" t="str">
        <x:v>Verified for commissioner/platform scope; uk original commission.</x:v>
      </x:c>
      <x:c r="AM873" s="17" t="e">
        <x:f>HYPERLINK("https://en.wikipedia.org/wiki/Show_trial","Open source")</x:f>
        <x:v>HYPERLINK is not implemented. linkLocation=https://en.wikipedia.org/wiki/Show_trial, friendlyName=Open source</x:v>
      </x:c>
      <x:c r="AN873" s="14" t="str">
        <x:v>BBC public-service commission</x:v>
      </x:c>
      <x:c r="AO873" s="14" t="str">
        <x:v>Yes</x:v>
      </x:c>
      <x:c r="AP873" s="14" t="str">
        <x:v>Direct BBC public-service scope</x:v>
      </x:c>
      <x:c r="AQ873" s="14" t="str">
        <x:v>Yes</x:v>
      </x:c>
      <x:c r="AR873" s="14" t="str">
        <x:v>Resolved from master register</x:v>
      </x:c>
      <x:c r="AS873" s="14" t="str">
        <x:v>No established-register match</x:v>
      </x:c>
      <x:c r="AT873" s="14"/>
      <x:c r="AU873" s="14"/>
      <x:c r="AV873" s="14" t="str">
        <x:v>No established apparent-disability match</x:v>
      </x:c>
      <x:c r="AW873" s="14"/>
      <x:c r="AX873" s="14" t="str">
        <x:v>No</x:v>
      </x:c>
      <x:c r="AY873" s="14" t="str">
        <x:v>Unmatched</x:v>
      </x:c>
      <x:c r="AZ873" s="14" t="str">
        <x:v>Final supplied register</x:v>
      </x:c>
      <x:c r="BA873" s="14" t="str">
        <x:v>Absence from the register is not evidence that the performer is not disabled.</x:v>
      </x:c>
      <x:c r="BB873" s="14" t="str">
        <x:v>No established-register match</x:v>
      </x:c>
      <x:c r="BC873" s="14"/>
      <x:c r="BD873" s="14"/>
      <x:c r="BE873" s="14"/>
      <x:c r="BF873" s="14" t="str">
        <x:v>No established apparent-disability match</x:v>
      </x:c>
      <x:c r="BG873" s="14"/>
      <x:c r="BH873" s="14" t="str">
        <x:v>No</x:v>
      </x:c>
      <x:c r="BI873" s="14"/>
      <x:c r="BJ873" s="14"/>
      <x:c r="BK873" s="14"/>
      <x:c r="BL873" s="14" t="str">
        <x:v>Unmatched</x:v>
      </x:c>
      <x:c r="BM873" s="14" t="str">
        <x:v>Final supplied register</x:v>
      </x:c>
      <x:c r="BN873" s="14" t="str">
        <x:v>Absence from the register is not evidence that the performer is not disabled.</x:v>
      </x:c>
      <x:c r="BO873" s="14" t="n">
        <x:v>5</x:v>
      </x:c>
      <x:c r="BP873" s="14" t="str">
        <x:v>Maximum eligible IMDb cast-credit total (5), shared by 18 performer(s); not independently verified as a 2021-only episode total.</x:v>
      </x:c>
      <x:c r="BQ873" s="14" t="str">
        <x:v>Medium</x:v>
      </x:c>
      <x:c r="BR873" s="15" t="n">
        <x:v>5</x:v>
      </x:c>
      <x:c r="BS873" s="16" t="n">
        <x:v>1</x:v>
      </x:c>
      <x:c r="BT873" s="14" t="str">
        <x:v>All episodes</x:v>
      </x:c>
      <x:c r="BU873" s="14" t="str">
        <x:v>Medium</x:v>
      </x:c>
      <x:c r="BV873" s="14" t="str">
        <x:v>Derived from supplied IMDb episode count and the documented production-total proxy.</x:v>
      </x:c>
      <x:c r="BW873" s="14" t="str">
        <x:v>Unable to determine</x:v>
      </x:c>
      <x:c r="BX873" s="14" t="str">
        <x:v>Supplied cast data establishes the credit and episode presence but does not establish narrative prominence.</x:v>
      </x:c>
      <x:c r="BY873" s="14" t="str">
        <x:v>Supplied IMDb cast-list workbook</x:v>
      </x:c>
      <x:c r="BZ87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3" s="14" t="str">
        <x:v>Not classified</x:v>
      </x:c>
      <x:c r="CB873" s="14" t="str">
        <x:v>Unable to determine</x:v>
      </x:c>
      <x:c r="CC873" s="14" t="str">
        <x:v>Unique</x:v>
      </x:c>
      <x:c r="CD873" s="14" t="str">
        <x:v>None identified</x:v>
      </x:c>
    </x:row>
    <x:row r="874">
      <x:c r="A874" s="14" t="str">
        <x:v>tt11403434|nm0854364|helen mcguire</x:v>
      </x:c>
      <x:c r="B874" s="14" t="str">
        <x:v>03</x:v>
      </x:c>
      <x:c r="C874" s="14" t="str">
        <x:v>2021_IMDb_Cast_Lists_Batch_03(1).xlsx</x:v>
      </x:c>
      <x:c r="D874" s="14" t="str">
        <x:v>Showtrial</x:v>
      </x:c>
      <x:c r="E874" s="14" t="n">
        <x:v>19</x:v>
      </x:c>
      <x:c r="F874" s="14" t="str">
        <x:v>Showtrial</x:v>
      </x:c>
      <x:c r="G874" s="14" t="str">
        <x:v>tt11403434</x:v>
      </x:c>
      <x:c r="H874" s="14" t="n">
        <x:v>2021</x:v>
      </x:c>
      <x:c r="I874" s="14" t="n">
        <x:v>2023</x:v>
      </x:c>
      <x:c r="J874" s="14" t="str">
        <x:v>Future Carry-Forward Cohort</x:v>
      </x:c>
      <x:c r="K874" s="14" t="n">
        <x:v>2021</x:v>
      </x:c>
      <x:c r="L874" s="14" t="str">
        <x:v>Available from 2021 analysis</x:v>
      </x:c>
      <x:c r="M874" s="15" t="n">
        <x:v>12</x:v>
      </x:c>
      <x:c r="N874" s="14" t="str">
        <x:v>Zoe Telford</x:v>
      </x:c>
      <x:c r="O874" s="14" t="str">
        <x:v>nm0854364</x:v>
      </x:c>
      <x:c r="P874" s="14" t="str">
        <x:v>Helen McGuire</x:v>
      </x:c>
      <x:c r="Q874" s="15" t="n">
        <x:v>5</x:v>
      </x:c>
      <x:c r="R874" s="14" t="str">
        <x:v>2024</x:v>
      </x:c>
      <x:c r="S874" s="14" t="n">
        <x:v>2024</x:v>
      </x:c>
      <x:c r="T874" s="14" t="n">
        <x:v>2024</x:v>
      </x:c>
      <x:c r="U874" s="14" t="str">
        <x:v>Post-2021 casting excluded</x:v>
      </x:c>
      <x:c r="V874" s="14" t="str">
        <x:v>Earliest supplied year is 2024, later than the 2021 study year.</x:v>
      </x:c>
      <x:c r="W874" s="14"/>
      <x:c r="X874" s="14" t="str">
        <x:v>Carried forward to 2024</x:v>
      </x:c>
      <x:c r="Y874" s="14" t="str">
        <x:v>(as Zoë Telford)</x:v>
      </x:c>
      <x:c r="Z874" s="14" t="str">
        <x:v>Showtrial.docx</x:v>
      </x:c>
      <x:c r="AA87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4" s="14" t="str">
        <x:v>No established-register match</x:v>
      </x:c>
      <x:c r="AC874" s="14"/>
      <x:c r="AD874" s="14"/>
      <x:c r="AE874" s="14"/>
      <x:c r="AF874" s="14"/>
      <x:c r="AG874" s="14" t="str">
        <x:v>No qualifying conclusion recorded. Absence from the register is not evidence that the performer is not disabled.</x:v>
      </x:c>
      <x:c r="AH874" s="14" t="str">
        <x:v>BBC</x:v>
      </x:c>
      <x:c r="AI874" s="14" t="str">
        <x:v>UK original commission</x:v>
      </x:c>
      <x:c r="AJ874" s="14" t="str">
        <x:v>Exact normalised title</x:v>
      </x:c>
      <x:c r="AK874" s="14" t="str">
        <x:v>Medium</x:v>
      </x:c>
      <x:c r="AL874" s="14" t="str">
        <x:v>Verified for commissioner/platform scope; uk original commission.</x:v>
      </x:c>
      <x:c r="AM874" s="17" t="e">
        <x:f>HYPERLINK("https://en.wikipedia.org/wiki/Show_trial","Open source")</x:f>
        <x:v>HYPERLINK is not implemented. linkLocation=https://en.wikipedia.org/wiki/Show_trial, friendlyName=Open source</x:v>
      </x:c>
      <x:c r="AN874" s="14" t="str">
        <x:v>BBC public-service commission</x:v>
      </x:c>
      <x:c r="AO874" s="14" t="str">
        <x:v>Yes</x:v>
      </x:c>
      <x:c r="AP874" s="14" t="str">
        <x:v>Direct BBC public-service scope</x:v>
      </x:c>
      <x:c r="AQ874" s="14" t="str">
        <x:v>Yes</x:v>
      </x:c>
      <x:c r="AR874" s="14" t="str">
        <x:v>Resolved from master register</x:v>
      </x:c>
      <x:c r="AS874" s="14" t="str">
        <x:v>No established-register match</x:v>
      </x:c>
      <x:c r="AT874" s="14"/>
      <x:c r="AU874" s="14"/>
      <x:c r="AV874" s="14" t="str">
        <x:v>No established apparent-disability match</x:v>
      </x:c>
      <x:c r="AW874" s="14"/>
      <x:c r="AX874" s="14" t="str">
        <x:v>No</x:v>
      </x:c>
      <x:c r="AY874" s="14" t="str">
        <x:v>Unmatched</x:v>
      </x:c>
      <x:c r="AZ874" s="14" t="str">
        <x:v>Final supplied register</x:v>
      </x:c>
      <x:c r="BA874" s="14" t="str">
        <x:v>Absence from the register is not evidence that the performer is not disabled.</x:v>
      </x:c>
      <x:c r="BB874" s="14" t="str">
        <x:v>No established-register match</x:v>
      </x:c>
      <x:c r="BC874" s="14"/>
      <x:c r="BD874" s="14"/>
      <x:c r="BE874" s="14"/>
      <x:c r="BF874" s="14" t="str">
        <x:v>No established apparent-disability match</x:v>
      </x:c>
      <x:c r="BG874" s="14"/>
      <x:c r="BH874" s="14" t="str">
        <x:v>No</x:v>
      </x:c>
      <x:c r="BI874" s="14"/>
      <x:c r="BJ874" s="14"/>
      <x:c r="BK874" s="14"/>
      <x:c r="BL874" s="14" t="str">
        <x:v>Unmatched</x:v>
      </x:c>
      <x:c r="BM874" s="14" t="str">
        <x:v>Final supplied register</x:v>
      </x:c>
      <x:c r="BN874" s="14" t="str">
        <x:v>Absence from the register is not evidence that the performer is not disabled.</x:v>
      </x:c>
      <x:c r="BO874" s="14" t="n">
        <x:v>5</x:v>
      </x:c>
      <x:c r="BP874" s="14" t="str">
        <x:v>Maximum eligible IMDb cast-credit total (5), shared by 18 performer(s); not independently verified as a 2021-only episode total.</x:v>
      </x:c>
      <x:c r="BQ874" s="14" t="str">
        <x:v>Medium</x:v>
      </x:c>
      <x:c r="BR874" s="15" t="n">
        <x:v>5</x:v>
      </x:c>
      <x:c r="BS874" s="16" t="n">
        <x:v>1</x:v>
      </x:c>
      <x:c r="BT874" s="14" t="str">
        <x:v>All episodes</x:v>
      </x:c>
      <x:c r="BU874" s="14" t="str">
        <x:v>Medium</x:v>
      </x:c>
      <x:c r="BV874" s="14" t="str">
        <x:v>Derived from supplied IMDb episode count and the documented production-total proxy.</x:v>
      </x:c>
      <x:c r="BW874" s="14" t="str">
        <x:v>Unable to determine</x:v>
      </x:c>
      <x:c r="BX874" s="14" t="str">
        <x:v>Supplied cast data establishes the credit and episode presence but does not establish narrative prominence.</x:v>
      </x:c>
      <x:c r="BY874" s="14" t="str">
        <x:v>Supplied IMDb cast-list workbook</x:v>
      </x:c>
      <x:c r="BZ87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4" s="14" t="str">
        <x:v>Not classified</x:v>
      </x:c>
      <x:c r="CB874" s="14" t="str">
        <x:v>Unable to determine</x:v>
      </x:c>
      <x:c r="CC874" s="14" t="str">
        <x:v>Unique</x:v>
      </x:c>
      <x:c r="CD874" s="14" t="str">
        <x:v>None identified</x:v>
      </x:c>
    </x:row>
    <x:row r="875">
      <x:c r="A875" s="14" t="str">
        <x:v>tt11403434|nm2804975|claudia wood</x:v>
      </x:c>
      <x:c r="B875" s="14" t="str">
        <x:v>03</x:v>
      </x:c>
      <x:c r="C875" s="14" t="str">
        <x:v>2021_IMDb_Cast_Lists_Batch_03(1).xlsx</x:v>
      </x:c>
      <x:c r="D875" s="14" t="str">
        <x:v>Showtrial</x:v>
      </x:c>
      <x:c r="E875" s="14" t="n">
        <x:v>21</x:v>
      </x:c>
      <x:c r="F875" s="14" t="str">
        <x:v>Showtrial</x:v>
      </x:c>
      <x:c r="G875" s="14" t="str">
        <x:v>tt11403434</x:v>
      </x:c>
      <x:c r="H875" s="14" t="n">
        <x:v>2021</x:v>
      </x:c>
      <x:c r="I875" s="14" t="n">
        <x:v>2023</x:v>
      </x:c>
      <x:c r="J875" s="14" t="str">
        <x:v>Future Carry-Forward Cohort</x:v>
      </x:c>
      <x:c r="K875" s="14" t="n">
        <x:v>2021</x:v>
      </x:c>
      <x:c r="L875" s="14" t="str">
        <x:v>Available from 2021 analysis</x:v>
      </x:c>
      <x:c r="M875" s="15" t="n">
        <x:v>14</x:v>
      </x:c>
      <x:c r="N875" s="14" t="str">
        <x:v>Nina Toussaint-White</x:v>
      </x:c>
      <x:c r="O875" s="14" t="str">
        <x:v>nm2804975</x:v>
      </x:c>
      <x:c r="P875" s="14" t="str">
        <x:v>Claudia Wood</x:v>
      </x:c>
      <x:c r="Q875" s="15" t="n">
        <x:v>5</x:v>
      </x:c>
      <x:c r="R875" s="14" t="str">
        <x:v>2024</x:v>
      </x:c>
      <x:c r="S875" s="14" t="n">
        <x:v>2024</x:v>
      </x:c>
      <x:c r="T875" s="14" t="n">
        <x:v>2024</x:v>
      </x:c>
      <x:c r="U875" s="14" t="str">
        <x:v>Post-2021 casting excluded</x:v>
      </x:c>
      <x:c r="V875" s="14" t="str">
        <x:v>Earliest supplied year is 2024, later than the 2021 study year.</x:v>
      </x:c>
      <x:c r="W875" s="14"/>
      <x:c r="X875" s="14" t="str">
        <x:v>Carried forward to 2024</x:v>
      </x:c>
      <x:c r="Y875" s="14"/>
      <x:c r="Z875" s="14" t="str">
        <x:v>Showtrial.docx</x:v>
      </x:c>
      <x:c r="AA87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5" s="14" t="str">
        <x:v>No established-register match</x:v>
      </x:c>
      <x:c r="AC875" s="14"/>
      <x:c r="AD875" s="14"/>
      <x:c r="AE875" s="14"/>
      <x:c r="AF875" s="14"/>
      <x:c r="AG875" s="14" t="str">
        <x:v>No qualifying conclusion recorded. Absence from the register is not evidence that the performer is not disabled.</x:v>
      </x:c>
      <x:c r="AH875" s="14" t="str">
        <x:v>BBC</x:v>
      </x:c>
      <x:c r="AI875" s="14" t="str">
        <x:v>UK original commission</x:v>
      </x:c>
      <x:c r="AJ875" s="14" t="str">
        <x:v>Exact normalised title</x:v>
      </x:c>
      <x:c r="AK875" s="14" t="str">
        <x:v>Medium</x:v>
      </x:c>
      <x:c r="AL875" s="14" t="str">
        <x:v>Verified for commissioner/platform scope; uk original commission.</x:v>
      </x:c>
      <x:c r="AM875" s="17" t="e">
        <x:f>HYPERLINK("https://en.wikipedia.org/wiki/Show_trial","Open source")</x:f>
        <x:v>HYPERLINK is not implemented. linkLocation=https://en.wikipedia.org/wiki/Show_trial, friendlyName=Open source</x:v>
      </x:c>
      <x:c r="AN875" s="14" t="str">
        <x:v>BBC public-service commission</x:v>
      </x:c>
      <x:c r="AO875" s="14" t="str">
        <x:v>Yes</x:v>
      </x:c>
      <x:c r="AP875" s="14" t="str">
        <x:v>Direct BBC public-service scope</x:v>
      </x:c>
      <x:c r="AQ875" s="14" t="str">
        <x:v>Yes</x:v>
      </x:c>
      <x:c r="AR875" s="14" t="str">
        <x:v>Resolved from master register</x:v>
      </x:c>
      <x:c r="AS875" s="14" t="str">
        <x:v>No established-register match</x:v>
      </x:c>
      <x:c r="AT875" s="14"/>
      <x:c r="AU875" s="14"/>
      <x:c r="AV875" s="14" t="str">
        <x:v>No established apparent-disability match</x:v>
      </x:c>
      <x:c r="AW875" s="14"/>
      <x:c r="AX875" s="14" t="str">
        <x:v>No</x:v>
      </x:c>
      <x:c r="AY875" s="14" t="str">
        <x:v>Unmatched</x:v>
      </x:c>
      <x:c r="AZ875" s="14" t="str">
        <x:v>Final supplied register</x:v>
      </x:c>
      <x:c r="BA875" s="14" t="str">
        <x:v>Absence from the register is not evidence that the performer is not disabled.</x:v>
      </x:c>
      <x:c r="BB875" s="14" t="str">
        <x:v>No established-register match</x:v>
      </x:c>
      <x:c r="BC875" s="14"/>
      <x:c r="BD875" s="14"/>
      <x:c r="BE875" s="14"/>
      <x:c r="BF875" s="14" t="str">
        <x:v>No established apparent-disability match</x:v>
      </x:c>
      <x:c r="BG875" s="14"/>
      <x:c r="BH875" s="14" t="str">
        <x:v>No</x:v>
      </x:c>
      <x:c r="BI875" s="14"/>
      <x:c r="BJ875" s="14"/>
      <x:c r="BK875" s="14"/>
      <x:c r="BL875" s="14" t="str">
        <x:v>Unmatched</x:v>
      </x:c>
      <x:c r="BM875" s="14" t="str">
        <x:v>Final supplied register</x:v>
      </x:c>
      <x:c r="BN875" s="14" t="str">
        <x:v>Absence from the register is not evidence that the performer is not disabled.</x:v>
      </x:c>
      <x:c r="BO875" s="14" t="n">
        <x:v>5</x:v>
      </x:c>
      <x:c r="BP875" s="14" t="str">
        <x:v>Maximum eligible IMDb cast-credit total (5), shared by 18 performer(s); not independently verified as a 2021-only episode total.</x:v>
      </x:c>
      <x:c r="BQ875" s="14" t="str">
        <x:v>Medium</x:v>
      </x:c>
      <x:c r="BR875" s="15" t="n">
        <x:v>5</x:v>
      </x:c>
      <x:c r="BS875" s="16" t="n">
        <x:v>1</x:v>
      </x:c>
      <x:c r="BT875" s="14" t="str">
        <x:v>All episodes</x:v>
      </x:c>
      <x:c r="BU875" s="14" t="str">
        <x:v>Medium</x:v>
      </x:c>
      <x:c r="BV875" s="14" t="str">
        <x:v>Derived from supplied IMDb episode count and the documented production-total proxy.</x:v>
      </x:c>
      <x:c r="BW875" s="14" t="str">
        <x:v>Unable to determine</x:v>
      </x:c>
      <x:c r="BX875" s="14" t="str">
        <x:v>Supplied cast data establishes the credit and episode presence but does not establish narrative prominence.</x:v>
      </x:c>
      <x:c r="BY875" s="14" t="str">
        <x:v>Supplied IMDb cast-list workbook</x:v>
      </x:c>
      <x:c r="BZ87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5" s="14" t="str">
        <x:v>Not classified</x:v>
      </x:c>
      <x:c r="CB875" s="14" t="str">
        <x:v>Unable to determine</x:v>
      </x:c>
      <x:c r="CC875" s="14" t="str">
        <x:v>Unique</x:v>
      </x:c>
      <x:c r="CD875" s="14" t="str">
        <x:v>None identified</x:v>
      </x:c>
    </x:row>
    <x:row r="876">
      <x:c r="A876" s="14" t="str">
        <x:v>tt11403434|nm9890433|mani malik-cohen</x:v>
      </x:c>
      <x:c r="B876" s="14" t="str">
        <x:v>03</x:v>
      </x:c>
      <x:c r="C876" s="14" t="str">
        <x:v>2021_IMDb_Cast_Lists_Batch_03(1).xlsx</x:v>
      </x:c>
      <x:c r="D876" s="14" t="str">
        <x:v>Showtrial</x:v>
      </x:c>
      <x:c r="E876" s="14" t="n">
        <x:v>22</x:v>
      </x:c>
      <x:c r="F876" s="14" t="str">
        <x:v>Showtrial</x:v>
      </x:c>
      <x:c r="G876" s="14" t="str">
        <x:v>tt11403434</x:v>
      </x:c>
      <x:c r="H876" s="14" t="n">
        <x:v>2021</x:v>
      </x:c>
      <x:c r="I876" s="14" t="n">
        <x:v>2023</x:v>
      </x:c>
      <x:c r="J876" s="14" t="str">
        <x:v>Future Carry-Forward Cohort</x:v>
      </x:c>
      <x:c r="K876" s="14" t="n">
        <x:v>2021</x:v>
      </x:c>
      <x:c r="L876" s="14" t="str">
        <x:v>Available from 2021 analysis</x:v>
      </x:c>
      <x:c r="M876" s="15" t="n">
        <x:v>15</x:v>
      </x:c>
      <x:c r="N876" s="14" t="str">
        <x:v>Ali Khan</x:v>
      </x:c>
      <x:c r="O876" s="14" t="str">
        <x:v>nm9890433</x:v>
      </x:c>
      <x:c r="P876" s="14" t="str">
        <x:v>Mani Malik-Cohen</x:v>
      </x:c>
      <x:c r="Q876" s="15" t="n">
        <x:v>5</x:v>
      </x:c>
      <x:c r="R876" s="14" t="str">
        <x:v>2024</x:v>
      </x:c>
      <x:c r="S876" s="14" t="n">
        <x:v>2024</x:v>
      </x:c>
      <x:c r="T876" s="14" t="n">
        <x:v>2024</x:v>
      </x:c>
      <x:c r="U876" s="14" t="str">
        <x:v>Post-2021 casting excluded</x:v>
      </x:c>
      <x:c r="V876" s="14" t="str">
        <x:v>Earliest supplied year is 2024, later than the 2021 study year.</x:v>
      </x:c>
      <x:c r="W876" s="14"/>
      <x:c r="X876" s="14" t="str">
        <x:v>Carried forward to 2024</x:v>
      </x:c>
      <x:c r="Y876" s="14"/>
      <x:c r="Z876" s="14" t="str">
        <x:v>Showtrial.docx</x:v>
      </x:c>
      <x:c r="AA87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6" s="14" t="str">
        <x:v>No established-register match</x:v>
      </x:c>
      <x:c r="AC876" s="14"/>
      <x:c r="AD876" s="14"/>
      <x:c r="AE876" s="14"/>
      <x:c r="AF876" s="14"/>
      <x:c r="AG876" s="14" t="str">
        <x:v>No qualifying conclusion recorded. Absence from the register is not evidence that the performer is not disabled.</x:v>
      </x:c>
      <x:c r="AH876" s="14" t="str">
        <x:v>BBC</x:v>
      </x:c>
      <x:c r="AI876" s="14" t="str">
        <x:v>UK original commission</x:v>
      </x:c>
      <x:c r="AJ876" s="14" t="str">
        <x:v>Exact normalised title</x:v>
      </x:c>
      <x:c r="AK876" s="14" t="str">
        <x:v>Medium</x:v>
      </x:c>
      <x:c r="AL876" s="14" t="str">
        <x:v>Verified for commissioner/platform scope; uk original commission.</x:v>
      </x:c>
      <x:c r="AM876" s="17" t="e">
        <x:f>HYPERLINK("https://en.wikipedia.org/wiki/Show_trial","Open source")</x:f>
        <x:v>HYPERLINK is not implemented. linkLocation=https://en.wikipedia.org/wiki/Show_trial, friendlyName=Open source</x:v>
      </x:c>
      <x:c r="AN876" s="14" t="str">
        <x:v>BBC public-service commission</x:v>
      </x:c>
      <x:c r="AO876" s="14" t="str">
        <x:v>Yes</x:v>
      </x:c>
      <x:c r="AP876" s="14" t="str">
        <x:v>Direct BBC public-service scope</x:v>
      </x:c>
      <x:c r="AQ876" s="14" t="str">
        <x:v>Yes</x:v>
      </x:c>
      <x:c r="AR876" s="14" t="str">
        <x:v>Resolved from master register</x:v>
      </x:c>
      <x:c r="AS876" s="14" t="str">
        <x:v>No established-register match</x:v>
      </x:c>
      <x:c r="AT876" s="14"/>
      <x:c r="AU876" s="14"/>
      <x:c r="AV876" s="14" t="str">
        <x:v>No established apparent-disability match</x:v>
      </x:c>
      <x:c r="AW876" s="14"/>
      <x:c r="AX876" s="14" t="str">
        <x:v>No</x:v>
      </x:c>
      <x:c r="AY876" s="14" t="str">
        <x:v>Unmatched</x:v>
      </x:c>
      <x:c r="AZ876" s="14" t="str">
        <x:v>Final supplied register</x:v>
      </x:c>
      <x:c r="BA876" s="14" t="str">
        <x:v>Absence from the register is not evidence that the performer is not disabled.</x:v>
      </x:c>
      <x:c r="BB876" s="14" t="str">
        <x:v>No established-register match</x:v>
      </x:c>
      <x:c r="BC876" s="14"/>
      <x:c r="BD876" s="14"/>
      <x:c r="BE876" s="14"/>
      <x:c r="BF876" s="14" t="str">
        <x:v>No established apparent-disability match</x:v>
      </x:c>
      <x:c r="BG876" s="14"/>
      <x:c r="BH876" s="14" t="str">
        <x:v>No</x:v>
      </x:c>
      <x:c r="BI876" s="14"/>
      <x:c r="BJ876" s="14"/>
      <x:c r="BK876" s="14"/>
      <x:c r="BL876" s="14" t="str">
        <x:v>Unmatched</x:v>
      </x:c>
      <x:c r="BM876" s="14" t="str">
        <x:v>Final supplied register</x:v>
      </x:c>
      <x:c r="BN876" s="14" t="str">
        <x:v>Absence from the register is not evidence that the performer is not disabled.</x:v>
      </x:c>
      <x:c r="BO876" s="14" t="n">
        <x:v>5</x:v>
      </x:c>
      <x:c r="BP876" s="14" t="str">
        <x:v>Maximum eligible IMDb cast-credit total (5), shared by 18 performer(s); not independently verified as a 2021-only episode total.</x:v>
      </x:c>
      <x:c r="BQ876" s="14" t="str">
        <x:v>Medium</x:v>
      </x:c>
      <x:c r="BR876" s="15" t="n">
        <x:v>5</x:v>
      </x:c>
      <x:c r="BS876" s="16" t="n">
        <x:v>1</x:v>
      </x:c>
      <x:c r="BT876" s="14" t="str">
        <x:v>All episodes</x:v>
      </x:c>
      <x:c r="BU876" s="14" t="str">
        <x:v>Medium</x:v>
      </x:c>
      <x:c r="BV876" s="14" t="str">
        <x:v>Derived from supplied IMDb episode count and the documented production-total proxy.</x:v>
      </x:c>
      <x:c r="BW876" s="14" t="str">
        <x:v>Unable to determine</x:v>
      </x:c>
      <x:c r="BX876" s="14" t="str">
        <x:v>Supplied cast data establishes the credit and episode presence but does not establish narrative prominence.</x:v>
      </x:c>
      <x:c r="BY876" s="14" t="str">
        <x:v>Supplied IMDb cast-list workbook</x:v>
      </x:c>
      <x:c r="BZ87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6" s="14" t="str">
        <x:v>Not classified</x:v>
      </x:c>
      <x:c r="CB876" s="14" t="str">
        <x:v>Unable to determine</x:v>
      </x:c>
      <x:c r="CC876" s="14" t="str">
        <x:v>Unique</x:v>
      </x:c>
      <x:c r="CD876" s="14" t="str">
        <x:v>None identified</x:v>
      </x:c>
    </x:row>
    <x:row r="877">
      <x:c r="A877" s="14" t="str">
        <x:v>tt11403434|nm0509936|adrian gilligan</x:v>
      </x:c>
      <x:c r="B877" s="14" t="str">
        <x:v>03</x:v>
      </x:c>
      <x:c r="C877" s="14" t="str">
        <x:v>2021_IMDb_Cast_Lists_Batch_03(1).xlsx</x:v>
      </x:c>
      <x:c r="D877" s="14" t="str">
        <x:v>Showtrial</x:v>
      </x:c>
      <x:c r="E877" s="14" t="n">
        <x:v>24</x:v>
      </x:c>
      <x:c r="F877" s="14" t="str">
        <x:v>Showtrial</x:v>
      </x:c>
      <x:c r="G877" s="14" t="str">
        <x:v>tt11403434</x:v>
      </x:c>
      <x:c r="H877" s="14" t="n">
        <x:v>2021</x:v>
      </x:c>
      <x:c r="I877" s="14" t="n">
        <x:v>2023</x:v>
      </x:c>
      <x:c r="J877" s="14" t="str">
        <x:v>Future Carry-Forward Cohort</x:v>
      </x:c>
      <x:c r="K877" s="14" t="n">
        <x:v>2021</x:v>
      </x:c>
      <x:c r="L877" s="14" t="str">
        <x:v>Available from 2021 analysis</x:v>
      </x:c>
      <x:c r="M877" s="15" t="n">
        <x:v>17</x:v>
      </x:c>
      <x:c r="N877" s="14" t="str">
        <x:v>John Light</x:v>
      </x:c>
      <x:c r="O877" s="14" t="str">
        <x:v>nm0509936</x:v>
      </x:c>
      <x:c r="P877" s="14" t="str">
        <x:v>Adrian Gilligan</x:v>
      </x:c>
      <x:c r="Q877" s="15" t="n">
        <x:v>5</x:v>
      </x:c>
      <x:c r="R877" s="14" t="str">
        <x:v>2024</x:v>
      </x:c>
      <x:c r="S877" s="14" t="n">
        <x:v>2024</x:v>
      </x:c>
      <x:c r="T877" s="14" t="n">
        <x:v>2024</x:v>
      </x:c>
      <x:c r="U877" s="14" t="str">
        <x:v>Post-2021 casting excluded</x:v>
      </x:c>
      <x:c r="V877" s="14" t="str">
        <x:v>Earliest supplied year is 2024, later than the 2021 study year.</x:v>
      </x:c>
      <x:c r="W877" s="14"/>
      <x:c r="X877" s="14" t="str">
        <x:v>Carried forward to 2024</x:v>
      </x:c>
      <x:c r="Y877" s="14"/>
      <x:c r="Z877" s="14" t="str">
        <x:v>Showtrial.docx</x:v>
      </x:c>
      <x:c r="AA87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7" s="14" t="str">
        <x:v>No established-register match</x:v>
      </x:c>
      <x:c r="AC877" s="14"/>
      <x:c r="AD877" s="14"/>
      <x:c r="AE877" s="14"/>
      <x:c r="AF877" s="14"/>
      <x:c r="AG877" s="14" t="str">
        <x:v>No qualifying conclusion recorded. Absence from the register is not evidence that the performer is not disabled.</x:v>
      </x:c>
      <x:c r="AH877" s="14" t="str">
        <x:v>BBC</x:v>
      </x:c>
      <x:c r="AI877" s="14" t="str">
        <x:v>UK original commission</x:v>
      </x:c>
      <x:c r="AJ877" s="14" t="str">
        <x:v>Exact normalised title</x:v>
      </x:c>
      <x:c r="AK877" s="14" t="str">
        <x:v>Medium</x:v>
      </x:c>
      <x:c r="AL877" s="14" t="str">
        <x:v>Verified for commissioner/platform scope; uk original commission.</x:v>
      </x:c>
      <x:c r="AM877" s="17" t="e">
        <x:f>HYPERLINK("https://en.wikipedia.org/wiki/Show_trial","Open source")</x:f>
        <x:v>HYPERLINK is not implemented. linkLocation=https://en.wikipedia.org/wiki/Show_trial, friendlyName=Open source</x:v>
      </x:c>
      <x:c r="AN877" s="14" t="str">
        <x:v>BBC public-service commission</x:v>
      </x:c>
      <x:c r="AO877" s="14" t="str">
        <x:v>Yes</x:v>
      </x:c>
      <x:c r="AP877" s="14" t="str">
        <x:v>Direct BBC public-service scope</x:v>
      </x:c>
      <x:c r="AQ877" s="14" t="str">
        <x:v>Yes</x:v>
      </x:c>
      <x:c r="AR877" s="14" t="str">
        <x:v>Resolved from master register</x:v>
      </x:c>
      <x:c r="AS877" s="14" t="str">
        <x:v>No established-register match</x:v>
      </x:c>
      <x:c r="AT877" s="14"/>
      <x:c r="AU877" s="14"/>
      <x:c r="AV877" s="14" t="str">
        <x:v>No established apparent-disability match</x:v>
      </x:c>
      <x:c r="AW877" s="14"/>
      <x:c r="AX877" s="14" t="str">
        <x:v>No</x:v>
      </x:c>
      <x:c r="AY877" s="14" t="str">
        <x:v>Unmatched</x:v>
      </x:c>
      <x:c r="AZ877" s="14" t="str">
        <x:v>Final supplied register</x:v>
      </x:c>
      <x:c r="BA877" s="14" t="str">
        <x:v>Absence from the register is not evidence that the performer is not disabled.</x:v>
      </x:c>
      <x:c r="BB877" s="14" t="str">
        <x:v>No established-register match</x:v>
      </x:c>
      <x:c r="BC877" s="14"/>
      <x:c r="BD877" s="14"/>
      <x:c r="BE877" s="14"/>
      <x:c r="BF877" s="14" t="str">
        <x:v>No established apparent-disability match</x:v>
      </x:c>
      <x:c r="BG877" s="14"/>
      <x:c r="BH877" s="14" t="str">
        <x:v>No</x:v>
      </x:c>
      <x:c r="BI877" s="14"/>
      <x:c r="BJ877" s="14"/>
      <x:c r="BK877" s="14"/>
      <x:c r="BL877" s="14" t="str">
        <x:v>Unmatched</x:v>
      </x:c>
      <x:c r="BM877" s="14" t="str">
        <x:v>Final supplied register</x:v>
      </x:c>
      <x:c r="BN877" s="14" t="str">
        <x:v>Absence from the register is not evidence that the performer is not disabled.</x:v>
      </x:c>
      <x:c r="BO877" s="14" t="n">
        <x:v>5</x:v>
      </x:c>
      <x:c r="BP877" s="14" t="str">
        <x:v>Maximum eligible IMDb cast-credit total (5), shared by 18 performer(s); not independently verified as a 2021-only episode total.</x:v>
      </x:c>
      <x:c r="BQ877" s="14" t="str">
        <x:v>Medium</x:v>
      </x:c>
      <x:c r="BR877" s="15" t="n">
        <x:v>5</x:v>
      </x:c>
      <x:c r="BS877" s="16" t="n">
        <x:v>1</x:v>
      </x:c>
      <x:c r="BT877" s="14" t="str">
        <x:v>All episodes</x:v>
      </x:c>
      <x:c r="BU877" s="14" t="str">
        <x:v>Medium</x:v>
      </x:c>
      <x:c r="BV877" s="14" t="str">
        <x:v>Derived from supplied IMDb episode count and the documented production-total proxy.</x:v>
      </x:c>
      <x:c r="BW877" s="14" t="str">
        <x:v>Unable to determine</x:v>
      </x:c>
      <x:c r="BX877" s="14" t="str">
        <x:v>Supplied cast data establishes the credit and episode presence but does not establish narrative prominence.</x:v>
      </x:c>
      <x:c r="BY877" s="14" t="str">
        <x:v>Supplied IMDb cast-list workbook</x:v>
      </x:c>
      <x:c r="BZ87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7" s="14" t="str">
        <x:v>Not classified</x:v>
      </x:c>
      <x:c r="CB877" s="14" t="str">
        <x:v>Unable to determine</x:v>
      </x:c>
      <x:c r="CC877" s="14" t="str">
        <x:v>Unique</x:v>
      </x:c>
      <x:c r="CD877" s="14" t="str">
        <x:v>None identified</x:v>
      </x:c>
    </x:row>
    <x:row r="878">
      <x:c r="A878" s="14" t="str">
        <x:v>tt11403434|nm0934318|tamara baudin-kenny</x:v>
      </x:c>
      <x:c r="B878" s="14" t="str">
        <x:v>03</x:v>
      </x:c>
      <x:c r="C878" s="14" t="str">
        <x:v>2021_IMDb_Cast_Lists_Batch_03(1).xlsx</x:v>
      </x:c>
      <x:c r="D878" s="14" t="str">
        <x:v>Showtrial</x:v>
      </x:c>
      <x:c r="E878" s="14" t="n">
        <x:v>27</x:v>
      </x:c>
      <x:c r="F878" s="14" t="str">
        <x:v>Showtrial</x:v>
      </x:c>
      <x:c r="G878" s="14" t="str">
        <x:v>tt11403434</x:v>
      </x:c>
      <x:c r="H878" s="14" t="n">
        <x:v>2021</x:v>
      </x:c>
      <x:c r="I878" s="14" t="n">
        <x:v>2023</x:v>
      </x:c>
      <x:c r="J878" s="14" t="str">
        <x:v>Future Carry-Forward Cohort</x:v>
      </x:c>
      <x:c r="K878" s="14" t="n">
        <x:v>2021</x:v>
      </x:c>
      <x:c r="L878" s="14" t="str">
        <x:v>Available from 2021 analysis</x:v>
      </x:c>
      <x:c r="M878" s="15" t="n">
        <x:v>20</x:v>
      </x:c>
      <x:c r="N878" s="14" t="str">
        <x:v>Anna Wilson-Jones</x:v>
      </x:c>
      <x:c r="O878" s="14" t="str">
        <x:v>nm0934318</x:v>
      </x:c>
      <x:c r="P878" s="14" t="str">
        <x:v>Tamara Baudin-Kenny</x:v>
      </x:c>
      <x:c r="Q878" s="15" t="n">
        <x:v>5</x:v>
      </x:c>
      <x:c r="R878" s="14" t="str">
        <x:v>2024</x:v>
      </x:c>
      <x:c r="S878" s="14" t="n">
        <x:v>2024</x:v>
      </x:c>
      <x:c r="T878" s="14" t="n">
        <x:v>2024</x:v>
      </x:c>
      <x:c r="U878" s="14" t="str">
        <x:v>Post-2021 casting excluded</x:v>
      </x:c>
      <x:c r="V878" s="14" t="str">
        <x:v>Earliest supplied year is 2024, later than the 2021 study year.</x:v>
      </x:c>
      <x:c r="W878" s="14"/>
      <x:c r="X878" s="14" t="str">
        <x:v>Carried forward to 2024</x:v>
      </x:c>
      <x:c r="Y878" s="14"/>
      <x:c r="Z878" s="14" t="str">
        <x:v>Showtrial.docx</x:v>
      </x:c>
      <x:c r="AA87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8" s="14" t="str">
        <x:v>No established-register match</x:v>
      </x:c>
      <x:c r="AC878" s="14"/>
      <x:c r="AD878" s="14"/>
      <x:c r="AE878" s="14"/>
      <x:c r="AF878" s="14"/>
      <x:c r="AG878" s="14" t="str">
        <x:v>No qualifying conclusion recorded. Absence from the register is not evidence that the performer is not disabled.</x:v>
      </x:c>
      <x:c r="AH878" s="14" t="str">
        <x:v>BBC</x:v>
      </x:c>
      <x:c r="AI878" s="14" t="str">
        <x:v>UK original commission</x:v>
      </x:c>
      <x:c r="AJ878" s="14" t="str">
        <x:v>Exact normalised title</x:v>
      </x:c>
      <x:c r="AK878" s="14" t="str">
        <x:v>Medium</x:v>
      </x:c>
      <x:c r="AL878" s="14" t="str">
        <x:v>Verified for commissioner/platform scope; uk original commission.</x:v>
      </x:c>
      <x:c r="AM878" s="17" t="e">
        <x:f>HYPERLINK("https://en.wikipedia.org/wiki/Show_trial","Open source")</x:f>
        <x:v>HYPERLINK is not implemented. linkLocation=https://en.wikipedia.org/wiki/Show_trial, friendlyName=Open source</x:v>
      </x:c>
      <x:c r="AN878" s="14" t="str">
        <x:v>BBC public-service commission</x:v>
      </x:c>
      <x:c r="AO878" s="14" t="str">
        <x:v>Yes</x:v>
      </x:c>
      <x:c r="AP878" s="14" t="str">
        <x:v>Direct BBC public-service scope</x:v>
      </x:c>
      <x:c r="AQ878" s="14" t="str">
        <x:v>Yes</x:v>
      </x:c>
      <x:c r="AR878" s="14" t="str">
        <x:v>Resolved from master register</x:v>
      </x:c>
      <x:c r="AS878" s="14" t="str">
        <x:v>No established-register match</x:v>
      </x:c>
      <x:c r="AT878" s="14"/>
      <x:c r="AU878" s="14"/>
      <x:c r="AV878" s="14" t="str">
        <x:v>No established apparent-disability match</x:v>
      </x:c>
      <x:c r="AW878" s="14"/>
      <x:c r="AX878" s="14" t="str">
        <x:v>No</x:v>
      </x:c>
      <x:c r="AY878" s="14" t="str">
        <x:v>Unmatched</x:v>
      </x:c>
      <x:c r="AZ878" s="14" t="str">
        <x:v>Final supplied register</x:v>
      </x:c>
      <x:c r="BA878" s="14" t="str">
        <x:v>Absence from the register is not evidence that the performer is not disabled.</x:v>
      </x:c>
      <x:c r="BB878" s="14" t="str">
        <x:v>No established-register match</x:v>
      </x:c>
      <x:c r="BC878" s="14"/>
      <x:c r="BD878" s="14"/>
      <x:c r="BE878" s="14"/>
      <x:c r="BF878" s="14" t="str">
        <x:v>No established apparent-disability match</x:v>
      </x:c>
      <x:c r="BG878" s="14"/>
      <x:c r="BH878" s="14" t="str">
        <x:v>No</x:v>
      </x:c>
      <x:c r="BI878" s="14"/>
      <x:c r="BJ878" s="14"/>
      <x:c r="BK878" s="14"/>
      <x:c r="BL878" s="14" t="str">
        <x:v>Unmatched</x:v>
      </x:c>
      <x:c r="BM878" s="14" t="str">
        <x:v>Final supplied register</x:v>
      </x:c>
      <x:c r="BN878" s="14" t="str">
        <x:v>Absence from the register is not evidence that the performer is not disabled.</x:v>
      </x:c>
      <x:c r="BO878" s="14" t="n">
        <x:v>5</x:v>
      </x:c>
      <x:c r="BP878" s="14" t="str">
        <x:v>Maximum eligible IMDb cast-credit total (5), shared by 18 performer(s); not independently verified as a 2021-only episode total.</x:v>
      </x:c>
      <x:c r="BQ878" s="14" t="str">
        <x:v>Medium</x:v>
      </x:c>
      <x:c r="BR878" s="15" t="n">
        <x:v>5</x:v>
      </x:c>
      <x:c r="BS878" s="16" t="n">
        <x:v>1</x:v>
      </x:c>
      <x:c r="BT878" s="14" t="str">
        <x:v>All episodes</x:v>
      </x:c>
      <x:c r="BU878" s="14" t="str">
        <x:v>Medium</x:v>
      </x:c>
      <x:c r="BV878" s="14" t="str">
        <x:v>Derived from supplied IMDb episode count and the documented production-total proxy.</x:v>
      </x:c>
      <x:c r="BW878" s="14" t="str">
        <x:v>Unable to determine</x:v>
      </x:c>
      <x:c r="BX878" s="14" t="str">
        <x:v>Supplied cast data establishes the credit and episode presence but does not establish narrative prominence.</x:v>
      </x:c>
      <x:c r="BY878" s="14" t="str">
        <x:v>Supplied IMDb cast-list workbook</x:v>
      </x:c>
      <x:c r="BZ87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8" s="14" t="str">
        <x:v>Not classified</x:v>
      </x:c>
      <x:c r="CB878" s="14" t="str">
        <x:v>Unable to determine</x:v>
      </x:c>
      <x:c r="CC878" s="14" t="str">
        <x:v>Unique</x:v>
      </x:c>
      <x:c r="CD878" s="14" t="str">
        <x:v>None identified</x:v>
      </x:c>
    </x:row>
    <x:row r="879">
      <x:c r="A879" s="14" t="str">
        <x:v>tt11403434|nm4452669|sandra vodanovic</x:v>
      </x:c>
      <x:c r="B879" s="14" t="str">
        <x:v>03</x:v>
      </x:c>
      <x:c r="C879" s="14" t="str">
        <x:v>2021_IMDb_Cast_Lists_Batch_03(1).xlsx</x:v>
      </x:c>
      <x:c r="D879" s="14" t="str">
        <x:v>Showtrial</x:v>
      </x:c>
      <x:c r="E879" s="14" t="n">
        <x:v>31</x:v>
      </x:c>
      <x:c r="F879" s="14" t="str">
        <x:v>Showtrial</x:v>
      </x:c>
      <x:c r="G879" s="14" t="str">
        <x:v>tt11403434</x:v>
      </x:c>
      <x:c r="H879" s="14" t="n">
        <x:v>2021</x:v>
      </x:c>
      <x:c r="I879" s="14" t="n">
        <x:v>2023</x:v>
      </x:c>
      <x:c r="J879" s="14" t="str">
        <x:v>Future Carry-Forward Cohort</x:v>
      </x:c>
      <x:c r="K879" s="14" t="n">
        <x:v>2021</x:v>
      </x:c>
      <x:c r="L879" s="14" t="str">
        <x:v>Available from 2021 analysis</x:v>
      </x:c>
      <x:c r="M879" s="15" t="n">
        <x:v>24</x:v>
      </x:c>
      <x:c r="N879" s="14" t="str">
        <x:v>Anna Próchniak</x:v>
      </x:c>
      <x:c r="O879" s="14" t="str">
        <x:v>nm4452669</x:v>
      </x:c>
      <x:c r="P879" s="14" t="str">
        <x:v>Sandra Vodanovic</x:v>
      </x:c>
      <x:c r="Q879" s="15" t="n">
        <x:v>5</x:v>
      </x:c>
      <x:c r="R879" s="14" t="str">
        <x:v>2024</x:v>
      </x:c>
      <x:c r="S879" s="14" t="n">
        <x:v>2024</x:v>
      </x:c>
      <x:c r="T879" s="14" t="n">
        <x:v>2024</x:v>
      </x:c>
      <x:c r="U879" s="14" t="str">
        <x:v>Post-2021 casting excluded</x:v>
      </x:c>
      <x:c r="V879" s="14" t="str">
        <x:v>Earliest supplied year is 2024, later than the 2021 study year.</x:v>
      </x:c>
      <x:c r="W879" s="14"/>
      <x:c r="X879" s="14" t="str">
        <x:v>Carried forward to 2024</x:v>
      </x:c>
      <x:c r="Y879" s="14"/>
      <x:c r="Z879" s="14" t="str">
        <x:v>Showtrial.docx</x:v>
      </x:c>
      <x:c r="AA87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9" s="14" t="str">
        <x:v>No established-register match</x:v>
      </x:c>
      <x:c r="AC879" s="14"/>
      <x:c r="AD879" s="14"/>
      <x:c r="AE879" s="14"/>
      <x:c r="AF879" s="14"/>
      <x:c r="AG879" s="14" t="str">
        <x:v>No qualifying conclusion recorded. Absence from the register is not evidence that the performer is not disabled.</x:v>
      </x:c>
      <x:c r="AH879" s="14" t="str">
        <x:v>BBC</x:v>
      </x:c>
      <x:c r="AI879" s="14" t="str">
        <x:v>UK original commission</x:v>
      </x:c>
      <x:c r="AJ879" s="14" t="str">
        <x:v>Exact normalised title</x:v>
      </x:c>
      <x:c r="AK879" s="14" t="str">
        <x:v>Medium</x:v>
      </x:c>
      <x:c r="AL879" s="14" t="str">
        <x:v>Verified for commissioner/platform scope; uk original commission.</x:v>
      </x:c>
      <x:c r="AM879" s="17" t="e">
        <x:f>HYPERLINK("https://en.wikipedia.org/wiki/Show_trial","Open source")</x:f>
        <x:v>HYPERLINK is not implemented. linkLocation=https://en.wikipedia.org/wiki/Show_trial, friendlyName=Open source</x:v>
      </x:c>
      <x:c r="AN879" s="14" t="str">
        <x:v>BBC public-service commission</x:v>
      </x:c>
      <x:c r="AO879" s="14" t="str">
        <x:v>Yes</x:v>
      </x:c>
      <x:c r="AP879" s="14" t="str">
        <x:v>Direct BBC public-service scope</x:v>
      </x:c>
      <x:c r="AQ879" s="14" t="str">
        <x:v>Yes</x:v>
      </x:c>
      <x:c r="AR879" s="14" t="str">
        <x:v>Resolved from master register</x:v>
      </x:c>
      <x:c r="AS879" s="14" t="str">
        <x:v>No established-register match</x:v>
      </x:c>
      <x:c r="AT879" s="14"/>
      <x:c r="AU879" s="14"/>
      <x:c r="AV879" s="14" t="str">
        <x:v>No established apparent-disability match</x:v>
      </x:c>
      <x:c r="AW879" s="14"/>
      <x:c r="AX879" s="14" t="str">
        <x:v>No</x:v>
      </x:c>
      <x:c r="AY879" s="14" t="str">
        <x:v>Unmatched</x:v>
      </x:c>
      <x:c r="AZ879" s="14" t="str">
        <x:v>Final supplied register</x:v>
      </x:c>
      <x:c r="BA879" s="14" t="str">
        <x:v>Absence from the register is not evidence that the performer is not disabled.</x:v>
      </x:c>
      <x:c r="BB879" s="14" t="str">
        <x:v>No established-register match</x:v>
      </x:c>
      <x:c r="BC879" s="14"/>
      <x:c r="BD879" s="14"/>
      <x:c r="BE879" s="14"/>
      <x:c r="BF879" s="14" t="str">
        <x:v>No established apparent-disability match</x:v>
      </x:c>
      <x:c r="BG879" s="14"/>
      <x:c r="BH879" s="14" t="str">
        <x:v>No</x:v>
      </x:c>
      <x:c r="BI879" s="14"/>
      <x:c r="BJ879" s="14"/>
      <x:c r="BK879" s="14"/>
      <x:c r="BL879" s="14" t="str">
        <x:v>Unmatched</x:v>
      </x:c>
      <x:c r="BM879" s="14" t="str">
        <x:v>Final supplied register</x:v>
      </x:c>
      <x:c r="BN879" s="14" t="str">
        <x:v>Absence from the register is not evidence that the performer is not disabled.</x:v>
      </x:c>
      <x:c r="BO879" s="14" t="n">
        <x:v>5</x:v>
      </x:c>
      <x:c r="BP879" s="14" t="str">
        <x:v>Maximum eligible IMDb cast-credit total (5), shared by 18 performer(s); not independently verified as a 2021-only episode total.</x:v>
      </x:c>
      <x:c r="BQ879" s="14" t="str">
        <x:v>Medium</x:v>
      </x:c>
      <x:c r="BR879" s="15" t="n">
        <x:v>5</x:v>
      </x:c>
      <x:c r="BS879" s="16" t="n">
        <x:v>1</x:v>
      </x:c>
      <x:c r="BT879" s="14" t="str">
        <x:v>All episodes</x:v>
      </x:c>
      <x:c r="BU879" s="14" t="str">
        <x:v>Medium</x:v>
      </x:c>
      <x:c r="BV879" s="14" t="str">
        <x:v>Derived from supplied IMDb episode count and the documented production-total proxy.</x:v>
      </x:c>
      <x:c r="BW879" s="14" t="str">
        <x:v>Unable to determine</x:v>
      </x:c>
      <x:c r="BX879" s="14" t="str">
        <x:v>Supplied cast data establishes the credit and episode presence but does not establish narrative prominence.</x:v>
      </x:c>
      <x:c r="BY879" s="14" t="str">
        <x:v>Supplied IMDb cast-list workbook</x:v>
      </x:c>
      <x:c r="BZ87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9" s="14" t="str">
        <x:v>Not classified</x:v>
      </x:c>
      <x:c r="CB879" s="14" t="str">
        <x:v>Unable to determine</x:v>
      </x:c>
      <x:c r="CC879" s="14" t="str">
        <x:v>Unique</x:v>
      </x:c>
      <x:c r="CD879" s="14" t="str">
        <x:v>None identified</x:v>
      </x:c>
    </x:row>
    <x:row r="880">
      <x:c r="A880" s="14" t="str">
        <x:v>tt11403434|nm0549855|alex</x:v>
      </x:c>
      <x:c r="B880" s="14" t="str">
        <x:v>03</x:v>
      </x:c>
      <x:c r="C880" s="14" t="str">
        <x:v>2021_IMDb_Cast_Lists_Batch_03(1).xlsx</x:v>
      </x:c>
      <x:c r="D880" s="14" t="str">
        <x:v>Showtrial</x:v>
      </x:c>
      <x:c r="E880" s="14" t="n">
        <x:v>39</x:v>
      </x:c>
      <x:c r="F880" s="14" t="str">
        <x:v>Showtrial</x:v>
      </x:c>
      <x:c r="G880" s="14" t="str">
        <x:v>tt11403434</x:v>
      </x:c>
      <x:c r="H880" s="14" t="n">
        <x:v>2021</x:v>
      </x:c>
      <x:c r="I880" s="14" t="n">
        <x:v>2023</x:v>
      </x:c>
      <x:c r="J880" s="14" t="str">
        <x:v>Future Carry-Forward Cohort</x:v>
      </x:c>
      <x:c r="K880" s="14" t="n">
        <x:v>2021</x:v>
      </x:c>
      <x:c r="L880" s="14" t="str">
        <x:v>Available from 2021 analysis</x:v>
      </x:c>
      <x:c r="M880" s="15" t="n">
        <x:v>32</x:v>
      </x:c>
      <x:c r="N880" s="14" t="str">
        <x:v>John Marquez</x:v>
      </x:c>
      <x:c r="O880" s="14" t="str">
        <x:v>nm0549855</x:v>
      </x:c>
      <x:c r="P880" s="14" t="str">
        <x:v>Alex</x:v>
      </x:c>
      <x:c r="Q880" s="15" t="n">
        <x:v>4</x:v>
      </x:c>
      <x:c r="R880" s="14" t="str">
        <x:v>2024</x:v>
      </x:c>
      <x:c r="S880" s="14" t="n">
        <x:v>2024</x:v>
      </x:c>
      <x:c r="T880" s="14" t="n">
        <x:v>2024</x:v>
      </x:c>
      <x:c r="U880" s="14" t="str">
        <x:v>Post-2021 casting excluded</x:v>
      </x:c>
      <x:c r="V880" s="14" t="str">
        <x:v>Earliest supplied year is 2024, later than the 2021 study year.</x:v>
      </x:c>
      <x:c r="W880" s="14"/>
      <x:c r="X880" s="14" t="str">
        <x:v>Carried forward to 2024</x:v>
      </x:c>
      <x:c r="Y880" s="14"/>
      <x:c r="Z880" s="14" t="str">
        <x:v>Showtrial.docx</x:v>
      </x:c>
      <x:c r="AA88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0" s="14" t="str">
        <x:v>No established-register match</x:v>
      </x:c>
      <x:c r="AC880" s="14"/>
      <x:c r="AD880" s="14"/>
      <x:c r="AE880" s="14"/>
      <x:c r="AF880" s="14"/>
      <x:c r="AG880" s="14" t="str">
        <x:v>No qualifying conclusion recorded. Absence from the register is not evidence that the performer is not disabled.</x:v>
      </x:c>
      <x:c r="AH880" s="14" t="str">
        <x:v>BBC</x:v>
      </x:c>
      <x:c r="AI880" s="14" t="str">
        <x:v>UK original commission</x:v>
      </x:c>
      <x:c r="AJ880" s="14" t="str">
        <x:v>Exact normalised title</x:v>
      </x:c>
      <x:c r="AK880" s="14" t="str">
        <x:v>Medium</x:v>
      </x:c>
      <x:c r="AL880" s="14" t="str">
        <x:v>Verified for commissioner/platform scope; uk original commission.</x:v>
      </x:c>
      <x:c r="AM880" s="17" t="e">
        <x:f>HYPERLINK("https://en.wikipedia.org/wiki/Show_trial","Open source")</x:f>
        <x:v>HYPERLINK is not implemented. linkLocation=https://en.wikipedia.org/wiki/Show_trial, friendlyName=Open source</x:v>
      </x:c>
      <x:c r="AN880" s="14" t="str">
        <x:v>BBC public-service commission</x:v>
      </x:c>
      <x:c r="AO880" s="14" t="str">
        <x:v>Yes</x:v>
      </x:c>
      <x:c r="AP880" s="14" t="str">
        <x:v>Direct BBC public-service scope</x:v>
      </x:c>
      <x:c r="AQ880" s="14" t="str">
        <x:v>Yes</x:v>
      </x:c>
      <x:c r="AR880" s="14" t="str">
        <x:v>Resolved from master register</x:v>
      </x:c>
      <x:c r="AS880" s="14" t="str">
        <x:v>No established-register match</x:v>
      </x:c>
      <x:c r="AT880" s="14"/>
      <x:c r="AU880" s="14"/>
      <x:c r="AV880" s="14" t="str">
        <x:v>No established apparent-disability match</x:v>
      </x:c>
      <x:c r="AW880" s="14"/>
      <x:c r="AX880" s="14" t="str">
        <x:v>No</x:v>
      </x:c>
      <x:c r="AY880" s="14" t="str">
        <x:v>Unmatched</x:v>
      </x:c>
      <x:c r="AZ880" s="14" t="str">
        <x:v>Final supplied register</x:v>
      </x:c>
      <x:c r="BA880" s="14" t="str">
        <x:v>Absence from the register is not evidence that the performer is not disabled.</x:v>
      </x:c>
      <x:c r="BB880" s="14" t="str">
        <x:v>No established-register match</x:v>
      </x:c>
      <x:c r="BC880" s="14"/>
      <x:c r="BD880" s="14"/>
      <x:c r="BE880" s="14"/>
      <x:c r="BF880" s="14" t="str">
        <x:v>No established apparent-disability match</x:v>
      </x:c>
      <x:c r="BG880" s="14"/>
      <x:c r="BH880" s="14" t="str">
        <x:v>No</x:v>
      </x:c>
      <x:c r="BI880" s="14"/>
      <x:c r="BJ880" s="14"/>
      <x:c r="BK880" s="14"/>
      <x:c r="BL880" s="14" t="str">
        <x:v>Unmatched</x:v>
      </x:c>
      <x:c r="BM880" s="14" t="str">
        <x:v>Final supplied register</x:v>
      </x:c>
      <x:c r="BN880" s="14" t="str">
        <x:v>Absence from the register is not evidence that the performer is not disabled.</x:v>
      </x:c>
      <x:c r="BO880" s="14" t="n">
        <x:v>5</x:v>
      </x:c>
      <x:c r="BP880" s="14" t="str">
        <x:v>Maximum eligible IMDb cast-credit total (5), shared by 18 performer(s); not independently verified as a 2021-only episode total.</x:v>
      </x:c>
      <x:c r="BQ880" s="14" t="str">
        <x:v>Medium</x:v>
      </x:c>
      <x:c r="BR880" s="15" t="n">
        <x:v>4</x:v>
      </x:c>
      <x:c r="BS880" s="16" t="n">
        <x:v>0.8</x:v>
      </x:c>
      <x:c r="BT880" s="14" t="str">
        <x:v>Majority of episodes</x:v>
      </x:c>
      <x:c r="BU880" s="14" t="str">
        <x:v>Medium</x:v>
      </x:c>
      <x:c r="BV880" s="14" t="str">
        <x:v>Derived from supplied IMDb episode count and the documented production-total proxy.</x:v>
      </x:c>
      <x:c r="BW880" s="14" t="str">
        <x:v>Unable to determine</x:v>
      </x:c>
      <x:c r="BX880" s="14" t="str">
        <x:v>Supplied cast data establishes the credit and episode presence but does not establish narrative prominence.</x:v>
      </x:c>
      <x:c r="BY880" s="14" t="str">
        <x:v>Supplied IMDb cast-list workbook</x:v>
      </x:c>
      <x:c r="BZ88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0" s="14" t="str">
        <x:v>Not classified</x:v>
      </x:c>
      <x:c r="CB880" s="14" t="str">
        <x:v>Unable to determine</x:v>
      </x:c>
      <x:c r="CC880" s="14" t="str">
        <x:v>Unique</x:v>
      </x:c>
      <x:c r="CD880" s="14" t="str">
        <x:v>None identified</x:v>
      </x:c>
    </x:row>
    <x:row r="881">
      <x:c r="A881" s="14" t="str">
        <x:v>tt11403434|nm4473813|ds iain packham</x:v>
      </x:c>
      <x:c r="B881" s="14" t="str">
        <x:v>03</x:v>
      </x:c>
      <x:c r="C881" s="14" t="str">
        <x:v>2021_IMDb_Cast_Lists_Batch_03(1).xlsx</x:v>
      </x:c>
      <x:c r="D881" s="14" t="str">
        <x:v>Showtrial</x:v>
      </x:c>
      <x:c r="E881" s="14" t="n">
        <x:v>41</x:v>
      </x:c>
      <x:c r="F881" s="14" t="str">
        <x:v>Showtrial</x:v>
      </x:c>
      <x:c r="G881" s="14" t="str">
        <x:v>tt11403434</x:v>
      </x:c>
      <x:c r="H881" s="14" t="n">
        <x:v>2021</x:v>
      </x:c>
      <x:c r="I881" s="14" t="n">
        <x:v>2023</x:v>
      </x:c>
      <x:c r="J881" s="14" t="str">
        <x:v>Future Carry-Forward Cohort</x:v>
      </x:c>
      <x:c r="K881" s="14" t="n">
        <x:v>2021</x:v>
      </x:c>
      <x:c r="L881" s="14" t="str">
        <x:v>Available from 2021 analysis</x:v>
      </x:c>
      <x:c r="M881" s="15" t="n">
        <x:v>34</x:v>
      </x:c>
      <x:c r="N881" s="14" t="str">
        <x:v>Tom Padley</x:v>
      </x:c>
      <x:c r="O881" s="14" t="str">
        <x:v>nm4473813</x:v>
      </x:c>
      <x:c r="P881" s="14" t="str">
        <x:v>DS Iain Packham</x:v>
      </x:c>
      <x:c r="Q881" s="15" t="n">
        <x:v>4</x:v>
      </x:c>
      <x:c r="R881" s="14" t="str">
        <x:v>2024</x:v>
      </x:c>
      <x:c r="S881" s="14" t="n">
        <x:v>2024</x:v>
      </x:c>
      <x:c r="T881" s="14" t="n">
        <x:v>2024</x:v>
      </x:c>
      <x:c r="U881" s="14" t="str">
        <x:v>Post-2021 casting excluded</x:v>
      </x:c>
      <x:c r="V881" s="14" t="str">
        <x:v>Earliest supplied year is 2024, later than the 2021 study year.</x:v>
      </x:c>
      <x:c r="W881" s="14"/>
      <x:c r="X881" s="14" t="str">
        <x:v>Carried forward to 2024</x:v>
      </x:c>
      <x:c r="Y881" s="14"/>
      <x:c r="Z881" s="14" t="str">
        <x:v>Showtrial.docx</x:v>
      </x:c>
      <x:c r="AA88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1" s="14" t="str">
        <x:v>No established-register match</x:v>
      </x:c>
      <x:c r="AC881" s="14"/>
      <x:c r="AD881" s="14"/>
      <x:c r="AE881" s="14"/>
      <x:c r="AF881" s="14"/>
      <x:c r="AG881" s="14" t="str">
        <x:v>No qualifying conclusion recorded. Absence from the register is not evidence that the performer is not disabled.</x:v>
      </x:c>
      <x:c r="AH881" s="14" t="str">
        <x:v>BBC</x:v>
      </x:c>
      <x:c r="AI881" s="14" t="str">
        <x:v>UK original commission</x:v>
      </x:c>
      <x:c r="AJ881" s="14" t="str">
        <x:v>Exact normalised title</x:v>
      </x:c>
      <x:c r="AK881" s="14" t="str">
        <x:v>Medium</x:v>
      </x:c>
      <x:c r="AL881" s="14" t="str">
        <x:v>Verified for commissioner/platform scope; uk original commission.</x:v>
      </x:c>
      <x:c r="AM881" s="17" t="e">
        <x:f>HYPERLINK("https://en.wikipedia.org/wiki/Show_trial","Open source")</x:f>
        <x:v>HYPERLINK is not implemented. linkLocation=https://en.wikipedia.org/wiki/Show_trial, friendlyName=Open source</x:v>
      </x:c>
      <x:c r="AN881" s="14" t="str">
        <x:v>BBC public-service commission</x:v>
      </x:c>
      <x:c r="AO881" s="14" t="str">
        <x:v>Yes</x:v>
      </x:c>
      <x:c r="AP881" s="14" t="str">
        <x:v>Direct BBC public-service scope</x:v>
      </x:c>
      <x:c r="AQ881" s="14" t="str">
        <x:v>Yes</x:v>
      </x:c>
      <x:c r="AR881" s="14" t="str">
        <x:v>Resolved from master register</x:v>
      </x:c>
      <x:c r="AS881" s="14" t="str">
        <x:v>No established-register match</x:v>
      </x:c>
      <x:c r="AT881" s="14"/>
      <x:c r="AU881" s="14"/>
      <x:c r="AV881" s="14" t="str">
        <x:v>No established apparent-disability match</x:v>
      </x:c>
      <x:c r="AW881" s="14"/>
      <x:c r="AX881" s="14" t="str">
        <x:v>No</x:v>
      </x:c>
      <x:c r="AY881" s="14" t="str">
        <x:v>Unmatched</x:v>
      </x:c>
      <x:c r="AZ881" s="14" t="str">
        <x:v>Final supplied register</x:v>
      </x:c>
      <x:c r="BA881" s="14" t="str">
        <x:v>Absence from the register is not evidence that the performer is not disabled.</x:v>
      </x:c>
      <x:c r="BB881" s="14" t="str">
        <x:v>No established-register match</x:v>
      </x:c>
      <x:c r="BC881" s="14"/>
      <x:c r="BD881" s="14"/>
      <x:c r="BE881" s="14"/>
      <x:c r="BF881" s="14" t="str">
        <x:v>No established apparent-disability match</x:v>
      </x:c>
      <x:c r="BG881" s="14"/>
      <x:c r="BH881" s="14" t="str">
        <x:v>No</x:v>
      </x:c>
      <x:c r="BI881" s="14"/>
      <x:c r="BJ881" s="14"/>
      <x:c r="BK881" s="14"/>
      <x:c r="BL881" s="14" t="str">
        <x:v>Unmatched</x:v>
      </x:c>
      <x:c r="BM881" s="14" t="str">
        <x:v>Final supplied register</x:v>
      </x:c>
      <x:c r="BN881" s="14" t="str">
        <x:v>Absence from the register is not evidence that the performer is not disabled.</x:v>
      </x:c>
      <x:c r="BO881" s="14" t="n">
        <x:v>5</x:v>
      </x:c>
      <x:c r="BP881" s="14" t="str">
        <x:v>Maximum eligible IMDb cast-credit total (5), shared by 18 performer(s); not independently verified as a 2021-only episode total.</x:v>
      </x:c>
      <x:c r="BQ881" s="14" t="str">
        <x:v>Medium</x:v>
      </x:c>
      <x:c r="BR881" s="15" t="n">
        <x:v>4</x:v>
      </x:c>
      <x:c r="BS881" s="16" t="n">
        <x:v>0.8</x:v>
      </x:c>
      <x:c r="BT881" s="14" t="str">
        <x:v>Majority of episodes</x:v>
      </x:c>
      <x:c r="BU881" s="14" t="str">
        <x:v>Medium</x:v>
      </x:c>
      <x:c r="BV881" s="14" t="str">
        <x:v>Derived from supplied IMDb episode count and the documented production-total proxy.</x:v>
      </x:c>
      <x:c r="BW881" s="14" t="str">
        <x:v>Unable to determine</x:v>
      </x:c>
      <x:c r="BX881" s="14" t="str">
        <x:v>Supplied cast data establishes the credit and episode presence but does not establish narrative prominence.</x:v>
      </x:c>
      <x:c r="BY881" s="14" t="str">
        <x:v>Supplied IMDb cast-list workbook</x:v>
      </x:c>
      <x:c r="BZ88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1" s="14" t="str">
        <x:v>Not classified</x:v>
      </x:c>
      <x:c r="CB881" s="14" t="str">
        <x:v>Unable to determine</x:v>
      </x:c>
      <x:c r="CC881" s="14" t="str">
        <x:v>Unique</x:v>
      </x:c>
      <x:c r="CD881" s="14" t="str">
        <x:v>None identified</x:v>
      </x:c>
    </x:row>
    <x:row r="882">
      <x:c r="A882" s="14" t="str">
        <x:v>tt11403434|nm10568064|marcus calderwood</x:v>
      </x:c>
      <x:c r="B882" s="14" t="str">
        <x:v>03</x:v>
      </x:c>
      <x:c r="C882" s="14" t="str">
        <x:v>2021_IMDb_Cast_Lists_Batch_03(1).xlsx</x:v>
      </x:c>
      <x:c r="D882" s="14" t="str">
        <x:v>Showtrial</x:v>
      </x:c>
      <x:c r="E882" s="14" t="n">
        <x:v>42</x:v>
      </x:c>
      <x:c r="F882" s="14" t="str">
        <x:v>Showtrial</x:v>
      </x:c>
      <x:c r="G882" s="14" t="str">
        <x:v>tt11403434</x:v>
      </x:c>
      <x:c r="H882" s="14" t="n">
        <x:v>2021</x:v>
      </x:c>
      <x:c r="I882" s="14" t="n">
        <x:v>2023</x:v>
      </x:c>
      <x:c r="J882" s="14" t="str">
        <x:v>Future Carry-Forward Cohort</x:v>
      </x:c>
      <x:c r="K882" s="14" t="n">
        <x:v>2021</x:v>
      </x:c>
      <x:c r="L882" s="14" t="str">
        <x:v>Available from 2021 analysis</x:v>
      </x:c>
      <x:c r="M882" s="15" t="n">
        <x:v>35</x:v>
      </x:c>
      <x:c r="N882" s="14" t="str">
        <x:v>Barney Fishwick</x:v>
      </x:c>
      <x:c r="O882" s="14" t="str">
        <x:v>nm10568064</x:v>
      </x:c>
      <x:c r="P882" s="14" t="str">
        <x:v>Marcus Calderwood</x:v>
      </x:c>
      <x:c r="Q882" s="15" t="n">
        <x:v>4</x:v>
      </x:c>
      <x:c r="R882" s="14" t="str">
        <x:v>2024</x:v>
      </x:c>
      <x:c r="S882" s="14" t="n">
        <x:v>2024</x:v>
      </x:c>
      <x:c r="T882" s="14" t="n">
        <x:v>2024</x:v>
      </x:c>
      <x:c r="U882" s="14" t="str">
        <x:v>Post-2021 casting excluded</x:v>
      </x:c>
      <x:c r="V882" s="14" t="str">
        <x:v>Earliest supplied year is 2024, later than the 2021 study year.</x:v>
      </x:c>
      <x:c r="W882" s="14"/>
      <x:c r="X882" s="14" t="str">
        <x:v>Carried forward to 2024</x:v>
      </x:c>
      <x:c r="Y882" s="14"/>
      <x:c r="Z882" s="14" t="str">
        <x:v>Showtrial.docx</x:v>
      </x:c>
      <x:c r="AA88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2" s="14" t="str">
        <x:v>No established-register match</x:v>
      </x:c>
      <x:c r="AC882" s="14"/>
      <x:c r="AD882" s="14"/>
      <x:c r="AE882" s="14"/>
      <x:c r="AF882" s="14"/>
      <x:c r="AG882" s="14" t="str">
        <x:v>No qualifying conclusion recorded. Absence from the register is not evidence that the performer is not disabled.</x:v>
      </x:c>
      <x:c r="AH882" s="14" t="str">
        <x:v>BBC</x:v>
      </x:c>
      <x:c r="AI882" s="14" t="str">
        <x:v>UK original commission</x:v>
      </x:c>
      <x:c r="AJ882" s="14" t="str">
        <x:v>Exact normalised title</x:v>
      </x:c>
      <x:c r="AK882" s="14" t="str">
        <x:v>Medium</x:v>
      </x:c>
      <x:c r="AL882" s="14" t="str">
        <x:v>Verified for commissioner/platform scope; uk original commission.</x:v>
      </x:c>
      <x:c r="AM882" s="17" t="e">
        <x:f>HYPERLINK("https://en.wikipedia.org/wiki/Show_trial","Open source")</x:f>
        <x:v>HYPERLINK is not implemented. linkLocation=https://en.wikipedia.org/wiki/Show_trial, friendlyName=Open source</x:v>
      </x:c>
      <x:c r="AN882" s="14" t="str">
        <x:v>BBC public-service commission</x:v>
      </x:c>
      <x:c r="AO882" s="14" t="str">
        <x:v>Yes</x:v>
      </x:c>
      <x:c r="AP882" s="14" t="str">
        <x:v>Direct BBC public-service scope</x:v>
      </x:c>
      <x:c r="AQ882" s="14" t="str">
        <x:v>Yes</x:v>
      </x:c>
      <x:c r="AR882" s="14" t="str">
        <x:v>Resolved from master register</x:v>
      </x:c>
      <x:c r="AS882" s="14" t="str">
        <x:v>No established-register match</x:v>
      </x:c>
      <x:c r="AT882" s="14"/>
      <x:c r="AU882" s="14"/>
      <x:c r="AV882" s="14" t="str">
        <x:v>No established apparent-disability match</x:v>
      </x:c>
      <x:c r="AW882" s="14"/>
      <x:c r="AX882" s="14" t="str">
        <x:v>No</x:v>
      </x:c>
      <x:c r="AY882" s="14" t="str">
        <x:v>Unmatched</x:v>
      </x:c>
      <x:c r="AZ882" s="14" t="str">
        <x:v>Final supplied register</x:v>
      </x:c>
      <x:c r="BA882" s="14" t="str">
        <x:v>Absence from the register is not evidence that the performer is not disabled.</x:v>
      </x:c>
      <x:c r="BB882" s="14" t="str">
        <x:v>No established-register match</x:v>
      </x:c>
      <x:c r="BC882" s="14"/>
      <x:c r="BD882" s="14"/>
      <x:c r="BE882" s="14"/>
      <x:c r="BF882" s="14" t="str">
        <x:v>No established apparent-disability match</x:v>
      </x:c>
      <x:c r="BG882" s="14"/>
      <x:c r="BH882" s="14" t="str">
        <x:v>No</x:v>
      </x:c>
      <x:c r="BI882" s="14"/>
      <x:c r="BJ882" s="14"/>
      <x:c r="BK882" s="14"/>
      <x:c r="BL882" s="14" t="str">
        <x:v>Unmatched</x:v>
      </x:c>
      <x:c r="BM882" s="14" t="str">
        <x:v>Final supplied register</x:v>
      </x:c>
      <x:c r="BN882" s="14" t="str">
        <x:v>Absence from the register is not evidence that the performer is not disabled.</x:v>
      </x:c>
      <x:c r="BO882" s="14" t="n">
        <x:v>5</x:v>
      </x:c>
      <x:c r="BP882" s="14" t="str">
        <x:v>Maximum eligible IMDb cast-credit total (5), shared by 18 performer(s); not independently verified as a 2021-only episode total.</x:v>
      </x:c>
      <x:c r="BQ882" s="14" t="str">
        <x:v>Medium</x:v>
      </x:c>
      <x:c r="BR882" s="15" t="n">
        <x:v>4</x:v>
      </x:c>
      <x:c r="BS882" s="16" t="n">
        <x:v>0.8</x:v>
      </x:c>
      <x:c r="BT882" s="14" t="str">
        <x:v>Majority of episodes</x:v>
      </x:c>
      <x:c r="BU882" s="14" t="str">
        <x:v>Medium</x:v>
      </x:c>
      <x:c r="BV882" s="14" t="str">
        <x:v>Derived from supplied IMDb episode count and the documented production-total proxy.</x:v>
      </x:c>
      <x:c r="BW882" s="14" t="str">
        <x:v>Unable to determine</x:v>
      </x:c>
      <x:c r="BX882" s="14" t="str">
        <x:v>Supplied cast data establishes the credit and episode presence but does not establish narrative prominence.</x:v>
      </x:c>
      <x:c r="BY882" s="14" t="str">
        <x:v>Supplied IMDb cast-list workbook</x:v>
      </x:c>
      <x:c r="BZ88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2" s="14" t="str">
        <x:v>Not classified</x:v>
      </x:c>
      <x:c r="CB882" s="14" t="str">
        <x:v>Unable to determine</x:v>
      </x:c>
      <x:c r="CC882" s="14" t="str">
        <x:v>Unique</x:v>
      </x:c>
      <x:c r="CD882" s="14" t="str">
        <x:v>None identified</x:v>
      </x:c>
    </x:row>
    <x:row r="883">
      <x:c r="A883" s="14" t="str">
        <x:v>tt11403434|nm0703522|philip holmes kc</x:v>
      </x:c>
      <x:c r="B883" s="14" t="str">
        <x:v>03</x:v>
      </x:c>
      <x:c r="C883" s="14" t="str">
        <x:v>2021_IMDb_Cast_Lists_Batch_03(1).xlsx</x:v>
      </x:c>
      <x:c r="D883" s="14" t="str">
        <x:v>Showtrial</x:v>
      </x:c>
      <x:c r="E883" s="14" t="n">
        <x:v>43</x:v>
      </x:c>
      <x:c r="F883" s="14" t="str">
        <x:v>Showtrial</x:v>
      </x:c>
      <x:c r="G883" s="14" t="str">
        <x:v>tt11403434</x:v>
      </x:c>
      <x:c r="H883" s="14" t="n">
        <x:v>2021</x:v>
      </x:c>
      <x:c r="I883" s="14" t="n">
        <x:v>2023</x:v>
      </x:c>
      <x:c r="J883" s="14" t="str">
        <x:v>Future Carry-Forward Cohort</x:v>
      </x:c>
      <x:c r="K883" s="14" t="n">
        <x:v>2021</x:v>
      </x:c>
      <x:c r="L883" s="14" t="str">
        <x:v>Available from 2021 analysis</x:v>
      </x:c>
      <x:c r="M883" s="15" t="n">
        <x:v>36</x:v>
      </x:c>
      <x:c r="N883" s="14" t="str">
        <x:v>Pearce Quigley</x:v>
      </x:c>
      <x:c r="O883" s="14" t="str">
        <x:v>nm0703522</x:v>
      </x:c>
      <x:c r="P883" s="14" t="str">
        <x:v>Philip Holmes KC</x:v>
      </x:c>
      <x:c r="Q883" s="15" t="n">
        <x:v>4</x:v>
      </x:c>
      <x:c r="R883" s="14" t="str">
        <x:v>2024</x:v>
      </x:c>
      <x:c r="S883" s="14" t="n">
        <x:v>2024</x:v>
      </x:c>
      <x:c r="T883" s="14" t="n">
        <x:v>2024</x:v>
      </x:c>
      <x:c r="U883" s="14" t="str">
        <x:v>Post-2021 casting excluded</x:v>
      </x:c>
      <x:c r="V883" s="14" t="str">
        <x:v>Earliest supplied year is 2024, later than the 2021 study year.</x:v>
      </x:c>
      <x:c r="W883" s="14"/>
      <x:c r="X883" s="14" t="str">
        <x:v>Carried forward to 2024</x:v>
      </x:c>
      <x:c r="Y883" s="14"/>
      <x:c r="Z883" s="14" t="str">
        <x:v>Showtrial.docx</x:v>
      </x:c>
      <x:c r="AA88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3" s="14" t="str">
        <x:v>No established-register match</x:v>
      </x:c>
      <x:c r="AC883" s="14"/>
      <x:c r="AD883" s="14"/>
      <x:c r="AE883" s="14"/>
      <x:c r="AF883" s="14"/>
      <x:c r="AG883" s="14" t="str">
        <x:v>No qualifying conclusion recorded. Absence from the register is not evidence that the performer is not disabled.</x:v>
      </x:c>
      <x:c r="AH883" s="14" t="str">
        <x:v>BBC</x:v>
      </x:c>
      <x:c r="AI883" s="14" t="str">
        <x:v>UK original commission</x:v>
      </x:c>
      <x:c r="AJ883" s="14" t="str">
        <x:v>Exact normalised title</x:v>
      </x:c>
      <x:c r="AK883" s="14" t="str">
        <x:v>Medium</x:v>
      </x:c>
      <x:c r="AL883" s="14" t="str">
        <x:v>Verified for commissioner/platform scope; uk original commission.</x:v>
      </x:c>
      <x:c r="AM883" s="17" t="e">
        <x:f>HYPERLINK("https://en.wikipedia.org/wiki/Show_trial","Open source")</x:f>
        <x:v>HYPERLINK is not implemented. linkLocation=https://en.wikipedia.org/wiki/Show_trial, friendlyName=Open source</x:v>
      </x:c>
      <x:c r="AN883" s="14" t="str">
        <x:v>BBC public-service commission</x:v>
      </x:c>
      <x:c r="AO883" s="14" t="str">
        <x:v>Yes</x:v>
      </x:c>
      <x:c r="AP883" s="14" t="str">
        <x:v>Direct BBC public-service scope</x:v>
      </x:c>
      <x:c r="AQ883" s="14" t="str">
        <x:v>Yes</x:v>
      </x:c>
      <x:c r="AR883" s="14" t="str">
        <x:v>Resolved from master register</x:v>
      </x:c>
      <x:c r="AS883" s="14" t="str">
        <x:v>No established-register match</x:v>
      </x:c>
      <x:c r="AT883" s="14"/>
      <x:c r="AU883" s="14"/>
      <x:c r="AV883" s="14" t="str">
        <x:v>No established apparent-disability match</x:v>
      </x:c>
      <x:c r="AW883" s="14"/>
      <x:c r="AX883" s="14" t="str">
        <x:v>No</x:v>
      </x:c>
      <x:c r="AY883" s="14" t="str">
        <x:v>Unmatched</x:v>
      </x:c>
      <x:c r="AZ883" s="14" t="str">
        <x:v>Final supplied register</x:v>
      </x:c>
      <x:c r="BA883" s="14" t="str">
        <x:v>Absence from the register is not evidence that the performer is not disabled.</x:v>
      </x:c>
      <x:c r="BB883" s="14" t="str">
        <x:v>No established-register match</x:v>
      </x:c>
      <x:c r="BC883" s="14"/>
      <x:c r="BD883" s="14"/>
      <x:c r="BE883" s="14"/>
      <x:c r="BF883" s="14" t="str">
        <x:v>No established apparent-disability match</x:v>
      </x:c>
      <x:c r="BG883" s="14"/>
      <x:c r="BH883" s="14" t="str">
        <x:v>No</x:v>
      </x:c>
      <x:c r="BI883" s="14"/>
      <x:c r="BJ883" s="14"/>
      <x:c r="BK883" s="14"/>
      <x:c r="BL883" s="14" t="str">
        <x:v>Unmatched</x:v>
      </x:c>
      <x:c r="BM883" s="14" t="str">
        <x:v>Final supplied register</x:v>
      </x:c>
      <x:c r="BN883" s="14" t="str">
        <x:v>Absence from the register is not evidence that the performer is not disabled.</x:v>
      </x:c>
      <x:c r="BO883" s="14" t="n">
        <x:v>5</x:v>
      </x:c>
      <x:c r="BP883" s="14" t="str">
        <x:v>Maximum eligible IMDb cast-credit total (5), shared by 18 performer(s); not independently verified as a 2021-only episode total.</x:v>
      </x:c>
      <x:c r="BQ883" s="14" t="str">
        <x:v>Medium</x:v>
      </x:c>
      <x:c r="BR883" s="15" t="n">
        <x:v>4</x:v>
      </x:c>
      <x:c r="BS883" s="16" t="n">
        <x:v>0.8</x:v>
      </x:c>
      <x:c r="BT883" s="14" t="str">
        <x:v>Majority of episodes</x:v>
      </x:c>
      <x:c r="BU883" s="14" t="str">
        <x:v>Medium</x:v>
      </x:c>
      <x:c r="BV883" s="14" t="str">
        <x:v>Derived from supplied IMDb episode count and the documented production-total proxy.</x:v>
      </x:c>
      <x:c r="BW883" s="14" t="str">
        <x:v>Unable to determine</x:v>
      </x:c>
      <x:c r="BX883" s="14" t="str">
        <x:v>Supplied cast data establishes the credit and episode presence but does not establish narrative prominence.</x:v>
      </x:c>
      <x:c r="BY883" s="14" t="str">
        <x:v>Supplied IMDb cast-list workbook</x:v>
      </x:c>
      <x:c r="BZ88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3" s="14" t="str">
        <x:v>Not classified</x:v>
      </x:c>
      <x:c r="CB883" s="14" t="str">
        <x:v>Unable to determine</x:v>
      </x:c>
      <x:c r="CC883" s="14" t="str">
        <x:v>Unique</x:v>
      </x:c>
      <x:c r="CD883" s="14" t="str">
        <x:v>None identified</x:v>
      </x:c>
    </x:row>
    <x:row r="884">
      <x:c r="A884" s="14" t="str">
        <x:v>tt11403434|nm1264521|patrick norris</x:v>
      </x:c>
      <x:c r="B884" s="14" t="str">
        <x:v>03</x:v>
      </x:c>
      <x:c r="C884" s="14" t="str">
        <x:v>2021_IMDb_Cast_Lists_Batch_03(1).xlsx</x:v>
      </x:c>
      <x:c r="D884" s="14" t="str">
        <x:v>Showtrial</x:v>
      </x:c>
      <x:c r="E884" s="14" t="n">
        <x:v>44</x:v>
      </x:c>
      <x:c r="F884" s="14" t="str">
        <x:v>Showtrial</x:v>
      </x:c>
      <x:c r="G884" s="14" t="str">
        <x:v>tt11403434</x:v>
      </x:c>
      <x:c r="H884" s="14" t="n">
        <x:v>2021</x:v>
      </x:c>
      <x:c r="I884" s="14" t="n">
        <x:v>2023</x:v>
      </x:c>
      <x:c r="J884" s="14" t="str">
        <x:v>Future Carry-Forward Cohort</x:v>
      </x:c>
      <x:c r="K884" s="14" t="n">
        <x:v>2021</x:v>
      </x:c>
      <x:c r="L884" s="14" t="str">
        <x:v>Available from 2021 analysis</x:v>
      </x:c>
      <x:c r="M884" s="15" t="n">
        <x:v>37</x:v>
      </x:c>
      <x:c r="N884" s="14" t="str">
        <x:v>Aidan McArdle</x:v>
      </x:c>
      <x:c r="O884" s="14" t="str">
        <x:v>nm1264521</x:v>
      </x:c>
      <x:c r="P884" s="14" t="str">
        <x:v>Patrick Norris</x:v>
      </x:c>
      <x:c r="Q884" s="15" t="n">
        <x:v>4</x:v>
      </x:c>
      <x:c r="R884" s="14" t="str">
        <x:v>2024</x:v>
      </x:c>
      <x:c r="S884" s="14" t="n">
        <x:v>2024</x:v>
      </x:c>
      <x:c r="T884" s="14" t="n">
        <x:v>2024</x:v>
      </x:c>
      <x:c r="U884" s="14" t="str">
        <x:v>Post-2021 casting excluded</x:v>
      </x:c>
      <x:c r="V884" s="14" t="str">
        <x:v>Earliest supplied year is 2024, later than the 2021 study year.</x:v>
      </x:c>
      <x:c r="W884" s="14"/>
      <x:c r="X884" s="14" t="str">
        <x:v>Carried forward to 2024</x:v>
      </x:c>
      <x:c r="Y884" s="14"/>
      <x:c r="Z884" s="14" t="str">
        <x:v>Showtrial.docx</x:v>
      </x:c>
      <x:c r="AA88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4" s="14" t="str">
        <x:v>No established-register match</x:v>
      </x:c>
      <x:c r="AC884" s="14"/>
      <x:c r="AD884" s="14"/>
      <x:c r="AE884" s="14"/>
      <x:c r="AF884" s="14"/>
      <x:c r="AG884" s="14" t="str">
        <x:v>No qualifying conclusion recorded. Absence from the register is not evidence that the performer is not disabled.</x:v>
      </x:c>
      <x:c r="AH884" s="14" t="str">
        <x:v>BBC</x:v>
      </x:c>
      <x:c r="AI884" s="14" t="str">
        <x:v>UK original commission</x:v>
      </x:c>
      <x:c r="AJ884" s="14" t="str">
        <x:v>Exact normalised title</x:v>
      </x:c>
      <x:c r="AK884" s="14" t="str">
        <x:v>Medium</x:v>
      </x:c>
      <x:c r="AL884" s="14" t="str">
        <x:v>Verified for commissioner/platform scope; uk original commission.</x:v>
      </x:c>
      <x:c r="AM884" s="17" t="e">
        <x:f>HYPERLINK("https://en.wikipedia.org/wiki/Show_trial","Open source")</x:f>
        <x:v>HYPERLINK is not implemented. linkLocation=https://en.wikipedia.org/wiki/Show_trial, friendlyName=Open source</x:v>
      </x:c>
      <x:c r="AN884" s="14" t="str">
        <x:v>BBC public-service commission</x:v>
      </x:c>
      <x:c r="AO884" s="14" t="str">
        <x:v>Yes</x:v>
      </x:c>
      <x:c r="AP884" s="14" t="str">
        <x:v>Direct BBC public-service scope</x:v>
      </x:c>
      <x:c r="AQ884" s="14" t="str">
        <x:v>Yes</x:v>
      </x:c>
      <x:c r="AR884" s="14" t="str">
        <x:v>Resolved from master register</x:v>
      </x:c>
      <x:c r="AS884" s="14" t="str">
        <x:v>No established-register match</x:v>
      </x:c>
      <x:c r="AT884" s="14"/>
      <x:c r="AU884" s="14"/>
      <x:c r="AV884" s="14" t="str">
        <x:v>No established apparent-disability match</x:v>
      </x:c>
      <x:c r="AW884" s="14"/>
      <x:c r="AX884" s="14" t="str">
        <x:v>No</x:v>
      </x:c>
      <x:c r="AY884" s="14" t="str">
        <x:v>Unmatched</x:v>
      </x:c>
      <x:c r="AZ884" s="14" t="str">
        <x:v>Final supplied register</x:v>
      </x:c>
      <x:c r="BA884" s="14" t="str">
        <x:v>Absence from the register is not evidence that the performer is not disabled.</x:v>
      </x:c>
      <x:c r="BB884" s="14" t="str">
        <x:v>No established-register match</x:v>
      </x:c>
      <x:c r="BC884" s="14"/>
      <x:c r="BD884" s="14"/>
      <x:c r="BE884" s="14"/>
      <x:c r="BF884" s="14" t="str">
        <x:v>No established apparent-disability match</x:v>
      </x:c>
      <x:c r="BG884" s="14"/>
      <x:c r="BH884" s="14" t="str">
        <x:v>No</x:v>
      </x:c>
      <x:c r="BI884" s="14"/>
      <x:c r="BJ884" s="14"/>
      <x:c r="BK884" s="14"/>
      <x:c r="BL884" s="14" t="str">
        <x:v>Unmatched</x:v>
      </x:c>
      <x:c r="BM884" s="14" t="str">
        <x:v>Final supplied register</x:v>
      </x:c>
      <x:c r="BN884" s="14" t="str">
        <x:v>Absence from the register is not evidence that the performer is not disabled.</x:v>
      </x:c>
      <x:c r="BO884" s="14" t="n">
        <x:v>5</x:v>
      </x:c>
      <x:c r="BP884" s="14" t="str">
        <x:v>Maximum eligible IMDb cast-credit total (5), shared by 18 performer(s); not independently verified as a 2021-only episode total.</x:v>
      </x:c>
      <x:c r="BQ884" s="14" t="str">
        <x:v>Medium</x:v>
      </x:c>
      <x:c r="BR884" s="15" t="n">
        <x:v>4</x:v>
      </x:c>
      <x:c r="BS884" s="16" t="n">
        <x:v>0.8</x:v>
      </x:c>
      <x:c r="BT884" s="14" t="str">
        <x:v>Majority of episodes</x:v>
      </x:c>
      <x:c r="BU884" s="14" t="str">
        <x:v>Medium</x:v>
      </x:c>
      <x:c r="BV884" s="14" t="str">
        <x:v>Derived from supplied IMDb episode count and the documented production-total proxy.</x:v>
      </x:c>
      <x:c r="BW884" s="14" t="str">
        <x:v>Unable to determine</x:v>
      </x:c>
      <x:c r="BX884" s="14" t="str">
        <x:v>Supplied cast data establishes the credit and episode presence but does not establish narrative prominence.</x:v>
      </x:c>
      <x:c r="BY884" s="14" t="str">
        <x:v>Supplied IMDb cast-list workbook</x:v>
      </x:c>
      <x:c r="BZ88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4" s="14" t="str">
        <x:v>Not classified</x:v>
      </x:c>
      <x:c r="CB884" s="14" t="str">
        <x:v>Unable to determine</x:v>
      </x:c>
      <x:c r="CC884" s="14" t="str">
        <x:v>Unique</x:v>
      </x:c>
      <x:c r="CD884" s="14" t="str">
        <x:v>None identified</x:v>
      </x:c>
    </x:row>
    <x:row r="885">
      <x:c r="A885" s="14" t="str">
        <x:v>tt11403434|nm5149825|christine stewart</x:v>
      </x:c>
      <x:c r="B885" s="14" t="str">
        <x:v>03</x:v>
      </x:c>
      <x:c r="C885" s="14" t="str">
        <x:v>2021_IMDb_Cast_Lists_Batch_03(1).xlsx</x:v>
      </x:c>
      <x:c r="D885" s="14" t="str">
        <x:v>Showtrial</x:v>
      </x:c>
      <x:c r="E885" s="14" t="n">
        <x:v>50</x:v>
      </x:c>
      <x:c r="F885" s="14" t="str">
        <x:v>Showtrial</x:v>
      </x:c>
      <x:c r="G885" s="14" t="str">
        <x:v>tt11403434</x:v>
      </x:c>
      <x:c r="H885" s="14" t="n">
        <x:v>2021</x:v>
      </x:c>
      <x:c r="I885" s="14" t="n">
        <x:v>2023</x:v>
      </x:c>
      <x:c r="J885" s="14" t="str">
        <x:v>Future Carry-Forward Cohort</x:v>
      </x:c>
      <x:c r="K885" s="14" t="n">
        <x:v>2021</x:v>
      </x:c>
      <x:c r="L885" s="14" t="str">
        <x:v>Available from 2021 analysis</x:v>
      </x:c>
      <x:c r="M885" s="15" t="n">
        <x:v>43</x:v>
      </x:c>
      <x:c r="N885" s="14" t="str">
        <x:v>Nicola Thorp</x:v>
      </x:c>
      <x:c r="O885" s="14" t="str">
        <x:v>nm5149825</x:v>
      </x:c>
      <x:c r="P885" s="14" t="str">
        <x:v>Christine Stewart</x:v>
      </x:c>
      <x:c r="Q885" s="15" t="n">
        <x:v>3</x:v>
      </x:c>
      <x:c r="R885" s="14" t="str">
        <x:v>2024</x:v>
      </x:c>
      <x:c r="S885" s="14" t="n">
        <x:v>2024</x:v>
      </x:c>
      <x:c r="T885" s="14" t="n">
        <x:v>2024</x:v>
      </x:c>
      <x:c r="U885" s="14" t="str">
        <x:v>Post-2021 casting excluded</x:v>
      </x:c>
      <x:c r="V885" s="14" t="str">
        <x:v>Earliest supplied year is 2024, later than the 2021 study year.</x:v>
      </x:c>
      <x:c r="W885" s="14"/>
      <x:c r="X885" s="14" t="str">
        <x:v>Carried forward to 2024</x:v>
      </x:c>
      <x:c r="Y885" s="14"/>
      <x:c r="Z885" s="14" t="str">
        <x:v>Showtrial.docx</x:v>
      </x:c>
      <x:c r="AA88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5" s="14" t="str">
        <x:v>No established-register match</x:v>
      </x:c>
      <x:c r="AC885" s="14"/>
      <x:c r="AD885" s="14"/>
      <x:c r="AE885" s="14"/>
      <x:c r="AF885" s="14"/>
      <x:c r="AG885" s="14" t="str">
        <x:v>No qualifying conclusion recorded. Absence from the register is not evidence that the performer is not disabled.</x:v>
      </x:c>
      <x:c r="AH885" s="14" t="str">
        <x:v>BBC</x:v>
      </x:c>
      <x:c r="AI885" s="14" t="str">
        <x:v>UK original commission</x:v>
      </x:c>
      <x:c r="AJ885" s="14" t="str">
        <x:v>Exact normalised title</x:v>
      </x:c>
      <x:c r="AK885" s="14" t="str">
        <x:v>Medium</x:v>
      </x:c>
      <x:c r="AL885" s="14" t="str">
        <x:v>Verified for commissioner/platform scope; uk original commission.</x:v>
      </x:c>
      <x:c r="AM885" s="17" t="e">
        <x:f>HYPERLINK("https://en.wikipedia.org/wiki/Show_trial","Open source")</x:f>
        <x:v>HYPERLINK is not implemented. linkLocation=https://en.wikipedia.org/wiki/Show_trial, friendlyName=Open source</x:v>
      </x:c>
      <x:c r="AN885" s="14" t="str">
        <x:v>BBC public-service commission</x:v>
      </x:c>
      <x:c r="AO885" s="14" t="str">
        <x:v>Yes</x:v>
      </x:c>
      <x:c r="AP885" s="14" t="str">
        <x:v>Direct BBC public-service scope</x:v>
      </x:c>
      <x:c r="AQ885" s="14" t="str">
        <x:v>Yes</x:v>
      </x:c>
      <x:c r="AR885" s="14" t="str">
        <x:v>Resolved from master register</x:v>
      </x:c>
      <x:c r="AS885" s="14" t="str">
        <x:v>No established-register match</x:v>
      </x:c>
      <x:c r="AT885" s="14"/>
      <x:c r="AU885" s="14"/>
      <x:c r="AV885" s="14" t="str">
        <x:v>No established apparent-disability match</x:v>
      </x:c>
      <x:c r="AW885" s="14"/>
      <x:c r="AX885" s="14" t="str">
        <x:v>No</x:v>
      </x:c>
      <x:c r="AY885" s="14" t="str">
        <x:v>Unmatched</x:v>
      </x:c>
      <x:c r="AZ885" s="14" t="str">
        <x:v>Final supplied register</x:v>
      </x:c>
      <x:c r="BA885" s="14" t="str">
        <x:v>Absence from the register is not evidence that the performer is not disabled.</x:v>
      </x:c>
      <x:c r="BB885" s="14" t="str">
        <x:v>No established-register match</x:v>
      </x:c>
      <x:c r="BC885" s="14"/>
      <x:c r="BD885" s="14"/>
      <x:c r="BE885" s="14"/>
      <x:c r="BF885" s="14" t="str">
        <x:v>No established apparent-disability match</x:v>
      </x:c>
      <x:c r="BG885" s="14"/>
      <x:c r="BH885" s="14" t="str">
        <x:v>No</x:v>
      </x:c>
      <x:c r="BI885" s="14"/>
      <x:c r="BJ885" s="14"/>
      <x:c r="BK885" s="14"/>
      <x:c r="BL885" s="14" t="str">
        <x:v>Unmatched</x:v>
      </x:c>
      <x:c r="BM885" s="14" t="str">
        <x:v>Final supplied register</x:v>
      </x:c>
      <x:c r="BN885" s="14" t="str">
        <x:v>Absence from the register is not evidence that the performer is not disabled.</x:v>
      </x:c>
      <x:c r="BO885" s="14" t="n">
        <x:v>5</x:v>
      </x:c>
      <x:c r="BP885" s="14" t="str">
        <x:v>Maximum eligible IMDb cast-credit total (5), shared by 18 performer(s); not independently verified as a 2021-only episode total.</x:v>
      </x:c>
      <x:c r="BQ885" s="14" t="str">
        <x:v>Medium</x:v>
      </x:c>
      <x:c r="BR885" s="15" t="n">
        <x:v>3</x:v>
      </x:c>
      <x:c r="BS885" s="16" t="n">
        <x:v>0.6</x:v>
      </x:c>
      <x:c r="BT885" s="14" t="str">
        <x:v>Majority of episodes</x:v>
      </x:c>
      <x:c r="BU885" s="14" t="str">
        <x:v>Medium</x:v>
      </x:c>
      <x:c r="BV885" s="14" t="str">
        <x:v>Derived from supplied IMDb episode count and the documented production-total proxy.</x:v>
      </x:c>
      <x:c r="BW885" s="14" t="str">
        <x:v>Unable to determine</x:v>
      </x:c>
      <x:c r="BX885" s="14" t="str">
        <x:v>Supplied cast data establishes the credit and episode presence but does not establish narrative prominence.</x:v>
      </x:c>
      <x:c r="BY885" s="14" t="str">
        <x:v>Supplied IMDb cast-list workbook</x:v>
      </x:c>
      <x:c r="BZ88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5" s="14" t="str">
        <x:v>Not classified</x:v>
      </x:c>
      <x:c r="CB885" s="14" t="str">
        <x:v>Unable to determine</x:v>
      </x:c>
      <x:c r="CC885" s="14" t="str">
        <x:v>Unique</x:v>
      </x:c>
      <x:c r="CD885" s="14" t="str">
        <x:v>None identified</x:v>
      </x:c>
    </x:row>
    <x:row r="886">
      <x:c r="A886" s="14" t="str">
        <x:v>tt11403434|nm0000768|dame harriet kenny</x:v>
      </x:c>
      <x:c r="B886" s="14" t="str">
        <x:v>03</x:v>
      </x:c>
      <x:c r="C886" s="14" t="str">
        <x:v>2021_IMDb_Cast_Lists_Batch_03(1).xlsx</x:v>
      </x:c>
      <x:c r="D886" s="14" t="str">
        <x:v>Showtrial</x:v>
      </x:c>
      <x:c r="E886" s="14" t="n">
        <x:v>51</x:v>
      </x:c>
      <x:c r="F886" s="14" t="str">
        <x:v>Showtrial</x:v>
      </x:c>
      <x:c r="G886" s="14" t="str">
        <x:v>tt11403434</x:v>
      </x:c>
      <x:c r="H886" s="14" t="n">
        <x:v>2021</x:v>
      </x:c>
      <x:c r="I886" s="14" t="n">
        <x:v>2023</x:v>
      </x:c>
      <x:c r="J886" s="14" t="str">
        <x:v>Future Carry-Forward Cohort</x:v>
      </x:c>
      <x:c r="K886" s="14" t="n">
        <x:v>2021</x:v>
      </x:c>
      <x:c r="L886" s="14" t="str">
        <x:v>Available from 2021 analysis</x:v>
      </x:c>
      <x:c r="M886" s="15" t="n">
        <x:v>44</x:v>
      </x:c>
      <x:c r="N886" s="14" t="str">
        <x:v>Francesca Annis</x:v>
      </x:c>
      <x:c r="O886" s="14" t="str">
        <x:v>nm0000768</x:v>
      </x:c>
      <x:c r="P886" s="14" t="str">
        <x:v>Dame Harriet Kenny</x:v>
      </x:c>
      <x:c r="Q886" s="15" t="n">
        <x:v>3</x:v>
      </x:c>
      <x:c r="R886" s="14" t="str">
        <x:v>2024</x:v>
      </x:c>
      <x:c r="S886" s="14" t="n">
        <x:v>2024</x:v>
      </x:c>
      <x:c r="T886" s="14" t="n">
        <x:v>2024</x:v>
      </x:c>
      <x:c r="U886" s="14" t="str">
        <x:v>Post-2021 casting excluded</x:v>
      </x:c>
      <x:c r="V886" s="14" t="str">
        <x:v>Earliest supplied year is 2024, later than the 2021 study year.</x:v>
      </x:c>
      <x:c r="W886" s="14"/>
      <x:c r="X886" s="14" t="str">
        <x:v>Carried forward to 2024</x:v>
      </x:c>
      <x:c r="Y886" s="14"/>
      <x:c r="Z886" s="14" t="str">
        <x:v>Showtrial.docx</x:v>
      </x:c>
      <x:c r="AA88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6" s="14" t="str">
        <x:v>No established-register match</x:v>
      </x:c>
      <x:c r="AC886" s="14"/>
      <x:c r="AD886" s="14"/>
      <x:c r="AE886" s="14"/>
      <x:c r="AF886" s="14"/>
      <x:c r="AG886" s="14" t="str">
        <x:v>No qualifying conclusion recorded. Absence from the register is not evidence that the performer is not disabled.</x:v>
      </x:c>
      <x:c r="AH886" s="14" t="str">
        <x:v>BBC</x:v>
      </x:c>
      <x:c r="AI886" s="14" t="str">
        <x:v>UK original commission</x:v>
      </x:c>
      <x:c r="AJ886" s="14" t="str">
        <x:v>Exact normalised title</x:v>
      </x:c>
      <x:c r="AK886" s="14" t="str">
        <x:v>Medium</x:v>
      </x:c>
      <x:c r="AL886" s="14" t="str">
        <x:v>Verified for commissioner/platform scope; uk original commission.</x:v>
      </x:c>
      <x:c r="AM886" s="17" t="e">
        <x:f>HYPERLINK("https://en.wikipedia.org/wiki/Show_trial","Open source")</x:f>
        <x:v>HYPERLINK is not implemented. linkLocation=https://en.wikipedia.org/wiki/Show_trial, friendlyName=Open source</x:v>
      </x:c>
      <x:c r="AN886" s="14" t="str">
        <x:v>BBC public-service commission</x:v>
      </x:c>
      <x:c r="AO886" s="14" t="str">
        <x:v>Yes</x:v>
      </x:c>
      <x:c r="AP886" s="14" t="str">
        <x:v>Direct BBC public-service scope</x:v>
      </x:c>
      <x:c r="AQ886" s="14" t="str">
        <x:v>Yes</x:v>
      </x:c>
      <x:c r="AR886" s="14" t="str">
        <x:v>Resolved from master register</x:v>
      </x:c>
      <x:c r="AS886" s="14" t="str">
        <x:v>No established-register match</x:v>
      </x:c>
      <x:c r="AT886" s="14"/>
      <x:c r="AU886" s="14"/>
      <x:c r="AV886" s="14" t="str">
        <x:v>No established apparent-disability match</x:v>
      </x:c>
      <x:c r="AW886" s="14"/>
      <x:c r="AX886" s="14" t="str">
        <x:v>No</x:v>
      </x:c>
      <x:c r="AY886" s="14" t="str">
        <x:v>Unmatched</x:v>
      </x:c>
      <x:c r="AZ886" s="14" t="str">
        <x:v>Final supplied register</x:v>
      </x:c>
      <x:c r="BA886" s="14" t="str">
        <x:v>Absence from the register is not evidence that the performer is not disabled.</x:v>
      </x:c>
      <x:c r="BB886" s="14" t="str">
        <x:v>No established-register match</x:v>
      </x:c>
      <x:c r="BC886" s="14"/>
      <x:c r="BD886" s="14"/>
      <x:c r="BE886" s="14"/>
      <x:c r="BF886" s="14" t="str">
        <x:v>No established apparent-disability match</x:v>
      </x:c>
      <x:c r="BG886" s="14"/>
      <x:c r="BH886" s="14" t="str">
        <x:v>No</x:v>
      </x:c>
      <x:c r="BI886" s="14"/>
      <x:c r="BJ886" s="14"/>
      <x:c r="BK886" s="14"/>
      <x:c r="BL886" s="14" t="str">
        <x:v>Unmatched</x:v>
      </x:c>
      <x:c r="BM886" s="14" t="str">
        <x:v>Final supplied register</x:v>
      </x:c>
      <x:c r="BN886" s="14" t="str">
        <x:v>Absence from the register is not evidence that the performer is not disabled.</x:v>
      </x:c>
      <x:c r="BO886" s="14" t="n">
        <x:v>5</x:v>
      </x:c>
      <x:c r="BP886" s="14" t="str">
        <x:v>Maximum eligible IMDb cast-credit total (5), shared by 18 performer(s); not independently verified as a 2021-only episode total.</x:v>
      </x:c>
      <x:c r="BQ886" s="14" t="str">
        <x:v>Medium</x:v>
      </x:c>
      <x:c r="BR886" s="15" t="n">
        <x:v>3</x:v>
      </x:c>
      <x:c r="BS886" s="16" t="n">
        <x:v>0.6</x:v>
      </x:c>
      <x:c r="BT886" s="14" t="str">
        <x:v>Majority of episodes</x:v>
      </x:c>
      <x:c r="BU886" s="14" t="str">
        <x:v>Medium</x:v>
      </x:c>
      <x:c r="BV886" s="14" t="str">
        <x:v>Derived from supplied IMDb episode count and the documented production-total proxy.</x:v>
      </x:c>
      <x:c r="BW886" s="14" t="str">
        <x:v>Unable to determine</x:v>
      </x:c>
      <x:c r="BX886" s="14" t="str">
        <x:v>Supplied cast data establishes the credit and episode presence but does not establish narrative prominence.</x:v>
      </x:c>
      <x:c r="BY886" s="14" t="str">
        <x:v>Supplied IMDb cast-list workbook</x:v>
      </x:c>
      <x:c r="BZ88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6" s="14" t="str">
        <x:v>Not classified</x:v>
      </x:c>
      <x:c r="CB886" s="14" t="str">
        <x:v>Unable to determine</x:v>
      </x:c>
      <x:c r="CC886" s="14" t="str">
        <x:v>Unique</x:v>
      </x:c>
      <x:c r="CD886" s="14" t="str">
        <x:v>None identified</x:v>
      </x:c>
    </x:row>
    <x:row r="887">
      <x:c r="A887" s="14" t="str">
        <x:v>tt11403434|nm2259018|pc becky hollis</x:v>
      </x:c>
      <x:c r="B887" s="14" t="str">
        <x:v>03</x:v>
      </x:c>
      <x:c r="C887" s="14" t="str">
        <x:v>2021_IMDb_Cast_Lists_Batch_03(1).xlsx</x:v>
      </x:c>
      <x:c r="D887" s="14" t="str">
        <x:v>Showtrial</x:v>
      </x:c>
      <x:c r="E887" s="14" t="n">
        <x:v>52</x:v>
      </x:c>
      <x:c r="F887" s="14" t="str">
        <x:v>Showtrial</x:v>
      </x:c>
      <x:c r="G887" s="14" t="str">
        <x:v>tt11403434</x:v>
      </x:c>
      <x:c r="H887" s="14" t="n">
        <x:v>2021</x:v>
      </x:c>
      <x:c r="I887" s="14" t="n">
        <x:v>2023</x:v>
      </x:c>
      <x:c r="J887" s="14" t="str">
        <x:v>Future Carry-Forward Cohort</x:v>
      </x:c>
      <x:c r="K887" s="14" t="n">
        <x:v>2021</x:v>
      </x:c>
      <x:c r="L887" s="14" t="str">
        <x:v>Available from 2021 analysis</x:v>
      </x:c>
      <x:c r="M887" s="15" t="n">
        <x:v>45</x:v>
      </x:c>
      <x:c r="N887" s="14" t="str">
        <x:v>Kerrie Hayes</x:v>
      </x:c>
      <x:c r="O887" s="14" t="str">
        <x:v>nm2259018</x:v>
      </x:c>
      <x:c r="P887" s="14" t="str">
        <x:v>PC Becky Hollis</x:v>
      </x:c>
      <x:c r="Q887" s="15" t="n">
        <x:v>3</x:v>
      </x:c>
      <x:c r="R887" s="14" t="str">
        <x:v>2024</x:v>
      </x:c>
      <x:c r="S887" s="14" t="n">
        <x:v>2024</x:v>
      </x:c>
      <x:c r="T887" s="14" t="n">
        <x:v>2024</x:v>
      </x:c>
      <x:c r="U887" s="14" t="str">
        <x:v>Post-2021 casting excluded</x:v>
      </x:c>
      <x:c r="V887" s="14" t="str">
        <x:v>Earliest supplied year is 2024, later than the 2021 study year.</x:v>
      </x:c>
      <x:c r="W887" s="14"/>
      <x:c r="X887" s="14" t="str">
        <x:v>Carried forward to 2024</x:v>
      </x:c>
      <x:c r="Y887" s="14"/>
      <x:c r="Z887" s="14" t="str">
        <x:v>Showtrial.docx</x:v>
      </x:c>
      <x:c r="AA88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7" s="14" t="str">
        <x:v>No established-register match</x:v>
      </x:c>
      <x:c r="AC887" s="14"/>
      <x:c r="AD887" s="14"/>
      <x:c r="AE887" s="14"/>
      <x:c r="AF887" s="14"/>
      <x:c r="AG887" s="14" t="str">
        <x:v>No qualifying conclusion recorded. Absence from the register is not evidence that the performer is not disabled.</x:v>
      </x:c>
      <x:c r="AH887" s="14" t="str">
        <x:v>BBC</x:v>
      </x:c>
      <x:c r="AI887" s="14" t="str">
        <x:v>UK original commission</x:v>
      </x:c>
      <x:c r="AJ887" s="14" t="str">
        <x:v>Exact normalised title</x:v>
      </x:c>
      <x:c r="AK887" s="14" t="str">
        <x:v>Medium</x:v>
      </x:c>
      <x:c r="AL887" s="14" t="str">
        <x:v>Verified for commissioner/platform scope; uk original commission.</x:v>
      </x:c>
      <x:c r="AM887" s="17" t="e">
        <x:f>HYPERLINK("https://en.wikipedia.org/wiki/Show_trial","Open source")</x:f>
        <x:v>HYPERLINK is not implemented. linkLocation=https://en.wikipedia.org/wiki/Show_trial, friendlyName=Open source</x:v>
      </x:c>
      <x:c r="AN887" s="14" t="str">
        <x:v>BBC public-service commission</x:v>
      </x:c>
      <x:c r="AO887" s="14" t="str">
        <x:v>Yes</x:v>
      </x:c>
      <x:c r="AP887" s="14" t="str">
        <x:v>Direct BBC public-service scope</x:v>
      </x:c>
      <x:c r="AQ887" s="14" t="str">
        <x:v>Yes</x:v>
      </x:c>
      <x:c r="AR887" s="14" t="str">
        <x:v>Resolved from master register</x:v>
      </x:c>
      <x:c r="AS887" s="14" t="str">
        <x:v>No established-register match</x:v>
      </x:c>
      <x:c r="AT887" s="14"/>
      <x:c r="AU887" s="14"/>
      <x:c r="AV887" s="14" t="str">
        <x:v>No established apparent-disability match</x:v>
      </x:c>
      <x:c r="AW887" s="14"/>
      <x:c r="AX887" s="14" t="str">
        <x:v>No</x:v>
      </x:c>
      <x:c r="AY887" s="14" t="str">
        <x:v>Unmatched</x:v>
      </x:c>
      <x:c r="AZ887" s="14" t="str">
        <x:v>Final supplied register</x:v>
      </x:c>
      <x:c r="BA887" s="14" t="str">
        <x:v>Absence from the register is not evidence that the performer is not disabled.</x:v>
      </x:c>
      <x:c r="BB887" s="14" t="str">
        <x:v>No established-register match</x:v>
      </x:c>
      <x:c r="BC887" s="14"/>
      <x:c r="BD887" s="14"/>
      <x:c r="BE887" s="14"/>
      <x:c r="BF887" s="14" t="str">
        <x:v>No established apparent-disability match</x:v>
      </x:c>
      <x:c r="BG887" s="14"/>
      <x:c r="BH887" s="14" t="str">
        <x:v>No</x:v>
      </x:c>
      <x:c r="BI887" s="14"/>
      <x:c r="BJ887" s="14"/>
      <x:c r="BK887" s="14"/>
      <x:c r="BL887" s="14" t="str">
        <x:v>Unmatched</x:v>
      </x:c>
      <x:c r="BM887" s="14" t="str">
        <x:v>Final supplied register</x:v>
      </x:c>
      <x:c r="BN887" s="14" t="str">
        <x:v>Absence from the register is not evidence that the performer is not disabled.</x:v>
      </x:c>
      <x:c r="BO887" s="14" t="n">
        <x:v>5</x:v>
      </x:c>
      <x:c r="BP887" s="14" t="str">
        <x:v>Maximum eligible IMDb cast-credit total (5), shared by 18 performer(s); not independently verified as a 2021-only episode total.</x:v>
      </x:c>
      <x:c r="BQ887" s="14" t="str">
        <x:v>Medium</x:v>
      </x:c>
      <x:c r="BR887" s="15" t="n">
        <x:v>3</x:v>
      </x:c>
      <x:c r="BS887" s="16" t="n">
        <x:v>0.6</x:v>
      </x:c>
      <x:c r="BT887" s="14" t="str">
        <x:v>Majority of episodes</x:v>
      </x:c>
      <x:c r="BU887" s="14" t="str">
        <x:v>Medium</x:v>
      </x:c>
      <x:c r="BV887" s="14" t="str">
        <x:v>Derived from supplied IMDb episode count and the documented production-total proxy.</x:v>
      </x:c>
      <x:c r="BW887" s="14" t="str">
        <x:v>Unable to determine</x:v>
      </x:c>
      <x:c r="BX887" s="14" t="str">
        <x:v>Supplied cast data establishes the credit and episode presence but does not establish narrative prominence.</x:v>
      </x:c>
      <x:c r="BY887" s="14" t="str">
        <x:v>Supplied IMDb cast-list workbook</x:v>
      </x:c>
      <x:c r="BZ88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7" s="14" t="str">
        <x:v>Not classified</x:v>
      </x:c>
      <x:c r="CB887" s="14" t="str">
        <x:v>Unable to determine</x:v>
      </x:c>
      <x:c r="CC887" s="14" t="str">
        <x:v>Unique</x:v>
      </x:c>
      <x:c r="CD887" s="14" t="str">
        <x:v>None identified</x:v>
      </x:c>
    </x:row>
    <x:row r="888">
      <x:c r="A888" s="14" t="str">
        <x:v>tt11403434|nm12629299|grace eze</x:v>
      </x:c>
      <x:c r="B888" s="14" t="str">
        <x:v>03</x:v>
      </x:c>
      <x:c r="C888" s="14" t="str">
        <x:v>2021_IMDb_Cast_Lists_Batch_03(1).xlsx</x:v>
      </x:c>
      <x:c r="D888" s="14" t="str">
        <x:v>Showtrial</x:v>
      </x:c>
      <x:c r="E888" s="14" t="n">
        <x:v>53</x:v>
      </x:c>
      <x:c r="F888" s="14" t="str">
        <x:v>Showtrial</x:v>
      </x:c>
      <x:c r="G888" s="14" t="str">
        <x:v>tt11403434</x:v>
      </x:c>
      <x:c r="H888" s="14" t="n">
        <x:v>2021</x:v>
      </x:c>
      <x:c r="I888" s="14" t="n">
        <x:v>2023</x:v>
      </x:c>
      <x:c r="J888" s="14" t="str">
        <x:v>Future Carry-Forward Cohort</x:v>
      </x:c>
      <x:c r="K888" s="14" t="n">
        <x:v>2021</x:v>
      </x:c>
      <x:c r="L888" s="14" t="str">
        <x:v>Available from 2021 analysis</x:v>
      </x:c>
      <x:c r="M888" s="15" t="n">
        <x:v>46</x:v>
      </x:c>
      <x:c r="N888" s="14" t="str">
        <x:v>Ayesha Griffiths</x:v>
      </x:c>
      <x:c r="O888" s="14" t="str">
        <x:v>nm12629299</x:v>
      </x:c>
      <x:c r="P888" s="14" t="str">
        <x:v>Grace Eze</x:v>
      </x:c>
      <x:c r="Q888" s="15" t="n">
        <x:v>3</x:v>
      </x:c>
      <x:c r="R888" s="14" t="str">
        <x:v>2024</x:v>
      </x:c>
      <x:c r="S888" s="14" t="n">
        <x:v>2024</x:v>
      </x:c>
      <x:c r="T888" s="14" t="n">
        <x:v>2024</x:v>
      </x:c>
      <x:c r="U888" s="14" t="str">
        <x:v>Post-2021 casting excluded</x:v>
      </x:c>
      <x:c r="V888" s="14" t="str">
        <x:v>Earliest supplied year is 2024, later than the 2021 study year.</x:v>
      </x:c>
      <x:c r="W888" s="14"/>
      <x:c r="X888" s="14" t="str">
        <x:v>Carried forward to 2024</x:v>
      </x:c>
      <x:c r="Y888" s="14"/>
      <x:c r="Z888" s="14" t="str">
        <x:v>Showtrial.docx</x:v>
      </x:c>
      <x:c r="AA88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8" s="14" t="str">
        <x:v>No established-register match</x:v>
      </x:c>
      <x:c r="AC888" s="14"/>
      <x:c r="AD888" s="14"/>
      <x:c r="AE888" s="14"/>
      <x:c r="AF888" s="14"/>
      <x:c r="AG888" s="14" t="str">
        <x:v>No qualifying conclusion recorded. Absence from the register is not evidence that the performer is not disabled.</x:v>
      </x:c>
      <x:c r="AH888" s="14" t="str">
        <x:v>BBC</x:v>
      </x:c>
      <x:c r="AI888" s="14" t="str">
        <x:v>UK original commission</x:v>
      </x:c>
      <x:c r="AJ888" s="14" t="str">
        <x:v>Exact normalised title</x:v>
      </x:c>
      <x:c r="AK888" s="14" t="str">
        <x:v>Medium</x:v>
      </x:c>
      <x:c r="AL888" s="14" t="str">
        <x:v>Verified for commissioner/platform scope; uk original commission.</x:v>
      </x:c>
      <x:c r="AM888" s="17" t="e">
        <x:f>HYPERLINK("https://en.wikipedia.org/wiki/Show_trial","Open source")</x:f>
        <x:v>HYPERLINK is not implemented. linkLocation=https://en.wikipedia.org/wiki/Show_trial, friendlyName=Open source</x:v>
      </x:c>
      <x:c r="AN888" s="14" t="str">
        <x:v>BBC public-service commission</x:v>
      </x:c>
      <x:c r="AO888" s="14" t="str">
        <x:v>Yes</x:v>
      </x:c>
      <x:c r="AP888" s="14" t="str">
        <x:v>Direct BBC public-service scope</x:v>
      </x:c>
      <x:c r="AQ888" s="14" t="str">
        <x:v>Yes</x:v>
      </x:c>
      <x:c r="AR888" s="14" t="str">
        <x:v>Resolved from master register</x:v>
      </x:c>
      <x:c r="AS888" s="14" t="str">
        <x:v>No established-register match</x:v>
      </x:c>
      <x:c r="AT888" s="14"/>
      <x:c r="AU888" s="14"/>
      <x:c r="AV888" s="14" t="str">
        <x:v>No established apparent-disability match</x:v>
      </x:c>
      <x:c r="AW888" s="14"/>
      <x:c r="AX888" s="14" t="str">
        <x:v>No</x:v>
      </x:c>
      <x:c r="AY888" s="14" t="str">
        <x:v>Unmatched</x:v>
      </x:c>
      <x:c r="AZ888" s="14" t="str">
        <x:v>Final supplied register</x:v>
      </x:c>
      <x:c r="BA888" s="14" t="str">
        <x:v>Absence from the register is not evidence that the performer is not disabled.</x:v>
      </x:c>
      <x:c r="BB888" s="14" t="str">
        <x:v>No established-register match</x:v>
      </x:c>
      <x:c r="BC888" s="14"/>
      <x:c r="BD888" s="14"/>
      <x:c r="BE888" s="14"/>
      <x:c r="BF888" s="14" t="str">
        <x:v>No established apparent-disability match</x:v>
      </x:c>
      <x:c r="BG888" s="14"/>
      <x:c r="BH888" s="14" t="str">
        <x:v>No</x:v>
      </x:c>
      <x:c r="BI888" s="14"/>
      <x:c r="BJ888" s="14"/>
      <x:c r="BK888" s="14"/>
      <x:c r="BL888" s="14" t="str">
        <x:v>Unmatched</x:v>
      </x:c>
      <x:c r="BM888" s="14" t="str">
        <x:v>Final supplied register</x:v>
      </x:c>
      <x:c r="BN888" s="14" t="str">
        <x:v>Absence from the register is not evidence that the performer is not disabled.</x:v>
      </x:c>
      <x:c r="BO888" s="14" t="n">
        <x:v>5</x:v>
      </x:c>
      <x:c r="BP888" s="14" t="str">
        <x:v>Maximum eligible IMDb cast-credit total (5), shared by 18 performer(s); not independently verified as a 2021-only episode total.</x:v>
      </x:c>
      <x:c r="BQ888" s="14" t="str">
        <x:v>Medium</x:v>
      </x:c>
      <x:c r="BR888" s="15" t="n">
        <x:v>3</x:v>
      </x:c>
      <x:c r="BS888" s="16" t="n">
        <x:v>0.6</x:v>
      </x:c>
      <x:c r="BT888" s="14" t="str">
        <x:v>Majority of episodes</x:v>
      </x:c>
      <x:c r="BU888" s="14" t="str">
        <x:v>Medium</x:v>
      </x:c>
      <x:c r="BV888" s="14" t="str">
        <x:v>Derived from supplied IMDb episode count and the documented production-total proxy.</x:v>
      </x:c>
      <x:c r="BW888" s="14" t="str">
        <x:v>Unable to determine</x:v>
      </x:c>
      <x:c r="BX888" s="14" t="str">
        <x:v>Supplied cast data establishes the credit and episode presence but does not establish narrative prominence.</x:v>
      </x:c>
      <x:c r="BY888" s="14" t="str">
        <x:v>Supplied IMDb cast-list workbook</x:v>
      </x:c>
      <x:c r="BZ88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8" s="14" t="str">
        <x:v>Not classified</x:v>
      </x:c>
      <x:c r="CB888" s="14" t="str">
        <x:v>Unable to determine</x:v>
      </x:c>
      <x:c r="CC888" s="14" t="str">
        <x:v>Unique</x:v>
      </x:c>
      <x:c r="CD888" s="14" t="str">
        <x:v>None identified</x:v>
      </x:c>
    </x:row>
    <x:row r="889">
      <x:c r="A889" s="14" t="str">
        <x:v>tt11403434|nm5141621|pc nick taylor</x:v>
      </x:c>
      <x:c r="B889" s="14" t="str">
        <x:v>03</x:v>
      </x:c>
      <x:c r="C889" s="14" t="str">
        <x:v>2021_IMDb_Cast_Lists_Batch_03(1).xlsx</x:v>
      </x:c>
      <x:c r="D889" s="14" t="str">
        <x:v>Showtrial</x:v>
      </x:c>
      <x:c r="E889" s="14" t="n">
        <x:v>54</x:v>
      </x:c>
      <x:c r="F889" s="14" t="str">
        <x:v>Showtrial</x:v>
      </x:c>
      <x:c r="G889" s="14" t="str">
        <x:v>tt11403434</x:v>
      </x:c>
      <x:c r="H889" s="14" t="n">
        <x:v>2021</x:v>
      </x:c>
      <x:c r="I889" s="14" t="n">
        <x:v>2023</x:v>
      </x:c>
      <x:c r="J889" s="14" t="str">
        <x:v>Future Carry-Forward Cohort</x:v>
      </x:c>
      <x:c r="K889" s="14" t="n">
        <x:v>2021</x:v>
      </x:c>
      <x:c r="L889" s="14" t="str">
        <x:v>Available from 2021 analysis</x:v>
      </x:c>
      <x:c r="M889" s="15" t="n">
        <x:v>47</x:v>
      </x:c>
      <x:c r="N889" s="14" t="str">
        <x:v>Frankie Wilson</x:v>
      </x:c>
      <x:c r="O889" s="14" t="str">
        <x:v>nm5141621</x:v>
      </x:c>
      <x:c r="P889" s="14" t="str">
        <x:v>PC Nick Taylor</x:v>
      </x:c>
      <x:c r="Q889" s="15" t="n">
        <x:v>3</x:v>
      </x:c>
      <x:c r="R889" s="14" t="str">
        <x:v>2024</x:v>
      </x:c>
      <x:c r="S889" s="14" t="n">
        <x:v>2024</x:v>
      </x:c>
      <x:c r="T889" s="14" t="n">
        <x:v>2024</x:v>
      </x:c>
      <x:c r="U889" s="14" t="str">
        <x:v>Post-2021 casting excluded</x:v>
      </x:c>
      <x:c r="V889" s="14" t="str">
        <x:v>Earliest supplied year is 2024, later than the 2021 study year.</x:v>
      </x:c>
      <x:c r="W889" s="14"/>
      <x:c r="X889" s="14" t="str">
        <x:v>Carried forward to 2024</x:v>
      </x:c>
      <x:c r="Y889" s="14"/>
      <x:c r="Z889" s="14" t="str">
        <x:v>Showtrial.docx</x:v>
      </x:c>
      <x:c r="AA88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9" s="14" t="str">
        <x:v>No established-register match</x:v>
      </x:c>
      <x:c r="AC889" s="14"/>
      <x:c r="AD889" s="14"/>
      <x:c r="AE889" s="14"/>
      <x:c r="AF889" s="14"/>
      <x:c r="AG889" s="14" t="str">
        <x:v>No qualifying conclusion recorded. Absence from the register is not evidence that the performer is not disabled.</x:v>
      </x:c>
      <x:c r="AH889" s="14" t="str">
        <x:v>BBC</x:v>
      </x:c>
      <x:c r="AI889" s="14" t="str">
        <x:v>UK original commission</x:v>
      </x:c>
      <x:c r="AJ889" s="14" t="str">
        <x:v>Exact normalised title</x:v>
      </x:c>
      <x:c r="AK889" s="14" t="str">
        <x:v>Medium</x:v>
      </x:c>
      <x:c r="AL889" s="14" t="str">
        <x:v>Verified for commissioner/platform scope; uk original commission.</x:v>
      </x:c>
      <x:c r="AM889" s="17" t="e">
        <x:f>HYPERLINK("https://en.wikipedia.org/wiki/Show_trial","Open source")</x:f>
        <x:v>HYPERLINK is not implemented. linkLocation=https://en.wikipedia.org/wiki/Show_trial, friendlyName=Open source</x:v>
      </x:c>
      <x:c r="AN889" s="14" t="str">
        <x:v>BBC public-service commission</x:v>
      </x:c>
      <x:c r="AO889" s="14" t="str">
        <x:v>Yes</x:v>
      </x:c>
      <x:c r="AP889" s="14" t="str">
        <x:v>Direct BBC public-service scope</x:v>
      </x:c>
      <x:c r="AQ889" s="14" t="str">
        <x:v>Yes</x:v>
      </x:c>
      <x:c r="AR889" s="14" t="str">
        <x:v>Resolved from master register</x:v>
      </x:c>
      <x:c r="AS889" s="14" t="str">
        <x:v>No established-register match</x:v>
      </x:c>
      <x:c r="AT889" s="14"/>
      <x:c r="AU889" s="14"/>
      <x:c r="AV889" s="14" t="str">
        <x:v>No established apparent-disability match</x:v>
      </x:c>
      <x:c r="AW889" s="14"/>
      <x:c r="AX889" s="14" t="str">
        <x:v>No</x:v>
      </x:c>
      <x:c r="AY889" s="14" t="str">
        <x:v>Unmatched</x:v>
      </x:c>
      <x:c r="AZ889" s="14" t="str">
        <x:v>Final supplied register</x:v>
      </x:c>
      <x:c r="BA889" s="14" t="str">
        <x:v>Absence from the register is not evidence that the performer is not disabled.</x:v>
      </x:c>
      <x:c r="BB889" s="14" t="str">
        <x:v>No established-register match</x:v>
      </x:c>
      <x:c r="BC889" s="14"/>
      <x:c r="BD889" s="14"/>
      <x:c r="BE889" s="14"/>
      <x:c r="BF889" s="14" t="str">
        <x:v>No established apparent-disability match</x:v>
      </x:c>
      <x:c r="BG889" s="14"/>
      <x:c r="BH889" s="14" t="str">
        <x:v>No</x:v>
      </x:c>
      <x:c r="BI889" s="14"/>
      <x:c r="BJ889" s="14"/>
      <x:c r="BK889" s="14"/>
      <x:c r="BL889" s="14" t="str">
        <x:v>Unmatched</x:v>
      </x:c>
      <x:c r="BM889" s="14" t="str">
        <x:v>Final supplied register</x:v>
      </x:c>
      <x:c r="BN889" s="14" t="str">
        <x:v>Absence from the register is not evidence that the performer is not disabled.</x:v>
      </x:c>
      <x:c r="BO889" s="14" t="n">
        <x:v>5</x:v>
      </x:c>
      <x:c r="BP889" s="14" t="str">
        <x:v>Maximum eligible IMDb cast-credit total (5), shared by 18 performer(s); not independently verified as a 2021-only episode total.</x:v>
      </x:c>
      <x:c r="BQ889" s="14" t="str">
        <x:v>Medium</x:v>
      </x:c>
      <x:c r="BR889" s="15" t="n">
        <x:v>3</x:v>
      </x:c>
      <x:c r="BS889" s="16" t="n">
        <x:v>0.6</x:v>
      </x:c>
      <x:c r="BT889" s="14" t="str">
        <x:v>Majority of episodes</x:v>
      </x:c>
      <x:c r="BU889" s="14" t="str">
        <x:v>Medium</x:v>
      </x:c>
      <x:c r="BV889" s="14" t="str">
        <x:v>Derived from supplied IMDb episode count and the documented production-total proxy.</x:v>
      </x:c>
      <x:c r="BW889" s="14" t="str">
        <x:v>Unable to determine</x:v>
      </x:c>
      <x:c r="BX889" s="14" t="str">
        <x:v>Supplied cast data establishes the credit and episode presence but does not establish narrative prominence.</x:v>
      </x:c>
      <x:c r="BY889" s="14" t="str">
        <x:v>Supplied IMDb cast-list workbook</x:v>
      </x:c>
      <x:c r="BZ88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9" s="14" t="str">
        <x:v>Not classified</x:v>
      </x:c>
      <x:c r="CB889" s="14" t="str">
        <x:v>Unable to determine</x:v>
      </x:c>
      <x:c r="CC889" s="14" t="str">
        <x:v>Unique</x:v>
      </x:c>
      <x:c r="CD889" s="14" t="str">
        <x:v>None identified</x:v>
      </x:c>
    </x:row>
    <x:row r="890">
      <x:c r="A890" s="14" t="str">
        <x:v>tt11403434|nm0599778|grainne westwood kc</x:v>
      </x:c>
      <x:c r="B890" s="14" t="str">
        <x:v>03</x:v>
      </x:c>
      <x:c r="C890" s="14" t="str">
        <x:v>2021_IMDb_Cast_Lists_Batch_03(1).xlsx</x:v>
      </x:c>
      <x:c r="D890" s="14" t="str">
        <x:v>Showtrial</x:v>
      </x:c>
      <x:c r="E890" s="14" t="n">
        <x:v>55</x:v>
      </x:c>
      <x:c r="F890" s="14" t="str">
        <x:v>Showtrial</x:v>
      </x:c>
      <x:c r="G890" s="14" t="str">
        <x:v>tt11403434</x:v>
      </x:c>
      <x:c r="H890" s="14" t="n">
        <x:v>2021</x:v>
      </x:c>
      <x:c r="I890" s="14" t="n">
        <x:v>2023</x:v>
      </x:c>
      <x:c r="J890" s="14" t="str">
        <x:v>Future Carry-Forward Cohort</x:v>
      </x:c>
      <x:c r="K890" s="14" t="n">
        <x:v>2021</x:v>
      </x:c>
      <x:c r="L890" s="14" t="str">
        <x:v>Available from 2021 analysis</x:v>
      </x:c>
      <x:c r="M890" s="15" t="n">
        <x:v>48</x:v>
      </x:c>
      <x:c r="N890" s="14" t="str">
        <x:v>Flora Montgomery</x:v>
      </x:c>
      <x:c r="O890" s="14" t="str">
        <x:v>nm0599778</x:v>
      </x:c>
      <x:c r="P890" s="14" t="str">
        <x:v>Grainne Westwood KC</x:v>
      </x:c>
      <x:c r="Q890" s="15" t="n">
        <x:v>3</x:v>
      </x:c>
      <x:c r="R890" s="14" t="str">
        <x:v>2024</x:v>
      </x:c>
      <x:c r="S890" s="14" t="n">
        <x:v>2024</x:v>
      </x:c>
      <x:c r="T890" s="14" t="n">
        <x:v>2024</x:v>
      </x:c>
      <x:c r="U890" s="14" t="str">
        <x:v>Post-2021 casting excluded</x:v>
      </x:c>
      <x:c r="V890" s="14" t="str">
        <x:v>Earliest supplied year is 2024, later than the 2021 study year.</x:v>
      </x:c>
      <x:c r="W890" s="14"/>
      <x:c r="X890" s="14" t="str">
        <x:v>Carried forward to 2024</x:v>
      </x:c>
      <x:c r="Y890" s="14"/>
      <x:c r="Z890" s="14" t="str">
        <x:v>Showtrial.docx</x:v>
      </x:c>
      <x:c r="AA89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0" s="14" t="str">
        <x:v>No established-register match</x:v>
      </x:c>
      <x:c r="AC890" s="14"/>
      <x:c r="AD890" s="14"/>
      <x:c r="AE890" s="14"/>
      <x:c r="AF890" s="14"/>
      <x:c r="AG890" s="14" t="str">
        <x:v>No qualifying conclusion recorded. Absence from the register is not evidence that the performer is not disabled.</x:v>
      </x:c>
      <x:c r="AH890" s="14" t="str">
        <x:v>BBC</x:v>
      </x:c>
      <x:c r="AI890" s="14" t="str">
        <x:v>UK original commission</x:v>
      </x:c>
      <x:c r="AJ890" s="14" t="str">
        <x:v>Exact normalised title</x:v>
      </x:c>
      <x:c r="AK890" s="14" t="str">
        <x:v>Medium</x:v>
      </x:c>
      <x:c r="AL890" s="14" t="str">
        <x:v>Verified for commissioner/platform scope; uk original commission.</x:v>
      </x:c>
      <x:c r="AM890" s="17" t="e">
        <x:f>HYPERLINK("https://en.wikipedia.org/wiki/Show_trial","Open source")</x:f>
        <x:v>HYPERLINK is not implemented. linkLocation=https://en.wikipedia.org/wiki/Show_trial, friendlyName=Open source</x:v>
      </x:c>
      <x:c r="AN890" s="14" t="str">
        <x:v>BBC public-service commission</x:v>
      </x:c>
      <x:c r="AO890" s="14" t="str">
        <x:v>Yes</x:v>
      </x:c>
      <x:c r="AP890" s="14" t="str">
        <x:v>Direct BBC public-service scope</x:v>
      </x:c>
      <x:c r="AQ890" s="14" t="str">
        <x:v>Yes</x:v>
      </x:c>
      <x:c r="AR890" s="14" t="str">
        <x:v>Resolved from master register</x:v>
      </x:c>
      <x:c r="AS890" s="14" t="str">
        <x:v>No established-register match</x:v>
      </x:c>
      <x:c r="AT890" s="14"/>
      <x:c r="AU890" s="14"/>
      <x:c r="AV890" s="14" t="str">
        <x:v>No established apparent-disability match</x:v>
      </x:c>
      <x:c r="AW890" s="14"/>
      <x:c r="AX890" s="14" t="str">
        <x:v>No</x:v>
      </x:c>
      <x:c r="AY890" s="14" t="str">
        <x:v>Unmatched</x:v>
      </x:c>
      <x:c r="AZ890" s="14" t="str">
        <x:v>Final supplied register</x:v>
      </x:c>
      <x:c r="BA890" s="14" t="str">
        <x:v>Absence from the register is not evidence that the performer is not disabled.</x:v>
      </x:c>
      <x:c r="BB890" s="14" t="str">
        <x:v>No established-register match</x:v>
      </x:c>
      <x:c r="BC890" s="14"/>
      <x:c r="BD890" s="14"/>
      <x:c r="BE890" s="14"/>
      <x:c r="BF890" s="14" t="str">
        <x:v>No established apparent-disability match</x:v>
      </x:c>
      <x:c r="BG890" s="14"/>
      <x:c r="BH890" s="14" t="str">
        <x:v>No</x:v>
      </x:c>
      <x:c r="BI890" s="14"/>
      <x:c r="BJ890" s="14"/>
      <x:c r="BK890" s="14"/>
      <x:c r="BL890" s="14" t="str">
        <x:v>Unmatched</x:v>
      </x:c>
      <x:c r="BM890" s="14" t="str">
        <x:v>Final supplied register</x:v>
      </x:c>
      <x:c r="BN890" s="14" t="str">
        <x:v>Absence from the register is not evidence that the performer is not disabled.</x:v>
      </x:c>
      <x:c r="BO890" s="14" t="n">
        <x:v>5</x:v>
      </x:c>
      <x:c r="BP890" s="14" t="str">
        <x:v>Maximum eligible IMDb cast-credit total (5), shared by 18 performer(s); not independently verified as a 2021-only episode total.</x:v>
      </x:c>
      <x:c r="BQ890" s="14" t="str">
        <x:v>Medium</x:v>
      </x:c>
      <x:c r="BR890" s="15" t="n">
        <x:v>3</x:v>
      </x:c>
      <x:c r="BS890" s="16" t="n">
        <x:v>0.6</x:v>
      </x:c>
      <x:c r="BT890" s="14" t="str">
        <x:v>Majority of episodes</x:v>
      </x:c>
      <x:c r="BU890" s="14" t="str">
        <x:v>Medium</x:v>
      </x:c>
      <x:c r="BV890" s="14" t="str">
        <x:v>Derived from supplied IMDb episode count and the documented production-total proxy.</x:v>
      </x:c>
      <x:c r="BW890" s="14" t="str">
        <x:v>Unable to determine</x:v>
      </x:c>
      <x:c r="BX890" s="14" t="str">
        <x:v>Supplied cast data establishes the credit and episode presence but does not establish narrative prominence.</x:v>
      </x:c>
      <x:c r="BY890" s="14" t="str">
        <x:v>Supplied IMDb cast-list workbook</x:v>
      </x:c>
      <x:c r="BZ89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0" s="14" t="str">
        <x:v>Not classified</x:v>
      </x:c>
      <x:c r="CB890" s="14" t="str">
        <x:v>Unable to determine</x:v>
      </x:c>
      <x:c r="CC890" s="14" t="str">
        <x:v>Unique</x:v>
      </x:c>
      <x:c r="CD890" s="14" t="str">
        <x:v>None identified</x:v>
      </x:c>
    </x:row>
    <x:row r="891">
      <x:c r="A891" s="14" t="str">
        <x:v>tt11403434|nm1600515|judge</x:v>
      </x:c>
      <x:c r="B891" s="14" t="str">
        <x:v>03</x:v>
      </x:c>
      <x:c r="C891" s="14" t="str">
        <x:v>2021_IMDb_Cast_Lists_Batch_03(1).xlsx</x:v>
      </x:c>
      <x:c r="D891" s="14" t="str">
        <x:v>Showtrial</x:v>
      </x:c>
      <x:c r="E891" s="14" t="n">
        <x:v>56</x:v>
      </x:c>
      <x:c r="F891" s="14" t="str">
        <x:v>Showtrial</x:v>
      </x:c>
      <x:c r="G891" s="14" t="str">
        <x:v>tt11403434</x:v>
      </x:c>
      <x:c r="H891" s="14" t="n">
        <x:v>2021</x:v>
      </x:c>
      <x:c r="I891" s="14" t="n">
        <x:v>2023</x:v>
      </x:c>
      <x:c r="J891" s="14" t="str">
        <x:v>Future Carry-Forward Cohort</x:v>
      </x:c>
      <x:c r="K891" s="14" t="n">
        <x:v>2021</x:v>
      </x:c>
      <x:c r="L891" s="14" t="str">
        <x:v>Available from 2021 analysis</x:v>
      </x:c>
      <x:c r="M891" s="15" t="n">
        <x:v>49</x:v>
      </x:c>
      <x:c r="N891" s="14" t="str">
        <x:v>Dana Haqjoo</x:v>
      </x:c>
      <x:c r="O891" s="14" t="str">
        <x:v>nm1600515</x:v>
      </x:c>
      <x:c r="P891" s="14" t="str">
        <x:v>Judge</x:v>
      </x:c>
      <x:c r="Q891" s="15" t="n">
        <x:v>3</x:v>
      </x:c>
      <x:c r="R891" s="14" t="str">
        <x:v>2024</x:v>
      </x:c>
      <x:c r="S891" s="14" t="n">
        <x:v>2024</x:v>
      </x:c>
      <x:c r="T891" s="14" t="n">
        <x:v>2024</x:v>
      </x:c>
      <x:c r="U891" s="14" t="str">
        <x:v>Post-2021 casting excluded</x:v>
      </x:c>
      <x:c r="V891" s="14" t="str">
        <x:v>Earliest supplied year is 2024, later than the 2021 study year.</x:v>
      </x:c>
      <x:c r="W891" s="14"/>
      <x:c r="X891" s="14" t="str">
        <x:v>Carried forward to 2024</x:v>
      </x:c>
      <x:c r="Y891" s="14"/>
      <x:c r="Z891" s="14" t="str">
        <x:v>Showtrial.docx</x:v>
      </x:c>
      <x:c r="AA89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1" s="14" t="str">
        <x:v>No established-register match</x:v>
      </x:c>
      <x:c r="AC891" s="14"/>
      <x:c r="AD891" s="14"/>
      <x:c r="AE891" s="14"/>
      <x:c r="AF891" s="14"/>
      <x:c r="AG891" s="14" t="str">
        <x:v>No qualifying conclusion recorded. Absence from the register is not evidence that the performer is not disabled.</x:v>
      </x:c>
      <x:c r="AH891" s="14" t="str">
        <x:v>BBC</x:v>
      </x:c>
      <x:c r="AI891" s="14" t="str">
        <x:v>UK original commission</x:v>
      </x:c>
      <x:c r="AJ891" s="14" t="str">
        <x:v>Exact normalised title</x:v>
      </x:c>
      <x:c r="AK891" s="14" t="str">
        <x:v>Medium</x:v>
      </x:c>
      <x:c r="AL891" s="14" t="str">
        <x:v>Verified for commissioner/platform scope; uk original commission.</x:v>
      </x:c>
      <x:c r="AM891" s="17" t="e">
        <x:f>HYPERLINK("https://en.wikipedia.org/wiki/Show_trial","Open source")</x:f>
        <x:v>HYPERLINK is not implemented. linkLocation=https://en.wikipedia.org/wiki/Show_trial, friendlyName=Open source</x:v>
      </x:c>
      <x:c r="AN891" s="14" t="str">
        <x:v>BBC public-service commission</x:v>
      </x:c>
      <x:c r="AO891" s="14" t="str">
        <x:v>Yes</x:v>
      </x:c>
      <x:c r="AP891" s="14" t="str">
        <x:v>Direct BBC public-service scope</x:v>
      </x:c>
      <x:c r="AQ891" s="14" t="str">
        <x:v>Yes</x:v>
      </x:c>
      <x:c r="AR891" s="14" t="str">
        <x:v>Resolved from master register</x:v>
      </x:c>
      <x:c r="AS891" s="14" t="str">
        <x:v>No established-register match</x:v>
      </x:c>
      <x:c r="AT891" s="14"/>
      <x:c r="AU891" s="14"/>
      <x:c r="AV891" s="14" t="str">
        <x:v>No established apparent-disability match</x:v>
      </x:c>
      <x:c r="AW891" s="14"/>
      <x:c r="AX891" s="14" t="str">
        <x:v>No</x:v>
      </x:c>
      <x:c r="AY891" s="14" t="str">
        <x:v>Unmatched</x:v>
      </x:c>
      <x:c r="AZ891" s="14" t="str">
        <x:v>Final supplied register</x:v>
      </x:c>
      <x:c r="BA891" s="14" t="str">
        <x:v>Absence from the register is not evidence that the performer is not disabled.</x:v>
      </x:c>
      <x:c r="BB891" s="14" t="str">
        <x:v>No established-register match</x:v>
      </x:c>
      <x:c r="BC891" s="14"/>
      <x:c r="BD891" s="14"/>
      <x:c r="BE891" s="14"/>
      <x:c r="BF891" s="14" t="str">
        <x:v>No established apparent-disability match</x:v>
      </x:c>
      <x:c r="BG891" s="14"/>
      <x:c r="BH891" s="14" t="str">
        <x:v>No</x:v>
      </x:c>
      <x:c r="BI891" s="14"/>
      <x:c r="BJ891" s="14"/>
      <x:c r="BK891" s="14"/>
      <x:c r="BL891" s="14" t="str">
        <x:v>Unmatched</x:v>
      </x:c>
      <x:c r="BM891" s="14" t="str">
        <x:v>Final supplied register</x:v>
      </x:c>
      <x:c r="BN891" s="14" t="str">
        <x:v>Absence from the register is not evidence that the performer is not disabled.</x:v>
      </x:c>
      <x:c r="BO891" s="14" t="n">
        <x:v>5</x:v>
      </x:c>
      <x:c r="BP891" s="14" t="str">
        <x:v>Maximum eligible IMDb cast-credit total (5), shared by 18 performer(s); not independently verified as a 2021-only episode total.</x:v>
      </x:c>
      <x:c r="BQ891" s="14" t="str">
        <x:v>Medium</x:v>
      </x:c>
      <x:c r="BR891" s="15" t="n">
        <x:v>3</x:v>
      </x:c>
      <x:c r="BS891" s="16" t="n">
        <x:v>0.6</x:v>
      </x:c>
      <x:c r="BT891" s="14" t="str">
        <x:v>Majority of episodes</x:v>
      </x:c>
      <x:c r="BU891" s="14" t="str">
        <x:v>Medium</x:v>
      </x:c>
      <x:c r="BV891" s="14" t="str">
        <x:v>Derived from supplied IMDb episode count and the documented production-total proxy.</x:v>
      </x:c>
      <x:c r="BW891" s="14" t="str">
        <x:v>Unable to determine</x:v>
      </x:c>
      <x:c r="BX891" s="14" t="str">
        <x:v>Supplied cast data establishes the credit and episode presence but does not establish narrative prominence.</x:v>
      </x:c>
      <x:c r="BY891" s="14" t="str">
        <x:v>Supplied IMDb cast-list workbook</x:v>
      </x:c>
      <x:c r="BZ89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1" s="14" t="str">
        <x:v>Not classified</x:v>
      </x:c>
      <x:c r="CB891" s="14" t="str">
        <x:v>Unable to determine</x:v>
      </x:c>
      <x:c r="CC891" s="14" t="str">
        <x:v>Unique</x:v>
      </x:c>
      <x:c r="CD891" s="14" t="str">
        <x:v>None identified</x:v>
      </x:c>
    </x:row>
    <x:row r="892">
      <x:c r="A892" s="14" t="str">
        <x:v>tt11403434|nm4766088|pc kyle jones</x:v>
      </x:c>
      <x:c r="B892" s="14" t="str">
        <x:v>03</x:v>
      </x:c>
      <x:c r="C892" s="14" t="str">
        <x:v>2021_IMDb_Cast_Lists_Batch_03(1).xlsx</x:v>
      </x:c>
      <x:c r="D892" s="14" t="str">
        <x:v>Showtrial</x:v>
      </x:c>
      <x:c r="E892" s="14" t="n">
        <x:v>63</x:v>
      </x:c>
      <x:c r="F892" s="14" t="str">
        <x:v>Showtrial</x:v>
      </x:c>
      <x:c r="G892" s="14" t="str">
        <x:v>tt11403434</x:v>
      </x:c>
      <x:c r="H892" s="14" t="n">
        <x:v>2021</x:v>
      </x:c>
      <x:c r="I892" s="14" t="n">
        <x:v>2023</x:v>
      </x:c>
      <x:c r="J892" s="14" t="str">
        <x:v>Future Carry-Forward Cohort</x:v>
      </x:c>
      <x:c r="K892" s="14" t="n">
        <x:v>2021</x:v>
      </x:c>
      <x:c r="L892" s="14" t="str">
        <x:v>Available from 2021 analysis</x:v>
      </x:c>
      <x:c r="M892" s="15" t="n">
        <x:v>56</x:v>
      </x:c>
      <x:c r="N892" s="14" t="str">
        <x:v>Daniel Kendrick</x:v>
      </x:c>
      <x:c r="O892" s="14" t="str">
        <x:v>nm4766088</x:v>
      </x:c>
      <x:c r="P892" s="14" t="str">
        <x:v>PC Kyle Jones</x:v>
      </x:c>
      <x:c r="Q892" s="15" t="n">
        <x:v>2</x:v>
      </x:c>
      <x:c r="R892" s="14" t="str">
        <x:v>2024</x:v>
      </x:c>
      <x:c r="S892" s="14" t="n">
        <x:v>2024</x:v>
      </x:c>
      <x:c r="T892" s="14" t="n">
        <x:v>2024</x:v>
      </x:c>
      <x:c r="U892" s="14" t="str">
        <x:v>Post-2021 casting excluded</x:v>
      </x:c>
      <x:c r="V892" s="14" t="str">
        <x:v>Earliest supplied year is 2024, later than the 2021 study year.</x:v>
      </x:c>
      <x:c r="W892" s="14"/>
      <x:c r="X892" s="14" t="str">
        <x:v>Carried forward to 2024</x:v>
      </x:c>
      <x:c r="Y892" s="14"/>
      <x:c r="Z892" s="14" t="str">
        <x:v>Showtrial.docx</x:v>
      </x:c>
      <x:c r="AA89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2" s="14" t="str">
        <x:v>No established-register match</x:v>
      </x:c>
      <x:c r="AC892" s="14"/>
      <x:c r="AD892" s="14"/>
      <x:c r="AE892" s="14"/>
      <x:c r="AF892" s="14"/>
      <x:c r="AG892" s="14" t="str">
        <x:v>No qualifying conclusion recorded. Absence from the register is not evidence that the performer is not disabled.</x:v>
      </x:c>
      <x:c r="AH892" s="14" t="str">
        <x:v>BBC</x:v>
      </x:c>
      <x:c r="AI892" s="14" t="str">
        <x:v>UK original commission</x:v>
      </x:c>
      <x:c r="AJ892" s="14" t="str">
        <x:v>Exact normalised title</x:v>
      </x:c>
      <x:c r="AK892" s="14" t="str">
        <x:v>Medium</x:v>
      </x:c>
      <x:c r="AL892" s="14" t="str">
        <x:v>Verified for commissioner/platform scope; uk original commission.</x:v>
      </x:c>
      <x:c r="AM892" s="17" t="e">
        <x:f>HYPERLINK("https://en.wikipedia.org/wiki/Show_trial","Open source")</x:f>
        <x:v>HYPERLINK is not implemented. linkLocation=https://en.wikipedia.org/wiki/Show_trial, friendlyName=Open source</x:v>
      </x:c>
      <x:c r="AN892" s="14" t="str">
        <x:v>BBC public-service commission</x:v>
      </x:c>
      <x:c r="AO892" s="14" t="str">
        <x:v>Yes</x:v>
      </x:c>
      <x:c r="AP892" s="14" t="str">
        <x:v>Direct BBC public-service scope</x:v>
      </x:c>
      <x:c r="AQ892" s="14" t="str">
        <x:v>Yes</x:v>
      </x:c>
      <x:c r="AR892" s="14" t="str">
        <x:v>Resolved from master register</x:v>
      </x:c>
      <x:c r="AS892" s="14" t="str">
        <x:v>No established-register match</x:v>
      </x:c>
      <x:c r="AT892" s="14"/>
      <x:c r="AU892" s="14"/>
      <x:c r="AV892" s="14" t="str">
        <x:v>No established apparent-disability match</x:v>
      </x:c>
      <x:c r="AW892" s="14"/>
      <x:c r="AX892" s="14" t="str">
        <x:v>No</x:v>
      </x:c>
      <x:c r="AY892" s="14" t="str">
        <x:v>Unmatched</x:v>
      </x:c>
      <x:c r="AZ892" s="14" t="str">
        <x:v>Final supplied register</x:v>
      </x:c>
      <x:c r="BA892" s="14" t="str">
        <x:v>Absence from the register is not evidence that the performer is not disabled.</x:v>
      </x:c>
      <x:c r="BB892" s="14" t="str">
        <x:v>No established-register match</x:v>
      </x:c>
      <x:c r="BC892" s="14"/>
      <x:c r="BD892" s="14"/>
      <x:c r="BE892" s="14"/>
      <x:c r="BF892" s="14" t="str">
        <x:v>No established apparent-disability match</x:v>
      </x:c>
      <x:c r="BG892" s="14"/>
      <x:c r="BH892" s="14" t="str">
        <x:v>No</x:v>
      </x:c>
      <x:c r="BI892" s="14"/>
      <x:c r="BJ892" s="14"/>
      <x:c r="BK892" s="14"/>
      <x:c r="BL892" s="14" t="str">
        <x:v>Unmatched</x:v>
      </x:c>
      <x:c r="BM892" s="14" t="str">
        <x:v>Final supplied register</x:v>
      </x:c>
      <x:c r="BN892" s="14" t="str">
        <x:v>Absence from the register is not evidence that the performer is not disabled.</x:v>
      </x:c>
      <x:c r="BO892" s="14" t="n">
        <x:v>5</x:v>
      </x:c>
      <x:c r="BP892" s="14" t="str">
        <x:v>Maximum eligible IMDb cast-credit total (5), shared by 18 performer(s); not independently verified as a 2021-only episode total.</x:v>
      </x:c>
      <x:c r="BQ892" s="14" t="str">
        <x:v>Medium</x:v>
      </x:c>
      <x:c r="BR892" s="15" t="n">
        <x:v>2</x:v>
      </x:c>
      <x:c r="BS892" s="16" t="n">
        <x:v>0.4</x:v>
      </x:c>
      <x:c r="BT892" s="14" t="str">
        <x:v>Minority of episodes</x:v>
      </x:c>
      <x:c r="BU892" s="14" t="str">
        <x:v>Medium</x:v>
      </x:c>
      <x:c r="BV892" s="14" t="str">
        <x:v>Derived from supplied IMDb episode count and the documented production-total proxy.</x:v>
      </x:c>
      <x:c r="BW892" s="14" t="str">
        <x:v>Unable to determine</x:v>
      </x:c>
      <x:c r="BX892" s="14" t="str">
        <x:v>Supplied cast data establishes the credit and episode presence but does not establish narrative prominence.</x:v>
      </x:c>
      <x:c r="BY892" s="14" t="str">
        <x:v>Supplied IMDb cast-list workbook</x:v>
      </x:c>
      <x:c r="BZ89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2" s="14" t="str">
        <x:v>Not classified</x:v>
      </x:c>
      <x:c r="CB892" s="14" t="str">
        <x:v>Unable to determine</x:v>
      </x:c>
      <x:c r="CC892" s="14" t="str">
        <x:v>Unique</x:v>
      </x:c>
      <x:c r="CD892" s="14" t="str">
        <x:v>None identified</x:v>
      </x:c>
    </x:row>
    <x:row r="893">
      <x:c r="A893" s="14" t="str">
        <x:v>tt11403434|nm2439088|court clerk</x:v>
      </x:c>
      <x:c r="B893" s="14" t="str">
        <x:v>03</x:v>
      </x:c>
      <x:c r="C893" s="14" t="str">
        <x:v>2021_IMDb_Cast_Lists_Batch_03(1).xlsx</x:v>
      </x:c>
      <x:c r="D893" s="14" t="str">
        <x:v>Showtrial</x:v>
      </x:c>
      <x:c r="E893" s="14" t="n">
        <x:v>64</x:v>
      </x:c>
      <x:c r="F893" s="14" t="str">
        <x:v>Showtrial</x:v>
      </x:c>
      <x:c r="G893" s="14" t="str">
        <x:v>tt11403434</x:v>
      </x:c>
      <x:c r="H893" s="14" t="n">
        <x:v>2021</x:v>
      </x:c>
      <x:c r="I893" s="14" t="n">
        <x:v>2023</x:v>
      </x:c>
      <x:c r="J893" s="14" t="str">
        <x:v>Future Carry-Forward Cohort</x:v>
      </x:c>
      <x:c r="K893" s="14" t="n">
        <x:v>2021</x:v>
      </x:c>
      <x:c r="L893" s="14" t="str">
        <x:v>Available from 2021 analysis</x:v>
      </x:c>
      <x:c r="M893" s="15" t="n">
        <x:v>57</x:v>
      </x:c>
      <x:c r="N893" s="14" t="str">
        <x:v>Lara McIvor</x:v>
      </x:c>
      <x:c r="O893" s="14" t="str">
        <x:v>nm2439088</x:v>
      </x:c>
      <x:c r="P893" s="14" t="str">
        <x:v>Court Clerk</x:v>
      </x:c>
      <x:c r="Q893" s="15" t="n">
        <x:v>2</x:v>
      </x:c>
      <x:c r="R893" s="14" t="str">
        <x:v>2024</x:v>
      </x:c>
      <x:c r="S893" s="14" t="n">
        <x:v>2024</x:v>
      </x:c>
      <x:c r="T893" s="14" t="n">
        <x:v>2024</x:v>
      </x:c>
      <x:c r="U893" s="14" t="str">
        <x:v>Post-2021 casting excluded</x:v>
      </x:c>
      <x:c r="V893" s="14" t="str">
        <x:v>Earliest supplied year is 2024, later than the 2021 study year.</x:v>
      </x:c>
      <x:c r="W893" s="14"/>
      <x:c r="X893" s="14" t="str">
        <x:v>Carried forward to 2024</x:v>
      </x:c>
      <x:c r="Y893" s="14"/>
      <x:c r="Z893" s="14" t="str">
        <x:v>Showtrial.docx</x:v>
      </x:c>
      <x:c r="AA89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3" s="14" t="str">
        <x:v>No established-register match</x:v>
      </x:c>
      <x:c r="AC893" s="14"/>
      <x:c r="AD893" s="14"/>
      <x:c r="AE893" s="14"/>
      <x:c r="AF893" s="14"/>
      <x:c r="AG893" s="14" t="str">
        <x:v>No qualifying conclusion recorded. Absence from the register is not evidence that the performer is not disabled.</x:v>
      </x:c>
      <x:c r="AH893" s="14" t="str">
        <x:v>BBC</x:v>
      </x:c>
      <x:c r="AI893" s="14" t="str">
        <x:v>UK original commission</x:v>
      </x:c>
      <x:c r="AJ893" s="14" t="str">
        <x:v>Exact normalised title</x:v>
      </x:c>
      <x:c r="AK893" s="14" t="str">
        <x:v>Medium</x:v>
      </x:c>
      <x:c r="AL893" s="14" t="str">
        <x:v>Verified for commissioner/platform scope; uk original commission.</x:v>
      </x:c>
      <x:c r="AM893" s="17" t="e">
        <x:f>HYPERLINK("https://en.wikipedia.org/wiki/Show_trial","Open source")</x:f>
        <x:v>HYPERLINK is not implemented. linkLocation=https://en.wikipedia.org/wiki/Show_trial, friendlyName=Open source</x:v>
      </x:c>
      <x:c r="AN893" s="14" t="str">
        <x:v>BBC public-service commission</x:v>
      </x:c>
      <x:c r="AO893" s="14" t="str">
        <x:v>Yes</x:v>
      </x:c>
      <x:c r="AP893" s="14" t="str">
        <x:v>Direct BBC public-service scope</x:v>
      </x:c>
      <x:c r="AQ893" s="14" t="str">
        <x:v>Yes</x:v>
      </x:c>
      <x:c r="AR893" s="14" t="str">
        <x:v>Resolved from master register</x:v>
      </x:c>
      <x:c r="AS893" s="14" t="str">
        <x:v>No established-register match</x:v>
      </x:c>
      <x:c r="AT893" s="14"/>
      <x:c r="AU893" s="14"/>
      <x:c r="AV893" s="14" t="str">
        <x:v>No established apparent-disability match</x:v>
      </x:c>
      <x:c r="AW893" s="14"/>
      <x:c r="AX893" s="14" t="str">
        <x:v>No</x:v>
      </x:c>
      <x:c r="AY893" s="14" t="str">
        <x:v>Unmatched</x:v>
      </x:c>
      <x:c r="AZ893" s="14" t="str">
        <x:v>Final supplied register</x:v>
      </x:c>
      <x:c r="BA893" s="14" t="str">
        <x:v>Absence from the register is not evidence that the performer is not disabled.</x:v>
      </x:c>
      <x:c r="BB893" s="14" t="str">
        <x:v>No established-register match</x:v>
      </x:c>
      <x:c r="BC893" s="14"/>
      <x:c r="BD893" s="14"/>
      <x:c r="BE893" s="14"/>
      <x:c r="BF893" s="14" t="str">
        <x:v>No established apparent-disability match</x:v>
      </x:c>
      <x:c r="BG893" s="14"/>
      <x:c r="BH893" s="14" t="str">
        <x:v>No</x:v>
      </x:c>
      <x:c r="BI893" s="14"/>
      <x:c r="BJ893" s="14"/>
      <x:c r="BK893" s="14"/>
      <x:c r="BL893" s="14" t="str">
        <x:v>Unmatched</x:v>
      </x:c>
      <x:c r="BM893" s="14" t="str">
        <x:v>Final supplied register</x:v>
      </x:c>
      <x:c r="BN893" s="14" t="str">
        <x:v>Absence from the register is not evidence that the performer is not disabled.</x:v>
      </x:c>
      <x:c r="BO893" s="14" t="n">
        <x:v>5</x:v>
      </x:c>
      <x:c r="BP893" s="14" t="str">
        <x:v>Maximum eligible IMDb cast-credit total (5), shared by 18 performer(s); not independently verified as a 2021-only episode total.</x:v>
      </x:c>
      <x:c r="BQ893" s="14" t="str">
        <x:v>Medium</x:v>
      </x:c>
      <x:c r="BR893" s="15" t="n">
        <x:v>2</x:v>
      </x:c>
      <x:c r="BS893" s="16" t="n">
        <x:v>0.4</x:v>
      </x:c>
      <x:c r="BT893" s="14" t="str">
        <x:v>Minority of episodes</x:v>
      </x:c>
      <x:c r="BU893" s="14" t="str">
        <x:v>Medium</x:v>
      </x:c>
      <x:c r="BV893" s="14" t="str">
        <x:v>Derived from supplied IMDb episode count and the documented production-total proxy.</x:v>
      </x:c>
      <x:c r="BW893" s="14" t="str">
        <x:v>Unable to determine</x:v>
      </x:c>
      <x:c r="BX893" s="14" t="str">
        <x:v>Supplied cast data establishes the credit and episode presence but does not establish narrative prominence.</x:v>
      </x:c>
      <x:c r="BY893" s="14" t="str">
        <x:v>Supplied IMDb cast-list workbook</x:v>
      </x:c>
      <x:c r="BZ89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3" s="14" t="str">
        <x:v>Not classified</x:v>
      </x:c>
      <x:c r="CB893" s="14" t="str">
        <x:v>Unable to determine</x:v>
      </x:c>
      <x:c r="CC893" s="14" t="str">
        <x:v>Unique</x:v>
      </x:c>
      <x:c r="CD893" s="14" t="str">
        <x:v>None identified</x:v>
      </x:c>
    </x:row>
    <x:row r="894">
      <x:c r="A894" s="14" t="str">
        <x:v>tt11403434|nm0190206|dr. nesbitt</x:v>
      </x:c>
      <x:c r="B894" s="14" t="str">
        <x:v>03</x:v>
      </x:c>
      <x:c r="C894" s="14" t="str">
        <x:v>2021_IMDb_Cast_Lists_Batch_03(1).xlsx</x:v>
      </x:c>
      <x:c r="D894" s="14" t="str">
        <x:v>Showtrial</x:v>
      </x:c>
      <x:c r="E894" s="14" t="n">
        <x:v>65</x:v>
      </x:c>
      <x:c r="F894" s="14" t="str">
        <x:v>Showtrial</x:v>
      </x:c>
      <x:c r="G894" s="14" t="str">
        <x:v>tt11403434</x:v>
      </x:c>
      <x:c r="H894" s="14" t="n">
        <x:v>2021</x:v>
      </x:c>
      <x:c r="I894" s="14" t="n">
        <x:v>2023</x:v>
      </x:c>
      <x:c r="J894" s="14" t="str">
        <x:v>Future Carry-Forward Cohort</x:v>
      </x:c>
      <x:c r="K894" s="14" t="n">
        <x:v>2021</x:v>
      </x:c>
      <x:c r="L894" s="14" t="str">
        <x:v>Available from 2021 analysis</x:v>
      </x:c>
      <x:c r="M894" s="15" t="n">
        <x:v>58</x:v>
      </x:c>
      <x:c r="N894" s="14" t="str">
        <x:v>Abigail Cruttenden</x:v>
      </x:c>
      <x:c r="O894" s="14" t="str">
        <x:v>nm0190206</x:v>
      </x:c>
      <x:c r="P894" s="14" t="str">
        <x:v>Dr. Nesbitt</x:v>
      </x:c>
      <x:c r="Q894" s="15" t="n">
        <x:v>2</x:v>
      </x:c>
      <x:c r="R894" s="14" t="str">
        <x:v>2024</x:v>
      </x:c>
      <x:c r="S894" s="14" t="n">
        <x:v>2024</x:v>
      </x:c>
      <x:c r="T894" s="14" t="n">
        <x:v>2024</x:v>
      </x:c>
      <x:c r="U894" s="14" t="str">
        <x:v>Post-2021 casting excluded</x:v>
      </x:c>
      <x:c r="V894" s="14" t="str">
        <x:v>Earliest supplied year is 2024, later than the 2021 study year.</x:v>
      </x:c>
      <x:c r="W894" s="14"/>
      <x:c r="X894" s="14" t="str">
        <x:v>Carried forward to 2024</x:v>
      </x:c>
      <x:c r="Y894" s="14"/>
      <x:c r="Z894" s="14" t="str">
        <x:v>Showtrial.docx</x:v>
      </x:c>
      <x:c r="AA89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4" s="14" t="str">
        <x:v>No established-register match</x:v>
      </x:c>
      <x:c r="AC894" s="14"/>
      <x:c r="AD894" s="14"/>
      <x:c r="AE894" s="14"/>
      <x:c r="AF894" s="14"/>
      <x:c r="AG894" s="14" t="str">
        <x:v>No qualifying conclusion recorded. Absence from the register is not evidence that the performer is not disabled.</x:v>
      </x:c>
      <x:c r="AH894" s="14" t="str">
        <x:v>BBC</x:v>
      </x:c>
      <x:c r="AI894" s="14" t="str">
        <x:v>UK original commission</x:v>
      </x:c>
      <x:c r="AJ894" s="14" t="str">
        <x:v>Exact normalised title</x:v>
      </x:c>
      <x:c r="AK894" s="14" t="str">
        <x:v>Medium</x:v>
      </x:c>
      <x:c r="AL894" s="14" t="str">
        <x:v>Verified for commissioner/platform scope; uk original commission.</x:v>
      </x:c>
      <x:c r="AM894" s="17" t="e">
        <x:f>HYPERLINK("https://en.wikipedia.org/wiki/Show_trial","Open source")</x:f>
        <x:v>HYPERLINK is not implemented. linkLocation=https://en.wikipedia.org/wiki/Show_trial, friendlyName=Open source</x:v>
      </x:c>
      <x:c r="AN894" s="14" t="str">
        <x:v>BBC public-service commission</x:v>
      </x:c>
      <x:c r="AO894" s="14" t="str">
        <x:v>Yes</x:v>
      </x:c>
      <x:c r="AP894" s="14" t="str">
        <x:v>Direct BBC public-service scope</x:v>
      </x:c>
      <x:c r="AQ894" s="14" t="str">
        <x:v>Yes</x:v>
      </x:c>
      <x:c r="AR894" s="14" t="str">
        <x:v>Resolved from master register</x:v>
      </x:c>
      <x:c r="AS894" s="14" t="str">
        <x:v>No established-register match</x:v>
      </x:c>
      <x:c r="AT894" s="14"/>
      <x:c r="AU894" s="14"/>
      <x:c r="AV894" s="14" t="str">
        <x:v>No established apparent-disability match</x:v>
      </x:c>
      <x:c r="AW894" s="14"/>
      <x:c r="AX894" s="14" t="str">
        <x:v>No</x:v>
      </x:c>
      <x:c r="AY894" s="14" t="str">
        <x:v>Unmatched</x:v>
      </x:c>
      <x:c r="AZ894" s="14" t="str">
        <x:v>Final supplied register</x:v>
      </x:c>
      <x:c r="BA894" s="14" t="str">
        <x:v>Absence from the register is not evidence that the performer is not disabled.</x:v>
      </x:c>
      <x:c r="BB894" s="14" t="str">
        <x:v>No established-register match</x:v>
      </x:c>
      <x:c r="BC894" s="14"/>
      <x:c r="BD894" s="14"/>
      <x:c r="BE894" s="14"/>
      <x:c r="BF894" s="14" t="str">
        <x:v>No established apparent-disability match</x:v>
      </x:c>
      <x:c r="BG894" s="14"/>
      <x:c r="BH894" s="14" t="str">
        <x:v>No</x:v>
      </x:c>
      <x:c r="BI894" s="14"/>
      <x:c r="BJ894" s="14"/>
      <x:c r="BK894" s="14"/>
      <x:c r="BL894" s="14" t="str">
        <x:v>Unmatched</x:v>
      </x:c>
      <x:c r="BM894" s="14" t="str">
        <x:v>Final supplied register</x:v>
      </x:c>
      <x:c r="BN894" s="14" t="str">
        <x:v>Absence from the register is not evidence that the performer is not disabled.</x:v>
      </x:c>
      <x:c r="BO894" s="14" t="n">
        <x:v>5</x:v>
      </x:c>
      <x:c r="BP894" s="14" t="str">
        <x:v>Maximum eligible IMDb cast-credit total (5), shared by 18 performer(s); not independently verified as a 2021-only episode total.</x:v>
      </x:c>
      <x:c r="BQ894" s="14" t="str">
        <x:v>Medium</x:v>
      </x:c>
      <x:c r="BR894" s="15" t="n">
        <x:v>2</x:v>
      </x:c>
      <x:c r="BS894" s="16" t="n">
        <x:v>0.4</x:v>
      </x:c>
      <x:c r="BT894" s="14" t="str">
        <x:v>Minority of episodes</x:v>
      </x:c>
      <x:c r="BU894" s="14" t="str">
        <x:v>Medium</x:v>
      </x:c>
      <x:c r="BV894" s="14" t="str">
        <x:v>Derived from supplied IMDb episode count and the documented production-total proxy.</x:v>
      </x:c>
      <x:c r="BW894" s="14" t="str">
        <x:v>Unable to determine</x:v>
      </x:c>
      <x:c r="BX894" s="14" t="str">
        <x:v>Supplied cast data establishes the credit and episode presence but does not establish narrative prominence.</x:v>
      </x:c>
      <x:c r="BY894" s="14" t="str">
        <x:v>Supplied IMDb cast-list workbook</x:v>
      </x:c>
      <x:c r="BZ89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4" s="14" t="str">
        <x:v>Not classified</x:v>
      </x:c>
      <x:c r="CB894" s="14" t="str">
        <x:v>Unable to determine</x:v>
      </x:c>
      <x:c r="CC894" s="14" t="str">
        <x:v>Unique</x:v>
      </x:c>
      <x:c r="CD894" s="14" t="str">
        <x:v>None identified</x:v>
      </x:c>
    </x:row>
    <x:row r="895">
      <x:c r="A895" s="14" t="str">
        <x:v>tt11403434|nm2756520|chief superintendent whitley</x:v>
      </x:c>
      <x:c r="B895" s="14" t="str">
        <x:v>03</x:v>
      </x:c>
      <x:c r="C895" s="14" t="str">
        <x:v>2021_IMDb_Cast_Lists_Batch_03(1).xlsx</x:v>
      </x:c>
      <x:c r="D895" s="14" t="str">
        <x:v>Showtrial</x:v>
      </x:c>
      <x:c r="E895" s="14" t="n">
        <x:v>67</x:v>
      </x:c>
      <x:c r="F895" s="14" t="str">
        <x:v>Showtrial</x:v>
      </x:c>
      <x:c r="G895" s="14" t="str">
        <x:v>tt11403434</x:v>
      </x:c>
      <x:c r="H895" s="14" t="n">
        <x:v>2021</x:v>
      </x:c>
      <x:c r="I895" s="14" t="n">
        <x:v>2023</x:v>
      </x:c>
      <x:c r="J895" s="14" t="str">
        <x:v>Future Carry-Forward Cohort</x:v>
      </x:c>
      <x:c r="K895" s="14" t="n">
        <x:v>2021</x:v>
      </x:c>
      <x:c r="L895" s="14" t="str">
        <x:v>Available from 2021 analysis</x:v>
      </x:c>
      <x:c r="M895" s="15" t="n">
        <x:v>60</x:v>
      </x:c>
      <x:c r="N895" s="14" t="str">
        <x:v>Jamie Ballard</x:v>
      </x:c>
      <x:c r="O895" s="14" t="str">
        <x:v>nm2756520</x:v>
      </x:c>
      <x:c r="P895" s="14" t="str">
        <x:v>Chief Superintendent Whitley</x:v>
      </x:c>
      <x:c r="Q895" s="15" t="n">
        <x:v>2</x:v>
      </x:c>
      <x:c r="R895" s="14" t="str">
        <x:v>2024</x:v>
      </x:c>
      <x:c r="S895" s="14" t="n">
        <x:v>2024</x:v>
      </x:c>
      <x:c r="T895" s="14" t="n">
        <x:v>2024</x:v>
      </x:c>
      <x:c r="U895" s="14" t="str">
        <x:v>Post-2021 casting excluded</x:v>
      </x:c>
      <x:c r="V895" s="14" t="str">
        <x:v>Earliest supplied year is 2024, later than the 2021 study year.</x:v>
      </x:c>
      <x:c r="W895" s="14"/>
      <x:c r="X895" s="14" t="str">
        <x:v>Carried forward to 2024</x:v>
      </x:c>
      <x:c r="Y895" s="14"/>
      <x:c r="Z895" s="14" t="str">
        <x:v>Showtrial.docx</x:v>
      </x:c>
      <x:c r="AA89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5" s="14" t="str">
        <x:v>No established-register match</x:v>
      </x:c>
      <x:c r="AC895" s="14"/>
      <x:c r="AD895" s="14"/>
      <x:c r="AE895" s="14"/>
      <x:c r="AF895" s="14"/>
      <x:c r="AG895" s="14" t="str">
        <x:v>No qualifying conclusion recorded. Absence from the register is not evidence that the performer is not disabled.</x:v>
      </x:c>
      <x:c r="AH895" s="14" t="str">
        <x:v>BBC</x:v>
      </x:c>
      <x:c r="AI895" s="14" t="str">
        <x:v>UK original commission</x:v>
      </x:c>
      <x:c r="AJ895" s="14" t="str">
        <x:v>Exact normalised title</x:v>
      </x:c>
      <x:c r="AK895" s="14" t="str">
        <x:v>Medium</x:v>
      </x:c>
      <x:c r="AL895" s="14" t="str">
        <x:v>Verified for commissioner/platform scope; uk original commission.</x:v>
      </x:c>
      <x:c r="AM895" s="17" t="e">
        <x:f>HYPERLINK("https://en.wikipedia.org/wiki/Show_trial","Open source")</x:f>
        <x:v>HYPERLINK is not implemented. linkLocation=https://en.wikipedia.org/wiki/Show_trial, friendlyName=Open source</x:v>
      </x:c>
      <x:c r="AN895" s="14" t="str">
        <x:v>BBC public-service commission</x:v>
      </x:c>
      <x:c r="AO895" s="14" t="str">
        <x:v>Yes</x:v>
      </x:c>
      <x:c r="AP895" s="14" t="str">
        <x:v>Direct BBC public-service scope</x:v>
      </x:c>
      <x:c r="AQ895" s="14" t="str">
        <x:v>Yes</x:v>
      </x:c>
      <x:c r="AR895" s="14" t="str">
        <x:v>Resolved from master register</x:v>
      </x:c>
      <x:c r="AS895" s="14" t="str">
        <x:v>No established-register match</x:v>
      </x:c>
      <x:c r="AT895" s="14"/>
      <x:c r="AU895" s="14"/>
      <x:c r="AV895" s="14" t="str">
        <x:v>No established apparent-disability match</x:v>
      </x:c>
      <x:c r="AW895" s="14"/>
      <x:c r="AX895" s="14" t="str">
        <x:v>No</x:v>
      </x:c>
      <x:c r="AY895" s="14" t="str">
        <x:v>Unmatched</x:v>
      </x:c>
      <x:c r="AZ895" s="14" t="str">
        <x:v>Final supplied register</x:v>
      </x:c>
      <x:c r="BA895" s="14" t="str">
        <x:v>Absence from the register is not evidence that the performer is not disabled.</x:v>
      </x:c>
      <x:c r="BB895" s="14" t="str">
        <x:v>No established-register match</x:v>
      </x:c>
      <x:c r="BC895" s="14"/>
      <x:c r="BD895" s="14"/>
      <x:c r="BE895" s="14"/>
      <x:c r="BF895" s="14" t="str">
        <x:v>No established apparent-disability match</x:v>
      </x:c>
      <x:c r="BG895" s="14"/>
      <x:c r="BH895" s="14" t="str">
        <x:v>No</x:v>
      </x:c>
      <x:c r="BI895" s="14"/>
      <x:c r="BJ895" s="14"/>
      <x:c r="BK895" s="14"/>
      <x:c r="BL895" s="14" t="str">
        <x:v>Unmatched</x:v>
      </x:c>
      <x:c r="BM895" s="14" t="str">
        <x:v>Final supplied register</x:v>
      </x:c>
      <x:c r="BN895" s="14" t="str">
        <x:v>Absence from the register is not evidence that the performer is not disabled.</x:v>
      </x:c>
      <x:c r="BO895" s="14" t="n">
        <x:v>5</x:v>
      </x:c>
      <x:c r="BP895" s="14" t="str">
        <x:v>Maximum eligible IMDb cast-credit total (5), shared by 18 performer(s); not independently verified as a 2021-only episode total.</x:v>
      </x:c>
      <x:c r="BQ895" s="14" t="str">
        <x:v>Medium</x:v>
      </x:c>
      <x:c r="BR895" s="15" t="n">
        <x:v>2</x:v>
      </x:c>
      <x:c r="BS895" s="16" t="n">
        <x:v>0.4</x:v>
      </x:c>
      <x:c r="BT895" s="14" t="str">
        <x:v>Minority of episodes</x:v>
      </x:c>
      <x:c r="BU895" s="14" t="str">
        <x:v>Medium</x:v>
      </x:c>
      <x:c r="BV895" s="14" t="str">
        <x:v>Derived from supplied IMDb episode count and the documented production-total proxy.</x:v>
      </x:c>
      <x:c r="BW895" s="14" t="str">
        <x:v>Unable to determine</x:v>
      </x:c>
      <x:c r="BX895" s="14" t="str">
        <x:v>Supplied cast data establishes the credit and episode presence but does not establish narrative prominence.</x:v>
      </x:c>
      <x:c r="BY895" s="14" t="str">
        <x:v>Supplied IMDb cast-list workbook</x:v>
      </x:c>
      <x:c r="BZ89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5" s="14" t="str">
        <x:v>Not classified</x:v>
      </x:c>
      <x:c r="CB895" s="14" t="str">
        <x:v>Unable to determine</x:v>
      </x:c>
      <x:c r="CC895" s="14" t="str">
        <x:v>Unique</x:v>
      </x:c>
      <x:c r="CD895" s="14" t="str">
        <x:v>None identified</x:v>
      </x:c>
    </x:row>
    <x:row r="896">
      <x:c r="A896" s="14" t="str">
        <x:v>tt11403434|nm6831160|sara</x:v>
      </x:c>
      <x:c r="B896" s="14" t="str">
        <x:v>03</x:v>
      </x:c>
      <x:c r="C896" s="14" t="str">
        <x:v>2021_IMDb_Cast_Lists_Batch_03(1).xlsx</x:v>
      </x:c>
      <x:c r="D896" s="14" t="str">
        <x:v>Showtrial</x:v>
      </x:c>
      <x:c r="E896" s="14" t="n">
        <x:v>69</x:v>
      </x:c>
      <x:c r="F896" s="14" t="str">
        <x:v>Showtrial</x:v>
      </x:c>
      <x:c r="G896" s="14" t="str">
        <x:v>tt11403434</x:v>
      </x:c>
      <x:c r="H896" s="14" t="n">
        <x:v>2021</x:v>
      </x:c>
      <x:c r="I896" s="14" t="n">
        <x:v>2023</x:v>
      </x:c>
      <x:c r="J896" s="14" t="str">
        <x:v>Future Carry-Forward Cohort</x:v>
      </x:c>
      <x:c r="K896" s="14" t="n">
        <x:v>2021</x:v>
      </x:c>
      <x:c r="L896" s="14" t="str">
        <x:v>Available from 2021 analysis</x:v>
      </x:c>
      <x:c r="M896" s="15" t="n">
        <x:v>62</x:v>
      </x:c>
      <x:c r="N896" s="14" t="str">
        <x:v>Daisy Badger</x:v>
      </x:c>
      <x:c r="O896" s="14" t="str">
        <x:v>nm6831160</x:v>
      </x:c>
      <x:c r="P896" s="14" t="str">
        <x:v>Sara</x:v>
      </x:c>
      <x:c r="Q896" s="15" t="n">
        <x:v>2</x:v>
      </x:c>
      <x:c r="R896" s="14" t="str">
        <x:v>2024</x:v>
      </x:c>
      <x:c r="S896" s="14" t="n">
        <x:v>2024</x:v>
      </x:c>
      <x:c r="T896" s="14" t="n">
        <x:v>2024</x:v>
      </x:c>
      <x:c r="U896" s="14" t="str">
        <x:v>Post-2021 casting excluded</x:v>
      </x:c>
      <x:c r="V896" s="14" t="str">
        <x:v>Earliest supplied year is 2024, later than the 2021 study year.</x:v>
      </x:c>
      <x:c r="W896" s="14"/>
      <x:c r="X896" s="14" t="str">
        <x:v>Carried forward to 2024</x:v>
      </x:c>
      <x:c r="Y896" s="14"/>
      <x:c r="Z896" s="14" t="str">
        <x:v>Showtrial.docx</x:v>
      </x:c>
      <x:c r="AA89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6" s="14" t="str">
        <x:v>No established-register match</x:v>
      </x:c>
      <x:c r="AC896" s="14"/>
      <x:c r="AD896" s="14"/>
      <x:c r="AE896" s="14"/>
      <x:c r="AF896" s="14"/>
      <x:c r="AG896" s="14" t="str">
        <x:v>No qualifying conclusion recorded. Absence from the register is not evidence that the performer is not disabled.</x:v>
      </x:c>
      <x:c r="AH896" s="14" t="str">
        <x:v>BBC</x:v>
      </x:c>
      <x:c r="AI896" s="14" t="str">
        <x:v>UK original commission</x:v>
      </x:c>
      <x:c r="AJ896" s="14" t="str">
        <x:v>Exact normalised title</x:v>
      </x:c>
      <x:c r="AK896" s="14" t="str">
        <x:v>Medium</x:v>
      </x:c>
      <x:c r="AL896" s="14" t="str">
        <x:v>Verified for commissioner/platform scope; uk original commission.</x:v>
      </x:c>
      <x:c r="AM896" s="17" t="e">
        <x:f>HYPERLINK("https://en.wikipedia.org/wiki/Show_trial","Open source")</x:f>
        <x:v>HYPERLINK is not implemented. linkLocation=https://en.wikipedia.org/wiki/Show_trial, friendlyName=Open source</x:v>
      </x:c>
      <x:c r="AN896" s="14" t="str">
        <x:v>BBC public-service commission</x:v>
      </x:c>
      <x:c r="AO896" s="14" t="str">
        <x:v>Yes</x:v>
      </x:c>
      <x:c r="AP896" s="14" t="str">
        <x:v>Direct BBC public-service scope</x:v>
      </x:c>
      <x:c r="AQ896" s="14" t="str">
        <x:v>Yes</x:v>
      </x:c>
      <x:c r="AR896" s="14" t="str">
        <x:v>Resolved from master register</x:v>
      </x:c>
      <x:c r="AS896" s="14" t="str">
        <x:v>No established-register match</x:v>
      </x:c>
      <x:c r="AT896" s="14"/>
      <x:c r="AU896" s="14"/>
      <x:c r="AV896" s="14" t="str">
        <x:v>No established apparent-disability match</x:v>
      </x:c>
      <x:c r="AW896" s="14"/>
      <x:c r="AX896" s="14" t="str">
        <x:v>No</x:v>
      </x:c>
      <x:c r="AY896" s="14" t="str">
        <x:v>Unmatched</x:v>
      </x:c>
      <x:c r="AZ896" s="14" t="str">
        <x:v>Final supplied register</x:v>
      </x:c>
      <x:c r="BA896" s="14" t="str">
        <x:v>Absence from the register is not evidence that the performer is not disabled.</x:v>
      </x:c>
      <x:c r="BB896" s="14" t="str">
        <x:v>No established-register match</x:v>
      </x:c>
      <x:c r="BC896" s="14"/>
      <x:c r="BD896" s="14"/>
      <x:c r="BE896" s="14"/>
      <x:c r="BF896" s="14" t="str">
        <x:v>No established apparent-disability match</x:v>
      </x:c>
      <x:c r="BG896" s="14"/>
      <x:c r="BH896" s="14" t="str">
        <x:v>No</x:v>
      </x:c>
      <x:c r="BI896" s="14"/>
      <x:c r="BJ896" s="14"/>
      <x:c r="BK896" s="14"/>
      <x:c r="BL896" s="14" t="str">
        <x:v>Unmatched</x:v>
      </x:c>
      <x:c r="BM896" s="14" t="str">
        <x:v>Final supplied register</x:v>
      </x:c>
      <x:c r="BN896" s="14" t="str">
        <x:v>Absence from the register is not evidence that the performer is not disabled.</x:v>
      </x:c>
      <x:c r="BO896" s="14" t="n">
        <x:v>5</x:v>
      </x:c>
      <x:c r="BP896" s="14" t="str">
        <x:v>Maximum eligible IMDb cast-credit total (5), shared by 18 performer(s); not independently verified as a 2021-only episode total.</x:v>
      </x:c>
      <x:c r="BQ896" s="14" t="str">
        <x:v>Medium</x:v>
      </x:c>
      <x:c r="BR896" s="15" t="n">
        <x:v>2</x:v>
      </x:c>
      <x:c r="BS896" s="16" t="n">
        <x:v>0.4</x:v>
      </x:c>
      <x:c r="BT896" s="14" t="str">
        <x:v>Minority of episodes</x:v>
      </x:c>
      <x:c r="BU896" s="14" t="str">
        <x:v>Medium</x:v>
      </x:c>
      <x:c r="BV896" s="14" t="str">
        <x:v>Derived from supplied IMDb episode count and the documented production-total proxy.</x:v>
      </x:c>
      <x:c r="BW896" s="14" t="str">
        <x:v>Unable to determine</x:v>
      </x:c>
      <x:c r="BX896" s="14" t="str">
        <x:v>Supplied cast data establishes the credit and episode presence but does not establish narrative prominence.</x:v>
      </x:c>
      <x:c r="BY896" s="14" t="str">
        <x:v>Supplied IMDb cast-list workbook</x:v>
      </x:c>
      <x:c r="BZ89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6" s="14" t="str">
        <x:v>Not classified</x:v>
      </x:c>
      <x:c r="CB896" s="14" t="str">
        <x:v>Unable to determine</x:v>
      </x:c>
      <x:c r="CC896" s="14" t="str">
        <x:v>Unique</x:v>
      </x:c>
      <x:c r="CD896" s="14" t="str">
        <x:v>None identified</x:v>
      </x:c>
    </x:row>
    <x:row r="897">
      <x:c r="A897" s="14" t="str">
        <x:v>tt11403434|nm9286165|pc robert hyndley</x:v>
      </x:c>
      <x:c r="B897" s="14" t="str">
        <x:v>03</x:v>
      </x:c>
      <x:c r="C897" s="14" t="str">
        <x:v>2021_IMDb_Cast_Lists_Batch_03(1).xlsx</x:v>
      </x:c>
      <x:c r="D897" s="14" t="str">
        <x:v>Showtrial</x:v>
      </x:c>
      <x:c r="E897" s="14" t="n">
        <x:v>71</x:v>
      </x:c>
      <x:c r="F897" s="14" t="str">
        <x:v>Showtrial</x:v>
      </x:c>
      <x:c r="G897" s="14" t="str">
        <x:v>tt11403434</x:v>
      </x:c>
      <x:c r="H897" s="14" t="n">
        <x:v>2021</x:v>
      </x:c>
      <x:c r="I897" s="14" t="n">
        <x:v>2023</x:v>
      </x:c>
      <x:c r="J897" s="14" t="str">
        <x:v>Future Carry-Forward Cohort</x:v>
      </x:c>
      <x:c r="K897" s="14" t="n">
        <x:v>2021</x:v>
      </x:c>
      <x:c r="L897" s="14" t="str">
        <x:v>Available from 2021 analysis</x:v>
      </x:c>
      <x:c r="M897" s="15" t="n">
        <x:v>64</x:v>
      </x:c>
      <x:c r="N897" s="14" t="str">
        <x:v>Cailum Carragher</x:v>
      </x:c>
      <x:c r="O897" s="14" t="str">
        <x:v>nm9286165</x:v>
      </x:c>
      <x:c r="P897" s="14" t="str">
        <x:v>PC Robert Hyndley</x:v>
      </x:c>
      <x:c r="Q897" s="15" t="n">
        <x:v>2</x:v>
      </x:c>
      <x:c r="R897" s="14" t="str">
        <x:v>2024</x:v>
      </x:c>
      <x:c r="S897" s="14" t="n">
        <x:v>2024</x:v>
      </x:c>
      <x:c r="T897" s="14" t="n">
        <x:v>2024</x:v>
      </x:c>
      <x:c r="U897" s="14" t="str">
        <x:v>Post-2021 casting excluded</x:v>
      </x:c>
      <x:c r="V897" s="14" t="str">
        <x:v>Earliest supplied year is 2024, later than the 2021 study year.</x:v>
      </x:c>
      <x:c r="W897" s="14"/>
      <x:c r="X897" s="14" t="str">
        <x:v>Carried forward to 2024</x:v>
      </x:c>
      <x:c r="Y897" s="14"/>
      <x:c r="Z897" s="14" t="str">
        <x:v>Showtrial.docx</x:v>
      </x:c>
      <x:c r="AA89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7" s="14" t="str">
        <x:v>No established-register match</x:v>
      </x:c>
      <x:c r="AC897" s="14"/>
      <x:c r="AD897" s="14"/>
      <x:c r="AE897" s="14"/>
      <x:c r="AF897" s="14"/>
      <x:c r="AG897" s="14" t="str">
        <x:v>No qualifying conclusion recorded. Absence from the register is not evidence that the performer is not disabled.</x:v>
      </x:c>
      <x:c r="AH897" s="14" t="str">
        <x:v>BBC</x:v>
      </x:c>
      <x:c r="AI897" s="14" t="str">
        <x:v>UK original commission</x:v>
      </x:c>
      <x:c r="AJ897" s="14" t="str">
        <x:v>Exact normalised title</x:v>
      </x:c>
      <x:c r="AK897" s="14" t="str">
        <x:v>Medium</x:v>
      </x:c>
      <x:c r="AL897" s="14" t="str">
        <x:v>Verified for commissioner/platform scope; uk original commission.</x:v>
      </x:c>
      <x:c r="AM897" s="17" t="e">
        <x:f>HYPERLINK("https://en.wikipedia.org/wiki/Show_trial","Open source")</x:f>
        <x:v>HYPERLINK is not implemented. linkLocation=https://en.wikipedia.org/wiki/Show_trial, friendlyName=Open source</x:v>
      </x:c>
      <x:c r="AN897" s="14" t="str">
        <x:v>BBC public-service commission</x:v>
      </x:c>
      <x:c r="AO897" s="14" t="str">
        <x:v>Yes</x:v>
      </x:c>
      <x:c r="AP897" s="14" t="str">
        <x:v>Direct BBC public-service scope</x:v>
      </x:c>
      <x:c r="AQ897" s="14" t="str">
        <x:v>Yes</x:v>
      </x:c>
      <x:c r="AR897" s="14" t="str">
        <x:v>Resolved from master register</x:v>
      </x:c>
      <x:c r="AS897" s="14" t="str">
        <x:v>No established-register match</x:v>
      </x:c>
      <x:c r="AT897" s="14"/>
      <x:c r="AU897" s="14"/>
      <x:c r="AV897" s="14" t="str">
        <x:v>No established apparent-disability match</x:v>
      </x:c>
      <x:c r="AW897" s="14"/>
      <x:c r="AX897" s="14" t="str">
        <x:v>No</x:v>
      </x:c>
      <x:c r="AY897" s="14" t="str">
        <x:v>Unmatched</x:v>
      </x:c>
      <x:c r="AZ897" s="14" t="str">
        <x:v>Final supplied register</x:v>
      </x:c>
      <x:c r="BA897" s="14" t="str">
        <x:v>Absence from the register is not evidence that the performer is not disabled.</x:v>
      </x:c>
      <x:c r="BB897" s="14" t="str">
        <x:v>No established-register match</x:v>
      </x:c>
      <x:c r="BC897" s="14"/>
      <x:c r="BD897" s="14"/>
      <x:c r="BE897" s="14"/>
      <x:c r="BF897" s="14" t="str">
        <x:v>No established apparent-disability match</x:v>
      </x:c>
      <x:c r="BG897" s="14"/>
      <x:c r="BH897" s="14" t="str">
        <x:v>No</x:v>
      </x:c>
      <x:c r="BI897" s="14"/>
      <x:c r="BJ897" s="14"/>
      <x:c r="BK897" s="14"/>
      <x:c r="BL897" s="14" t="str">
        <x:v>Unmatched</x:v>
      </x:c>
      <x:c r="BM897" s="14" t="str">
        <x:v>Final supplied register</x:v>
      </x:c>
      <x:c r="BN897" s="14" t="str">
        <x:v>Absence from the register is not evidence that the performer is not disabled.</x:v>
      </x:c>
      <x:c r="BO897" s="14" t="n">
        <x:v>5</x:v>
      </x:c>
      <x:c r="BP897" s="14" t="str">
        <x:v>Maximum eligible IMDb cast-credit total (5), shared by 18 performer(s); not independently verified as a 2021-only episode total.</x:v>
      </x:c>
      <x:c r="BQ897" s="14" t="str">
        <x:v>Medium</x:v>
      </x:c>
      <x:c r="BR897" s="15" t="n">
        <x:v>2</x:v>
      </x:c>
      <x:c r="BS897" s="16" t="n">
        <x:v>0.4</x:v>
      </x:c>
      <x:c r="BT897" s="14" t="str">
        <x:v>Minority of episodes</x:v>
      </x:c>
      <x:c r="BU897" s="14" t="str">
        <x:v>Medium</x:v>
      </x:c>
      <x:c r="BV897" s="14" t="str">
        <x:v>Derived from supplied IMDb episode count and the documented production-total proxy.</x:v>
      </x:c>
      <x:c r="BW897" s="14" t="str">
        <x:v>Unable to determine</x:v>
      </x:c>
      <x:c r="BX897" s="14" t="str">
        <x:v>Supplied cast data establishes the credit and episode presence but does not establish narrative prominence.</x:v>
      </x:c>
      <x:c r="BY897" s="14" t="str">
        <x:v>Supplied IMDb cast-list workbook</x:v>
      </x:c>
      <x:c r="BZ89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7" s="14" t="str">
        <x:v>Not classified</x:v>
      </x:c>
      <x:c r="CB897" s="14" t="str">
        <x:v>Unable to determine</x:v>
      </x:c>
      <x:c r="CC897" s="14" t="str">
        <x:v>Unique</x:v>
      </x:c>
      <x:c r="CD897" s="14" t="str">
        <x:v>None identified</x:v>
      </x:c>
    </x:row>
    <x:row r="898">
      <x:c r="A898" s="14" t="str">
        <x:v>tt11403434|nm7233931|lennie haleton</x:v>
      </x:c>
      <x:c r="B898" s="14" t="str">
        <x:v>03</x:v>
      </x:c>
      <x:c r="C898" s="14" t="str">
        <x:v>2021_IMDb_Cast_Lists_Batch_03(1).xlsx</x:v>
      </x:c>
      <x:c r="D898" s="14" t="str">
        <x:v>Showtrial</x:v>
      </x:c>
      <x:c r="E898" s="14" t="n">
        <x:v>72</x:v>
      </x:c>
      <x:c r="F898" s="14" t="str">
        <x:v>Showtrial</x:v>
      </x:c>
      <x:c r="G898" s="14" t="str">
        <x:v>tt11403434</x:v>
      </x:c>
      <x:c r="H898" s="14" t="n">
        <x:v>2021</x:v>
      </x:c>
      <x:c r="I898" s="14" t="n">
        <x:v>2023</x:v>
      </x:c>
      <x:c r="J898" s="14" t="str">
        <x:v>Future Carry-Forward Cohort</x:v>
      </x:c>
      <x:c r="K898" s="14" t="n">
        <x:v>2021</x:v>
      </x:c>
      <x:c r="L898" s="14" t="str">
        <x:v>Available from 2021 analysis</x:v>
      </x:c>
      <x:c r="M898" s="15" t="n">
        <x:v>65</x:v>
      </x:c>
      <x:c r="N898" s="14" t="str">
        <x:v>Desmond Edwards</x:v>
      </x:c>
      <x:c r="O898" s="14" t="str">
        <x:v>nm7233931</x:v>
      </x:c>
      <x:c r="P898" s="14" t="str">
        <x:v>Lennie Haleton</x:v>
      </x:c>
      <x:c r="Q898" s="15" t="n">
        <x:v>2</x:v>
      </x:c>
      <x:c r="R898" s="14" t="str">
        <x:v>2024</x:v>
      </x:c>
      <x:c r="S898" s="14" t="n">
        <x:v>2024</x:v>
      </x:c>
      <x:c r="T898" s="14" t="n">
        <x:v>2024</x:v>
      </x:c>
      <x:c r="U898" s="14" t="str">
        <x:v>Post-2021 casting excluded</x:v>
      </x:c>
      <x:c r="V898" s="14" t="str">
        <x:v>Earliest supplied year is 2024, later than the 2021 study year.</x:v>
      </x:c>
      <x:c r="W898" s="14"/>
      <x:c r="X898" s="14" t="str">
        <x:v>Carried forward to 2024</x:v>
      </x:c>
      <x:c r="Y898" s="14"/>
      <x:c r="Z898" s="14" t="str">
        <x:v>Showtrial.docx</x:v>
      </x:c>
      <x:c r="AA89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8" s="14" t="str">
        <x:v>No established-register match</x:v>
      </x:c>
      <x:c r="AC898" s="14"/>
      <x:c r="AD898" s="14"/>
      <x:c r="AE898" s="14"/>
      <x:c r="AF898" s="14"/>
      <x:c r="AG898" s="14" t="str">
        <x:v>No qualifying conclusion recorded. Absence from the register is not evidence that the performer is not disabled.</x:v>
      </x:c>
      <x:c r="AH898" s="14" t="str">
        <x:v>BBC</x:v>
      </x:c>
      <x:c r="AI898" s="14" t="str">
        <x:v>UK original commission</x:v>
      </x:c>
      <x:c r="AJ898" s="14" t="str">
        <x:v>Exact normalised title</x:v>
      </x:c>
      <x:c r="AK898" s="14" t="str">
        <x:v>Medium</x:v>
      </x:c>
      <x:c r="AL898" s="14" t="str">
        <x:v>Verified for commissioner/platform scope; uk original commission.</x:v>
      </x:c>
      <x:c r="AM898" s="17" t="e">
        <x:f>HYPERLINK("https://en.wikipedia.org/wiki/Show_trial","Open source")</x:f>
        <x:v>HYPERLINK is not implemented. linkLocation=https://en.wikipedia.org/wiki/Show_trial, friendlyName=Open source</x:v>
      </x:c>
      <x:c r="AN898" s="14" t="str">
        <x:v>BBC public-service commission</x:v>
      </x:c>
      <x:c r="AO898" s="14" t="str">
        <x:v>Yes</x:v>
      </x:c>
      <x:c r="AP898" s="14" t="str">
        <x:v>Direct BBC public-service scope</x:v>
      </x:c>
      <x:c r="AQ898" s="14" t="str">
        <x:v>Yes</x:v>
      </x:c>
      <x:c r="AR898" s="14" t="str">
        <x:v>Resolved from master register</x:v>
      </x:c>
      <x:c r="AS898" s="14" t="str">
        <x:v>No established-register match</x:v>
      </x:c>
      <x:c r="AT898" s="14"/>
      <x:c r="AU898" s="14"/>
      <x:c r="AV898" s="14" t="str">
        <x:v>No established apparent-disability match</x:v>
      </x:c>
      <x:c r="AW898" s="14"/>
      <x:c r="AX898" s="14" t="str">
        <x:v>No</x:v>
      </x:c>
      <x:c r="AY898" s="14" t="str">
        <x:v>Unmatched</x:v>
      </x:c>
      <x:c r="AZ898" s="14" t="str">
        <x:v>Final supplied register</x:v>
      </x:c>
      <x:c r="BA898" s="14" t="str">
        <x:v>Absence from the register is not evidence that the performer is not disabled.</x:v>
      </x:c>
      <x:c r="BB898" s="14" t="str">
        <x:v>No established-register match</x:v>
      </x:c>
      <x:c r="BC898" s="14"/>
      <x:c r="BD898" s="14"/>
      <x:c r="BE898" s="14"/>
      <x:c r="BF898" s="14" t="str">
        <x:v>No established apparent-disability match</x:v>
      </x:c>
      <x:c r="BG898" s="14"/>
      <x:c r="BH898" s="14" t="str">
        <x:v>No</x:v>
      </x:c>
      <x:c r="BI898" s="14"/>
      <x:c r="BJ898" s="14"/>
      <x:c r="BK898" s="14"/>
      <x:c r="BL898" s="14" t="str">
        <x:v>Unmatched</x:v>
      </x:c>
      <x:c r="BM898" s="14" t="str">
        <x:v>Final supplied register</x:v>
      </x:c>
      <x:c r="BN898" s="14" t="str">
        <x:v>Absence from the register is not evidence that the performer is not disabled.</x:v>
      </x:c>
      <x:c r="BO898" s="14" t="n">
        <x:v>5</x:v>
      </x:c>
      <x:c r="BP898" s="14" t="str">
        <x:v>Maximum eligible IMDb cast-credit total (5), shared by 18 performer(s); not independently verified as a 2021-only episode total.</x:v>
      </x:c>
      <x:c r="BQ898" s="14" t="str">
        <x:v>Medium</x:v>
      </x:c>
      <x:c r="BR898" s="15" t="n">
        <x:v>2</x:v>
      </x:c>
      <x:c r="BS898" s="16" t="n">
        <x:v>0.4</x:v>
      </x:c>
      <x:c r="BT898" s="14" t="str">
        <x:v>Minority of episodes</x:v>
      </x:c>
      <x:c r="BU898" s="14" t="str">
        <x:v>Medium</x:v>
      </x:c>
      <x:c r="BV898" s="14" t="str">
        <x:v>Derived from supplied IMDb episode count and the documented production-total proxy.</x:v>
      </x:c>
      <x:c r="BW898" s="14" t="str">
        <x:v>Unable to determine</x:v>
      </x:c>
      <x:c r="BX898" s="14" t="str">
        <x:v>Supplied cast data establishes the credit and episode presence but does not establish narrative prominence.</x:v>
      </x:c>
      <x:c r="BY898" s="14" t="str">
        <x:v>Supplied IMDb cast-list workbook</x:v>
      </x:c>
      <x:c r="BZ89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8" s="14" t="str">
        <x:v>Not classified</x:v>
      </x:c>
      <x:c r="CB898" s="14" t="str">
        <x:v>Unable to determine</x:v>
      </x:c>
      <x:c r="CC898" s="14" t="str">
        <x:v>Unique</x:v>
      </x:c>
      <x:c r="CD898" s="14" t="str">
        <x:v>None identified</x:v>
      </x:c>
    </x:row>
    <x:row r="899">
      <x:c r="A899" s="14" t="str">
        <x:v>tt11403434|nm13449367|daniella fielding</x:v>
      </x:c>
      <x:c r="B899" s="14" t="str">
        <x:v>03</x:v>
      </x:c>
      <x:c r="C899" s="14" t="str">
        <x:v>2021_IMDb_Cast_Lists_Batch_03(1).xlsx</x:v>
      </x:c>
      <x:c r="D899" s="14" t="str">
        <x:v>Showtrial</x:v>
      </x:c>
      <x:c r="E899" s="14" t="n">
        <x:v>74</x:v>
      </x:c>
      <x:c r="F899" s="14" t="str">
        <x:v>Showtrial</x:v>
      </x:c>
      <x:c r="G899" s="14" t="str">
        <x:v>tt11403434</x:v>
      </x:c>
      <x:c r="H899" s="14" t="n">
        <x:v>2021</x:v>
      </x:c>
      <x:c r="I899" s="14" t="n">
        <x:v>2023</x:v>
      </x:c>
      <x:c r="J899" s="14" t="str">
        <x:v>Future Carry-Forward Cohort</x:v>
      </x:c>
      <x:c r="K899" s="14" t="n">
        <x:v>2021</x:v>
      </x:c>
      <x:c r="L899" s="14" t="str">
        <x:v>Available from 2021 analysis</x:v>
      </x:c>
      <x:c r="M899" s="15" t="n">
        <x:v>67</x:v>
      </x:c>
      <x:c r="N899" s="14" t="str">
        <x:v>Hannah Briercliffe</x:v>
      </x:c>
      <x:c r="O899" s="14" t="str">
        <x:v>nm13449367</x:v>
      </x:c>
      <x:c r="P899" s="14" t="str">
        <x:v>Daniella Fielding</x:v>
      </x:c>
      <x:c r="Q899" s="15" t="n">
        <x:v>2</x:v>
      </x:c>
      <x:c r="R899" s="14" t="str">
        <x:v>2024</x:v>
      </x:c>
      <x:c r="S899" s="14" t="n">
        <x:v>2024</x:v>
      </x:c>
      <x:c r="T899" s="14" t="n">
        <x:v>2024</x:v>
      </x:c>
      <x:c r="U899" s="14" t="str">
        <x:v>Post-2021 casting excluded</x:v>
      </x:c>
      <x:c r="V899" s="14" t="str">
        <x:v>Earliest supplied year is 2024, later than the 2021 study year.</x:v>
      </x:c>
      <x:c r="W899" s="14"/>
      <x:c r="X899" s="14" t="str">
        <x:v>Carried forward to 2024</x:v>
      </x:c>
      <x:c r="Y899" s="14"/>
      <x:c r="Z899" s="14" t="str">
        <x:v>Showtrial.docx</x:v>
      </x:c>
      <x:c r="AA89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9" s="14" t="str">
        <x:v>No established-register match</x:v>
      </x:c>
      <x:c r="AC899" s="14"/>
      <x:c r="AD899" s="14"/>
      <x:c r="AE899" s="14"/>
      <x:c r="AF899" s="14"/>
      <x:c r="AG899" s="14" t="str">
        <x:v>No qualifying conclusion recorded. Absence from the register is not evidence that the performer is not disabled.</x:v>
      </x:c>
      <x:c r="AH899" s="14" t="str">
        <x:v>BBC</x:v>
      </x:c>
      <x:c r="AI899" s="14" t="str">
        <x:v>UK original commission</x:v>
      </x:c>
      <x:c r="AJ899" s="14" t="str">
        <x:v>Exact normalised title</x:v>
      </x:c>
      <x:c r="AK899" s="14" t="str">
        <x:v>Medium</x:v>
      </x:c>
      <x:c r="AL899" s="14" t="str">
        <x:v>Verified for commissioner/platform scope; uk original commission.</x:v>
      </x:c>
      <x:c r="AM899" s="17" t="e">
        <x:f>HYPERLINK("https://en.wikipedia.org/wiki/Show_trial","Open source")</x:f>
        <x:v>HYPERLINK is not implemented. linkLocation=https://en.wikipedia.org/wiki/Show_trial, friendlyName=Open source</x:v>
      </x:c>
      <x:c r="AN899" s="14" t="str">
        <x:v>BBC public-service commission</x:v>
      </x:c>
      <x:c r="AO899" s="14" t="str">
        <x:v>Yes</x:v>
      </x:c>
      <x:c r="AP899" s="14" t="str">
        <x:v>Direct BBC public-service scope</x:v>
      </x:c>
      <x:c r="AQ899" s="14" t="str">
        <x:v>Yes</x:v>
      </x:c>
      <x:c r="AR899" s="14" t="str">
        <x:v>Resolved from master register</x:v>
      </x:c>
      <x:c r="AS899" s="14" t="str">
        <x:v>No established-register match</x:v>
      </x:c>
      <x:c r="AT899" s="14"/>
      <x:c r="AU899" s="14"/>
      <x:c r="AV899" s="14" t="str">
        <x:v>No established apparent-disability match</x:v>
      </x:c>
      <x:c r="AW899" s="14"/>
      <x:c r="AX899" s="14" t="str">
        <x:v>No</x:v>
      </x:c>
      <x:c r="AY899" s="14" t="str">
        <x:v>Unmatched</x:v>
      </x:c>
      <x:c r="AZ899" s="14" t="str">
        <x:v>Final supplied register</x:v>
      </x:c>
      <x:c r="BA899" s="14" t="str">
        <x:v>Absence from the register is not evidence that the performer is not disabled.</x:v>
      </x:c>
      <x:c r="BB899" s="14" t="str">
        <x:v>No established-register match</x:v>
      </x:c>
      <x:c r="BC899" s="14"/>
      <x:c r="BD899" s="14"/>
      <x:c r="BE899" s="14"/>
      <x:c r="BF899" s="14" t="str">
        <x:v>No established apparent-disability match</x:v>
      </x:c>
      <x:c r="BG899" s="14"/>
      <x:c r="BH899" s="14" t="str">
        <x:v>No</x:v>
      </x:c>
      <x:c r="BI899" s="14"/>
      <x:c r="BJ899" s="14"/>
      <x:c r="BK899" s="14"/>
      <x:c r="BL899" s="14" t="str">
        <x:v>Unmatched</x:v>
      </x:c>
      <x:c r="BM899" s="14" t="str">
        <x:v>Final supplied register</x:v>
      </x:c>
      <x:c r="BN899" s="14" t="str">
        <x:v>Absence from the register is not evidence that the performer is not disabled.</x:v>
      </x:c>
      <x:c r="BO899" s="14" t="n">
        <x:v>5</x:v>
      </x:c>
      <x:c r="BP899" s="14" t="str">
        <x:v>Maximum eligible IMDb cast-credit total (5), shared by 18 performer(s); not independently verified as a 2021-only episode total.</x:v>
      </x:c>
      <x:c r="BQ899" s="14" t="str">
        <x:v>Medium</x:v>
      </x:c>
      <x:c r="BR899" s="15" t="n">
        <x:v>2</x:v>
      </x:c>
      <x:c r="BS899" s="16" t="n">
        <x:v>0.4</x:v>
      </x:c>
      <x:c r="BT899" s="14" t="str">
        <x:v>Minority of episodes</x:v>
      </x:c>
      <x:c r="BU899" s="14" t="str">
        <x:v>Medium</x:v>
      </x:c>
      <x:c r="BV899" s="14" t="str">
        <x:v>Derived from supplied IMDb episode count and the documented production-total proxy.</x:v>
      </x:c>
      <x:c r="BW899" s="14" t="str">
        <x:v>Unable to determine</x:v>
      </x:c>
      <x:c r="BX899" s="14" t="str">
        <x:v>Supplied cast data establishes the credit and episode presence but does not establish narrative prominence.</x:v>
      </x:c>
      <x:c r="BY899" s="14" t="str">
        <x:v>Supplied IMDb cast-list workbook</x:v>
      </x:c>
      <x:c r="BZ89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9" s="14" t="str">
        <x:v>Not classified</x:v>
      </x:c>
      <x:c r="CB899" s="14" t="str">
        <x:v>Unable to determine</x:v>
      </x:c>
      <x:c r="CC899" s="14" t="str">
        <x:v>Unique</x:v>
      </x:c>
      <x:c r="CD899" s="14" t="str">
        <x:v>None identified</x:v>
      </x:c>
    </x:row>
    <x:row r="900">
      <x:c r="A900" s="14" t="str">
        <x:v>tt11403434|nm0372293|rose</x:v>
      </x:c>
      <x:c r="B900" s="14" t="str">
        <x:v>03</x:v>
      </x:c>
      <x:c r="C900" s="14" t="str">
        <x:v>2021_IMDb_Cast_Lists_Batch_03(1).xlsx</x:v>
      </x:c>
      <x:c r="D900" s="14" t="str">
        <x:v>Showtrial</x:v>
      </x:c>
      <x:c r="E900" s="14" t="n">
        <x:v>76</x:v>
      </x:c>
      <x:c r="F900" s="14" t="str">
        <x:v>Showtrial</x:v>
      </x:c>
      <x:c r="G900" s="14" t="str">
        <x:v>tt11403434</x:v>
      </x:c>
      <x:c r="H900" s="14" t="n">
        <x:v>2021</x:v>
      </x:c>
      <x:c r="I900" s="14" t="n">
        <x:v>2023</x:v>
      </x:c>
      <x:c r="J900" s="14" t="str">
        <x:v>Future Carry-Forward Cohort</x:v>
      </x:c>
      <x:c r="K900" s="14" t="n">
        <x:v>2021</x:v>
      </x:c>
      <x:c r="L900" s="14" t="str">
        <x:v>Available from 2021 analysis</x:v>
      </x:c>
      <x:c r="M900" s="15" t="n">
        <x:v>69</x:v>
      </x:c>
      <x:c r="N900" s="14" t="str">
        <x:v>Anna Healy</x:v>
      </x:c>
      <x:c r="O900" s="14" t="str">
        <x:v>nm0372293</x:v>
      </x:c>
      <x:c r="P900" s="14" t="str">
        <x:v>Rose</x:v>
      </x:c>
      <x:c r="Q900" s="15" t="n">
        <x:v>2</x:v>
      </x:c>
      <x:c r="R900" s="14" t="str">
        <x:v>2024</x:v>
      </x:c>
      <x:c r="S900" s="14" t="n">
        <x:v>2024</x:v>
      </x:c>
      <x:c r="T900" s="14" t="n">
        <x:v>2024</x:v>
      </x:c>
      <x:c r="U900" s="14" t="str">
        <x:v>Post-2021 casting excluded</x:v>
      </x:c>
      <x:c r="V900" s="14" t="str">
        <x:v>Earliest supplied year is 2024, later than the 2021 study year.</x:v>
      </x:c>
      <x:c r="W900" s="14"/>
      <x:c r="X900" s="14" t="str">
        <x:v>Carried forward to 2024</x:v>
      </x:c>
      <x:c r="Y900" s="14"/>
      <x:c r="Z900" s="14" t="str">
        <x:v>Showtrial.docx</x:v>
      </x:c>
      <x:c r="AA90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0" s="14" t="str">
        <x:v>No established-register match</x:v>
      </x:c>
      <x:c r="AC900" s="14"/>
      <x:c r="AD900" s="14"/>
      <x:c r="AE900" s="14"/>
      <x:c r="AF900" s="14"/>
      <x:c r="AG900" s="14" t="str">
        <x:v>No qualifying conclusion recorded. Absence from the register is not evidence that the performer is not disabled.</x:v>
      </x:c>
      <x:c r="AH900" s="14" t="str">
        <x:v>BBC</x:v>
      </x:c>
      <x:c r="AI900" s="14" t="str">
        <x:v>UK original commission</x:v>
      </x:c>
      <x:c r="AJ900" s="14" t="str">
        <x:v>Exact normalised title</x:v>
      </x:c>
      <x:c r="AK900" s="14" t="str">
        <x:v>Medium</x:v>
      </x:c>
      <x:c r="AL900" s="14" t="str">
        <x:v>Verified for commissioner/platform scope; uk original commission.</x:v>
      </x:c>
      <x:c r="AM900" s="17" t="e">
        <x:f>HYPERLINK("https://en.wikipedia.org/wiki/Show_trial","Open source")</x:f>
        <x:v>HYPERLINK is not implemented. linkLocation=https://en.wikipedia.org/wiki/Show_trial, friendlyName=Open source</x:v>
      </x:c>
      <x:c r="AN900" s="14" t="str">
        <x:v>BBC public-service commission</x:v>
      </x:c>
      <x:c r="AO900" s="14" t="str">
        <x:v>Yes</x:v>
      </x:c>
      <x:c r="AP900" s="14" t="str">
        <x:v>Direct BBC public-service scope</x:v>
      </x:c>
      <x:c r="AQ900" s="14" t="str">
        <x:v>Yes</x:v>
      </x:c>
      <x:c r="AR900" s="14" t="str">
        <x:v>Resolved from master register</x:v>
      </x:c>
      <x:c r="AS900" s="14" t="str">
        <x:v>No established-register match</x:v>
      </x:c>
      <x:c r="AT900" s="14"/>
      <x:c r="AU900" s="14"/>
      <x:c r="AV900" s="14" t="str">
        <x:v>No established apparent-disability match</x:v>
      </x:c>
      <x:c r="AW900" s="14"/>
      <x:c r="AX900" s="14" t="str">
        <x:v>No</x:v>
      </x:c>
      <x:c r="AY900" s="14" t="str">
        <x:v>Unmatched</x:v>
      </x:c>
      <x:c r="AZ900" s="14" t="str">
        <x:v>Final supplied register</x:v>
      </x:c>
      <x:c r="BA900" s="14" t="str">
        <x:v>Absence from the register is not evidence that the performer is not disabled.</x:v>
      </x:c>
      <x:c r="BB900" s="14" t="str">
        <x:v>No established-register match</x:v>
      </x:c>
      <x:c r="BC900" s="14"/>
      <x:c r="BD900" s="14"/>
      <x:c r="BE900" s="14"/>
      <x:c r="BF900" s="14" t="str">
        <x:v>No established apparent-disability match</x:v>
      </x:c>
      <x:c r="BG900" s="14"/>
      <x:c r="BH900" s="14" t="str">
        <x:v>No</x:v>
      </x:c>
      <x:c r="BI900" s="14"/>
      <x:c r="BJ900" s="14"/>
      <x:c r="BK900" s="14"/>
      <x:c r="BL900" s="14" t="str">
        <x:v>Unmatched</x:v>
      </x:c>
      <x:c r="BM900" s="14" t="str">
        <x:v>Final supplied register</x:v>
      </x:c>
      <x:c r="BN900" s="14" t="str">
        <x:v>Absence from the register is not evidence that the performer is not disabled.</x:v>
      </x:c>
      <x:c r="BO900" s="14" t="n">
        <x:v>5</x:v>
      </x:c>
      <x:c r="BP900" s="14" t="str">
        <x:v>Maximum eligible IMDb cast-credit total (5), shared by 18 performer(s); not independently verified as a 2021-only episode total.</x:v>
      </x:c>
      <x:c r="BQ900" s="14" t="str">
        <x:v>Medium</x:v>
      </x:c>
      <x:c r="BR900" s="15" t="n">
        <x:v>2</x:v>
      </x:c>
      <x:c r="BS900" s="16" t="n">
        <x:v>0.4</x:v>
      </x:c>
      <x:c r="BT900" s="14" t="str">
        <x:v>Minority of episodes</x:v>
      </x:c>
      <x:c r="BU900" s="14" t="str">
        <x:v>Medium</x:v>
      </x:c>
      <x:c r="BV900" s="14" t="str">
        <x:v>Derived from supplied IMDb episode count and the documented production-total proxy.</x:v>
      </x:c>
      <x:c r="BW900" s="14" t="str">
        <x:v>Unable to determine</x:v>
      </x:c>
      <x:c r="BX900" s="14" t="str">
        <x:v>Supplied cast data establishes the credit and episode presence but does not establish narrative prominence.</x:v>
      </x:c>
      <x:c r="BY900" s="14" t="str">
        <x:v>Supplied IMDb cast-list workbook</x:v>
      </x:c>
      <x:c r="BZ90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0" s="14" t="str">
        <x:v>Not classified</x:v>
      </x:c>
      <x:c r="CB900" s="14" t="str">
        <x:v>Unable to determine</x:v>
      </x:c>
      <x:c r="CC900" s="14" t="str">
        <x:v>Unique</x:v>
      </x:c>
      <x:c r="CD900" s="14" t="str">
        <x:v>None identified</x:v>
      </x:c>
    </x:row>
    <x:row r="901">
      <x:c r="A901" s="14" t="str">
        <x:v>tt11403434|nm4123508|angry protestor</x:v>
      </x:c>
      <x:c r="B901" s="14" t="str">
        <x:v>03</x:v>
      </x:c>
      <x:c r="C901" s="14" t="str">
        <x:v>2021_IMDb_Cast_Lists_Batch_03(1).xlsx</x:v>
      </x:c>
      <x:c r="D901" s="14" t="str">
        <x:v>Showtrial</x:v>
      </x:c>
      <x:c r="E901" s="14" t="n">
        <x:v>79</x:v>
      </x:c>
      <x:c r="F901" s="14" t="str">
        <x:v>Showtrial</x:v>
      </x:c>
      <x:c r="G901" s="14" t="str">
        <x:v>tt11403434</x:v>
      </x:c>
      <x:c r="H901" s="14" t="n">
        <x:v>2021</x:v>
      </x:c>
      <x:c r="I901" s="14" t="n">
        <x:v>2023</x:v>
      </x:c>
      <x:c r="J901" s="14" t="str">
        <x:v>Future Carry-Forward Cohort</x:v>
      </x:c>
      <x:c r="K901" s="14" t="n">
        <x:v>2021</x:v>
      </x:c>
      <x:c r="L901" s="14" t="str">
        <x:v>Available from 2021 analysis</x:v>
      </x:c>
      <x:c r="M901" s="15" t="n">
        <x:v>72</x:v>
      </x:c>
      <x:c r="N901" s="14" t="str">
        <x:v>Gary Finan</x:v>
      </x:c>
      <x:c r="O901" s="14" t="str">
        <x:v>nm4123508</x:v>
      </x:c>
      <x:c r="P901" s="14" t="str">
        <x:v>Angry Protestor</x:v>
      </x:c>
      <x:c r="Q901" s="15" t="n">
        <x:v>1</x:v>
      </x:c>
      <x:c r="R901" s="14" t="str">
        <x:v>2024</x:v>
      </x:c>
      <x:c r="S901" s="14" t="n">
        <x:v>2024</x:v>
      </x:c>
      <x:c r="T901" s="14" t="n">
        <x:v>2024</x:v>
      </x:c>
      <x:c r="U901" s="14" t="str">
        <x:v>Post-2021 casting excluded</x:v>
      </x:c>
      <x:c r="V901" s="14" t="str">
        <x:v>Earliest supplied year is 2024, later than the 2021 study year.</x:v>
      </x:c>
      <x:c r="W901" s="14"/>
      <x:c r="X901" s="14" t="str">
        <x:v>Carried forward to 2024</x:v>
      </x:c>
      <x:c r="Y901" s="14"/>
      <x:c r="Z901" s="14" t="str">
        <x:v>Showtrial.docx</x:v>
      </x:c>
      <x:c r="AA90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1" s="14" t="str">
        <x:v>No established-register match</x:v>
      </x:c>
      <x:c r="AC901" s="14"/>
      <x:c r="AD901" s="14"/>
      <x:c r="AE901" s="14"/>
      <x:c r="AF901" s="14"/>
      <x:c r="AG901" s="14" t="str">
        <x:v>No qualifying conclusion recorded. Absence from the register is not evidence that the performer is not disabled.</x:v>
      </x:c>
      <x:c r="AH901" s="14" t="str">
        <x:v>BBC</x:v>
      </x:c>
      <x:c r="AI901" s="14" t="str">
        <x:v>UK original commission</x:v>
      </x:c>
      <x:c r="AJ901" s="14" t="str">
        <x:v>Exact normalised title</x:v>
      </x:c>
      <x:c r="AK901" s="14" t="str">
        <x:v>Medium</x:v>
      </x:c>
      <x:c r="AL901" s="14" t="str">
        <x:v>Verified for commissioner/platform scope; uk original commission.</x:v>
      </x:c>
      <x:c r="AM901" s="17" t="e">
        <x:f>HYPERLINK("https://en.wikipedia.org/wiki/Show_trial","Open source")</x:f>
        <x:v>HYPERLINK is not implemented. linkLocation=https://en.wikipedia.org/wiki/Show_trial, friendlyName=Open source</x:v>
      </x:c>
      <x:c r="AN901" s="14" t="str">
        <x:v>BBC public-service commission</x:v>
      </x:c>
      <x:c r="AO901" s="14" t="str">
        <x:v>Yes</x:v>
      </x:c>
      <x:c r="AP901" s="14" t="str">
        <x:v>Direct BBC public-service scope</x:v>
      </x:c>
      <x:c r="AQ901" s="14" t="str">
        <x:v>Yes</x:v>
      </x:c>
      <x:c r="AR901" s="14" t="str">
        <x:v>Resolved from master register</x:v>
      </x:c>
      <x:c r="AS901" s="14" t="str">
        <x:v>No established-register match</x:v>
      </x:c>
      <x:c r="AT901" s="14"/>
      <x:c r="AU901" s="14"/>
      <x:c r="AV901" s="14" t="str">
        <x:v>No established apparent-disability match</x:v>
      </x:c>
      <x:c r="AW901" s="14"/>
      <x:c r="AX901" s="14" t="str">
        <x:v>No</x:v>
      </x:c>
      <x:c r="AY901" s="14" t="str">
        <x:v>Unmatched</x:v>
      </x:c>
      <x:c r="AZ901" s="14" t="str">
        <x:v>Final supplied register</x:v>
      </x:c>
      <x:c r="BA901" s="14" t="str">
        <x:v>Absence from the register is not evidence that the performer is not disabled.</x:v>
      </x:c>
      <x:c r="BB901" s="14" t="str">
        <x:v>No established-register match</x:v>
      </x:c>
      <x:c r="BC901" s="14"/>
      <x:c r="BD901" s="14"/>
      <x:c r="BE901" s="14"/>
      <x:c r="BF901" s="14" t="str">
        <x:v>No established apparent-disability match</x:v>
      </x:c>
      <x:c r="BG901" s="14"/>
      <x:c r="BH901" s="14" t="str">
        <x:v>No</x:v>
      </x:c>
      <x:c r="BI901" s="14"/>
      <x:c r="BJ901" s="14"/>
      <x:c r="BK901" s="14"/>
      <x:c r="BL901" s="14" t="str">
        <x:v>Unmatched</x:v>
      </x:c>
      <x:c r="BM901" s="14" t="str">
        <x:v>Final supplied register</x:v>
      </x:c>
      <x:c r="BN901" s="14" t="str">
        <x:v>Absence from the register is not evidence that the performer is not disabled.</x:v>
      </x:c>
      <x:c r="BO901" s="14" t="n">
        <x:v>5</x:v>
      </x:c>
      <x:c r="BP901" s="14" t="str">
        <x:v>Maximum eligible IMDb cast-credit total (5), shared by 18 performer(s); not independently verified as a 2021-only episode total.</x:v>
      </x:c>
      <x:c r="BQ901" s="14" t="str">
        <x:v>Medium</x:v>
      </x:c>
      <x:c r="BR901" s="15" t="n">
        <x:v>1</x:v>
      </x:c>
      <x:c r="BS901" s="16" t="n">
        <x:v>0.2</x:v>
      </x:c>
      <x:c r="BT901" s="14" t="str">
        <x:v>One episode</x:v>
      </x:c>
      <x:c r="BU901" s="14" t="str">
        <x:v>Medium</x:v>
      </x:c>
      <x:c r="BV901" s="14" t="str">
        <x:v>Derived from supplied IMDb episode count and the documented production-total proxy.</x:v>
      </x:c>
      <x:c r="BW901" s="14" t="str">
        <x:v>Unable to determine</x:v>
      </x:c>
      <x:c r="BX901" s="14" t="str">
        <x:v>Supplied cast data establishes the credit and episode presence but does not establish narrative prominence.</x:v>
      </x:c>
      <x:c r="BY901" s="14" t="str">
        <x:v>Supplied IMDb cast-list workbook</x:v>
      </x:c>
      <x:c r="BZ90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1" s="14" t="str">
        <x:v>Not classified</x:v>
      </x:c>
      <x:c r="CB901" s="14" t="str">
        <x:v>Unable to determine</x:v>
      </x:c>
      <x:c r="CC901" s="14" t="str">
        <x:v>Unique</x:v>
      </x:c>
      <x:c r="CD901" s="14" t="str">
        <x:v>None identified</x:v>
      </x:c>
    </x:row>
    <x:row r="902">
      <x:c r="A902" s="14" t="str">
        <x:v>tt11403434|nm5033299|pc millward</x:v>
      </x:c>
      <x:c r="B902" s="14" t="str">
        <x:v>03</x:v>
      </x:c>
      <x:c r="C902" s="14" t="str">
        <x:v>2021_IMDb_Cast_Lists_Batch_03(1).xlsx</x:v>
      </x:c>
      <x:c r="D902" s="14" t="str">
        <x:v>Showtrial</x:v>
      </x:c>
      <x:c r="E902" s="14" t="n">
        <x:v>81</x:v>
      </x:c>
      <x:c r="F902" s="14" t="str">
        <x:v>Showtrial</x:v>
      </x:c>
      <x:c r="G902" s="14" t="str">
        <x:v>tt11403434</x:v>
      </x:c>
      <x:c r="H902" s="14" t="n">
        <x:v>2021</x:v>
      </x:c>
      <x:c r="I902" s="14" t="n">
        <x:v>2023</x:v>
      </x:c>
      <x:c r="J902" s="14" t="str">
        <x:v>Future Carry-Forward Cohort</x:v>
      </x:c>
      <x:c r="K902" s="14" t="n">
        <x:v>2021</x:v>
      </x:c>
      <x:c r="L902" s="14" t="str">
        <x:v>Available from 2021 analysis</x:v>
      </x:c>
      <x:c r="M902" s="15" t="n">
        <x:v>74</x:v>
      </x:c>
      <x:c r="N902" s="14" t="str">
        <x:v>Keeley Lane</x:v>
      </x:c>
      <x:c r="O902" s="14" t="str">
        <x:v>nm5033299</x:v>
      </x:c>
      <x:c r="P902" s="14" t="str">
        <x:v>PC Millward</x:v>
      </x:c>
      <x:c r="Q902" s="15" t="n">
        <x:v>1</x:v>
      </x:c>
      <x:c r="R902" s="14" t="str">
        <x:v>2024</x:v>
      </x:c>
      <x:c r="S902" s="14" t="n">
        <x:v>2024</x:v>
      </x:c>
      <x:c r="T902" s="14" t="n">
        <x:v>2024</x:v>
      </x:c>
      <x:c r="U902" s="14" t="str">
        <x:v>Post-2021 casting excluded</x:v>
      </x:c>
      <x:c r="V902" s="14" t="str">
        <x:v>Earliest supplied year is 2024, later than the 2021 study year.</x:v>
      </x:c>
      <x:c r="W902" s="14"/>
      <x:c r="X902" s="14" t="str">
        <x:v>Carried forward to 2024</x:v>
      </x:c>
      <x:c r="Y902" s="14"/>
      <x:c r="Z902" s="14" t="str">
        <x:v>Showtrial.docx</x:v>
      </x:c>
      <x:c r="AA90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2" s="14" t="str">
        <x:v>No established-register match</x:v>
      </x:c>
      <x:c r="AC902" s="14"/>
      <x:c r="AD902" s="14"/>
      <x:c r="AE902" s="14"/>
      <x:c r="AF902" s="14"/>
      <x:c r="AG902" s="14" t="str">
        <x:v>No qualifying conclusion recorded. Absence from the register is not evidence that the performer is not disabled.</x:v>
      </x:c>
      <x:c r="AH902" s="14" t="str">
        <x:v>BBC</x:v>
      </x:c>
      <x:c r="AI902" s="14" t="str">
        <x:v>UK original commission</x:v>
      </x:c>
      <x:c r="AJ902" s="14" t="str">
        <x:v>Exact normalised title</x:v>
      </x:c>
      <x:c r="AK902" s="14" t="str">
        <x:v>Medium</x:v>
      </x:c>
      <x:c r="AL902" s="14" t="str">
        <x:v>Verified for commissioner/platform scope; uk original commission.</x:v>
      </x:c>
      <x:c r="AM902" s="17" t="e">
        <x:f>HYPERLINK("https://en.wikipedia.org/wiki/Show_trial","Open source")</x:f>
        <x:v>HYPERLINK is not implemented. linkLocation=https://en.wikipedia.org/wiki/Show_trial, friendlyName=Open source</x:v>
      </x:c>
      <x:c r="AN902" s="14" t="str">
        <x:v>BBC public-service commission</x:v>
      </x:c>
      <x:c r="AO902" s="14" t="str">
        <x:v>Yes</x:v>
      </x:c>
      <x:c r="AP902" s="14" t="str">
        <x:v>Direct BBC public-service scope</x:v>
      </x:c>
      <x:c r="AQ902" s="14" t="str">
        <x:v>Yes</x:v>
      </x:c>
      <x:c r="AR902" s="14" t="str">
        <x:v>Resolved from master register</x:v>
      </x:c>
      <x:c r="AS902" s="14" t="str">
        <x:v>No established-register match</x:v>
      </x:c>
      <x:c r="AT902" s="14"/>
      <x:c r="AU902" s="14"/>
      <x:c r="AV902" s="14" t="str">
        <x:v>No established apparent-disability match</x:v>
      </x:c>
      <x:c r="AW902" s="14"/>
      <x:c r="AX902" s="14" t="str">
        <x:v>No</x:v>
      </x:c>
      <x:c r="AY902" s="14" t="str">
        <x:v>Unmatched</x:v>
      </x:c>
      <x:c r="AZ902" s="14" t="str">
        <x:v>Final supplied register</x:v>
      </x:c>
      <x:c r="BA902" s="14" t="str">
        <x:v>Absence from the register is not evidence that the performer is not disabled.</x:v>
      </x:c>
      <x:c r="BB902" s="14" t="str">
        <x:v>No established-register match</x:v>
      </x:c>
      <x:c r="BC902" s="14"/>
      <x:c r="BD902" s="14"/>
      <x:c r="BE902" s="14"/>
      <x:c r="BF902" s="14" t="str">
        <x:v>No established apparent-disability match</x:v>
      </x:c>
      <x:c r="BG902" s="14"/>
      <x:c r="BH902" s="14" t="str">
        <x:v>No</x:v>
      </x:c>
      <x:c r="BI902" s="14"/>
      <x:c r="BJ902" s="14"/>
      <x:c r="BK902" s="14"/>
      <x:c r="BL902" s="14" t="str">
        <x:v>Unmatched</x:v>
      </x:c>
      <x:c r="BM902" s="14" t="str">
        <x:v>Final supplied register</x:v>
      </x:c>
      <x:c r="BN902" s="14" t="str">
        <x:v>Absence from the register is not evidence that the performer is not disabled.</x:v>
      </x:c>
      <x:c r="BO902" s="14" t="n">
        <x:v>5</x:v>
      </x:c>
      <x:c r="BP902" s="14" t="str">
        <x:v>Maximum eligible IMDb cast-credit total (5), shared by 18 performer(s); not independently verified as a 2021-only episode total.</x:v>
      </x:c>
      <x:c r="BQ902" s="14" t="str">
        <x:v>Medium</x:v>
      </x:c>
      <x:c r="BR902" s="15" t="n">
        <x:v>1</x:v>
      </x:c>
      <x:c r="BS902" s="16" t="n">
        <x:v>0.2</x:v>
      </x:c>
      <x:c r="BT902" s="14" t="str">
        <x:v>One episode</x:v>
      </x:c>
      <x:c r="BU902" s="14" t="str">
        <x:v>Medium</x:v>
      </x:c>
      <x:c r="BV902" s="14" t="str">
        <x:v>Derived from supplied IMDb episode count and the documented production-total proxy.</x:v>
      </x:c>
      <x:c r="BW902" s="14" t="str">
        <x:v>Unable to determine</x:v>
      </x:c>
      <x:c r="BX902" s="14" t="str">
        <x:v>Supplied cast data establishes the credit and episode presence but does not establish narrative prominence.</x:v>
      </x:c>
      <x:c r="BY902" s="14" t="str">
        <x:v>Supplied IMDb cast-list workbook</x:v>
      </x:c>
      <x:c r="BZ90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2" s="14" t="str">
        <x:v>Not classified</x:v>
      </x:c>
      <x:c r="CB902" s="14" t="str">
        <x:v>Unable to determine</x:v>
      </x:c>
      <x:c r="CC902" s="14" t="str">
        <x:v>Unique</x:v>
      </x:c>
      <x:c r="CD902" s="14" t="str">
        <x:v>None identified</x:v>
      </x:c>
    </x:row>
    <x:row r="903">
      <x:c r="A903" s="14" t="str">
        <x:v>tt11403434|nm6540472|pc nicholas</x:v>
      </x:c>
      <x:c r="B903" s="14" t="str">
        <x:v>03</x:v>
      </x:c>
      <x:c r="C903" s="14" t="str">
        <x:v>2021_IMDb_Cast_Lists_Batch_03(1).xlsx</x:v>
      </x:c>
      <x:c r="D903" s="14" t="str">
        <x:v>Showtrial</x:v>
      </x:c>
      <x:c r="E903" s="14" t="n">
        <x:v>82</x:v>
      </x:c>
      <x:c r="F903" s="14" t="str">
        <x:v>Showtrial</x:v>
      </x:c>
      <x:c r="G903" s="14" t="str">
        <x:v>tt11403434</x:v>
      </x:c>
      <x:c r="H903" s="14" t="n">
        <x:v>2021</x:v>
      </x:c>
      <x:c r="I903" s="14" t="n">
        <x:v>2023</x:v>
      </x:c>
      <x:c r="J903" s="14" t="str">
        <x:v>Future Carry-Forward Cohort</x:v>
      </x:c>
      <x:c r="K903" s="14" t="n">
        <x:v>2021</x:v>
      </x:c>
      <x:c r="L903" s="14" t="str">
        <x:v>Available from 2021 analysis</x:v>
      </x:c>
      <x:c r="M903" s="15" t="n">
        <x:v>75</x:v>
      </x:c>
      <x:c r="N903" s="14" t="str">
        <x:v>Stephen Bradley</x:v>
      </x:c>
      <x:c r="O903" s="14" t="str">
        <x:v>nm6540472</x:v>
      </x:c>
      <x:c r="P903" s="14" t="str">
        <x:v>PC Nicholas</x:v>
      </x:c>
      <x:c r="Q903" s="15" t="n">
        <x:v>1</x:v>
      </x:c>
      <x:c r="R903" s="14" t="str">
        <x:v>2024</x:v>
      </x:c>
      <x:c r="S903" s="14" t="n">
        <x:v>2024</x:v>
      </x:c>
      <x:c r="T903" s="14" t="n">
        <x:v>2024</x:v>
      </x:c>
      <x:c r="U903" s="14" t="str">
        <x:v>Post-2021 casting excluded</x:v>
      </x:c>
      <x:c r="V903" s="14" t="str">
        <x:v>Earliest supplied year is 2024, later than the 2021 study year.</x:v>
      </x:c>
      <x:c r="W903" s="14"/>
      <x:c r="X903" s="14" t="str">
        <x:v>Carried forward to 2024</x:v>
      </x:c>
      <x:c r="Y903" s="14"/>
      <x:c r="Z903" s="14" t="str">
        <x:v>Showtrial.docx</x:v>
      </x:c>
      <x:c r="AA90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3" s="14" t="str">
        <x:v>No established-register match</x:v>
      </x:c>
      <x:c r="AC903" s="14"/>
      <x:c r="AD903" s="14"/>
      <x:c r="AE903" s="14"/>
      <x:c r="AF903" s="14"/>
      <x:c r="AG903" s="14" t="str">
        <x:v>No qualifying conclusion recorded. Absence from the register is not evidence that the performer is not disabled.</x:v>
      </x:c>
      <x:c r="AH903" s="14" t="str">
        <x:v>BBC</x:v>
      </x:c>
      <x:c r="AI903" s="14" t="str">
        <x:v>UK original commission</x:v>
      </x:c>
      <x:c r="AJ903" s="14" t="str">
        <x:v>Exact normalised title</x:v>
      </x:c>
      <x:c r="AK903" s="14" t="str">
        <x:v>Medium</x:v>
      </x:c>
      <x:c r="AL903" s="14" t="str">
        <x:v>Verified for commissioner/platform scope; uk original commission.</x:v>
      </x:c>
      <x:c r="AM903" s="17" t="e">
        <x:f>HYPERLINK("https://en.wikipedia.org/wiki/Show_trial","Open source")</x:f>
        <x:v>HYPERLINK is not implemented. linkLocation=https://en.wikipedia.org/wiki/Show_trial, friendlyName=Open source</x:v>
      </x:c>
      <x:c r="AN903" s="14" t="str">
        <x:v>BBC public-service commission</x:v>
      </x:c>
      <x:c r="AO903" s="14" t="str">
        <x:v>Yes</x:v>
      </x:c>
      <x:c r="AP903" s="14" t="str">
        <x:v>Direct BBC public-service scope</x:v>
      </x:c>
      <x:c r="AQ903" s="14" t="str">
        <x:v>Yes</x:v>
      </x:c>
      <x:c r="AR903" s="14" t="str">
        <x:v>Resolved from master register</x:v>
      </x:c>
      <x:c r="AS903" s="14" t="str">
        <x:v>No established-register match</x:v>
      </x:c>
      <x:c r="AT903" s="14"/>
      <x:c r="AU903" s="14"/>
      <x:c r="AV903" s="14" t="str">
        <x:v>No established apparent-disability match</x:v>
      </x:c>
      <x:c r="AW903" s="14"/>
      <x:c r="AX903" s="14" t="str">
        <x:v>No</x:v>
      </x:c>
      <x:c r="AY903" s="14" t="str">
        <x:v>Unmatched</x:v>
      </x:c>
      <x:c r="AZ903" s="14" t="str">
        <x:v>Final supplied register</x:v>
      </x:c>
      <x:c r="BA903" s="14" t="str">
        <x:v>Absence from the register is not evidence that the performer is not disabled.</x:v>
      </x:c>
      <x:c r="BB903" s="14" t="str">
        <x:v>No established-register match</x:v>
      </x:c>
      <x:c r="BC903" s="14"/>
      <x:c r="BD903" s="14"/>
      <x:c r="BE903" s="14"/>
      <x:c r="BF903" s="14" t="str">
        <x:v>No established apparent-disability match</x:v>
      </x:c>
      <x:c r="BG903" s="14"/>
      <x:c r="BH903" s="14" t="str">
        <x:v>No</x:v>
      </x:c>
      <x:c r="BI903" s="14"/>
      <x:c r="BJ903" s="14"/>
      <x:c r="BK903" s="14"/>
      <x:c r="BL903" s="14" t="str">
        <x:v>Unmatched</x:v>
      </x:c>
      <x:c r="BM903" s="14" t="str">
        <x:v>Final supplied register</x:v>
      </x:c>
      <x:c r="BN903" s="14" t="str">
        <x:v>Absence from the register is not evidence that the performer is not disabled.</x:v>
      </x:c>
      <x:c r="BO903" s="14" t="n">
        <x:v>5</x:v>
      </x:c>
      <x:c r="BP903" s="14" t="str">
        <x:v>Maximum eligible IMDb cast-credit total (5), shared by 18 performer(s); not independently verified as a 2021-only episode total.</x:v>
      </x:c>
      <x:c r="BQ903" s="14" t="str">
        <x:v>Medium</x:v>
      </x:c>
      <x:c r="BR903" s="15" t="n">
        <x:v>1</x:v>
      </x:c>
      <x:c r="BS903" s="16" t="n">
        <x:v>0.2</x:v>
      </x:c>
      <x:c r="BT903" s="14" t="str">
        <x:v>One episode</x:v>
      </x:c>
      <x:c r="BU903" s="14" t="str">
        <x:v>Medium</x:v>
      </x:c>
      <x:c r="BV903" s="14" t="str">
        <x:v>Derived from supplied IMDb episode count and the documented production-total proxy.</x:v>
      </x:c>
      <x:c r="BW903" s="14" t="str">
        <x:v>Unable to determine</x:v>
      </x:c>
      <x:c r="BX903" s="14" t="str">
        <x:v>Supplied cast data establishes the credit and episode presence but does not establish narrative prominence.</x:v>
      </x:c>
      <x:c r="BY903" s="14" t="str">
        <x:v>Supplied IMDb cast-list workbook</x:v>
      </x:c>
      <x:c r="BZ90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3" s="14" t="str">
        <x:v>Not classified</x:v>
      </x:c>
      <x:c r="CB903" s="14" t="str">
        <x:v>Unable to determine</x:v>
      </x:c>
      <x:c r="CC903" s="14" t="str">
        <x:v>Unique</x:v>
      </x:c>
      <x:c r="CD903" s="14" t="str">
        <x:v>None identified</x:v>
      </x:c>
    </x:row>
    <x:row r="904">
      <x:c r="A904" s="14" t="str">
        <x:v>tt11403434|nm9121875|ceri</x:v>
      </x:c>
      <x:c r="B904" s="14" t="str">
        <x:v>03</x:v>
      </x:c>
      <x:c r="C904" s="14" t="str">
        <x:v>2021_IMDb_Cast_Lists_Batch_03(1).xlsx</x:v>
      </x:c>
      <x:c r="D904" s="14" t="str">
        <x:v>Showtrial</x:v>
      </x:c>
      <x:c r="E904" s="14" t="n">
        <x:v>84</x:v>
      </x:c>
      <x:c r="F904" s="14" t="str">
        <x:v>Showtrial</x:v>
      </x:c>
      <x:c r="G904" s="14" t="str">
        <x:v>tt11403434</x:v>
      </x:c>
      <x:c r="H904" s="14" t="n">
        <x:v>2021</x:v>
      </x:c>
      <x:c r="I904" s="14" t="n">
        <x:v>2023</x:v>
      </x:c>
      <x:c r="J904" s="14" t="str">
        <x:v>Future Carry-Forward Cohort</x:v>
      </x:c>
      <x:c r="K904" s="14" t="n">
        <x:v>2021</x:v>
      </x:c>
      <x:c r="L904" s="14" t="str">
        <x:v>Available from 2021 analysis</x:v>
      </x:c>
      <x:c r="M904" s="15" t="n">
        <x:v>77</x:v>
      </x:c>
      <x:c r="N904" s="14" t="str">
        <x:v>Jack Weise</x:v>
      </x:c>
      <x:c r="O904" s="14" t="str">
        <x:v>nm9121875</x:v>
      </x:c>
      <x:c r="P904" s="14" t="str">
        <x:v>Ceri</x:v>
      </x:c>
      <x:c r="Q904" s="15" t="n">
        <x:v>1</x:v>
      </x:c>
      <x:c r="R904" s="14" t="str">
        <x:v>2024</x:v>
      </x:c>
      <x:c r="S904" s="14" t="n">
        <x:v>2024</x:v>
      </x:c>
      <x:c r="T904" s="14" t="n">
        <x:v>2024</x:v>
      </x:c>
      <x:c r="U904" s="14" t="str">
        <x:v>Post-2021 casting excluded</x:v>
      </x:c>
      <x:c r="V904" s="14" t="str">
        <x:v>Earliest supplied year is 2024, later than the 2021 study year.</x:v>
      </x:c>
      <x:c r="W904" s="14"/>
      <x:c r="X904" s="14" t="str">
        <x:v>Carried forward to 2024</x:v>
      </x:c>
      <x:c r="Y904" s="14"/>
      <x:c r="Z904" s="14" t="str">
        <x:v>Showtrial.docx</x:v>
      </x:c>
      <x:c r="AA90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4" s="14" t="str">
        <x:v>No established-register match</x:v>
      </x:c>
      <x:c r="AC904" s="14"/>
      <x:c r="AD904" s="14"/>
      <x:c r="AE904" s="14"/>
      <x:c r="AF904" s="14"/>
      <x:c r="AG904" s="14" t="str">
        <x:v>No qualifying conclusion recorded. Absence from the register is not evidence that the performer is not disabled.</x:v>
      </x:c>
      <x:c r="AH904" s="14" t="str">
        <x:v>BBC</x:v>
      </x:c>
      <x:c r="AI904" s="14" t="str">
        <x:v>UK original commission</x:v>
      </x:c>
      <x:c r="AJ904" s="14" t="str">
        <x:v>Exact normalised title</x:v>
      </x:c>
      <x:c r="AK904" s="14" t="str">
        <x:v>Medium</x:v>
      </x:c>
      <x:c r="AL904" s="14" t="str">
        <x:v>Verified for commissioner/platform scope; uk original commission.</x:v>
      </x:c>
      <x:c r="AM904" s="17" t="e">
        <x:f>HYPERLINK("https://en.wikipedia.org/wiki/Show_trial","Open source")</x:f>
        <x:v>HYPERLINK is not implemented. linkLocation=https://en.wikipedia.org/wiki/Show_trial, friendlyName=Open source</x:v>
      </x:c>
      <x:c r="AN904" s="14" t="str">
        <x:v>BBC public-service commission</x:v>
      </x:c>
      <x:c r="AO904" s="14" t="str">
        <x:v>Yes</x:v>
      </x:c>
      <x:c r="AP904" s="14" t="str">
        <x:v>Direct BBC public-service scope</x:v>
      </x:c>
      <x:c r="AQ904" s="14" t="str">
        <x:v>Yes</x:v>
      </x:c>
      <x:c r="AR904" s="14" t="str">
        <x:v>Resolved from master register</x:v>
      </x:c>
      <x:c r="AS904" s="14" t="str">
        <x:v>No established-register match</x:v>
      </x:c>
      <x:c r="AT904" s="14"/>
      <x:c r="AU904" s="14"/>
      <x:c r="AV904" s="14" t="str">
        <x:v>No established apparent-disability match</x:v>
      </x:c>
      <x:c r="AW904" s="14"/>
      <x:c r="AX904" s="14" t="str">
        <x:v>No</x:v>
      </x:c>
      <x:c r="AY904" s="14" t="str">
        <x:v>Unmatched</x:v>
      </x:c>
      <x:c r="AZ904" s="14" t="str">
        <x:v>Final supplied register</x:v>
      </x:c>
      <x:c r="BA904" s="14" t="str">
        <x:v>Absence from the register is not evidence that the performer is not disabled.</x:v>
      </x:c>
      <x:c r="BB904" s="14" t="str">
        <x:v>No established-register match</x:v>
      </x:c>
      <x:c r="BC904" s="14"/>
      <x:c r="BD904" s="14"/>
      <x:c r="BE904" s="14"/>
      <x:c r="BF904" s="14" t="str">
        <x:v>No established apparent-disability match</x:v>
      </x:c>
      <x:c r="BG904" s="14"/>
      <x:c r="BH904" s="14" t="str">
        <x:v>No</x:v>
      </x:c>
      <x:c r="BI904" s="14"/>
      <x:c r="BJ904" s="14"/>
      <x:c r="BK904" s="14"/>
      <x:c r="BL904" s="14" t="str">
        <x:v>Unmatched</x:v>
      </x:c>
      <x:c r="BM904" s="14" t="str">
        <x:v>Final supplied register</x:v>
      </x:c>
      <x:c r="BN904" s="14" t="str">
        <x:v>Absence from the register is not evidence that the performer is not disabled.</x:v>
      </x:c>
      <x:c r="BO904" s="14" t="n">
        <x:v>5</x:v>
      </x:c>
      <x:c r="BP904" s="14" t="str">
        <x:v>Maximum eligible IMDb cast-credit total (5), shared by 18 performer(s); not independently verified as a 2021-only episode total.</x:v>
      </x:c>
      <x:c r="BQ904" s="14" t="str">
        <x:v>Medium</x:v>
      </x:c>
      <x:c r="BR904" s="15" t="n">
        <x:v>1</x:v>
      </x:c>
      <x:c r="BS904" s="16" t="n">
        <x:v>0.2</x:v>
      </x:c>
      <x:c r="BT904" s="14" t="str">
        <x:v>One episode</x:v>
      </x:c>
      <x:c r="BU904" s="14" t="str">
        <x:v>Medium</x:v>
      </x:c>
      <x:c r="BV904" s="14" t="str">
        <x:v>Derived from supplied IMDb episode count and the documented production-total proxy.</x:v>
      </x:c>
      <x:c r="BW904" s="14" t="str">
        <x:v>Unable to determine</x:v>
      </x:c>
      <x:c r="BX904" s="14" t="str">
        <x:v>Supplied cast data establishes the credit and episode presence but does not establish narrative prominence.</x:v>
      </x:c>
      <x:c r="BY904" s="14" t="str">
        <x:v>Supplied IMDb cast-list workbook</x:v>
      </x:c>
      <x:c r="BZ90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4" s="14" t="str">
        <x:v>Not classified</x:v>
      </x:c>
      <x:c r="CB904" s="14" t="str">
        <x:v>Unable to determine</x:v>
      </x:c>
      <x:c r="CC904" s="14" t="str">
        <x:v>Unique</x:v>
      </x:c>
      <x:c r="CD904" s="14" t="str">
        <x:v>None identified</x:v>
      </x:c>
    </x:row>
    <x:row r="905">
      <x:c r="A905" s="14" t="str">
        <x:v>tt11403434|nm0519832|elena norris</x:v>
      </x:c>
      <x:c r="B905" s="14" t="str">
        <x:v>03</x:v>
      </x:c>
      <x:c r="C905" s="14" t="str">
        <x:v>2021_IMDb_Cast_Lists_Batch_03(1).xlsx</x:v>
      </x:c>
      <x:c r="D905" s="14" t="str">
        <x:v>Showtrial</x:v>
      </x:c>
      <x:c r="E905" s="14" t="n">
        <x:v>87</x:v>
      </x:c>
      <x:c r="F905" s="14" t="str">
        <x:v>Showtrial</x:v>
      </x:c>
      <x:c r="G905" s="14" t="str">
        <x:v>tt11403434</x:v>
      </x:c>
      <x:c r="H905" s="14" t="n">
        <x:v>2021</x:v>
      </x:c>
      <x:c r="I905" s="14" t="n">
        <x:v>2023</x:v>
      </x:c>
      <x:c r="J905" s="14" t="str">
        <x:v>Future Carry-Forward Cohort</x:v>
      </x:c>
      <x:c r="K905" s="14" t="n">
        <x:v>2021</x:v>
      </x:c>
      <x:c r="L905" s="14" t="str">
        <x:v>Available from 2021 analysis</x:v>
      </x:c>
      <x:c r="M905" s="15" t="n">
        <x:v>80</x:v>
      </x:c>
      <x:c r="N905" s="14" t="str">
        <x:v>Monica Lopera</x:v>
      </x:c>
      <x:c r="O905" s="14" t="str">
        <x:v>nm0519832</x:v>
      </x:c>
      <x:c r="P905" s="14" t="str">
        <x:v>Elena Norris</x:v>
      </x:c>
      <x:c r="Q905" s="15" t="n">
        <x:v>1</x:v>
      </x:c>
      <x:c r="R905" s="14" t="str">
        <x:v>2024</x:v>
      </x:c>
      <x:c r="S905" s="14" t="n">
        <x:v>2024</x:v>
      </x:c>
      <x:c r="T905" s="14" t="n">
        <x:v>2024</x:v>
      </x:c>
      <x:c r="U905" s="14" t="str">
        <x:v>Post-2021 casting excluded</x:v>
      </x:c>
      <x:c r="V905" s="14" t="str">
        <x:v>Earliest supplied year is 2024, later than the 2021 study year.</x:v>
      </x:c>
      <x:c r="W905" s="14"/>
      <x:c r="X905" s="14" t="str">
        <x:v>Carried forward to 2024</x:v>
      </x:c>
      <x:c r="Y905" s="14"/>
      <x:c r="Z905" s="14" t="str">
        <x:v>Showtrial.docx</x:v>
      </x:c>
      <x:c r="AA90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5" s="14" t="str">
        <x:v>No established-register match</x:v>
      </x:c>
      <x:c r="AC905" s="14"/>
      <x:c r="AD905" s="14"/>
      <x:c r="AE905" s="14"/>
      <x:c r="AF905" s="14"/>
      <x:c r="AG905" s="14" t="str">
        <x:v>No qualifying conclusion recorded. Absence from the register is not evidence that the performer is not disabled.</x:v>
      </x:c>
      <x:c r="AH905" s="14" t="str">
        <x:v>BBC</x:v>
      </x:c>
      <x:c r="AI905" s="14" t="str">
        <x:v>UK original commission</x:v>
      </x:c>
      <x:c r="AJ905" s="14" t="str">
        <x:v>Exact normalised title</x:v>
      </x:c>
      <x:c r="AK905" s="14" t="str">
        <x:v>Medium</x:v>
      </x:c>
      <x:c r="AL905" s="14" t="str">
        <x:v>Verified for commissioner/platform scope; uk original commission.</x:v>
      </x:c>
      <x:c r="AM905" s="17" t="e">
        <x:f>HYPERLINK("https://en.wikipedia.org/wiki/Show_trial","Open source")</x:f>
        <x:v>HYPERLINK is not implemented. linkLocation=https://en.wikipedia.org/wiki/Show_trial, friendlyName=Open source</x:v>
      </x:c>
      <x:c r="AN905" s="14" t="str">
        <x:v>BBC public-service commission</x:v>
      </x:c>
      <x:c r="AO905" s="14" t="str">
        <x:v>Yes</x:v>
      </x:c>
      <x:c r="AP905" s="14" t="str">
        <x:v>Direct BBC public-service scope</x:v>
      </x:c>
      <x:c r="AQ905" s="14" t="str">
        <x:v>Yes</x:v>
      </x:c>
      <x:c r="AR905" s="14" t="str">
        <x:v>Resolved from master register</x:v>
      </x:c>
      <x:c r="AS905" s="14" t="str">
        <x:v>No established-register match</x:v>
      </x:c>
      <x:c r="AT905" s="14"/>
      <x:c r="AU905" s="14"/>
      <x:c r="AV905" s="14" t="str">
        <x:v>No established apparent-disability match</x:v>
      </x:c>
      <x:c r="AW905" s="14"/>
      <x:c r="AX905" s="14" t="str">
        <x:v>No</x:v>
      </x:c>
      <x:c r="AY905" s="14" t="str">
        <x:v>Unmatched</x:v>
      </x:c>
      <x:c r="AZ905" s="14" t="str">
        <x:v>Final supplied register</x:v>
      </x:c>
      <x:c r="BA905" s="14" t="str">
        <x:v>Absence from the register is not evidence that the performer is not disabled.</x:v>
      </x:c>
      <x:c r="BB905" s="14" t="str">
        <x:v>No established-register match</x:v>
      </x:c>
      <x:c r="BC905" s="14"/>
      <x:c r="BD905" s="14"/>
      <x:c r="BE905" s="14"/>
      <x:c r="BF905" s="14" t="str">
        <x:v>No established apparent-disability match</x:v>
      </x:c>
      <x:c r="BG905" s="14"/>
      <x:c r="BH905" s="14" t="str">
        <x:v>No</x:v>
      </x:c>
      <x:c r="BI905" s="14"/>
      <x:c r="BJ905" s="14"/>
      <x:c r="BK905" s="14"/>
      <x:c r="BL905" s="14" t="str">
        <x:v>Unmatched</x:v>
      </x:c>
      <x:c r="BM905" s="14" t="str">
        <x:v>Final supplied register</x:v>
      </x:c>
      <x:c r="BN905" s="14" t="str">
        <x:v>Absence from the register is not evidence that the performer is not disabled.</x:v>
      </x:c>
      <x:c r="BO905" s="14" t="n">
        <x:v>5</x:v>
      </x:c>
      <x:c r="BP905" s="14" t="str">
        <x:v>Maximum eligible IMDb cast-credit total (5), shared by 18 performer(s); not independently verified as a 2021-only episode total.</x:v>
      </x:c>
      <x:c r="BQ905" s="14" t="str">
        <x:v>Medium</x:v>
      </x:c>
      <x:c r="BR905" s="15" t="n">
        <x:v>1</x:v>
      </x:c>
      <x:c r="BS905" s="16" t="n">
        <x:v>0.2</x:v>
      </x:c>
      <x:c r="BT905" s="14" t="str">
        <x:v>One episode</x:v>
      </x:c>
      <x:c r="BU905" s="14" t="str">
        <x:v>Medium</x:v>
      </x:c>
      <x:c r="BV905" s="14" t="str">
        <x:v>Derived from supplied IMDb episode count and the documented production-total proxy.</x:v>
      </x:c>
      <x:c r="BW905" s="14" t="str">
        <x:v>Unable to determine</x:v>
      </x:c>
      <x:c r="BX905" s="14" t="str">
        <x:v>Supplied cast data establishes the credit and episode presence but does not establish narrative prominence.</x:v>
      </x:c>
      <x:c r="BY905" s="14" t="str">
        <x:v>Supplied IMDb cast-list workbook</x:v>
      </x:c>
      <x:c r="BZ90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5" s="14" t="str">
        <x:v>Not classified</x:v>
      </x:c>
      <x:c r="CB905" s="14" t="str">
        <x:v>Unable to determine</x:v>
      </x:c>
      <x:c r="CC905" s="14" t="str">
        <x:v>Unique</x:v>
      </x:c>
      <x:c r="CD905" s="14" t="str">
        <x:v>None identified</x:v>
      </x:c>
    </x:row>
    <x:row r="906">
      <x:c r="A906" s="14" t="str">
        <x:v>tt11403434|nm5878007|fcg activist</x:v>
      </x:c>
      <x:c r="B906" s="14" t="str">
        <x:v>03</x:v>
      </x:c>
      <x:c r="C906" s="14" t="str">
        <x:v>2021_IMDb_Cast_Lists_Batch_03(1).xlsx</x:v>
      </x:c>
      <x:c r="D906" s="14" t="str">
        <x:v>Showtrial</x:v>
      </x:c>
      <x:c r="E906" s="14" t="n">
        <x:v>88</x:v>
      </x:c>
      <x:c r="F906" s="14" t="str">
        <x:v>Showtrial</x:v>
      </x:c>
      <x:c r="G906" s="14" t="str">
        <x:v>tt11403434</x:v>
      </x:c>
      <x:c r="H906" s="14" t="n">
        <x:v>2021</x:v>
      </x:c>
      <x:c r="I906" s="14" t="n">
        <x:v>2023</x:v>
      </x:c>
      <x:c r="J906" s="14" t="str">
        <x:v>Future Carry-Forward Cohort</x:v>
      </x:c>
      <x:c r="K906" s="14" t="n">
        <x:v>2021</x:v>
      </x:c>
      <x:c r="L906" s="14" t="str">
        <x:v>Available from 2021 analysis</x:v>
      </x:c>
      <x:c r="M906" s="15" t="n">
        <x:v>81</x:v>
      </x:c>
      <x:c r="N906" s="14" t="str">
        <x:v>Miles Jovian</x:v>
      </x:c>
      <x:c r="O906" s="14" t="str">
        <x:v>nm5878007</x:v>
      </x:c>
      <x:c r="P906" s="14" t="str">
        <x:v>FCG Activist</x:v>
      </x:c>
      <x:c r="Q906" s="15" t="n">
        <x:v>1</x:v>
      </x:c>
      <x:c r="R906" s="14" t="str">
        <x:v>2024</x:v>
      </x:c>
      <x:c r="S906" s="14" t="n">
        <x:v>2024</x:v>
      </x:c>
      <x:c r="T906" s="14" t="n">
        <x:v>2024</x:v>
      </x:c>
      <x:c r="U906" s="14" t="str">
        <x:v>Post-2021 casting excluded</x:v>
      </x:c>
      <x:c r="V906" s="14" t="str">
        <x:v>Earliest supplied year is 2024, later than the 2021 study year.</x:v>
      </x:c>
      <x:c r="W906" s="14"/>
      <x:c r="X906" s="14" t="str">
        <x:v>Carried forward to 2024</x:v>
      </x:c>
      <x:c r="Y906" s="14"/>
      <x:c r="Z906" s="14" t="str">
        <x:v>Showtrial.docx</x:v>
      </x:c>
      <x:c r="AA90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6" s="14" t="str">
        <x:v>No established-register match</x:v>
      </x:c>
      <x:c r="AC906" s="14"/>
      <x:c r="AD906" s="14"/>
      <x:c r="AE906" s="14"/>
      <x:c r="AF906" s="14"/>
      <x:c r="AG906" s="14" t="str">
        <x:v>No qualifying conclusion recorded. Absence from the register is not evidence that the performer is not disabled.</x:v>
      </x:c>
      <x:c r="AH906" s="14" t="str">
        <x:v>BBC</x:v>
      </x:c>
      <x:c r="AI906" s="14" t="str">
        <x:v>UK original commission</x:v>
      </x:c>
      <x:c r="AJ906" s="14" t="str">
        <x:v>Exact normalised title</x:v>
      </x:c>
      <x:c r="AK906" s="14" t="str">
        <x:v>Medium</x:v>
      </x:c>
      <x:c r="AL906" s="14" t="str">
        <x:v>Verified for commissioner/platform scope; uk original commission.</x:v>
      </x:c>
      <x:c r="AM906" s="17" t="e">
        <x:f>HYPERLINK("https://en.wikipedia.org/wiki/Show_trial","Open source")</x:f>
        <x:v>HYPERLINK is not implemented. linkLocation=https://en.wikipedia.org/wiki/Show_trial, friendlyName=Open source</x:v>
      </x:c>
      <x:c r="AN906" s="14" t="str">
        <x:v>BBC public-service commission</x:v>
      </x:c>
      <x:c r="AO906" s="14" t="str">
        <x:v>Yes</x:v>
      </x:c>
      <x:c r="AP906" s="14" t="str">
        <x:v>Direct BBC public-service scope</x:v>
      </x:c>
      <x:c r="AQ906" s="14" t="str">
        <x:v>Yes</x:v>
      </x:c>
      <x:c r="AR906" s="14" t="str">
        <x:v>Resolved from master register</x:v>
      </x:c>
      <x:c r="AS906" s="14" t="str">
        <x:v>No established-register match</x:v>
      </x:c>
      <x:c r="AT906" s="14"/>
      <x:c r="AU906" s="14"/>
      <x:c r="AV906" s="14" t="str">
        <x:v>No established apparent-disability match</x:v>
      </x:c>
      <x:c r="AW906" s="14"/>
      <x:c r="AX906" s="14" t="str">
        <x:v>No</x:v>
      </x:c>
      <x:c r="AY906" s="14" t="str">
        <x:v>Unmatched</x:v>
      </x:c>
      <x:c r="AZ906" s="14" t="str">
        <x:v>Final supplied register</x:v>
      </x:c>
      <x:c r="BA906" s="14" t="str">
        <x:v>Absence from the register is not evidence that the performer is not disabled.</x:v>
      </x:c>
      <x:c r="BB906" s="14" t="str">
        <x:v>No established-register match</x:v>
      </x:c>
      <x:c r="BC906" s="14"/>
      <x:c r="BD906" s="14"/>
      <x:c r="BE906" s="14"/>
      <x:c r="BF906" s="14" t="str">
        <x:v>No established apparent-disability match</x:v>
      </x:c>
      <x:c r="BG906" s="14"/>
      <x:c r="BH906" s="14" t="str">
        <x:v>No</x:v>
      </x:c>
      <x:c r="BI906" s="14"/>
      <x:c r="BJ906" s="14"/>
      <x:c r="BK906" s="14"/>
      <x:c r="BL906" s="14" t="str">
        <x:v>Unmatched</x:v>
      </x:c>
      <x:c r="BM906" s="14" t="str">
        <x:v>Final supplied register</x:v>
      </x:c>
      <x:c r="BN906" s="14" t="str">
        <x:v>Absence from the register is not evidence that the performer is not disabled.</x:v>
      </x:c>
      <x:c r="BO906" s="14" t="n">
        <x:v>5</x:v>
      </x:c>
      <x:c r="BP906" s="14" t="str">
        <x:v>Maximum eligible IMDb cast-credit total (5), shared by 18 performer(s); not independently verified as a 2021-only episode total.</x:v>
      </x:c>
      <x:c r="BQ906" s="14" t="str">
        <x:v>Medium</x:v>
      </x:c>
      <x:c r="BR906" s="15" t="n">
        <x:v>1</x:v>
      </x:c>
      <x:c r="BS906" s="16" t="n">
        <x:v>0.2</x:v>
      </x:c>
      <x:c r="BT906" s="14" t="str">
        <x:v>One episode</x:v>
      </x:c>
      <x:c r="BU906" s="14" t="str">
        <x:v>Medium</x:v>
      </x:c>
      <x:c r="BV906" s="14" t="str">
        <x:v>Derived from supplied IMDb episode count and the documented production-total proxy.</x:v>
      </x:c>
      <x:c r="BW906" s="14" t="str">
        <x:v>Unable to determine</x:v>
      </x:c>
      <x:c r="BX906" s="14" t="str">
        <x:v>Supplied cast data establishes the credit and episode presence but does not establish narrative prominence.</x:v>
      </x:c>
      <x:c r="BY906" s="14" t="str">
        <x:v>Supplied IMDb cast-list workbook</x:v>
      </x:c>
      <x:c r="BZ90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6" s="14" t="str">
        <x:v>Not classified</x:v>
      </x:c>
      <x:c r="CB906" s="14" t="str">
        <x:v>Unable to determine</x:v>
      </x:c>
      <x:c r="CC906" s="14" t="str">
        <x:v>Unique</x:v>
      </x:c>
      <x:c r="CD906" s="14" t="str">
        <x:v>None identified</x:v>
      </x:c>
    </x:row>
    <x:row r="907">
      <x:c r="A907" s="14" t="str">
        <x:v>tt11403434|nm0808055|dr. towler</x:v>
      </x:c>
      <x:c r="B907" s="14" t="str">
        <x:v>03</x:v>
      </x:c>
      <x:c r="C907" s="14" t="str">
        <x:v>2021_IMDb_Cast_Lists_Batch_03(1).xlsx</x:v>
      </x:c>
      <x:c r="D907" s="14" t="str">
        <x:v>Showtrial</x:v>
      </x:c>
      <x:c r="E907" s="14" t="n">
        <x:v>90</x:v>
      </x:c>
      <x:c r="F907" s="14" t="str">
        <x:v>Showtrial</x:v>
      </x:c>
      <x:c r="G907" s="14" t="str">
        <x:v>tt11403434</x:v>
      </x:c>
      <x:c r="H907" s="14" t="n">
        <x:v>2021</x:v>
      </x:c>
      <x:c r="I907" s="14" t="n">
        <x:v>2023</x:v>
      </x:c>
      <x:c r="J907" s="14" t="str">
        <x:v>Future Carry-Forward Cohort</x:v>
      </x:c>
      <x:c r="K907" s="14" t="n">
        <x:v>2021</x:v>
      </x:c>
      <x:c r="L907" s="14" t="str">
        <x:v>Available from 2021 analysis</x:v>
      </x:c>
      <x:c r="M907" s="15" t="n">
        <x:v>83</x:v>
      </x:c>
      <x:c r="N907" s="14" t="str">
        <x:v>Dylan Smith</x:v>
      </x:c>
      <x:c r="O907" s="14" t="str">
        <x:v>nm0808055</x:v>
      </x:c>
      <x:c r="P907" s="14" t="str">
        <x:v>Dr. Towler</x:v>
      </x:c>
      <x:c r="Q907" s="15" t="n">
        <x:v>1</x:v>
      </x:c>
      <x:c r="R907" s="14" t="str">
        <x:v>2024</x:v>
      </x:c>
      <x:c r="S907" s="14" t="n">
        <x:v>2024</x:v>
      </x:c>
      <x:c r="T907" s="14" t="n">
        <x:v>2024</x:v>
      </x:c>
      <x:c r="U907" s="14" t="str">
        <x:v>Post-2021 casting excluded</x:v>
      </x:c>
      <x:c r="V907" s="14" t="str">
        <x:v>Earliest supplied year is 2024, later than the 2021 study year.</x:v>
      </x:c>
      <x:c r="W907" s="14"/>
      <x:c r="X907" s="14" t="str">
        <x:v>Carried forward to 2024</x:v>
      </x:c>
      <x:c r="Y907" s="14"/>
      <x:c r="Z907" s="14" t="str">
        <x:v>Showtrial.docx</x:v>
      </x:c>
      <x:c r="AA90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7" s="14" t="str">
        <x:v>No established-register match</x:v>
      </x:c>
      <x:c r="AC907" s="14"/>
      <x:c r="AD907" s="14"/>
      <x:c r="AE907" s="14"/>
      <x:c r="AF907" s="14"/>
      <x:c r="AG907" s="14" t="str">
        <x:v>No qualifying conclusion recorded. Absence from the register is not evidence that the performer is not disabled.</x:v>
      </x:c>
      <x:c r="AH907" s="14" t="str">
        <x:v>BBC</x:v>
      </x:c>
      <x:c r="AI907" s="14" t="str">
        <x:v>UK original commission</x:v>
      </x:c>
      <x:c r="AJ907" s="14" t="str">
        <x:v>Exact normalised title</x:v>
      </x:c>
      <x:c r="AK907" s="14" t="str">
        <x:v>Medium</x:v>
      </x:c>
      <x:c r="AL907" s="14" t="str">
        <x:v>Verified for commissioner/platform scope; uk original commission.</x:v>
      </x:c>
      <x:c r="AM907" s="17" t="e">
        <x:f>HYPERLINK("https://en.wikipedia.org/wiki/Show_trial","Open source")</x:f>
        <x:v>HYPERLINK is not implemented. linkLocation=https://en.wikipedia.org/wiki/Show_trial, friendlyName=Open source</x:v>
      </x:c>
      <x:c r="AN907" s="14" t="str">
        <x:v>BBC public-service commission</x:v>
      </x:c>
      <x:c r="AO907" s="14" t="str">
        <x:v>Yes</x:v>
      </x:c>
      <x:c r="AP907" s="14" t="str">
        <x:v>Direct BBC public-service scope</x:v>
      </x:c>
      <x:c r="AQ907" s="14" t="str">
        <x:v>Yes</x:v>
      </x:c>
      <x:c r="AR907" s="14" t="str">
        <x:v>Resolved from master register</x:v>
      </x:c>
      <x:c r="AS907" s="14" t="str">
        <x:v>No established-register match</x:v>
      </x:c>
      <x:c r="AT907" s="14"/>
      <x:c r="AU907" s="14"/>
      <x:c r="AV907" s="14" t="str">
        <x:v>No established apparent-disability match</x:v>
      </x:c>
      <x:c r="AW907" s="14"/>
      <x:c r="AX907" s="14" t="str">
        <x:v>No</x:v>
      </x:c>
      <x:c r="AY907" s="14" t="str">
        <x:v>Unmatched</x:v>
      </x:c>
      <x:c r="AZ907" s="14" t="str">
        <x:v>Final supplied register</x:v>
      </x:c>
      <x:c r="BA907" s="14" t="str">
        <x:v>Absence from the register is not evidence that the performer is not disabled.</x:v>
      </x:c>
      <x:c r="BB907" s="14" t="str">
        <x:v>No established-register match</x:v>
      </x:c>
      <x:c r="BC907" s="14"/>
      <x:c r="BD907" s="14"/>
      <x:c r="BE907" s="14"/>
      <x:c r="BF907" s="14" t="str">
        <x:v>No established apparent-disability match</x:v>
      </x:c>
      <x:c r="BG907" s="14"/>
      <x:c r="BH907" s="14" t="str">
        <x:v>No</x:v>
      </x:c>
      <x:c r="BI907" s="14"/>
      <x:c r="BJ907" s="14"/>
      <x:c r="BK907" s="14"/>
      <x:c r="BL907" s="14" t="str">
        <x:v>Unmatched</x:v>
      </x:c>
      <x:c r="BM907" s="14" t="str">
        <x:v>Final supplied register</x:v>
      </x:c>
      <x:c r="BN907" s="14" t="str">
        <x:v>Absence from the register is not evidence that the performer is not disabled.</x:v>
      </x:c>
      <x:c r="BO907" s="14" t="n">
        <x:v>5</x:v>
      </x:c>
      <x:c r="BP907" s="14" t="str">
        <x:v>Maximum eligible IMDb cast-credit total (5), shared by 18 performer(s); not independently verified as a 2021-only episode total.</x:v>
      </x:c>
      <x:c r="BQ907" s="14" t="str">
        <x:v>Medium</x:v>
      </x:c>
      <x:c r="BR907" s="15" t="n">
        <x:v>1</x:v>
      </x:c>
      <x:c r="BS907" s="16" t="n">
        <x:v>0.2</x:v>
      </x:c>
      <x:c r="BT907" s="14" t="str">
        <x:v>One episode</x:v>
      </x:c>
      <x:c r="BU907" s="14" t="str">
        <x:v>Medium</x:v>
      </x:c>
      <x:c r="BV907" s="14" t="str">
        <x:v>Derived from supplied IMDb episode count and the documented production-total proxy.</x:v>
      </x:c>
      <x:c r="BW907" s="14" t="str">
        <x:v>Unable to determine</x:v>
      </x:c>
      <x:c r="BX907" s="14" t="str">
        <x:v>Supplied cast data establishes the credit and episode presence but does not establish narrative prominence.</x:v>
      </x:c>
      <x:c r="BY907" s="14" t="str">
        <x:v>Supplied IMDb cast-list workbook</x:v>
      </x:c>
      <x:c r="BZ90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7" s="14" t="str">
        <x:v>Not classified</x:v>
      </x:c>
      <x:c r="CB907" s="14" t="str">
        <x:v>Unable to determine</x:v>
      </x:c>
      <x:c r="CC907" s="14" t="str">
        <x:v>Unique</x:v>
      </x:c>
      <x:c r="CD907" s="14" t="str">
        <x:v>None identified</x:v>
      </x:c>
    </x:row>
    <x:row r="908">
      <x:c r="A908" s="14" t="str">
        <x:v>tt11403434|nm0824868|dr. potts</x:v>
      </x:c>
      <x:c r="B908" s="14" t="str">
        <x:v>03</x:v>
      </x:c>
      <x:c r="C908" s="14" t="str">
        <x:v>2021_IMDb_Cast_Lists_Batch_03(1).xlsx</x:v>
      </x:c>
      <x:c r="D908" s="14" t="str">
        <x:v>Showtrial</x:v>
      </x:c>
      <x:c r="E908" s="14" t="n">
        <x:v>91</x:v>
      </x:c>
      <x:c r="F908" s="14" t="str">
        <x:v>Showtrial</x:v>
      </x:c>
      <x:c r="G908" s="14" t="str">
        <x:v>tt11403434</x:v>
      </x:c>
      <x:c r="H908" s="14" t="n">
        <x:v>2021</x:v>
      </x:c>
      <x:c r="I908" s="14" t="n">
        <x:v>2023</x:v>
      </x:c>
      <x:c r="J908" s="14" t="str">
        <x:v>Future Carry-Forward Cohort</x:v>
      </x:c>
      <x:c r="K908" s="14" t="n">
        <x:v>2021</x:v>
      </x:c>
      <x:c r="L908" s="14" t="str">
        <x:v>Available from 2021 analysis</x:v>
      </x:c>
      <x:c r="M908" s="15" t="n">
        <x:v>84</x:v>
      </x:c>
      <x:c r="N908" s="14" t="str">
        <x:v>Matthew Steer</x:v>
      </x:c>
      <x:c r="O908" s="14" t="str">
        <x:v>nm0824868</x:v>
      </x:c>
      <x:c r="P908" s="14" t="str">
        <x:v>Dr. Potts</x:v>
      </x:c>
      <x:c r="Q908" s="15" t="n">
        <x:v>1</x:v>
      </x:c>
      <x:c r="R908" s="14" t="str">
        <x:v>2024</x:v>
      </x:c>
      <x:c r="S908" s="14" t="n">
        <x:v>2024</x:v>
      </x:c>
      <x:c r="T908" s="14" t="n">
        <x:v>2024</x:v>
      </x:c>
      <x:c r="U908" s="14" t="str">
        <x:v>Post-2021 casting excluded</x:v>
      </x:c>
      <x:c r="V908" s="14" t="str">
        <x:v>Earliest supplied year is 2024, later than the 2021 study year.</x:v>
      </x:c>
      <x:c r="W908" s="14"/>
      <x:c r="X908" s="14" t="str">
        <x:v>Carried forward to 2024</x:v>
      </x:c>
      <x:c r="Y908" s="14"/>
      <x:c r="Z908" s="14" t="str">
        <x:v>Showtrial.docx</x:v>
      </x:c>
      <x:c r="AA90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8" s="14" t="str">
        <x:v>No established-register match</x:v>
      </x:c>
      <x:c r="AC908" s="14"/>
      <x:c r="AD908" s="14"/>
      <x:c r="AE908" s="14"/>
      <x:c r="AF908" s="14"/>
      <x:c r="AG908" s="14" t="str">
        <x:v>No qualifying conclusion recorded. Absence from the register is not evidence that the performer is not disabled.</x:v>
      </x:c>
      <x:c r="AH908" s="14" t="str">
        <x:v>BBC</x:v>
      </x:c>
      <x:c r="AI908" s="14" t="str">
        <x:v>UK original commission</x:v>
      </x:c>
      <x:c r="AJ908" s="14" t="str">
        <x:v>Exact normalised title</x:v>
      </x:c>
      <x:c r="AK908" s="14" t="str">
        <x:v>Medium</x:v>
      </x:c>
      <x:c r="AL908" s="14" t="str">
        <x:v>Verified for commissioner/platform scope; uk original commission.</x:v>
      </x:c>
      <x:c r="AM908" s="17" t="e">
        <x:f>HYPERLINK("https://en.wikipedia.org/wiki/Show_trial","Open source")</x:f>
        <x:v>HYPERLINK is not implemented. linkLocation=https://en.wikipedia.org/wiki/Show_trial, friendlyName=Open source</x:v>
      </x:c>
      <x:c r="AN908" s="14" t="str">
        <x:v>BBC public-service commission</x:v>
      </x:c>
      <x:c r="AO908" s="14" t="str">
        <x:v>Yes</x:v>
      </x:c>
      <x:c r="AP908" s="14" t="str">
        <x:v>Direct BBC public-service scope</x:v>
      </x:c>
      <x:c r="AQ908" s="14" t="str">
        <x:v>Yes</x:v>
      </x:c>
      <x:c r="AR908" s="14" t="str">
        <x:v>Resolved from master register</x:v>
      </x:c>
      <x:c r="AS908" s="14" t="str">
        <x:v>No established-register match</x:v>
      </x:c>
      <x:c r="AT908" s="14"/>
      <x:c r="AU908" s="14"/>
      <x:c r="AV908" s="14" t="str">
        <x:v>No established apparent-disability match</x:v>
      </x:c>
      <x:c r="AW908" s="14"/>
      <x:c r="AX908" s="14" t="str">
        <x:v>No</x:v>
      </x:c>
      <x:c r="AY908" s="14" t="str">
        <x:v>Unmatched</x:v>
      </x:c>
      <x:c r="AZ908" s="14" t="str">
        <x:v>Final supplied register</x:v>
      </x:c>
      <x:c r="BA908" s="14" t="str">
        <x:v>Absence from the register is not evidence that the performer is not disabled.</x:v>
      </x:c>
      <x:c r="BB908" s="14" t="str">
        <x:v>No established-register match</x:v>
      </x:c>
      <x:c r="BC908" s="14"/>
      <x:c r="BD908" s="14"/>
      <x:c r="BE908" s="14"/>
      <x:c r="BF908" s="14" t="str">
        <x:v>No established apparent-disability match</x:v>
      </x:c>
      <x:c r="BG908" s="14"/>
      <x:c r="BH908" s="14" t="str">
        <x:v>No</x:v>
      </x:c>
      <x:c r="BI908" s="14"/>
      <x:c r="BJ908" s="14"/>
      <x:c r="BK908" s="14"/>
      <x:c r="BL908" s="14" t="str">
        <x:v>Unmatched</x:v>
      </x:c>
      <x:c r="BM908" s="14" t="str">
        <x:v>Final supplied register</x:v>
      </x:c>
      <x:c r="BN908" s="14" t="str">
        <x:v>Absence from the register is not evidence that the performer is not disabled.</x:v>
      </x:c>
      <x:c r="BO908" s="14" t="n">
        <x:v>5</x:v>
      </x:c>
      <x:c r="BP908" s="14" t="str">
        <x:v>Maximum eligible IMDb cast-credit total (5), shared by 18 performer(s); not independently verified as a 2021-only episode total.</x:v>
      </x:c>
      <x:c r="BQ908" s="14" t="str">
        <x:v>Medium</x:v>
      </x:c>
      <x:c r="BR908" s="15" t="n">
        <x:v>1</x:v>
      </x:c>
      <x:c r="BS908" s="16" t="n">
        <x:v>0.2</x:v>
      </x:c>
      <x:c r="BT908" s="14" t="str">
        <x:v>One episode</x:v>
      </x:c>
      <x:c r="BU908" s="14" t="str">
        <x:v>Medium</x:v>
      </x:c>
      <x:c r="BV908" s="14" t="str">
        <x:v>Derived from supplied IMDb episode count and the documented production-total proxy.</x:v>
      </x:c>
      <x:c r="BW908" s="14" t="str">
        <x:v>Unable to determine</x:v>
      </x:c>
      <x:c r="BX908" s="14" t="str">
        <x:v>Supplied cast data establishes the credit and episode presence but does not establish narrative prominence.</x:v>
      </x:c>
      <x:c r="BY908" s="14" t="str">
        <x:v>Supplied IMDb cast-list workbook</x:v>
      </x:c>
      <x:c r="BZ90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8" s="14" t="str">
        <x:v>Not classified</x:v>
      </x:c>
      <x:c r="CB908" s="14" t="str">
        <x:v>Unable to determine</x:v>
      </x:c>
      <x:c r="CC908" s="14" t="str">
        <x:v>Unique</x:v>
      </x:c>
      <x:c r="CD908" s="14" t="str">
        <x:v>None identified</x:v>
      </x:c>
    </x:row>
    <x:row r="909">
      <x:c r="A909" s="14" t="str">
        <x:v>tt11403434|nm13543321|tv news reporter</x:v>
      </x:c>
      <x:c r="B909" s="14" t="str">
        <x:v>03</x:v>
      </x:c>
      <x:c r="C909" s="14" t="str">
        <x:v>2021_IMDb_Cast_Lists_Batch_03(1).xlsx</x:v>
      </x:c>
      <x:c r="D909" s="14" t="str">
        <x:v>Showtrial</x:v>
      </x:c>
      <x:c r="E909" s="14" t="n">
        <x:v>92</x:v>
      </x:c>
      <x:c r="F909" s="14" t="str">
        <x:v>Showtrial</x:v>
      </x:c>
      <x:c r="G909" s="14" t="str">
        <x:v>tt11403434</x:v>
      </x:c>
      <x:c r="H909" s="14" t="n">
        <x:v>2021</x:v>
      </x:c>
      <x:c r="I909" s="14" t="n">
        <x:v>2023</x:v>
      </x:c>
      <x:c r="J909" s="14" t="str">
        <x:v>Future Carry-Forward Cohort</x:v>
      </x:c>
      <x:c r="K909" s="14" t="n">
        <x:v>2021</x:v>
      </x:c>
      <x:c r="L909" s="14" t="str">
        <x:v>Available from 2021 analysis</x:v>
      </x:c>
      <x:c r="M909" s="15" t="n">
        <x:v>85</x:v>
      </x:c>
      <x:c r="N909" s="14" t="str">
        <x:v>Gary Trainor</x:v>
      </x:c>
      <x:c r="O909" s="14" t="str">
        <x:v>nm13543321</x:v>
      </x:c>
      <x:c r="P909" s="14" t="str">
        <x:v>TV News Reporter</x:v>
      </x:c>
      <x:c r="Q909" s="15" t="n">
        <x:v>1</x:v>
      </x:c>
      <x:c r="R909" s="14" t="str">
        <x:v>2024</x:v>
      </x:c>
      <x:c r="S909" s="14" t="n">
        <x:v>2024</x:v>
      </x:c>
      <x:c r="T909" s="14" t="n">
        <x:v>2024</x:v>
      </x:c>
      <x:c r="U909" s="14" t="str">
        <x:v>Post-2021 casting excluded</x:v>
      </x:c>
      <x:c r="V909" s="14" t="str">
        <x:v>Earliest supplied year is 2024, later than the 2021 study year.</x:v>
      </x:c>
      <x:c r="W909" s="14"/>
      <x:c r="X909" s="14" t="str">
        <x:v>Carried forward to 2024</x:v>
      </x:c>
      <x:c r="Y909" s="14"/>
      <x:c r="Z909" s="14" t="str">
        <x:v>Showtrial.docx</x:v>
      </x:c>
      <x:c r="AA90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9" s="14" t="str">
        <x:v>No established-register match</x:v>
      </x:c>
      <x:c r="AC909" s="14"/>
      <x:c r="AD909" s="14"/>
      <x:c r="AE909" s="14"/>
      <x:c r="AF909" s="14"/>
      <x:c r="AG909" s="14" t="str">
        <x:v>No qualifying conclusion recorded. Absence from the register is not evidence that the performer is not disabled.</x:v>
      </x:c>
      <x:c r="AH909" s="14" t="str">
        <x:v>BBC</x:v>
      </x:c>
      <x:c r="AI909" s="14" t="str">
        <x:v>UK original commission</x:v>
      </x:c>
      <x:c r="AJ909" s="14" t="str">
        <x:v>Exact normalised title</x:v>
      </x:c>
      <x:c r="AK909" s="14" t="str">
        <x:v>Medium</x:v>
      </x:c>
      <x:c r="AL909" s="14" t="str">
        <x:v>Verified for commissioner/platform scope; uk original commission.</x:v>
      </x:c>
      <x:c r="AM909" s="17" t="e">
        <x:f>HYPERLINK("https://en.wikipedia.org/wiki/Show_trial","Open source")</x:f>
        <x:v>HYPERLINK is not implemented. linkLocation=https://en.wikipedia.org/wiki/Show_trial, friendlyName=Open source</x:v>
      </x:c>
      <x:c r="AN909" s="14" t="str">
        <x:v>BBC public-service commission</x:v>
      </x:c>
      <x:c r="AO909" s="14" t="str">
        <x:v>Yes</x:v>
      </x:c>
      <x:c r="AP909" s="14" t="str">
        <x:v>Direct BBC public-service scope</x:v>
      </x:c>
      <x:c r="AQ909" s="14" t="str">
        <x:v>Yes</x:v>
      </x:c>
      <x:c r="AR909" s="14" t="str">
        <x:v>Resolved from master register</x:v>
      </x:c>
      <x:c r="AS909" s="14" t="str">
        <x:v>No established-register match</x:v>
      </x:c>
      <x:c r="AT909" s="14"/>
      <x:c r="AU909" s="14"/>
      <x:c r="AV909" s="14" t="str">
        <x:v>No established apparent-disability match</x:v>
      </x:c>
      <x:c r="AW909" s="14"/>
      <x:c r="AX909" s="14" t="str">
        <x:v>No</x:v>
      </x:c>
      <x:c r="AY909" s="14" t="str">
        <x:v>Unmatched</x:v>
      </x:c>
      <x:c r="AZ909" s="14" t="str">
        <x:v>Final supplied register</x:v>
      </x:c>
      <x:c r="BA909" s="14" t="str">
        <x:v>Absence from the register is not evidence that the performer is not disabled.</x:v>
      </x:c>
      <x:c r="BB909" s="14" t="str">
        <x:v>No established-register match</x:v>
      </x:c>
      <x:c r="BC909" s="14"/>
      <x:c r="BD909" s="14"/>
      <x:c r="BE909" s="14"/>
      <x:c r="BF909" s="14" t="str">
        <x:v>No established apparent-disability match</x:v>
      </x:c>
      <x:c r="BG909" s="14"/>
      <x:c r="BH909" s="14" t="str">
        <x:v>No</x:v>
      </x:c>
      <x:c r="BI909" s="14"/>
      <x:c r="BJ909" s="14"/>
      <x:c r="BK909" s="14"/>
      <x:c r="BL909" s="14" t="str">
        <x:v>Unmatched</x:v>
      </x:c>
      <x:c r="BM909" s="14" t="str">
        <x:v>Final supplied register</x:v>
      </x:c>
      <x:c r="BN909" s="14" t="str">
        <x:v>Absence from the register is not evidence that the performer is not disabled.</x:v>
      </x:c>
      <x:c r="BO909" s="14" t="n">
        <x:v>5</x:v>
      </x:c>
      <x:c r="BP909" s="14" t="str">
        <x:v>Maximum eligible IMDb cast-credit total (5), shared by 18 performer(s); not independently verified as a 2021-only episode total.</x:v>
      </x:c>
      <x:c r="BQ909" s="14" t="str">
        <x:v>Medium</x:v>
      </x:c>
      <x:c r="BR909" s="15" t="n">
        <x:v>1</x:v>
      </x:c>
      <x:c r="BS909" s="16" t="n">
        <x:v>0.2</x:v>
      </x:c>
      <x:c r="BT909" s="14" t="str">
        <x:v>One episode</x:v>
      </x:c>
      <x:c r="BU909" s="14" t="str">
        <x:v>Medium</x:v>
      </x:c>
      <x:c r="BV909" s="14" t="str">
        <x:v>Derived from supplied IMDb episode count and the documented production-total proxy.</x:v>
      </x:c>
      <x:c r="BW909" s="14" t="str">
        <x:v>Unable to determine</x:v>
      </x:c>
      <x:c r="BX909" s="14" t="str">
        <x:v>Supplied cast data establishes the credit and episode presence but does not establish narrative prominence.</x:v>
      </x:c>
      <x:c r="BY909" s="14" t="str">
        <x:v>Supplied IMDb cast-list workbook</x:v>
      </x:c>
      <x:c r="BZ90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9" s="14" t="str">
        <x:v>Not classified</x:v>
      </x:c>
      <x:c r="CB909" s="14" t="str">
        <x:v>Unable to determine</x:v>
      </x:c>
      <x:c r="CC909" s="14" t="str">
        <x:v>Unique</x:v>
      </x:c>
      <x:c r="CD909" s="14" t="str">
        <x:v>None identified</x:v>
      </x:c>
    </x:row>
    <x:row r="910">
      <x:c r="A910" s="14" t="str">
        <x:v>tt11403434|nm6715927|ferry terminal police officer</x:v>
      </x:c>
      <x:c r="B910" s="14" t="str">
        <x:v>03</x:v>
      </x:c>
      <x:c r="C910" s="14" t="str">
        <x:v>2021_IMDb_Cast_Lists_Batch_03(1).xlsx</x:v>
      </x:c>
      <x:c r="D910" s="14" t="str">
        <x:v>Showtrial</x:v>
      </x:c>
      <x:c r="E910" s="14" t="n">
        <x:v>95</x:v>
      </x:c>
      <x:c r="F910" s="14" t="str">
        <x:v>Showtrial</x:v>
      </x:c>
      <x:c r="G910" s="14" t="str">
        <x:v>tt11403434</x:v>
      </x:c>
      <x:c r="H910" s="14" t="n">
        <x:v>2021</x:v>
      </x:c>
      <x:c r="I910" s="14" t="n">
        <x:v>2023</x:v>
      </x:c>
      <x:c r="J910" s="14" t="str">
        <x:v>Future Carry-Forward Cohort</x:v>
      </x:c>
      <x:c r="K910" s="14" t="n">
        <x:v>2021</x:v>
      </x:c>
      <x:c r="L910" s="14" t="str">
        <x:v>Available from 2021 analysis</x:v>
      </x:c>
      <x:c r="M910" s="15" t="n">
        <x:v>88</x:v>
      </x:c>
      <x:c r="N910" s="14" t="str">
        <x:v>Francis Mezza</x:v>
      </x:c>
      <x:c r="O910" s="14" t="str">
        <x:v>nm6715927</x:v>
      </x:c>
      <x:c r="P910" s="14" t="str">
        <x:v>Ferry Terminal Police Officer</x:v>
      </x:c>
      <x:c r="Q910" s="15" t="n">
        <x:v>1</x:v>
      </x:c>
      <x:c r="R910" s="14" t="str">
        <x:v>2024</x:v>
      </x:c>
      <x:c r="S910" s="14" t="n">
        <x:v>2024</x:v>
      </x:c>
      <x:c r="T910" s="14" t="n">
        <x:v>2024</x:v>
      </x:c>
      <x:c r="U910" s="14" t="str">
        <x:v>Post-2021 casting excluded</x:v>
      </x:c>
      <x:c r="V910" s="14" t="str">
        <x:v>Earliest supplied year is 2024, later than the 2021 study year.</x:v>
      </x:c>
      <x:c r="W910" s="14"/>
      <x:c r="X910" s="14" t="str">
        <x:v>Carried forward to 2024</x:v>
      </x:c>
      <x:c r="Y910" s="14"/>
      <x:c r="Z910" s="14" t="str">
        <x:v>Showtrial.docx</x:v>
      </x:c>
      <x:c r="AA91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10" s="14" t="str">
        <x:v>No established-register match</x:v>
      </x:c>
      <x:c r="AC910" s="14"/>
      <x:c r="AD910" s="14"/>
      <x:c r="AE910" s="14"/>
      <x:c r="AF910" s="14"/>
      <x:c r="AG910" s="14" t="str">
        <x:v>No qualifying conclusion recorded. Absence from the register is not evidence that the performer is not disabled.</x:v>
      </x:c>
      <x:c r="AH910" s="14" t="str">
        <x:v>BBC</x:v>
      </x:c>
      <x:c r="AI910" s="14" t="str">
        <x:v>UK original commission</x:v>
      </x:c>
      <x:c r="AJ910" s="14" t="str">
        <x:v>Exact normalised title</x:v>
      </x:c>
      <x:c r="AK910" s="14" t="str">
        <x:v>Medium</x:v>
      </x:c>
      <x:c r="AL910" s="14" t="str">
        <x:v>Verified for commissioner/platform scope; uk original commission.</x:v>
      </x:c>
      <x:c r="AM910" s="17" t="e">
        <x:f>HYPERLINK("https://en.wikipedia.org/wiki/Show_trial","Open source")</x:f>
        <x:v>HYPERLINK is not implemented. linkLocation=https://en.wikipedia.org/wiki/Show_trial, friendlyName=Open source</x:v>
      </x:c>
      <x:c r="AN910" s="14" t="str">
        <x:v>BBC public-service commission</x:v>
      </x:c>
      <x:c r="AO910" s="14" t="str">
        <x:v>Yes</x:v>
      </x:c>
      <x:c r="AP910" s="14" t="str">
        <x:v>Direct BBC public-service scope</x:v>
      </x:c>
      <x:c r="AQ910" s="14" t="str">
        <x:v>Yes</x:v>
      </x:c>
      <x:c r="AR910" s="14" t="str">
        <x:v>Resolved from master register</x:v>
      </x:c>
      <x:c r="AS910" s="14" t="str">
        <x:v>No established-register match</x:v>
      </x:c>
      <x:c r="AT910" s="14"/>
      <x:c r="AU910" s="14"/>
      <x:c r="AV910" s="14" t="str">
        <x:v>No established apparent-disability match</x:v>
      </x:c>
      <x:c r="AW910" s="14"/>
      <x:c r="AX910" s="14" t="str">
        <x:v>No</x:v>
      </x:c>
      <x:c r="AY910" s="14" t="str">
        <x:v>Unmatched</x:v>
      </x:c>
      <x:c r="AZ910" s="14" t="str">
        <x:v>Final supplied register</x:v>
      </x:c>
      <x:c r="BA910" s="14" t="str">
        <x:v>Absence from the register is not evidence that the performer is not disabled.</x:v>
      </x:c>
      <x:c r="BB910" s="14" t="str">
        <x:v>No established-register match</x:v>
      </x:c>
      <x:c r="BC910" s="14"/>
      <x:c r="BD910" s="14"/>
      <x:c r="BE910" s="14"/>
      <x:c r="BF910" s="14" t="str">
        <x:v>No established apparent-disability match</x:v>
      </x:c>
      <x:c r="BG910" s="14"/>
      <x:c r="BH910" s="14" t="str">
        <x:v>No</x:v>
      </x:c>
      <x:c r="BI910" s="14"/>
      <x:c r="BJ910" s="14"/>
      <x:c r="BK910" s="14"/>
      <x:c r="BL910" s="14" t="str">
        <x:v>Unmatched</x:v>
      </x:c>
      <x:c r="BM910" s="14" t="str">
        <x:v>Final supplied register</x:v>
      </x:c>
      <x:c r="BN910" s="14" t="str">
        <x:v>Absence from the register is not evidence that the performer is not disabled.</x:v>
      </x:c>
      <x:c r="BO910" s="14" t="n">
        <x:v>5</x:v>
      </x:c>
      <x:c r="BP910" s="14" t="str">
        <x:v>Maximum eligible IMDb cast-credit total (5), shared by 18 performer(s); not independently verified as a 2021-only episode total.</x:v>
      </x:c>
      <x:c r="BQ910" s="14" t="str">
        <x:v>Medium</x:v>
      </x:c>
      <x:c r="BR910" s="15" t="n">
        <x:v>1</x:v>
      </x:c>
      <x:c r="BS910" s="16" t="n">
        <x:v>0.2</x:v>
      </x:c>
      <x:c r="BT910" s="14" t="str">
        <x:v>One episode</x:v>
      </x:c>
      <x:c r="BU910" s="14" t="str">
        <x:v>Medium</x:v>
      </x:c>
      <x:c r="BV910" s="14" t="str">
        <x:v>Derived from supplied IMDb episode count and the documented production-total proxy.</x:v>
      </x:c>
      <x:c r="BW910" s="14" t="str">
        <x:v>Unable to determine</x:v>
      </x:c>
      <x:c r="BX910" s="14" t="str">
        <x:v>Supplied cast data establishes the credit and episode presence but does not establish narrative prominence.</x:v>
      </x:c>
      <x:c r="BY910" s="14" t="str">
        <x:v>Supplied IMDb cast-list workbook</x:v>
      </x:c>
      <x:c r="BZ91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10" s="14" t="str">
        <x:v>Not classified</x:v>
      </x:c>
      <x:c r="CB910" s="14" t="str">
        <x:v>Unable to determine</x:v>
      </x:c>
      <x:c r="CC910" s="14" t="str">
        <x:v>Unique</x:v>
      </x:c>
      <x:c r="CD910" s="14" t="str">
        <x:v>None identified</x:v>
      </x:c>
    </x:row>
    <x:row r="911">
      <x:c r="A911" s="14" t="str">
        <x:v>tt15499118|nm3881760|john marsden</x:v>
      </x:c>
      <x:c r="B911" s="14" t="str">
        <x:v>03</x:v>
      </x:c>
      <x:c r="C911" s="14" t="str">
        <x:v>2021_IMDb_Cast_Lists_Batch_03(1).xlsx</x:v>
      </x:c>
      <x:c r="D911" s="14" t="str">
        <x:v>The Madame Blanc Mysteries</x:v>
      </x:c>
      <x:c r="E911" s="14" t="n">
        <x:v>26</x:v>
      </x:c>
      <x:c r="F911" s="14" t="str">
        <x:v>The Madame Blanc Mysteries</x:v>
      </x:c>
      <x:c r="G911" s="14" t="str">
        <x:v>tt15499118</x:v>
      </x:c>
      <x:c r="H911" s="14" t="n">
        <x:v>2021</x:v>
      </x:c>
      <x:c r="I911" s="14" t="n">
        <x:v>2023</x:v>
      </x:c>
      <x:c r="J911" s="14" t="str">
        <x:v>Future Carry-Forward Cohort</x:v>
      </x:c>
      <x:c r="K911" s="14" t="n">
        <x:v>2021</x:v>
      </x:c>
      <x:c r="L911" s="14" t="str">
        <x:v>Available from 2021 analysis</x:v>
      </x:c>
      <x:c r="M911" s="15" t="n">
        <x:v>19</x:v>
      </x:c>
      <x:c r="N911" s="14" t="str">
        <x:v>Stephen Bailey</x:v>
      </x:c>
      <x:c r="O911" s="14" t="str">
        <x:v>nm3881760</x:v>
      </x:c>
      <x:c r="P911" s="14" t="str">
        <x:v>John Marsden</x:v>
      </x:c>
      <x:c r="Q911" s="15" t="n">
        <x:v>2</x:v>
      </x:c>
      <x:c r="R911" s="14" t="str">
        <x:v>2024–2025</x:v>
      </x:c>
      <x:c r="S911" s="14" t="n">
        <x:v>2024</x:v>
      </x:c>
      <x:c r="T911" s="14" t="n">
        <x:v>2024</x:v>
      </x:c>
      <x:c r="U911" s="14" t="str">
        <x:v>Post-2021 casting excluded</x:v>
      </x:c>
      <x:c r="V911" s="14" t="str">
        <x:v>Earliest supplied year is 2024, later than the 2021 study year.</x:v>
      </x:c>
      <x:c r="W911" s="14"/>
      <x:c r="X911" s="14" t="str">
        <x:v>Carried forward to 2024</x:v>
      </x:c>
      <x:c r="Y911" s="14"/>
      <x:c r="Z911" s="14" t="str">
        <x:v>The Madame Blanc Mysteries.docx</x:v>
      </x:c>
      <x:c r="AA9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1" s="14" t="str">
        <x:v>No established-register match</x:v>
      </x:c>
      <x:c r="AC911" s="14"/>
      <x:c r="AD911" s="14"/>
      <x:c r="AE911" s="14"/>
      <x:c r="AF911" s="14"/>
      <x:c r="AG911" s="14" t="str">
        <x:v>No qualifying conclusion recorded. Absence from the register is not evidence that the performer is not disabled.</x:v>
      </x:c>
      <x:c r="AH911" s="14" t="str">
        <x:v>Channel 5 / 5</x:v>
      </x:c>
      <x:c r="AI911" s="14" t="str">
        <x:v>UK original commission</x:v>
      </x:c>
      <x:c r="AJ911" s="14" t="str">
        <x:v>Exact normalised title</x:v>
      </x:c>
      <x:c r="AK911" s="14" t="str">
        <x:v>Medium</x:v>
      </x:c>
      <x:c r="AL911" s="14" t="str">
        <x:v>Verified for commissioner/platform scope; uk original commission.</x:v>
      </x:c>
      <x:c r="AM91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1" s="14" t="str">
        <x:v>No qualifying BBC relationship</x:v>
      </x:c>
      <x:c r="AO911" s="14" t="str">
        <x:v>No</x:v>
      </x:c>
      <x:c r="AP911" s="14" t="str">
        <x:v>Out of scope</x:v>
      </x:c>
      <x:c r="AQ911" s="14" t="str">
        <x:v>No</x:v>
      </x:c>
      <x:c r="AR911" s="14" t="str">
        <x:v>Resolved from master register</x:v>
      </x:c>
      <x:c r="AS911" s="14" t="str">
        <x:v>No established-register match</x:v>
      </x:c>
      <x:c r="AT911" s="14"/>
      <x:c r="AU911" s="14"/>
      <x:c r="AV911" s="14" t="str">
        <x:v>No established apparent-disability match</x:v>
      </x:c>
      <x:c r="AW911" s="14"/>
      <x:c r="AX911" s="14" t="str">
        <x:v>No</x:v>
      </x:c>
      <x:c r="AY911" s="14" t="str">
        <x:v>Unmatched</x:v>
      </x:c>
      <x:c r="AZ911" s="14" t="str">
        <x:v>Final supplied register</x:v>
      </x:c>
      <x:c r="BA911" s="14" t="str">
        <x:v>Absence from the register is not evidence that the performer is not disabled.</x:v>
      </x:c>
      <x:c r="BB911" s="14" t="str">
        <x:v>No established-register match</x:v>
      </x:c>
      <x:c r="BC911" s="14"/>
      <x:c r="BD911" s="14"/>
      <x:c r="BE911" s="14"/>
      <x:c r="BF911" s="14" t="str">
        <x:v>No established apparent-disability match</x:v>
      </x:c>
      <x:c r="BG911" s="14"/>
      <x:c r="BH911" s="14" t="str">
        <x:v>No</x:v>
      </x:c>
      <x:c r="BI911" s="14"/>
      <x:c r="BJ911" s="14"/>
      <x:c r="BK911" s="14"/>
      <x:c r="BL911" s="14" t="str">
        <x:v>Unmatched</x:v>
      </x:c>
      <x:c r="BM911" s="14" t="str">
        <x:v>Final supplied register</x:v>
      </x:c>
      <x:c r="BN911" s="14" t="str">
        <x:v>Absence from the register is not evidence that the performer is not disabled.</x:v>
      </x:c>
      <x:c r="BO911" s="14" t="n">
        <x:v>28</x:v>
      </x:c>
      <x:c r="BP911" s="14" t="str">
        <x:v>Maximum eligible IMDb cast-credit total (28), shared by 4 performer(s); not independently verified as a 2021-only episode total.</x:v>
      </x:c>
      <x:c r="BQ911" s="14" t="str">
        <x:v>Medium</x:v>
      </x:c>
      <x:c r="BR911" s="15" t="n">
        <x:v>2</x:v>
      </x:c>
      <x:c r="BS911" s="16" t="n">
        <x:v>0.07142857142857142</x:v>
      </x:c>
      <x:c r="BT911" s="14" t="str">
        <x:v>Minority of episodes</x:v>
      </x:c>
      <x:c r="BU911" s="14" t="str">
        <x:v>Medium</x:v>
      </x:c>
      <x:c r="BV911" s="14" t="str">
        <x:v>Derived from supplied IMDb episode count and the documented production-total proxy.</x:v>
      </x:c>
      <x:c r="BW911" s="14" t="str">
        <x:v>Unable to determine</x:v>
      </x:c>
      <x:c r="BX911" s="14" t="str">
        <x:v>Supplied cast data establishes the credit and episode presence but does not establish narrative prominence.</x:v>
      </x:c>
      <x:c r="BY911" s="14" t="str">
        <x:v>Supplied IMDb cast-list workbook</x:v>
      </x:c>
      <x:c r="BZ9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1" s="14" t="str">
        <x:v>Not classified</x:v>
      </x:c>
      <x:c r="CB911" s="14" t="str">
        <x:v>Unable to determine</x:v>
      </x:c>
      <x:c r="CC911" s="14" t="str">
        <x:v>Unique</x:v>
      </x:c>
      <x:c r="CD911" s="14" t="str">
        <x:v>None identified</x:v>
      </x:c>
    </x:row>
    <x:row r="912">
      <x:c r="A912" s="14" t="str">
        <x:v>tt15499118|nm11890306|suzanne</x:v>
      </x:c>
      <x:c r="B912" s="14" t="str">
        <x:v>03</x:v>
      </x:c>
      <x:c r="C912" s="14" t="str">
        <x:v>2021_IMDb_Cast_Lists_Batch_03(1).xlsx</x:v>
      </x:c>
      <x:c r="D912" s="14" t="str">
        <x:v>The Madame Blanc Mysteries</x:v>
      </x:c>
      <x:c r="E912" s="14" t="n">
        <x:v>32</x:v>
      </x:c>
      <x:c r="F912" s="14" t="str">
        <x:v>The Madame Blanc Mysteries</x:v>
      </x:c>
      <x:c r="G912" s="14" t="str">
        <x:v>tt15499118</x:v>
      </x:c>
      <x:c r="H912" s="14" t="n">
        <x:v>2021</x:v>
      </x:c>
      <x:c r="I912" s="14" t="n">
        <x:v>2023</x:v>
      </x:c>
      <x:c r="J912" s="14" t="str">
        <x:v>Future Carry-Forward Cohort</x:v>
      </x:c>
      <x:c r="K912" s="14" t="n">
        <x:v>2021</x:v>
      </x:c>
      <x:c r="L912" s="14" t="str">
        <x:v>Available from 2021 analysis</x:v>
      </x:c>
      <x:c r="M912" s="15" t="n">
        <x:v>25</x:v>
      </x:c>
      <x:c r="N912" s="14" t="str">
        <x:v>Payal Jain Venel</x:v>
      </x:c>
      <x:c r="O912" s="14" t="str">
        <x:v>nm11890306</x:v>
      </x:c>
      <x:c r="P912" s="14" t="str">
        <x:v>Suzanne</x:v>
      </x:c>
      <x:c r="Q912" s="15" t="n">
        <x:v>2</x:v>
      </x:c>
      <x:c r="R912" s="14" t="str">
        <x:v>2024–2025</x:v>
      </x:c>
      <x:c r="S912" s="14" t="n">
        <x:v>2024</x:v>
      </x:c>
      <x:c r="T912" s="14" t="n">
        <x:v>2024</x:v>
      </x:c>
      <x:c r="U912" s="14" t="str">
        <x:v>Post-2021 casting excluded</x:v>
      </x:c>
      <x:c r="V912" s="14" t="str">
        <x:v>Earliest supplied year is 2024, later than the 2021 study year.</x:v>
      </x:c>
      <x:c r="W912" s="14"/>
      <x:c r="X912" s="14" t="str">
        <x:v>Carried forward to 2024</x:v>
      </x:c>
      <x:c r="Y912" s="14"/>
      <x:c r="Z912" s="14" t="str">
        <x:v>The Madame Blanc Mysteries.docx</x:v>
      </x:c>
      <x:c r="AA9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2" s="14" t="str">
        <x:v>No established-register match</x:v>
      </x:c>
      <x:c r="AC912" s="14"/>
      <x:c r="AD912" s="14"/>
      <x:c r="AE912" s="14"/>
      <x:c r="AF912" s="14"/>
      <x:c r="AG912" s="14" t="str">
        <x:v>No qualifying conclusion recorded. Absence from the register is not evidence that the performer is not disabled.</x:v>
      </x:c>
      <x:c r="AH912" s="14" t="str">
        <x:v>Channel 5 / 5</x:v>
      </x:c>
      <x:c r="AI912" s="14" t="str">
        <x:v>UK original commission</x:v>
      </x:c>
      <x:c r="AJ912" s="14" t="str">
        <x:v>Exact normalised title</x:v>
      </x:c>
      <x:c r="AK912" s="14" t="str">
        <x:v>Medium</x:v>
      </x:c>
      <x:c r="AL912" s="14" t="str">
        <x:v>Verified for commissioner/platform scope; uk original commission.</x:v>
      </x:c>
      <x:c r="AM91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2" s="14" t="str">
        <x:v>No qualifying BBC relationship</x:v>
      </x:c>
      <x:c r="AO912" s="14" t="str">
        <x:v>No</x:v>
      </x:c>
      <x:c r="AP912" s="14" t="str">
        <x:v>Out of scope</x:v>
      </x:c>
      <x:c r="AQ912" s="14" t="str">
        <x:v>No</x:v>
      </x:c>
      <x:c r="AR912" s="14" t="str">
        <x:v>Resolved from master register</x:v>
      </x:c>
      <x:c r="AS912" s="14" t="str">
        <x:v>No established-register match</x:v>
      </x:c>
      <x:c r="AT912" s="14"/>
      <x:c r="AU912" s="14"/>
      <x:c r="AV912" s="14" t="str">
        <x:v>No established apparent-disability match</x:v>
      </x:c>
      <x:c r="AW912" s="14"/>
      <x:c r="AX912" s="14" t="str">
        <x:v>No</x:v>
      </x:c>
      <x:c r="AY912" s="14" t="str">
        <x:v>Unmatched</x:v>
      </x:c>
      <x:c r="AZ912" s="14" t="str">
        <x:v>Final supplied register</x:v>
      </x:c>
      <x:c r="BA912" s="14" t="str">
        <x:v>Absence from the register is not evidence that the performer is not disabled.</x:v>
      </x:c>
      <x:c r="BB912" s="14" t="str">
        <x:v>No established-register match</x:v>
      </x:c>
      <x:c r="BC912" s="14"/>
      <x:c r="BD912" s="14"/>
      <x:c r="BE912" s="14"/>
      <x:c r="BF912" s="14" t="str">
        <x:v>No established apparent-disability match</x:v>
      </x:c>
      <x:c r="BG912" s="14"/>
      <x:c r="BH912" s="14" t="str">
        <x:v>No</x:v>
      </x:c>
      <x:c r="BI912" s="14"/>
      <x:c r="BJ912" s="14"/>
      <x:c r="BK912" s="14"/>
      <x:c r="BL912" s="14" t="str">
        <x:v>Unmatched</x:v>
      </x:c>
      <x:c r="BM912" s="14" t="str">
        <x:v>Final supplied register</x:v>
      </x:c>
      <x:c r="BN912" s="14" t="str">
        <x:v>Absence from the register is not evidence that the performer is not disabled.</x:v>
      </x:c>
      <x:c r="BO912" s="14" t="n">
        <x:v>28</x:v>
      </x:c>
      <x:c r="BP912" s="14" t="str">
        <x:v>Maximum eligible IMDb cast-credit total (28), shared by 4 performer(s); not independently verified as a 2021-only episode total.</x:v>
      </x:c>
      <x:c r="BQ912" s="14" t="str">
        <x:v>Medium</x:v>
      </x:c>
      <x:c r="BR912" s="15" t="n">
        <x:v>2</x:v>
      </x:c>
      <x:c r="BS912" s="16" t="n">
        <x:v>0.07142857142857142</x:v>
      </x:c>
      <x:c r="BT912" s="14" t="str">
        <x:v>Minority of episodes</x:v>
      </x:c>
      <x:c r="BU912" s="14" t="str">
        <x:v>Medium</x:v>
      </x:c>
      <x:c r="BV912" s="14" t="str">
        <x:v>Derived from supplied IMDb episode count and the documented production-total proxy.</x:v>
      </x:c>
      <x:c r="BW912" s="14" t="str">
        <x:v>Unable to determine</x:v>
      </x:c>
      <x:c r="BX912" s="14" t="str">
        <x:v>Supplied cast data establishes the credit and episode presence but does not establish narrative prominence.</x:v>
      </x:c>
      <x:c r="BY912" s="14" t="str">
        <x:v>Supplied IMDb cast-list workbook</x:v>
      </x:c>
      <x:c r="BZ9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2" s="14" t="str">
        <x:v>Not classified</x:v>
      </x:c>
      <x:c r="CB912" s="14" t="str">
        <x:v>Unable to determine</x:v>
      </x:c>
      <x:c r="CC912" s="14" t="str">
        <x:v>Unique</x:v>
      </x:c>
      <x:c r="CD912" s="14" t="str">
        <x:v>None identified</x:v>
      </x:c>
    </x:row>
    <x:row r="913">
      <x:c r="A913" s="14" t="str">
        <x:v>tt15499118|nm4802453|herve</x:v>
      </x:c>
      <x:c r="B913" s="14" t="str">
        <x:v>03</x:v>
      </x:c>
      <x:c r="C913" s="14" t="str">
        <x:v>2021_IMDb_Cast_Lists_Batch_03(1).xlsx</x:v>
      </x:c>
      <x:c r="D913" s="14" t="str">
        <x:v>The Madame Blanc Mysteries</x:v>
      </x:c>
      <x:c r="E913" s="14" t="n">
        <x:v>38</x:v>
      </x:c>
      <x:c r="F913" s="14" t="str">
        <x:v>The Madame Blanc Mysteries</x:v>
      </x:c>
      <x:c r="G913" s="14" t="str">
        <x:v>tt15499118</x:v>
      </x:c>
      <x:c r="H913" s="14" t="n">
        <x:v>2021</x:v>
      </x:c>
      <x:c r="I913" s="14" t="n">
        <x:v>2023</x:v>
      </x:c>
      <x:c r="J913" s="14" t="str">
        <x:v>Future Carry-Forward Cohort</x:v>
      </x:c>
      <x:c r="K913" s="14" t="n">
        <x:v>2021</x:v>
      </x:c>
      <x:c r="L913" s="14" t="str">
        <x:v>Available from 2021 analysis</x:v>
      </x:c>
      <x:c r="M913" s="15" t="n">
        <x:v>31</x:v>
      </x:c>
      <x:c r="N913" s="14" t="str">
        <x:v>Joe Azzopardi</x:v>
      </x:c>
      <x:c r="O913" s="14" t="str">
        <x:v>nm4802453</x:v>
      </x:c>
      <x:c r="P913" s="14" t="str">
        <x:v>Herve</x:v>
      </x:c>
      <x:c r="Q913" s="15" t="n">
        <x:v>1</x:v>
      </x:c>
      <x:c r="R913" s="14" t="str">
        <x:v>2024</x:v>
      </x:c>
      <x:c r="S913" s="14" t="n">
        <x:v>2024</x:v>
      </x:c>
      <x:c r="T913" s="14" t="n">
        <x:v>2024</x:v>
      </x:c>
      <x:c r="U913" s="14" t="str">
        <x:v>Post-2021 casting excluded</x:v>
      </x:c>
      <x:c r="V913" s="14" t="str">
        <x:v>Earliest supplied year is 2024, later than the 2021 study year.</x:v>
      </x:c>
      <x:c r="W913" s="14"/>
      <x:c r="X913" s="14" t="str">
        <x:v>Carried forward to 2024</x:v>
      </x:c>
      <x:c r="Y913" s="14"/>
      <x:c r="Z913" s="14" t="str">
        <x:v>The Madame Blanc Mysteries.docx</x:v>
      </x:c>
      <x:c r="AA9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3" s="14" t="str">
        <x:v>No established-register match</x:v>
      </x:c>
      <x:c r="AC913" s="14"/>
      <x:c r="AD913" s="14"/>
      <x:c r="AE913" s="14"/>
      <x:c r="AF913" s="14"/>
      <x:c r="AG913" s="14" t="str">
        <x:v>No qualifying conclusion recorded. Absence from the register is not evidence that the performer is not disabled.</x:v>
      </x:c>
      <x:c r="AH913" s="14" t="str">
        <x:v>Channel 5 / 5</x:v>
      </x:c>
      <x:c r="AI913" s="14" t="str">
        <x:v>UK original commission</x:v>
      </x:c>
      <x:c r="AJ913" s="14" t="str">
        <x:v>Exact normalised title</x:v>
      </x:c>
      <x:c r="AK913" s="14" t="str">
        <x:v>Medium</x:v>
      </x:c>
      <x:c r="AL913" s="14" t="str">
        <x:v>Verified for commissioner/platform scope; uk original commission.</x:v>
      </x:c>
      <x:c r="AM91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3" s="14" t="str">
        <x:v>No qualifying BBC relationship</x:v>
      </x:c>
      <x:c r="AO913" s="14" t="str">
        <x:v>No</x:v>
      </x:c>
      <x:c r="AP913" s="14" t="str">
        <x:v>Out of scope</x:v>
      </x:c>
      <x:c r="AQ913" s="14" t="str">
        <x:v>No</x:v>
      </x:c>
      <x:c r="AR913" s="14" t="str">
        <x:v>Resolved from master register</x:v>
      </x:c>
      <x:c r="AS913" s="14" t="str">
        <x:v>No established-register match</x:v>
      </x:c>
      <x:c r="AT913" s="14"/>
      <x:c r="AU913" s="14"/>
      <x:c r="AV913" s="14" t="str">
        <x:v>No established apparent-disability match</x:v>
      </x:c>
      <x:c r="AW913" s="14"/>
      <x:c r="AX913" s="14" t="str">
        <x:v>No</x:v>
      </x:c>
      <x:c r="AY913" s="14" t="str">
        <x:v>Unmatched</x:v>
      </x:c>
      <x:c r="AZ913" s="14" t="str">
        <x:v>Final supplied register</x:v>
      </x:c>
      <x:c r="BA913" s="14" t="str">
        <x:v>Absence from the register is not evidence that the performer is not disabled.</x:v>
      </x:c>
      <x:c r="BB913" s="14" t="str">
        <x:v>No established-register match</x:v>
      </x:c>
      <x:c r="BC913" s="14"/>
      <x:c r="BD913" s="14"/>
      <x:c r="BE913" s="14"/>
      <x:c r="BF913" s="14" t="str">
        <x:v>No established apparent-disability match</x:v>
      </x:c>
      <x:c r="BG913" s="14"/>
      <x:c r="BH913" s="14" t="str">
        <x:v>No</x:v>
      </x:c>
      <x:c r="BI913" s="14"/>
      <x:c r="BJ913" s="14"/>
      <x:c r="BK913" s="14"/>
      <x:c r="BL913" s="14" t="str">
        <x:v>Unmatched</x:v>
      </x:c>
      <x:c r="BM913" s="14" t="str">
        <x:v>Final supplied register</x:v>
      </x:c>
      <x:c r="BN913" s="14" t="str">
        <x:v>Absence from the register is not evidence that the performer is not disabled.</x:v>
      </x:c>
      <x:c r="BO913" s="14" t="n">
        <x:v>28</x:v>
      </x:c>
      <x:c r="BP913" s="14" t="str">
        <x:v>Maximum eligible IMDb cast-credit total (28), shared by 4 performer(s); not independently verified as a 2021-only episode total.</x:v>
      </x:c>
      <x:c r="BQ913" s="14" t="str">
        <x:v>Medium</x:v>
      </x:c>
      <x:c r="BR913" s="15" t="n">
        <x:v>1</x:v>
      </x:c>
      <x:c r="BS913" s="16" t="n">
        <x:v>0.03571428571428571</x:v>
      </x:c>
      <x:c r="BT913" s="14" t="str">
        <x:v>One episode</x:v>
      </x:c>
      <x:c r="BU913" s="14" t="str">
        <x:v>Medium</x:v>
      </x:c>
      <x:c r="BV913" s="14" t="str">
        <x:v>Derived from supplied IMDb episode count and the documented production-total proxy.</x:v>
      </x:c>
      <x:c r="BW913" s="14" t="str">
        <x:v>Unable to determine</x:v>
      </x:c>
      <x:c r="BX913" s="14" t="str">
        <x:v>Supplied cast data establishes the credit and episode presence but does not establish narrative prominence.</x:v>
      </x:c>
      <x:c r="BY913" s="14" t="str">
        <x:v>Supplied IMDb cast-list workbook</x:v>
      </x:c>
      <x:c r="BZ9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3" s="14" t="str">
        <x:v>Not classified</x:v>
      </x:c>
      <x:c r="CB913" s="14" t="str">
        <x:v>Unable to determine</x:v>
      </x:c>
      <x:c r="CC913" s="14" t="str">
        <x:v>Unique</x:v>
      </x:c>
      <x:c r="CD913" s="14" t="str">
        <x:v>None identified</x:v>
      </x:c>
    </x:row>
    <x:row r="914">
      <x:c r="A914" s="14" t="str">
        <x:v>tt15499118|nm2713969|gary</x:v>
      </x:c>
      <x:c r="B914" s="14" t="str">
        <x:v>03</x:v>
      </x:c>
      <x:c r="C914" s="14" t="str">
        <x:v>2021_IMDb_Cast_Lists_Batch_03(1).xlsx</x:v>
      </x:c>
      <x:c r="D914" s="14" t="str">
        <x:v>The Madame Blanc Mysteries</x:v>
      </x:c>
      <x:c r="E914" s="14" t="n">
        <x:v>39</x:v>
      </x:c>
      <x:c r="F914" s="14" t="str">
        <x:v>The Madame Blanc Mysteries</x:v>
      </x:c>
      <x:c r="G914" s="14" t="str">
        <x:v>tt15499118</x:v>
      </x:c>
      <x:c r="H914" s="14" t="n">
        <x:v>2021</x:v>
      </x:c>
      <x:c r="I914" s="14" t="n">
        <x:v>2023</x:v>
      </x:c>
      <x:c r="J914" s="14" t="str">
        <x:v>Future Carry-Forward Cohort</x:v>
      </x:c>
      <x:c r="K914" s="14" t="n">
        <x:v>2021</x:v>
      </x:c>
      <x:c r="L914" s="14" t="str">
        <x:v>Available from 2021 analysis</x:v>
      </x:c>
      <x:c r="M914" s="15" t="n">
        <x:v>32</x:v>
      </x:c>
      <x:c r="N914" s="14" t="str">
        <x:v>Adam Bond</x:v>
      </x:c>
      <x:c r="O914" s="14" t="str">
        <x:v>nm2713969</x:v>
      </x:c>
      <x:c r="P914" s="14" t="str">
        <x:v>Gary</x:v>
      </x:c>
      <x:c r="Q914" s="15" t="n">
        <x:v>1</x:v>
      </x:c>
      <x:c r="R914" s="14" t="str">
        <x:v>2024</x:v>
      </x:c>
      <x:c r="S914" s="14" t="n">
        <x:v>2024</x:v>
      </x:c>
      <x:c r="T914" s="14" t="n">
        <x:v>2024</x:v>
      </x:c>
      <x:c r="U914" s="14" t="str">
        <x:v>Post-2021 casting excluded</x:v>
      </x:c>
      <x:c r="V914" s="14" t="str">
        <x:v>Earliest supplied year is 2024, later than the 2021 study year.</x:v>
      </x:c>
      <x:c r="W914" s="14"/>
      <x:c r="X914" s="14" t="str">
        <x:v>Carried forward to 2024</x:v>
      </x:c>
      <x:c r="Y914" s="14"/>
      <x:c r="Z914" s="14" t="str">
        <x:v>The Madame Blanc Mysteries.docx</x:v>
      </x:c>
      <x:c r="AA9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4" s="14" t="str">
        <x:v>No established-register match</x:v>
      </x:c>
      <x:c r="AC914" s="14"/>
      <x:c r="AD914" s="14"/>
      <x:c r="AE914" s="14"/>
      <x:c r="AF914" s="14"/>
      <x:c r="AG914" s="14" t="str">
        <x:v>No qualifying conclusion recorded. Absence from the register is not evidence that the performer is not disabled.</x:v>
      </x:c>
      <x:c r="AH914" s="14" t="str">
        <x:v>Channel 5 / 5</x:v>
      </x:c>
      <x:c r="AI914" s="14" t="str">
        <x:v>UK original commission</x:v>
      </x:c>
      <x:c r="AJ914" s="14" t="str">
        <x:v>Exact normalised title</x:v>
      </x:c>
      <x:c r="AK914" s="14" t="str">
        <x:v>Medium</x:v>
      </x:c>
      <x:c r="AL914" s="14" t="str">
        <x:v>Verified for commissioner/platform scope; uk original commission.</x:v>
      </x:c>
      <x:c r="AM91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4" s="14" t="str">
        <x:v>No qualifying BBC relationship</x:v>
      </x:c>
      <x:c r="AO914" s="14" t="str">
        <x:v>No</x:v>
      </x:c>
      <x:c r="AP914" s="14" t="str">
        <x:v>Out of scope</x:v>
      </x:c>
      <x:c r="AQ914" s="14" t="str">
        <x:v>No</x:v>
      </x:c>
      <x:c r="AR914" s="14" t="str">
        <x:v>Resolved from master register</x:v>
      </x:c>
      <x:c r="AS914" s="14" t="str">
        <x:v>No established-register match</x:v>
      </x:c>
      <x:c r="AT914" s="14"/>
      <x:c r="AU914" s="14"/>
      <x:c r="AV914" s="14" t="str">
        <x:v>No established apparent-disability match</x:v>
      </x:c>
      <x:c r="AW914" s="14"/>
      <x:c r="AX914" s="14" t="str">
        <x:v>No</x:v>
      </x:c>
      <x:c r="AY914" s="14" t="str">
        <x:v>Unmatched</x:v>
      </x:c>
      <x:c r="AZ914" s="14" t="str">
        <x:v>Final supplied register</x:v>
      </x:c>
      <x:c r="BA914" s="14" t="str">
        <x:v>Absence from the register is not evidence that the performer is not disabled.</x:v>
      </x:c>
      <x:c r="BB914" s="14" t="str">
        <x:v>No established-register match</x:v>
      </x:c>
      <x:c r="BC914" s="14"/>
      <x:c r="BD914" s="14"/>
      <x:c r="BE914" s="14"/>
      <x:c r="BF914" s="14" t="str">
        <x:v>No established apparent-disability match</x:v>
      </x:c>
      <x:c r="BG914" s="14"/>
      <x:c r="BH914" s="14" t="str">
        <x:v>No</x:v>
      </x:c>
      <x:c r="BI914" s="14"/>
      <x:c r="BJ914" s="14"/>
      <x:c r="BK914" s="14"/>
      <x:c r="BL914" s="14" t="str">
        <x:v>Unmatched</x:v>
      </x:c>
      <x:c r="BM914" s="14" t="str">
        <x:v>Final supplied register</x:v>
      </x:c>
      <x:c r="BN914" s="14" t="str">
        <x:v>Absence from the register is not evidence that the performer is not disabled.</x:v>
      </x:c>
      <x:c r="BO914" s="14" t="n">
        <x:v>28</x:v>
      </x:c>
      <x:c r="BP914" s="14" t="str">
        <x:v>Maximum eligible IMDb cast-credit total (28), shared by 4 performer(s); not independently verified as a 2021-only episode total.</x:v>
      </x:c>
      <x:c r="BQ914" s="14" t="str">
        <x:v>Medium</x:v>
      </x:c>
      <x:c r="BR914" s="15" t="n">
        <x:v>1</x:v>
      </x:c>
      <x:c r="BS914" s="16" t="n">
        <x:v>0.03571428571428571</x:v>
      </x:c>
      <x:c r="BT914" s="14" t="str">
        <x:v>One episode</x:v>
      </x:c>
      <x:c r="BU914" s="14" t="str">
        <x:v>Medium</x:v>
      </x:c>
      <x:c r="BV914" s="14" t="str">
        <x:v>Derived from supplied IMDb episode count and the documented production-total proxy.</x:v>
      </x:c>
      <x:c r="BW914" s="14" t="str">
        <x:v>Unable to determine</x:v>
      </x:c>
      <x:c r="BX914" s="14" t="str">
        <x:v>Supplied cast data establishes the credit and episode presence but does not establish narrative prominence.</x:v>
      </x:c>
      <x:c r="BY914" s="14" t="str">
        <x:v>Supplied IMDb cast-list workbook</x:v>
      </x:c>
      <x:c r="BZ9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4" s="14" t="str">
        <x:v>Not classified</x:v>
      </x:c>
      <x:c r="CB914" s="14" t="str">
        <x:v>Unable to determine</x:v>
      </x:c>
      <x:c r="CC914" s="14" t="str">
        <x:v>Unique</x:v>
      </x:c>
      <x:c r="CD914" s="14" t="str">
        <x:v>None identified</x:v>
      </x:c>
    </x:row>
    <x:row r="915">
      <x:c r="A915" s="14" t="str">
        <x:v>tt15499118|nm9291602|alec auclair</x:v>
      </x:c>
      <x:c r="B915" s="14" t="str">
        <x:v>03</x:v>
      </x:c>
      <x:c r="C915" s="14" t="str">
        <x:v>2021_IMDb_Cast_Lists_Batch_03(1).xlsx</x:v>
      </x:c>
      <x:c r="D915" s="14" t="str">
        <x:v>The Madame Blanc Mysteries</x:v>
      </x:c>
      <x:c r="E915" s="14" t="n">
        <x:v>40</x:v>
      </x:c>
      <x:c r="F915" s="14" t="str">
        <x:v>The Madame Blanc Mysteries</x:v>
      </x:c>
      <x:c r="G915" s="14" t="str">
        <x:v>tt15499118</x:v>
      </x:c>
      <x:c r="H915" s="14" t="n">
        <x:v>2021</x:v>
      </x:c>
      <x:c r="I915" s="14" t="n">
        <x:v>2023</x:v>
      </x:c>
      <x:c r="J915" s="14" t="str">
        <x:v>Future Carry-Forward Cohort</x:v>
      </x:c>
      <x:c r="K915" s="14" t="n">
        <x:v>2021</x:v>
      </x:c>
      <x:c r="L915" s="14" t="str">
        <x:v>Available from 2021 analysis</x:v>
      </x:c>
      <x:c r="M915" s="15" t="n">
        <x:v>33</x:v>
      </x:c>
      <x:c r="N915" s="14" t="str">
        <x:v>Christian Scicluna</x:v>
      </x:c>
      <x:c r="O915" s="14" t="str">
        <x:v>nm9291602</x:v>
      </x:c>
      <x:c r="P915" s="14" t="str">
        <x:v>Alec Auclair</x:v>
      </x:c>
      <x:c r="Q915" s="15" t="n">
        <x:v>1</x:v>
      </x:c>
      <x:c r="R915" s="14" t="str">
        <x:v>2024</x:v>
      </x:c>
      <x:c r="S915" s="14" t="n">
        <x:v>2024</x:v>
      </x:c>
      <x:c r="T915" s="14" t="n">
        <x:v>2024</x:v>
      </x:c>
      <x:c r="U915" s="14" t="str">
        <x:v>Post-2021 casting excluded</x:v>
      </x:c>
      <x:c r="V915" s="14" t="str">
        <x:v>Earliest supplied year is 2024, later than the 2021 study year.</x:v>
      </x:c>
      <x:c r="W915" s="14"/>
      <x:c r="X915" s="14" t="str">
        <x:v>Carried forward to 2024</x:v>
      </x:c>
      <x:c r="Y915" s="14"/>
      <x:c r="Z915" s="14" t="str">
        <x:v>The Madame Blanc Mysteries.docx</x:v>
      </x:c>
      <x:c r="AA9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5" s="14" t="str">
        <x:v>No established-register match</x:v>
      </x:c>
      <x:c r="AC915" s="14"/>
      <x:c r="AD915" s="14"/>
      <x:c r="AE915" s="14"/>
      <x:c r="AF915" s="14"/>
      <x:c r="AG915" s="14" t="str">
        <x:v>No qualifying conclusion recorded. Absence from the register is not evidence that the performer is not disabled.</x:v>
      </x:c>
      <x:c r="AH915" s="14" t="str">
        <x:v>Channel 5 / 5</x:v>
      </x:c>
      <x:c r="AI915" s="14" t="str">
        <x:v>UK original commission</x:v>
      </x:c>
      <x:c r="AJ915" s="14" t="str">
        <x:v>Exact normalised title</x:v>
      </x:c>
      <x:c r="AK915" s="14" t="str">
        <x:v>Medium</x:v>
      </x:c>
      <x:c r="AL915" s="14" t="str">
        <x:v>Verified for commissioner/platform scope; uk original commission.</x:v>
      </x:c>
      <x:c r="AM91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5" s="14" t="str">
        <x:v>No qualifying BBC relationship</x:v>
      </x:c>
      <x:c r="AO915" s="14" t="str">
        <x:v>No</x:v>
      </x:c>
      <x:c r="AP915" s="14" t="str">
        <x:v>Out of scope</x:v>
      </x:c>
      <x:c r="AQ915" s="14" t="str">
        <x:v>No</x:v>
      </x:c>
      <x:c r="AR915" s="14" t="str">
        <x:v>Resolved from master register</x:v>
      </x:c>
      <x:c r="AS915" s="14" t="str">
        <x:v>No established-register match</x:v>
      </x:c>
      <x:c r="AT915" s="14"/>
      <x:c r="AU915" s="14"/>
      <x:c r="AV915" s="14" t="str">
        <x:v>No established apparent-disability match</x:v>
      </x:c>
      <x:c r="AW915" s="14"/>
      <x:c r="AX915" s="14" t="str">
        <x:v>No</x:v>
      </x:c>
      <x:c r="AY915" s="14" t="str">
        <x:v>Unmatched</x:v>
      </x:c>
      <x:c r="AZ915" s="14" t="str">
        <x:v>Final supplied register</x:v>
      </x:c>
      <x:c r="BA915" s="14" t="str">
        <x:v>Absence from the register is not evidence that the performer is not disabled.</x:v>
      </x:c>
      <x:c r="BB915" s="14" t="str">
        <x:v>No established-register match</x:v>
      </x:c>
      <x:c r="BC915" s="14"/>
      <x:c r="BD915" s="14"/>
      <x:c r="BE915" s="14"/>
      <x:c r="BF915" s="14" t="str">
        <x:v>No established apparent-disability match</x:v>
      </x:c>
      <x:c r="BG915" s="14"/>
      <x:c r="BH915" s="14" t="str">
        <x:v>No</x:v>
      </x:c>
      <x:c r="BI915" s="14"/>
      <x:c r="BJ915" s="14"/>
      <x:c r="BK915" s="14"/>
      <x:c r="BL915" s="14" t="str">
        <x:v>Unmatched</x:v>
      </x:c>
      <x:c r="BM915" s="14" t="str">
        <x:v>Final supplied register</x:v>
      </x:c>
      <x:c r="BN915" s="14" t="str">
        <x:v>Absence from the register is not evidence that the performer is not disabled.</x:v>
      </x:c>
      <x:c r="BO915" s="14" t="n">
        <x:v>28</x:v>
      </x:c>
      <x:c r="BP915" s="14" t="str">
        <x:v>Maximum eligible IMDb cast-credit total (28), shared by 4 performer(s); not independently verified as a 2021-only episode total.</x:v>
      </x:c>
      <x:c r="BQ915" s="14" t="str">
        <x:v>Medium</x:v>
      </x:c>
      <x:c r="BR915" s="15" t="n">
        <x:v>1</x:v>
      </x:c>
      <x:c r="BS915" s="16" t="n">
        <x:v>0.03571428571428571</x:v>
      </x:c>
      <x:c r="BT915" s="14" t="str">
        <x:v>One episode</x:v>
      </x:c>
      <x:c r="BU915" s="14" t="str">
        <x:v>Medium</x:v>
      </x:c>
      <x:c r="BV915" s="14" t="str">
        <x:v>Derived from supplied IMDb episode count and the documented production-total proxy.</x:v>
      </x:c>
      <x:c r="BW915" s="14" t="str">
        <x:v>Unable to determine</x:v>
      </x:c>
      <x:c r="BX915" s="14" t="str">
        <x:v>Supplied cast data establishes the credit and episode presence but does not establish narrative prominence.</x:v>
      </x:c>
      <x:c r="BY915" s="14" t="str">
        <x:v>Supplied IMDb cast-list workbook</x:v>
      </x:c>
      <x:c r="BZ9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5" s="14" t="str">
        <x:v>Not classified</x:v>
      </x:c>
      <x:c r="CB915" s="14" t="str">
        <x:v>Unable to determine</x:v>
      </x:c>
      <x:c r="CC915" s="14" t="str">
        <x:v>Unique</x:v>
      </x:c>
      <x:c r="CD915" s="14" t="str">
        <x:v>None identified</x:v>
      </x:c>
    </x:row>
    <x:row r="916">
      <x:c r="A916" s="14" t="str">
        <x:v>tt15499118|nm0041323|father thomas</x:v>
      </x:c>
      <x:c r="B916" s="14" t="str">
        <x:v>03</x:v>
      </x:c>
      <x:c r="C916" s="14" t="str">
        <x:v>2021_IMDb_Cast_Lists_Batch_03(1).xlsx</x:v>
      </x:c>
      <x:c r="D916" s="14" t="str">
        <x:v>The Madame Blanc Mysteries</x:v>
      </x:c>
      <x:c r="E916" s="14" t="n">
        <x:v>41</x:v>
      </x:c>
      <x:c r="F916" s="14" t="str">
        <x:v>The Madame Blanc Mysteries</x:v>
      </x:c>
      <x:c r="G916" s="14" t="str">
        <x:v>tt15499118</x:v>
      </x:c>
      <x:c r="H916" s="14" t="n">
        <x:v>2021</x:v>
      </x:c>
      <x:c r="I916" s="14" t="n">
        <x:v>2023</x:v>
      </x:c>
      <x:c r="J916" s="14" t="str">
        <x:v>Future Carry-Forward Cohort</x:v>
      </x:c>
      <x:c r="K916" s="14" t="n">
        <x:v>2021</x:v>
      </x:c>
      <x:c r="L916" s="14" t="str">
        <x:v>Available from 2021 analysis</x:v>
      </x:c>
      <x:c r="M916" s="15" t="n">
        <x:v>34</x:v>
      </x:c>
      <x:c r="N916" s="14" t="str">
        <x:v>Yves Aubert</x:v>
      </x:c>
      <x:c r="O916" s="14" t="str">
        <x:v>nm0041323</x:v>
      </x:c>
      <x:c r="P916" s="14" t="str">
        <x:v>Father Thomas</x:v>
      </x:c>
      <x:c r="Q916" s="15" t="n">
        <x:v>1</x:v>
      </x:c>
      <x:c r="R916" s="14" t="str">
        <x:v>2024</x:v>
      </x:c>
      <x:c r="S916" s="14" t="n">
        <x:v>2024</x:v>
      </x:c>
      <x:c r="T916" s="14" t="n">
        <x:v>2024</x:v>
      </x:c>
      <x:c r="U916" s="14" t="str">
        <x:v>Post-2021 casting excluded</x:v>
      </x:c>
      <x:c r="V916" s="14" t="str">
        <x:v>Earliest supplied year is 2024, later than the 2021 study year.</x:v>
      </x:c>
      <x:c r="W916" s="14"/>
      <x:c r="X916" s="14" t="str">
        <x:v>Carried forward to 2024</x:v>
      </x:c>
      <x:c r="Y916" s="14"/>
      <x:c r="Z916" s="14" t="str">
        <x:v>The Madame Blanc Mysteries.docx</x:v>
      </x:c>
      <x:c r="AA9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6" s="14" t="str">
        <x:v>No established-register match</x:v>
      </x:c>
      <x:c r="AC916" s="14"/>
      <x:c r="AD916" s="14"/>
      <x:c r="AE916" s="14"/>
      <x:c r="AF916" s="14"/>
      <x:c r="AG916" s="14" t="str">
        <x:v>No qualifying conclusion recorded. Absence from the register is not evidence that the performer is not disabled.</x:v>
      </x:c>
      <x:c r="AH916" s="14" t="str">
        <x:v>Channel 5 / 5</x:v>
      </x:c>
      <x:c r="AI916" s="14" t="str">
        <x:v>UK original commission</x:v>
      </x:c>
      <x:c r="AJ916" s="14" t="str">
        <x:v>Exact normalised title</x:v>
      </x:c>
      <x:c r="AK916" s="14" t="str">
        <x:v>Medium</x:v>
      </x:c>
      <x:c r="AL916" s="14" t="str">
        <x:v>Verified for commissioner/platform scope; uk original commission.</x:v>
      </x:c>
      <x:c r="AM91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6" s="14" t="str">
        <x:v>No qualifying BBC relationship</x:v>
      </x:c>
      <x:c r="AO916" s="14" t="str">
        <x:v>No</x:v>
      </x:c>
      <x:c r="AP916" s="14" t="str">
        <x:v>Out of scope</x:v>
      </x:c>
      <x:c r="AQ916" s="14" t="str">
        <x:v>No</x:v>
      </x:c>
      <x:c r="AR916" s="14" t="str">
        <x:v>Resolved from master register</x:v>
      </x:c>
      <x:c r="AS916" s="14" t="str">
        <x:v>No established-register match</x:v>
      </x:c>
      <x:c r="AT916" s="14"/>
      <x:c r="AU916" s="14"/>
      <x:c r="AV916" s="14" t="str">
        <x:v>No established apparent-disability match</x:v>
      </x:c>
      <x:c r="AW916" s="14"/>
      <x:c r="AX916" s="14" t="str">
        <x:v>No</x:v>
      </x:c>
      <x:c r="AY916" s="14" t="str">
        <x:v>Unmatched</x:v>
      </x:c>
      <x:c r="AZ916" s="14" t="str">
        <x:v>Final supplied register</x:v>
      </x:c>
      <x:c r="BA916" s="14" t="str">
        <x:v>Absence from the register is not evidence that the performer is not disabled.</x:v>
      </x:c>
      <x:c r="BB916" s="14" t="str">
        <x:v>No established-register match</x:v>
      </x:c>
      <x:c r="BC916" s="14"/>
      <x:c r="BD916" s="14"/>
      <x:c r="BE916" s="14"/>
      <x:c r="BF916" s="14" t="str">
        <x:v>No established apparent-disability match</x:v>
      </x:c>
      <x:c r="BG916" s="14"/>
      <x:c r="BH916" s="14" t="str">
        <x:v>No</x:v>
      </x:c>
      <x:c r="BI916" s="14"/>
      <x:c r="BJ916" s="14"/>
      <x:c r="BK916" s="14"/>
      <x:c r="BL916" s="14" t="str">
        <x:v>Unmatched</x:v>
      </x:c>
      <x:c r="BM916" s="14" t="str">
        <x:v>Final supplied register</x:v>
      </x:c>
      <x:c r="BN916" s="14" t="str">
        <x:v>Absence from the register is not evidence that the performer is not disabled.</x:v>
      </x:c>
      <x:c r="BO916" s="14" t="n">
        <x:v>28</x:v>
      </x:c>
      <x:c r="BP916" s="14" t="str">
        <x:v>Maximum eligible IMDb cast-credit total (28), shared by 4 performer(s); not independently verified as a 2021-only episode total.</x:v>
      </x:c>
      <x:c r="BQ916" s="14" t="str">
        <x:v>Medium</x:v>
      </x:c>
      <x:c r="BR916" s="15" t="n">
        <x:v>1</x:v>
      </x:c>
      <x:c r="BS916" s="16" t="n">
        <x:v>0.03571428571428571</x:v>
      </x:c>
      <x:c r="BT916" s="14" t="str">
        <x:v>One episode</x:v>
      </x:c>
      <x:c r="BU916" s="14" t="str">
        <x:v>Medium</x:v>
      </x:c>
      <x:c r="BV916" s="14" t="str">
        <x:v>Derived from supplied IMDb episode count and the documented production-total proxy.</x:v>
      </x:c>
      <x:c r="BW916" s="14" t="str">
        <x:v>Unable to determine</x:v>
      </x:c>
      <x:c r="BX916" s="14" t="str">
        <x:v>Supplied cast data establishes the credit and episode presence but does not establish narrative prominence.</x:v>
      </x:c>
      <x:c r="BY916" s="14" t="str">
        <x:v>Supplied IMDb cast-list workbook</x:v>
      </x:c>
      <x:c r="BZ9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6" s="14" t="str">
        <x:v>Not classified</x:v>
      </x:c>
      <x:c r="CB916" s="14" t="str">
        <x:v>Unable to determine</x:v>
      </x:c>
      <x:c r="CC916" s="14" t="str">
        <x:v>Unique</x:v>
      </x:c>
      <x:c r="CD916" s="14" t="str">
        <x:v>None identified</x:v>
      </x:c>
    </x:row>
    <x:row r="917">
      <x:c r="A917" s="14" t="str">
        <x:v>tt15499118|nm0117464|lucia</x:v>
      </x:c>
      <x:c r="B917" s="14" t="str">
        <x:v>03</x:v>
      </x:c>
      <x:c r="C917" s="14" t="str">
        <x:v>2021_IMDb_Cast_Lists_Batch_03(1).xlsx</x:v>
      </x:c>
      <x:c r="D917" s="14" t="str">
        <x:v>The Madame Blanc Mysteries</x:v>
      </x:c>
      <x:c r="E917" s="14" t="n">
        <x:v>49</x:v>
      </x:c>
      <x:c r="F917" s="14" t="str">
        <x:v>The Madame Blanc Mysteries</x:v>
      </x:c>
      <x:c r="G917" s="14" t="str">
        <x:v>tt15499118</x:v>
      </x:c>
      <x:c r="H917" s="14" t="n">
        <x:v>2021</x:v>
      </x:c>
      <x:c r="I917" s="14" t="n">
        <x:v>2023</x:v>
      </x:c>
      <x:c r="J917" s="14" t="str">
        <x:v>Future Carry-Forward Cohort</x:v>
      </x:c>
      <x:c r="K917" s="14" t="n">
        <x:v>2021</x:v>
      </x:c>
      <x:c r="L917" s="14" t="str">
        <x:v>Available from 2021 analysis</x:v>
      </x:c>
      <x:c r="M917" s="15" t="n">
        <x:v>42</x:v>
      </x:c>
      <x:c r="N917" s="14" t="str">
        <x:v>Karen Bryson</x:v>
      </x:c>
      <x:c r="O917" s="14" t="str">
        <x:v>nm0117464</x:v>
      </x:c>
      <x:c r="P917" s="14" t="str">
        <x:v>Lucia</x:v>
      </x:c>
      <x:c r="Q917" s="15" t="n">
        <x:v>1</x:v>
      </x:c>
      <x:c r="R917" s="14" t="str">
        <x:v>2024</x:v>
      </x:c>
      <x:c r="S917" s="14" t="n">
        <x:v>2024</x:v>
      </x:c>
      <x:c r="T917" s="14" t="n">
        <x:v>2024</x:v>
      </x:c>
      <x:c r="U917" s="14" t="str">
        <x:v>Post-2021 casting excluded</x:v>
      </x:c>
      <x:c r="V917" s="14" t="str">
        <x:v>Earliest supplied year is 2024, later than the 2021 study year.</x:v>
      </x:c>
      <x:c r="W917" s="14"/>
      <x:c r="X917" s="14" t="str">
        <x:v>Carried forward to 2024</x:v>
      </x:c>
      <x:c r="Y917" s="14"/>
      <x:c r="Z917" s="14" t="str">
        <x:v>The Madame Blanc Mysteries.docx</x:v>
      </x:c>
      <x:c r="AA9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7" s="14" t="str">
        <x:v>No established-register match</x:v>
      </x:c>
      <x:c r="AC917" s="14"/>
      <x:c r="AD917" s="14"/>
      <x:c r="AE917" s="14"/>
      <x:c r="AF917" s="14"/>
      <x:c r="AG917" s="14" t="str">
        <x:v>No qualifying conclusion recorded. Absence from the register is not evidence that the performer is not disabled.</x:v>
      </x:c>
      <x:c r="AH917" s="14" t="str">
        <x:v>Channel 5 / 5</x:v>
      </x:c>
      <x:c r="AI917" s="14" t="str">
        <x:v>UK original commission</x:v>
      </x:c>
      <x:c r="AJ917" s="14" t="str">
        <x:v>Exact normalised title</x:v>
      </x:c>
      <x:c r="AK917" s="14" t="str">
        <x:v>Medium</x:v>
      </x:c>
      <x:c r="AL917" s="14" t="str">
        <x:v>Verified for commissioner/platform scope; uk original commission.</x:v>
      </x:c>
      <x:c r="AM91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7" s="14" t="str">
        <x:v>No qualifying BBC relationship</x:v>
      </x:c>
      <x:c r="AO917" s="14" t="str">
        <x:v>No</x:v>
      </x:c>
      <x:c r="AP917" s="14" t="str">
        <x:v>Out of scope</x:v>
      </x:c>
      <x:c r="AQ917" s="14" t="str">
        <x:v>No</x:v>
      </x:c>
      <x:c r="AR917" s="14" t="str">
        <x:v>Resolved from master register</x:v>
      </x:c>
      <x:c r="AS917" s="14" t="str">
        <x:v>No established-register match</x:v>
      </x:c>
      <x:c r="AT917" s="14"/>
      <x:c r="AU917" s="14"/>
      <x:c r="AV917" s="14" t="str">
        <x:v>No established apparent-disability match</x:v>
      </x:c>
      <x:c r="AW917" s="14"/>
      <x:c r="AX917" s="14" t="str">
        <x:v>No</x:v>
      </x:c>
      <x:c r="AY917" s="14" t="str">
        <x:v>Unmatched</x:v>
      </x:c>
      <x:c r="AZ917" s="14" t="str">
        <x:v>Final supplied register</x:v>
      </x:c>
      <x:c r="BA917" s="14" t="str">
        <x:v>Absence from the register is not evidence that the performer is not disabled.</x:v>
      </x:c>
      <x:c r="BB917" s="14" t="str">
        <x:v>No established-register match</x:v>
      </x:c>
      <x:c r="BC917" s="14"/>
      <x:c r="BD917" s="14"/>
      <x:c r="BE917" s="14"/>
      <x:c r="BF917" s="14" t="str">
        <x:v>No established apparent-disability match</x:v>
      </x:c>
      <x:c r="BG917" s="14"/>
      <x:c r="BH917" s="14" t="str">
        <x:v>No</x:v>
      </x:c>
      <x:c r="BI917" s="14"/>
      <x:c r="BJ917" s="14"/>
      <x:c r="BK917" s="14"/>
      <x:c r="BL917" s="14" t="str">
        <x:v>Unmatched</x:v>
      </x:c>
      <x:c r="BM917" s="14" t="str">
        <x:v>Final supplied register</x:v>
      </x:c>
      <x:c r="BN917" s="14" t="str">
        <x:v>Absence from the register is not evidence that the performer is not disabled.</x:v>
      </x:c>
      <x:c r="BO917" s="14" t="n">
        <x:v>28</x:v>
      </x:c>
      <x:c r="BP917" s="14" t="str">
        <x:v>Maximum eligible IMDb cast-credit total (28), shared by 4 performer(s); not independently verified as a 2021-only episode total.</x:v>
      </x:c>
      <x:c r="BQ917" s="14" t="str">
        <x:v>Medium</x:v>
      </x:c>
      <x:c r="BR917" s="15" t="n">
        <x:v>1</x:v>
      </x:c>
      <x:c r="BS917" s="16" t="n">
        <x:v>0.03571428571428571</x:v>
      </x:c>
      <x:c r="BT917" s="14" t="str">
        <x:v>One episode</x:v>
      </x:c>
      <x:c r="BU917" s="14" t="str">
        <x:v>Medium</x:v>
      </x:c>
      <x:c r="BV917" s="14" t="str">
        <x:v>Derived from supplied IMDb episode count and the documented production-total proxy.</x:v>
      </x:c>
      <x:c r="BW917" s="14" t="str">
        <x:v>Unable to determine</x:v>
      </x:c>
      <x:c r="BX917" s="14" t="str">
        <x:v>Supplied cast data establishes the credit and episode presence but does not establish narrative prominence.</x:v>
      </x:c>
      <x:c r="BY917" s="14" t="str">
        <x:v>Supplied IMDb cast-list workbook</x:v>
      </x:c>
      <x:c r="BZ9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7" s="14" t="str">
        <x:v>Not classified</x:v>
      </x:c>
      <x:c r="CB917" s="14" t="str">
        <x:v>Unable to determine</x:v>
      </x:c>
      <x:c r="CC917" s="14" t="str">
        <x:v>Unique</x:v>
      </x:c>
      <x:c r="CD917" s="14" t="str">
        <x:v>None identified</x:v>
      </x:c>
    </x:row>
    <x:row r="918">
      <x:c r="A918" s="14" t="str">
        <x:v>tt15499118|nm0235206|frederick delise</x:v>
      </x:c>
      <x:c r="B918" s="14" t="str">
        <x:v>03</x:v>
      </x:c>
      <x:c r="C918" s="14" t="str">
        <x:v>2021_IMDb_Cast_Lists_Batch_03(1).xlsx</x:v>
      </x:c>
      <x:c r="D918" s="14" t="str">
        <x:v>The Madame Blanc Mysteries</x:v>
      </x:c>
      <x:c r="E918" s="14" t="n">
        <x:v>50</x:v>
      </x:c>
      <x:c r="F918" s="14" t="str">
        <x:v>The Madame Blanc Mysteries</x:v>
      </x:c>
      <x:c r="G918" s="14" t="str">
        <x:v>tt15499118</x:v>
      </x:c>
      <x:c r="H918" s="14" t="n">
        <x:v>2021</x:v>
      </x:c>
      <x:c r="I918" s="14" t="n">
        <x:v>2023</x:v>
      </x:c>
      <x:c r="J918" s="14" t="str">
        <x:v>Future Carry-Forward Cohort</x:v>
      </x:c>
      <x:c r="K918" s="14" t="n">
        <x:v>2021</x:v>
      </x:c>
      <x:c r="L918" s="14" t="str">
        <x:v>Available from 2021 analysis</x:v>
      </x:c>
      <x:c r="M918" s="15" t="n">
        <x:v>43</x:v>
      </x:c>
      <x:c r="N918" s="14" t="str">
        <x:v>Pavel Douglas</x:v>
      </x:c>
      <x:c r="O918" s="14" t="str">
        <x:v>nm0235206</x:v>
      </x:c>
      <x:c r="P918" s="14" t="str">
        <x:v>Frederick Delise</x:v>
      </x:c>
      <x:c r="Q918" s="15" t="n">
        <x:v>1</x:v>
      </x:c>
      <x:c r="R918" s="14" t="str">
        <x:v>2024</x:v>
      </x:c>
      <x:c r="S918" s="14" t="n">
        <x:v>2024</x:v>
      </x:c>
      <x:c r="T918" s="14" t="n">
        <x:v>2024</x:v>
      </x:c>
      <x:c r="U918" s="14" t="str">
        <x:v>Post-2021 casting excluded</x:v>
      </x:c>
      <x:c r="V918" s="14" t="str">
        <x:v>Earliest supplied year is 2024, later than the 2021 study year.</x:v>
      </x:c>
      <x:c r="W918" s="14"/>
      <x:c r="X918" s="14" t="str">
        <x:v>Carried forward to 2024</x:v>
      </x:c>
      <x:c r="Y918" s="14"/>
      <x:c r="Z918" s="14" t="str">
        <x:v>The Madame Blanc Mysteries.docx</x:v>
      </x:c>
      <x:c r="AA9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8" s="14" t="str">
        <x:v>No established-register match</x:v>
      </x:c>
      <x:c r="AC918" s="14"/>
      <x:c r="AD918" s="14"/>
      <x:c r="AE918" s="14"/>
      <x:c r="AF918" s="14"/>
      <x:c r="AG918" s="14" t="str">
        <x:v>No qualifying conclusion recorded. Absence from the register is not evidence that the performer is not disabled.</x:v>
      </x:c>
      <x:c r="AH918" s="14" t="str">
        <x:v>Channel 5 / 5</x:v>
      </x:c>
      <x:c r="AI918" s="14" t="str">
        <x:v>UK original commission</x:v>
      </x:c>
      <x:c r="AJ918" s="14" t="str">
        <x:v>Exact normalised title</x:v>
      </x:c>
      <x:c r="AK918" s="14" t="str">
        <x:v>Medium</x:v>
      </x:c>
      <x:c r="AL918" s="14" t="str">
        <x:v>Verified for commissioner/platform scope; uk original commission.</x:v>
      </x:c>
      <x:c r="AM91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8" s="14" t="str">
        <x:v>No qualifying BBC relationship</x:v>
      </x:c>
      <x:c r="AO918" s="14" t="str">
        <x:v>No</x:v>
      </x:c>
      <x:c r="AP918" s="14" t="str">
        <x:v>Out of scope</x:v>
      </x:c>
      <x:c r="AQ918" s="14" t="str">
        <x:v>No</x:v>
      </x:c>
      <x:c r="AR918" s="14" t="str">
        <x:v>Resolved from master register</x:v>
      </x:c>
      <x:c r="AS918" s="14" t="str">
        <x:v>No established-register match</x:v>
      </x:c>
      <x:c r="AT918" s="14"/>
      <x:c r="AU918" s="14"/>
      <x:c r="AV918" s="14" t="str">
        <x:v>No established apparent-disability match</x:v>
      </x:c>
      <x:c r="AW918" s="14"/>
      <x:c r="AX918" s="14" t="str">
        <x:v>No</x:v>
      </x:c>
      <x:c r="AY918" s="14" t="str">
        <x:v>Unmatched</x:v>
      </x:c>
      <x:c r="AZ918" s="14" t="str">
        <x:v>Final supplied register</x:v>
      </x:c>
      <x:c r="BA918" s="14" t="str">
        <x:v>Absence from the register is not evidence that the performer is not disabled.</x:v>
      </x:c>
      <x:c r="BB918" s="14" t="str">
        <x:v>No established-register match</x:v>
      </x:c>
      <x:c r="BC918" s="14"/>
      <x:c r="BD918" s="14"/>
      <x:c r="BE918" s="14"/>
      <x:c r="BF918" s="14" t="str">
        <x:v>No established apparent-disability match</x:v>
      </x:c>
      <x:c r="BG918" s="14"/>
      <x:c r="BH918" s="14" t="str">
        <x:v>No</x:v>
      </x:c>
      <x:c r="BI918" s="14"/>
      <x:c r="BJ918" s="14"/>
      <x:c r="BK918" s="14"/>
      <x:c r="BL918" s="14" t="str">
        <x:v>Unmatched</x:v>
      </x:c>
      <x:c r="BM918" s="14" t="str">
        <x:v>Final supplied register</x:v>
      </x:c>
      <x:c r="BN918" s="14" t="str">
        <x:v>Absence from the register is not evidence that the performer is not disabled.</x:v>
      </x:c>
      <x:c r="BO918" s="14" t="n">
        <x:v>28</x:v>
      </x:c>
      <x:c r="BP918" s="14" t="str">
        <x:v>Maximum eligible IMDb cast-credit total (28), shared by 4 performer(s); not independently verified as a 2021-only episode total.</x:v>
      </x:c>
      <x:c r="BQ918" s="14" t="str">
        <x:v>Medium</x:v>
      </x:c>
      <x:c r="BR918" s="15" t="n">
        <x:v>1</x:v>
      </x:c>
      <x:c r="BS918" s="16" t="n">
        <x:v>0.03571428571428571</x:v>
      </x:c>
      <x:c r="BT918" s="14" t="str">
        <x:v>One episode</x:v>
      </x:c>
      <x:c r="BU918" s="14" t="str">
        <x:v>Medium</x:v>
      </x:c>
      <x:c r="BV918" s="14" t="str">
        <x:v>Derived from supplied IMDb episode count and the documented production-total proxy.</x:v>
      </x:c>
      <x:c r="BW918" s="14" t="str">
        <x:v>Unable to determine</x:v>
      </x:c>
      <x:c r="BX918" s="14" t="str">
        <x:v>Supplied cast data establishes the credit and episode presence but does not establish narrative prominence.</x:v>
      </x:c>
      <x:c r="BY918" s="14" t="str">
        <x:v>Supplied IMDb cast-list workbook</x:v>
      </x:c>
      <x:c r="BZ9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8" s="14" t="str">
        <x:v>Not classified</x:v>
      </x:c>
      <x:c r="CB918" s="14" t="str">
        <x:v>Unable to determine</x:v>
      </x:c>
      <x:c r="CC918" s="14" t="str">
        <x:v>Unique</x:v>
      </x:c>
      <x:c r="CD918" s="14" t="str">
        <x:v>None identified</x:v>
      </x:c>
    </x:row>
    <x:row r="919">
      <x:c r="A919" s="14" t="str">
        <x:v>tt15499118|nm3027700|peter</x:v>
      </x:c>
      <x:c r="B919" s="14" t="str">
        <x:v>03</x:v>
      </x:c>
      <x:c r="C919" s="14" t="str">
        <x:v>2021_IMDb_Cast_Lists_Batch_03(1).xlsx</x:v>
      </x:c>
      <x:c r="D919" s="14" t="str">
        <x:v>The Madame Blanc Mysteries</x:v>
      </x:c>
      <x:c r="E919" s="14" t="n">
        <x:v>51</x:v>
      </x:c>
      <x:c r="F919" s="14" t="str">
        <x:v>The Madame Blanc Mysteries</x:v>
      </x:c>
      <x:c r="G919" s="14" t="str">
        <x:v>tt15499118</x:v>
      </x:c>
      <x:c r="H919" s="14" t="n">
        <x:v>2021</x:v>
      </x:c>
      <x:c r="I919" s="14" t="n">
        <x:v>2023</x:v>
      </x:c>
      <x:c r="J919" s="14" t="str">
        <x:v>Future Carry-Forward Cohort</x:v>
      </x:c>
      <x:c r="K919" s="14" t="n">
        <x:v>2021</x:v>
      </x:c>
      <x:c r="L919" s="14" t="str">
        <x:v>Available from 2021 analysis</x:v>
      </x:c>
      <x:c r="M919" s="15" t="n">
        <x:v>44</x:v>
      </x:c>
      <x:c r="N919" s="14" t="str">
        <x:v>Simon Bubb</x:v>
      </x:c>
      <x:c r="O919" s="14" t="str">
        <x:v>nm3027700</x:v>
      </x:c>
      <x:c r="P919" s="14" t="str">
        <x:v>Peter</x:v>
      </x:c>
      <x:c r="Q919" s="15" t="n">
        <x:v>1</x:v>
      </x:c>
      <x:c r="R919" s="14" t="str">
        <x:v>2024</x:v>
      </x:c>
      <x:c r="S919" s="14" t="n">
        <x:v>2024</x:v>
      </x:c>
      <x:c r="T919" s="14" t="n">
        <x:v>2024</x:v>
      </x:c>
      <x:c r="U919" s="14" t="str">
        <x:v>Post-2021 casting excluded</x:v>
      </x:c>
      <x:c r="V919" s="14" t="str">
        <x:v>Earliest supplied year is 2024, later than the 2021 study year.</x:v>
      </x:c>
      <x:c r="W919" s="14"/>
      <x:c r="X919" s="14" t="str">
        <x:v>Carried forward to 2024</x:v>
      </x:c>
      <x:c r="Y919" s="14"/>
      <x:c r="Z919" s="14" t="str">
        <x:v>The Madame Blanc Mysteries.docx</x:v>
      </x:c>
      <x:c r="AA9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9" s="14" t="str">
        <x:v>No established-register match</x:v>
      </x:c>
      <x:c r="AC919" s="14"/>
      <x:c r="AD919" s="14"/>
      <x:c r="AE919" s="14"/>
      <x:c r="AF919" s="14"/>
      <x:c r="AG919" s="14" t="str">
        <x:v>No qualifying conclusion recorded. Absence from the register is not evidence that the performer is not disabled.</x:v>
      </x:c>
      <x:c r="AH919" s="14" t="str">
        <x:v>Channel 5 / 5</x:v>
      </x:c>
      <x:c r="AI919" s="14" t="str">
        <x:v>UK original commission</x:v>
      </x:c>
      <x:c r="AJ919" s="14" t="str">
        <x:v>Exact normalised title</x:v>
      </x:c>
      <x:c r="AK919" s="14" t="str">
        <x:v>Medium</x:v>
      </x:c>
      <x:c r="AL919" s="14" t="str">
        <x:v>Verified for commissioner/platform scope; uk original commission.</x:v>
      </x:c>
      <x:c r="AM91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9" s="14" t="str">
        <x:v>No qualifying BBC relationship</x:v>
      </x:c>
      <x:c r="AO919" s="14" t="str">
        <x:v>No</x:v>
      </x:c>
      <x:c r="AP919" s="14" t="str">
        <x:v>Out of scope</x:v>
      </x:c>
      <x:c r="AQ919" s="14" t="str">
        <x:v>No</x:v>
      </x:c>
      <x:c r="AR919" s="14" t="str">
        <x:v>Resolved from master register</x:v>
      </x:c>
      <x:c r="AS919" s="14" t="str">
        <x:v>No established-register match</x:v>
      </x:c>
      <x:c r="AT919" s="14"/>
      <x:c r="AU919" s="14"/>
      <x:c r="AV919" s="14" t="str">
        <x:v>No established apparent-disability match</x:v>
      </x:c>
      <x:c r="AW919" s="14"/>
      <x:c r="AX919" s="14" t="str">
        <x:v>No</x:v>
      </x:c>
      <x:c r="AY919" s="14" t="str">
        <x:v>Unmatched</x:v>
      </x:c>
      <x:c r="AZ919" s="14" t="str">
        <x:v>Final supplied register</x:v>
      </x:c>
      <x:c r="BA919" s="14" t="str">
        <x:v>Absence from the register is not evidence that the performer is not disabled.</x:v>
      </x:c>
      <x:c r="BB919" s="14" t="str">
        <x:v>No established-register match</x:v>
      </x:c>
      <x:c r="BC919" s="14"/>
      <x:c r="BD919" s="14"/>
      <x:c r="BE919" s="14"/>
      <x:c r="BF919" s="14" t="str">
        <x:v>No established apparent-disability match</x:v>
      </x:c>
      <x:c r="BG919" s="14"/>
      <x:c r="BH919" s="14" t="str">
        <x:v>No</x:v>
      </x:c>
      <x:c r="BI919" s="14"/>
      <x:c r="BJ919" s="14"/>
      <x:c r="BK919" s="14"/>
      <x:c r="BL919" s="14" t="str">
        <x:v>Unmatched</x:v>
      </x:c>
      <x:c r="BM919" s="14" t="str">
        <x:v>Final supplied register</x:v>
      </x:c>
      <x:c r="BN919" s="14" t="str">
        <x:v>Absence from the register is not evidence that the performer is not disabled.</x:v>
      </x:c>
      <x:c r="BO919" s="14" t="n">
        <x:v>28</x:v>
      </x:c>
      <x:c r="BP919" s="14" t="str">
        <x:v>Maximum eligible IMDb cast-credit total (28), shared by 4 performer(s); not independently verified as a 2021-only episode total.</x:v>
      </x:c>
      <x:c r="BQ919" s="14" t="str">
        <x:v>Medium</x:v>
      </x:c>
      <x:c r="BR919" s="15" t="n">
        <x:v>1</x:v>
      </x:c>
      <x:c r="BS919" s="16" t="n">
        <x:v>0.03571428571428571</x:v>
      </x:c>
      <x:c r="BT919" s="14" t="str">
        <x:v>One episode</x:v>
      </x:c>
      <x:c r="BU919" s="14" t="str">
        <x:v>Medium</x:v>
      </x:c>
      <x:c r="BV919" s="14" t="str">
        <x:v>Derived from supplied IMDb episode count and the documented production-total proxy.</x:v>
      </x:c>
      <x:c r="BW919" s="14" t="str">
        <x:v>Unable to determine</x:v>
      </x:c>
      <x:c r="BX919" s="14" t="str">
        <x:v>Supplied cast data establishes the credit and episode presence but does not establish narrative prominence.</x:v>
      </x:c>
      <x:c r="BY919" s="14" t="str">
        <x:v>Supplied IMDb cast-list workbook</x:v>
      </x:c>
      <x:c r="BZ9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9" s="14" t="str">
        <x:v>Not classified</x:v>
      </x:c>
      <x:c r="CB919" s="14" t="str">
        <x:v>Unable to determine</x:v>
      </x:c>
      <x:c r="CC919" s="14" t="str">
        <x:v>Unique</x:v>
      </x:c>
      <x:c r="CD919" s="14" t="str">
        <x:v>None identified</x:v>
      </x:c>
    </x:row>
    <x:row r="920">
      <x:c r="A920" s="14" t="str">
        <x:v>tt15499118|nm4794919|doctor</x:v>
      </x:c>
      <x:c r="B920" s="14" t="str">
        <x:v>03</x:v>
      </x:c>
      <x:c r="C920" s="14" t="str">
        <x:v>2021_IMDb_Cast_Lists_Batch_03(1).xlsx</x:v>
      </x:c>
      <x:c r="D920" s="14" t="str">
        <x:v>The Madame Blanc Mysteries</x:v>
      </x:c>
      <x:c r="E920" s="14" t="n">
        <x:v>52</x:v>
      </x:c>
      <x:c r="F920" s="14" t="str">
        <x:v>The Madame Blanc Mysteries</x:v>
      </x:c>
      <x:c r="G920" s="14" t="str">
        <x:v>tt15499118</x:v>
      </x:c>
      <x:c r="H920" s="14" t="n">
        <x:v>2021</x:v>
      </x:c>
      <x:c r="I920" s="14" t="n">
        <x:v>2023</x:v>
      </x:c>
      <x:c r="J920" s="14" t="str">
        <x:v>Future Carry-Forward Cohort</x:v>
      </x:c>
      <x:c r="K920" s="14" t="n">
        <x:v>2021</x:v>
      </x:c>
      <x:c r="L920" s="14" t="str">
        <x:v>Available from 2021 analysis</x:v>
      </x:c>
      <x:c r="M920" s="15" t="n">
        <x:v>45</x:v>
      </x:c>
      <x:c r="N920" s="14" t="str">
        <x:v>Antonella Axisa</x:v>
      </x:c>
      <x:c r="O920" s="14" t="str">
        <x:v>nm4794919</x:v>
      </x:c>
      <x:c r="P920" s="14" t="str">
        <x:v>Doctor</x:v>
      </x:c>
      <x:c r="Q920" s="15" t="n">
        <x:v>1</x:v>
      </x:c>
      <x:c r="R920" s="14" t="str">
        <x:v>2024</x:v>
      </x:c>
      <x:c r="S920" s="14" t="n">
        <x:v>2024</x:v>
      </x:c>
      <x:c r="T920" s="14" t="n">
        <x:v>2024</x:v>
      </x:c>
      <x:c r="U920" s="14" t="str">
        <x:v>Post-2021 casting excluded</x:v>
      </x:c>
      <x:c r="V920" s="14" t="str">
        <x:v>Earliest supplied year is 2024, later than the 2021 study year.</x:v>
      </x:c>
      <x:c r="W920" s="14"/>
      <x:c r="X920" s="14" t="str">
        <x:v>Carried forward to 2024</x:v>
      </x:c>
      <x:c r="Y920" s="14"/>
      <x:c r="Z920" s="14" t="str">
        <x:v>The Madame Blanc Mysteries.docx</x:v>
      </x:c>
      <x:c r="AA9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0" s="14" t="str">
        <x:v>No established-register match</x:v>
      </x:c>
      <x:c r="AC920" s="14"/>
      <x:c r="AD920" s="14"/>
      <x:c r="AE920" s="14"/>
      <x:c r="AF920" s="14"/>
      <x:c r="AG920" s="14" t="str">
        <x:v>No qualifying conclusion recorded. Absence from the register is not evidence that the performer is not disabled.</x:v>
      </x:c>
      <x:c r="AH920" s="14" t="str">
        <x:v>Channel 5 / 5</x:v>
      </x:c>
      <x:c r="AI920" s="14" t="str">
        <x:v>UK original commission</x:v>
      </x:c>
      <x:c r="AJ920" s="14" t="str">
        <x:v>Exact normalised title</x:v>
      </x:c>
      <x:c r="AK920" s="14" t="str">
        <x:v>Medium</x:v>
      </x:c>
      <x:c r="AL920" s="14" t="str">
        <x:v>Verified for commissioner/platform scope; uk original commission.</x:v>
      </x:c>
      <x:c r="AM92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0" s="14" t="str">
        <x:v>No qualifying BBC relationship</x:v>
      </x:c>
      <x:c r="AO920" s="14" t="str">
        <x:v>No</x:v>
      </x:c>
      <x:c r="AP920" s="14" t="str">
        <x:v>Out of scope</x:v>
      </x:c>
      <x:c r="AQ920" s="14" t="str">
        <x:v>No</x:v>
      </x:c>
      <x:c r="AR920" s="14" t="str">
        <x:v>Resolved from master register</x:v>
      </x:c>
      <x:c r="AS920" s="14" t="str">
        <x:v>No established-register match</x:v>
      </x:c>
      <x:c r="AT920" s="14"/>
      <x:c r="AU920" s="14"/>
      <x:c r="AV920" s="14" t="str">
        <x:v>No established apparent-disability match</x:v>
      </x:c>
      <x:c r="AW920" s="14"/>
      <x:c r="AX920" s="14" t="str">
        <x:v>No</x:v>
      </x:c>
      <x:c r="AY920" s="14" t="str">
        <x:v>Unmatched</x:v>
      </x:c>
      <x:c r="AZ920" s="14" t="str">
        <x:v>Final supplied register</x:v>
      </x:c>
      <x:c r="BA920" s="14" t="str">
        <x:v>Absence from the register is not evidence that the performer is not disabled.</x:v>
      </x:c>
      <x:c r="BB920" s="14" t="str">
        <x:v>No established-register match</x:v>
      </x:c>
      <x:c r="BC920" s="14"/>
      <x:c r="BD920" s="14"/>
      <x:c r="BE920" s="14"/>
      <x:c r="BF920" s="14" t="str">
        <x:v>No established apparent-disability match</x:v>
      </x:c>
      <x:c r="BG920" s="14"/>
      <x:c r="BH920" s="14" t="str">
        <x:v>No</x:v>
      </x:c>
      <x:c r="BI920" s="14"/>
      <x:c r="BJ920" s="14"/>
      <x:c r="BK920" s="14"/>
      <x:c r="BL920" s="14" t="str">
        <x:v>Unmatched</x:v>
      </x:c>
      <x:c r="BM920" s="14" t="str">
        <x:v>Final supplied register</x:v>
      </x:c>
      <x:c r="BN920" s="14" t="str">
        <x:v>Absence from the register is not evidence that the performer is not disabled.</x:v>
      </x:c>
      <x:c r="BO920" s="14" t="n">
        <x:v>28</x:v>
      </x:c>
      <x:c r="BP920" s="14" t="str">
        <x:v>Maximum eligible IMDb cast-credit total (28), shared by 4 performer(s); not independently verified as a 2021-only episode total.</x:v>
      </x:c>
      <x:c r="BQ920" s="14" t="str">
        <x:v>Medium</x:v>
      </x:c>
      <x:c r="BR920" s="15" t="n">
        <x:v>1</x:v>
      </x:c>
      <x:c r="BS920" s="16" t="n">
        <x:v>0.03571428571428571</x:v>
      </x:c>
      <x:c r="BT920" s="14" t="str">
        <x:v>One episode</x:v>
      </x:c>
      <x:c r="BU920" s="14" t="str">
        <x:v>Medium</x:v>
      </x:c>
      <x:c r="BV920" s="14" t="str">
        <x:v>Derived from supplied IMDb episode count and the documented production-total proxy.</x:v>
      </x:c>
      <x:c r="BW920" s="14" t="str">
        <x:v>Unable to determine</x:v>
      </x:c>
      <x:c r="BX920" s="14" t="str">
        <x:v>Supplied cast data establishes the credit and episode presence but does not establish narrative prominence.</x:v>
      </x:c>
      <x:c r="BY920" s="14" t="str">
        <x:v>Supplied IMDb cast-list workbook</x:v>
      </x:c>
      <x:c r="BZ9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0" s="14" t="str">
        <x:v>Not classified</x:v>
      </x:c>
      <x:c r="CB920" s="14" t="str">
        <x:v>Unable to determine</x:v>
      </x:c>
      <x:c r="CC920" s="14" t="str">
        <x:v>Unique</x:v>
      </x:c>
      <x:c r="CD920" s="14" t="str">
        <x:v>None identified</x:v>
      </x:c>
    </x:row>
    <x:row r="921">
      <x:c r="A921" s="14" t="str">
        <x:v>tt15499118|nm13269821|yasmine</x:v>
      </x:c>
      <x:c r="B921" s="14" t="str">
        <x:v>03</x:v>
      </x:c>
      <x:c r="C921" s="14" t="str">
        <x:v>2021_IMDb_Cast_Lists_Batch_03(1).xlsx</x:v>
      </x:c>
      <x:c r="D921" s="14" t="str">
        <x:v>The Madame Blanc Mysteries</x:v>
      </x:c>
      <x:c r="E921" s="14" t="n">
        <x:v>60</x:v>
      </x:c>
      <x:c r="F921" s="14" t="str">
        <x:v>The Madame Blanc Mysteries</x:v>
      </x:c>
      <x:c r="G921" s="14" t="str">
        <x:v>tt15499118</x:v>
      </x:c>
      <x:c r="H921" s="14" t="n">
        <x:v>2021</x:v>
      </x:c>
      <x:c r="I921" s="14" t="n">
        <x:v>2023</x:v>
      </x:c>
      <x:c r="J921" s="14" t="str">
        <x:v>Future Carry-Forward Cohort</x:v>
      </x:c>
      <x:c r="K921" s="14" t="n">
        <x:v>2021</x:v>
      </x:c>
      <x:c r="L921" s="14" t="str">
        <x:v>Available from 2021 analysis</x:v>
      </x:c>
      <x:c r="M921" s="15" t="n">
        <x:v>53</x:v>
      </x:c>
      <x:c r="N921" s="14" t="str">
        <x:v>Taryn Butler</x:v>
      </x:c>
      <x:c r="O921" s="14" t="str">
        <x:v>nm13269821</x:v>
      </x:c>
      <x:c r="P921" s="14" t="str">
        <x:v>Yasmine</x:v>
      </x:c>
      <x:c r="Q921" s="15" t="n">
        <x:v>1</x:v>
      </x:c>
      <x:c r="R921" s="14" t="str">
        <x:v>2024</x:v>
      </x:c>
      <x:c r="S921" s="14" t="n">
        <x:v>2024</x:v>
      </x:c>
      <x:c r="T921" s="14" t="n">
        <x:v>2024</x:v>
      </x:c>
      <x:c r="U921" s="14" t="str">
        <x:v>Post-2021 casting excluded</x:v>
      </x:c>
      <x:c r="V921" s="14" t="str">
        <x:v>Earliest supplied year is 2024, later than the 2021 study year.</x:v>
      </x:c>
      <x:c r="W921" s="14"/>
      <x:c r="X921" s="14" t="str">
        <x:v>Carried forward to 2024</x:v>
      </x:c>
      <x:c r="Y921" s="14"/>
      <x:c r="Z921" s="14" t="str">
        <x:v>The Madame Blanc Mysteries.docx</x:v>
      </x:c>
      <x:c r="AA92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1" s="14" t="str">
        <x:v>No established-register match</x:v>
      </x:c>
      <x:c r="AC921" s="14"/>
      <x:c r="AD921" s="14"/>
      <x:c r="AE921" s="14"/>
      <x:c r="AF921" s="14"/>
      <x:c r="AG921" s="14" t="str">
        <x:v>No qualifying conclusion recorded. Absence from the register is not evidence that the performer is not disabled.</x:v>
      </x:c>
      <x:c r="AH921" s="14" t="str">
        <x:v>Channel 5 / 5</x:v>
      </x:c>
      <x:c r="AI921" s="14" t="str">
        <x:v>UK original commission</x:v>
      </x:c>
      <x:c r="AJ921" s="14" t="str">
        <x:v>Exact normalised title</x:v>
      </x:c>
      <x:c r="AK921" s="14" t="str">
        <x:v>Medium</x:v>
      </x:c>
      <x:c r="AL921" s="14" t="str">
        <x:v>Verified for commissioner/platform scope; uk original commission.</x:v>
      </x:c>
      <x:c r="AM92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1" s="14" t="str">
        <x:v>No qualifying BBC relationship</x:v>
      </x:c>
      <x:c r="AO921" s="14" t="str">
        <x:v>No</x:v>
      </x:c>
      <x:c r="AP921" s="14" t="str">
        <x:v>Out of scope</x:v>
      </x:c>
      <x:c r="AQ921" s="14" t="str">
        <x:v>No</x:v>
      </x:c>
      <x:c r="AR921" s="14" t="str">
        <x:v>Resolved from master register</x:v>
      </x:c>
      <x:c r="AS921" s="14" t="str">
        <x:v>No established-register match</x:v>
      </x:c>
      <x:c r="AT921" s="14"/>
      <x:c r="AU921" s="14"/>
      <x:c r="AV921" s="14" t="str">
        <x:v>No established apparent-disability match</x:v>
      </x:c>
      <x:c r="AW921" s="14"/>
      <x:c r="AX921" s="14" t="str">
        <x:v>No</x:v>
      </x:c>
      <x:c r="AY921" s="14" t="str">
        <x:v>Unmatched</x:v>
      </x:c>
      <x:c r="AZ921" s="14" t="str">
        <x:v>Final supplied register</x:v>
      </x:c>
      <x:c r="BA921" s="14" t="str">
        <x:v>Absence from the register is not evidence that the performer is not disabled.</x:v>
      </x:c>
      <x:c r="BB921" s="14" t="str">
        <x:v>No established-register match</x:v>
      </x:c>
      <x:c r="BC921" s="14"/>
      <x:c r="BD921" s="14"/>
      <x:c r="BE921" s="14"/>
      <x:c r="BF921" s="14" t="str">
        <x:v>No established apparent-disability match</x:v>
      </x:c>
      <x:c r="BG921" s="14"/>
      <x:c r="BH921" s="14" t="str">
        <x:v>No</x:v>
      </x:c>
      <x:c r="BI921" s="14"/>
      <x:c r="BJ921" s="14"/>
      <x:c r="BK921" s="14"/>
      <x:c r="BL921" s="14" t="str">
        <x:v>Unmatched</x:v>
      </x:c>
      <x:c r="BM921" s="14" t="str">
        <x:v>Final supplied register</x:v>
      </x:c>
      <x:c r="BN921" s="14" t="str">
        <x:v>Absence from the register is not evidence that the performer is not disabled.</x:v>
      </x:c>
      <x:c r="BO921" s="14" t="n">
        <x:v>28</x:v>
      </x:c>
      <x:c r="BP921" s="14" t="str">
        <x:v>Maximum eligible IMDb cast-credit total (28), shared by 4 performer(s); not independently verified as a 2021-only episode total.</x:v>
      </x:c>
      <x:c r="BQ921" s="14" t="str">
        <x:v>Medium</x:v>
      </x:c>
      <x:c r="BR921" s="15" t="n">
        <x:v>1</x:v>
      </x:c>
      <x:c r="BS921" s="16" t="n">
        <x:v>0.03571428571428571</x:v>
      </x:c>
      <x:c r="BT921" s="14" t="str">
        <x:v>One episode</x:v>
      </x:c>
      <x:c r="BU921" s="14" t="str">
        <x:v>Medium</x:v>
      </x:c>
      <x:c r="BV921" s="14" t="str">
        <x:v>Derived from supplied IMDb episode count and the documented production-total proxy.</x:v>
      </x:c>
      <x:c r="BW921" s="14" t="str">
        <x:v>Unable to determine</x:v>
      </x:c>
      <x:c r="BX921" s="14" t="str">
        <x:v>Supplied cast data establishes the credit and episode presence but does not establish narrative prominence.</x:v>
      </x:c>
      <x:c r="BY921" s="14" t="str">
        <x:v>Supplied IMDb cast-list workbook</x:v>
      </x:c>
      <x:c r="BZ92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1" s="14" t="str">
        <x:v>Not classified</x:v>
      </x:c>
      <x:c r="CB921" s="14" t="str">
        <x:v>Unable to determine</x:v>
      </x:c>
      <x:c r="CC921" s="14" t="str">
        <x:v>Unique</x:v>
      </x:c>
      <x:c r="CD921" s="14" t="str">
        <x:v>None identified</x:v>
      </x:c>
    </x:row>
    <x:row r="922">
      <x:c r="A922" s="14" t="str">
        <x:v>tt15499118|nm15885681|young dom</x:v>
      </x:c>
      <x:c r="B922" s="14" t="str">
        <x:v>03</x:v>
      </x:c>
      <x:c r="C922" s="14" t="str">
        <x:v>2021_IMDb_Cast_Lists_Batch_03(1).xlsx</x:v>
      </x:c>
      <x:c r="D922" s="14" t="str">
        <x:v>The Madame Blanc Mysteries</x:v>
      </x:c>
      <x:c r="E922" s="14" t="n">
        <x:v>61</x:v>
      </x:c>
      <x:c r="F922" s="14" t="str">
        <x:v>The Madame Blanc Mysteries</x:v>
      </x:c>
      <x:c r="G922" s="14" t="str">
        <x:v>tt15499118</x:v>
      </x:c>
      <x:c r="H922" s="14" t="n">
        <x:v>2021</x:v>
      </x:c>
      <x:c r="I922" s="14" t="n">
        <x:v>2023</x:v>
      </x:c>
      <x:c r="J922" s="14" t="str">
        <x:v>Future Carry-Forward Cohort</x:v>
      </x:c>
      <x:c r="K922" s="14" t="n">
        <x:v>2021</x:v>
      </x:c>
      <x:c r="L922" s="14" t="str">
        <x:v>Available from 2021 analysis</x:v>
      </x:c>
      <x:c r="M922" s="15" t="n">
        <x:v>54</x:v>
      </x:c>
      <x:c r="N922" s="14" t="str">
        <x:v>Halliwell Edge</x:v>
      </x:c>
      <x:c r="O922" s="14" t="str">
        <x:v>nm15885681</x:v>
      </x:c>
      <x:c r="P922" s="14" t="str">
        <x:v>Young Dom</x:v>
      </x:c>
      <x:c r="Q922" s="15" t="n">
        <x:v>1</x:v>
      </x:c>
      <x:c r="R922" s="14" t="str">
        <x:v>2024</x:v>
      </x:c>
      <x:c r="S922" s="14" t="n">
        <x:v>2024</x:v>
      </x:c>
      <x:c r="T922" s="14" t="n">
        <x:v>2024</x:v>
      </x:c>
      <x:c r="U922" s="14" t="str">
        <x:v>Post-2021 casting excluded</x:v>
      </x:c>
      <x:c r="V922" s="14" t="str">
        <x:v>Earliest supplied year is 2024, later than the 2021 study year.</x:v>
      </x:c>
      <x:c r="W922" s="14"/>
      <x:c r="X922" s="14" t="str">
        <x:v>Carried forward to 2024</x:v>
      </x:c>
      <x:c r="Y922" s="14"/>
      <x:c r="Z922" s="14" t="str">
        <x:v>The Madame Blanc Mysteries.docx</x:v>
      </x:c>
      <x:c r="AA92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2" s="14" t="str">
        <x:v>No established-register match</x:v>
      </x:c>
      <x:c r="AC922" s="14"/>
      <x:c r="AD922" s="14"/>
      <x:c r="AE922" s="14"/>
      <x:c r="AF922" s="14"/>
      <x:c r="AG922" s="14" t="str">
        <x:v>No qualifying conclusion recorded. Absence from the register is not evidence that the performer is not disabled.</x:v>
      </x:c>
      <x:c r="AH922" s="14" t="str">
        <x:v>Channel 5 / 5</x:v>
      </x:c>
      <x:c r="AI922" s="14" t="str">
        <x:v>UK original commission</x:v>
      </x:c>
      <x:c r="AJ922" s="14" t="str">
        <x:v>Exact normalised title</x:v>
      </x:c>
      <x:c r="AK922" s="14" t="str">
        <x:v>Medium</x:v>
      </x:c>
      <x:c r="AL922" s="14" t="str">
        <x:v>Verified for commissioner/platform scope; uk original commission.</x:v>
      </x:c>
      <x:c r="AM92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2" s="14" t="str">
        <x:v>No qualifying BBC relationship</x:v>
      </x:c>
      <x:c r="AO922" s="14" t="str">
        <x:v>No</x:v>
      </x:c>
      <x:c r="AP922" s="14" t="str">
        <x:v>Out of scope</x:v>
      </x:c>
      <x:c r="AQ922" s="14" t="str">
        <x:v>No</x:v>
      </x:c>
      <x:c r="AR922" s="14" t="str">
        <x:v>Resolved from master register</x:v>
      </x:c>
      <x:c r="AS922" s="14" t="str">
        <x:v>No established-register match</x:v>
      </x:c>
      <x:c r="AT922" s="14"/>
      <x:c r="AU922" s="14"/>
      <x:c r="AV922" s="14" t="str">
        <x:v>No established apparent-disability match</x:v>
      </x:c>
      <x:c r="AW922" s="14"/>
      <x:c r="AX922" s="14" t="str">
        <x:v>No</x:v>
      </x:c>
      <x:c r="AY922" s="14" t="str">
        <x:v>Unmatched</x:v>
      </x:c>
      <x:c r="AZ922" s="14" t="str">
        <x:v>Final supplied register</x:v>
      </x:c>
      <x:c r="BA922" s="14" t="str">
        <x:v>Absence from the register is not evidence that the performer is not disabled.</x:v>
      </x:c>
      <x:c r="BB922" s="14" t="str">
        <x:v>No established-register match</x:v>
      </x:c>
      <x:c r="BC922" s="14"/>
      <x:c r="BD922" s="14"/>
      <x:c r="BE922" s="14"/>
      <x:c r="BF922" s="14" t="str">
        <x:v>No established apparent-disability match</x:v>
      </x:c>
      <x:c r="BG922" s="14"/>
      <x:c r="BH922" s="14" t="str">
        <x:v>No</x:v>
      </x:c>
      <x:c r="BI922" s="14"/>
      <x:c r="BJ922" s="14"/>
      <x:c r="BK922" s="14"/>
      <x:c r="BL922" s="14" t="str">
        <x:v>Unmatched</x:v>
      </x:c>
      <x:c r="BM922" s="14" t="str">
        <x:v>Final supplied register</x:v>
      </x:c>
      <x:c r="BN922" s="14" t="str">
        <x:v>Absence from the register is not evidence that the performer is not disabled.</x:v>
      </x:c>
      <x:c r="BO922" s="14" t="n">
        <x:v>28</x:v>
      </x:c>
      <x:c r="BP922" s="14" t="str">
        <x:v>Maximum eligible IMDb cast-credit total (28), shared by 4 performer(s); not independently verified as a 2021-only episode total.</x:v>
      </x:c>
      <x:c r="BQ922" s="14" t="str">
        <x:v>Medium</x:v>
      </x:c>
      <x:c r="BR922" s="15" t="n">
        <x:v>1</x:v>
      </x:c>
      <x:c r="BS922" s="16" t="n">
        <x:v>0.03571428571428571</x:v>
      </x:c>
      <x:c r="BT922" s="14" t="str">
        <x:v>One episode</x:v>
      </x:c>
      <x:c r="BU922" s="14" t="str">
        <x:v>Medium</x:v>
      </x:c>
      <x:c r="BV922" s="14" t="str">
        <x:v>Derived from supplied IMDb episode count and the documented production-total proxy.</x:v>
      </x:c>
      <x:c r="BW922" s="14" t="str">
        <x:v>Unable to determine</x:v>
      </x:c>
      <x:c r="BX922" s="14" t="str">
        <x:v>Supplied cast data establishes the credit and episode presence but does not establish narrative prominence.</x:v>
      </x:c>
      <x:c r="BY922" s="14" t="str">
        <x:v>Supplied IMDb cast-list workbook</x:v>
      </x:c>
      <x:c r="BZ92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2" s="14" t="str">
        <x:v>Not classified</x:v>
      </x:c>
      <x:c r="CB922" s="14" t="str">
        <x:v>Unable to determine</x:v>
      </x:c>
      <x:c r="CC922" s="14" t="str">
        <x:v>Unique</x:v>
      </x:c>
      <x:c r="CD922" s="14" t="str">
        <x:v>None identified</x:v>
      </x:c>
    </x:row>
    <x:row r="923">
      <x:c r="A923" s="14" t="str">
        <x:v>tt15499118|nm15698728|waitress</x:v>
      </x:c>
      <x:c r="B923" s="14" t="str">
        <x:v>03</x:v>
      </x:c>
      <x:c r="C923" s="14" t="str">
        <x:v>2021_IMDb_Cast_Lists_Batch_03(1).xlsx</x:v>
      </x:c>
      <x:c r="D923" s="14" t="str">
        <x:v>The Madame Blanc Mysteries</x:v>
      </x:c>
      <x:c r="E923" s="14" t="n">
        <x:v>62</x:v>
      </x:c>
      <x:c r="F923" s="14" t="str">
        <x:v>The Madame Blanc Mysteries</x:v>
      </x:c>
      <x:c r="G923" s="14" t="str">
        <x:v>tt15499118</x:v>
      </x:c>
      <x:c r="H923" s="14" t="n">
        <x:v>2021</x:v>
      </x:c>
      <x:c r="I923" s="14" t="n">
        <x:v>2023</x:v>
      </x:c>
      <x:c r="J923" s="14" t="str">
        <x:v>Future Carry-Forward Cohort</x:v>
      </x:c>
      <x:c r="K923" s="14" t="n">
        <x:v>2021</x:v>
      </x:c>
      <x:c r="L923" s="14" t="str">
        <x:v>Available from 2021 analysis</x:v>
      </x:c>
      <x:c r="M923" s="15" t="n">
        <x:v>55</x:v>
      </x:c>
      <x:c r="N923" s="14" t="str">
        <x:v>Rebecca Camilleri</x:v>
      </x:c>
      <x:c r="O923" s="14" t="str">
        <x:v>nm15698728</x:v>
      </x:c>
      <x:c r="P923" s="14" t="str">
        <x:v>Waitress</x:v>
      </x:c>
      <x:c r="Q923" s="15" t="n">
        <x:v>1</x:v>
      </x:c>
      <x:c r="R923" s="14" t="str">
        <x:v>2024</x:v>
      </x:c>
      <x:c r="S923" s="14" t="n">
        <x:v>2024</x:v>
      </x:c>
      <x:c r="T923" s="14" t="n">
        <x:v>2024</x:v>
      </x:c>
      <x:c r="U923" s="14" t="str">
        <x:v>Post-2021 casting excluded</x:v>
      </x:c>
      <x:c r="V923" s="14" t="str">
        <x:v>Earliest supplied year is 2024, later than the 2021 study year.</x:v>
      </x:c>
      <x:c r="W923" s="14"/>
      <x:c r="X923" s="14" t="str">
        <x:v>Carried forward to 2024</x:v>
      </x:c>
      <x:c r="Y923" s="14"/>
      <x:c r="Z923" s="14" t="str">
        <x:v>The Madame Blanc Mysteries.docx</x:v>
      </x:c>
      <x:c r="AA92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3" s="14" t="str">
        <x:v>No established-register match</x:v>
      </x:c>
      <x:c r="AC923" s="14"/>
      <x:c r="AD923" s="14"/>
      <x:c r="AE923" s="14"/>
      <x:c r="AF923" s="14"/>
      <x:c r="AG923" s="14" t="str">
        <x:v>No qualifying conclusion recorded. Absence from the register is not evidence that the performer is not disabled.</x:v>
      </x:c>
      <x:c r="AH923" s="14" t="str">
        <x:v>Channel 5 / 5</x:v>
      </x:c>
      <x:c r="AI923" s="14" t="str">
        <x:v>UK original commission</x:v>
      </x:c>
      <x:c r="AJ923" s="14" t="str">
        <x:v>Exact normalised title</x:v>
      </x:c>
      <x:c r="AK923" s="14" t="str">
        <x:v>Medium</x:v>
      </x:c>
      <x:c r="AL923" s="14" t="str">
        <x:v>Verified for commissioner/platform scope; uk original commission.</x:v>
      </x:c>
      <x:c r="AM92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3" s="14" t="str">
        <x:v>No qualifying BBC relationship</x:v>
      </x:c>
      <x:c r="AO923" s="14" t="str">
        <x:v>No</x:v>
      </x:c>
      <x:c r="AP923" s="14" t="str">
        <x:v>Out of scope</x:v>
      </x:c>
      <x:c r="AQ923" s="14" t="str">
        <x:v>No</x:v>
      </x:c>
      <x:c r="AR923" s="14" t="str">
        <x:v>Resolved from master register</x:v>
      </x:c>
      <x:c r="AS923" s="14" t="str">
        <x:v>No established-register match</x:v>
      </x:c>
      <x:c r="AT923" s="14"/>
      <x:c r="AU923" s="14"/>
      <x:c r="AV923" s="14" t="str">
        <x:v>No established apparent-disability match</x:v>
      </x:c>
      <x:c r="AW923" s="14"/>
      <x:c r="AX923" s="14" t="str">
        <x:v>No</x:v>
      </x:c>
      <x:c r="AY923" s="14" t="str">
        <x:v>Unmatched</x:v>
      </x:c>
      <x:c r="AZ923" s="14" t="str">
        <x:v>Final supplied register</x:v>
      </x:c>
      <x:c r="BA923" s="14" t="str">
        <x:v>Absence from the register is not evidence that the performer is not disabled.</x:v>
      </x:c>
      <x:c r="BB923" s="14" t="str">
        <x:v>No established-register match</x:v>
      </x:c>
      <x:c r="BC923" s="14"/>
      <x:c r="BD923" s="14"/>
      <x:c r="BE923" s="14"/>
      <x:c r="BF923" s="14" t="str">
        <x:v>No established apparent-disability match</x:v>
      </x:c>
      <x:c r="BG923" s="14"/>
      <x:c r="BH923" s="14" t="str">
        <x:v>No</x:v>
      </x:c>
      <x:c r="BI923" s="14"/>
      <x:c r="BJ923" s="14"/>
      <x:c r="BK923" s="14"/>
      <x:c r="BL923" s="14" t="str">
        <x:v>Unmatched</x:v>
      </x:c>
      <x:c r="BM923" s="14" t="str">
        <x:v>Final supplied register</x:v>
      </x:c>
      <x:c r="BN923" s="14" t="str">
        <x:v>Absence from the register is not evidence that the performer is not disabled.</x:v>
      </x:c>
      <x:c r="BO923" s="14" t="n">
        <x:v>28</x:v>
      </x:c>
      <x:c r="BP923" s="14" t="str">
        <x:v>Maximum eligible IMDb cast-credit total (28), shared by 4 performer(s); not independently verified as a 2021-only episode total.</x:v>
      </x:c>
      <x:c r="BQ923" s="14" t="str">
        <x:v>Medium</x:v>
      </x:c>
      <x:c r="BR923" s="15" t="n">
        <x:v>1</x:v>
      </x:c>
      <x:c r="BS923" s="16" t="n">
        <x:v>0.03571428571428571</x:v>
      </x:c>
      <x:c r="BT923" s="14" t="str">
        <x:v>One episode</x:v>
      </x:c>
      <x:c r="BU923" s="14" t="str">
        <x:v>Medium</x:v>
      </x:c>
      <x:c r="BV923" s="14" t="str">
        <x:v>Derived from supplied IMDb episode count and the documented production-total proxy.</x:v>
      </x:c>
      <x:c r="BW923" s="14" t="str">
        <x:v>Unable to determine</x:v>
      </x:c>
      <x:c r="BX923" s="14" t="str">
        <x:v>Supplied cast data establishes the credit and episode presence but does not establish narrative prominence.</x:v>
      </x:c>
      <x:c r="BY923" s="14" t="str">
        <x:v>Supplied IMDb cast-list workbook</x:v>
      </x:c>
      <x:c r="BZ92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3" s="14" t="str">
        <x:v>Not classified</x:v>
      </x:c>
      <x:c r="CB923" s="14" t="str">
        <x:v>Unable to determine</x:v>
      </x:c>
      <x:c r="CC923" s="14" t="str">
        <x:v>Unique</x:v>
      </x:c>
      <x:c r="CD923" s="14" t="str">
        <x:v>None identified</x:v>
      </x:c>
    </x:row>
    <x:row r="924">
      <x:c r="A924" s="14" t="str">
        <x:v>tt15499118|nm0480274|bernard folle</x:v>
      </x:c>
      <x:c r="B924" s="14" t="str">
        <x:v>03</x:v>
      </x:c>
      <x:c r="C924" s="14" t="str">
        <x:v>2021_IMDb_Cast_Lists_Batch_03(1).xlsx</x:v>
      </x:c>
      <x:c r="D924" s="14" t="str">
        <x:v>The Madame Blanc Mysteries</x:v>
      </x:c>
      <x:c r="E924" s="14" t="n">
        <x:v>71</x:v>
      </x:c>
      <x:c r="F924" s="14" t="str">
        <x:v>The Madame Blanc Mysteries</x:v>
      </x:c>
      <x:c r="G924" s="14" t="str">
        <x:v>tt15499118</x:v>
      </x:c>
      <x:c r="H924" s="14" t="n">
        <x:v>2021</x:v>
      </x:c>
      <x:c r="I924" s="14" t="n">
        <x:v>2023</x:v>
      </x:c>
      <x:c r="J924" s="14" t="str">
        <x:v>Future Carry-Forward Cohort</x:v>
      </x:c>
      <x:c r="K924" s="14" t="n">
        <x:v>2021</x:v>
      </x:c>
      <x:c r="L924" s="14" t="str">
        <x:v>Available from 2021 analysis</x:v>
      </x:c>
      <x:c r="M924" s="15" t="n">
        <x:v>64</x:v>
      </x:c>
      <x:c r="N924" s="14" t="str">
        <x:v>Paul Lacoux</x:v>
      </x:c>
      <x:c r="O924" s="14" t="str">
        <x:v>nm0480274</x:v>
      </x:c>
      <x:c r="P924" s="14" t="str">
        <x:v>Bernard Folle</x:v>
      </x:c>
      <x:c r="Q924" s="15" t="n">
        <x:v>1</x:v>
      </x:c>
      <x:c r="R924" s="14" t="str">
        <x:v>2024</x:v>
      </x:c>
      <x:c r="S924" s="14" t="n">
        <x:v>2024</x:v>
      </x:c>
      <x:c r="T924" s="14" t="n">
        <x:v>2024</x:v>
      </x:c>
      <x:c r="U924" s="14" t="str">
        <x:v>Post-2021 casting excluded</x:v>
      </x:c>
      <x:c r="V924" s="14" t="str">
        <x:v>Earliest supplied year is 2024, later than the 2021 study year.</x:v>
      </x:c>
      <x:c r="W924" s="14"/>
      <x:c r="X924" s="14" t="str">
        <x:v>Carried forward to 2024</x:v>
      </x:c>
      <x:c r="Y924" s="14"/>
      <x:c r="Z924" s="14" t="str">
        <x:v>The Madame Blanc Mysteries.docx</x:v>
      </x:c>
      <x:c r="AA92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4" s="14" t="str">
        <x:v>No established-register match</x:v>
      </x:c>
      <x:c r="AC924" s="14"/>
      <x:c r="AD924" s="14"/>
      <x:c r="AE924" s="14"/>
      <x:c r="AF924" s="14"/>
      <x:c r="AG924" s="14" t="str">
        <x:v>No qualifying conclusion recorded. Absence from the register is not evidence that the performer is not disabled.</x:v>
      </x:c>
      <x:c r="AH924" s="14" t="str">
        <x:v>Channel 5 / 5</x:v>
      </x:c>
      <x:c r="AI924" s="14" t="str">
        <x:v>UK original commission</x:v>
      </x:c>
      <x:c r="AJ924" s="14" t="str">
        <x:v>Exact normalised title</x:v>
      </x:c>
      <x:c r="AK924" s="14" t="str">
        <x:v>Medium</x:v>
      </x:c>
      <x:c r="AL924" s="14" t="str">
        <x:v>Verified for commissioner/platform scope; uk original commission.</x:v>
      </x:c>
      <x:c r="AM92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4" s="14" t="str">
        <x:v>No qualifying BBC relationship</x:v>
      </x:c>
      <x:c r="AO924" s="14" t="str">
        <x:v>No</x:v>
      </x:c>
      <x:c r="AP924" s="14" t="str">
        <x:v>Out of scope</x:v>
      </x:c>
      <x:c r="AQ924" s="14" t="str">
        <x:v>No</x:v>
      </x:c>
      <x:c r="AR924" s="14" t="str">
        <x:v>Resolved from master register</x:v>
      </x:c>
      <x:c r="AS924" s="14" t="str">
        <x:v>No established-register match</x:v>
      </x:c>
      <x:c r="AT924" s="14"/>
      <x:c r="AU924" s="14"/>
      <x:c r="AV924" s="14" t="str">
        <x:v>No established apparent-disability match</x:v>
      </x:c>
      <x:c r="AW924" s="14"/>
      <x:c r="AX924" s="14" t="str">
        <x:v>No</x:v>
      </x:c>
      <x:c r="AY924" s="14" t="str">
        <x:v>Unmatched</x:v>
      </x:c>
      <x:c r="AZ924" s="14" t="str">
        <x:v>Final supplied register</x:v>
      </x:c>
      <x:c r="BA924" s="14" t="str">
        <x:v>Absence from the register is not evidence that the performer is not disabled.</x:v>
      </x:c>
      <x:c r="BB924" s="14" t="str">
        <x:v>No established-register match</x:v>
      </x:c>
      <x:c r="BC924" s="14"/>
      <x:c r="BD924" s="14"/>
      <x:c r="BE924" s="14"/>
      <x:c r="BF924" s="14" t="str">
        <x:v>No established apparent-disability match</x:v>
      </x:c>
      <x:c r="BG924" s="14"/>
      <x:c r="BH924" s="14" t="str">
        <x:v>No</x:v>
      </x:c>
      <x:c r="BI924" s="14"/>
      <x:c r="BJ924" s="14"/>
      <x:c r="BK924" s="14"/>
      <x:c r="BL924" s="14" t="str">
        <x:v>Unmatched</x:v>
      </x:c>
      <x:c r="BM924" s="14" t="str">
        <x:v>Final supplied register</x:v>
      </x:c>
      <x:c r="BN924" s="14" t="str">
        <x:v>Absence from the register is not evidence that the performer is not disabled.</x:v>
      </x:c>
      <x:c r="BO924" s="14" t="n">
        <x:v>28</x:v>
      </x:c>
      <x:c r="BP924" s="14" t="str">
        <x:v>Maximum eligible IMDb cast-credit total (28), shared by 4 performer(s); not independently verified as a 2021-only episode total.</x:v>
      </x:c>
      <x:c r="BQ924" s="14" t="str">
        <x:v>Medium</x:v>
      </x:c>
      <x:c r="BR924" s="15" t="n">
        <x:v>1</x:v>
      </x:c>
      <x:c r="BS924" s="16" t="n">
        <x:v>0.03571428571428571</x:v>
      </x:c>
      <x:c r="BT924" s="14" t="str">
        <x:v>One episode</x:v>
      </x:c>
      <x:c r="BU924" s="14" t="str">
        <x:v>Medium</x:v>
      </x:c>
      <x:c r="BV924" s="14" t="str">
        <x:v>Derived from supplied IMDb episode count and the documented production-total proxy.</x:v>
      </x:c>
      <x:c r="BW924" s="14" t="str">
        <x:v>Unable to determine</x:v>
      </x:c>
      <x:c r="BX924" s="14" t="str">
        <x:v>Supplied cast data establishes the credit and episode presence but does not establish narrative prominence.</x:v>
      </x:c>
      <x:c r="BY924" s="14" t="str">
        <x:v>Supplied IMDb cast-list workbook</x:v>
      </x:c>
      <x:c r="BZ92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4" s="14" t="str">
        <x:v>Not classified</x:v>
      </x:c>
      <x:c r="CB924" s="14" t="str">
        <x:v>Unable to determine</x:v>
      </x:c>
      <x:c r="CC924" s="14" t="str">
        <x:v>Unique</x:v>
      </x:c>
      <x:c r="CD924" s="14" t="str">
        <x:v>None identified</x:v>
      </x:c>
    </x:row>
    <x:row r="925">
      <x:c r="A925" s="14" t="str">
        <x:v>tt15499118|nm9684155|pascal oliver</x:v>
      </x:c>
      <x:c r="B925" s="14" t="str">
        <x:v>03</x:v>
      </x:c>
      <x:c r="C925" s="14" t="str">
        <x:v>2021_IMDb_Cast_Lists_Batch_03(1).xlsx</x:v>
      </x:c>
      <x:c r="D925" s="14" t="str">
        <x:v>The Madame Blanc Mysteries</x:v>
      </x:c>
      <x:c r="E925" s="14" t="n">
        <x:v>72</x:v>
      </x:c>
      <x:c r="F925" s="14" t="str">
        <x:v>The Madame Blanc Mysteries</x:v>
      </x:c>
      <x:c r="G925" s="14" t="str">
        <x:v>tt15499118</x:v>
      </x:c>
      <x:c r="H925" s="14" t="n">
        <x:v>2021</x:v>
      </x:c>
      <x:c r="I925" s="14" t="n">
        <x:v>2023</x:v>
      </x:c>
      <x:c r="J925" s="14" t="str">
        <x:v>Future Carry-Forward Cohort</x:v>
      </x:c>
      <x:c r="K925" s="14" t="n">
        <x:v>2021</x:v>
      </x:c>
      <x:c r="L925" s="14" t="str">
        <x:v>Available from 2021 analysis</x:v>
      </x:c>
      <x:c r="M925" s="15" t="n">
        <x:v>65</x:v>
      </x:c>
      <x:c r="N925" s="14" t="str">
        <x:v>Ilan Evans</x:v>
      </x:c>
      <x:c r="O925" s="14" t="str">
        <x:v>nm9684155</x:v>
      </x:c>
      <x:c r="P925" s="14" t="str">
        <x:v>Pascal Oliver</x:v>
      </x:c>
      <x:c r="Q925" s="15" t="n">
        <x:v>1</x:v>
      </x:c>
      <x:c r="R925" s="14" t="str">
        <x:v>2024</x:v>
      </x:c>
      <x:c r="S925" s="14" t="n">
        <x:v>2024</x:v>
      </x:c>
      <x:c r="T925" s="14" t="n">
        <x:v>2024</x:v>
      </x:c>
      <x:c r="U925" s="14" t="str">
        <x:v>Post-2021 casting excluded</x:v>
      </x:c>
      <x:c r="V925" s="14" t="str">
        <x:v>Earliest supplied year is 2024, later than the 2021 study year.</x:v>
      </x:c>
      <x:c r="W925" s="14"/>
      <x:c r="X925" s="14" t="str">
        <x:v>Carried forward to 2024</x:v>
      </x:c>
      <x:c r="Y925" s="14"/>
      <x:c r="Z925" s="14" t="str">
        <x:v>The Madame Blanc Mysteries.docx</x:v>
      </x:c>
      <x:c r="AA92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5" s="14" t="str">
        <x:v>No established-register match</x:v>
      </x:c>
      <x:c r="AC925" s="14"/>
      <x:c r="AD925" s="14"/>
      <x:c r="AE925" s="14"/>
      <x:c r="AF925" s="14"/>
      <x:c r="AG925" s="14" t="str">
        <x:v>No qualifying conclusion recorded. Absence from the register is not evidence that the performer is not disabled.</x:v>
      </x:c>
      <x:c r="AH925" s="14" t="str">
        <x:v>Channel 5 / 5</x:v>
      </x:c>
      <x:c r="AI925" s="14" t="str">
        <x:v>UK original commission</x:v>
      </x:c>
      <x:c r="AJ925" s="14" t="str">
        <x:v>Exact normalised title</x:v>
      </x:c>
      <x:c r="AK925" s="14" t="str">
        <x:v>Medium</x:v>
      </x:c>
      <x:c r="AL925" s="14" t="str">
        <x:v>Verified for commissioner/platform scope; uk original commission.</x:v>
      </x:c>
      <x:c r="AM92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5" s="14" t="str">
        <x:v>No qualifying BBC relationship</x:v>
      </x:c>
      <x:c r="AO925" s="14" t="str">
        <x:v>No</x:v>
      </x:c>
      <x:c r="AP925" s="14" t="str">
        <x:v>Out of scope</x:v>
      </x:c>
      <x:c r="AQ925" s="14" t="str">
        <x:v>No</x:v>
      </x:c>
      <x:c r="AR925" s="14" t="str">
        <x:v>Resolved from master register</x:v>
      </x:c>
      <x:c r="AS925" s="14" t="str">
        <x:v>No established-register match</x:v>
      </x:c>
      <x:c r="AT925" s="14"/>
      <x:c r="AU925" s="14"/>
      <x:c r="AV925" s="14" t="str">
        <x:v>No established apparent-disability match</x:v>
      </x:c>
      <x:c r="AW925" s="14"/>
      <x:c r="AX925" s="14" t="str">
        <x:v>No</x:v>
      </x:c>
      <x:c r="AY925" s="14" t="str">
        <x:v>Unmatched</x:v>
      </x:c>
      <x:c r="AZ925" s="14" t="str">
        <x:v>Final supplied register</x:v>
      </x:c>
      <x:c r="BA925" s="14" t="str">
        <x:v>Absence from the register is not evidence that the performer is not disabled.</x:v>
      </x:c>
      <x:c r="BB925" s="14" t="str">
        <x:v>No established-register match</x:v>
      </x:c>
      <x:c r="BC925" s="14"/>
      <x:c r="BD925" s="14"/>
      <x:c r="BE925" s="14"/>
      <x:c r="BF925" s="14" t="str">
        <x:v>No established apparent-disability match</x:v>
      </x:c>
      <x:c r="BG925" s="14"/>
      <x:c r="BH925" s="14" t="str">
        <x:v>No</x:v>
      </x:c>
      <x:c r="BI925" s="14"/>
      <x:c r="BJ925" s="14"/>
      <x:c r="BK925" s="14"/>
      <x:c r="BL925" s="14" t="str">
        <x:v>Unmatched</x:v>
      </x:c>
      <x:c r="BM925" s="14" t="str">
        <x:v>Final supplied register</x:v>
      </x:c>
      <x:c r="BN925" s="14" t="str">
        <x:v>Absence from the register is not evidence that the performer is not disabled.</x:v>
      </x:c>
      <x:c r="BO925" s="14" t="n">
        <x:v>28</x:v>
      </x:c>
      <x:c r="BP925" s="14" t="str">
        <x:v>Maximum eligible IMDb cast-credit total (28), shared by 4 performer(s); not independently verified as a 2021-only episode total.</x:v>
      </x:c>
      <x:c r="BQ925" s="14" t="str">
        <x:v>Medium</x:v>
      </x:c>
      <x:c r="BR925" s="15" t="n">
        <x:v>1</x:v>
      </x:c>
      <x:c r="BS925" s="16" t="n">
        <x:v>0.03571428571428571</x:v>
      </x:c>
      <x:c r="BT925" s="14" t="str">
        <x:v>One episode</x:v>
      </x:c>
      <x:c r="BU925" s="14" t="str">
        <x:v>Medium</x:v>
      </x:c>
      <x:c r="BV925" s="14" t="str">
        <x:v>Derived from supplied IMDb episode count and the documented production-total proxy.</x:v>
      </x:c>
      <x:c r="BW925" s="14" t="str">
        <x:v>Unable to determine</x:v>
      </x:c>
      <x:c r="BX925" s="14" t="str">
        <x:v>Supplied cast data establishes the credit and episode presence but does not establish narrative prominence.</x:v>
      </x:c>
      <x:c r="BY925" s="14" t="str">
        <x:v>Supplied IMDb cast-list workbook</x:v>
      </x:c>
      <x:c r="BZ92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5" s="14" t="str">
        <x:v>Not classified</x:v>
      </x:c>
      <x:c r="CB925" s="14" t="str">
        <x:v>Unable to determine</x:v>
      </x:c>
      <x:c r="CC925" s="14" t="str">
        <x:v>Unique</x:v>
      </x:c>
      <x:c r="CD925" s="14" t="str">
        <x:v>None identified</x:v>
      </x:c>
    </x:row>
    <x:row r="926">
      <x:c r="A926" s="14" t="str">
        <x:v>tt15499118|nm0269096|violet oliver</x:v>
      </x:c>
      <x:c r="B926" s="14" t="str">
        <x:v>03</x:v>
      </x:c>
      <x:c r="C926" s="14" t="str">
        <x:v>2021_IMDb_Cast_Lists_Batch_03(1).xlsx</x:v>
      </x:c>
      <x:c r="D926" s="14" t="str">
        <x:v>The Madame Blanc Mysteries</x:v>
      </x:c>
      <x:c r="E926" s="14" t="n">
        <x:v>77</x:v>
      </x:c>
      <x:c r="F926" s="14" t="str">
        <x:v>The Madame Blanc Mysteries</x:v>
      </x:c>
      <x:c r="G926" s="14" t="str">
        <x:v>tt15499118</x:v>
      </x:c>
      <x:c r="H926" s="14" t="n">
        <x:v>2021</x:v>
      </x:c>
      <x:c r="I926" s="14" t="n">
        <x:v>2023</x:v>
      </x:c>
      <x:c r="J926" s="14" t="str">
        <x:v>Future Carry-Forward Cohort</x:v>
      </x:c>
      <x:c r="K926" s="14" t="n">
        <x:v>2021</x:v>
      </x:c>
      <x:c r="L926" s="14" t="str">
        <x:v>Available from 2021 analysis</x:v>
      </x:c>
      <x:c r="M926" s="15" t="n">
        <x:v>70</x:v>
      </x:c>
      <x:c r="N926" s="14" t="str">
        <x:v>Lisa Faulkner</x:v>
      </x:c>
      <x:c r="O926" s="14" t="str">
        <x:v>nm0269096</x:v>
      </x:c>
      <x:c r="P926" s="14" t="str">
        <x:v>Violet Oliver</x:v>
      </x:c>
      <x:c r="Q926" s="15" t="n">
        <x:v>1</x:v>
      </x:c>
      <x:c r="R926" s="14" t="str">
        <x:v>2024</x:v>
      </x:c>
      <x:c r="S926" s="14" t="n">
        <x:v>2024</x:v>
      </x:c>
      <x:c r="T926" s="14" t="n">
        <x:v>2024</x:v>
      </x:c>
      <x:c r="U926" s="14" t="str">
        <x:v>Post-2021 casting excluded</x:v>
      </x:c>
      <x:c r="V926" s="14" t="str">
        <x:v>Earliest supplied year is 2024, later than the 2021 study year.</x:v>
      </x:c>
      <x:c r="W926" s="14"/>
      <x:c r="X926" s="14" t="str">
        <x:v>Carried forward to 2024</x:v>
      </x:c>
      <x:c r="Y926" s="14"/>
      <x:c r="Z926" s="14" t="str">
        <x:v>The Madame Blanc Mysteries.docx</x:v>
      </x:c>
      <x:c r="AA92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6" s="14" t="str">
        <x:v>No established-register match</x:v>
      </x:c>
      <x:c r="AC926" s="14"/>
      <x:c r="AD926" s="14"/>
      <x:c r="AE926" s="14"/>
      <x:c r="AF926" s="14"/>
      <x:c r="AG926" s="14" t="str">
        <x:v>No qualifying conclusion recorded. Absence from the register is not evidence that the performer is not disabled.</x:v>
      </x:c>
      <x:c r="AH926" s="14" t="str">
        <x:v>Channel 5 / 5</x:v>
      </x:c>
      <x:c r="AI926" s="14" t="str">
        <x:v>UK original commission</x:v>
      </x:c>
      <x:c r="AJ926" s="14" t="str">
        <x:v>Exact normalised title</x:v>
      </x:c>
      <x:c r="AK926" s="14" t="str">
        <x:v>Medium</x:v>
      </x:c>
      <x:c r="AL926" s="14" t="str">
        <x:v>Verified for commissioner/platform scope; uk original commission.</x:v>
      </x:c>
      <x:c r="AM92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6" s="14" t="str">
        <x:v>No qualifying BBC relationship</x:v>
      </x:c>
      <x:c r="AO926" s="14" t="str">
        <x:v>No</x:v>
      </x:c>
      <x:c r="AP926" s="14" t="str">
        <x:v>Out of scope</x:v>
      </x:c>
      <x:c r="AQ926" s="14" t="str">
        <x:v>No</x:v>
      </x:c>
      <x:c r="AR926" s="14" t="str">
        <x:v>Resolved from master register</x:v>
      </x:c>
      <x:c r="AS926" s="14" t="str">
        <x:v>No established-register match</x:v>
      </x:c>
      <x:c r="AT926" s="14"/>
      <x:c r="AU926" s="14"/>
      <x:c r="AV926" s="14" t="str">
        <x:v>No established apparent-disability match</x:v>
      </x:c>
      <x:c r="AW926" s="14"/>
      <x:c r="AX926" s="14" t="str">
        <x:v>No</x:v>
      </x:c>
      <x:c r="AY926" s="14" t="str">
        <x:v>Unmatched</x:v>
      </x:c>
      <x:c r="AZ926" s="14" t="str">
        <x:v>Final supplied register</x:v>
      </x:c>
      <x:c r="BA926" s="14" t="str">
        <x:v>Absence from the register is not evidence that the performer is not disabled.</x:v>
      </x:c>
      <x:c r="BB926" s="14" t="str">
        <x:v>No established-register match</x:v>
      </x:c>
      <x:c r="BC926" s="14"/>
      <x:c r="BD926" s="14"/>
      <x:c r="BE926" s="14"/>
      <x:c r="BF926" s="14" t="str">
        <x:v>No established apparent-disability match</x:v>
      </x:c>
      <x:c r="BG926" s="14"/>
      <x:c r="BH926" s="14" t="str">
        <x:v>No</x:v>
      </x:c>
      <x:c r="BI926" s="14"/>
      <x:c r="BJ926" s="14"/>
      <x:c r="BK926" s="14"/>
      <x:c r="BL926" s="14" t="str">
        <x:v>Unmatched</x:v>
      </x:c>
      <x:c r="BM926" s="14" t="str">
        <x:v>Final supplied register</x:v>
      </x:c>
      <x:c r="BN926" s="14" t="str">
        <x:v>Absence from the register is not evidence that the performer is not disabled.</x:v>
      </x:c>
      <x:c r="BO926" s="14" t="n">
        <x:v>28</x:v>
      </x:c>
      <x:c r="BP926" s="14" t="str">
        <x:v>Maximum eligible IMDb cast-credit total (28), shared by 4 performer(s); not independently verified as a 2021-only episode total.</x:v>
      </x:c>
      <x:c r="BQ926" s="14" t="str">
        <x:v>Medium</x:v>
      </x:c>
      <x:c r="BR926" s="15" t="n">
        <x:v>1</x:v>
      </x:c>
      <x:c r="BS926" s="16" t="n">
        <x:v>0.03571428571428571</x:v>
      </x:c>
      <x:c r="BT926" s="14" t="str">
        <x:v>One episode</x:v>
      </x:c>
      <x:c r="BU926" s="14" t="str">
        <x:v>Medium</x:v>
      </x:c>
      <x:c r="BV926" s="14" t="str">
        <x:v>Derived from supplied IMDb episode count and the documented production-total proxy.</x:v>
      </x:c>
      <x:c r="BW926" s="14" t="str">
        <x:v>Unable to determine</x:v>
      </x:c>
      <x:c r="BX926" s="14" t="str">
        <x:v>Supplied cast data establishes the credit and episode presence but does not establish narrative prominence.</x:v>
      </x:c>
      <x:c r="BY926" s="14" t="str">
        <x:v>Supplied IMDb cast-list workbook</x:v>
      </x:c>
      <x:c r="BZ92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6" s="14" t="str">
        <x:v>Not classified</x:v>
      </x:c>
      <x:c r="CB926" s="14" t="str">
        <x:v>Unable to determine</x:v>
      </x:c>
      <x:c r="CC926" s="14" t="str">
        <x:v>Unique</x:v>
      </x:c>
      <x:c r="CD926" s="14" t="str">
        <x:v>None identified</x:v>
      </x:c>
    </x:row>
    <x:row r="927">
      <x:c r="A927" s="14" t="str">
        <x:v>tt15499118|nm0452950|joanna</x:v>
      </x:c>
      <x:c r="B927" s="14" t="str">
        <x:v>03</x:v>
      </x:c>
      <x:c r="C927" s="14" t="str">
        <x:v>2021_IMDb_Cast_Lists_Batch_03(1).xlsx</x:v>
      </x:c>
      <x:c r="D927" s="14" t="str">
        <x:v>The Madame Blanc Mysteries</x:v>
      </x:c>
      <x:c r="E927" s="14" t="n">
        <x:v>84</x:v>
      </x:c>
      <x:c r="F927" s="14" t="str">
        <x:v>The Madame Blanc Mysteries</x:v>
      </x:c>
      <x:c r="G927" s="14" t="str">
        <x:v>tt15499118</x:v>
      </x:c>
      <x:c r="H927" s="14" t="n">
        <x:v>2021</x:v>
      </x:c>
      <x:c r="I927" s="14" t="n">
        <x:v>2023</x:v>
      </x:c>
      <x:c r="J927" s="14" t="str">
        <x:v>Future Carry-Forward Cohort</x:v>
      </x:c>
      <x:c r="K927" s="14" t="n">
        <x:v>2021</x:v>
      </x:c>
      <x:c r="L927" s="14" t="str">
        <x:v>Available from 2021 analysis</x:v>
      </x:c>
      <x:c r="M927" s="15" t="n">
        <x:v>77</x:v>
      </x:c>
      <x:c r="N927" s="14" t="str">
        <x:v>Melanie Kilburn</x:v>
      </x:c>
      <x:c r="O927" s="14" t="str">
        <x:v>nm0452950</x:v>
      </x:c>
      <x:c r="P927" s="14" t="str">
        <x:v>Joanna</x:v>
      </x:c>
      <x:c r="Q927" s="15" t="n">
        <x:v>1</x:v>
      </x:c>
      <x:c r="R927" s="14" t="str">
        <x:v>2024</x:v>
      </x:c>
      <x:c r="S927" s="14" t="n">
        <x:v>2024</x:v>
      </x:c>
      <x:c r="T927" s="14" t="n">
        <x:v>2024</x:v>
      </x:c>
      <x:c r="U927" s="14" t="str">
        <x:v>Post-2021 casting excluded</x:v>
      </x:c>
      <x:c r="V927" s="14" t="str">
        <x:v>Earliest supplied year is 2024, later than the 2021 study year.</x:v>
      </x:c>
      <x:c r="W927" s="14"/>
      <x:c r="X927" s="14" t="str">
        <x:v>Carried forward to 2024</x:v>
      </x:c>
      <x:c r="Y927" s="14"/>
      <x:c r="Z927" s="14" t="str">
        <x:v>The Madame Blanc Mysteries.docx</x:v>
      </x:c>
      <x:c r="AA92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7" s="14" t="str">
        <x:v>No established-register match</x:v>
      </x:c>
      <x:c r="AC927" s="14"/>
      <x:c r="AD927" s="14"/>
      <x:c r="AE927" s="14"/>
      <x:c r="AF927" s="14"/>
      <x:c r="AG927" s="14" t="str">
        <x:v>No qualifying conclusion recorded. Absence from the register is not evidence that the performer is not disabled.</x:v>
      </x:c>
      <x:c r="AH927" s="14" t="str">
        <x:v>Channel 5 / 5</x:v>
      </x:c>
      <x:c r="AI927" s="14" t="str">
        <x:v>UK original commission</x:v>
      </x:c>
      <x:c r="AJ927" s="14" t="str">
        <x:v>Exact normalised title</x:v>
      </x:c>
      <x:c r="AK927" s="14" t="str">
        <x:v>Medium</x:v>
      </x:c>
      <x:c r="AL927" s="14" t="str">
        <x:v>Verified for commissioner/platform scope; uk original commission.</x:v>
      </x:c>
      <x:c r="AM92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7" s="14" t="str">
        <x:v>No qualifying BBC relationship</x:v>
      </x:c>
      <x:c r="AO927" s="14" t="str">
        <x:v>No</x:v>
      </x:c>
      <x:c r="AP927" s="14" t="str">
        <x:v>Out of scope</x:v>
      </x:c>
      <x:c r="AQ927" s="14" t="str">
        <x:v>No</x:v>
      </x:c>
      <x:c r="AR927" s="14" t="str">
        <x:v>Resolved from master register</x:v>
      </x:c>
      <x:c r="AS927" s="14" t="str">
        <x:v>No established-register match</x:v>
      </x:c>
      <x:c r="AT927" s="14"/>
      <x:c r="AU927" s="14"/>
      <x:c r="AV927" s="14" t="str">
        <x:v>No established apparent-disability match</x:v>
      </x:c>
      <x:c r="AW927" s="14"/>
      <x:c r="AX927" s="14" t="str">
        <x:v>No</x:v>
      </x:c>
      <x:c r="AY927" s="14" t="str">
        <x:v>Unmatched</x:v>
      </x:c>
      <x:c r="AZ927" s="14" t="str">
        <x:v>Final supplied register</x:v>
      </x:c>
      <x:c r="BA927" s="14" t="str">
        <x:v>Absence from the register is not evidence that the performer is not disabled.</x:v>
      </x:c>
      <x:c r="BB927" s="14" t="str">
        <x:v>No established-register match</x:v>
      </x:c>
      <x:c r="BC927" s="14"/>
      <x:c r="BD927" s="14"/>
      <x:c r="BE927" s="14"/>
      <x:c r="BF927" s="14" t="str">
        <x:v>No established apparent-disability match</x:v>
      </x:c>
      <x:c r="BG927" s="14"/>
      <x:c r="BH927" s="14" t="str">
        <x:v>No</x:v>
      </x:c>
      <x:c r="BI927" s="14"/>
      <x:c r="BJ927" s="14"/>
      <x:c r="BK927" s="14"/>
      <x:c r="BL927" s="14" t="str">
        <x:v>Unmatched</x:v>
      </x:c>
      <x:c r="BM927" s="14" t="str">
        <x:v>Final supplied register</x:v>
      </x:c>
      <x:c r="BN927" s="14" t="str">
        <x:v>Absence from the register is not evidence that the performer is not disabled.</x:v>
      </x:c>
      <x:c r="BO927" s="14" t="n">
        <x:v>28</x:v>
      </x:c>
      <x:c r="BP927" s="14" t="str">
        <x:v>Maximum eligible IMDb cast-credit total (28), shared by 4 performer(s); not independently verified as a 2021-only episode total.</x:v>
      </x:c>
      <x:c r="BQ927" s="14" t="str">
        <x:v>Medium</x:v>
      </x:c>
      <x:c r="BR927" s="15" t="n">
        <x:v>1</x:v>
      </x:c>
      <x:c r="BS927" s="16" t="n">
        <x:v>0.03571428571428571</x:v>
      </x:c>
      <x:c r="BT927" s="14" t="str">
        <x:v>One episode</x:v>
      </x:c>
      <x:c r="BU927" s="14" t="str">
        <x:v>Medium</x:v>
      </x:c>
      <x:c r="BV927" s="14" t="str">
        <x:v>Derived from supplied IMDb episode count and the documented production-total proxy.</x:v>
      </x:c>
      <x:c r="BW927" s="14" t="str">
        <x:v>Unable to determine</x:v>
      </x:c>
      <x:c r="BX927" s="14" t="str">
        <x:v>Supplied cast data establishes the credit and episode presence but does not establish narrative prominence.</x:v>
      </x:c>
      <x:c r="BY927" s="14" t="str">
        <x:v>Supplied IMDb cast-list workbook</x:v>
      </x:c>
      <x:c r="BZ92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7" s="14" t="str">
        <x:v>Not classified</x:v>
      </x:c>
      <x:c r="CB927" s="14" t="str">
        <x:v>Unable to determine</x:v>
      </x:c>
      <x:c r="CC927" s="14" t="str">
        <x:v>Unique</x:v>
      </x:c>
      <x:c r="CD927" s="14" t="str">
        <x:v>None identified</x:v>
      </x:c>
    </x:row>
    <x:row r="928">
      <x:c r="A928" s="14" t="str">
        <x:v>tt15499118|nm13047914|noemie</x:v>
      </x:c>
      <x:c r="B928" s="14" t="str">
        <x:v>03</x:v>
      </x:c>
      <x:c r="C928" s="14" t="str">
        <x:v>2021_IMDb_Cast_Lists_Batch_03(1).xlsx</x:v>
      </x:c>
      <x:c r="D928" s="14" t="str">
        <x:v>The Madame Blanc Mysteries</x:v>
      </x:c>
      <x:c r="E928" s="14" t="n">
        <x:v>85</x:v>
      </x:c>
      <x:c r="F928" s="14" t="str">
        <x:v>The Madame Blanc Mysteries</x:v>
      </x:c>
      <x:c r="G928" s="14" t="str">
        <x:v>tt15499118</x:v>
      </x:c>
      <x:c r="H928" s="14" t="n">
        <x:v>2021</x:v>
      </x:c>
      <x:c r="I928" s="14" t="n">
        <x:v>2023</x:v>
      </x:c>
      <x:c r="J928" s="14" t="str">
        <x:v>Future Carry-Forward Cohort</x:v>
      </x:c>
      <x:c r="K928" s="14" t="n">
        <x:v>2021</x:v>
      </x:c>
      <x:c r="L928" s="14" t="str">
        <x:v>Available from 2021 analysis</x:v>
      </x:c>
      <x:c r="M928" s="15" t="n">
        <x:v>78</x:v>
      </x:c>
      <x:c r="N928" s="14" t="str">
        <x:v>Umulisa Gahiga</x:v>
      </x:c>
      <x:c r="O928" s="14" t="str">
        <x:v>nm13047914</x:v>
      </x:c>
      <x:c r="P928" s="14" t="str">
        <x:v>Noemie</x:v>
      </x:c>
      <x:c r="Q928" s="15" t="n">
        <x:v>1</x:v>
      </x:c>
      <x:c r="R928" s="14" t="str">
        <x:v>2024</x:v>
      </x:c>
      <x:c r="S928" s="14" t="n">
        <x:v>2024</x:v>
      </x:c>
      <x:c r="T928" s="14" t="n">
        <x:v>2024</x:v>
      </x:c>
      <x:c r="U928" s="14" t="str">
        <x:v>Post-2021 casting excluded</x:v>
      </x:c>
      <x:c r="V928" s="14" t="str">
        <x:v>Earliest supplied year is 2024, later than the 2021 study year.</x:v>
      </x:c>
      <x:c r="W928" s="14"/>
      <x:c r="X928" s="14" t="str">
        <x:v>Carried forward to 2024</x:v>
      </x:c>
      <x:c r="Y928" s="14"/>
      <x:c r="Z928" s="14" t="str">
        <x:v>The Madame Blanc Mysteries.docx</x:v>
      </x:c>
      <x:c r="AA92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8" s="14" t="str">
        <x:v>No established-register match</x:v>
      </x:c>
      <x:c r="AC928" s="14"/>
      <x:c r="AD928" s="14"/>
      <x:c r="AE928" s="14"/>
      <x:c r="AF928" s="14"/>
      <x:c r="AG928" s="14" t="str">
        <x:v>No qualifying conclusion recorded. Absence from the register is not evidence that the performer is not disabled.</x:v>
      </x:c>
      <x:c r="AH928" s="14" t="str">
        <x:v>Channel 5 / 5</x:v>
      </x:c>
      <x:c r="AI928" s="14" t="str">
        <x:v>UK original commission</x:v>
      </x:c>
      <x:c r="AJ928" s="14" t="str">
        <x:v>Exact normalised title</x:v>
      </x:c>
      <x:c r="AK928" s="14" t="str">
        <x:v>Medium</x:v>
      </x:c>
      <x:c r="AL928" s="14" t="str">
        <x:v>Verified for commissioner/platform scope; uk original commission.</x:v>
      </x:c>
      <x:c r="AM92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8" s="14" t="str">
        <x:v>No qualifying BBC relationship</x:v>
      </x:c>
      <x:c r="AO928" s="14" t="str">
        <x:v>No</x:v>
      </x:c>
      <x:c r="AP928" s="14" t="str">
        <x:v>Out of scope</x:v>
      </x:c>
      <x:c r="AQ928" s="14" t="str">
        <x:v>No</x:v>
      </x:c>
      <x:c r="AR928" s="14" t="str">
        <x:v>Resolved from master register</x:v>
      </x:c>
      <x:c r="AS928" s="14" t="str">
        <x:v>No established-register match</x:v>
      </x:c>
      <x:c r="AT928" s="14"/>
      <x:c r="AU928" s="14"/>
      <x:c r="AV928" s="14" t="str">
        <x:v>No established apparent-disability match</x:v>
      </x:c>
      <x:c r="AW928" s="14"/>
      <x:c r="AX928" s="14" t="str">
        <x:v>No</x:v>
      </x:c>
      <x:c r="AY928" s="14" t="str">
        <x:v>Unmatched</x:v>
      </x:c>
      <x:c r="AZ928" s="14" t="str">
        <x:v>Final supplied register</x:v>
      </x:c>
      <x:c r="BA928" s="14" t="str">
        <x:v>Absence from the register is not evidence that the performer is not disabled.</x:v>
      </x:c>
      <x:c r="BB928" s="14" t="str">
        <x:v>No established-register match</x:v>
      </x:c>
      <x:c r="BC928" s="14"/>
      <x:c r="BD928" s="14"/>
      <x:c r="BE928" s="14"/>
      <x:c r="BF928" s="14" t="str">
        <x:v>No established apparent-disability match</x:v>
      </x:c>
      <x:c r="BG928" s="14"/>
      <x:c r="BH928" s="14" t="str">
        <x:v>No</x:v>
      </x:c>
      <x:c r="BI928" s="14"/>
      <x:c r="BJ928" s="14"/>
      <x:c r="BK928" s="14"/>
      <x:c r="BL928" s="14" t="str">
        <x:v>Unmatched</x:v>
      </x:c>
      <x:c r="BM928" s="14" t="str">
        <x:v>Final supplied register</x:v>
      </x:c>
      <x:c r="BN928" s="14" t="str">
        <x:v>Absence from the register is not evidence that the performer is not disabled.</x:v>
      </x:c>
      <x:c r="BO928" s="14" t="n">
        <x:v>28</x:v>
      </x:c>
      <x:c r="BP928" s="14" t="str">
        <x:v>Maximum eligible IMDb cast-credit total (28), shared by 4 performer(s); not independently verified as a 2021-only episode total.</x:v>
      </x:c>
      <x:c r="BQ928" s="14" t="str">
        <x:v>Medium</x:v>
      </x:c>
      <x:c r="BR928" s="15" t="n">
        <x:v>1</x:v>
      </x:c>
      <x:c r="BS928" s="16" t="n">
        <x:v>0.03571428571428571</x:v>
      </x:c>
      <x:c r="BT928" s="14" t="str">
        <x:v>One episode</x:v>
      </x:c>
      <x:c r="BU928" s="14" t="str">
        <x:v>Medium</x:v>
      </x:c>
      <x:c r="BV928" s="14" t="str">
        <x:v>Derived from supplied IMDb episode count and the documented production-total proxy.</x:v>
      </x:c>
      <x:c r="BW928" s="14" t="str">
        <x:v>Unable to determine</x:v>
      </x:c>
      <x:c r="BX928" s="14" t="str">
        <x:v>Supplied cast data establishes the credit and episode presence but does not establish narrative prominence.</x:v>
      </x:c>
      <x:c r="BY928" s="14" t="str">
        <x:v>Supplied IMDb cast-list workbook</x:v>
      </x:c>
      <x:c r="BZ92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8" s="14" t="str">
        <x:v>Not classified</x:v>
      </x:c>
      <x:c r="CB928" s="14" t="str">
        <x:v>Unable to determine</x:v>
      </x:c>
      <x:c r="CC928" s="14" t="str">
        <x:v>Unique</x:v>
      </x:c>
      <x:c r="CD928" s="14" t="str">
        <x:v>None identified</x:v>
      </x:c>
    </x:row>
    <x:row r="929">
      <x:c r="A929" s="14" t="str">
        <x:v>tt15499118|nm1742834|nadine briseois</x:v>
      </x:c>
      <x:c r="B929" s="14" t="str">
        <x:v>03</x:v>
      </x:c>
      <x:c r="C929" s="14" t="str">
        <x:v>2021_IMDb_Cast_Lists_Batch_03(1).xlsx</x:v>
      </x:c>
      <x:c r="D929" s="14" t="str">
        <x:v>The Madame Blanc Mysteries</x:v>
      </x:c>
      <x:c r="E929" s="14" t="n">
        <x:v>86</x:v>
      </x:c>
      <x:c r="F929" s="14" t="str">
        <x:v>The Madame Blanc Mysteries</x:v>
      </x:c>
      <x:c r="G929" s="14" t="str">
        <x:v>tt15499118</x:v>
      </x:c>
      <x:c r="H929" s="14" t="n">
        <x:v>2021</x:v>
      </x:c>
      <x:c r="I929" s="14" t="n">
        <x:v>2023</x:v>
      </x:c>
      <x:c r="J929" s="14" t="str">
        <x:v>Future Carry-Forward Cohort</x:v>
      </x:c>
      <x:c r="K929" s="14" t="n">
        <x:v>2021</x:v>
      </x:c>
      <x:c r="L929" s="14" t="str">
        <x:v>Available from 2021 analysis</x:v>
      </x:c>
      <x:c r="M929" s="15" t="n">
        <x:v>79</x:v>
      </x:c>
      <x:c r="N929" s="14" t="str">
        <x:v>Maëlle Genet</x:v>
      </x:c>
      <x:c r="O929" s="14" t="str">
        <x:v>nm1742834</x:v>
      </x:c>
      <x:c r="P929" s="14" t="str">
        <x:v>Nadine Briseois</x:v>
      </x:c>
      <x:c r="Q929" s="15" t="n">
        <x:v>1</x:v>
      </x:c>
      <x:c r="R929" s="14" t="str">
        <x:v>2024</x:v>
      </x:c>
      <x:c r="S929" s="14" t="n">
        <x:v>2024</x:v>
      </x:c>
      <x:c r="T929" s="14" t="n">
        <x:v>2024</x:v>
      </x:c>
      <x:c r="U929" s="14" t="str">
        <x:v>Post-2021 casting excluded</x:v>
      </x:c>
      <x:c r="V929" s="14" t="str">
        <x:v>Earliest supplied year is 2024, later than the 2021 study year.</x:v>
      </x:c>
      <x:c r="W929" s="14"/>
      <x:c r="X929" s="14" t="str">
        <x:v>Carried forward to 2024</x:v>
      </x:c>
      <x:c r="Y929" s="14"/>
      <x:c r="Z929" s="14" t="str">
        <x:v>The Madame Blanc Mysteries.docx</x:v>
      </x:c>
      <x:c r="AA92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9" s="14" t="str">
        <x:v>No established-register match</x:v>
      </x:c>
      <x:c r="AC929" s="14"/>
      <x:c r="AD929" s="14"/>
      <x:c r="AE929" s="14"/>
      <x:c r="AF929" s="14"/>
      <x:c r="AG929" s="14" t="str">
        <x:v>No qualifying conclusion recorded. Absence from the register is not evidence that the performer is not disabled.</x:v>
      </x:c>
      <x:c r="AH929" s="14" t="str">
        <x:v>Channel 5 / 5</x:v>
      </x:c>
      <x:c r="AI929" s="14" t="str">
        <x:v>UK original commission</x:v>
      </x:c>
      <x:c r="AJ929" s="14" t="str">
        <x:v>Exact normalised title</x:v>
      </x:c>
      <x:c r="AK929" s="14" t="str">
        <x:v>Medium</x:v>
      </x:c>
      <x:c r="AL929" s="14" t="str">
        <x:v>Verified for commissioner/platform scope; uk original commission.</x:v>
      </x:c>
      <x:c r="AM92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9" s="14" t="str">
        <x:v>No qualifying BBC relationship</x:v>
      </x:c>
      <x:c r="AO929" s="14" t="str">
        <x:v>No</x:v>
      </x:c>
      <x:c r="AP929" s="14" t="str">
        <x:v>Out of scope</x:v>
      </x:c>
      <x:c r="AQ929" s="14" t="str">
        <x:v>No</x:v>
      </x:c>
      <x:c r="AR929" s="14" t="str">
        <x:v>Resolved from master register</x:v>
      </x:c>
      <x:c r="AS929" s="14" t="str">
        <x:v>No established-register match</x:v>
      </x:c>
      <x:c r="AT929" s="14"/>
      <x:c r="AU929" s="14"/>
      <x:c r="AV929" s="14" t="str">
        <x:v>No established apparent-disability match</x:v>
      </x:c>
      <x:c r="AW929" s="14"/>
      <x:c r="AX929" s="14" t="str">
        <x:v>No</x:v>
      </x:c>
      <x:c r="AY929" s="14" t="str">
        <x:v>Unmatched</x:v>
      </x:c>
      <x:c r="AZ929" s="14" t="str">
        <x:v>Final supplied register</x:v>
      </x:c>
      <x:c r="BA929" s="14" t="str">
        <x:v>Absence from the register is not evidence that the performer is not disabled.</x:v>
      </x:c>
      <x:c r="BB929" s="14" t="str">
        <x:v>No established-register match</x:v>
      </x:c>
      <x:c r="BC929" s="14"/>
      <x:c r="BD929" s="14"/>
      <x:c r="BE929" s="14"/>
      <x:c r="BF929" s="14" t="str">
        <x:v>No established apparent-disability match</x:v>
      </x:c>
      <x:c r="BG929" s="14"/>
      <x:c r="BH929" s="14" t="str">
        <x:v>No</x:v>
      </x:c>
      <x:c r="BI929" s="14"/>
      <x:c r="BJ929" s="14"/>
      <x:c r="BK929" s="14"/>
      <x:c r="BL929" s="14" t="str">
        <x:v>Unmatched</x:v>
      </x:c>
      <x:c r="BM929" s="14" t="str">
        <x:v>Final supplied register</x:v>
      </x:c>
      <x:c r="BN929" s="14" t="str">
        <x:v>Absence from the register is not evidence that the performer is not disabled.</x:v>
      </x:c>
      <x:c r="BO929" s="14" t="n">
        <x:v>28</x:v>
      </x:c>
      <x:c r="BP929" s="14" t="str">
        <x:v>Maximum eligible IMDb cast-credit total (28), shared by 4 performer(s); not independently verified as a 2021-only episode total.</x:v>
      </x:c>
      <x:c r="BQ929" s="14" t="str">
        <x:v>Medium</x:v>
      </x:c>
      <x:c r="BR929" s="15" t="n">
        <x:v>1</x:v>
      </x:c>
      <x:c r="BS929" s="16" t="n">
        <x:v>0.03571428571428571</x:v>
      </x:c>
      <x:c r="BT929" s="14" t="str">
        <x:v>One episode</x:v>
      </x:c>
      <x:c r="BU929" s="14" t="str">
        <x:v>Medium</x:v>
      </x:c>
      <x:c r="BV929" s="14" t="str">
        <x:v>Derived from supplied IMDb episode count and the documented production-total proxy.</x:v>
      </x:c>
      <x:c r="BW929" s="14" t="str">
        <x:v>Unable to determine</x:v>
      </x:c>
      <x:c r="BX929" s="14" t="str">
        <x:v>Supplied cast data establishes the credit and episode presence but does not establish narrative prominence.</x:v>
      </x:c>
      <x:c r="BY929" s="14" t="str">
        <x:v>Supplied IMDb cast-list workbook</x:v>
      </x:c>
      <x:c r="BZ92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9" s="14" t="str">
        <x:v>Not classified</x:v>
      </x:c>
      <x:c r="CB929" s="14" t="str">
        <x:v>Unable to determine</x:v>
      </x:c>
      <x:c r="CC929" s="14" t="str">
        <x:v>Unique</x:v>
      </x:c>
      <x:c r="CD929" s="14" t="str">
        <x:v>None identified</x:v>
      </x:c>
    </x:row>
    <x:row r="930">
      <x:c r="A930" s="14" t="str">
        <x:v>tt15499118|nm5439261|keith scott</x:v>
      </x:c>
      <x:c r="B930" s="14" t="str">
        <x:v>03</x:v>
      </x:c>
      <x:c r="C930" s="14" t="str">
        <x:v>2021_IMDb_Cast_Lists_Batch_03(1).xlsx</x:v>
      </x:c>
      <x:c r="D930" s="14" t="str">
        <x:v>The Madame Blanc Mysteries</x:v>
      </x:c>
      <x:c r="E930" s="14" t="n">
        <x:v>87</x:v>
      </x:c>
      <x:c r="F930" s="14" t="str">
        <x:v>The Madame Blanc Mysteries</x:v>
      </x:c>
      <x:c r="G930" s="14" t="str">
        <x:v>tt15499118</x:v>
      </x:c>
      <x:c r="H930" s="14" t="n">
        <x:v>2021</x:v>
      </x:c>
      <x:c r="I930" s="14" t="n">
        <x:v>2023</x:v>
      </x:c>
      <x:c r="J930" s="14" t="str">
        <x:v>Future Carry-Forward Cohort</x:v>
      </x:c>
      <x:c r="K930" s="14" t="n">
        <x:v>2021</x:v>
      </x:c>
      <x:c r="L930" s="14" t="str">
        <x:v>Available from 2021 analysis</x:v>
      </x:c>
      <x:c r="M930" s="15" t="n">
        <x:v>80</x:v>
      </x:c>
      <x:c r="N930" s="14" t="str">
        <x:v>Jeremy Lloyd Thomas</x:v>
      </x:c>
      <x:c r="O930" s="14" t="str">
        <x:v>nm5439261</x:v>
      </x:c>
      <x:c r="P930" s="14" t="str">
        <x:v>Keith Scott</x:v>
      </x:c>
      <x:c r="Q930" s="15" t="n">
        <x:v>1</x:v>
      </x:c>
      <x:c r="R930" s="14" t="str">
        <x:v>2024</x:v>
      </x:c>
      <x:c r="S930" s="14" t="n">
        <x:v>2024</x:v>
      </x:c>
      <x:c r="T930" s="14" t="n">
        <x:v>2024</x:v>
      </x:c>
      <x:c r="U930" s="14" t="str">
        <x:v>Post-2021 casting excluded</x:v>
      </x:c>
      <x:c r="V930" s="14" t="str">
        <x:v>Earliest supplied year is 2024, later than the 2021 study year.</x:v>
      </x:c>
      <x:c r="W930" s="14"/>
      <x:c r="X930" s="14" t="str">
        <x:v>Carried forward to 2024</x:v>
      </x:c>
      <x:c r="Y930" s="14" t="str">
        <x:v>(as Jeremy Lloyd-Thomas)</x:v>
      </x:c>
      <x:c r="Z930" s="14" t="str">
        <x:v>The Madame Blanc Mysteries.docx</x:v>
      </x:c>
      <x:c r="AA93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0" s="14" t="str">
        <x:v>No established-register match</x:v>
      </x:c>
      <x:c r="AC930" s="14"/>
      <x:c r="AD930" s="14"/>
      <x:c r="AE930" s="14"/>
      <x:c r="AF930" s="14"/>
      <x:c r="AG930" s="14" t="str">
        <x:v>No qualifying conclusion recorded. Absence from the register is not evidence that the performer is not disabled.</x:v>
      </x:c>
      <x:c r="AH930" s="14" t="str">
        <x:v>Channel 5 / 5</x:v>
      </x:c>
      <x:c r="AI930" s="14" t="str">
        <x:v>UK original commission</x:v>
      </x:c>
      <x:c r="AJ930" s="14" t="str">
        <x:v>Exact normalised title</x:v>
      </x:c>
      <x:c r="AK930" s="14" t="str">
        <x:v>Medium</x:v>
      </x:c>
      <x:c r="AL930" s="14" t="str">
        <x:v>Verified for commissioner/platform scope; uk original commission.</x:v>
      </x:c>
      <x:c r="AM93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0" s="14" t="str">
        <x:v>No qualifying BBC relationship</x:v>
      </x:c>
      <x:c r="AO930" s="14" t="str">
        <x:v>No</x:v>
      </x:c>
      <x:c r="AP930" s="14" t="str">
        <x:v>Out of scope</x:v>
      </x:c>
      <x:c r="AQ930" s="14" t="str">
        <x:v>No</x:v>
      </x:c>
      <x:c r="AR930" s="14" t="str">
        <x:v>Resolved from master register</x:v>
      </x:c>
      <x:c r="AS930" s="14" t="str">
        <x:v>No established-register match</x:v>
      </x:c>
      <x:c r="AT930" s="14"/>
      <x:c r="AU930" s="14"/>
      <x:c r="AV930" s="14" t="str">
        <x:v>No established apparent-disability match</x:v>
      </x:c>
      <x:c r="AW930" s="14"/>
      <x:c r="AX930" s="14" t="str">
        <x:v>No</x:v>
      </x:c>
      <x:c r="AY930" s="14" t="str">
        <x:v>Unmatched</x:v>
      </x:c>
      <x:c r="AZ930" s="14" t="str">
        <x:v>Final supplied register</x:v>
      </x:c>
      <x:c r="BA930" s="14" t="str">
        <x:v>Absence from the register is not evidence that the performer is not disabled.</x:v>
      </x:c>
      <x:c r="BB930" s="14" t="str">
        <x:v>No established-register match</x:v>
      </x:c>
      <x:c r="BC930" s="14"/>
      <x:c r="BD930" s="14"/>
      <x:c r="BE930" s="14"/>
      <x:c r="BF930" s="14" t="str">
        <x:v>No established apparent-disability match</x:v>
      </x:c>
      <x:c r="BG930" s="14"/>
      <x:c r="BH930" s="14" t="str">
        <x:v>No</x:v>
      </x:c>
      <x:c r="BI930" s="14"/>
      <x:c r="BJ930" s="14"/>
      <x:c r="BK930" s="14"/>
      <x:c r="BL930" s="14" t="str">
        <x:v>Unmatched</x:v>
      </x:c>
      <x:c r="BM930" s="14" t="str">
        <x:v>Final supplied register</x:v>
      </x:c>
      <x:c r="BN930" s="14" t="str">
        <x:v>Absence from the register is not evidence that the performer is not disabled.</x:v>
      </x:c>
      <x:c r="BO930" s="14" t="n">
        <x:v>28</x:v>
      </x:c>
      <x:c r="BP930" s="14" t="str">
        <x:v>Maximum eligible IMDb cast-credit total (28), shared by 4 performer(s); not independently verified as a 2021-only episode total.</x:v>
      </x:c>
      <x:c r="BQ930" s="14" t="str">
        <x:v>Medium</x:v>
      </x:c>
      <x:c r="BR930" s="15" t="n">
        <x:v>1</x:v>
      </x:c>
      <x:c r="BS930" s="16" t="n">
        <x:v>0.03571428571428571</x:v>
      </x:c>
      <x:c r="BT930" s="14" t="str">
        <x:v>One episode</x:v>
      </x:c>
      <x:c r="BU930" s="14" t="str">
        <x:v>Medium</x:v>
      </x:c>
      <x:c r="BV930" s="14" t="str">
        <x:v>Derived from supplied IMDb episode count and the documented production-total proxy.</x:v>
      </x:c>
      <x:c r="BW930" s="14" t="str">
        <x:v>Unable to determine</x:v>
      </x:c>
      <x:c r="BX930" s="14" t="str">
        <x:v>Supplied cast data establishes the credit and episode presence but does not establish narrative prominence.</x:v>
      </x:c>
      <x:c r="BY930" s="14" t="str">
        <x:v>Supplied IMDb cast-list workbook</x:v>
      </x:c>
      <x:c r="BZ93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0" s="14" t="str">
        <x:v>Not classified</x:v>
      </x:c>
      <x:c r="CB930" s="14" t="str">
        <x:v>Unable to determine</x:v>
      </x:c>
      <x:c r="CC930" s="14" t="str">
        <x:v>Unique</x:v>
      </x:c>
      <x:c r="CD930" s="14" t="str">
        <x:v>None identified</x:v>
      </x:c>
    </x:row>
    <x:row r="931">
      <x:c r="A931" s="14" t="str">
        <x:v>tt15499118|nm1279969|sonny montario</x:v>
      </x:c>
      <x:c r="B931" s="14" t="str">
        <x:v>03</x:v>
      </x:c>
      <x:c r="C931" s="14" t="str">
        <x:v>2021_IMDb_Cast_Lists_Batch_03(1).xlsx</x:v>
      </x:c>
      <x:c r="D931" s="14" t="str">
        <x:v>The Madame Blanc Mysteries</x:v>
      </x:c>
      <x:c r="E931" s="14" t="n">
        <x:v>96</x:v>
      </x:c>
      <x:c r="F931" s="14" t="str">
        <x:v>The Madame Blanc Mysteries</x:v>
      </x:c>
      <x:c r="G931" s="14" t="str">
        <x:v>tt15499118</x:v>
      </x:c>
      <x:c r="H931" s="14" t="n">
        <x:v>2021</x:v>
      </x:c>
      <x:c r="I931" s="14" t="n">
        <x:v>2023</x:v>
      </x:c>
      <x:c r="J931" s="14" t="str">
        <x:v>Future Carry-Forward Cohort</x:v>
      </x:c>
      <x:c r="K931" s="14" t="n">
        <x:v>2021</x:v>
      </x:c>
      <x:c r="L931" s="14" t="str">
        <x:v>Available from 2021 analysis</x:v>
      </x:c>
      <x:c r="M931" s="15" t="n">
        <x:v>89</x:v>
      </x:c>
      <x:c r="N931" s="14" t="str">
        <x:v>Sanjeev Kohli</x:v>
      </x:c>
      <x:c r="O931" s="14" t="str">
        <x:v>nm1279969</x:v>
      </x:c>
      <x:c r="P931" s="14" t="str">
        <x:v>Sonny Montario</x:v>
      </x:c>
      <x:c r="Q931" s="15" t="n">
        <x:v>1</x:v>
      </x:c>
      <x:c r="R931" s="14" t="str">
        <x:v>2024</x:v>
      </x:c>
      <x:c r="S931" s="14" t="n">
        <x:v>2024</x:v>
      </x:c>
      <x:c r="T931" s="14" t="n">
        <x:v>2024</x:v>
      </x:c>
      <x:c r="U931" s="14" t="str">
        <x:v>Post-2021 casting excluded</x:v>
      </x:c>
      <x:c r="V931" s="14" t="str">
        <x:v>Earliest supplied year is 2024, later than the 2021 study year.</x:v>
      </x:c>
      <x:c r="W931" s="14"/>
      <x:c r="X931" s="14" t="str">
        <x:v>Carried forward to 2024</x:v>
      </x:c>
      <x:c r="Y931" s="14"/>
      <x:c r="Z931" s="14" t="str">
        <x:v>The Madame Blanc Mysteries.docx</x:v>
      </x:c>
      <x:c r="AA9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1" s="14" t="str">
        <x:v>No established-register match</x:v>
      </x:c>
      <x:c r="AC931" s="14"/>
      <x:c r="AD931" s="14"/>
      <x:c r="AE931" s="14"/>
      <x:c r="AF931" s="14"/>
      <x:c r="AG931" s="14" t="str">
        <x:v>No qualifying conclusion recorded. Absence from the register is not evidence that the performer is not disabled.</x:v>
      </x:c>
      <x:c r="AH931" s="14" t="str">
        <x:v>Channel 5 / 5</x:v>
      </x:c>
      <x:c r="AI931" s="14" t="str">
        <x:v>UK original commission</x:v>
      </x:c>
      <x:c r="AJ931" s="14" t="str">
        <x:v>Exact normalised title</x:v>
      </x:c>
      <x:c r="AK931" s="14" t="str">
        <x:v>Medium</x:v>
      </x:c>
      <x:c r="AL931" s="14" t="str">
        <x:v>Verified for commissioner/platform scope; uk original commission.</x:v>
      </x:c>
      <x:c r="AM93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1" s="14" t="str">
        <x:v>No qualifying BBC relationship</x:v>
      </x:c>
      <x:c r="AO931" s="14" t="str">
        <x:v>No</x:v>
      </x:c>
      <x:c r="AP931" s="14" t="str">
        <x:v>Out of scope</x:v>
      </x:c>
      <x:c r="AQ931" s="14" t="str">
        <x:v>No</x:v>
      </x:c>
      <x:c r="AR931" s="14" t="str">
        <x:v>Resolved from master register</x:v>
      </x:c>
      <x:c r="AS931" s="14" t="str">
        <x:v>No established-register match</x:v>
      </x:c>
      <x:c r="AT931" s="14"/>
      <x:c r="AU931" s="14"/>
      <x:c r="AV931" s="14" t="str">
        <x:v>No established apparent-disability match</x:v>
      </x:c>
      <x:c r="AW931" s="14"/>
      <x:c r="AX931" s="14" t="str">
        <x:v>No</x:v>
      </x:c>
      <x:c r="AY931" s="14" t="str">
        <x:v>Unmatched</x:v>
      </x:c>
      <x:c r="AZ931" s="14" t="str">
        <x:v>Final supplied register</x:v>
      </x:c>
      <x:c r="BA931" s="14" t="str">
        <x:v>Absence from the register is not evidence that the performer is not disabled.</x:v>
      </x:c>
      <x:c r="BB931" s="14" t="str">
        <x:v>No established-register match</x:v>
      </x:c>
      <x:c r="BC931" s="14"/>
      <x:c r="BD931" s="14"/>
      <x:c r="BE931" s="14"/>
      <x:c r="BF931" s="14" t="str">
        <x:v>No established apparent-disability match</x:v>
      </x:c>
      <x:c r="BG931" s="14"/>
      <x:c r="BH931" s="14" t="str">
        <x:v>No</x:v>
      </x:c>
      <x:c r="BI931" s="14"/>
      <x:c r="BJ931" s="14"/>
      <x:c r="BK931" s="14"/>
      <x:c r="BL931" s="14" t="str">
        <x:v>Unmatched</x:v>
      </x:c>
      <x:c r="BM931" s="14" t="str">
        <x:v>Final supplied register</x:v>
      </x:c>
      <x:c r="BN931" s="14" t="str">
        <x:v>Absence from the register is not evidence that the performer is not disabled.</x:v>
      </x:c>
      <x:c r="BO931" s="14" t="n">
        <x:v>28</x:v>
      </x:c>
      <x:c r="BP931" s="14" t="str">
        <x:v>Maximum eligible IMDb cast-credit total (28), shared by 4 performer(s); not independently verified as a 2021-only episode total.</x:v>
      </x:c>
      <x:c r="BQ931" s="14" t="str">
        <x:v>Medium</x:v>
      </x:c>
      <x:c r="BR931" s="15" t="n">
        <x:v>1</x:v>
      </x:c>
      <x:c r="BS931" s="16" t="n">
        <x:v>0.03571428571428571</x:v>
      </x:c>
      <x:c r="BT931" s="14" t="str">
        <x:v>One episode</x:v>
      </x:c>
      <x:c r="BU931" s="14" t="str">
        <x:v>Medium</x:v>
      </x:c>
      <x:c r="BV931" s="14" t="str">
        <x:v>Derived from supplied IMDb episode count and the documented production-total proxy.</x:v>
      </x:c>
      <x:c r="BW931" s="14" t="str">
        <x:v>Unable to determine</x:v>
      </x:c>
      <x:c r="BX931" s="14" t="str">
        <x:v>Supplied cast data establishes the credit and episode presence but does not establish narrative prominence.</x:v>
      </x:c>
      <x:c r="BY931" s="14" t="str">
        <x:v>Supplied IMDb cast-list workbook</x:v>
      </x:c>
      <x:c r="BZ9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1" s="14" t="str">
        <x:v>Not classified</x:v>
      </x:c>
      <x:c r="CB931" s="14" t="str">
        <x:v>Unable to determine</x:v>
      </x:c>
      <x:c r="CC931" s="14" t="str">
        <x:v>Unique</x:v>
      </x:c>
      <x:c r="CD931" s="14" t="str">
        <x:v>None identified</x:v>
      </x:c>
    </x:row>
    <x:row r="932">
      <x:c r="A932" s="14" t="str">
        <x:v>tt15499118|nm0591722|hans</x:v>
      </x:c>
      <x:c r="B932" s="14" t="str">
        <x:v>03</x:v>
      </x:c>
      <x:c r="C932" s="14" t="str">
        <x:v>2021_IMDb_Cast_Lists_Batch_03(1).xlsx</x:v>
      </x:c>
      <x:c r="D932" s="14" t="str">
        <x:v>The Madame Blanc Mysteries</x:v>
      </x:c>
      <x:c r="E932" s="14" t="n">
        <x:v>104</x:v>
      </x:c>
      <x:c r="F932" s="14" t="str">
        <x:v>The Madame Blanc Mysteries</x:v>
      </x:c>
      <x:c r="G932" s="14" t="str">
        <x:v>tt15499118</x:v>
      </x:c>
      <x:c r="H932" s="14" t="n">
        <x:v>2021</x:v>
      </x:c>
      <x:c r="I932" s="14" t="n">
        <x:v>2023</x:v>
      </x:c>
      <x:c r="J932" s="14" t="str">
        <x:v>Future Carry-Forward Cohort</x:v>
      </x:c>
      <x:c r="K932" s="14" t="n">
        <x:v>2021</x:v>
      </x:c>
      <x:c r="L932" s="14" t="str">
        <x:v>Available from 2021 analysis</x:v>
      </x:c>
      <x:c r="M932" s="15" t="n">
        <x:v>97</x:v>
      </x:c>
      <x:c r="N932" s="14" t="str">
        <x:v>Lino Mintoff</x:v>
      </x:c>
      <x:c r="O932" s="14" t="str">
        <x:v>nm0591722</x:v>
      </x:c>
      <x:c r="P932" s="14" t="str">
        <x:v>Hans</x:v>
      </x:c>
      <x:c r="Q932" s="15" t="n">
        <x:v>1</x:v>
      </x:c>
      <x:c r="R932" s="14" t="str">
        <x:v>2024</x:v>
      </x:c>
      <x:c r="S932" s="14" t="n">
        <x:v>2024</x:v>
      </x:c>
      <x:c r="T932" s="14" t="n">
        <x:v>2024</x:v>
      </x:c>
      <x:c r="U932" s="14" t="str">
        <x:v>Post-2021 casting excluded</x:v>
      </x:c>
      <x:c r="V932" s="14" t="str">
        <x:v>Earliest supplied year is 2024, later than the 2021 study year.</x:v>
      </x:c>
      <x:c r="W932" s="14"/>
      <x:c r="X932" s="14" t="str">
        <x:v>Carried forward to 2024</x:v>
      </x:c>
      <x:c r="Y932" s="14"/>
      <x:c r="Z932" s="14" t="str">
        <x:v>The Madame Blanc Mysteries.docx</x:v>
      </x:c>
      <x:c r="AA93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2" s="14" t="str">
        <x:v>No established-register match</x:v>
      </x:c>
      <x:c r="AC932" s="14"/>
      <x:c r="AD932" s="14"/>
      <x:c r="AE932" s="14"/>
      <x:c r="AF932" s="14"/>
      <x:c r="AG932" s="14" t="str">
        <x:v>No qualifying conclusion recorded. Absence from the register is not evidence that the performer is not disabled.</x:v>
      </x:c>
      <x:c r="AH932" s="14" t="str">
        <x:v>Channel 5 / 5</x:v>
      </x:c>
      <x:c r="AI932" s="14" t="str">
        <x:v>UK original commission</x:v>
      </x:c>
      <x:c r="AJ932" s="14" t="str">
        <x:v>Exact normalised title</x:v>
      </x:c>
      <x:c r="AK932" s="14" t="str">
        <x:v>Medium</x:v>
      </x:c>
      <x:c r="AL932" s="14" t="str">
        <x:v>Verified for commissioner/platform scope; uk original commission.</x:v>
      </x:c>
      <x:c r="AM93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2" s="14" t="str">
        <x:v>No qualifying BBC relationship</x:v>
      </x:c>
      <x:c r="AO932" s="14" t="str">
        <x:v>No</x:v>
      </x:c>
      <x:c r="AP932" s="14" t="str">
        <x:v>Out of scope</x:v>
      </x:c>
      <x:c r="AQ932" s="14" t="str">
        <x:v>No</x:v>
      </x:c>
      <x:c r="AR932" s="14" t="str">
        <x:v>Resolved from master register</x:v>
      </x:c>
      <x:c r="AS932" s="14" t="str">
        <x:v>No established-register match</x:v>
      </x:c>
      <x:c r="AT932" s="14"/>
      <x:c r="AU932" s="14"/>
      <x:c r="AV932" s="14" t="str">
        <x:v>No established apparent-disability match</x:v>
      </x:c>
      <x:c r="AW932" s="14"/>
      <x:c r="AX932" s="14" t="str">
        <x:v>No</x:v>
      </x:c>
      <x:c r="AY932" s="14" t="str">
        <x:v>Unmatched</x:v>
      </x:c>
      <x:c r="AZ932" s="14" t="str">
        <x:v>Final supplied register</x:v>
      </x:c>
      <x:c r="BA932" s="14" t="str">
        <x:v>Absence from the register is not evidence that the performer is not disabled.</x:v>
      </x:c>
      <x:c r="BB932" s="14" t="str">
        <x:v>No established-register match</x:v>
      </x:c>
      <x:c r="BC932" s="14"/>
      <x:c r="BD932" s="14"/>
      <x:c r="BE932" s="14"/>
      <x:c r="BF932" s="14" t="str">
        <x:v>No established apparent-disability match</x:v>
      </x:c>
      <x:c r="BG932" s="14"/>
      <x:c r="BH932" s="14" t="str">
        <x:v>No</x:v>
      </x:c>
      <x:c r="BI932" s="14"/>
      <x:c r="BJ932" s="14"/>
      <x:c r="BK932" s="14"/>
      <x:c r="BL932" s="14" t="str">
        <x:v>Unmatched</x:v>
      </x:c>
      <x:c r="BM932" s="14" t="str">
        <x:v>Final supplied register</x:v>
      </x:c>
      <x:c r="BN932" s="14" t="str">
        <x:v>Absence from the register is not evidence that the performer is not disabled.</x:v>
      </x:c>
      <x:c r="BO932" s="14" t="n">
        <x:v>28</x:v>
      </x:c>
      <x:c r="BP932" s="14" t="str">
        <x:v>Maximum eligible IMDb cast-credit total (28), shared by 4 performer(s); not independently verified as a 2021-only episode total.</x:v>
      </x:c>
      <x:c r="BQ932" s="14" t="str">
        <x:v>Medium</x:v>
      </x:c>
      <x:c r="BR932" s="15" t="n">
        <x:v>1</x:v>
      </x:c>
      <x:c r="BS932" s="16" t="n">
        <x:v>0.03571428571428571</x:v>
      </x:c>
      <x:c r="BT932" s="14" t="str">
        <x:v>One episode</x:v>
      </x:c>
      <x:c r="BU932" s="14" t="str">
        <x:v>Medium</x:v>
      </x:c>
      <x:c r="BV932" s="14" t="str">
        <x:v>Derived from supplied IMDb episode count and the documented production-total proxy.</x:v>
      </x:c>
      <x:c r="BW932" s="14" t="str">
        <x:v>Unable to determine</x:v>
      </x:c>
      <x:c r="BX932" s="14" t="str">
        <x:v>Supplied cast data establishes the credit and episode presence but does not establish narrative prominence.</x:v>
      </x:c>
      <x:c r="BY932" s="14" t="str">
        <x:v>Supplied IMDb cast-list workbook</x:v>
      </x:c>
      <x:c r="BZ93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2" s="14" t="str">
        <x:v>Not classified</x:v>
      </x:c>
      <x:c r="CB932" s="14" t="str">
        <x:v>Unable to determine</x:v>
      </x:c>
      <x:c r="CC932" s="14" t="str">
        <x:v>Unique</x:v>
      </x:c>
      <x:c r="CD932" s="14" t="str">
        <x:v>None identified</x:v>
      </x:c>
    </x:row>
    <x:row r="933">
      <x:c r="A933" s="14" t="str">
        <x:v>tt15499118|nm3854533|otis</x:v>
      </x:c>
      <x:c r="B933" s="14" t="str">
        <x:v>03</x:v>
      </x:c>
      <x:c r="C933" s="14" t="str">
        <x:v>2021_IMDb_Cast_Lists_Batch_03(1).xlsx</x:v>
      </x:c>
      <x:c r="D933" s="14" t="str">
        <x:v>The Madame Blanc Mysteries</x:v>
      </x:c>
      <x:c r="E933" s="14" t="n">
        <x:v>109</x:v>
      </x:c>
      <x:c r="F933" s="14" t="str">
        <x:v>The Madame Blanc Mysteries</x:v>
      </x:c>
      <x:c r="G933" s="14" t="str">
        <x:v>tt15499118</x:v>
      </x:c>
      <x:c r="H933" s="14" t="n">
        <x:v>2021</x:v>
      </x:c>
      <x:c r="I933" s="14" t="n">
        <x:v>2023</x:v>
      </x:c>
      <x:c r="J933" s="14" t="str">
        <x:v>Future Carry-Forward Cohort</x:v>
      </x:c>
      <x:c r="K933" s="14" t="n">
        <x:v>2021</x:v>
      </x:c>
      <x:c r="L933" s="14" t="str">
        <x:v>Available from 2021 analysis</x:v>
      </x:c>
      <x:c r="M933" s="15" t="n">
        <x:v>102</x:v>
      </x:c>
      <x:c r="N933" s="14" t="str">
        <x:v>Fabio Tassone</x:v>
      </x:c>
      <x:c r="O933" s="14" t="str">
        <x:v>nm3854533</x:v>
      </x:c>
      <x:c r="P933" s="14" t="str">
        <x:v>Otis</x:v>
      </x:c>
      <x:c r="Q933" s="15" t="n">
        <x:v>1</x:v>
      </x:c>
      <x:c r="R933" s="14" t="str">
        <x:v>2024</x:v>
      </x:c>
      <x:c r="S933" s="14" t="n">
        <x:v>2024</x:v>
      </x:c>
      <x:c r="T933" s="14" t="n">
        <x:v>2024</x:v>
      </x:c>
      <x:c r="U933" s="14" t="str">
        <x:v>Post-2021 casting excluded</x:v>
      </x:c>
      <x:c r="V933" s="14" t="str">
        <x:v>Earliest supplied year is 2024, later than the 2021 study year.</x:v>
      </x:c>
      <x:c r="W933" s="14"/>
      <x:c r="X933" s="14" t="str">
        <x:v>Carried forward to 2024</x:v>
      </x:c>
      <x:c r="Y933" s="14"/>
      <x:c r="Z933" s="14" t="str">
        <x:v>The Madame Blanc Mysteries.docx</x:v>
      </x:c>
      <x:c r="AA93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3" s="14" t="str">
        <x:v>No established-register match</x:v>
      </x:c>
      <x:c r="AC933" s="14"/>
      <x:c r="AD933" s="14"/>
      <x:c r="AE933" s="14"/>
      <x:c r="AF933" s="14"/>
      <x:c r="AG933" s="14" t="str">
        <x:v>No qualifying conclusion recorded. Absence from the register is not evidence that the performer is not disabled.</x:v>
      </x:c>
      <x:c r="AH933" s="14" t="str">
        <x:v>Channel 5 / 5</x:v>
      </x:c>
      <x:c r="AI933" s="14" t="str">
        <x:v>UK original commission</x:v>
      </x:c>
      <x:c r="AJ933" s="14" t="str">
        <x:v>Exact normalised title</x:v>
      </x:c>
      <x:c r="AK933" s="14" t="str">
        <x:v>Medium</x:v>
      </x:c>
      <x:c r="AL933" s="14" t="str">
        <x:v>Verified for commissioner/platform scope; uk original commission.</x:v>
      </x:c>
      <x:c r="AM93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3" s="14" t="str">
        <x:v>No qualifying BBC relationship</x:v>
      </x:c>
      <x:c r="AO933" s="14" t="str">
        <x:v>No</x:v>
      </x:c>
      <x:c r="AP933" s="14" t="str">
        <x:v>Out of scope</x:v>
      </x:c>
      <x:c r="AQ933" s="14" t="str">
        <x:v>No</x:v>
      </x:c>
      <x:c r="AR933" s="14" t="str">
        <x:v>Resolved from master register</x:v>
      </x:c>
      <x:c r="AS933" s="14" t="str">
        <x:v>No established-register match</x:v>
      </x:c>
      <x:c r="AT933" s="14"/>
      <x:c r="AU933" s="14"/>
      <x:c r="AV933" s="14" t="str">
        <x:v>No established apparent-disability match</x:v>
      </x:c>
      <x:c r="AW933" s="14"/>
      <x:c r="AX933" s="14" t="str">
        <x:v>No</x:v>
      </x:c>
      <x:c r="AY933" s="14" t="str">
        <x:v>Unmatched</x:v>
      </x:c>
      <x:c r="AZ933" s="14" t="str">
        <x:v>Final supplied register</x:v>
      </x:c>
      <x:c r="BA933" s="14" t="str">
        <x:v>Absence from the register is not evidence that the performer is not disabled.</x:v>
      </x:c>
      <x:c r="BB933" s="14" t="str">
        <x:v>No established-register match</x:v>
      </x:c>
      <x:c r="BC933" s="14"/>
      <x:c r="BD933" s="14"/>
      <x:c r="BE933" s="14"/>
      <x:c r="BF933" s="14" t="str">
        <x:v>No established apparent-disability match</x:v>
      </x:c>
      <x:c r="BG933" s="14"/>
      <x:c r="BH933" s="14" t="str">
        <x:v>No</x:v>
      </x:c>
      <x:c r="BI933" s="14"/>
      <x:c r="BJ933" s="14"/>
      <x:c r="BK933" s="14"/>
      <x:c r="BL933" s="14" t="str">
        <x:v>Unmatched</x:v>
      </x:c>
      <x:c r="BM933" s="14" t="str">
        <x:v>Final supplied register</x:v>
      </x:c>
      <x:c r="BN933" s="14" t="str">
        <x:v>Absence from the register is not evidence that the performer is not disabled.</x:v>
      </x:c>
      <x:c r="BO933" s="14" t="n">
        <x:v>28</x:v>
      </x:c>
      <x:c r="BP933" s="14" t="str">
        <x:v>Maximum eligible IMDb cast-credit total (28), shared by 4 performer(s); not independently verified as a 2021-only episode total.</x:v>
      </x:c>
      <x:c r="BQ933" s="14" t="str">
        <x:v>Medium</x:v>
      </x:c>
      <x:c r="BR933" s="15" t="n">
        <x:v>1</x:v>
      </x:c>
      <x:c r="BS933" s="16" t="n">
        <x:v>0.03571428571428571</x:v>
      </x:c>
      <x:c r="BT933" s="14" t="str">
        <x:v>One episode</x:v>
      </x:c>
      <x:c r="BU933" s="14" t="str">
        <x:v>Medium</x:v>
      </x:c>
      <x:c r="BV933" s="14" t="str">
        <x:v>Derived from supplied IMDb episode count and the documented production-total proxy.</x:v>
      </x:c>
      <x:c r="BW933" s="14" t="str">
        <x:v>Unable to determine</x:v>
      </x:c>
      <x:c r="BX933" s="14" t="str">
        <x:v>Supplied cast data establishes the credit and episode presence but does not establish narrative prominence.</x:v>
      </x:c>
      <x:c r="BY933" s="14" t="str">
        <x:v>Supplied IMDb cast-list workbook</x:v>
      </x:c>
      <x:c r="BZ93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3" s="14" t="str">
        <x:v>Not classified</x:v>
      </x:c>
      <x:c r="CB933" s="14" t="str">
        <x:v>Unable to determine</x:v>
      </x:c>
      <x:c r="CC933" s="14" t="str">
        <x:v>Unique</x:v>
      </x:c>
      <x:c r="CD933" s="14" t="str">
        <x:v>None identified</x:v>
      </x:c>
    </x:row>
    <x:row r="934">
      <x:c r="A934" s="14" t="str">
        <x:v>tt15499118|nm16864361|giselle</x:v>
      </x:c>
      <x:c r="B934" s="14" t="str">
        <x:v>03</x:v>
      </x:c>
      <x:c r="C934" s="14" t="str">
        <x:v>2021_IMDb_Cast_Lists_Batch_03(1).xlsx</x:v>
      </x:c>
      <x:c r="D934" s="14" t="str">
        <x:v>The Madame Blanc Mysteries</x:v>
      </x:c>
      <x:c r="E934" s="14" t="n">
        <x:v>110</x:v>
      </x:c>
      <x:c r="F934" s="14" t="str">
        <x:v>The Madame Blanc Mysteries</x:v>
      </x:c>
      <x:c r="G934" s="14" t="str">
        <x:v>tt15499118</x:v>
      </x:c>
      <x:c r="H934" s="14" t="n">
        <x:v>2021</x:v>
      </x:c>
      <x:c r="I934" s="14" t="n">
        <x:v>2023</x:v>
      </x:c>
      <x:c r="J934" s="14" t="str">
        <x:v>Future Carry-Forward Cohort</x:v>
      </x:c>
      <x:c r="K934" s="14" t="n">
        <x:v>2021</x:v>
      </x:c>
      <x:c r="L934" s="14" t="str">
        <x:v>Available from 2021 analysis</x:v>
      </x:c>
      <x:c r="M934" s="15" t="n">
        <x:v>103</x:v>
      </x:c>
      <x:c r="N934" s="14" t="str">
        <x:v>Cleo Quesne</x:v>
      </x:c>
      <x:c r="O934" s="14" t="str">
        <x:v>nm16864361</x:v>
      </x:c>
      <x:c r="P934" s="14" t="str">
        <x:v>Giselle</x:v>
      </x:c>
      <x:c r="Q934" s="15" t="n">
        <x:v>1</x:v>
      </x:c>
      <x:c r="R934" s="14" t="str">
        <x:v>2024</x:v>
      </x:c>
      <x:c r="S934" s="14" t="n">
        <x:v>2024</x:v>
      </x:c>
      <x:c r="T934" s="14" t="n">
        <x:v>2024</x:v>
      </x:c>
      <x:c r="U934" s="14" t="str">
        <x:v>Post-2021 casting excluded</x:v>
      </x:c>
      <x:c r="V934" s="14" t="str">
        <x:v>Earliest supplied year is 2024, later than the 2021 study year.</x:v>
      </x:c>
      <x:c r="W934" s="14"/>
      <x:c r="X934" s="14" t="str">
        <x:v>Carried forward to 2024</x:v>
      </x:c>
      <x:c r="Y934" s="14"/>
      <x:c r="Z934" s="14" t="str">
        <x:v>The Madame Blanc Mysteries.docx</x:v>
      </x:c>
      <x:c r="AA93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4" s="14" t="str">
        <x:v>No established-register match</x:v>
      </x:c>
      <x:c r="AC934" s="14"/>
      <x:c r="AD934" s="14"/>
      <x:c r="AE934" s="14"/>
      <x:c r="AF934" s="14"/>
      <x:c r="AG934" s="14" t="str">
        <x:v>No qualifying conclusion recorded. Absence from the register is not evidence that the performer is not disabled.</x:v>
      </x:c>
      <x:c r="AH934" s="14" t="str">
        <x:v>Channel 5 / 5</x:v>
      </x:c>
      <x:c r="AI934" s="14" t="str">
        <x:v>UK original commission</x:v>
      </x:c>
      <x:c r="AJ934" s="14" t="str">
        <x:v>Exact normalised title</x:v>
      </x:c>
      <x:c r="AK934" s="14" t="str">
        <x:v>Medium</x:v>
      </x:c>
      <x:c r="AL934" s="14" t="str">
        <x:v>Verified for commissioner/platform scope; uk original commission.</x:v>
      </x:c>
      <x:c r="AM93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4" s="14" t="str">
        <x:v>No qualifying BBC relationship</x:v>
      </x:c>
      <x:c r="AO934" s="14" t="str">
        <x:v>No</x:v>
      </x:c>
      <x:c r="AP934" s="14" t="str">
        <x:v>Out of scope</x:v>
      </x:c>
      <x:c r="AQ934" s="14" t="str">
        <x:v>No</x:v>
      </x:c>
      <x:c r="AR934" s="14" t="str">
        <x:v>Resolved from master register</x:v>
      </x:c>
      <x:c r="AS934" s="14" t="str">
        <x:v>No established-register match</x:v>
      </x:c>
      <x:c r="AT934" s="14"/>
      <x:c r="AU934" s="14"/>
      <x:c r="AV934" s="14" t="str">
        <x:v>No established apparent-disability match</x:v>
      </x:c>
      <x:c r="AW934" s="14"/>
      <x:c r="AX934" s="14" t="str">
        <x:v>No</x:v>
      </x:c>
      <x:c r="AY934" s="14" t="str">
        <x:v>Unmatched</x:v>
      </x:c>
      <x:c r="AZ934" s="14" t="str">
        <x:v>Final supplied register</x:v>
      </x:c>
      <x:c r="BA934" s="14" t="str">
        <x:v>Absence from the register is not evidence that the performer is not disabled.</x:v>
      </x:c>
      <x:c r="BB934" s="14" t="str">
        <x:v>No established-register match</x:v>
      </x:c>
      <x:c r="BC934" s="14"/>
      <x:c r="BD934" s="14"/>
      <x:c r="BE934" s="14"/>
      <x:c r="BF934" s="14" t="str">
        <x:v>No established apparent-disability match</x:v>
      </x:c>
      <x:c r="BG934" s="14"/>
      <x:c r="BH934" s="14" t="str">
        <x:v>No</x:v>
      </x:c>
      <x:c r="BI934" s="14"/>
      <x:c r="BJ934" s="14"/>
      <x:c r="BK934" s="14"/>
      <x:c r="BL934" s="14" t="str">
        <x:v>Unmatched</x:v>
      </x:c>
      <x:c r="BM934" s="14" t="str">
        <x:v>Final supplied register</x:v>
      </x:c>
      <x:c r="BN934" s="14" t="str">
        <x:v>Absence from the register is not evidence that the performer is not disabled.</x:v>
      </x:c>
      <x:c r="BO934" s="14" t="n">
        <x:v>28</x:v>
      </x:c>
      <x:c r="BP934" s="14" t="str">
        <x:v>Maximum eligible IMDb cast-credit total (28), shared by 4 performer(s); not independently verified as a 2021-only episode total.</x:v>
      </x:c>
      <x:c r="BQ934" s="14" t="str">
        <x:v>Medium</x:v>
      </x:c>
      <x:c r="BR934" s="15" t="n">
        <x:v>1</x:v>
      </x:c>
      <x:c r="BS934" s="16" t="n">
        <x:v>0.03571428571428571</x:v>
      </x:c>
      <x:c r="BT934" s="14" t="str">
        <x:v>One episode</x:v>
      </x:c>
      <x:c r="BU934" s="14" t="str">
        <x:v>Medium</x:v>
      </x:c>
      <x:c r="BV934" s="14" t="str">
        <x:v>Derived from supplied IMDb episode count and the documented production-total proxy.</x:v>
      </x:c>
      <x:c r="BW934" s="14" t="str">
        <x:v>Unable to determine</x:v>
      </x:c>
      <x:c r="BX934" s="14" t="str">
        <x:v>Supplied cast data establishes the credit and episode presence but does not establish narrative prominence.</x:v>
      </x:c>
      <x:c r="BY934" s="14" t="str">
        <x:v>Supplied IMDb cast-list workbook</x:v>
      </x:c>
      <x:c r="BZ93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4" s="14" t="str">
        <x:v>Not classified</x:v>
      </x:c>
      <x:c r="CB934" s="14" t="str">
        <x:v>Unable to determine</x:v>
      </x:c>
      <x:c r="CC934" s="14" t="str">
        <x:v>Unique</x:v>
      </x:c>
      <x:c r="CD934" s="14" t="str">
        <x:v>None identified</x:v>
      </x:c>
    </x:row>
    <x:row r="935">
      <x:c r="A935" s="14" t="str">
        <x:v>tt15499118|nm1375718|jane</x:v>
      </x:c>
      <x:c r="B935" s="14" t="str">
        <x:v>03</x:v>
      </x:c>
      <x:c r="C935" s="14" t="str">
        <x:v>2021_IMDb_Cast_Lists_Batch_03(1).xlsx</x:v>
      </x:c>
      <x:c r="D935" s="14" t="str">
        <x:v>The Madame Blanc Mysteries</x:v>
      </x:c>
      <x:c r="E935" s="14" t="n">
        <x:v>111</x:v>
      </x:c>
      <x:c r="F935" s="14" t="str">
        <x:v>The Madame Blanc Mysteries</x:v>
      </x:c>
      <x:c r="G935" s="14" t="str">
        <x:v>tt15499118</x:v>
      </x:c>
      <x:c r="H935" s="14" t="n">
        <x:v>2021</x:v>
      </x:c>
      <x:c r="I935" s="14" t="n">
        <x:v>2023</x:v>
      </x:c>
      <x:c r="J935" s="14" t="str">
        <x:v>Future Carry-Forward Cohort</x:v>
      </x:c>
      <x:c r="K935" s="14" t="n">
        <x:v>2021</x:v>
      </x:c>
      <x:c r="L935" s="14" t="str">
        <x:v>Available from 2021 analysis</x:v>
      </x:c>
      <x:c r="M935" s="15" t="n">
        <x:v>104</x:v>
      </x:c>
      <x:c r="N935" s="14" t="str">
        <x:v>Roma Malik</x:v>
      </x:c>
      <x:c r="O935" s="14" t="str">
        <x:v>nm1375718</x:v>
      </x:c>
      <x:c r="P935" s="14" t="str">
        <x:v>Jane</x:v>
      </x:c>
      <x:c r="Q935" s="15" t="n">
        <x:v>1</x:v>
      </x:c>
      <x:c r="R935" s="14" t="str">
        <x:v>2024</x:v>
      </x:c>
      <x:c r="S935" s="14" t="n">
        <x:v>2024</x:v>
      </x:c>
      <x:c r="T935" s="14" t="n">
        <x:v>2024</x:v>
      </x:c>
      <x:c r="U935" s="14" t="str">
        <x:v>Post-2021 casting excluded</x:v>
      </x:c>
      <x:c r="V935" s="14" t="str">
        <x:v>Earliest supplied year is 2024, later than the 2021 study year.</x:v>
      </x:c>
      <x:c r="W935" s="14"/>
      <x:c r="X935" s="14" t="str">
        <x:v>Carried forward to 2024</x:v>
      </x:c>
      <x:c r="Y935" s="14"/>
      <x:c r="Z935" s="14" t="str">
        <x:v>The Madame Blanc Mysteries.docx</x:v>
      </x:c>
      <x:c r="AA93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5" s="14" t="str">
        <x:v>No established-register match</x:v>
      </x:c>
      <x:c r="AC935" s="14"/>
      <x:c r="AD935" s="14"/>
      <x:c r="AE935" s="14"/>
      <x:c r="AF935" s="14"/>
      <x:c r="AG935" s="14" t="str">
        <x:v>No qualifying conclusion recorded. Absence from the register is not evidence that the performer is not disabled.</x:v>
      </x:c>
      <x:c r="AH935" s="14" t="str">
        <x:v>Channel 5 / 5</x:v>
      </x:c>
      <x:c r="AI935" s="14" t="str">
        <x:v>UK original commission</x:v>
      </x:c>
      <x:c r="AJ935" s="14" t="str">
        <x:v>Exact normalised title</x:v>
      </x:c>
      <x:c r="AK935" s="14" t="str">
        <x:v>Medium</x:v>
      </x:c>
      <x:c r="AL935" s="14" t="str">
        <x:v>Verified for commissioner/platform scope; uk original commission.</x:v>
      </x:c>
      <x:c r="AM93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5" s="14" t="str">
        <x:v>No qualifying BBC relationship</x:v>
      </x:c>
      <x:c r="AO935" s="14" t="str">
        <x:v>No</x:v>
      </x:c>
      <x:c r="AP935" s="14" t="str">
        <x:v>Out of scope</x:v>
      </x:c>
      <x:c r="AQ935" s="14" t="str">
        <x:v>No</x:v>
      </x:c>
      <x:c r="AR935" s="14" t="str">
        <x:v>Resolved from master register</x:v>
      </x:c>
      <x:c r="AS935" s="14" t="str">
        <x:v>No established-register match</x:v>
      </x:c>
      <x:c r="AT935" s="14"/>
      <x:c r="AU935" s="14"/>
      <x:c r="AV935" s="14" t="str">
        <x:v>No established apparent-disability match</x:v>
      </x:c>
      <x:c r="AW935" s="14"/>
      <x:c r="AX935" s="14" t="str">
        <x:v>No</x:v>
      </x:c>
      <x:c r="AY935" s="14" t="str">
        <x:v>Unmatched</x:v>
      </x:c>
      <x:c r="AZ935" s="14" t="str">
        <x:v>Final supplied register</x:v>
      </x:c>
      <x:c r="BA935" s="14" t="str">
        <x:v>Absence from the register is not evidence that the performer is not disabled.</x:v>
      </x:c>
      <x:c r="BB935" s="14" t="str">
        <x:v>No established-register match</x:v>
      </x:c>
      <x:c r="BC935" s="14"/>
      <x:c r="BD935" s="14"/>
      <x:c r="BE935" s="14"/>
      <x:c r="BF935" s="14" t="str">
        <x:v>No established apparent-disability match</x:v>
      </x:c>
      <x:c r="BG935" s="14"/>
      <x:c r="BH935" s="14" t="str">
        <x:v>No</x:v>
      </x:c>
      <x:c r="BI935" s="14"/>
      <x:c r="BJ935" s="14"/>
      <x:c r="BK935" s="14"/>
      <x:c r="BL935" s="14" t="str">
        <x:v>Unmatched</x:v>
      </x:c>
      <x:c r="BM935" s="14" t="str">
        <x:v>Final supplied register</x:v>
      </x:c>
      <x:c r="BN935" s="14" t="str">
        <x:v>Absence from the register is not evidence that the performer is not disabled.</x:v>
      </x:c>
      <x:c r="BO935" s="14" t="n">
        <x:v>28</x:v>
      </x:c>
      <x:c r="BP935" s="14" t="str">
        <x:v>Maximum eligible IMDb cast-credit total (28), shared by 4 performer(s); not independently verified as a 2021-only episode total.</x:v>
      </x:c>
      <x:c r="BQ935" s="14" t="str">
        <x:v>Medium</x:v>
      </x:c>
      <x:c r="BR935" s="15" t="n">
        <x:v>1</x:v>
      </x:c>
      <x:c r="BS935" s="16" t="n">
        <x:v>0.03571428571428571</x:v>
      </x:c>
      <x:c r="BT935" s="14" t="str">
        <x:v>One episode</x:v>
      </x:c>
      <x:c r="BU935" s="14" t="str">
        <x:v>Medium</x:v>
      </x:c>
      <x:c r="BV935" s="14" t="str">
        <x:v>Derived from supplied IMDb episode count and the documented production-total proxy.</x:v>
      </x:c>
      <x:c r="BW935" s="14" t="str">
        <x:v>Unable to determine</x:v>
      </x:c>
      <x:c r="BX935" s="14" t="str">
        <x:v>Supplied cast data establishes the credit and episode presence but does not establish narrative prominence.</x:v>
      </x:c>
      <x:c r="BY935" s="14" t="str">
        <x:v>Supplied IMDb cast-list workbook</x:v>
      </x:c>
      <x:c r="BZ93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5" s="14" t="str">
        <x:v>Not classified</x:v>
      </x:c>
      <x:c r="CB935" s="14" t="str">
        <x:v>Unable to determine</x:v>
      </x:c>
      <x:c r="CC935" s="14" t="str">
        <x:v>Unique</x:v>
      </x:c>
      <x:c r="CD935" s="14" t="str">
        <x:v>None identified</x:v>
      </x:c>
    </x:row>
    <x:row r="936">
      <x:c r="A936" s="14" t="str">
        <x:v>tt15499118|nm7250074|marie</x:v>
      </x:c>
      <x:c r="B936" s="14" t="str">
        <x:v>03</x:v>
      </x:c>
      <x:c r="C936" s="14" t="str">
        <x:v>2021_IMDb_Cast_Lists_Batch_03(1).xlsx</x:v>
      </x:c>
      <x:c r="D936" s="14" t="str">
        <x:v>The Madame Blanc Mysteries</x:v>
      </x:c>
      <x:c r="E936" s="14" t="n">
        <x:v>118</x:v>
      </x:c>
      <x:c r="F936" s="14" t="str">
        <x:v>The Madame Blanc Mysteries</x:v>
      </x:c>
      <x:c r="G936" s="14" t="str">
        <x:v>tt15499118</x:v>
      </x:c>
      <x:c r="H936" s="14" t="n">
        <x:v>2021</x:v>
      </x:c>
      <x:c r="I936" s="14" t="n">
        <x:v>2023</x:v>
      </x:c>
      <x:c r="J936" s="14" t="str">
        <x:v>Future Carry-Forward Cohort</x:v>
      </x:c>
      <x:c r="K936" s="14" t="n">
        <x:v>2021</x:v>
      </x:c>
      <x:c r="L936" s="14" t="str">
        <x:v>Available from 2021 analysis</x:v>
      </x:c>
      <x:c r="M936" s="15" t="n">
        <x:v>111</x:v>
      </x:c>
      <x:c r="N936" s="14" t="str">
        <x:v>Elaine O'Dwyer</x:v>
      </x:c>
      <x:c r="O936" s="14" t="str">
        <x:v>nm7250074</x:v>
      </x:c>
      <x:c r="P936" s="14" t="str">
        <x:v>Marie</x:v>
      </x:c>
      <x:c r="Q936" s="15" t="n">
        <x:v>1</x:v>
      </x:c>
      <x:c r="R936" s="14" t="str">
        <x:v>2024</x:v>
      </x:c>
      <x:c r="S936" s="14" t="n">
        <x:v>2024</x:v>
      </x:c>
      <x:c r="T936" s="14" t="n">
        <x:v>2024</x:v>
      </x:c>
      <x:c r="U936" s="14" t="str">
        <x:v>Post-2021 casting excluded</x:v>
      </x:c>
      <x:c r="V936" s="14" t="str">
        <x:v>Earliest supplied year is 2024, later than the 2021 study year.</x:v>
      </x:c>
      <x:c r="W936" s="14"/>
      <x:c r="X936" s="14" t="str">
        <x:v>Carried forward to 2024</x:v>
      </x:c>
      <x:c r="Y936" s="14"/>
      <x:c r="Z936" s="14" t="str">
        <x:v>The Madame Blanc Mysteries.docx</x:v>
      </x:c>
      <x:c r="AA93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6" s="14" t="str">
        <x:v>No established-register match</x:v>
      </x:c>
      <x:c r="AC936" s="14"/>
      <x:c r="AD936" s="14"/>
      <x:c r="AE936" s="14"/>
      <x:c r="AF936" s="14"/>
      <x:c r="AG936" s="14" t="str">
        <x:v>No qualifying conclusion recorded. Absence from the register is not evidence that the performer is not disabled.</x:v>
      </x:c>
      <x:c r="AH936" s="14" t="str">
        <x:v>Channel 5 / 5</x:v>
      </x:c>
      <x:c r="AI936" s="14" t="str">
        <x:v>UK original commission</x:v>
      </x:c>
      <x:c r="AJ936" s="14" t="str">
        <x:v>Exact normalised title</x:v>
      </x:c>
      <x:c r="AK936" s="14" t="str">
        <x:v>Medium</x:v>
      </x:c>
      <x:c r="AL936" s="14" t="str">
        <x:v>Verified for commissioner/platform scope; uk original commission.</x:v>
      </x:c>
      <x:c r="AM93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6" s="14" t="str">
        <x:v>No qualifying BBC relationship</x:v>
      </x:c>
      <x:c r="AO936" s="14" t="str">
        <x:v>No</x:v>
      </x:c>
      <x:c r="AP936" s="14" t="str">
        <x:v>Out of scope</x:v>
      </x:c>
      <x:c r="AQ936" s="14" t="str">
        <x:v>No</x:v>
      </x:c>
      <x:c r="AR936" s="14" t="str">
        <x:v>Resolved from master register</x:v>
      </x:c>
      <x:c r="AS936" s="14" t="str">
        <x:v>No established-register match</x:v>
      </x:c>
      <x:c r="AT936" s="14"/>
      <x:c r="AU936" s="14"/>
      <x:c r="AV936" s="14" t="str">
        <x:v>No established apparent-disability match</x:v>
      </x:c>
      <x:c r="AW936" s="14"/>
      <x:c r="AX936" s="14" t="str">
        <x:v>No</x:v>
      </x:c>
      <x:c r="AY936" s="14" t="str">
        <x:v>Unmatched</x:v>
      </x:c>
      <x:c r="AZ936" s="14" t="str">
        <x:v>Final supplied register</x:v>
      </x:c>
      <x:c r="BA936" s="14" t="str">
        <x:v>Absence from the register is not evidence that the performer is not disabled.</x:v>
      </x:c>
      <x:c r="BB936" s="14" t="str">
        <x:v>No established-register match</x:v>
      </x:c>
      <x:c r="BC936" s="14"/>
      <x:c r="BD936" s="14"/>
      <x:c r="BE936" s="14"/>
      <x:c r="BF936" s="14" t="str">
        <x:v>No established apparent-disability match</x:v>
      </x:c>
      <x:c r="BG936" s="14"/>
      <x:c r="BH936" s="14" t="str">
        <x:v>No</x:v>
      </x:c>
      <x:c r="BI936" s="14"/>
      <x:c r="BJ936" s="14"/>
      <x:c r="BK936" s="14"/>
      <x:c r="BL936" s="14" t="str">
        <x:v>Unmatched</x:v>
      </x:c>
      <x:c r="BM936" s="14" t="str">
        <x:v>Final supplied register</x:v>
      </x:c>
      <x:c r="BN936" s="14" t="str">
        <x:v>Absence from the register is not evidence that the performer is not disabled.</x:v>
      </x:c>
      <x:c r="BO936" s="14" t="n">
        <x:v>28</x:v>
      </x:c>
      <x:c r="BP936" s="14" t="str">
        <x:v>Maximum eligible IMDb cast-credit total (28), shared by 4 performer(s); not independently verified as a 2021-only episode total.</x:v>
      </x:c>
      <x:c r="BQ936" s="14" t="str">
        <x:v>Medium</x:v>
      </x:c>
      <x:c r="BR936" s="15" t="n">
        <x:v>1</x:v>
      </x:c>
      <x:c r="BS936" s="16" t="n">
        <x:v>0.03571428571428571</x:v>
      </x:c>
      <x:c r="BT936" s="14" t="str">
        <x:v>One episode</x:v>
      </x:c>
      <x:c r="BU936" s="14" t="str">
        <x:v>Medium</x:v>
      </x:c>
      <x:c r="BV936" s="14" t="str">
        <x:v>Derived from supplied IMDb episode count and the documented production-total proxy.</x:v>
      </x:c>
      <x:c r="BW936" s="14" t="str">
        <x:v>Unable to determine</x:v>
      </x:c>
      <x:c r="BX936" s="14" t="str">
        <x:v>Supplied cast data establishes the credit and episode presence but does not establish narrative prominence.</x:v>
      </x:c>
      <x:c r="BY936" s="14" t="str">
        <x:v>Supplied IMDb cast-list workbook</x:v>
      </x:c>
      <x:c r="BZ93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6" s="14" t="str">
        <x:v>Not classified</x:v>
      </x:c>
      <x:c r="CB936" s="14" t="str">
        <x:v>Unable to determine</x:v>
      </x:c>
      <x:c r="CC936" s="14" t="str">
        <x:v>Unique</x:v>
      </x:c>
      <x:c r="CD936" s="14" t="str">
        <x:v>None identified</x:v>
      </x:c>
    </x:row>
    <x:row r="937">
      <x:c r="A937" s="14" t="str">
        <x:v>tt15499118|nm5861611|gabriella</x:v>
      </x:c>
      <x:c r="B937" s="14" t="str">
        <x:v>03</x:v>
      </x:c>
      <x:c r="C937" s="14" t="str">
        <x:v>2021_IMDb_Cast_Lists_Batch_03(1).xlsx</x:v>
      </x:c>
      <x:c r="D937" s="14" t="str">
        <x:v>The Madame Blanc Mysteries</x:v>
      </x:c>
      <x:c r="E937" s="14" t="n">
        <x:v>119</x:v>
      </x:c>
      <x:c r="F937" s="14" t="str">
        <x:v>The Madame Blanc Mysteries</x:v>
      </x:c>
      <x:c r="G937" s="14" t="str">
        <x:v>tt15499118</x:v>
      </x:c>
      <x:c r="H937" s="14" t="n">
        <x:v>2021</x:v>
      </x:c>
      <x:c r="I937" s="14" t="n">
        <x:v>2023</x:v>
      </x:c>
      <x:c r="J937" s="14" t="str">
        <x:v>Future Carry-Forward Cohort</x:v>
      </x:c>
      <x:c r="K937" s="14" t="n">
        <x:v>2021</x:v>
      </x:c>
      <x:c r="L937" s="14" t="str">
        <x:v>Available from 2021 analysis</x:v>
      </x:c>
      <x:c r="M937" s="15" t="n">
        <x:v>112</x:v>
      </x:c>
      <x:c r="N937" s="14" t="str">
        <x:v>Samantha Schnitzler</x:v>
      </x:c>
      <x:c r="O937" s="14" t="str">
        <x:v>nm5861611</x:v>
      </x:c>
      <x:c r="P937" s="14" t="str">
        <x:v>Gabriella</x:v>
      </x:c>
      <x:c r="Q937" s="15" t="n">
        <x:v>1</x:v>
      </x:c>
      <x:c r="R937" s="14" t="str">
        <x:v>2024</x:v>
      </x:c>
      <x:c r="S937" s="14" t="n">
        <x:v>2024</x:v>
      </x:c>
      <x:c r="T937" s="14" t="n">
        <x:v>2024</x:v>
      </x:c>
      <x:c r="U937" s="14" t="str">
        <x:v>Post-2021 casting excluded</x:v>
      </x:c>
      <x:c r="V937" s="14" t="str">
        <x:v>Earliest supplied year is 2024, later than the 2021 study year.</x:v>
      </x:c>
      <x:c r="W937" s="14"/>
      <x:c r="X937" s="14" t="str">
        <x:v>Carried forward to 2024</x:v>
      </x:c>
      <x:c r="Y937" s="14"/>
      <x:c r="Z937" s="14" t="str">
        <x:v>The Madame Blanc Mysteries.docx</x:v>
      </x:c>
      <x:c r="AA93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7" s="14" t="str">
        <x:v>No established-register match</x:v>
      </x:c>
      <x:c r="AC937" s="14"/>
      <x:c r="AD937" s="14"/>
      <x:c r="AE937" s="14"/>
      <x:c r="AF937" s="14"/>
      <x:c r="AG937" s="14" t="str">
        <x:v>No qualifying conclusion recorded. Absence from the register is not evidence that the performer is not disabled.</x:v>
      </x:c>
      <x:c r="AH937" s="14" t="str">
        <x:v>Channel 5 / 5</x:v>
      </x:c>
      <x:c r="AI937" s="14" t="str">
        <x:v>UK original commission</x:v>
      </x:c>
      <x:c r="AJ937" s="14" t="str">
        <x:v>Exact normalised title</x:v>
      </x:c>
      <x:c r="AK937" s="14" t="str">
        <x:v>Medium</x:v>
      </x:c>
      <x:c r="AL937" s="14" t="str">
        <x:v>Verified for commissioner/platform scope; uk original commission.</x:v>
      </x:c>
      <x:c r="AM93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7" s="14" t="str">
        <x:v>No qualifying BBC relationship</x:v>
      </x:c>
      <x:c r="AO937" s="14" t="str">
        <x:v>No</x:v>
      </x:c>
      <x:c r="AP937" s="14" t="str">
        <x:v>Out of scope</x:v>
      </x:c>
      <x:c r="AQ937" s="14" t="str">
        <x:v>No</x:v>
      </x:c>
      <x:c r="AR937" s="14" t="str">
        <x:v>Resolved from master register</x:v>
      </x:c>
      <x:c r="AS937" s="14" t="str">
        <x:v>No established-register match</x:v>
      </x:c>
      <x:c r="AT937" s="14"/>
      <x:c r="AU937" s="14"/>
      <x:c r="AV937" s="14" t="str">
        <x:v>No established apparent-disability match</x:v>
      </x:c>
      <x:c r="AW937" s="14"/>
      <x:c r="AX937" s="14" t="str">
        <x:v>No</x:v>
      </x:c>
      <x:c r="AY937" s="14" t="str">
        <x:v>Unmatched</x:v>
      </x:c>
      <x:c r="AZ937" s="14" t="str">
        <x:v>Final supplied register</x:v>
      </x:c>
      <x:c r="BA937" s="14" t="str">
        <x:v>Absence from the register is not evidence that the performer is not disabled.</x:v>
      </x:c>
      <x:c r="BB937" s="14" t="str">
        <x:v>No established-register match</x:v>
      </x:c>
      <x:c r="BC937" s="14"/>
      <x:c r="BD937" s="14"/>
      <x:c r="BE937" s="14"/>
      <x:c r="BF937" s="14" t="str">
        <x:v>No established apparent-disability match</x:v>
      </x:c>
      <x:c r="BG937" s="14"/>
      <x:c r="BH937" s="14" t="str">
        <x:v>No</x:v>
      </x:c>
      <x:c r="BI937" s="14"/>
      <x:c r="BJ937" s="14"/>
      <x:c r="BK937" s="14"/>
      <x:c r="BL937" s="14" t="str">
        <x:v>Unmatched</x:v>
      </x:c>
      <x:c r="BM937" s="14" t="str">
        <x:v>Final supplied register</x:v>
      </x:c>
      <x:c r="BN937" s="14" t="str">
        <x:v>Absence from the register is not evidence that the performer is not disabled.</x:v>
      </x:c>
      <x:c r="BO937" s="14" t="n">
        <x:v>28</x:v>
      </x:c>
      <x:c r="BP937" s="14" t="str">
        <x:v>Maximum eligible IMDb cast-credit total (28), shared by 4 performer(s); not independently verified as a 2021-only episode total.</x:v>
      </x:c>
      <x:c r="BQ937" s="14" t="str">
        <x:v>Medium</x:v>
      </x:c>
      <x:c r="BR937" s="15" t="n">
        <x:v>1</x:v>
      </x:c>
      <x:c r="BS937" s="16" t="n">
        <x:v>0.03571428571428571</x:v>
      </x:c>
      <x:c r="BT937" s="14" t="str">
        <x:v>One episode</x:v>
      </x:c>
      <x:c r="BU937" s="14" t="str">
        <x:v>Medium</x:v>
      </x:c>
      <x:c r="BV937" s="14" t="str">
        <x:v>Derived from supplied IMDb episode count and the documented production-total proxy.</x:v>
      </x:c>
      <x:c r="BW937" s="14" t="str">
        <x:v>Unable to determine</x:v>
      </x:c>
      <x:c r="BX937" s="14" t="str">
        <x:v>Supplied cast data establishes the credit and episode presence but does not establish narrative prominence.</x:v>
      </x:c>
      <x:c r="BY937" s="14" t="str">
        <x:v>Supplied IMDb cast-list workbook</x:v>
      </x:c>
      <x:c r="BZ93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7" s="14" t="str">
        <x:v>Not classified</x:v>
      </x:c>
      <x:c r="CB937" s="14" t="str">
        <x:v>Unable to determine</x:v>
      </x:c>
      <x:c r="CC937" s="14" t="str">
        <x:v>Unique</x:v>
      </x:c>
      <x:c r="CD937" s="14" t="str">
        <x:v>None identified</x:v>
      </x:c>
    </x:row>
    <x:row r="938">
      <x:c r="A938" s="14" t="str">
        <x:v>tt15499118|nm0561753|nancy ludovic</x:v>
      </x:c>
      <x:c r="B938" s="14" t="str">
        <x:v>03</x:v>
      </x:c>
      <x:c r="C938" s="14" t="str">
        <x:v>2021_IMDb_Cast_Lists_Batch_03(1).xlsx</x:v>
      </x:c>
      <x:c r="D938" s="14" t="str">
        <x:v>The Madame Blanc Mysteries</x:v>
      </x:c>
      <x:c r="E938" s="14" t="n">
        <x:v>128</x:v>
      </x:c>
      <x:c r="F938" s="14" t="str">
        <x:v>The Madame Blanc Mysteries</x:v>
      </x:c>
      <x:c r="G938" s="14" t="str">
        <x:v>tt15499118</x:v>
      </x:c>
      <x:c r="H938" s="14" t="n">
        <x:v>2021</x:v>
      </x:c>
      <x:c r="I938" s="14" t="n">
        <x:v>2023</x:v>
      </x:c>
      <x:c r="J938" s="14" t="str">
        <x:v>Future Carry-Forward Cohort</x:v>
      </x:c>
      <x:c r="K938" s="14" t="n">
        <x:v>2021</x:v>
      </x:c>
      <x:c r="L938" s="14" t="str">
        <x:v>Available from 2021 analysis</x:v>
      </x:c>
      <x:c r="M938" s="15" t="n">
        <x:v>121</x:v>
      </x:c>
      <x:c r="N938" s="14" t="str">
        <x:v>Lisa Maxwell</x:v>
      </x:c>
      <x:c r="O938" s="14" t="str">
        <x:v>nm0561753</x:v>
      </x:c>
      <x:c r="P938" s="14" t="str">
        <x:v>Nancy Ludovic</x:v>
      </x:c>
      <x:c r="Q938" s="15" t="n">
        <x:v>1</x:v>
      </x:c>
      <x:c r="R938" s="14" t="str">
        <x:v>2024</x:v>
      </x:c>
      <x:c r="S938" s="14" t="n">
        <x:v>2024</x:v>
      </x:c>
      <x:c r="T938" s="14" t="n">
        <x:v>2024</x:v>
      </x:c>
      <x:c r="U938" s="14" t="str">
        <x:v>Post-2021 casting excluded</x:v>
      </x:c>
      <x:c r="V938" s="14" t="str">
        <x:v>Earliest supplied year is 2024, later than the 2021 study year.</x:v>
      </x:c>
      <x:c r="W938" s="14"/>
      <x:c r="X938" s="14" t="str">
        <x:v>Carried forward to 2024</x:v>
      </x:c>
      <x:c r="Y938" s="14"/>
      <x:c r="Z938" s="14" t="str">
        <x:v>The Madame Blanc Mysteries.docx</x:v>
      </x:c>
      <x:c r="AA93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8" s="14" t="str">
        <x:v>No established-register match</x:v>
      </x:c>
      <x:c r="AC938" s="14"/>
      <x:c r="AD938" s="14"/>
      <x:c r="AE938" s="14"/>
      <x:c r="AF938" s="14"/>
      <x:c r="AG938" s="14" t="str">
        <x:v>No qualifying conclusion recorded. Absence from the register is not evidence that the performer is not disabled.</x:v>
      </x:c>
      <x:c r="AH938" s="14" t="str">
        <x:v>Channel 5 / 5</x:v>
      </x:c>
      <x:c r="AI938" s="14" t="str">
        <x:v>UK original commission</x:v>
      </x:c>
      <x:c r="AJ938" s="14" t="str">
        <x:v>Exact normalised title</x:v>
      </x:c>
      <x:c r="AK938" s="14" t="str">
        <x:v>Medium</x:v>
      </x:c>
      <x:c r="AL938" s="14" t="str">
        <x:v>Verified for commissioner/platform scope; uk original commission.</x:v>
      </x:c>
      <x:c r="AM93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8" s="14" t="str">
        <x:v>No qualifying BBC relationship</x:v>
      </x:c>
      <x:c r="AO938" s="14" t="str">
        <x:v>No</x:v>
      </x:c>
      <x:c r="AP938" s="14" t="str">
        <x:v>Out of scope</x:v>
      </x:c>
      <x:c r="AQ938" s="14" t="str">
        <x:v>No</x:v>
      </x:c>
      <x:c r="AR938" s="14" t="str">
        <x:v>Resolved from master register</x:v>
      </x:c>
      <x:c r="AS938" s="14" t="str">
        <x:v>No established-register match</x:v>
      </x:c>
      <x:c r="AT938" s="14"/>
      <x:c r="AU938" s="14"/>
      <x:c r="AV938" s="14" t="str">
        <x:v>No established apparent-disability match</x:v>
      </x:c>
      <x:c r="AW938" s="14"/>
      <x:c r="AX938" s="14" t="str">
        <x:v>No</x:v>
      </x:c>
      <x:c r="AY938" s="14" t="str">
        <x:v>Unmatched</x:v>
      </x:c>
      <x:c r="AZ938" s="14" t="str">
        <x:v>Final supplied register</x:v>
      </x:c>
      <x:c r="BA938" s="14" t="str">
        <x:v>Absence from the register is not evidence that the performer is not disabled.</x:v>
      </x:c>
      <x:c r="BB938" s="14" t="str">
        <x:v>No established-register match</x:v>
      </x:c>
      <x:c r="BC938" s="14"/>
      <x:c r="BD938" s="14"/>
      <x:c r="BE938" s="14"/>
      <x:c r="BF938" s="14" t="str">
        <x:v>No established apparent-disability match</x:v>
      </x:c>
      <x:c r="BG938" s="14"/>
      <x:c r="BH938" s="14" t="str">
        <x:v>No</x:v>
      </x:c>
      <x:c r="BI938" s="14"/>
      <x:c r="BJ938" s="14"/>
      <x:c r="BK938" s="14"/>
      <x:c r="BL938" s="14" t="str">
        <x:v>Unmatched</x:v>
      </x:c>
      <x:c r="BM938" s="14" t="str">
        <x:v>Final supplied register</x:v>
      </x:c>
      <x:c r="BN938" s="14" t="str">
        <x:v>Absence from the register is not evidence that the performer is not disabled.</x:v>
      </x:c>
      <x:c r="BO938" s="14" t="n">
        <x:v>28</x:v>
      </x:c>
      <x:c r="BP938" s="14" t="str">
        <x:v>Maximum eligible IMDb cast-credit total (28), shared by 4 performer(s); not independently verified as a 2021-only episode total.</x:v>
      </x:c>
      <x:c r="BQ938" s="14" t="str">
        <x:v>Medium</x:v>
      </x:c>
      <x:c r="BR938" s="15" t="n">
        <x:v>1</x:v>
      </x:c>
      <x:c r="BS938" s="16" t="n">
        <x:v>0.03571428571428571</x:v>
      </x:c>
      <x:c r="BT938" s="14" t="str">
        <x:v>One episode</x:v>
      </x:c>
      <x:c r="BU938" s="14" t="str">
        <x:v>Medium</x:v>
      </x:c>
      <x:c r="BV938" s="14" t="str">
        <x:v>Derived from supplied IMDb episode count and the documented production-total proxy.</x:v>
      </x:c>
      <x:c r="BW938" s="14" t="str">
        <x:v>Unable to determine</x:v>
      </x:c>
      <x:c r="BX938" s="14" t="str">
        <x:v>Supplied cast data establishes the credit and episode presence but does not establish narrative prominence.</x:v>
      </x:c>
      <x:c r="BY938" s="14" t="str">
        <x:v>Supplied IMDb cast-list workbook</x:v>
      </x:c>
      <x:c r="BZ93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8" s="14" t="str">
        <x:v>Not classified</x:v>
      </x:c>
      <x:c r="CB938" s="14" t="str">
        <x:v>Unable to determine</x:v>
      </x:c>
      <x:c r="CC938" s="14" t="str">
        <x:v>Unique</x:v>
      </x:c>
      <x:c r="CD938" s="14" t="str">
        <x:v>None identified</x:v>
      </x:c>
    </x:row>
    <x:row r="939">
      <x:c r="A939" s="14" t="str">
        <x:v>tt15499118|nm1930256|christian delise</x:v>
      </x:c>
      <x:c r="B939" s="14" t="str">
        <x:v>03</x:v>
      </x:c>
      <x:c r="C939" s="14" t="str">
        <x:v>2021_IMDb_Cast_Lists_Batch_03(1).xlsx</x:v>
      </x:c>
      <x:c r="D939" s="14" t="str">
        <x:v>The Madame Blanc Mysteries</x:v>
      </x:c>
      <x:c r="E939" s="14" t="n">
        <x:v>129</x:v>
      </x:c>
      <x:c r="F939" s="14" t="str">
        <x:v>The Madame Blanc Mysteries</x:v>
      </x:c>
      <x:c r="G939" s="14" t="str">
        <x:v>tt15499118</x:v>
      </x:c>
      <x:c r="H939" s="14" t="n">
        <x:v>2021</x:v>
      </x:c>
      <x:c r="I939" s="14" t="n">
        <x:v>2023</x:v>
      </x:c>
      <x:c r="J939" s="14" t="str">
        <x:v>Future Carry-Forward Cohort</x:v>
      </x:c>
      <x:c r="K939" s="14" t="n">
        <x:v>2021</x:v>
      </x:c>
      <x:c r="L939" s="14" t="str">
        <x:v>Available from 2021 analysis</x:v>
      </x:c>
      <x:c r="M939" s="15" t="n">
        <x:v>122</x:v>
      </x:c>
      <x:c r="N939" s="14" t="str">
        <x:v>Philippe Spall</x:v>
      </x:c>
      <x:c r="O939" s="14" t="str">
        <x:v>nm1930256</x:v>
      </x:c>
      <x:c r="P939" s="14" t="str">
        <x:v>Christian Delise</x:v>
      </x:c>
      <x:c r="Q939" s="15" t="n">
        <x:v>1</x:v>
      </x:c>
      <x:c r="R939" s="14" t="str">
        <x:v>2024</x:v>
      </x:c>
      <x:c r="S939" s="14" t="n">
        <x:v>2024</x:v>
      </x:c>
      <x:c r="T939" s="14" t="n">
        <x:v>2024</x:v>
      </x:c>
      <x:c r="U939" s="14" t="str">
        <x:v>Post-2021 casting excluded</x:v>
      </x:c>
      <x:c r="V939" s="14" t="str">
        <x:v>Earliest supplied year is 2024, later than the 2021 study year.</x:v>
      </x:c>
      <x:c r="W939" s="14"/>
      <x:c r="X939" s="14" t="str">
        <x:v>Carried forward to 2024</x:v>
      </x:c>
      <x:c r="Y939" s="14"/>
      <x:c r="Z939" s="14" t="str">
        <x:v>The Madame Blanc Mysteries.docx</x:v>
      </x:c>
      <x:c r="AA93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9" s="14" t="str">
        <x:v>No established-register match</x:v>
      </x:c>
      <x:c r="AC939" s="14"/>
      <x:c r="AD939" s="14"/>
      <x:c r="AE939" s="14"/>
      <x:c r="AF939" s="14"/>
      <x:c r="AG939" s="14" t="str">
        <x:v>No qualifying conclusion recorded. Absence from the register is not evidence that the performer is not disabled.</x:v>
      </x:c>
      <x:c r="AH939" s="14" t="str">
        <x:v>Channel 5 / 5</x:v>
      </x:c>
      <x:c r="AI939" s="14" t="str">
        <x:v>UK original commission</x:v>
      </x:c>
      <x:c r="AJ939" s="14" t="str">
        <x:v>Exact normalised title</x:v>
      </x:c>
      <x:c r="AK939" s="14" t="str">
        <x:v>Medium</x:v>
      </x:c>
      <x:c r="AL939" s="14" t="str">
        <x:v>Verified for commissioner/platform scope; uk original commission.</x:v>
      </x:c>
      <x:c r="AM93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9" s="14" t="str">
        <x:v>No qualifying BBC relationship</x:v>
      </x:c>
      <x:c r="AO939" s="14" t="str">
        <x:v>No</x:v>
      </x:c>
      <x:c r="AP939" s="14" t="str">
        <x:v>Out of scope</x:v>
      </x:c>
      <x:c r="AQ939" s="14" t="str">
        <x:v>No</x:v>
      </x:c>
      <x:c r="AR939" s="14" t="str">
        <x:v>Resolved from master register</x:v>
      </x:c>
      <x:c r="AS939" s="14" t="str">
        <x:v>No established-register match</x:v>
      </x:c>
      <x:c r="AT939" s="14"/>
      <x:c r="AU939" s="14"/>
      <x:c r="AV939" s="14" t="str">
        <x:v>No established apparent-disability match</x:v>
      </x:c>
      <x:c r="AW939" s="14"/>
      <x:c r="AX939" s="14" t="str">
        <x:v>No</x:v>
      </x:c>
      <x:c r="AY939" s="14" t="str">
        <x:v>Unmatched</x:v>
      </x:c>
      <x:c r="AZ939" s="14" t="str">
        <x:v>Final supplied register</x:v>
      </x:c>
      <x:c r="BA939" s="14" t="str">
        <x:v>Absence from the register is not evidence that the performer is not disabled.</x:v>
      </x:c>
      <x:c r="BB939" s="14" t="str">
        <x:v>No established-register match</x:v>
      </x:c>
      <x:c r="BC939" s="14"/>
      <x:c r="BD939" s="14"/>
      <x:c r="BE939" s="14"/>
      <x:c r="BF939" s="14" t="str">
        <x:v>No established apparent-disability match</x:v>
      </x:c>
      <x:c r="BG939" s="14"/>
      <x:c r="BH939" s="14" t="str">
        <x:v>No</x:v>
      </x:c>
      <x:c r="BI939" s="14"/>
      <x:c r="BJ939" s="14"/>
      <x:c r="BK939" s="14"/>
      <x:c r="BL939" s="14" t="str">
        <x:v>Unmatched</x:v>
      </x:c>
      <x:c r="BM939" s="14" t="str">
        <x:v>Final supplied register</x:v>
      </x:c>
      <x:c r="BN939" s="14" t="str">
        <x:v>Absence from the register is not evidence that the performer is not disabled.</x:v>
      </x:c>
      <x:c r="BO939" s="14" t="n">
        <x:v>28</x:v>
      </x:c>
      <x:c r="BP939" s="14" t="str">
        <x:v>Maximum eligible IMDb cast-credit total (28), shared by 4 performer(s); not independently verified as a 2021-only episode total.</x:v>
      </x:c>
      <x:c r="BQ939" s="14" t="str">
        <x:v>Medium</x:v>
      </x:c>
      <x:c r="BR939" s="15" t="n">
        <x:v>1</x:v>
      </x:c>
      <x:c r="BS939" s="16" t="n">
        <x:v>0.03571428571428571</x:v>
      </x:c>
      <x:c r="BT939" s="14" t="str">
        <x:v>One episode</x:v>
      </x:c>
      <x:c r="BU939" s="14" t="str">
        <x:v>Medium</x:v>
      </x:c>
      <x:c r="BV939" s="14" t="str">
        <x:v>Derived from supplied IMDb episode count and the documented production-total proxy.</x:v>
      </x:c>
      <x:c r="BW939" s="14" t="str">
        <x:v>Unable to determine</x:v>
      </x:c>
      <x:c r="BX939" s="14" t="str">
        <x:v>Supplied cast data establishes the credit and episode presence but does not establish narrative prominence.</x:v>
      </x:c>
      <x:c r="BY939" s="14" t="str">
        <x:v>Supplied IMDb cast-list workbook</x:v>
      </x:c>
      <x:c r="BZ93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9" s="14" t="str">
        <x:v>Not classified</x:v>
      </x:c>
      <x:c r="CB939" s="14" t="str">
        <x:v>Unable to determine</x:v>
      </x:c>
      <x:c r="CC939" s="14" t="str">
        <x:v>Unique</x:v>
      </x:c>
      <x:c r="CD939" s="14" t="str">
        <x:v>None identified</x:v>
      </x:c>
    </x:row>
    <x:row r="940">
      <x:c r="A940" s="14" t="str">
        <x:v>tt15499118|nm10270225|fayette moreau</x:v>
      </x:c>
      <x:c r="B940" s="14" t="str">
        <x:v>03</x:v>
      </x:c>
      <x:c r="C940" s="14" t="str">
        <x:v>2021_IMDb_Cast_Lists_Batch_03(1).xlsx</x:v>
      </x:c>
      <x:c r="D940" s="14" t="str">
        <x:v>The Madame Blanc Mysteries</x:v>
      </x:c>
      <x:c r="E940" s="14" t="n">
        <x:v>130</x:v>
      </x:c>
      <x:c r="F940" s="14" t="str">
        <x:v>The Madame Blanc Mysteries</x:v>
      </x:c>
      <x:c r="G940" s="14" t="str">
        <x:v>tt15499118</x:v>
      </x:c>
      <x:c r="H940" s="14" t="n">
        <x:v>2021</x:v>
      </x:c>
      <x:c r="I940" s="14" t="n">
        <x:v>2023</x:v>
      </x:c>
      <x:c r="J940" s="14" t="str">
        <x:v>Future Carry-Forward Cohort</x:v>
      </x:c>
      <x:c r="K940" s="14" t="n">
        <x:v>2021</x:v>
      </x:c>
      <x:c r="L940" s="14" t="str">
        <x:v>Available from 2021 analysis</x:v>
      </x:c>
      <x:c r="M940" s="15" t="n">
        <x:v>123</x:v>
      </x:c>
      <x:c r="N940" s="14" t="str">
        <x:v>Fleur de Wit</x:v>
      </x:c>
      <x:c r="O940" s="14" t="str">
        <x:v>nm10270225</x:v>
      </x:c>
      <x:c r="P940" s="14" t="str">
        <x:v>Fayette Moreau</x:v>
      </x:c>
      <x:c r="Q940" s="15" t="n">
        <x:v>1</x:v>
      </x:c>
      <x:c r="R940" s="14" t="str">
        <x:v>2024</x:v>
      </x:c>
      <x:c r="S940" s="14" t="n">
        <x:v>2024</x:v>
      </x:c>
      <x:c r="T940" s="14" t="n">
        <x:v>2024</x:v>
      </x:c>
      <x:c r="U940" s="14" t="str">
        <x:v>Post-2021 casting excluded</x:v>
      </x:c>
      <x:c r="V940" s="14" t="str">
        <x:v>Earliest supplied year is 2024, later than the 2021 study year.</x:v>
      </x:c>
      <x:c r="W940" s="14"/>
      <x:c r="X940" s="14" t="str">
        <x:v>Carried forward to 2024</x:v>
      </x:c>
      <x:c r="Y940" s="14"/>
      <x:c r="Z940" s="14" t="str">
        <x:v>The Madame Blanc Mysteries.docx</x:v>
      </x:c>
      <x:c r="AA94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0" s="14" t="str">
        <x:v>No established-register match</x:v>
      </x:c>
      <x:c r="AC940" s="14"/>
      <x:c r="AD940" s="14"/>
      <x:c r="AE940" s="14"/>
      <x:c r="AF940" s="14"/>
      <x:c r="AG940" s="14" t="str">
        <x:v>No qualifying conclusion recorded. Absence from the register is not evidence that the performer is not disabled.</x:v>
      </x:c>
      <x:c r="AH940" s="14" t="str">
        <x:v>Channel 5 / 5</x:v>
      </x:c>
      <x:c r="AI940" s="14" t="str">
        <x:v>UK original commission</x:v>
      </x:c>
      <x:c r="AJ940" s="14" t="str">
        <x:v>Exact normalised title</x:v>
      </x:c>
      <x:c r="AK940" s="14" t="str">
        <x:v>Medium</x:v>
      </x:c>
      <x:c r="AL940" s="14" t="str">
        <x:v>Verified for commissioner/platform scope; uk original commission.</x:v>
      </x:c>
      <x:c r="AM94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0" s="14" t="str">
        <x:v>No qualifying BBC relationship</x:v>
      </x:c>
      <x:c r="AO940" s="14" t="str">
        <x:v>No</x:v>
      </x:c>
      <x:c r="AP940" s="14" t="str">
        <x:v>Out of scope</x:v>
      </x:c>
      <x:c r="AQ940" s="14" t="str">
        <x:v>No</x:v>
      </x:c>
      <x:c r="AR940" s="14" t="str">
        <x:v>Resolved from master register</x:v>
      </x:c>
      <x:c r="AS940" s="14" t="str">
        <x:v>No established-register match</x:v>
      </x:c>
      <x:c r="AT940" s="14"/>
      <x:c r="AU940" s="14"/>
      <x:c r="AV940" s="14" t="str">
        <x:v>No established apparent-disability match</x:v>
      </x:c>
      <x:c r="AW940" s="14"/>
      <x:c r="AX940" s="14" t="str">
        <x:v>No</x:v>
      </x:c>
      <x:c r="AY940" s="14" t="str">
        <x:v>Unmatched</x:v>
      </x:c>
      <x:c r="AZ940" s="14" t="str">
        <x:v>Final supplied register</x:v>
      </x:c>
      <x:c r="BA940" s="14" t="str">
        <x:v>Absence from the register is not evidence that the performer is not disabled.</x:v>
      </x:c>
      <x:c r="BB940" s="14" t="str">
        <x:v>No established-register match</x:v>
      </x:c>
      <x:c r="BC940" s="14"/>
      <x:c r="BD940" s="14"/>
      <x:c r="BE940" s="14"/>
      <x:c r="BF940" s="14" t="str">
        <x:v>No established apparent-disability match</x:v>
      </x:c>
      <x:c r="BG940" s="14"/>
      <x:c r="BH940" s="14" t="str">
        <x:v>No</x:v>
      </x:c>
      <x:c r="BI940" s="14"/>
      <x:c r="BJ940" s="14"/>
      <x:c r="BK940" s="14"/>
      <x:c r="BL940" s="14" t="str">
        <x:v>Unmatched</x:v>
      </x:c>
      <x:c r="BM940" s="14" t="str">
        <x:v>Final supplied register</x:v>
      </x:c>
      <x:c r="BN940" s="14" t="str">
        <x:v>Absence from the register is not evidence that the performer is not disabled.</x:v>
      </x:c>
      <x:c r="BO940" s="14" t="n">
        <x:v>28</x:v>
      </x:c>
      <x:c r="BP940" s="14" t="str">
        <x:v>Maximum eligible IMDb cast-credit total (28), shared by 4 performer(s); not independently verified as a 2021-only episode total.</x:v>
      </x:c>
      <x:c r="BQ940" s="14" t="str">
        <x:v>Medium</x:v>
      </x:c>
      <x:c r="BR940" s="15" t="n">
        <x:v>1</x:v>
      </x:c>
      <x:c r="BS940" s="16" t="n">
        <x:v>0.03571428571428571</x:v>
      </x:c>
      <x:c r="BT940" s="14" t="str">
        <x:v>One episode</x:v>
      </x:c>
      <x:c r="BU940" s="14" t="str">
        <x:v>Medium</x:v>
      </x:c>
      <x:c r="BV940" s="14" t="str">
        <x:v>Derived from supplied IMDb episode count and the documented production-total proxy.</x:v>
      </x:c>
      <x:c r="BW940" s="14" t="str">
        <x:v>Unable to determine</x:v>
      </x:c>
      <x:c r="BX940" s="14" t="str">
        <x:v>Supplied cast data establishes the credit and episode presence but does not establish narrative prominence.</x:v>
      </x:c>
      <x:c r="BY940" s="14" t="str">
        <x:v>Supplied IMDb cast-list workbook</x:v>
      </x:c>
      <x:c r="BZ94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0" s="14" t="str">
        <x:v>Not classified</x:v>
      </x:c>
      <x:c r="CB940" s="14" t="str">
        <x:v>Unable to determine</x:v>
      </x:c>
      <x:c r="CC940" s="14" t="str">
        <x:v>Unique</x:v>
      </x:c>
      <x:c r="CD940" s="14" t="str">
        <x:v>None identified</x:v>
      </x:c>
    </x:row>
    <x:row r="941">
      <x:c r="A941" s="14" t="str">
        <x:v>tt15499118|nm12933502|doctor</x:v>
      </x:c>
      <x:c r="B941" s="14" t="str">
        <x:v>03</x:v>
      </x:c>
      <x:c r="C941" s="14" t="str">
        <x:v>2021_IMDb_Cast_Lists_Batch_03(1).xlsx</x:v>
      </x:c>
      <x:c r="D941" s="14" t="str">
        <x:v>The Madame Blanc Mysteries</x:v>
      </x:c>
      <x:c r="E941" s="14" t="n">
        <x:v>142</x:v>
      </x:c>
      <x:c r="F941" s="14" t="str">
        <x:v>The Madame Blanc Mysteries</x:v>
      </x:c>
      <x:c r="G941" s="14" t="str">
        <x:v>tt15499118</x:v>
      </x:c>
      <x:c r="H941" s="14" t="n">
        <x:v>2021</x:v>
      </x:c>
      <x:c r="I941" s="14" t="n">
        <x:v>2023</x:v>
      </x:c>
      <x:c r="J941" s="14" t="str">
        <x:v>Future Carry-Forward Cohort</x:v>
      </x:c>
      <x:c r="K941" s="14" t="n">
        <x:v>2021</x:v>
      </x:c>
      <x:c r="L941" s="14" t="str">
        <x:v>Available from 2021 analysis</x:v>
      </x:c>
      <x:c r="M941" s="15" t="n">
        <x:v>135</x:v>
      </x:c>
      <x:c r="N941" s="14" t="str">
        <x:v>Simone Spiteri</x:v>
      </x:c>
      <x:c r="O941" s="14" t="str">
        <x:v>nm12933502</x:v>
      </x:c>
      <x:c r="P941" s="14" t="str">
        <x:v>Doctor</x:v>
      </x:c>
      <x:c r="Q941" s="15" t="n">
        <x:v>1</x:v>
      </x:c>
      <x:c r="R941" s="14" t="str">
        <x:v>2024</x:v>
      </x:c>
      <x:c r="S941" s="14" t="n">
        <x:v>2024</x:v>
      </x:c>
      <x:c r="T941" s="14" t="n">
        <x:v>2024</x:v>
      </x:c>
      <x:c r="U941" s="14" t="str">
        <x:v>Post-2021 casting excluded</x:v>
      </x:c>
      <x:c r="V941" s="14" t="str">
        <x:v>Earliest supplied year is 2024, later than the 2021 study year.</x:v>
      </x:c>
      <x:c r="W941" s="14"/>
      <x:c r="X941" s="14" t="str">
        <x:v>Carried forward to 2024</x:v>
      </x:c>
      <x:c r="Y941" s="14"/>
      <x:c r="Z941" s="14" t="str">
        <x:v>The Madame Blanc Mysteries.docx</x:v>
      </x:c>
      <x:c r="AA94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1" s="14" t="str">
        <x:v>No established-register match</x:v>
      </x:c>
      <x:c r="AC941" s="14"/>
      <x:c r="AD941" s="14"/>
      <x:c r="AE941" s="14"/>
      <x:c r="AF941" s="14"/>
      <x:c r="AG941" s="14" t="str">
        <x:v>No qualifying conclusion recorded. Absence from the register is not evidence that the performer is not disabled.</x:v>
      </x:c>
      <x:c r="AH941" s="14" t="str">
        <x:v>Channel 5 / 5</x:v>
      </x:c>
      <x:c r="AI941" s="14" t="str">
        <x:v>UK original commission</x:v>
      </x:c>
      <x:c r="AJ941" s="14" t="str">
        <x:v>Exact normalised title</x:v>
      </x:c>
      <x:c r="AK941" s="14" t="str">
        <x:v>Medium</x:v>
      </x:c>
      <x:c r="AL941" s="14" t="str">
        <x:v>Verified for commissioner/platform scope; uk original commission.</x:v>
      </x:c>
      <x:c r="AM94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1" s="14" t="str">
        <x:v>No qualifying BBC relationship</x:v>
      </x:c>
      <x:c r="AO941" s="14" t="str">
        <x:v>No</x:v>
      </x:c>
      <x:c r="AP941" s="14" t="str">
        <x:v>Out of scope</x:v>
      </x:c>
      <x:c r="AQ941" s="14" t="str">
        <x:v>No</x:v>
      </x:c>
      <x:c r="AR941" s="14" t="str">
        <x:v>Resolved from master register</x:v>
      </x:c>
      <x:c r="AS941" s="14" t="str">
        <x:v>No established-register match</x:v>
      </x:c>
      <x:c r="AT941" s="14"/>
      <x:c r="AU941" s="14"/>
      <x:c r="AV941" s="14" t="str">
        <x:v>No established apparent-disability match</x:v>
      </x:c>
      <x:c r="AW941" s="14"/>
      <x:c r="AX941" s="14" t="str">
        <x:v>No</x:v>
      </x:c>
      <x:c r="AY941" s="14" t="str">
        <x:v>Unmatched</x:v>
      </x:c>
      <x:c r="AZ941" s="14" t="str">
        <x:v>Final supplied register</x:v>
      </x:c>
      <x:c r="BA941" s="14" t="str">
        <x:v>Absence from the register is not evidence that the performer is not disabled.</x:v>
      </x:c>
      <x:c r="BB941" s="14" t="str">
        <x:v>No established-register match</x:v>
      </x:c>
      <x:c r="BC941" s="14"/>
      <x:c r="BD941" s="14"/>
      <x:c r="BE941" s="14"/>
      <x:c r="BF941" s="14" t="str">
        <x:v>No established apparent-disability match</x:v>
      </x:c>
      <x:c r="BG941" s="14"/>
      <x:c r="BH941" s="14" t="str">
        <x:v>No</x:v>
      </x:c>
      <x:c r="BI941" s="14"/>
      <x:c r="BJ941" s="14"/>
      <x:c r="BK941" s="14"/>
      <x:c r="BL941" s="14" t="str">
        <x:v>Unmatched</x:v>
      </x:c>
      <x:c r="BM941" s="14" t="str">
        <x:v>Final supplied register</x:v>
      </x:c>
      <x:c r="BN941" s="14" t="str">
        <x:v>Absence from the register is not evidence that the performer is not disabled.</x:v>
      </x:c>
      <x:c r="BO941" s="14" t="n">
        <x:v>28</x:v>
      </x:c>
      <x:c r="BP941" s="14" t="str">
        <x:v>Maximum eligible IMDb cast-credit total (28), shared by 4 performer(s); not independently verified as a 2021-only episode total.</x:v>
      </x:c>
      <x:c r="BQ941" s="14" t="str">
        <x:v>Medium</x:v>
      </x:c>
      <x:c r="BR941" s="15" t="n">
        <x:v>1</x:v>
      </x:c>
      <x:c r="BS941" s="16" t="n">
        <x:v>0.03571428571428571</x:v>
      </x:c>
      <x:c r="BT941" s="14" t="str">
        <x:v>One episode</x:v>
      </x:c>
      <x:c r="BU941" s="14" t="str">
        <x:v>Medium</x:v>
      </x:c>
      <x:c r="BV941" s="14" t="str">
        <x:v>Derived from supplied IMDb episode count and the documented production-total proxy.</x:v>
      </x:c>
      <x:c r="BW941" s="14" t="str">
        <x:v>Unable to determine</x:v>
      </x:c>
      <x:c r="BX941" s="14" t="str">
        <x:v>Supplied cast data establishes the credit and episode presence but does not establish narrative prominence.</x:v>
      </x:c>
      <x:c r="BY941" s="14" t="str">
        <x:v>Supplied IMDb cast-list workbook</x:v>
      </x:c>
      <x:c r="BZ94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1" s="14" t="str">
        <x:v>Not classified</x:v>
      </x:c>
      <x:c r="CB941" s="14" t="str">
        <x:v>Unable to determine</x:v>
      </x:c>
      <x:c r="CC941" s="14" t="str">
        <x:v>Unique</x:v>
      </x:c>
      <x:c r="CD941" s="14" t="str">
        <x:v>None identified</x:v>
      </x:c>
    </x:row>
    <x:row r="942">
      <x:c r="A942" s="14" t="str">
        <x:v>tt15499118|nm8563752|henchman</x:v>
      </x:c>
      <x:c r="B942" s="14" t="str">
        <x:v>03</x:v>
      </x:c>
      <x:c r="C942" s="14" t="str">
        <x:v>2021_IMDb_Cast_Lists_Batch_03(1).xlsx</x:v>
      </x:c>
      <x:c r="D942" s="14" t="str">
        <x:v>The Madame Blanc Mysteries</x:v>
      </x:c>
      <x:c r="E942" s="14" t="n">
        <x:v>143</x:v>
      </x:c>
      <x:c r="F942" s="14" t="str">
        <x:v>The Madame Blanc Mysteries</x:v>
      </x:c>
      <x:c r="G942" s="14" t="str">
        <x:v>tt15499118</x:v>
      </x:c>
      <x:c r="H942" s="14" t="n">
        <x:v>2021</x:v>
      </x:c>
      <x:c r="I942" s="14" t="n">
        <x:v>2023</x:v>
      </x:c>
      <x:c r="J942" s="14" t="str">
        <x:v>Future Carry-Forward Cohort</x:v>
      </x:c>
      <x:c r="K942" s="14" t="n">
        <x:v>2021</x:v>
      </x:c>
      <x:c r="L942" s="14" t="str">
        <x:v>Available from 2021 analysis</x:v>
      </x:c>
      <x:c r="M942" s="15" t="n">
        <x:v>136</x:v>
      </x:c>
      <x:c r="N942" s="14" t="str">
        <x:v>Julien Vinet</x:v>
      </x:c>
      <x:c r="O942" s="14" t="str">
        <x:v>nm8563752</x:v>
      </x:c>
      <x:c r="P942" s="14" t="str">
        <x:v>Henchman</x:v>
      </x:c>
      <x:c r="Q942" s="15" t="n">
        <x:v>1</x:v>
      </x:c>
      <x:c r="R942" s="14" t="str">
        <x:v>2024</x:v>
      </x:c>
      <x:c r="S942" s="14" t="n">
        <x:v>2024</x:v>
      </x:c>
      <x:c r="T942" s="14" t="n">
        <x:v>2024</x:v>
      </x:c>
      <x:c r="U942" s="14" t="str">
        <x:v>Post-2021 casting excluded</x:v>
      </x:c>
      <x:c r="V942" s="14" t="str">
        <x:v>Earliest supplied year is 2024, later than the 2021 study year.</x:v>
      </x:c>
      <x:c r="W942" s="14"/>
      <x:c r="X942" s="14" t="str">
        <x:v>Carried forward to 2024</x:v>
      </x:c>
      <x:c r="Y942" s="14"/>
      <x:c r="Z942" s="14" t="str">
        <x:v>The Madame Blanc Mysteries.docx</x:v>
      </x:c>
      <x:c r="AA94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2" s="14" t="str">
        <x:v>No established-register match</x:v>
      </x:c>
      <x:c r="AC942" s="14"/>
      <x:c r="AD942" s="14"/>
      <x:c r="AE942" s="14"/>
      <x:c r="AF942" s="14"/>
      <x:c r="AG942" s="14" t="str">
        <x:v>No qualifying conclusion recorded. Absence from the register is not evidence that the performer is not disabled.</x:v>
      </x:c>
      <x:c r="AH942" s="14" t="str">
        <x:v>Channel 5 / 5</x:v>
      </x:c>
      <x:c r="AI942" s="14" t="str">
        <x:v>UK original commission</x:v>
      </x:c>
      <x:c r="AJ942" s="14" t="str">
        <x:v>Exact normalised title</x:v>
      </x:c>
      <x:c r="AK942" s="14" t="str">
        <x:v>Medium</x:v>
      </x:c>
      <x:c r="AL942" s="14" t="str">
        <x:v>Verified for commissioner/platform scope; uk original commission.</x:v>
      </x:c>
      <x:c r="AM94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2" s="14" t="str">
        <x:v>No qualifying BBC relationship</x:v>
      </x:c>
      <x:c r="AO942" s="14" t="str">
        <x:v>No</x:v>
      </x:c>
      <x:c r="AP942" s="14" t="str">
        <x:v>Out of scope</x:v>
      </x:c>
      <x:c r="AQ942" s="14" t="str">
        <x:v>No</x:v>
      </x:c>
      <x:c r="AR942" s="14" t="str">
        <x:v>Resolved from master register</x:v>
      </x:c>
      <x:c r="AS942" s="14" t="str">
        <x:v>No established-register match</x:v>
      </x:c>
      <x:c r="AT942" s="14"/>
      <x:c r="AU942" s="14"/>
      <x:c r="AV942" s="14" t="str">
        <x:v>No established apparent-disability match</x:v>
      </x:c>
      <x:c r="AW942" s="14"/>
      <x:c r="AX942" s="14" t="str">
        <x:v>No</x:v>
      </x:c>
      <x:c r="AY942" s="14" t="str">
        <x:v>Unmatched</x:v>
      </x:c>
      <x:c r="AZ942" s="14" t="str">
        <x:v>Final supplied register</x:v>
      </x:c>
      <x:c r="BA942" s="14" t="str">
        <x:v>Absence from the register is not evidence that the performer is not disabled.</x:v>
      </x:c>
      <x:c r="BB942" s="14" t="str">
        <x:v>No established-register match</x:v>
      </x:c>
      <x:c r="BC942" s="14"/>
      <x:c r="BD942" s="14"/>
      <x:c r="BE942" s="14"/>
      <x:c r="BF942" s="14" t="str">
        <x:v>No established apparent-disability match</x:v>
      </x:c>
      <x:c r="BG942" s="14"/>
      <x:c r="BH942" s="14" t="str">
        <x:v>No</x:v>
      </x:c>
      <x:c r="BI942" s="14"/>
      <x:c r="BJ942" s="14"/>
      <x:c r="BK942" s="14"/>
      <x:c r="BL942" s="14" t="str">
        <x:v>Unmatched</x:v>
      </x:c>
      <x:c r="BM942" s="14" t="str">
        <x:v>Final supplied register</x:v>
      </x:c>
      <x:c r="BN942" s="14" t="str">
        <x:v>Absence from the register is not evidence that the performer is not disabled.</x:v>
      </x:c>
      <x:c r="BO942" s="14" t="n">
        <x:v>28</x:v>
      </x:c>
      <x:c r="BP942" s="14" t="str">
        <x:v>Maximum eligible IMDb cast-credit total (28), shared by 4 performer(s); not independently verified as a 2021-only episode total.</x:v>
      </x:c>
      <x:c r="BQ942" s="14" t="str">
        <x:v>Medium</x:v>
      </x:c>
      <x:c r="BR942" s="15" t="n">
        <x:v>1</x:v>
      </x:c>
      <x:c r="BS942" s="16" t="n">
        <x:v>0.03571428571428571</x:v>
      </x:c>
      <x:c r="BT942" s="14" t="str">
        <x:v>One episode</x:v>
      </x:c>
      <x:c r="BU942" s="14" t="str">
        <x:v>Medium</x:v>
      </x:c>
      <x:c r="BV942" s="14" t="str">
        <x:v>Derived from supplied IMDb episode count and the documented production-total proxy.</x:v>
      </x:c>
      <x:c r="BW942" s="14" t="str">
        <x:v>Unable to determine</x:v>
      </x:c>
      <x:c r="BX942" s="14" t="str">
        <x:v>Supplied cast data establishes the credit and episode presence but does not establish narrative prominence.</x:v>
      </x:c>
      <x:c r="BY942" s="14" t="str">
        <x:v>Supplied IMDb cast-list workbook</x:v>
      </x:c>
      <x:c r="BZ94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2" s="14" t="str">
        <x:v>Not classified</x:v>
      </x:c>
      <x:c r="CB942" s="14" t="str">
        <x:v>Unable to determine</x:v>
      </x:c>
      <x:c r="CC942" s="14" t="str">
        <x:v>Unique</x:v>
      </x:c>
      <x:c r="CD942" s="14" t="str">
        <x:v>None identified</x:v>
      </x:c>
    </x:row>
    <x:row r="943">
      <x:c r="A943" s="14" t="str">
        <x:v>tt15499118|nm0334150|delphine banoire</x:v>
      </x:c>
      <x:c r="B943" s="14" t="str">
        <x:v>03</x:v>
      </x:c>
      <x:c r="C943" s="14" t="str">
        <x:v>2021_IMDb_Cast_Lists_Batch_03(1).xlsx</x:v>
      </x:c>
      <x:c r="D943" s="14" t="str">
        <x:v>The Madame Blanc Mysteries</x:v>
      </x:c>
      <x:c r="E943" s="14" t="n">
        <x:v>150</x:v>
      </x:c>
      <x:c r="F943" s="14" t="str">
        <x:v>The Madame Blanc Mysteries</x:v>
      </x:c>
      <x:c r="G943" s="14" t="str">
        <x:v>tt15499118</x:v>
      </x:c>
      <x:c r="H943" s="14" t="n">
        <x:v>2021</x:v>
      </x:c>
      <x:c r="I943" s="14" t="n">
        <x:v>2023</x:v>
      </x:c>
      <x:c r="J943" s="14" t="str">
        <x:v>Future Carry-Forward Cohort</x:v>
      </x:c>
      <x:c r="K943" s="14" t="n">
        <x:v>2021</x:v>
      </x:c>
      <x:c r="L943" s="14" t="str">
        <x:v>Available from 2021 analysis</x:v>
      </x:c>
      <x:c r="M943" s="15" t="n">
        <x:v>143</x:v>
      </x:c>
      <x:c r="N943" s="14" t="str">
        <x:v>Julie Graham</x:v>
      </x:c>
      <x:c r="O943" s="14" t="str">
        <x:v>nm0334150</x:v>
      </x:c>
      <x:c r="P943" s="14" t="str">
        <x:v>Delphine Banoire</x:v>
      </x:c>
      <x:c r="Q943" s="15" t="n">
        <x:v>1</x:v>
      </x:c>
      <x:c r="R943" s="14" t="str">
        <x:v>2024</x:v>
      </x:c>
      <x:c r="S943" s="14" t="n">
        <x:v>2024</x:v>
      </x:c>
      <x:c r="T943" s="14" t="n">
        <x:v>2024</x:v>
      </x:c>
      <x:c r="U943" s="14" t="str">
        <x:v>Post-2021 casting excluded</x:v>
      </x:c>
      <x:c r="V943" s="14" t="str">
        <x:v>Earliest supplied year is 2024, later than the 2021 study year.</x:v>
      </x:c>
      <x:c r="W943" s="14"/>
      <x:c r="X943" s="14" t="str">
        <x:v>Carried forward to 2024</x:v>
      </x:c>
      <x:c r="Y943" s="14"/>
      <x:c r="Z943" s="14" t="str">
        <x:v>The Madame Blanc Mysteries.docx</x:v>
      </x:c>
      <x:c r="AA94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3" s="14" t="str">
        <x:v>No established-register match</x:v>
      </x:c>
      <x:c r="AC943" s="14"/>
      <x:c r="AD943" s="14"/>
      <x:c r="AE943" s="14"/>
      <x:c r="AF943" s="14"/>
      <x:c r="AG943" s="14" t="str">
        <x:v>No qualifying conclusion recorded. Absence from the register is not evidence that the performer is not disabled.</x:v>
      </x:c>
      <x:c r="AH943" s="14" t="str">
        <x:v>Channel 5 / 5</x:v>
      </x:c>
      <x:c r="AI943" s="14" t="str">
        <x:v>UK original commission</x:v>
      </x:c>
      <x:c r="AJ943" s="14" t="str">
        <x:v>Exact normalised title</x:v>
      </x:c>
      <x:c r="AK943" s="14" t="str">
        <x:v>Medium</x:v>
      </x:c>
      <x:c r="AL943" s="14" t="str">
        <x:v>Verified for commissioner/platform scope; uk original commission.</x:v>
      </x:c>
      <x:c r="AM94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3" s="14" t="str">
        <x:v>No qualifying BBC relationship</x:v>
      </x:c>
      <x:c r="AO943" s="14" t="str">
        <x:v>No</x:v>
      </x:c>
      <x:c r="AP943" s="14" t="str">
        <x:v>Out of scope</x:v>
      </x:c>
      <x:c r="AQ943" s="14" t="str">
        <x:v>No</x:v>
      </x:c>
      <x:c r="AR943" s="14" t="str">
        <x:v>Resolved from master register</x:v>
      </x:c>
      <x:c r="AS943" s="14" t="str">
        <x:v>No established-register match</x:v>
      </x:c>
      <x:c r="AT943" s="14"/>
      <x:c r="AU943" s="14"/>
      <x:c r="AV943" s="14" t="str">
        <x:v>No established apparent-disability match</x:v>
      </x:c>
      <x:c r="AW943" s="14"/>
      <x:c r="AX943" s="14" t="str">
        <x:v>No</x:v>
      </x:c>
      <x:c r="AY943" s="14" t="str">
        <x:v>Unmatched</x:v>
      </x:c>
      <x:c r="AZ943" s="14" t="str">
        <x:v>Final supplied register</x:v>
      </x:c>
      <x:c r="BA943" s="14" t="str">
        <x:v>Absence from the register is not evidence that the performer is not disabled.</x:v>
      </x:c>
      <x:c r="BB943" s="14" t="str">
        <x:v>No established-register match</x:v>
      </x:c>
      <x:c r="BC943" s="14"/>
      <x:c r="BD943" s="14"/>
      <x:c r="BE943" s="14"/>
      <x:c r="BF943" s="14" t="str">
        <x:v>No established apparent-disability match</x:v>
      </x:c>
      <x:c r="BG943" s="14"/>
      <x:c r="BH943" s="14" t="str">
        <x:v>No</x:v>
      </x:c>
      <x:c r="BI943" s="14"/>
      <x:c r="BJ943" s="14"/>
      <x:c r="BK943" s="14"/>
      <x:c r="BL943" s="14" t="str">
        <x:v>Unmatched</x:v>
      </x:c>
      <x:c r="BM943" s="14" t="str">
        <x:v>Final supplied register</x:v>
      </x:c>
      <x:c r="BN943" s="14" t="str">
        <x:v>Absence from the register is not evidence that the performer is not disabled.</x:v>
      </x:c>
      <x:c r="BO943" s="14" t="n">
        <x:v>28</x:v>
      </x:c>
      <x:c r="BP943" s="14" t="str">
        <x:v>Maximum eligible IMDb cast-credit total (28), shared by 4 performer(s); not independently verified as a 2021-only episode total.</x:v>
      </x:c>
      <x:c r="BQ943" s="14" t="str">
        <x:v>Medium</x:v>
      </x:c>
      <x:c r="BR943" s="15" t="n">
        <x:v>1</x:v>
      </x:c>
      <x:c r="BS943" s="16" t="n">
        <x:v>0.03571428571428571</x:v>
      </x:c>
      <x:c r="BT943" s="14" t="str">
        <x:v>One episode</x:v>
      </x:c>
      <x:c r="BU943" s="14" t="str">
        <x:v>Medium</x:v>
      </x:c>
      <x:c r="BV943" s="14" t="str">
        <x:v>Derived from supplied IMDb episode count and the documented production-total proxy.</x:v>
      </x:c>
      <x:c r="BW943" s="14" t="str">
        <x:v>Unable to determine</x:v>
      </x:c>
      <x:c r="BX943" s="14" t="str">
        <x:v>Supplied cast data establishes the credit and episode presence but does not establish narrative prominence.</x:v>
      </x:c>
      <x:c r="BY943" s="14" t="str">
        <x:v>Supplied IMDb cast-list workbook</x:v>
      </x:c>
      <x:c r="BZ94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3" s="14" t="str">
        <x:v>Not classified</x:v>
      </x:c>
      <x:c r="CB943" s="14" t="str">
        <x:v>Unable to determine</x:v>
      </x:c>
      <x:c r="CC943" s="14" t="str">
        <x:v>Unique</x:v>
      </x:c>
      <x:c r="CD943" s="14" t="str">
        <x:v>None identified</x:v>
      </x:c>
    </x:row>
    <x:row r="944">
      <x:c r="A944" s="14" t="str">
        <x:v>tt15499118|nm0858794|reme benson</x:v>
      </x:c>
      <x:c r="B944" s="14" t="str">
        <x:v>03</x:v>
      </x:c>
      <x:c r="C944" s="14" t="str">
        <x:v>2021_IMDb_Cast_Lists_Batch_03(1).xlsx</x:v>
      </x:c>
      <x:c r="D944" s="14" t="str">
        <x:v>The Madame Blanc Mysteries</x:v>
      </x:c>
      <x:c r="E944" s="14" t="n">
        <x:v>151</x:v>
      </x:c>
      <x:c r="F944" s="14" t="str">
        <x:v>The Madame Blanc Mysteries</x:v>
      </x:c>
      <x:c r="G944" s="14" t="str">
        <x:v>tt15499118</x:v>
      </x:c>
      <x:c r="H944" s="14" t="n">
        <x:v>2021</x:v>
      </x:c>
      <x:c r="I944" s="14" t="n">
        <x:v>2023</x:v>
      </x:c>
      <x:c r="J944" s="14" t="str">
        <x:v>Future Carry-Forward Cohort</x:v>
      </x:c>
      <x:c r="K944" s="14" t="n">
        <x:v>2021</x:v>
      </x:c>
      <x:c r="L944" s="14" t="str">
        <x:v>Available from 2021 analysis</x:v>
      </x:c>
      <x:c r="M944" s="15" t="n">
        <x:v>144</x:v>
      </x:c>
      <x:c r="N944" s="14" t="str">
        <x:v>Ellen Thomas</x:v>
      </x:c>
      <x:c r="O944" s="14" t="str">
        <x:v>nm0858794</x:v>
      </x:c>
      <x:c r="P944" s="14" t="str">
        <x:v>Reme Benson</x:v>
      </x:c>
      <x:c r="Q944" s="15" t="n">
        <x:v>1</x:v>
      </x:c>
      <x:c r="R944" s="14" t="str">
        <x:v>2024</x:v>
      </x:c>
      <x:c r="S944" s="14" t="n">
        <x:v>2024</x:v>
      </x:c>
      <x:c r="T944" s="14" t="n">
        <x:v>2024</x:v>
      </x:c>
      <x:c r="U944" s="14" t="str">
        <x:v>Post-2021 casting excluded</x:v>
      </x:c>
      <x:c r="V944" s="14" t="str">
        <x:v>Earliest supplied year is 2024, later than the 2021 study year.</x:v>
      </x:c>
      <x:c r="W944" s="14"/>
      <x:c r="X944" s="14" t="str">
        <x:v>Carried forward to 2024</x:v>
      </x:c>
      <x:c r="Y944" s="14"/>
      <x:c r="Z944" s="14" t="str">
        <x:v>The Madame Blanc Mysteries.docx</x:v>
      </x:c>
      <x:c r="AA94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4" s="14" t="str">
        <x:v>No established-register match</x:v>
      </x:c>
      <x:c r="AC944" s="14"/>
      <x:c r="AD944" s="14"/>
      <x:c r="AE944" s="14"/>
      <x:c r="AF944" s="14"/>
      <x:c r="AG944" s="14" t="str">
        <x:v>No qualifying conclusion recorded. Absence from the register is not evidence that the performer is not disabled.</x:v>
      </x:c>
      <x:c r="AH944" s="14" t="str">
        <x:v>Channel 5 / 5</x:v>
      </x:c>
      <x:c r="AI944" s="14" t="str">
        <x:v>UK original commission</x:v>
      </x:c>
      <x:c r="AJ944" s="14" t="str">
        <x:v>Exact normalised title</x:v>
      </x:c>
      <x:c r="AK944" s="14" t="str">
        <x:v>Medium</x:v>
      </x:c>
      <x:c r="AL944" s="14" t="str">
        <x:v>Verified for commissioner/platform scope; uk original commission.</x:v>
      </x:c>
      <x:c r="AM94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4" s="14" t="str">
        <x:v>No qualifying BBC relationship</x:v>
      </x:c>
      <x:c r="AO944" s="14" t="str">
        <x:v>No</x:v>
      </x:c>
      <x:c r="AP944" s="14" t="str">
        <x:v>Out of scope</x:v>
      </x:c>
      <x:c r="AQ944" s="14" t="str">
        <x:v>No</x:v>
      </x:c>
      <x:c r="AR944" s="14" t="str">
        <x:v>Resolved from master register</x:v>
      </x:c>
      <x:c r="AS944" s="14" t="str">
        <x:v>No established-register match</x:v>
      </x:c>
      <x:c r="AT944" s="14"/>
      <x:c r="AU944" s="14"/>
      <x:c r="AV944" s="14" t="str">
        <x:v>No established apparent-disability match</x:v>
      </x:c>
      <x:c r="AW944" s="14"/>
      <x:c r="AX944" s="14" t="str">
        <x:v>No</x:v>
      </x:c>
      <x:c r="AY944" s="14" t="str">
        <x:v>Unmatched</x:v>
      </x:c>
      <x:c r="AZ944" s="14" t="str">
        <x:v>Final supplied register</x:v>
      </x:c>
      <x:c r="BA944" s="14" t="str">
        <x:v>Absence from the register is not evidence that the performer is not disabled.</x:v>
      </x:c>
      <x:c r="BB944" s="14" t="str">
        <x:v>No established-register match</x:v>
      </x:c>
      <x:c r="BC944" s="14"/>
      <x:c r="BD944" s="14"/>
      <x:c r="BE944" s="14"/>
      <x:c r="BF944" s="14" t="str">
        <x:v>No established apparent-disability match</x:v>
      </x:c>
      <x:c r="BG944" s="14"/>
      <x:c r="BH944" s="14" t="str">
        <x:v>No</x:v>
      </x:c>
      <x:c r="BI944" s="14"/>
      <x:c r="BJ944" s="14"/>
      <x:c r="BK944" s="14"/>
      <x:c r="BL944" s="14" t="str">
        <x:v>Unmatched</x:v>
      </x:c>
      <x:c r="BM944" s="14" t="str">
        <x:v>Final supplied register</x:v>
      </x:c>
      <x:c r="BN944" s="14" t="str">
        <x:v>Absence from the register is not evidence that the performer is not disabled.</x:v>
      </x:c>
      <x:c r="BO944" s="14" t="n">
        <x:v>28</x:v>
      </x:c>
      <x:c r="BP944" s="14" t="str">
        <x:v>Maximum eligible IMDb cast-credit total (28), shared by 4 performer(s); not independently verified as a 2021-only episode total.</x:v>
      </x:c>
      <x:c r="BQ944" s="14" t="str">
        <x:v>Medium</x:v>
      </x:c>
      <x:c r="BR944" s="15" t="n">
        <x:v>1</x:v>
      </x:c>
      <x:c r="BS944" s="16" t="n">
        <x:v>0.03571428571428571</x:v>
      </x:c>
      <x:c r="BT944" s="14" t="str">
        <x:v>One episode</x:v>
      </x:c>
      <x:c r="BU944" s="14" t="str">
        <x:v>Medium</x:v>
      </x:c>
      <x:c r="BV944" s="14" t="str">
        <x:v>Derived from supplied IMDb episode count and the documented production-total proxy.</x:v>
      </x:c>
      <x:c r="BW944" s="14" t="str">
        <x:v>Unable to determine</x:v>
      </x:c>
      <x:c r="BX944" s="14" t="str">
        <x:v>Supplied cast data establishes the credit and episode presence but does not establish narrative prominence.</x:v>
      </x:c>
      <x:c r="BY944" s="14" t="str">
        <x:v>Supplied IMDb cast-list workbook</x:v>
      </x:c>
      <x:c r="BZ94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4" s="14" t="str">
        <x:v>Not classified</x:v>
      </x:c>
      <x:c r="CB944" s="14" t="str">
        <x:v>Unable to determine</x:v>
      </x:c>
      <x:c r="CC944" s="14" t="str">
        <x:v>Unique</x:v>
      </x:c>
      <x:c r="CD944" s="14" t="str">
        <x:v>None identified</x:v>
      </x:c>
    </x:row>
    <x:row r="945">
      <x:c r="A945" s="14" t="str">
        <x:v>tt15499118|nm1513235|theo ludovic</x:v>
      </x:c>
      <x:c r="B945" s="14" t="str">
        <x:v>03</x:v>
      </x:c>
      <x:c r="C945" s="14" t="str">
        <x:v>2021_IMDb_Cast_Lists_Batch_03(1).xlsx</x:v>
      </x:c>
      <x:c r="D945" s="14" t="str">
        <x:v>The Madame Blanc Mysteries</x:v>
      </x:c>
      <x:c r="E945" s="14" t="n">
        <x:v>152</x:v>
      </x:c>
      <x:c r="F945" s="14" t="str">
        <x:v>The Madame Blanc Mysteries</x:v>
      </x:c>
      <x:c r="G945" s="14" t="str">
        <x:v>tt15499118</x:v>
      </x:c>
      <x:c r="H945" s="14" t="n">
        <x:v>2021</x:v>
      </x:c>
      <x:c r="I945" s="14" t="n">
        <x:v>2023</x:v>
      </x:c>
      <x:c r="J945" s="14" t="str">
        <x:v>Future Carry-Forward Cohort</x:v>
      </x:c>
      <x:c r="K945" s="14" t="n">
        <x:v>2021</x:v>
      </x:c>
      <x:c r="L945" s="14" t="str">
        <x:v>Available from 2021 analysis</x:v>
      </x:c>
      <x:c r="M945" s="15" t="n">
        <x:v>145</x:v>
      </x:c>
      <x:c r="N945" s="14" t="str">
        <x:v>Mikhail Basmadjian</x:v>
      </x:c>
      <x:c r="O945" s="14" t="str">
        <x:v>nm1513235</x:v>
      </x:c>
      <x:c r="P945" s="14" t="str">
        <x:v>Theo Ludovic</x:v>
      </x:c>
      <x:c r="Q945" s="15" t="n">
        <x:v>1</x:v>
      </x:c>
      <x:c r="R945" s="14" t="str">
        <x:v>2024</x:v>
      </x:c>
      <x:c r="S945" s="14" t="n">
        <x:v>2024</x:v>
      </x:c>
      <x:c r="T945" s="14" t="n">
        <x:v>2024</x:v>
      </x:c>
      <x:c r="U945" s="14" t="str">
        <x:v>Post-2021 casting excluded</x:v>
      </x:c>
      <x:c r="V945" s="14" t="str">
        <x:v>Earliest supplied year is 2024, later than the 2021 study year.</x:v>
      </x:c>
      <x:c r="W945" s="14"/>
      <x:c r="X945" s="14" t="str">
        <x:v>Carried forward to 2024</x:v>
      </x:c>
      <x:c r="Y945" s="14"/>
      <x:c r="Z945" s="14" t="str">
        <x:v>The Madame Blanc Mysteries.docx</x:v>
      </x:c>
      <x:c r="AA94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5" s="14" t="str">
        <x:v>No established-register match</x:v>
      </x:c>
      <x:c r="AC945" s="14"/>
      <x:c r="AD945" s="14"/>
      <x:c r="AE945" s="14"/>
      <x:c r="AF945" s="14"/>
      <x:c r="AG945" s="14" t="str">
        <x:v>No qualifying conclusion recorded. Absence from the register is not evidence that the performer is not disabled.</x:v>
      </x:c>
      <x:c r="AH945" s="14" t="str">
        <x:v>Channel 5 / 5</x:v>
      </x:c>
      <x:c r="AI945" s="14" t="str">
        <x:v>UK original commission</x:v>
      </x:c>
      <x:c r="AJ945" s="14" t="str">
        <x:v>Exact normalised title</x:v>
      </x:c>
      <x:c r="AK945" s="14" t="str">
        <x:v>Medium</x:v>
      </x:c>
      <x:c r="AL945" s="14" t="str">
        <x:v>Verified for commissioner/platform scope; uk original commission.</x:v>
      </x:c>
      <x:c r="AM94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5" s="14" t="str">
        <x:v>No qualifying BBC relationship</x:v>
      </x:c>
      <x:c r="AO945" s="14" t="str">
        <x:v>No</x:v>
      </x:c>
      <x:c r="AP945" s="14" t="str">
        <x:v>Out of scope</x:v>
      </x:c>
      <x:c r="AQ945" s="14" t="str">
        <x:v>No</x:v>
      </x:c>
      <x:c r="AR945" s="14" t="str">
        <x:v>Resolved from master register</x:v>
      </x:c>
      <x:c r="AS945" s="14" t="str">
        <x:v>No established-register match</x:v>
      </x:c>
      <x:c r="AT945" s="14"/>
      <x:c r="AU945" s="14"/>
      <x:c r="AV945" s="14" t="str">
        <x:v>No established apparent-disability match</x:v>
      </x:c>
      <x:c r="AW945" s="14"/>
      <x:c r="AX945" s="14" t="str">
        <x:v>No</x:v>
      </x:c>
      <x:c r="AY945" s="14" t="str">
        <x:v>Unmatched</x:v>
      </x:c>
      <x:c r="AZ945" s="14" t="str">
        <x:v>Final supplied register</x:v>
      </x:c>
      <x:c r="BA945" s="14" t="str">
        <x:v>Absence from the register is not evidence that the performer is not disabled.</x:v>
      </x:c>
      <x:c r="BB945" s="14" t="str">
        <x:v>No established-register match</x:v>
      </x:c>
      <x:c r="BC945" s="14"/>
      <x:c r="BD945" s="14"/>
      <x:c r="BE945" s="14"/>
      <x:c r="BF945" s="14" t="str">
        <x:v>No established apparent-disability match</x:v>
      </x:c>
      <x:c r="BG945" s="14"/>
      <x:c r="BH945" s="14" t="str">
        <x:v>No</x:v>
      </x:c>
      <x:c r="BI945" s="14"/>
      <x:c r="BJ945" s="14"/>
      <x:c r="BK945" s="14"/>
      <x:c r="BL945" s="14" t="str">
        <x:v>Unmatched</x:v>
      </x:c>
      <x:c r="BM945" s="14" t="str">
        <x:v>Final supplied register</x:v>
      </x:c>
      <x:c r="BN945" s="14" t="str">
        <x:v>Absence from the register is not evidence that the performer is not disabled.</x:v>
      </x:c>
      <x:c r="BO945" s="14" t="n">
        <x:v>28</x:v>
      </x:c>
      <x:c r="BP945" s="14" t="str">
        <x:v>Maximum eligible IMDb cast-credit total (28), shared by 4 performer(s); not independently verified as a 2021-only episode total.</x:v>
      </x:c>
      <x:c r="BQ945" s="14" t="str">
        <x:v>Medium</x:v>
      </x:c>
      <x:c r="BR945" s="15" t="n">
        <x:v>1</x:v>
      </x:c>
      <x:c r="BS945" s="16" t="n">
        <x:v>0.03571428571428571</x:v>
      </x:c>
      <x:c r="BT945" s="14" t="str">
        <x:v>One episode</x:v>
      </x:c>
      <x:c r="BU945" s="14" t="str">
        <x:v>Medium</x:v>
      </x:c>
      <x:c r="BV945" s="14" t="str">
        <x:v>Derived from supplied IMDb episode count and the documented production-total proxy.</x:v>
      </x:c>
      <x:c r="BW945" s="14" t="str">
        <x:v>Unable to determine</x:v>
      </x:c>
      <x:c r="BX945" s="14" t="str">
        <x:v>Supplied cast data establishes the credit and episode presence but does not establish narrative prominence.</x:v>
      </x:c>
      <x:c r="BY945" s="14" t="str">
        <x:v>Supplied IMDb cast-list workbook</x:v>
      </x:c>
      <x:c r="BZ94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5" s="14" t="str">
        <x:v>Not classified</x:v>
      </x:c>
      <x:c r="CB945" s="14" t="str">
        <x:v>Unable to determine</x:v>
      </x:c>
      <x:c r="CC945" s="14" t="str">
        <x:v>Unique</x:v>
      </x:c>
      <x:c r="CD945" s="14" t="str">
        <x:v>None identified</x:v>
      </x:c>
    </x:row>
    <x:row r="946">
      <x:c r="A946" s="14" t="str">
        <x:v>tt15499118|nm8671373|amandine</x:v>
      </x:c>
      <x:c r="B946" s="14" t="str">
        <x:v>03</x:v>
      </x:c>
      <x:c r="C946" s="14" t="str">
        <x:v>2021_IMDb_Cast_Lists_Batch_03(1).xlsx</x:v>
      </x:c>
      <x:c r="D946" s="14" t="str">
        <x:v>The Madame Blanc Mysteries</x:v>
      </x:c>
      <x:c r="E946" s="14" t="n">
        <x:v>153</x:v>
      </x:c>
      <x:c r="F946" s="14" t="str">
        <x:v>The Madame Blanc Mysteries</x:v>
      </x:c>
      <x:c r="G946" s="14" t="str">
        <x:v>tt15499118</x:v>
      </x:c>
      <x:c r="H946" s="14" t="n">
        <x:v>2021</x:v>
      </x:c>
      <x:c r="I946" s="14" t="n">
        <x:v>2023</x:v>
      </x:c>
      <x:c r="J946" s="14" t="str">
        <x:v>Future Carry-Forward Cohort</x:v>
      </x:c>
      <x:c r="K946" s="14" t="n">
        <x:v>2021</x:v>
      </x:c>
      <x:c r="L946" s="14" t="str">
        <x:v>Available from 2021 analysis</x:v>
      </x:c>
      <x:c r="M946" s="15" t="n">
        <x:v>146</x:v>
      </x:c>
      <x:c r="N946" s="14" t="str">
        <x:v>Marine d'Aure</x:v>
      </x:c>
      <x:c r="O946" s="14" t="str">
        <x:v>nm8671373</x:v>
      </x:c>
      <x:c r="P946" s="14" t="str">
        <x:v>Amandine</x:v>
      </x:c>
      <x:c r="Q946" s="15" t="n">
        <x:v>1</x:v>
      </x:c>
      <x:c r="R946" s="14" t="str">
        <x:v>2024</x:v>
      </x:c>
      <x:c r="S946" s="14" t="n">
        <x:v>2024</x:v>
      </x:c>
      <x:c r="T946" s="14" t="n">
        <x:v>2024</x:v>
      </x:c>
      <x:c r="U946" s="14" t="str">
        <x:v>Post-2021 casting excluded</x:v>
      </x:c>
      <x:c r="V946" s="14" t="str">
        <x:v>Earliest supplied year is 2024, later than the 2021 study year.</x:v>
      </x:c>
      <x:c r="W946" s="14"/>
      <x:c r="X946" s="14" t="str">
        <x:v>Carried forward to 2024</x:v>
      </x:c>
      <x:c r="Y946" s="14"/>
      <x:c r="Z946" s="14" t="str">
        <x:v>The Madame Blanc Mysteries.docx</x:v>
      </x:c>
      <x:c r="AA94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6" s="14" t="str">
        <x:v>No established-register match</x:v>
      </x:c>
      <x:c r="AC946" s="14"/>
      <x:c r="AD946" s="14"/>
      <x:c r="AE946" s="14"/>
      <x:c r="AF946" s="14"/>
      <x:c r="AG946" s="14" t="str">
        <x:v>No qualifying conclusion recorded. Absence from the register is not evidence that the performer is not disabled.</x:v>
      </x:c>
      <x:c r="AH946" s="14" t="str">
        <x:v>Channel 5 / 5</x:v>
      </x:c>
      <x:c r="AI946" s="14" t="str">
        <x:v>UK original commission</x:v>
      </x:c>
      <x:c r="AJ946" s="14" t="str">
        <x:v>Exact normalised title</x:v>
      </x:c>
      <x:c r="AK946" s="14" t="str">
        <x:v>Medium</x:v>
      </x:c>
      <x:c r="AL946" s="14" t="str">
        <x:v>Verified for commissioner/platform scope; uk original commission.</x:v>
      </x:c>
      <x:c r="AM94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6" s="14" t="str">
        <x:v>No qualifying BBC relationship</x:v>
      </x:c>
      <x:c r="AO946" s="14" t="str">
        <x:v>No</x:v>
      </x:c>
      <x:c r="AP946" s="14" t="str">
        <x:v>Out of scope</x:v>
      </x:c>
      <x:c r="AQ946" s="14" t="str">
        <x:v>No</x:v>
      </x:c>
      <x:c r="AR946" s="14" t="str">
        <x:v>Resolved from master register</x:v>
      </x:c>
      <x:c r="AS946" s="14" t="str">
        <x:v>No established-register match</x:v>
      </x:c>
      <x:c r="AT946" s="14"/>
      <x:c r="AU946" s="14"/>
      <x:c r="AV946" s="14" t="str">
        <x:v>No established apparent-disability match</x:v>
      </x:c>
      <x:c r="AW946" s="14"/>
      <x:c r="AX946" s="14" t="str">
        <x:v>No</x:v>
      </x:c>
      <x:c r="AY946" s="14" t="str">
        <x:v>Unmatched</x:v>
      </x:c>
      <x:c r="AZ946" s="14" t="str">
        <x:v>Final supplied register</x:v>
      </x:c>
      <x:c r="BA946" s="14" t="str">
        <x:v>Absence from the register is not evidence that the performer is not disabled.</x:v>
      </x:c>
      <x:c r="BB946" s="14" t="str">
        <x:v>No established-register match</x:v>
      </x:c>
      <x:c r="BC946" s="14"/>
      <x:c r="BD946" s="14"/>
      <x:c r="BE946" s="14"/>
      <x:c r="BF946" s="14" t="str">
        <x:v>No established apparent-disability match</x:v>
      </x:c>
      <x:c r="BG946" s="14"/>
      <x:c r="BH946" s="14" t="str">
        <x:v>No</x:v>
      </x:c>
      <x:c r="BI946" s="14"/>
      <x:c r="BJ946" s="14"/>
      <x:c r="BK946" s="14"/>
      <x:c r="BL946" s="14" t="str">
        <x:v>Unmatched</x:v>
      </x:c>
      <x:c r="BM946" s="14" t="str">
        <x:v>Final supplied register</x:v>
      </x:c>
      <x:c r="BN946" s="14" t="str">
        <x:v>Absence from the register is not evidence that the performer is not disabled.</x:v>
      </x:c>
      <x:c r="BO946" s="14" t="n">
        <x:v>28</x:v>
      </x:c>
      <x:c r="BP946" s="14" t="str">
        <x:v>Maximum eligible IMDb cast-credit total (28), shared by 4 performer(s); not independently verified as a 2021-only episode total.</x:v>
      </x:c>
      <x:c r="BQ946" s="14" t="str">
        <x:v>Medium</x:v>
      </x:c>
      <x:c r="BR946" s="15" t="n">
        <x:v>1</x:v>
      </x:c>
      <x:c r="BS946" s="16" t="n">
        <x:v>0.03571428571428571</x:v>
      </x:c>
      <x:c r="BT946" s="14" t="str">
        <x:v>One episode</x:v>
      </x:c>
      <x:c r="BU946" s="14" t="str">
        <x:v>Medium</x:v>
      </x:c>
      <x:c r="BV946" s="14" t="str">
        <x:v>Derived from supplied IMDb episode count and the documented production-total proxy.</x:v>
      </x:c>
      <x:c r="BW946" s="14" t="str">
        <x:v>Unable to determine</x:v>
      </x:c>
      <x:c r="BX946" s="14" t="str">
        <x:v>Supplied cast data establishes the credit and episode presence but does not establish narrative prominence.</x:v>
      </x:c>
      <x:c r="BY946" s="14" t="str">
        <x:v>Supplied IMDb cast-list workbook</x:v>
      </x:c>
      <x:c r="BZ94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6" s="14" t="str">
        <x:v>Not classified</x:v>
      </x:c>
      <x:c r="CB946" s="14" t="str">
        <x:v>Unable to determine</x:v>
      </x:c>
      <x:c r="CC946" s="14" t="str">
        <x:v>Unique</x:v>
      </x:c>
      <x:c r="CD946" s="14" t="str">
        <x:v>None identified</x:v>
      </x:c>
    </x:row>
    <x:row r="947">
      <x:c r="A947" s="14" t="str">
        <x:v>tt11646832|nm0732959|sean</x:v>
      </x:c>
      <x:c r="B947" s="14" t="str">
        <x:v>04</x:v>
      </x:c>
      <x:c r="C947" s="14" t="str">
        <x:v>2021_IMDb_Cast_Lists_Batch_04(1).xlsx</x:v>
      </x:c>
      <x:c r="D947" s="14" t="str">
        <x:v>The Outlaws</x:v>
      </x:c>
      <x:c r="E947" s="14" t="n">
        <x:v>37</x:v>
      </x:c>
      <x:c r="F947" s="14" t="str">
        <x:v>The Outlaws</x:v>
      </x:c>
      <x:c r="G947" s="14" t="str">
        <x:v>tt11646832</x:v>
      </x:c>
      <x:c r="H947" s="14" t="n">
        <x:v>2021</x:v>
      </x:c>
      <x:c r="I947" s="14" t="n">
        <x:v>2023</x:v>
      </x:c>
      <x:c r="J947" s="14" t="str">
        <x:v>Future Carry-Forward Cohort</x:v>
      </x:c>
      <x:c r="K947" s="14" t="n">
        <x:v>2021</x:v>
      </x:c>
      <x:c r="L947" s="14" t="str">
        <x:v>Available from 2021 analysis</x:v>
      </x:c>
      <x:c r="M947" s="15" t="n">
        <x:v>30</x:v>
      </x:c>
      <x:c r="N947" s="14" t="str">
        <x:v>Patrick Robinson</x:v>
      </x:c>
      <x:c r="O947" s="14" t="str">
        <x:v>nm0732959</x:v>
      </x:c>
      <x:c r="P947" s="14" t="str">
        <x:v>Sean</x:v>
      </x:c>
      <x:c r="Q947" s="15" t="n">
        <x:v>5</x:v>
      </x:c>
      <x:c r="R947" s="14" t="str">
        <x:v>2024</x:v>
      </x:c>
      <x:c r="S947" s="14" t="n">
        <x:v>2024</x:v>
      </x:c>
      <x:c r="T947" s="14" t="n">
        <x:v>2024</x:v>
      </x:c>
      <x:c r="U947" s="14" t="str">
        <x:v>Post-2021 casting excluded</x:v>
      </x:c>
      <x:c r="V947" s="14" t="str">
        <x:v>Earliest supplied year is 2024, later than the 2021 study year.</x:v>
      </x:c>
      <x:c r="W947" s="14"/>
      <x:c r="X947" s="14" t="str">
        <x:v>Carried forward to 2024</x:v>
      </x:c>
      <x:c r="Y947" s="14"/>
      <x:c r="Z947" s="14" t="str">
        <x:v>The Outlaws.docx</x:v>
      </x:c>
      <x:c r="AA94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47" s="14" t="str">
        <x:v>No established-register match</x:v>
      </x:c>
      <x:c r="AC947" s="14"/>
      <x:c r="AD947" s="14"/>
      <x:c r="AE947" s="14"/>
      <x:c r="AF947" s="14"/>
      <x:c r="AG947" s="14" t="str">
        <x:v>No qualifying conclusion recorded. Absence from the register is not evidence that the performer is not disabled.</x:v>
      </x:c>
      <x:c r="AH947" s="14" t="str">
        <x:v>BBC</x:v>
      </x:c>
      <x:c r="AI947" s="14" t="str">
        <x:v>UK original commission</x:v>
      </x:c>
      <x:c r="AJ947" s="14" t="str">
        <x:v>Exact normalised title</x:v>
      </x:c>
      <x:c r="AK947" s="14" t="str">
        <x:v>Medium</x:v>
      </x:c>
      <x:c r="AL947" s="14" t="str">
        <x:v>Verified for commissioner/platform scope; uk original commission.</x:v>
      </x:c>
      <x:c r="AM947" s="17" t="e">
        <x:f>HYPERLINK("https://en.wikipedia.org/wiki/Outlaws","Open source")</x:f>
        <x:v>HYPERLINK is not implemented. linkLocation=https://en.wikipedia.org/wiki/Outlaws, friendlyName=Open source</x:v>
      </x:c>
      <x:c r="AN947" s="14" t="str">
        <x:v>BBC public-service commission</x:v>
      </x:c>
      <x:c r="AO947" s="14" t="str">
        <x:v>Yes</x:v>
      </x:c>
      <x:c r="AP947" s="14" t="str">
        <x:v>Direct BBC public-service scope</x:v>
      </x:c>
      <x:c r="AQ947" s="14" t="str">
        <x:v>Yes</x:v>
      </x:c>
      <x:c r="AR947" s="14" t="str">
        <x:v>Resolved from master register</x:v>
      </x:c>
      <x:c r="AS947" s="14" t="str">
        <x:v>No established-register match</x:v>
      </x:c>
      <x:c r="AT947" s="14"/>
      <x:c r="AU947" s="14"/>
      <x:c r="AV947" s="14" t="str">
        <x:v>No established apparent-disability match</x:v>
      </x:c>
      <x:c r="AW947" s="14"/>
      <x:c r="AX947" s="14" t="str">
        <x:v>No</x:v>
      </x:c>
      <x:c r="AY947" s="14" t="str">
        <x:v>Unmatched</x:v>
      </x:c>
      <x:c r="AZ947" s="14" t="str">
        <x:v>Final supplied register</x:v>
      </x:c>
      <x:c r="BA947" s="14" t="str">
        <x:v>Absence from the register is not evidence that the performer is not disabled.</x:v>
      </x:c>
      <x:c r="BB947" s="14" t="str">
        <x:v>No established-register match</x:v>
      </x:c>
      <x:c r="BC947" s="14"/>
      <x:c r="BD947" s="14"/>
      <x:c r="BE947" s="14"/>
      <x:c r="BF947" s="14" t="str">
        <x:v>No established apparent-disability match</x:v>
      </x:c>
      <x:c r="BG947" s="14"/>
      <x:c r="BH947" s="14" t="str">
        <x:v>No</x:v>
      </x:c>
      <x:c r="BI947" s="14"/>
      <x:c r="BJ947" s="14"/>
      <x:c r="BK947" s="14"/>
      <x:c r="BL947" s="14" t="str">
        <x:v>Unmatched</x:v>
      </x:c>
      <x:c r="BM947" s="14" t="str">
        <x:v>Final supplied register</x:v>
      </x:c>
      <x:c r="BN947" s="14" t="str">
        <x:v>Absence from the register is not evidence that the performer is not disabled.</x:v>
      </x:c>
      <x:c r="BO947" s="14" t="n">
        <x:v>17</x:v>
      </x:c>
      <x:c r="BP947" s="14" t="str">
        <x:v>Maximum eligible IMDb cast-credit total (17), shared by 8 performer(s); not independently verified as a 2021-only episode total.</x:v>
      </x:c>
      <x:c r="BQ947" s="14" t="str">
        <x:v>Medium</x:v>
      </x:c>
      <x:c r="BR947" s="15" t="n">
        <x:v>5</x:v>
      </x:c>
      <x:c r="BS947" s="16" t="n">
        <x:v>0.2941176470588235</x:v>
      </x:c>
      <x:c r="BT947" s="14" t="str">
        <x:v>Minority of episodes</x:v>
      </x:c>
      <x:c r="BU947" s="14" t="str">
        <x:v>Medium</x:v>
      </x:c>
      <x:c r="BV947" s="14" t="str">
        <x:v>Derived from supplied IMDb episode count and the documented production-total proxy.</x:v>
      </x:c>
      <x:c r="BW947" s="14" t="str">
        <x:v>Unable to determine</x:v>
      </x:c>
      <x:c r="BX947" s="14" t="str">
        <x:v>Supplied cast data establishes the credit and episode presence but does not establish narrative prominence.</x:v>
      </x:c>
      <x:c r="BY947" s="14" t="str">
        <x:v>Supplied IMDb cast-list workbook</x:v>
      </x:c>
      <x:c r="BZ94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47" s="14" t="str">
        <x:v>Not classified</x:v>
      </x:c>
      <x:c r="CB947" s="14" t="str">
        <x:v>Unable to determine</x:v>
      </x:c>
      <x:c r="CC947" s="14" t="str">
        <x:v>Unique</x:v>
      </x:c>
      <x:c r="CD947" s="14" t="str">
        <x:v>None identified</x:v>
      </x:c>
    </x:row>
    <x:row r="948">
      <x:c r="A948" s="14" t="str">
        <x:v>tt11646832|nm0746583|strickland</x:v>
      </x:c>
      <x:c r="B948" s="14" t="str">
        <x:v>04</x:v>
      </x:c>
      <x:c r="C948" s="14" t="str">
        <x:v>2021_IMDb_Cast_Lists_Batch_04(1).xlsx</x:v>
      </x:c>
      <x:c r="D948" s="14" t="str">
        <x:v>The Outlaws</x:v>
      </x:c>
      <x:c r="E948" s="14" t="n">
        <x:v>38</x:v>
      </x:c>
      <x:c r="F948" s="14" t="str">
        <x:v>The Outlaws</x:v>
      </x:c>
      <x:c r="G948" s="14" t="str">
        <x:v>tt11646832</x:v>
      </x:c>
      <x:c r="H948" s="14" t="n">
        <x:v>2021</x:v>
      </x:c>
      <x:c r="I948" s="14" t="n">
        <x:v>2023</x:v>
      </x:c>
      <x:c r="J948" s="14" t="str">
        <x:v>Future Carry-Forward Cohort</x:v>
      </x:c>
      <x:c r="K948" s="14" t="n">
        <x:v>2021</x:v>
      </x:c>
      <x:c r="L948" s="14" t="str">
        <x:v>Available from 2021 analysis</x:v>
      </x:c>
      <x:c r="M948" s="15" t="n">
        <x:v>31</x:v>
      </x:c>
      <x:c r="N948" s="14" t="str">
        <x:v>Nicholas Rowe</x:v>
      </x:c>
      <x:c r="O948" s="14" t="str">
        <x:v>nm0746583</x:v>
      </x:c>
      <x:c r="P948" s="14" t="str">
        <x:v>Strickland</x:v>
      </x:c>
      <x:c r="Q948" s="15" t="n">
        <x:v>5</x:v>
      </x:c>
      <x:c r="R948" s="14" t="str">
        <x:v>2024</x:v>
      </x:c>
      <x:c r="S948" s="14" t="n">
        <x:v>2024</x:v>
      </x:c>
      <x:c r="T948" s="14" t="n">
        <x:v>2024</x:v>
      </x:c>
      <x:c r="U948" s="14" t="str">
        <x:v>Post-2021 casting excluded</x:v>
      </x:c>
      <x:c r="V948" s="14" t="str">
        <x:v>Earliest supplied year is 2024, later than the 2021 study year.</x:v>
      </x:c>
      <x:c r="W948" s="14"/>
      <x:c r="X948" s="14" t="str">
        <x:v>Carried forward to 2024</x:v>
      </x:c>
      <x:c r="Y948" s="14"/>
      <x:c r="Z948" s="14" t="str">
        <x:v>The Outlaws.docx</x:v>
      </x:c>
      <x:c r="AA94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48" s="14" t="str">
        <x:v>No established-register match</x:v>
      </x:c>
      <x:c r="AC948" s="14"/>
      <x:c r="AD948" s="14"/>
      <x:c r="AE948" s="14"/>
      <x:c r="AF948" s="14"/>
      <x:c r="AG948" s="14" t="str">
        <x:v>No qualifying conclusion recorded. Absence from the register is not evidence that the performer is not disabled.</x:v>
      </x:c>
      <x:c r="AH948" s="14" t="str">
        <x:v>BBC</x:v>
      </x:c>
      <x:c r="AI948" s="14" t="str">
        <x:v>UK original commission</x:v>
      </x:c>
      <x:c r="AJ948" s="14" t="str">
        <x:v>Exact normalised title</x:v>
      </x:c>
      <x:c r="AK948" s="14" t="str">
        <x:v>Medium</x:v>
      </x:c>
      <x:c r="AL948" s="14" t="str">
        <x:v>Verified for commissioner/platform scope; uk original commission.</x:v>
      </x:c>
      <x:c r="AM948" s="17" t="e">
        <x:f>HYPERLINK("https://en.wikipedia.org/wiki/Outlaws","Open source")</x:f>
        <x:v>HYPERLINK is not implemented. linkLocation=https://en.wikipedia.org/wiki/Outlaws, friendlyName=Open source</x:v>
      </x:c>
      <x:c r="AN948" s="14" t="str">
        <x:v>BBC public-service commission</x:v>
      </x:c>
      <x:c r="AO948" s="14" t="str">
        <x:v>Yes</x:v>
      </x:c>
      <x:c r="AP948" s="14" t="str">
        <x:v>Direct BBC public-service scope</x:v>
      </x:c>
      <x:c r="AQ948" s="14" t="str">
        <x:v>Yes</x:v>
      </x:c>
      <x:c r="AR948" s="14" t="str">
        <x:v>Resolved from master register</x:v>
      </x:c>
      <x:c r="AS948" s="14" t="str">
        <x:v>No established-register match</x:v>
      </x:c>
      <x:c r="AT948" s="14"/>
      <x:c r="AU948" s="14"/>
      <x:c r="AV948" s="14" t="str">
        <x:v>No established apparent-disability match</x:v>
      </x:c>
      <x:c r="AW948" s="14"/>
      <x:c r="AX948" s="14" t="str">
        <x:v>No</x:v>
      </x:c>
      <x:c r="AY948" s="14" t="str">
        <x:v>Unmatched</x:v>
      </x:c>
      <x:c r="AZ948" s="14" t="str">
        <x:v>Final supplied register</x:v>
      </x:c>
      <x:c r="BA948" s="14" t="str">
        <x:v>Absence from the register is not evidence that the performer is not disabled.</x:v>
      </x:c>
      <x:c r="BB948" s="14" t="str">
        <x:v>No established-register match</x:v>
      </x:c>
      <x:c r="BC948" s="14"/>
      <x:c r="BD948" s="14"/>
      <x:c r="BE948" s="14"/>
      <x:c r="BF948" s="14" t="str">
        <x:v>No established apparent-disability match</x:v>
      </x:c>
      <x:c r="BG948" s="14"/>
      <x:c r="BH948" s="14" t="str">
        <x:v>No</x:v>
      </x:c>
      <x:c r="BI948" s="14"/>
      <x:c r="BJ948" s="14"/>
      <x:c r="BK948" s="14"/>
      <x:c r="BL948" s="14" t="str">
        <x:v>Unmatched</x:v>
      </x:c>
      <x:c r="BM948" s="14" t="str">
        <x:v>Final supplied register</x:v>
      </x:c>
      <x:c r="BN948" s="14" t="str">
        <x:v>Absence from the register is not evidence that the performer is not disabled.</x:v>
      </x:c>
      <x:c r="BO948" s="14" t="n">
        <x:v>17</x:v>
      </x:c>
      <x:c r="BP948" s="14" t="str">
        <x:v>Maximum eligible IMDb cast-credit total (17), shared by 8 performer(s); not independently verified as a 2021-only episode total.</x:v>
      </x:c>
      <x:c r="BQ948" s="14" t="str">
        <x:v>Medium</x:v>
      </x:c>
      <x:c r="BR948" s="15" t="n">
        <x:v>5</x:v>
      </x:c>
      <x:c r="BS948" s="16" t="n">
        <x:v>0.2941176470588235</x:v>
      </x:c>
      <x:c r="BT948" s="14" t="str">
        <x:v>Minority of episodes</x:v>
      </x:c>
      <x:c r="BU948" s="14" t="str">
        <x:v>Medium</x:v>
      </x:c>
      <x:c r="BV948" s="14" t="str">
        <x:v>Derived from supplied IMDb episode count and the documented production-total proxy.</x:v>
      </x:c>
      <x:c r="BW948" s="14" t="str">
        <x:v>Unable to determine</x:v>
      </x:c>
      <x:c r="BX948" s="14" t="str">
        <x:v>Supplied cast data establishes the credit and episode presence but does not establish narrative prominence.</x:v>
      </x:c>
      <x:c r="BY948" s="14" t="str">
        <x:v>Supplied IMDb cast-list workbook</x:v>
      </x:c>
      <x:c r="BZ94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48" s="14" t="str">
        <x:v>Not classified</x:v>
      </x:c>
      <x:c r="CB948" s="14" t="str">
        <x:v>Unable to determine</x:v>
      </x:c>
      <x:c r="CC948" s="14" t="str">
        <x:v>Unique</x:v>
      </x:c>
      <x:c r="CD948" s="14" t="str">
        <x:v>None identified</x:v>
      </x:c>
    </x:row>
    <x:row r="949">
      <x:c r="A949" s="14" t="str">
        <x:v>tt11646832|nm10036531|stan</x:v>
      </x:c>
      <x:c r="B949" s="14" t="str">
        <x:v>04</x:v>
      </x:c>
      <x:c r="C949" s="14" t="str">
        <x:v>2021_IMDb_Cast_Lists_Batch_04(1).xlsx</x:v>
      </x:c>
      <x:c r="D949" s="14" t="str">
        <x:v>The Outlaws</x:v>
      </x:c>
      <x:c r="E949" s="14" t="n">
        <x:v>39</x:v>
      </x:c>
      <x:c r="F949" s="14" t="str">
        <x:v>The Outlaws</x:v>
      </x:c>
      <x:c r="G949" s="14" t="str">
        <x:v>tt11646832</x:v>
      </x:c>
      <x:c r="H949" s="14" t="n">
        <x:v>2021</x:v>
      </x:c>
      <x:c r="I949" s="14" t="n">
        <x:v>2023</x:v>
      </x:c>
      <x:c r="J949" s="14" t="str">
        <x:v>Future Carry-Forward Cohort</x:v>
      </x:c>
      <x:c r="K949" s="14" t="n">
        <x:v>2021</x:v>
      </x:c>
      <x:c r="L949" s="14" t="str">
        <x:v>Available from 2021 analysis</x:v>
      </x:c>
      <x:c r="M949" s="15" t="n">
        <x:v>32</x:v>
      </x:c>
      <x:c r="N949" s="14" t="str">
        <x:v>Harry Trevaldwyn</x:v>
      </x:c>
      <x:c r="O949" s="14" t="str">
        <x:v>nm10036531</x:v>
      </x:c>
      <x:c r="P949" s="14" t="str">
        <x:v>Stan</x:v>
      </x:c>
      <x:c r="Q949" s="15" t="n">
        <x:v>4</x:v>
      </x:c>
      <x:c r="R949" s="14" t="str">
        <x:v>2024</x:v>
      </x:c>
      <x:c r="S949" s="14" t="n">
        <x:v>2024</x:v>
      </x:c>
      <x:c r="T949" s="14" t="n">
        <x:v>2024</x:v>
      </x:c>
      <x:c r="U949" s="14" t="str">
        <x:v>Post-2021 casting excluded</x:v>
      </x:c>
      <x:c r="V949" s="14" t="str">
        <x:v>Earliest supplied year is 2024, later than the 2021 study year.</x:v>
      </x:c>
      <x:c r="W949" s="14"/>
      <x:c r="X949" s="14" t="str">
        <x:v>Carried forward to 2024</x:v>
      </x:c>
      <x:c r="Y949" s="14"/>
      <x:c r="Z949" s="14" t="str">
        <x:v>The Outlaws.docx</x:v>
      </x:c>
      <x:c r="AA94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49" s="14" t="str">
        <x:v>No established-register match</x:v>
      </x:c>
      <x:c r="AC949" s="14"/>
      <x:c r="AD949" s="14"/>
      <x:c r="AE949" s="14"/>
      <x:c r="AF949" s="14"/>
      <x:c r="AG949" s="14" t="str">
        <x:v>No qualifying conclusion recorded. Absence from the register is not evidence that the performer is not disabled.</x:v>
      </x:c>
      <x:c r="AH949" s="14" t="str">
        <x:v>BBC</x:v>
      </x:c>
      <x:c r="AI949" s="14" t="str">
        <x:v>UK original commission</x:v>
      </x:c>
      <x:c r="AJ949" s="14" t="str">
        <x:v>Exact normalised title</x:v>
      </x:c>
      <x:c r="AK949" s="14" t="str">
        <x:v>Medium</x:v>
      </x:c>
      <x:c r="AL949" s="14" t="str">
        <x:v>Verified for commissioner/platform scope; uk original commission.</x:v>
      </x:c>
      <x:c r="AM949" s="17" t="e">
        <x:f>HYPERLINK("https://en.wikipedia.org/wiki/Outlaws","Open source")</x:f>
        <x:v>HYPERLINK is not implemented. linkLocation=https://en.wikipedia.org/wiki/Outlaws, friendlyName=Open source</x:v>
      </x:c>
      <x:c r="AN949" s="14" t="str">
        <x:v>BBC public-service commission</x:v>
      </x:c>
      <x:c r="AO949" s="14" t="str">
        <x:v>Yes</x:v>
      </x:c>
      <x:c r="AP949" s="14" t="str">
        <x:v>Direct BBC public-service scope</x:v>
      </x:c>
      <x:c r="AQ949" s="14" t="str">
        <x:v>Yes</x:v>
      </x:c>
      <x:c r="AR949" s="14" t="str">
        <x:v>Resolved from master register</x:v>
      </x:c>
      <x:c r="AS949" s="14" t="str">
        <x:v>No established-register match</x:v>
      </x:c>
      <x:c r="AT949" s="14"/>
      <x:c r="AU949" s="14"/>
      <x:c r="AV949" s="14" t="str">
        <x:v>No established apparent-disability match</x:v>
      </x:c>
      <x:c r="AW949" s="14"/>
      <x:c r="AX949" s="14" t="str">
        <x:v>No</x:v>
      </x:c>
      <x:c r="AY949" s="14" t="str">
        <x:v>Unmatched</x:v>
      </x:c>
      <x:c r="AZ949" s="14" t="str">
        <x:v>Final supplied register</x:v>
      </x:c>
      <x:c r="BA949" s="14" t="str">
        <x:v>Absence from the register is not evidence that the performer is not disabled.</x:v>
      </x:c>
      <x:c r="BB949" s="14" t="str">
        <x:v>No established-register match</x:v>
      </x:c>
      <x:c r="BC949" s="14"/>
      <x:c r="BD949" s="14"/>
      <x:c r="BE949" s="14"/>
      <x:c r="BF949" s="14" t="str">
        <x:v>No established apparent-disability match</x:v>
      </x:c>
      <x:c r="BG949" s="14"/>
      <x:c r="BH949" s="14" t="str">
        <x:v>No</x:v>
      </x:c>
      <x:c r="BI949" s="14"/>
      <x:c r="BJ949" s="14"/>
      <x:c r="BK949" s="14"/>
      <x:c r="BL949" s="14" t="str">
        <x:v>Unmatched</x:v>
      </x:c>
      <x:c r="BM949" s="14" t="str">
        <x:v>Final supplied register</x:v>
      </x:c>
      <x:c r="BN949" s="14" t="str">
        <x:v>Absence from the register is not evidence that the performer is not disabled.</x:v>
      </x:c>
      <x:c r="BO949" s="14" t="n">
        <x:v>17</x:v>
      </x:c>
      <x:c r="BP949" s="14" t="str">
        <x:v>Maximum eligible IMDb cast-credit total (17), shared by 8 performer(s); not independently verified as a 2021-only episode total.</x:v>
      </x:c>
      <x:c r="BQ949" s="14" t="str">
        <x:v>Medium</x:v>
      </x:c>
      <x:c r="BR949" s="15" t="n">
        <x:v>4</x:v>
      </x:c>
      <x:c r="BS949" s="16" t="n">
        <x:v>0.2352941176470588</x:v>
      </x:c>
      <x:c r="BT949" s="14" t="str">
        <x:v>Minority of episodes</x:v>
      </x:c>
      <x:c r="BU949" s="14" t="str">
        <x:v>Medium</x:v>
      </x:c>
      <x:c r="BV949" s="14" t="str">
        <x:v>Derived from supplied IMDb episode count and the documented production-total proxy.</x:v>
      </x:c>
      <x:c r="BW949" s="14" t="str">
        <x:v>Unable to determine</x:v>
      </x:c>
      <x:c r="BX949" s="14" t="str">
        <x:v>Supplied cast data establishes the credit and episode presence but does not establish narrative prominence.</x:v>
      </x:c>
      <x:c r="BY949" s="14" t="str">
        <x:v>Supplied IMDb cast-list workbook</x:v>
      </x:c>
      <x:c r="BZ94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49" s="14" t="str">
        <x:v>Not classified</x:v>
      </x:c>
      <x:c r="CB949" s="14" t="str">
        <x:v>Unable to determine</x:v>
      </x:c>
      <x:c r="CC949" s="14" t="str">
        <x:v>Unique</x:v>
      </x:c>
      <x:c r="CD949" s="14" t="str">
        <x:v>None identified</x:v>
      </x:c>
    </x:row>
    <x:row r="950">
      <x:c r="A950" s="14" t="str">
        <x:v>tt11646832|nm0344038|burgess</x:v>
      </x:c>
      <x:c r="B950" s="14" t="str">
        <x:v>04</x:v>
      </x:c>
      <x:c r="C950" s="14" t="str">
        <x:v>2021_IMDb_Cast_Lists_Batch_04(1).xlsx</x:v>
      </x:c>
      <x:c r="D950" s="14" t="str">
        <x:v>The Outlaws</x:v>
      </x:c>
      <x:c r="E950" s="14" t="n">
        <x:v>41</x:v>
      </x:c>
      <x:c r="F950" s="14" t="str">
        <x:v>The Outlaws</x:v>
      </x:c>
      <x:c r="G950" s="14" t="str">
        <x:v>tt11646832</x:v>
      </x:c>
      <x:c r="H950" s="14" t="n">
        <x:v>2021</x:v>
      </x:c>
      <x:c r="I950" s="14" t="n">
        <x:v>2023</x:v>
      </x:c>
      <x:c r="J950" s="14" t="str">
        <x:v>Future Carry-Forward Cohort</x:v>
      </x:c>
      <x:c r="K950" s="14" t="n">
        <x:v>2021</x:v>
      </x:c>
      <x:c r="L950" s="14" t="str">
        <x:v>Available from 2021 analysis</x:v>
      </x:c>
      <x:c r="M950" s="15" t="n">
        <x:v>34</x:v>
      </x:c>
      <x:c r="N950" s="14" t="str">
        <x:v>Ricky Grover</x:v>
      </x:c>
      <x:c r="O950" s="14" t="str">
        <x:v>nm0344038</x:v>
      </x:c>
      <x:c r="P950" s="14" t="str">
        <x:v>Burgess</x:v>
      </x:c>
      <x:c r="Q950" s="15" t="n">
        <x:v>4</x:v>
      </x:c>
      <x:c r="R950" s="14" t="str">
        <x:v>2024</x:v>
      </x:c>
      <x:c r="S950" s="14" t="n">
        <x:v>2024</x:v>
      </x:c>
      <x:c r="T950" s="14" t="n">
        <x:v>2024</x:v>
      </x:c>
      <x:c r="U950" s="14" t="str">
        <x:v>Post-2021 casting excluded</x:v>
      </x:c>
      <x:c r="V950" s="14" t="str">
        <x:v>Earliest supplied year is 2024, later than the 2021 study year.</x:v>
      </x:c>
      <x:c r="W950" s="14"/>
      <x:c r="X950" s="14" t="str">
        <x:v>Carried forward to 2024</x:v>
      </x:c>
      <x:c r="Y950" s="14"/>
      <x:c r="Z950" s="14" t="str">
        <x:v>The Outlaws.docx</x:v>
      </x:c>
      <x:c r="AA95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0" s="14" t="str">
        <x:v>No established-register match</x:v>
      </x:c>
      <x:c r="AC950" s="14"/>
      <x:c r="AD950" s="14"/>
      <x:c r="AE950" s="14"/>
      <x:c r="AF950" s="14"/>
      <x:c r="AG950" s="14" t="str">
        <x:v>No qualifying conclusion recorded. Absence from the register is not evidence that the performer is not disabled.</x:v>
      </x:c>
      <x:c r="AH950" s="14" t="str">
        <x:v>BBC</x:v>
      </x:c>
      <x:c r="AI950" s="14" t="str">
        <x:v>UK original commission</x:v>
      </x:c>
      <x:c r="AJ950" s="14" t="str">
        <x:v>Exact normalised title</x:v>
      </x:c>
      <x:c r="AK950" s="14" t="str">
        <x:v>Medium</x:v>
      </x:c>
      <x:c r="AL950" s="14" t="str">
        <x:v>Verified for commissioner/platform scope; uk original commission.</x:v>
      </x:c>
      <x:c r="AM950" s="17" t="e">
        <x:f>HYPERLINK("https://en.wikipedia.org/wiki/Outlaws","Open source")</x:f>
        <x:v>HYPERLINK is not implemented. linkLocation=https://en.wikipedia.org/wiki/Outlaws, friendlyName=Open source</x:v>
      </x:c>
      <x:c r="AN950" s="14" t="str">
        <x:v>BBC public-service commission</x:v>
      </x:c>
      <x:c r="AO950" s="14" t="str">
        <x:v>Yes</x:v>
      </x:c>
      <x:c r="AP950" s="14" t="str">
        <x:v>Direct BBC public-service scope</x:v>
      </x:c>
      <x:c r="AQ950" s="14" t="str">
        <x:v>Yes</x:v>
      </x:c>
      <x:c r="AR950" s="14" t="str">
        <x:v>Resolved from master register</x:v>
      </x:c>
      <x:c r="AS950" s="14" t="str">
        <x:v>No established-register match</x:v>
      </x:c>
      <x:c r="AT950" s="14"/>
      <x:c r="AU950" s="14"/>
      <x:c r="AV950" s="14" t="str">
        <x:v>No established apparent-disability match</x:v>
      </x:c>
      <x:c r="AW950" s="14"/>
      <x:c r="AX950" s="14" t="str">
        <x:v>No</x:v>
      </x:c>
      <x:c r="AY950" s="14" t="str">
        <x:v>Unmatched</x:v>
      </x:c>
      <x:c r="AZ950" s="14" t="str">
        <x:v>Final supplied register</x:v>
      </x:c>
      <x:c r="BA950" s="14" t="str">
        <x:v>Absence from the register is not evidence that the performer is not disabled.</x:v>
      </x:c>
      <x:c r="BB950" s="14" t="str">
        <x:v>No established-register match</x:v>
      </x:c>
      <x:c r="BC950" s="14"/>
      <x:c r="BD950" s="14"/>
      <x:c r="BE950" s="14"/>
      <x:c r="BF950" s="14" t="str">
        <x:v>No established apparent-disability match</x:v>
      </x:c>
      <x:c r="BG950" s="14"/>
      <x:c r="BH950" s="14" t="str">
        <x:v>No</x:v>
      </x:c>
      <x:c r="BI950" s="14"/>
      <x:c r="BJ950" s="14"/>
      <x:c r="BK950" s="14"/>
      <x:c r="BL950" s="14" t="str">
        <x:v>Unmatched</x:v>
      </x:c>
      <x:c r="BM950" s="14" t="str">
        <x:v>Final supplied register</x:v>
      </x:c>
      <x:c r="BN950" s="14" t="str">
        <x:v>Absence from the register is not evidence that the performer is not disabled.</x:v>
      </x:c>
      <x:c r="BO950" s="14" t="n">
        <x:v>17</x:v>
      </x:c>
      <x:c r="BP950" s="14" t="str">
        <x:v>Maximum eligible IMDb cast-credit total (17), shared by 8 performer(s); not independently verified as a 2021-only episode total.</x:v>
      </x:c>
      <x:c r="BQ950" s="14" t="str">
        <x:v>Medium</x:v>
      </x:c>
      <x:c r="BR950" s="15" t="n">
        <x:v>4</x:v>
      </x:c>
      <x:c r="BS950" s="16" t="n">
        <x:v>0.2352941176470588</x:v>
      </x:c>
      <x:c r="BT950" s="14" t="str">
        <x:v>Minority of episodes</x:v>
      </x:c>
      <x:c r="BU950" s="14" t="str">
        <x:v>Medium</x:v>
      </x:c>
      <x:c r="BV950" s="14" t="str">
        <x:v>Derived from supplied IMDb episode count and the documented production-total proxy.</x:v>
      </x:c>
      <x:c r="BW950" s="14" t="str">
        <x:v>Unable to determine</x:v>
      </x:c>
      <x:c r="BX950" s="14" t="str">
        <x:v>Supplied cast data establishes the credit and episode presence but does not establish narrative prominence.</x:v>
      </x:c>
      <x:c r="BY950" s="14" t="str">
        <x:v>Supplied IMDb cast-list workbook</x:v>
      </x:c>
      <x:c r="BZ95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0" s="14" t="str">
        <x:v>Not classified</x:v>
      </x:c>
      <x:c r="CB950" s="14" t="str">
        <x:v>Unable to determine</x:v>
      </x:c>
      <x:c r="CC950" s="14" t="str">
        <x:v>Unique</x:v>
      </x:c>
      <x:c r="CD950" s="14" t="str">
        <x:v>None identified</x:v>
      </x:c>
    </x:row>
    <x:row r="951">
      <x:c r="A951" s="14" t="str">
        <x:v>tt11646832|nm12078788|tori</x:v>
      </x:c>
      <x:c r="B951" s="14" t="str">
        <x:v>04</x:v>
      </x:c>
      <x:c r="C951" s="14" t="str">
        <x:v>2021_IMDb_Cast_Lists_Batch_04(1).xlsx</x:v>
      </x:c>
      <x:c r="D951" s="14" t="str">
        <x:v>The Outlaws</x:v>
      </x:c>
      <x:c r="E951" s="14" t="n">
        <x:v>42</x:v>
      </x:c>
      <x:c r="F951" s="14" t="str">
        <x:v>The Outlaws</x:v>
      </x:c>
      <x:c r="G951" s="14" t="str">
        <x:v>tt11646832</x:v>
      </x:c>
      <x:c r="H951" s="14" t="n">
        <x:v>2021</x:v>
      </x:c>
      <x:c r="I951" s="14" t="n">
        <x:v>2023</x:v>
      </x:c>
      <x:c r="J951" s="14" t="str">
        <x:v>Future Carry-Forward Cohort</x:v>
      </x:c>
      <x:c r="K951" s="14" t="n">
        <x:v>2021</x:v>
      </x:c>
      <x:c r="L951" s="14" t="str">
        <x:v>Available from 2021 analysis</x:v>
      </x:c>
      <x:c r="M951" s="15" t="n">
        <x:v>35</x:v>
      </x:c>
      <x:c r="N951" s="14" t="str">
        <x:v>Silvia Presente</x:v>
      </x:c>
      <x:c r="O951" s="14" t="str">
        <x:v>nm12078788</x:v>
      </x:c>
      <x:c r="P951" s="14" t="str">
        <x:v>Tori</x:v>
      </x:c>
      <x:c r="Q951" s="15" t="n">
        <x:v>4</x:v>
      </x:c>
      <x:c r="R951" s="14" t="str">
        <x:v>2024</x:v>
      </x:c>
      <x:c r="S951" s="14" t="n">
        <x:v>2024</x:v>
      </x:c>
      <x:c r="T951" s="14" t="n">
        <x:v>2024</x:v>
      </x:c>
      <x:c r="U951" s="14" t="str">
        <x:v>Post-2021 casting excluded</x:v>
      </x:c>
      <x:c r="V951" s="14" t="str">
        <x:v>Earliest supplied year is 2024, later than the 2021 study year.</x:v>
      </x:c>
      <x:c r="W951" s="14"/>
      <x:c r="X951" s="14" t="str">
        <x:v>Carried forward to 2024</x:v>
      </x:c>
      <x:c r="Y951" s="14"/>
      <x:c r="Z951" s="14" t="str">
        <x:v>The Outlaws.docx</x:v>
      </x:c>
      <x:c r="AA95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1" s="14" t="str">
        <x:v>No established-register match</x:v>
      </x:c>
      <x:c r="AC951" s="14"/>
      <x:c r="AD951" s="14"/>
      <x:c r="AE951" s="14"/>
      <x:c r="AF951" s="14"/>
      <x:c r="AG951" s="14" t="str">
        <x:v>No qualifying conclusion recorded. Absence from the register is not evidence that the performer is not disabled.</x:v>
      </x:c>
      <x:c r="AH951" s="14" t="str">
        <x:v>BBC</x:v>
      </x:c>
      <x:c r="AI951" s="14" t="str">
        <x:v>UK original commission</x:v>
      </x:c>
      <x:c r="AJ951" s="14" t="str">
        <x:v>Exact normalised title</x:v>
      </x:c>
      <x:c r="AK951" s="14" t="str">
        <x:v>Medium</x:v>
      </x:c>
      <x:c r="AL951" s="14" t="str">
        <x:v>Verified for commissioner/platform scope; uk original commission.</x:v>
      </x:c>
      <x:c r="AM951" s="17" t="e">
        <x:f>HYPERLINK("https://en.wikipedia.org/wiki/Outlaws","Open source")</x:f>
        <x:v>HYPERLINK is not implemented. linkLocation=https://en.wikipedia.org/wiki/Outlaws, friendlyName=Open source</x:v>
      </x:c>
      <x:c r="AN951" s="14" t="str">
        <x:v>BBC public-service commission</x:v>
      </x:c>
      <x:c r="AO951" s="14" t="str">
        <x:v>Yes</x:v>
      </x:c>
      <x:c r="AP951" s="14" t="str">
        <x:v>Direct BBC public-service scope</x:v>
      </x:c>
      <x:c r="AQ951" s="14" t="str">
        <x:v>Yes</x:v>
      </x:c>
      <x:c r="AR951" s="14" t="str">
        <x:v>Resolved from master register</x:v>
      </x:c>
      <x:c r="AS951" s="14" t="str">
        <x:v>No established-register match</x:v>
      </x:c>
      <x:c r="AT951" s="14"/>
      <x:c r="AU951" s="14"/>
      <x:c r="AV951" s="14" t="str">
        <x:v>No established apparent-disability match</x:v>
      </x:c>
      <x:c r="AW951" s="14"/>
      <x:c r="AX951" s="14" t="str">
        <x:v>No</x:v>
      </x:c>
      <x:c r="AY951" s="14" t="str">
        <x:v>Unmatched</x:v>
      </x:c>
      <x:c r="AZ951" s="14" t="str">
        <x:v>Final supplied register</x:v>
      </x:c>
      <x:c r="BA951" s="14" t="str">
        <x:v>Absence from the register is not evidence that the performer is not disabled.</x:v>
      </x:c>
      <x:c r="BB951" s="14" t="str">
        <x:v>No established-register match</x:v>
      </x:c>
      <x:c r="BC951" s="14"/>
      <x:c r="BD951" s="14"/>
      <x:c r="BE951" s="14"/>
      <x:c r="BF951" s="14" t="str">
        <x:v>No established apparent-disability match</x:v>
      </x:c>
      <x:c r="BG951" s="14"/>
      <x:c r="BH951" s="14" t="str">
        <x:v>No</x:v>
      </x:c>
      <x:c r="BI951" s="14"/>
      <x:c r="BJ951" s="14"/>
      <x:c r="BK951" s="14"/>
      <x:c r="BL951" s="14" t="str">
        <x:v>Unmatched</x:v>
      </x:c>
      <x:c r="BM951" s="14" t="str">
        <x:v>Final supplied register</x:v>
      </x:c>
      <x:c r="BN951" s="14" t="str">
        <x:v>Absence from the register is not evidence that the performer is not disabled.</x:v>
      </x:c>
      <x:c r="BO951" s="14" t="n">
        <x:v>17</x:v>
      </x:c>
      <x:c r="BP951" s="14" t="str">
        <x:v>Maximum eligible IMDb cast-credit total (17), shared by 8 performer(s); not independently verified as a 2021-only episode total.</x:v>
      </x:c>
      <x:c r="BQ951" s="14" t="str">
        <x:v>Medium</x:v>
      </x:c>
      <x:c r="BR951" s="15" t="n">
        <x:v>4</x:v>
      </x:c>
      <x:c r="BS951" s="16" t="n">
        <x:v>0.2352941176470588</x:v>
      </x:c>
      <x:c r="BT951" s="14" t="str">
        <x:v>Minority of episodes</x:v>
      </x:c>
      <x:c r="BU951" s="14" t="str">
        <x:v>Medium</x:v>
      </x:c>
      <x:c r="BV951" s="14" t="str">
        <x:v>Derived from supplied IMDb episode count and the documented production-total proxy.</x:v>
      </x:c>
      <x:c r="BW951" s="14" t="str">
        <x:v>Unable to determine</x:v>
      </x:c>
      <x:c r="BX951" s="14" t="str">
        <x:v>Supplied cast data establishes the credit and episode presence but does not establish narrative prominence.</x:v>
      </x:c>
      <x:c r="BY951" s="14" t="str">
        <x:v>Supplied IMDb cast-list workbook</x:v>
      </x:c>
      <x:c r="BZ95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1" s="14" t="str">
        <x:v>Not classified</x:v>
      </x:c>
      <x:c r="CB951" s="14" t="str">
        <x:v>Unable to determine</x:v>
      </x:c>
      <x:c r="CC951" s="14" t="str">
        <x:v>Unique</x:v>
      </x:c>
      <x:c r="CD951" s="14" t="str">
        <x:v>None identified</x:v>
      </x:c>
    </x:row>
    <x:row r="952">
      <x:c r="A952" s="14" t="str">
        <x:v>tt11646832|nm1544594|rhona</x:v>
      </x:c>
      <x:c r="B952" s="14" t="str">
        <x:v>04</x:v>
      </x:c>
      <x:c r="C952" s="14" t="str">
        <x:v>2021_IMDb_Cast_Lists_Batch_04(1).xlsx</x:v>
      </x:c>
      <x:c r="D952" s="14" t="str">
        <x:v>The Outlaws</x:v>
      </x:c>
      <x:c r="E952" s="14" t="n">
        <x:v>44</x:v>
      </x:c>
      <x:c r="F952" s="14" t="str">
        <x:v>The Outlaws</x:v>
      </x:c>
      <x:c r="G952" s="14" t="str">
        <x:v>tt11646832</x:v>
      </x:c>
      <x:c r="H952" s="14" t="n">
        <x:v>2021</x:v>
      </x:c>
      <x:c r="I952" s="14" t="n">
        <x:v>2023</x:v>
      </x:c>
      <x:c r="J952" s="14" t="str">
        <x:v>Future Carry-Forward Cohort</x:v>
      </x:c>
      <x:c r="K952" s="14" t="n">
        <x:v>2021</x:v>
      </x:c>
      <x:c r="L952" s="14" t="str">
        <x:v>Available from 2021 analysis</x:v>
      </x:c>
      <x:c r="M952" s="15" t="n">
        <x:v>37</x:v>
      </x:c>
      <x:c r="N952" s="14" t="str">
        <x:v>Bridgitta Roy</x:v>
      </x:c>
      <x:c r="O952" s="14" t="str">
        <x:v>nm1544594</x:v>
      </x:c>
      <x:c r="P952" s="14" t="str">
        <x:v>Rhona</x:v>
      </x:c>
      <x:c r="Q952" s="15" t="n">
        <x:v>4</x:v>
      </x:c>
      <x:c r="R952" s="14" t="str">
        <x:v>2024</x:v>
      </x:c>
      <x:c r="S952" s="14" t="n">
        <x:v>2024</x:v>
      </x:c>
      <x:c r="T952" s="14" t="n">
        <x:v>2024</x:v>
      </x:c>
      <x:c r="U952" s="14" t="str">
        <x:v>Post-2021 casting excluded</x:v>
      </x:c>
      <x:c r="V952" s="14" t="str">
        <x:v>Earliest supplied year is 2024, later than the 2021 study year.</x:v>
      </x:c>
      <x:c r="W952" s="14"/>
      <x:c r="X952" s="14" t="str">
        <x:v>Carried forward to 2024</x:v>
      </x:c>
      <x:c r="Y952" s="14"/>
      <x:c r="Z952" s="14" t="str">
        <x:v>The Outlaws.docx</x:v>
      </x:c>
      <x:c r="AA95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2" s="14" t="str">
        <x:v>No established-register match</x:v>
      </x:c>
      <x:c r="AC952" s="14"/>
      <x:c r="AD952" s="14"/>
      <x:c r="AE952" s="14"/>
      <x:c r="AF952" s="14"/>
      <x:c r="AG952" s="14" t="str">
        <x:v>No qualifying conclusion recorded. Absence from the register is not evidence that the performer is not disabled.</x:v>
      </x:c>
      <x:c r="AH952" s="14" t="str">
        <x:v>BBC</x:v>
      </x:c>
      <x:c r="AI952" s="14" t="str">
        <x:v>UK original commission</x:v>
      </x:c>
      <x:c r="AJ952" s="14" t="str">
        <x:v>Exact normalised title</x:v>
      </x:c>
      <x:c r="AK952" s="14" t="str">
        <x:v>Medium</x:v>
      </x:c>
      <x:c r="AL952" s="14" t="str">
        <x:v>Verified for commissioner/platform scope; uk original commission.</x:v>
      </x:c>
      <x:c r="AM952" s="17" t="e">
        <x:f>HYPERLINK("https://en.wikipedia.org/wiki/Outlaws","Open source")</x:f>
        <x:v>HYPERLINK is not implemented. linkLocation=https://en.wikipedia.org/wiki/Outlaws, friendlyName=Open source</x:v>
      </x:c>
      <x:c r="AN952" s="14" t="str">
        <x:v>BBC public-service commission</x:v>
      </x:c>
      <x:c r="AO952" s="14" t="str">
        <x:v>Yes</x:v>
      </x:c>
      <x:c r="AP952" s="14" t="str">
        <x:v>Direct BBC public-service scope</x:v>
      </x:c>
      <x:c r="AQ952" s="14" t="str">
        <x:v>Yes</x:v>
      </x:c>
      <x:c r="AR952" s="14" t="str">
        <x:v>Resolved from master register</x:v>
      </x:c>
      <x:c r="AS952" s="14" t="str">
        <x:v>No established-register match</x:v>
      </x:c>
      <x:c r="AT952" s="14"/>
      <x:c r="AU952" s="14"/>
      <x:c r="AV952" s="14" t="str">
        <x:v>No established apparent-disability match</x:v>
      </x:c>
      <x:c r="AW952" s="14"/>
      <x:c r="AX952" s="14" t="str">
        <x:v>No</x:v>
      </x:c>
      <x:c r="AY952" s="14" t="str">
        <x:v>Unmatched</x:v>
      </x:c>
      <x:c r="AZ952" s="14" t="str">
        <x:v>Final supplied register</x:v>
      </x:c>
      <x:c r="BA952" s="14" t="str">
        <x:v>Absence from the register is not evidence that the performer is not disabled.</x:v>
      </x:c>
      <x:c r="BB952" s="14" t="str">
        <x:v>No established-register match</x:v>
      </x:c>
      <x:c r="BC952" s="14"/>
      <x:c r="BD952" s="14"/>
      <x:c r="BE952" s="14"/>
      <x:c r="BF952" s="14" t="str">
        <x:v>No established apparent-disability match</x:v>
      </x:c>
      <x:c r="BG952" s="14"/>
      <x:c r="BH952" s="14" t="str">
        <x:v>No</x:v>
      </x:c>
      <x:c r="BI952" s="14"/>
      <x:c r="BJ952" s="14"/>
      <x:c r="BK952" s="14"/>
      <x:c r="BL952" s="14" t="str">
        <x:v>Unmatched</x:v>
      </x:c>
      <x:c r="BM952" s="14" t="str">
        <x:v>Final supplied register</x:v>
      </x:c>
      <x:c r="BN952" s="14" t="str">
        <x:v>Absence from the register is not evidence that the performer is not disabled.</x:v>
      </x:c>
      <x:c r="BO952" s="14" t="n">
        <x:v>17</x:v>
      </x:c>
      <x:c r="BP952" s="14" t="str">
        <x:v>Maximum eligible IMDb cast-credit total (17), shared by 8 performer(s); not independently verified as a 2021-only episode total.</x:v>
      </x:c>
      <x:c r="BQ952" s="14" t="str">
        <x:v>Medium</x:v>
      </x:c>
      <x:c r="BR952" s="15" t="n">
        <x:v>4</x:v>
      </x:c>
      <x:c r="BS952" s="16" t="n">
        <x:v>0.2352941176470588</x:v>
      </x:c>
      <x:c r="BT952" s="14" t="str">
        <x:v>Minority of episodes</x:v>
      </x:c>
      <x:c r="BU952" s="14" t="str">
        <x:v>Medium</x:v>
      </x:c>
      <x:c r="BV952" s="14" t="str">
        <x:v>Derived from supplied IMDb episode count and the documented production-total proxy.</x:v>
      </x:c>
      <x:c r="BW952" s="14" t="str">
        <x:v>Unable to determine</x:v>
      </x:c>
      <x:c r="BX952" s="14" t="str">
        <x:v>Supplied cast data establishes the credit and episode presence but does not establish narrative prominence.</x:v>
      </x:c>
      <x:c r="BY952" s="14" t="str">
        <x:v>Supplied IMDb cast-list workbook</x:v>
      </x:c>
      <x:c r="BZ95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2" s="14" t="str">
        <x:v>Not classified</x:v>
      </x:c>
      <x:c r="CB952" s="14" t="str">
        <x:v>Unable to determine</x:v>
      </x:c>
      <x:c r="CC952" s="14" t="str">
        <x:v>Unique</x:v>
      </x:c>
      <x:c r="CD952" s="14" t="str">
        <x:v>None identified</x:v>
      </x:c>
    </x:row>
    <x:row r="953">
      <x:c r="A953" s="14" t="str">
        <x:v>tt11646832|nm0956126|judge #1 / victoria paterson</x:v>
      </x:c>
      <x:c r="B953" s="14" t="str">
        <x:v>04</x:v>
      </x:c>
      <x:c r="C953" s="14" t="str">
        <x:v>2021_IMDb_Cast_Lists_Batch_04(1).xlsx</x:v>
      </x:c>
      <x:c r="D953" s="14" t="str">
        <x:v>The Outlaws</x:v>
      </x:c>
      <x:c r="E953" s="14" t="n">
        <x:v>47</x:v>
      </x:c>
      <x:c r="F953" s="14" t="str">
        <x:v>The Outlaws</x:v>
      </x:c>
      <x:c r="G953" s="14" t="str">
        <x:v>tt11646832</x:v>
      </x:c>
      <x:c r="H953" s="14" t="n">
        <x:v>2021</x:v>
      </x:c>
      <x:c r="I953" s="14" t="n">
        <x:v>2023</x:v>
      </x:c>
      <x:c r="J953" s="14" t="str">
        <x:v>Future Carry-Forward Cohort</x:v>
      </x:c>
      <x:c r="K953" s="14" t="n">
        <x:v>2021</x:v>
      </x:c>
      <x:c r="L953" s="14" t="str">
        <x:v>Available from 2021 analysis</x:v>
      </x:c>
      <x:c r="M953" s="15" t="n">
        <x:v>40</x:v>
      </x:c>
      <x:c r="N953" s="14" t="str">
        <x:v>Matilda Ziegler</x:v>
      </x:c>
      <x:c r="O953" s="14" t="str">
        <x:v>nm0956126</x:v>
      </x:c>
      <x:c r="P953" s="14" t="str">
        <x:v>Judge #1 / Victoria Paterson</x:v>
      </x:c>
      <x:c r="Q953" s="15" t="n">
        <x:v>4</x:v>
      </x:c>
      <x:c r="R953" s="14" t="str">
        <x:v>2024</x:v>
      </x:c>
      <x:c r="S953" s="14" t="n">
        <x:v>2024</x:v>
      </x:c>
      <x:c r="T953" s="14" t="n">
        <x:v>2024</x:v>
      </x:c>
      <x:c r="U953" s="14" t="str">
        <x:v>Post-2021 casting excluded</x:v>
      </x:c>
      <x:c r="V953" s="14" t="str">
        <x:v>Earliest supplied year is 2024, later than the 2021 study year.</x:v>
      </x:c>
      <x:c r="W953" s="14"/>
      <x:c r="X953" s="14" t="str">
        <x:v>Carried forward to 2024</x:v>
      </x:c>
      <x:c r="Y953" s="14"/>
      <x:c r="Z953" s="14" t="str">
        <x:v>The Outlaws.docx</x:v>
      </x:c>
      <x:c r="AA95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3" s="14" t="str">
        <x:v>No established-register match</x:v>
      </x:c>
      <x:c r="AC953" s="14"/>
      <x:c r="AD953" s="14"/>
      <x:c r="AE953" s="14"/>
      <x:c r="AF953" s="14"/>
      <x:c r="AG953" s="14" t="str">
        <x:v>No qualifying conclusion recorded. Absence from the register is not evidence that the performer is not disabled.</x:v>
      </x:c>
      <x:c r="AH953" s="14" t="str">
        <x:v>BBC</x:v>
      </x:c>
      <x:c r="AI953" s="14" t="str">
        <x:v>UK original commission</x:v>
      </x:c>
      <x:c r="AJ953" s="14" t="str">
        <x:v>Exact normalised title</x:v>
      </x:c>
      <x:c r="AK953" s="14" t="str">
        <x:v>Medium</x:v>
      </x:c>
      <x:c r="AL953" s="14" t="str">
        <x:v>Verified for commissioner/platform scope; uk original commission.</x:v>
      </x:c>
      <x:c r="AM953" s="17" t="e">
        <x:f>HYPERLINK("https://en.wikipedia.org/wiki/Outlaws","Open source")</x:f>
        <x:v>HYPERLINK is not implemented. linkLocation=https://en.wikipedia.org/wiki/Outlaws, friendlyName=Open source</x:v>
      </x:c>
      <x:c r="AN953" s="14" t="str">
        <x:v>BBC public-service commission</x:v>
      </x:c>
      <x:c r="AO953" s="14" t="str">
        <x:v>Yes</x:v>
      </x:c>
      <x:c r="AP953" s="14" t="str">
        <x:v>Direct BBC public-service scope</x:v>
      </x:c>
      <x:c r="AQ953" s="14" t="str">
        <x:v>Yes</x:v>
      </x:c>
      <x:c r="AR953" s="14" t="str">
        <x:v>Resolved from master register</x:v>
      </x:c>
      <x:c r="AS953" s="14" t="str">
        <x:v>No established-register match</x:v>
      </x:c>
      <x:c r="AT953" s="14"/>
      <x:c r="AU953" s="14"/>
      <x:c r="AV953" s="14" t="str">
        <x:v>No established apparent-disability match</x:v>
      </x:c>
      <x:c r="AW953" s="14"/>
      <x:c r="AX953" s="14" t="str">
        <x:v>No</x:v>
      </x:c>
      <x:c r="AY953" s="14" t="str">
        <x:v>Unmatched</x:v>
      </x:c>
      <x:c r="AZ953" s="14" t="str">
        <x:v>Final supplied register</x:v>
      </x:c>
      <x:c r="BA953" s="14" t="str">
        <x:v>Absence from the register is not evidence that the performer is not disabled.</x:v>
      </x:c>
      <x:c r="BB953" s="14" t="str">
        <x:v>No established-register match</x:v>
      </x:c>
      <x:c r="BC953" s="14"/>
      <x:c r="BD953" s="14"/>
      <x:c r="BE953" s="14"/>
      <x:c r="BF953" s="14" t="str">
        <x:v>No established apparent-disability match</x:v>
      </x:c>
      <x:c r="BG953" s="14"/>
      <x:c r="BH953" s="14" t="str">
        <x:v>No</x:v>
      </x:c>
      <x:c r="BI953" s="14"/>
      <x:c r="BJ953" s="14"/>
      <x:c r="BK953" s="14"/>
      <x:c r="BL953" s="14" t="str">
        <x:v>Unmatched</x:v>
      </x:c>
      <x:c r="BM953" s="14" t="str">
        <x:v>Final supplied register</x:v>
      </x:c>
      <x:c r="BN953" s="14" t="str">
        <x:v>Absence from the register is not evidence that the performer is not disabled.</x:v>
      </x:c>
      <x:c r="BO953" s="14" t="n">
        <x:v>17</x:v>
      </x:c>
      <x:c r="BP953" s="14" t="str">
        <x:v>Maximum eligible IMDb cast-credit total (17), shared by 8 performer(s); not independently verified as a 2021-only episode total.</x:v>
      </x:c>
      <x:c r="BQ953" s="14" t="str">
        <x:v>Medium</x:v>
      </x:c>
      <x:c r="BR953" s="15" t="n">
        <x:v>4</x:v>
      </x:c>
      <x:c r="BS953" s="16" t="n">
        <x:v>0.2352941176470588</x:v>
      </x:c>
      <x:c r="BT953" s="14" t="str">
        <x:v>Minority of episodes</x:v>
      </x:c>
      <x:c r="BU953" s="14" t="str">
        <x:v>Medium</x:v>
      </x:c>
      <x:c r="BV953" s="14" t="str">
        <x:v>Derived from supplied IMDb episode count and the documented production-total proxy.</x:v>
      </x:c>
      <x:c r="BW953" s="14" t="str">
        <x:v>Unable to determine</x:v>
      </x:c>
      <x:c r="BX953" s="14" t="str">
        <x:v>Supplied cast data establishes the credit and episode presence but does not establish narrative prominence.</x:v>
      </x:c>
      <x:c r="BY953" s="14" t="str">
        <x:v>Supplied IMDb cast-list workbook</x:v>
      </x:c>
      <x:c r="BZ95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3" s="14" t="str">
        <x:v>Not classified</x:v>
      </x:c>
      <x:c r="CB953" s="14" t="str">
        <x:v>Unable to determine</x:v>
      </x:c>
      <x:c r="CC953" s="14" t="str">
        <x:v>Unique</x:v>
      </x:c>
      <x:c r="CD953" s="14" t="str">
        <x:v>None identified</x:v>
      </x:c>
    </x:row>
    <x:row r="954">
      <x:c r="A954" s="14" t="str">
        <x:v>tt11646832|nm6085272|sarah</x:v>
      </x:c>
      <x:c r="B954" s="14" t="str">
        <x:v>04</x:v>
      </x:c>
      <x:c r="C954" s="14" t="str">
        <x:v>2021_IMDb_Cast_Lists_Batch_04(1).xlsx</x:v>
      </x:c>
      <x:c r="D954" s="14" t="str">
        <x:v>The Outlaws</x:v>
      </x:c>
      <x:c r="E954" s="14" t="n">
        <x:v>55</x:v>
      </x:c>
      <x:c r="F954" s="14" t="str">
        <x:v>The Outlaws</x:v>
      </x:c>
      <x:c r="G954" s="14" t="str">
        <x:v>tt11646832</x:v>
      </x:c>
      <x:c r="H954" s="14" t="n">
        <x:v>2021</x:v>
      </x:c>
      <x:c r="I954" s="14" t="n">
        <x:v>2023</x:v>
      </x:c>
      <x:c r="J954" s="14" t="str">
        <x:v>Future Carry-Forward Cohort</x:v>
      </x:c>
      <x:c r="K954" s="14" t="n">
        <x:v>2021</x:v>
      </x:c>
      <x:c r="L954" s="14" t="str">
        <x:v>Available from 2021 analysis</x:v>
      </x:c>
      <x:c r="M954" s="15" t="n">
        <x:v>48</x:v>
      </x:c>
      <x:c r="N954" s="14" t="str">
        <x:v>Chelsea Edge</x:v>
      </x:c>
      <x:c r="O954" s="14" t="str">
        <x:v>nm6085272</x:v>
      </x:c>
      <x:c r="P954" s="14" t="str">
        <x:v>Sarah</x:v>
      </x:c>
      <x:c r="Q954" s="15" t="n">
        <x:v>2</x:v>
      </x:c>
      <x:c r="R954" s="14" t="str">
        <x:v>2024</x:v>
      </x:c>
      <x:c r="S954" s="14" t="n">
        <x:v>2024</x:v>
      </x:c>
      <x:c r="T954" s="14" t="n">
        <x:v>2024</x:v>
      </x:c>
      <x:c r="U954" s="14" t="str">
        <x:v>Post-2021 casting excluded</x:v>
      </x:c>
      <x:c r="V954" s="14" t="str">
        <x:v>Earliest supplied year is 2024, later than the 2021 study year.</x:v>
      </x:c>
      <x:c r="W954" s="14"/>
      <x:c r="X954" s="14" t="str">
        <x:v>Carried forward to 2024</x:v>
      </x:c>
      <x:c r="Y954" s="14"/>
      <x:c r="Z954" s="14" t="str">
        <x:v>The Outlaws.docx</x:v>
      </x:c>
      <x:c r="AA95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4" s="14" t="str">
        <x:v>No established-register match</x:v>
      </x:c>
      <x:c r="AC954" s="14"/>
      <x:c r="AD954" s="14"/>
      <x:c r="AE954" s="14"/>
      <x:c r="AF954" s="14"/>
      <x:c r="AG954" s="14" t="str">
        <x:v>No qualifying conclusion recorded. Absence from the register is not evidence that the performer is not disabled.</x:v>
      </x:c>
      <x:c r="AH954" s="14" t="str">
        <x:v>BBC</x:v>
      </x:c>
      <x:c r="AI954" s="14" t="str">
        <x:v>UK original commission</x:v>
      </x:c>
      <x:c r="AJ954" s="14" t="str">
        <x:v>Exact normalised title</x:v>
      </x:c>
      <x:c r="AK954" s="14" t="str">
        <x:v>Medium</x:v>
      </x:c>
      <x:c r="AL954" s="14" t="str">
        <x:v>Verified for commissioner/platform scope; uk original commission.</x:v>
      </x:c>
      <x:c r="AM954" s="17" t="e">
        <x:f>HYPERLINK("https://en.wikipedia.org/wiki/Outlaws","Open source")</x:f>
        <x:v>HYPERLINK is not implemented. linkLocation=https://en.wikipedia.org/wiki/Outlaws, friendlyName=Open source</x:v>
      </x:c>
      <x:c r="AN954" s="14" t="str">
        <x:v>BBC public-service commission</x:v>
      </x:c>
      <x:c r="AO954" s="14" t="str">
        <x:v>Yes</x:v>
      </x:c>
      <x:c r="AP954" s="14" t="str">
        <x:v>Direct BBC public-service scope</x:v>
      </x:c>
      <x:c r="AQ954" s="14" t="str">
        <x:v>Yes</x:v>
      </x:c>
      <x:c r="AR954" s="14" t="str">
        <x:v>Resolved from master register</x:v>
      </x:c>
      <x:c r="AS954" s="14" t="str">
        <x:v>No established-register match</x:v>
      </x:c>
      <x:c r="AT954" s="14"/>
      <x:c r="AU954" s="14"/>
      <x:c r="AV954" s="14" t="str">
        <x:v>No established apparent-disability match</x:v>
      </x:c>
      <x:c r="AW954" s="14"/>
      <x:c r="AX954" s="14" t="str">
        <x:v>No</x:v>
      </x:c>
      <x:c r="AY954" s="14" t="str">
        <x:v>Unmatched</x:v>
      </x:c>
      <x:c r="AZ954" s="14" t="str">
        <x:v>Final supplied register</x:v>
      </x:c>
      <x:c r="BA954" s="14" t="str">
        <x:v>Absence from the register is not evidence that the performer is not disabled.</x:v>
      </x:c>
      <x:c r="BB954" s="14" t="str">
        <x:v>No established-register match</x:v>
      </x:c>
      <x:c r="BC954" s="14"/>
      <x:c r="BD954" s="14"/>
      <x:c r="BE954" s="14"/>
      <x:c r="BF954" s="14" t="str">
        <x:v>No established apparent-disability match</x:v>
      </x:c>
      <x:c r="BG954" s="14"/>
      <x:c r="BH954" s="14" t="str">
        <x:v>No</x:v>
      </x:c>
      <x:c r="BI954" s="14"/>
      <x:c r="BJ954" s="14"/>
      <x:c r="BK954" s="14"/>
      <x:c r="BL954" s="14" t="str">
        <x:v>Unmatched</x:v>
      </x:c>
      <x:c r="BM954" s="14" t="str">
        <x:v>Final supplied register</x:v>
      </x:c>
      <x:c r="BN954" s="14" t="str">
        <x:v>Absence from the register is not evidence that the performer is not disabled.</x:v>
      </x:c>
      <x:c r="BO954" s="14" t="n">
        <x:v>17</x:v>
      </x:c>
      <x:c r="BP954" s="14" t="str">
        <x:v>Maximum eligible IMDb cast-credit total (17), shared by 8 performer(s); not independently verified as a 2021-only episode total.</x:v>
      </x:c>
      <x:c r="BQ954" s="14" t="str">
        <x:v>Medium</x:v>
      </x:c>
      <x:c r="BR954" s="15" t="n">
        <x:v>2</x:v>
      </x:c>
      <x:c r="BS954" s="16" t="n">
        <x:v>0.1176470588235294</x:v>
      </x:c>
      <x:c r="BT954" s="14" t="str">
        <x:v>Minority of episodes</x:v>
      </x:c>
      <x:c r="BU954" s="14" t="str">
        <x:v>Medium</x:v>
      </x:c>
      <x:c r="BV954" s="14" t="str">
        <x:v>Derived from supplied IMDb episode count and the documented production-total proxy.</x:v>
      </x:c>
      <x:c r="BW954" s="14" t="str">
        <x:v>Unable to determine</x:v>
      </x:c>
      <x:c r="BX954" s="14" t="str">
        <x:v>Supplied cast data establishes the credit and episode presence but does not establish narrative prominence.</x:v>
      </x:c>
      <x:c r="BY954" s="14" t="str">
        <x:v>Supplied IMDb cast-list workbook</x:v>
      </x:c>
      <x:c r="BZ95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4" s="14" t="str">
        <x:v>Not classified</x:v>
      </x:c>
      <x:c r="CB954" s="14" t="str">
        <x:v>Unable to determine</x:v>
      </x:c>
      <x:c r="CC954" s="14" t="str">
        <x:v>Unique</x:v>
      </x:c>
      <x:c r="CD954" s="14" t="str">
        <x:v>None identified</x:v>
      </x:c>
    </x:row>
    <x:row r="955">
      <x:c r="A955" s="14" t="str">
        <x:v>tt11646832|nm1597260|helena</x:v>
      </x:c>
      <x:c r="B955" s="14" t="str">
        <x:v>04</x:v>
      </x:c>
      <x:c r="C955" s="14" t="str">
        <x:v>2021_IMDb_Cast_Lists_Batch_04(1).xlsx</x:v>
      </x:c>
      <x:c r="D955" s="14" t="str">
        <x:v>The Outlaws</x:v>
      </x:c>
      <x:c r="E955" s="14" t="n">
        <x:v>58</x:v>
      </x:c>
      <x:c r="F955" s="14" t="str">
        <x:v>The Outlaws</x:v>
      </x:c>
      <x:c r="G955" s="14" t="str">
        <x:v>tt11646832</x:v>
      </x:c>
      <x:c r="H955" s="14" t="n">
        <x:v>2021</x:v>
      </x:c>
      <x:c r="I955" s="14" t="n">
        <x:v>2023</x:v>
      </x:c>
      <x:c r="J955" s="14" t="str">
        <x:v>Future Carry-Forward Cohort</x:v>
      </x:c>
      <x:c r="K955" s="14" t="n">
        <x:v>2021</x:v>
      </x:c>
      <x:c r="L955" s="14" t="str">
        <x:v>Available from 2021 analysis</x:v>
      </x:c>
      <x:c r="M955" s="15" t="n">
        <x:v>51</x:v>
      </x:c>
      <x:c r="N955" s="14" t="str">
        <x:v>Mircea Monroe</x:v>
      </x:c>
      <x:c r="O955" s="14" t="str">
        <x:v>nm1597260</x:v>
      </x:c>
      <x:c r="P955" s="14" t="str">
        <x:v>Helena</x:v>
      </x:c>
      <x:c r="Q955" s="15" t="n">
        <x:v>2</x:v>
      </x:c>
      <x:c r="R955" s="14" t="str">
        <x:v>2024</x:v>
      </x:c>
      <x:c r="S955" s="14" t="n">
        <x:v>2024</x:v>
      </x:c>
      <x:c r="T955" s="14" t="n">
        <x:v>2024</x:v>
      </x:c>
      <x:c r="U955" s="14" t="str">
        <x:v>Post-2021 casting excluded</x:v>
      </x:c>
      <x:c r="V955" s="14" t="str">
        <x:v>Earliest supplied year is 2024, later than the 2021 study year.</x:v>
      </x:c>
      <x:c r="W955" s="14"/>
      <x:c r="X955" s="14" t="str">
        <x:v>Carried forward to 2024</x:v>
      </x:c>
      <x:c r="Y955" s="14"/>
      <x:c r="Z955" s="14" t="str">
        <x:v>The Outlaws.docx</x:v>
      </x:c>
      <x:c r="AA95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5" s="14" t="str">
        <x:v>No established-register match</x:v>
      </x:c>
      <x:c r="AC955" s="14"/>
      <x:c r="AD955" s="14"/>
      <x:c r="AE955" s="14"/>
      <x:c r="AF955" s="14"/>
      <x:c r="AG955" s="14" t="str">
        <x:v>No qualifying conclusion recorded. Absence from the register is not evidence that the performer is not disabled.</x:v>
      </x:c>
      <x:c r="AH955" s="14" t="str">
        <x:v>BBC</x:v>
      </x:c>
      <x:c r="AI955" s="14" t="str">
        <x:v>UK original commission</x:v>
      </x:c>
      <x:c r="AJ955" s="14" t="str">
        <x:v>Exact normalised title</x:v>
      </x:c>
      <x:c r="AK955" s="14" t="str">
        <x:v>Medium</x:v>
      </x:c>
      <x:c r="AL955" s="14" t="str">
        <x:v>Verified for commissioner/platform scope; uk original commission.</x:v>
      </x:c>
      <x:c r="AM955" s="17" t="e">
        <x:f>HYPERLINK("https://en.wikipedia.org/wiki/Outlaws","Open source")</x:f>
        <x:v>HYPERLINK is not implemented. linkLocation=https://en.wikipedia.org/wiki/Outlaws, friendlyName=Open source</x:v>
      </x:c>
      <x:c r="AN955" s="14" t="str">
        <x:v>BBC public-service commission</x:v>
      </x:c>
      <x:c r="AO955" s="14" t="str">
        <x:v>Yes</x:v>
      </x:c>
      <x:c r="AP955" s="14" t="str">
        <x:v>Direct BBC public-service scope</x:v>
      </x:c>
      <x:c r="AQ955" s="14" t="str">
        <x:v>Yes</x:v>
      </x:c>
      <x:c r="AR955" s="14" t="str">
        <x:v>Resolved from master register</x:v>
      </x:c>
      <x:c r="AS955" s="14" t="str">
        <x:v>No established-register match</x:v>
      </x:c>
      <x:c r="AT955" s="14"/>
      <x:c r="AU955" s="14"/>
      <x:c r="AV955" s="14" t="str">
        <x:v>No established apparent-disability match</x:v>
      </x:c>
      <x:c r="AW955" s="14"/>
      <x:c r="AX955" s="14" t="str">
        <x:v>No</x:v>
      </x:c>
      <x:c r="AY955" s="14" t="str">
        <x:v>Unmatched</x:v>
      </x:c>
      <x:c r="AZ955" s="14" t="str">
        <x:v>Final supplied register</x:v>
      </x:c>
      <x:c r="BA955" s="14" t="str">
        <x:v>Absence from the register is not evidence that the performer is not disabled.</x:v>
      </x:c>
      <x:c r="BB955" s="14" t="str">
        <x:v>No established-register match</x:v>
      </x:c>
      <x:c r="BC955" s="14"/>
      <x:c r="BD955" s="14"/>
      <x:c r="BE955" s="14"/>
      <x:c r="BF955" s="14" t="str">
        <x:v>No established apparent-disability match</x:v>
      </x:c>
      <x:c r="BG955" s="14"/>
      <x:c r="BH955" s="14" t="str">
        <x:v>No</x:v>
      </x:c>
      <x:c r="BI955" s="14"/>
      <x:c r="BJ955" s="14"/>
      <x:c r="BK955" s="14"/>
      <x:c r="BL955" s="14" t="str">
        <x:v>Unmatched</x:v>
      </x:c>
      <x:c r="BM955" s="14" t="str">
        <x:v>Final supplied register</x:v>
      </x:c>
      <x:c r="BN955" s="14" t="str">
        <x:v>Absence from the register is not evidence that the performer is not disabled.</x:v>
      </x:c>
      <x:c r="BO955" s="14" t="n">
        <x:v>17</x:v>
      </x:c>
      <x:c r="BP955" s="14" t="str">
        <x:v>Maximum eligible IMDb cast-credit total (17), shared by 8 performer(s); not independently verified as a 2021-only episode total.</x:v>
      </x:c>
      <x:c r="BQ955" s="14" t="str">
        <x:v>Medium</x:v>
      </x:c>
      <x:c r="BR955" s="15" t="n">
        <x:v>2</x:v>
      </x:c>
      <x:c r="BS955" s="16" t="n">
        <x:v>0.1176470588235294</x:v>
      </x:c>
      <x:c r="BT955" s="14" t="str">
        <x:v>Minority of episodes</x:v>
      </x:c>
      <x:c r="BU955" s="14" t="str">
        <x:v>Medium</x:v>
      </x:c>
      <x:c r="BV955" s="14" t="str">
        <x:v>Derived from supplied IMDb episode count and the documented production-total proxy.</x:v>
      </x:c>
      <x:c r="BW955" s="14" t="str">
        <x:v>Unable to determine</x:v>
      </x:c>
      <x:c r="BX955" s="14" t="str">
        <x:v>Supplied cast data establishes the credit and episode presence but does not establish narrative prominence.</x:v>
      </x:c>
      <x:c r="BY955" s="14" t="str">
        <x:v>Supplied IMDb cast-list workbook</x:v>
      </x:c>
      <x:c r="BZ95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5" s="14" t="str">
        <x:v>Not classified</x:v>
      </x:c>
      <x:c r="CB955" s="14" t="str">
        <x:v>Unable to determine</x:v>
      </x:c>
      <x:c r="CC955" s="14" t="str">
        <x:v>Unique</x:v>
      </x:c>
      <x:c r="CD955" s="14" t="str">
        <x:v>None identified</x:v>
      </x:c>
    </x:row>
    <x:row r="956">
      <x:c r="A956" s="14" t="str">
        <x:v>tt11646832|nm0525702|kelvin archer</x:v>
      </x:c>
      <x:c r="B956" s="14" t="str">
        <x:v>04</x:v>
      </x:c>
      <x:c r="C956" s="14" t="str">
        <x:v>2021_IMDb_Cast_Lists_Batch_04(1).xlsx</x:v>
      </x:c>
      <x:c r="D956" s="14" t="str">
        <x:v>The Outlaws</x:v>
      </x:c>
      <x:c r="E956" s="14" t="n">
        <x:v>59</x:v>
      </x:c>
      <x:c r="F956" s="14" t="str">
        <x:v>The Outlaws</x:v>
      </x:c>
      <x:c r="G956" s="14" t="str">
        <x:v>tt11646832</x:v>
      </x:c>
      <x:c r="H956" s="14" t="n">
        <x:v>2021</x:v>
      </x:c>
      <x:c r="I956" s="14" t="n">
        <x:v>2023</x:v>
      </x:c>
      <x:c r="J956" s="14" t="str">
        <x:v>Future Carry-Forward Cohort</x:v>
      </x:c>
      <x:c r="K956" s="14" t="n">
        <x:v>2021</x:v>
      </x:c>
      <x:c r="L956" s="14" t="str">
        <x:v>Available from 2021 analysis</x:v>
      </x:c>
      <x:c r="M956" s="15" t="n">
        <x:v>52</x:v>
      </x:c>
      <x:c r="N956" s="14" t="str">
        <x:v>Adrian Lukis</x:v>
      </x:c>
      <x:c r="O956" s="14" t="str">
        <x:v>nm0525702</x:v>
      </x:c>
      <x:c r="P956" s="14" t="str">
        <x:v>Kelvin Archer</x:v>
      </x:c>
      <x:c r="Q956" s="15" t="n">
        <x:v>2</x:v>
      </x:c>
      <x:c r="R956" s="14" t="str">
        <x:v>2024</x:v>
      </x:c>
      <x:c r="S956" s="14" t="n">
        <x:v>2024</x:v>
      </x:c>
      <x:c r="T956" s="14" t="n">
        <x:v>2024</x:v>
      </x:c>
      <x:c r="U956" s="14" t="str">
        <x:v>Post-2021 casting excluded</x:v>
      </x:c>
      <x:c r="V956" s="14" t="str">
        <x:v>Earliest supplied year is 2024, later than the 2021 study year.</x:v>
      </x:c>
      <x:c r="W956" s="14"/>
      <x:c r="X956" s="14" t="str">
        <x:v>Carried forward to 2024</x:v>
      </x:c>
      <x:c r="Y956" s="14"/>
      <x:c r="Z956" s="14" t="str">
        <x:v>The Outlaws.docx</x:v>
      </x:c>
      <x:c r="AA95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6" s="14" t="str">
        <x:v>No established-register match</x:v>
      </x:c>
      <x:c r="AC956" s="14"/>
      <x:c r="AD956" s="14"/>
      <x:c r="AE956" s="14"/>
      <x:c r="AF956" s="14"/>
      <x:c r="AG956" s="14" t="str">
        <x:v>No qualifying conclusion recorded. Absence from the register is not evidence that the performer is not disabled.</x:v>
      </x:c>
      <x:c r="AH956" s="14" t="str">
        <x:v>BBC</x:v>
      </x:c>
      <x:c r="AI956" s="14" t="str">
        <x:v>UK original commission</x:v>
      </x:c>
      <x:c r="AJ956" s="14" t="str">
        <x:v>Exact normalised title</x:v>
      </x:c>
      <x:c r="AK956" s="14" t="str">
        <x:v>Medium</x:v>
      </x:c>
      <x:c r="AL956" s="14" t="str">
        <x:v>Verified for commissioner/platform scope; uk original commission.</x:v>
      </x:c>
      <x:c r="AM956" s="17" t="e">
        <x:f>HYPERLINK("https://en.wikipedia.org/wiki/Outlaws","Open source")</x:f>
        <x:v>HYPERLINK is not implemented. linkLocation=https://en.wikipedia.org/wiki/Outlaws, friendlyName=Open source</x:v>
      </x:c>
      <x:c r="AN956" s="14" t="str">
        <x:v>BBC public-service commission</x:v>
      </x:c>
      <x:c r="AO956" s="14" t="str">
        <x:v>Yes</x:v>
      </x:c>
      <x:c r="AP956" s="14" t="str">
        <x:v>Direct BBC public-service scope</x:v>
      </x:c>
      <x:c r="AQ956" s="14" t="str">
        <x:v>Yes</x:v>
      </x:c>
      <x:c r="AR956" s="14" t="str">
        <x:v>Resolved from master register</x:v>
      </x:c>
      <x:c r="AS956" s="14" t="str">
        <x:v>No established-register match</x:v>
      </x:c>
      <x:c r="AT956" s="14"/>
      <x:c r="AU956" s="14"/>
      <x:c r="AV956" s="14" t="str">
        <x:v>No established apparent-disability match</x:v>
      </x:c>
      <x:c r="AW956" s="14"/>
      <x:c r="AX956" s="14" t="str">
        <x:v>No</x:v>
      </x:c>
      <x:c r="AY956" s="14" t="str">
        <x:v>Unmatched</x:v>
      </x:c>
      <x:c r="AZ956" s="14" t="str">
        <x:v>Final supplied register</x:v>
      </x:c>
      <x:c r="BA956" s="14" t="str">
        <x:v>Absence from the register is not evidence that the performer is not disabled.</x:v>
      </x:c>
      <x:c r="BB956" s="14" t="str">
        <x:v>No established-register match</x:v>
      </x:c>
      <x:c r="BC956" s="14"/>
      <x:c r="BD956" s="14"/>
      <x:c r="BE956" s="14"/>
      <x:c r="BF956" s="14" t="str">
        <x:v>No established apparent-disability match</x:v>
      </x:c>
      <x:c r="BG956" s="14"/>
      <x:c r="BH956" s="14" t="str">
        <x:v>No</x:v>
      </x:c>
      <x:c r="BI956" s="14"/>
      <x:c r="BJ956" s="14"/>
      <x:c r="BK956" s="14"/>
      <x:c r="BL956" s="14" t="str">
        <x:v>Unmatched</x:v>
      </x:c>
      <x:c r="BM956" s="14" t="str">
        <x:v>Final supplied register</x:v>
      </x:c>
      <x:c r="BN956" s="14" t="str">
        <x:v>Absence from the register is not evidence that the performer is not disabled.</x:v>
      </x:c>
      <x:c r="BO956" s="14" t="n">
        <x:v>17</x:v>
      </x:c>
      <x:c r="BP956" s="14" t="str">
        <x:v>Maximum eligible IMDb cast-credit total (17), shared by 8 performer(s); not independently verified as a 2021-only episode total.</x:v>
      </x:c>
      <x:c r="BQ956" s="14" t="str">
        <x:v>Medium</x:v>
      </x:c>
      <x:c r="BR956" s="15" t="n">
        <x:v>2</x:v>
      </x:c>
      <x:c r="BS956" s="16" t="n">
        <x:v>0.1176470588235294</x:v>
      </x:c>
      <x:c r="BT956" s="14" t="str">
        <x:v>Minority of episodes</x:v>
      </x:c>
      <x:c r="BU956" s="14" t="str">
        <x:v>Medium</x:v>
      </x:c>
      <x:c r="BV956" s="14" t="str">
        <x:v>Derived from supplied IMDb episode count and the documented production-total proxy.</x:v>
      </x:c>
      <x:c r="BW956" s="14" t="str">
        <x:v>Unable to determine</x:v>
      </x:c>
      <x:c r="BX956" s="14" t="str">
        <x:v>Supplied cast data establishes the credit and episode presence but does not establish narrative prominence.</x:v>
      </x:c>
      <x:c r="BY956" s="14" t="str">
        <x:v>Supplied IMDb cast-list workbook</x:v>
      </x:c>
      <x:c r="BZ95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6" s="14" t="str">
        <x:v>Not classified</x:v>
      </x:c>
      <x:c r="CB956" s="14" t="str">
        <x:v>Unable to determine</x:v>
      </x:c>
      <x:c r="CC956" s="14" t="str">
        <x:v>Unique</x:v>
      </x:c>
      <x:c r="CD956" s="14" t="str">
        <x:v>None identified</x:v>
      </x:c>
    </x:row>
    <x:row r="957">
      <x:c r="A957" s="14" t="str">
        <x:v>tt11646832|nm4826554|victor</x:v>
      </x:c>
      <x:c r="B957" s="14" t="str">
        <x:v>04</x:v>
      </x:c>
      <x:c r="C957" s="14" t="str">
        <x:v>2021_IMDb_Cast_Lists_Batch_04(1).xlsx</x:v>
      </x:c>
      <x:c r="D957" s="14" t="str">
        <x:v>The Outlaws</x:v>
      </x:c>
      <x:c r="E957" s="14" t="n">
        <x:v>61</x:v>
      </x:c>
      <x:c r="F957" s="14" t="str">
        <x:v>The Outlaws</x:v>
      </x:c>
      <x:c r="G957" s="14" t="str">
        <x:v>tt11646832</x:v>
      </x:c>
      <x:c r="H957" s="14" t="n">
        <x:v>2021</x:v>
      </x:c>
      <x:c r="I957" s="14" t="n">
        <x:v>2023</x:v>
      </x:c>
      <x:c r="J957" s="14" t="str">
        <x:v>Future Carry-Forward Cohort</x:v>
      </x:c>
      <x:c r="K957" s="14" t="n">
        <x:v>2021</x:v>
      </x:c>
      <x:c r="L957" s="14" t="str">
        <x:v>Available from 2021 analysis</x:v>
      </x:c>
      <x:c r="M957" s="15" t="n">
        <x:v>54</x:v>
      </x:c>
      <x:c r="N957" s="14" t="str">
        <x:v>Charlie Rawes</x:v>
      </x:c>
      <x:c r="O957" s="14" t="str">
        <x:v>nm4826554</x:v>
      </x:c>
      <x:c r="P957" s="14" t="str">
        <x:v>Victor</x:v>
      </x:c>
      <x:c r="Q957" s="15" t="n">
        <x:v>2</x:v>
      </x:c>
      <x:c r="R957" s="14" t="str">
        <x:v>2024</x:v>
      </x:c>
      <x:c r="S957" s="14" t="n">
        <x:v>2024</x:v>
      </x:c>
      <x:c r="T957" s="14" t="n">
        <x:v>2024</x:v>
      </x:c>
      <x:c r="U957" s="14" t="str">
        <x:v>Post-2021 casting excluded</x:v>
      </x:c>
      <x:c r="V957" s="14" t="str">
        <x:v>Earliest supplied year is 2024, later than the 2021 study year.</x:v>
      </x:c>
      <x:c r="W957" s="14"/>
      <x:c r="X957" s="14" t="str">
        <x:v>Carried forward to 2024</x:v>
      </x:c>
      <x:c r="Y957" s="14"/>
      <x:c r="Z957" s="14" t="str">
        <x:v>The Outlaws.docx</x:v>
      </x:c>
      <x:c r="AA95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7" s="14" t="str">
        <x:v>No established-register match</x:v>
      </x:c>
      <x:c r="AC957" s="14"/>
      <x:c r="AD957" s="14"/>
      <x:c r="AE957" s="14"/>
      <x:c r="AF957" s="14"/>
      <x:c r="AG957" s="14" t="str">
        <x:v>No qualifying conclusion recorded. Absence from the register is not evidence that the performer is not disabled.</x:v>
      </x:c>
      <x:c r="AH957" s="14" t="str">
        <x:v>BBC</x:v>
      </x:c>
      <x:c r="AI957" s="14" t="str">
        <x:v>UK original commission</x:v>
      </x:c>
      <x:c r="AJ957" s="14" t="str">
        <x:v>Exact normalised title</x:v>
      </x:c>
      <x:c r="AK957" s="14" t="str">
        <x:v>Medium</x:v>
      </x:c>
      <x:c r="AL957" s="14" t="str">
        <x:v>Verified for commissioner/platform scope; uk original commission.</x:v>
      </x:c>
      <x:c r="AM957" s="17" t="e">
        <x:f>HYPERLINK("https://en.wikipedia.org/wiki/Outlaws","Open source")</x:f>
        <x:v>HYPERLINK is not implemented. linkLocation=https://en.wikipedia.org/wiki/Outlaws, friendlyName=Open source</x:v>
      </x:c>
      <x:c r="AN957" s="14" t="str">
        <x:v>BBC public-service commission</x:v>
      </x:c>
      <x:c r="AO957" s="14" t="str">
        <x:v>Yes</x:v>
      </x:c>
      <x:c r="AP957" s="14" t="str">
        <x:v>Direct BBC public-service scope</x:v>
      </x:c>
      <x:c r="AQ957" s="14" t="str">
        <x:v>Yes</x:v>
      </x:c>
      <x:c r="AR957" s="14" t="str">
        <x:v>Resolved from master register</x:v>
      </x:c>
      <x:c r="AS957" s="14" t="str">
        <x:v>No established-register match</x:v>
      </x:c>
      <x:c r="AT957" s="14"/>
      <x:c r="AU957" s="14"/>
      <x:c r="AV957" s="14" t="str">
        <x:v>No established apparent-disability match</x:v>
      </x:c>
      <x:c r="AW957" s="14"/>
      <x:c r="AX957" s="14" t="str">
        <x:v>No</x:v>
      </x:c>
      <x:c r="AY957" s="14" t="str">
        <x:v>Unmatched</x:v>
      </x:c>
      <x:c r="AZ957" s="14" t="str">
        <x:v>Final supplied register</x:v>
      </x:c>
      <x:c r="BA957" s="14" t="str">
        <x:v>Absence from the register is not evidence that the performer is not disabled.</x:v>
      </x:c>
      <x:c r="BB957" s="14" t="str">
        <x:v>No established-register match</x:v>
      </x:c>
      <x:c r="BC957" s="14"/>
      <x:c r="BD957" s="14"/>
      <x:c r="BE957" s="14"/>
      <x:c r="BF957" s="14" t="str">
        <x:v>No established apparent-disability match</x:v>
      </x:c>
      <x:c r="BG957" s="14"/>
      <x:c r="BH957" s="14" t="str">
        <x:v>No</x:v>
      </x:c>
      <x:c r="BI957" s="14"/>
      <x:c r="BJ957" s="14"/>
      <x:c r="BK957" s="14"/>
      <x:c r="BL957" s="14" t="str">
        <x:v>Unmatched</x:v>
      </x:c>
      <x:c r="BM957" s="14" t="str">
        <x:v>Final supplied register</x:v>
      </x:c>
      <x:c r="BN957" s="14" t="str">
        <x:v>Absence from the register is not evidence that the performer is not disabled.</x:v>
      </x:c>
      <x:c r="BO957" s="14" t="n">
        <x:v>17</x:v>
      </x:c>
      <x:c r="BP957" s="14" t="str">
        <x:v>Maximum eligible IMDb cast-credit total (17), shared by 8 performer(s); not independently verified as a 2021-only episode total.</x:v>
      </x:c>
      <x:c r="BQ957" s="14" t="str">
        <x:v>Medium</x:v>
      </x:c>
      <x:c r="BR957" s="15" t="n">
        <x:v>2</x:v>
      </x:c>
      <x:c r="BS957" s="16" t="n">
        <x:v>0.1176470588235294</x:v>
      </x:c>
      <x:c r="BT957" s="14" t="str">
        <x:v>Minority of episodes</x:v>
      </x:c>
      <x:c r="BU957" s="14" t="str">
        <x:v>Medium</x:v>
      </x:c>
      <x:c r="BV957" s="14" t="str">
        <x:v>Derived from supplied IMDb episode count and the documented production-total proxy.</x:v>
      </x:c>
      <x:c r="BW957" s="14" t="str">
        <x:v>Unable to determine</x:v>
      </x:c>
      <x:c r="BX957" s="14" t="str">
        <x:v>Supplied cast data establishes the credit and episode presence but does not establish narrative prominence.</x:v>
      </x:c>
      <x:c r="BY957" s="14" t="str">
        <x:v>Supplied IMDb cast-list workbook</x:v>
      </x:c>
      <x:c r="BZ95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7" s="14" t="str">
        <x:v>Not classified</x:v>
      </x:c>
      <x:c r="CB957" s="14" t="str">
        <x:v>Unable to determine</x:v>
      </x:c>
      <x:c r="CC957" s="14" t="str">
        <x:v>Unique</x:v>
      </x:c>
      <x:c r="CD957" s="14" t="str">
        <x:v>None identified</x:v>
      </x:c>
    </x:row>
    <x:row r="958">
      <x:c r="A958" s="14" t="str">
        <x:v>tt11646832|nm5203548|man (rani's lover)</x:v>
      </x:c>
      <x:c r="B958" s="14" t="str">
        <x:v>04</x:v>
      </x:c>
      <x:c r="C958" s="14" t="str">
        <x:v>2021_IMDb_Cast_Lists_Batch_04(1).xlsx</x:v>
      </x:c>
      <x:c r="D958" s="14" t="str">
        <x:v>The Outlaws</x:v>
      </x:c>
      <x:c r="E958" s="14" t="n">
        <x:v>70</x:v>
      </x:c>
      <x:c r="F958" s="14" t="str">
        <x:v>The Outlaws</x:v>
      </x:c>
      <x:c r="G958" s="14" t="str">
        <x:v>tt11646832</x:v>
      </x:c>
      <x:c r="H958" s="14" t="n">
        <x:v>2021</x:v>
      </x:c>
      <x:c r="I958" s="14" t="n">
        <x:v>2023</x:v>
      </x:c>
      <x:c r="J958" s="14" t="str">
        <x:v>Future Carry-Forward Cohort</x:v>
      </x:c>
      <x:c r="K958" s="14" t="n">
        <x:v>2021</x:v>
      </x:c>
      <x:c r="L958" s="14" t="str">
        <x:v>Available from 2021 analysis</x:v>
      </x:c>
      <x:c r="M958" s="15" t="n">
        <x:v>63</x:v>
      </x:c>
      <x:c r="N958" s="14" t="str">
        <x:v>Stephen Aaron-Sipple</x:v>
      </x:c>
      <x:c r="O958" s="14" t="str">
        <x:v>nm5203548</x:v>
      </x:c>
      <x:c r="P958" s="14" t="str">
        <x:v>Man (Rani's Lover)</x:v>
      </x:c>
      <x:c r="Q958" s="15" t="n">
        <x:v>1</x:v>
      </x:c>
      <x:c r="R958" s="14" t="str">
        <x:v>2024</x:v>
      </x:c>
      <x:c r="S958" s="14" t="n">
        <x:v>2024</x:v>
      </x:c>
      <x:c r="T958" s="14" t="n">
        <x:v>2024</x:v>
      </x:c>
      <x:c r="U958" s="14" t="str">
        <x:v>Post-2021 casting excluded</x:v>
      </x:c>
      <x:c r="V958" s="14" t="str">
        <x:v>Earliest supplied year is 2024, later than the 2021 study year.</x:v>
      </x:c>
      <x:c r="W958" s="14"/>
      <x:c r="X958" s="14" t="str">
        <x:v>Carried forward to 2024</x:v>
      </x:c>
      <x:c r="Y958" s="14"/>
      <x:c r="Z958" s="14" t="str">
        <x:v>The Outlaws.docx</x:v>
      </x:c>
      <x:c r="AA95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8" s="14" t="str">
        <x:v>No established-register match</x:v>
      </x:c>
      <x:c r="AC958" s="14"/>
      <x:c r="AD958" s="14"/>
      <x:c r="AE958" s="14"/>
      <x:c r="AF958" s="14"/>
      <x:c r="AG958" s="14" t="str">
        <x:v>No qualifying conclusion recorded. Absence from the register is not evidence that the performer is not disabled.</x:v>
      </x:c>
      <x:c r="AH958" s="14" t="str">
        <x:v>BBC</x:v>
      </x:c>
      <x:c r="AI958" s="14" t="str">
        <x:v>UK original commission</x:v>
      </x:c>
      <x:c r="AJ958" s="14" t="str">
        <x:v>Exact normalised title</x:v>
      </x:c>
      <x:c r="AK958" s="14" t="str">
        <x:v>Medium</x:v>
      </x:c>
      <x:c r="AL958" s="14" t="str">
        <x:v>Verified for commissioner/platform scope; uk original commission.</x:v>
      </x:c>
      <x:c r="AM958" s="17" t="e">
        <x:f>HYPERLINK("https://en.wikipedia.org/wiki/Outlaws","Open source")</x:f>
        <x:v>HYPERLINK is not implemented. linkLocation=https://en.wikipedia.org/wiki/Outlaws, friendlyName=Open source</x:v>
      </x:c>
      <x:c r="AN958" s="14" t="str">
        <x:v>BBC public-service commission</x:v>
      </x:c>
      <x:c r="AO958" s="14" t="str">
        <x:v>Yes</x:v>
      </x:c>
      <x:c r="AP958" s="14" t="str">
        <x:v>Direct BBC public-service scope</x:v>
      </x:c>
      <x:c r="AQ958" s="14" t="str">
        <x:v>Yes</x:v>
      </x:c>
      <x:c r="AR958" s="14" t="str">
        <x:v>Resolved from master register</x:v>
      </x:c>
      <x:c r="AS958" s="14" t="str">
        <x:v>No established-register match</x:v>
      </x:c>
      <x:c r="AT958" s="14"/>
      <x:c r="AU958" s="14"/>
      <x:c r="AV958" s="14" t="str">
        <x:v>No established apparent-disability match</x:v>
      </x:c>
      <x:c r="AW958" s="14"/>
      <x:c r="AX958" s="14" t="str">
        <x:v>No</x:v>
      </x:c>
      <x:c r="AY958" s="14" t="str">
        <x:v>Unmatched</x:v>
      </x:c>
      <x:c r="AZ958" s="14" t="str">
        <x:v>Final supplied register</x:v>
      </x:c>
      <x:c r="BA958" s="14" t="str">
        <x:v>Absence from the register is not evidence that the performer is not disabled.</x:v>
      </x:c>
      <x:c r="BB958" s="14" t="str">
        <x:v>No established-register match</x:v>
      </x:c>
      <x:c r="BC958" s="14"/>
      <x:c r="BD958" s="14"/>
      <x:c r="BE958" s="14"/>
      <x:c r="BF958" s="14" t="str">
        <x:v>No established apparent-disability match</x:v>
      </x:c>
      <x:c r="BG958" s="14"/>
      <x:c r="BH958" s="14" t="str">
        <x:v>No</x:v>
      </x:c>
      <x:c r="BI958" s="14"/>
      <x:c r="BJ958" s="14"/>
      <x:c r="BK958" s="14"/>
      <x:c r="BL958" s="14" t="str">
        <x:v>Unmatched</x:v>
      </x:c>
      <x:c r="BM958" s="14" t="str">
        <x:v>Final supplied register</x:v>
      </x:c>
      <x:c r="BN958" s="14" t="str">
        <x:v>Absence from the register is not evidence that the performer is not disabled.</x:v>
      </x:c>
      <x:c r="BO958" s="14" t="n">
        <x:v>17</x:v>
      </x:c>
      <x:c r="BP958" s="14" t="str">
        <x:v>Maximum eligible IMDb cast-credit total (17), shared by 8 performer(s); not independently verified as a 2021-only episode total.</x:v>
      </x:c>
      <x:c r="BQ958" s="14" t="str">
        <x:v>Medium</x:v>
      </x:c>
      <x:c r="BR958" s="15" t="n">
        <x:v>1</x:v>
      </x:c>
      <x:c r="BS958" s="16" t="n">
        <x:v>0.05882352941176471</x:v>
      </x:c>
      <x:c r="BT958" s="14" t="str">
        <x:v>One episode</x:v>
      </x:c>
      <x:c r="BU958" s="14" t="str">
        <x:v>Medium</x:v>
      </x:c>
      <x:c r="BV958" s="14" t="str">
        <x:v>Derived from supplied IMDb episode count and the documented production-total proxy.</x:v>
      </x:c>
      <x:c r="BW958" s="14" t="str">
        <x:v>Unable to determine</x:v>
      </x:c>
      <x:c r="BX958" s="14" t="str">
        <x:v>Supplied cast data establishes the credit and episode presence but does not establish narrative prominence.</x:v>
      </x:c>
      <x:c r="BY958" s="14" t="str">
        <x:v>Supplied IMDb cast-list workbook</x:v>
      </x:c>
      <x:c r="BZ95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8" s="14" t="str">
        <x:v>Not classified</x:v>
      </x:c>
      <x:c r="CB958" s="14" t="str">
        <x:v>Unable to determine</x:v>
      </x:c>
      <x:c r="CC958" s="14" t="str">
        <x:v>Unique</x:v>
      </x:c>
      <x:c r="CD958" s="14" t="str">
        <x:v>None identified</x:v>
      </x:c>
    </x:row>
    <x:row r="959">
      <x:c r="A959" s="14" t="str">
        <x:v>tt11646832|nm1517523|head teacher</x:v>
      </x:c>
      <x:c r="B959" s="14" t="str">
        <x:v>04</x:v>
      </x:c>
      <x:c r="C959" s="14" t="str">
        <x:v>2021_IMDb_Cast_Lists_Batch_04(1).xlsx</x:v>
      </x:c>
      <x:c r="D959" s="14" t="str">
        <x:v>The Outlaws</x:v>
      </x:c>
      <x:c r="E959" s="14" t="n">
        <x:v>72</x:v>
      </x:c>
      <x:c r="F959" s="14" t="str">
        <x:v>The Outlaws</x:v>
      </x:c>
      <x:c r="G959" s="14" t="str">
        <x:v>tt11646832</x:v>
      </x:c>
      <x:c r="H959" s="14" t="n">
        <x:v>2021</x:v>
      </x:c>
      <x:c r="I959" s="14" t="n">
        <x:v>2023</x:v>
      </x:c>
      <x:c r="J959" s="14" t="str">
        <x:v>Future Carry-Forward Cohort</x:v>
      </x:c>
      <x:c r="K959" s="14" t="n">
        <x:v>2021</x:v>
      </x:c>
      <x:c r="L959" s="14" t="str">
        <x:v>Available from 2021 analysis</x:v>
      </x:c>
      <x:c r="M959" s="15" t="n">
        <x:v>65</x:v>
      </x:c>
      <x:c r="N959" s="14" t="str">
        <x:v>Justin Edwards</x:v>
      </x:c>
      <x:c r="O959" s="14" t="str">
        <x:v>nm1517523</x:v>
      </x:c>
      <x:c r="P959" s="14" t="str">
        <x:v>Head Teacher</x:v>
      </x:c>
      <x:c r="Q959" s="15" t="n">
        <x:v>1</x:v>
      </x:c>
      <x:c r="R959" s="14" t="str">
        <x:v>2024</x:v>
      </x:c>
      <x:c r="S959" s="14" t="n">
        <x:v>2024</x:v>
      </x:c>
      <x:c r="T959" s="14" t="n">
        <x:v>2024</x:v>
      </x:c>
      <x:c r="U959" s="14" t="str">
        <x:v>Post-2021 casting excluded</x:v>
      </x:c>
      <x:c r="V959" s="14" t="str">
        <x:v>Earliest supplied year is 2024, later than the 2021 study year.</x:v>
      </x:c>
      <x:c r="W959" s="14"/>
      <x:c r="X959" s="14" t="str">
        <x:v>Carried forward to 2024</x:v>
      </x:c>
      <x:c r="Y959" s="14"/>
      <x:c r="Z959" s="14" t="str">
        <x:v>The Outlaws.docx</x:v>
      </x:c>
      <x:c r="AA95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9" s="14" t="str">
        <x:v>No established-register match</x:v>
      </x:c>
      <x:c r="AC959" s="14"/>
      <x:c r="AD959" s="14"/>
      <x:c r="AE959" s="14"/>
      <x:c r="AF959" s="14"/>
      <x:c r="AG959" s="14" t="str">
        <x:v>No qualifying conclusion recorded. Absence from the register is not evidence that the performer is not disabled.</x:v>
      </x:c>
      <x:c r="AH959" s="14" t="str">
        <x:v>BBC</x:v>
      </x:c>
      <x:c r="AI959" s="14" t="str">
        <x:v>UK original commission</x:v>
      </x:c>
      <x:c r="AJ959" s="14" t="str">
        <x:v>Exact normalised title</x:v>
      </x:c>
      <x:c r="AK959" s="14" t="str">
        <x:v>Medium</x:v>
      </x:c>
      <x:c r="AL959" s="14" t="str">
        <x:v>Verified for commissioner/platform scope; uk original commission.</x:v>
      </x:c>
      <x:c r="AM959" s="17" t="e">
        <x:f>HYPERLINK("https://en.wikipedia.org/wiki/Outlaws","Open source")</x:f>
        <x:v>HYPERLINK is not implemented. linkLocation=https://en.wikipedia.org/wiki/Outlaws, friendlyName=Open source</x:v>
      </x:c>
      <x:c r="AN959" s="14" t="str">
        <x:v>BBC public-service commission</x:v>
      </x:c>
      <x:c r="AO959" s="14" t="str">
        <x:v>Yes</x:v>
      </x:c>
      <x:c r="AP959" s="14" t="str">
        <x:v>Direct BBC public-service scope</x:v>
      </x:c>
      <x:c r="AQ959" s="14" t="str">
        <x:v>Yes</x:v>
      </x:c>
      <x:c r="AR959" s="14" t="str">
        <x:v>Resolved from master register</x:v>
      </x:c>
      <x:c r="AS959" s="14" t="str">
        <x:v>No established-register match</x:v>
      </x:c>
      <x:c r="AT959" s="14"/>
      <x:c r="AU959" s="14"/>
      <x:c r="AV959" s="14" t="str">
        <x:v>No established apparent-disability match</x:v>
      </x:c>
      <x:c r="AW959" s="14"/>
      <x:c r="AX959" s="14" t="str">
        <x:v>No</x:v>
      </x:c>
      <x:c r="AY959" s="14" t="str">
        <x:v>Unmatched</x:v>
      </x:c>
      <x:c r="AZ959" s="14" t="str">
        <x:v>Final supplied register</x:v>
      </x:c>
      <x:c r="BA959" s="14" t="str">
        <x:v>Absence from the register is not evidence that the performer is not disabled.</x:v>
      </x:c>
      <x:c r="BB959" s="14" t="str">
        <x:v>No established-register match</x:v>
      </x:c>
      <x:c r="BC959" s="14"/>
      <x:c r="BD959" s="14"/>
      <x:c r="BE959" s="14"/>
      <x:c r="BF959" s="14" t="str">
        <x:v>No established apparent-disability match</x:v>
      </x:c>
      <x:c r="BG959" s="14"/>
      <x:c r="BH959" s="14" t="str">
        <x:v>No</x:v>
      </x:c>
      <x:c r="BI959" s="14"/>
      <x:c r="BJ959" s="14"/>
      <x:c r="BK959" s="14"/>
      <x:c r="BL959" s="14" t="str">
        <x:v>Unmatched</x:v>
      </x:c>
      <x:c r="BM959" s="14" t="str">
        <x:v>Final supplied register</x:v>
      </x:c>
      <x:c r="BN959" s="14" t="str">
        <x:v>Absence from the register is not evidence that the performer is not disabled.</x:v>
      </x:c>
      <x:c r="BO959" s="14" t="n">
        <x:v>17</x:v>
      </x:c>
      <x:c r="BP959" s="14" t="str">
        <x:v>Maximum eligible IMDb cast-credit total (17), shared by 8 performer(s); not independently verified as a 2021-only episode total.</x:v>
      </x:c>
      <x:c r="BQ959" s="14" t="str">
        <x:v>Medium</x:v>
      </x:c>
      <x:c r="BR959" s="15" t="n">
        <x:v>1</x:v>
      </x:c>
      <x:c r="BS959" s="16" t="n">
        <x:v>0.05882352941176471</x:v>
      </x:c>
      <x:c r="BT959" s="14" t="str">
        <x:v>One episode</x:v>
      </x:c>
      <x:c r="BU959" s="14" t="str">
        <x:v>Medium</x:v>
      </x:c>
      <x:c r="BV959" s="14" t="str">
        <x:v>Derived from supplied IMDb episode count and the documented production-total proxy.</x:v>
      </x:c>
      <x:c r="BW959" s="14" t="str">
        <x:v>Unable to determine</x:v>
      </x:c>
      <x:c r="BX959" s="14" t="str">
        <x:v>Supplied cast data establishes the credit and episode presence but does not establish narrative prominence.</x:v>
      </x:c>
      <x:c r="BY959" s="14" t="str">
        <x:v>Supplied IMDb cast-list workbook</x:v>
      </x:c>
      <x:c r="BZ95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9" s="14" t="str">
        <x:v>Not classified</x:v>
      </x:c>
      <x:c r="CB959" s="14" t="str">
        <x:v>Unable to determine</x:v>
      </x:c>
      <x:c r="CC959" s="14" t="str">
        <x:v>Unique</x:v>
      </x:c>
      <x:c r="CD959" s="14" t="str">
        <x:v>None identified</x:v>
      </x:c>
    </x:row>
    <x:row r="960">
      <x:c r="A960" s="14" t="str">
        <x:v>tt11646832|nm6480258|nigel</x:v>
      </x:c>
      <x:c r="B960" s="14" t="str">
        <x:v>04</x:v>
      </x:c>
      <x:c r="C960" s="14" t="str">
        <x:v>2021_IMDb_Cast_Lists_Batch_04(1).xlsx</x:v>
      </x:c>
      <x:c r="D960" s="14" t="str">
        <x:v>The Outlaws</x:v>
      </x:c>
      <x:c r="E960" s="14" t="n">
        <x:v>76</x:v>
      </x:c>
      <x:c r="F960" s="14" t="str">
        <x:v>The Outlaws</x:v>
      </x:c>
      <x:c r="G960" s="14" t="str">
        <x:v>tt11646832</x:v>
      </x:c>
      <x:c r="H960" s="14" t="n">
        <x:v>2021</x:v>
      </x:c>
      <x:c r="I960" s="14" t="n">
        <x:v>2023</x:v>
      </x:c>
      <x:c r="J960" s="14" t="str">
        <x:v>Future Carry-Forward Cohort</x:v>
      </x:c>
      <x:c r="K960" s="14" t="n">
        <x:v>2021</x:v>
      </x:c>
      <x:c r="L960" s="14" t="str">
        <x:v>Available from 2021 analysis</x:v>
      </x:c>
      <x:c r="M960" s="15" t="n">
        <x:v>69</x:v>
      </x:c>
      <x:c r="N960" s="14" t="str">
        <x:v>Lloyd Griffith</x:v>
      </x:c>
      <x:c r="O960" s="14" t="str">
        <x:v>nm6480258</x:v>
      </x:c>
      <x:c r="P960" s="14" t="str">
        <x:v>Nigel</x:v>
      </x:c>
      <x:c r="Q960" s="15" t="n">
        <x:v>1</x:v>
      </x:c>
      <x:c r="R960" s="14" t="str">
        <x:v>2024</x:v>
      </x:c>
      <x:c r="S960" s="14" t="n">
        <x:v>2024</x:v>
      </x:c>
      <x:c r="T960" s="14" t="n">
        <x:v>2024</x:v>
      </x:c>
      <x:c r="U960" s="14" t="str">
        <x:v>Post-2021 casting excluded</x:v>
      </x:c>
      <x:c r="V960" s="14" t="str">
        <x:v>Earliest supplied year is 2024, later than the 2021 study year.</x:v>
      </x:c>
      <x:c r="W960" s="14"/>
      <x:c r="X960" s="14" t="str">
        <x:v>Carried forward to 2024</x:v>
      </x:c>
      <x:c r="Y960" s="14"/>
      <x:c r="Z960" s="14" t="str">
        <x:v>The Outlaws.docx</x:v>
      </x:c>
      <x:c r="AA96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0" s="14" t="str">
        <x:v>No established-register match</x:v>
      </x:c>
      <x:c r="AC960" s="14"/>
      <x:c r="AD960" s="14"/>
      <x:c r="AE960" s="14"/>
      <x:c r="AF960" s="14"/>
      <x:c r="AG960" s="14" t="str">
        <x:v>No qualifying conclusion recorded. Absence from the register is not evidence that the performer is not disabled.</x:v>
      </x:c>
      <x:c r="AH960" s="14" t="str">
        <x:v>BBC</x:v>
      </x:c>
      <x:c r="AI960" s="14" t="str">
        <x:v>UK original commission</x:v>
      </x:c>
      <x:c r="AJ960" s="14" t="str">
        <x:v>Exact normalised title</x:v>
      </x:c>
      <x:c r="AK960" s="14" t="str">
        <x:v>Medium</x:v>
      </x:c>
      <x:c r="AL960" s="14" t="str">
        <x:v>Verified for commissioner/platform scope; uk original commission.</x:v>
      </x:c>
      <x:c r="AM960" s="17" t="e">
        <x:f>HYPERLINK("https://en.wikipedia.org/wiki/Outlaws","Open source")</x:f>
        <x:v>HYPERLINK is not implemented. linkLocation=https://en.wikipedia.org/wiki/Outlaws, friendlyName=Open source</x:v>
      </x:c>
      <x:c r="AN960" s="14" t="str">
        <x:v>BBC public-service commission</x:v>
      </x:c>
      <x:c r="AO960" s="14" t="str">
        <x:v>Yes</x:v>
      </x:c>
      <x:c r="AP960" s="14" t="str">
        <x:v>Direct BBC public-service scope</x:v>
      </x:c>
      <x:c r="AQ960" s="14" t="str">
        <x:v>Yes</x:v>
      </x:c>
      <x:c r="AR960" s="14" t="str">
        <x:v>Resolved from master register</x:v>
      </x:c>
      <x:c r="AS960" s="14" t="str">
        <x:v>No established-register match</x:v>
      </x:c>
      <x:c r="AT960" s="14"/>
      <x:c r="AU960" s="14"/>
      <x:c r="AV960" s="14" t="str">
        <x:v>No established apparent-disability match</x:v>
      </x:c>
      <x:c r="AW960" s="14"/>
      <x:c r="AX960" s="14" t="str">
        <x:v>No</x:v>
      </x:c>
      <x:c r="AY960" s="14" t="str">
        <x:v>Unmatched</x:v>
      </x:c>
      <x:c r="AZ960" s="14" t="str">
        <x:v>Final supplied register</x:v>
      </x:c>
      <x:c r="BA960" s="14" t="str">
        <x:v>Absence from the register is not evidence that the performer is not disabled.</x:v>
      </x:c>
      <x:c r="BB960" s="14" t="str">
        <x:v>No established-register match</x:v>
      </x:c>
      <x:c r="BC960" s="14"/>
      <x:c r="BD960" s="14"/>
      <x:c r="BE960" s="14"/>
      <x:c r="BF960" s="14" t="str">
        <x:v>No established apparent-disability match</x:v>
      </x:c>
      <x:c r="BG960" s="14"/>
      <x:c r="BH960" s="14" t="str">
        <x:v>No</x:v>
      </x:c>
      <x:c r="BI960" s="14"/>
      <x:c r="BJ960" s="14"/>
      <x:c r="BK960" s="14"/>
      <x:c r="BL960" s="14" t="str">
        <x:v>Unmatched</x:v>
      </x:c>
      <x:c r="BM960" s="14" t="str">
        <x:v>Final supplied register</x:v>
      </x:c>
      <x:c r="BN960" s="14" t="str">
        <x:v>Absence from the register is not evidence that the performer is not disabled.</x:v>
      </x:c>
      <x:c r="BO960" s="14" t="n">
        <x:v>17</x:v>
      </x:c>
      <x:c r="BP960" s="14" t="str">
        <x:v>Maximum eligible IMDb cast-credit total (17), shared by 8 performer(s); not independently verified as a 2021-only episode total.</x:v>
      </x:c>
      <x:c r="BQ960" s="14" t="str">
        <x:v>Medium</x:v>
      </x:c>
      <x:c r="BR960" s="15" t="n">
        <x:v>1</x:v>
      </x:c>
      <x:c r="BS960" s="16" t="n">
        <x:v>0.05882352941176471</x:v>
      </x:c>
      <x:c r="BT960" s="14" t="str">
        <x:v>One episode</x:v>
      </x:c>
      <x:c r="BU960" s="14" t="str">
        <x:v>Medium</x:v>
      </x:c>
      <x:c r="BV960" s="14" t="str">
        <x:v>Derived from supplied IMDb episode count and the documented production-total proxy.</x:v>
      </x:c>
      <x:c r="BW960" s="14" t="str">
        <x:v>Unable to determine</x:v>
      </x:c>
      <x:c r="BX960" s="14" t="str">
        <x:v>Supplied cast data establishes the credit and episode presence but does not establish narrative prominence.</x:v>
      </x:c>
      <x:c r="BY960" s="14" t="str">
        <x:v>Supplied IMDb cast-list workbook</x:v>
      </x:c>
      <x:c r="BZ96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0" s="14" t="str">
        <x:v>Not classified</x:v>
      </x:c>
      <x:c r="CB960" s="14" t="str">
        <x:v>Unable to determine</x:v>
      </x:c>
      <x:c r="CC960" s="14" t="str">
        <x:v>Unique</x:v>
      </x:c>
      <x:c r="CD960" s="14" t="str">
        <x:v>None identified</x:v>
      </x:c>
    </x:row>
    <x:row r="961">
      <x:c r="A961" s="14" t="str">
        <x:v>tt11646832|nm4352872|hotel receptionist</x:v>
      </x:c>
      <x:c r="B961" s="14" t="str">
        <x:v>04</x:v>
      </x:c>
      <x:c r="C961" s="14" t="str">
        <x:v>2021_IMDb_Cast_Lists_Batch_04(1).xlsx</x:v>
      </x:c>
      <x:c r="D961" s="14" t="str">
        <x:v>The Outlaws</x:v>
      </x:c>
      <x:c r="E961" s="14" t="n">
        <x:v>77</x:v>
      </x:c>
      <x:c r="F961" s="14" t="str">
        <x:v>The Outlaws</x:v>
      </x:c>
      <x:c r="G961" s="14" t="str">
        <x:v>tt11646832</x:v>
      </x:c>
      <x:c r="H961" s="14" t="n">
        <x:v>2021</x:v>
      </x:c>
      <x:c r="I961" s="14" t="n">
        <x:v>2023</x:v>
      </x:c>
      <x:c r="J961" s="14" t="str">
        <x:v>Future Carry-Forward Cohort</x:v>
      </x:c>
      <x:c r="K961" s="14" t="n">
        <x:v>2021</x:v>
      </x:c>
      <x:c r="L961" s="14" t="str">
        <x:v>Available from 2021 analysis</x:v>
      </x:c>
      <x:c r="M961" s="15" t="n">
        <x:v>70</x:v>
      </x:c>
      <x:c r="N961" s="14" t="str">
        <x:v>Emily Burnett</x:v>
      </x:c>
      <x:c r="O961" s="14" t="str">
        <x:v>nm4352872</x:v>
      </x:c>
      <x:c r="P961" s="14" t="str">
        <x:v>Hotel Receptionist</x:v>
      </x:c>
      <x:c r="Q961" s="15" t="n">
        <x:v>1</x:v>
      </x:c>
      <x:c r="R961" s="14" t="str">
        <x:v>2024</x:v>
      </x:c>
      <x:c r="S961" s="14" t="n">
        <x:v>2024</x:v>
      </x:c>
      <x:c r="T961" s="14" t="n">
        <x:v>2024</x:v>
      </x:c>
      <x:c r="U961" s="14" t="str">
        <x:v>Post-2021 casting excluded</x:v>
      </x:c>
      <x:c r="V961" s="14" t="str">
        <x:v>Earliest supplied year is 2024, later than the 2021 study year.</x:v>
      </x:c>
      <x:c r="W961" s="14"/>
      <x:c r="X961" s="14" t="str">
        <x:v>Carried forward to 2024</x:v>
      </x:c>
      <x:c r="Y961" s="14"/>
      <x:c r="Z961" s="14" t="str">
        <x:v>The Outlaws.docx</x:v>
      </x:c>
      <x:c r="AA96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1" s="14" t="str">
        <x:v>No established-register match</x:v>
      </x:c>
      <x:c r="AC961" s="14"/>
      <x:c r="AD961" s="14"/>
      <x:c r="AE961" s="14"/>
      <x:c r="AF961" s="14"/>
      <x:c r="AG961" s="14" t="str">
        <x:v>No qualifying conclusion recorded. Absence from the register is not evidence that the performer is not disabled.</x:v>
      </x:c>
      <x:c r="AH961" s="14" t="str">
        <x:v>BBC</x:v>
      </x:c>
      <x:c r="AI961" s="14" t="str">
        <x:v>UK original commission</x:v>
      </x:c>
      <x:c r="AJ961" s="14" t="str">
        <x:v>Exact normalised title</x:v>
      </x:c>
      <x:c r="AK961" s="14" t="str">
        <x:v>Medium</x:v>
      </x:c>
      <x:c r="AL961" s="14" t="str">
        <x:v>Verified for commissioner/platform scope; uk original commission.</x:v>
      </x:c>
      <x:c r="AM961" s="17" t="e">
        <x:f>HYPERLINK("https://en.wikipedia.org/wiki/Outlaws","Open source")</x:f>
        <x:v>HYPERLINK is not implemented. linkLocation=https://en.wikipedia.org/wiki/Outlaws, friendlyName=Open source</x:v>
      </x:c>
      <x:c r="AN961" s="14" t="str">
        <x:v>BBC public-service commission</x:v>
      </x:c>
      <x:c r="AO961" s="14" t="str">
        <x:v>Yes</x:v>
      </x:c>
      <x:c r="AP961" s="14" t="str">
        <x:v>Direct BBC public-service scope</x:v>
      </x:c>
      <x:c r="AQ961" s="14" t="str">
        <x:v>Yes</x:v>
      </x:c>
      <x:c r="AR961" s="14" t="str">
        <x:v>Resolved from master register</x:v>
      </x:c>
      <x:c r="AS961" s="14" t="str">
        <x:v>No established-register match</x:v>
      </x:c>
      <x:c r="AT961" s="14"/>
      <x:c r="AU961" s="14"/>
      <x:c r="AV961" s="14" t="str">
        <x:v>No established apparent-disability match</x:v>
      </x:c>
      <x:c r="AW961" s="14"/>
      <x:c r="AX961" s="14" t="str">
        <x:v>No</x:v>
      </x:c>
      <x:c r="AY961" s="14" t="str">
        <x:v>Unmatched</x:v>
      </x:c>
      <x:c r="AZ961" s="14" t="str">
        <x:v>Final supplied register</x:v>
      </x:c>
      <x:c r="BA961" s="14" t="str">
        <x:v>Absence from the register is not evidence that the performer is not disabled.</x:v>
      </x:c>
      <x:c r="BB961" s="14" t="str">
        <x:v>No established-register match</x:v>
      </x:c>
      <x:c r="BC961" s="14"/>
      <x:c r="BD961" s="14"/>
      <x:c r="BE961" s="14"/>
      <x:c r="BF961" s="14" t="str">
        <x:v>No established apparent-disability match</x:v>
      </x:c>
      <x:c r="BG961" s="14"/>
      <x:c r="BH961" s="14" t="str">
        <x:v>No</x:v>
      </x:c>
      <x:c r="BI961" s="14"/>
      <x:c r="BJ961" s="14"/>
      <x:c r="BK961" s="14"/>
      <x:c r="BL961" s="14" t="str">
        <x:v>Unmatched</x:v>
      </x:c>
      <x:c r="BM961" s="14" t="str">
        <x:v>Final supplied register</x:v>
      </x:c>
      <x:c r="BN961" s="14" t="str">
        <x:v>Absence from the register is not evidence that the performer is not disabled.</x:v>
      </x:c>
      <x:c r="BO961" s="14" t="n">
        <x:v>17</x:v>
      </x:c>
      <x:c r="BP961" s="14" t="str">
        <x:v>Maximum eligible IMDb cast-credit total (17), shared by 8 performer(s); not independently verified as a 2021-only episode total.</x:v>
      </x:c>
      <x:c r="BQ961" s="14" t="str">
        <x:v>Medium</x:v>
      </x:c>
      <x:c r="BR961" s="15" t="n">
        <x:v>1</x:v>
      </x:c>
      <x:c r="BS961" s="16" t="n">
        <x:v>0.05882352941176471</x:v>
      </x:c>
      <x:c r="BT961" s="14" t="str">
        <x:v>One episode</x:v>
      </x:c>
      <x:c r="BU961" s="14" t="str">
        <x:v>Medium</x:v>
      </x:c>
      <x:c r="BV961" s="14" t="str">
        <x:v>Derived from supplied IMDb episode count and the documented production-total proxy.</x:v>
      </x:c>
      <x:c r="BW961" s="14" t="str">
        <x:v>Unable to determine</x:v>
      </x:c>
      <x:c r="BX961" s="14" t="str">
        <x:v>Supplied cast data establishes the credit and episode presence but does not establish narrative prominence.</x:v>
      </x:c>
      <x:c r="BY961" s="14" t="str">
        <x:v>Supplied IMDb cast-list workbook</x:v>
      </x:c>
      <x:c r="BZ96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1" s="14" t="str">
        <x:v>Not classified</x:v>
      </x:c>
      <x:c r="CB961" s="14" t="str">
        <x:v>Unable to determine</x:v>
      </x:c>
      <x:c r="CC961" s="14" t="str">
        <x:v>Unique</x:v>
      </x:c>
      <x:c r="CD961" s="14" t="str">
        <x:v>None identified</x:v>
      </x:c>
    </x:row>
    <x:row r="962">
      <x:c r="A962" s="14" t="str">
        <x:v>tt11646832|nm4358254|architect</x:v>
      </x:c>
      <x:c r="B962" s="14" t="str">
        <x:v>04</x:v>
      </x:c>
      <x:c r="C962" s="14" t="str">
        <x:v>2021_IMDb_Cast_Lists_Batch_04(1).xlsx</x:v>
      </x:c>
      <x:c r="D962" s="14" t="str">
        <x:v>The Outlaws</x:v>
      </x:c>
      <x:c r="E962" s="14" t="n">
        <x:v>78</x:v>
      </x:c>
      <x:c r="F962" s="14" t="str">
        <x:v>The Outlaws</x:v>
      </x:c>
      <x:c r="G962" s="14" t="str">
        <x:v>tt11646832</x:v>
      </x:c>
      <x:c r="H962" s="14" t="n">
        <x:v>2021</x:v>
      </x:c>
      <x:c r="I962" s="14" t="n">
        <x:v>2023</x:v>
      </x:c>
      <x:c r="J962" s="14" t="str">
        <x:v>Future Carry-Forward Cohort</x:v>
      </x:c>
      <x:c r="K962" s="14" t="n">
        <x:v>2021</x:v>
      </x:c>
      <x:c r="L962" s="14" t="str">
        <x:v>Available from 2021 analysis</x:v>
      </x:c>
      <x:c r="M962" s="15" t="n">
        <x:v>71</x:v>
      </x:c>
      <x:c r="N962" s="14" t="str">
        <x:v>Joe Coen</x:v>
      </x:c>
      <x:c r="O962" s="14" t="str">
        <x:v>nm4358254</x:v>
      </x:c>
      <x:c r="P962" s="14" t="str">
        <x:v>Architect</x:v>
      </x:c>
      <x:c r="Q962" s="15" t="n">
        <x:v>1</x:v>
      </x:c>
      <x:c r="R962" s="14" t="str">
        <x:v>2024</x:v>
      </x:c>
      <x:c r="S962" s="14" t="n">
        <x:v>2024</x:v>
      </x:c>
      <x:c r="T962" s="14" t="n">
        <x:v>2024</x:v>
      </x:c>
      <x:c r="U962" s="14" t="str">
        <x:v>Post-2021 casting excluded</x:v>
      </x:c>
      <x:c r="V962" s="14" t="str">
        <x:v>Earliest supplied year is 2024, later than the 2021 study year.</x:v>
      </x:c>
      <x:c r="W962" s="14"/>
      <x:c r="X962" s="14" t="str">
        <x:v>Carried forward to 2024</x:v>
      </x:c>
      <x:c r="Y962" s="14"/>
      <x:c r="Z962" s="14" t="str">
        <x:v>The Outlaws.docx</x:v>
      </x:c>
      <x:c r="AA96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2" s="14" t="str">
        <x:v>No established-register match</x:v>
      </x:c>
      <x:c r="AC962" s="14"/>
      <x:c r="AD962" s="14"/>
      <x:c r="AE962" s="14"/>
      <x:c r="AF962" s="14"/>
      <x:c r="AG962" s="14" t="str">
        <x:v>No qualifying conclusion recorded. Absence from the register is not evidence that the performer is not disabled.</x:v>
      </x:c>
      <x:c r="AH962" s="14" t="str">
        <x:v>BBC</x:v>
      </x:c>
      <x:c r="AI962" s="14" t="str">
        <x:v>UK original commission</x:v>
      </x:c>
      <x:c r="AJ962" s="14" t="str">
        <x:v>Exact normalised title</x:v>
      </x:c>
      <x:c r="AK962" s="14" t="str">
        <x:v>Medium</x:v>
      </x:c>
      <x:c r="AL962" s="14" t="str">
        <x:v>Verified for commissioner/platform scope; uk original commission.</x:v>
      </x:c>
      <x:c r="AM962" s="17" t="e">
        <x:f>HYPERLINK("https://en.wikipedia.org/wiki/Outlaws","Open source")</x:f>
        <x:v>HYPERLINK is not implemented. linkLocation=https://en.wikipedia.org/wiki/Outlaws, friendlyName=Open source</x:v>
      </x:c>
      <x:c r="AN962" s="14" t="str">
        <x:v>BBC public-service commission</x:v>
      </x:c>
      <x:c r="AO962" s="14" t="str">
        <x:v>Yes</x:v>
      </x:c>
      <x:c r="AP962" s="14" t="str">
        <x:v>Direct BBC public-service scope</x:v>
      </x:c>
      <x:c r="AQ962" s="14" t="str">
        <x:v>Yes</x:v>
      </x:c>
      <x:c r="AR962" s="14" t="str">
        <x:v>Resolved from master register</x:v>
      </x:c>
      <x:c r="AS962" s="14" t="str">
        <x:v>No established-register match</x:v>
      </x:c>
      <x:c r="AT962" s="14"/>
      <x:c r="AU962" s="14"/>
      <x:c r="AV962" s="14" t="str">
        <x:v>No established apparent-disability match</x:v>
      </x:c>
      <x:c r="AW962" s="14"/>
      <x:c r="AX962" s="14" t="str">
        <x:v>No</x:v>
      </x:c>
      <x:c r="AY962" s="14" t="str">
        <x:v>Unmatched</x:v>
      </x:c>
      <x:c r="AZ962" s="14" t="str">
        <x:v>Final supplied register</x:v>
      </x:c>
      <x:c r="BA962" s="14" t="str">
        <x:v>Absence from the register is not evidence that the performer is not disabled.</x:v>
      </x:c>
      <x:c r="BB962" s="14" t="str">
        <x:v>No established-register match</x:v>
      </x:c>
      <x:c r="BC962" s="14"/>
      <x:c r="BD962" s="14"/>
      <x:c r="BE962" s="14"/>
      <x:c r="BF962" s="14" t="str">
        <x:v>No established apparent-disability match</x:v>
      </x:c>
      <x:c r="BG962" s="14"/>
      <x:c r="BH962" s="14" t="str">
        <x:v>No</x:v>
      </x:c>
      <x:c r="BI962" s="14"/>
      <x:c r="BJ962" s="14"/>
      <x:c r="BK962" s="14"/>
      <x:c r="BL962" s="14" t="str">
        <x:v>Unmatched</x:v>
      </x:c>
      <x:c r="BM962" s="14" t="str">
        <x:v>Final supplied register</x:v>
      </x:c>
      <x:c r="BN962" s="14" t="str">
        <x:v>Absence from the register is not evidence that the performer is not disabled.</x:v>
      </x:c>
      <x:c r="BO962" s="14" t="n">
        <x:v>17</x:v>
      </x:c>
      <x:c r="BP962" s="14" t="str">
        <x:v>Maximum eligible IMDb cast-credit total (17), shared by 8 performer(s); not independently verified as a 2021-only episode total.</x:v>
      </x:c>
      <x:c r="BQ962" s="14" t="str">
        <x:v>Medium</x:v>
      </x:c>
      <x:c r="BR962" s="15" t="n">
        <x:v>1</x:v>
      </x:c>
      <x:c r="BS962" s="16" t="n">
        <x:v>0.05882352941176471</x:v>
      </x:c>
      <x:c r="BT962" s="14" t="str">
        <x:v>One episode</x:v>
      </x:c>
      <x:c r="BU962" s="14" t="str">
        <x:v>Medium</x:v>
      </x:c>
      <x:c r="BV962" s="14" t="str">
        <x:v>Derived from supplied IMDb episode count and the documented production-total proxy.</x:v>
      </x:c>
      <x:c r="BW962" s="14" t="str">
        <x:v>Unable to determine</x:v>
      </x:c>
      <x:c r="BX962" s="14" t="str">
        <x:v>Supplied cast data establishes the credit and episode presence but does not establish narrative prominence.</x:v>
      </x:c>
      <x:c r="BY962" s="14" t="str">
        <x:v>Supplied IMDb cast-list workbook</x:v>
      </x:c>
      <x:c r="BZ96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2" s="14" t="str">
        <x:v>Not classified</x:v>
      </x:c>
      <x:c r="CB962" s="14" t="str">
        <x:v>Unable to determine</x:v>
      </x:c>
      <x:c r="CC962" s="14" t="str">
        <x:v>Unique</x:v>
      </x:c>
      <x:c r="CD962" s="14" t="str">
        <x:v>None identified</x:v>
      </x:c>
    </x:row>
    <x:row r="963">
      <x:c r="A963" s="14" t="str">
        <x:v>tt11646832|nm12255173|young sean</x:v>
      </x:c>
      <x:c r="B963" s="14" t="str">
        <x:v>04</x:v>
      </x:c>
      <x:c r="C963" s="14" t="str">
        <x:v>2021_IMDb_Cast_Lists_Batch_04(1).xlsx</x:v>
      </x:c>
      <x:c r="D963" s="14" t="str">
        <x:v>The Outlaws</x:v>
      </x:c>
      <x:c r="E963" s="14" t="n">
        <x:v>79</x:v>
      </x:c>
      <x:c r="F963" s="14" t="str">
        <x:v>The Outlaws</x:v>
      </x:c>
      <x:c r="G963" s="14" t="str">
        <x:v>tt11646832</x:v>
      </x:c>
      <x:c r="H963" s="14" t="n">
        <x:v>2021</x:v>
      </x:c>
      <x:c r="I963" s="14" t="n">
        <x:v>2023</x:v>
      </x:c>
      <x:c r="J963" s="14" t="str">
        <x:v>Future Carry-Forward Cohort</x:v>
      </x:c>
      <x:c r="K963" s="14" t="n">
        <x:v>2021</x:v>
      </x:c>
      <x:c r="L963" s="14" t="str">
        <x:v>Available from 2021 analysis</x:v>
      </x:c>
      <x:c r="M963" s="15" t="n">
        <x:v>72</x:v>
      </x:c>
      <x:c r="N963" s="14" t="str">
        <x:v>Brett Curtis</x:v>
      </x:c>
      <x:c r="O963" s="14" t="str">
        <x:v>nm12255173</x:v>
      </x:c>
      <x:c r="P963" s="14" t="str">
        <x:v>Young Sean</x:v>
      </x:c>
      <x:c r="Q963" s="15" t="n">
        <x:v>1</x:v>
      </x:c>
      <x:c r="R963" s="14" t="str">
        <x:v>2024</x:v>
      </x:c>
      <x:c r="S963" s="14" t="n">
        <x:v>2024</x:v>
      </x:c>
      <x:c r="T963" s="14" t="n">
        <x:v>2024</x:v>
      </x:c>
      <x:c r="U963" s="14" t="str">
        <x:v>Post-2021 casting excluded</x:v>
      </x:c>
      <x:c r="V963" s="14" t="str">
        <x:v>Earliest supplied year is 2024, later than the 2021 study year.</x:v>
      </x:c>
      <x:c r="W963" s="14"/>
      <x:c r="X963" s="14" t="str">
        <x:v>Carried forward to 2024</x:v>
      </x:c>
      <x:c r="Y963" s="14"/>
      <x:c r="Z963" s="14" t="str">
        <x:v>The Outlaws.docx</x:v>
      </x:c>
      <x:c r="AA96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3" s="14" t="str">
        <x:v>No established-register match</x:v>
      </x:c>
      <x:c r="AC963" s="14"/>
      <x:c r="AD963" s="14"/>
      <x:c r="AE963" s="14"/>
      <x:c r="AF963" s="14"/>
      <x:c r="AG963" s="14" t="str">
        <x:v>No qualifying conclusion recorded. Absence from the register is not evidence that the performer is not disabled.</x:v>
      </x:c>
      <x:c r="AH963" s="14" t="str">
        <x:v>BBC</x:v>
      </x:c>
      <x:c r="AI963" s="14" t="str">
        <x:v>UK original commission</x:v>
      </x:c>
      <x:c r="AJ963" s="14" t="str">
        <x:v>Exact normalised title</x:v>
      </x:c>
      <x:c r="AK963" s="14" t="str">
        <x:v>Medium</x:v>
      </x:c>
      <x:c r="AL963" s="14" t="str">
        <x:v>Verified for commissioner/platform scope; uk original commission.</x:v>
      </x:c>
      <x:c r="AM963" s="17" t="e">
        <x:f>HYPERLINK("https://en.wikipedia.org/wiki/Outlaws","Open source")</x:f>
        <x:v>HYPERLINK is not implemented. linkLocation=https://en.wikipedia.org/wiki/Outlaws, friendlyName=Open source</x:v>
      </x:c>
      <x:c r="AN963" s="14" t="str">
        <x:v>BBC public-service commission</x:v>
      </x:c>
      <x:c r="AO963" s="14" t="str">
        <x:v>Yes</x:v>
      </x:c>
      <x:c r="AP963" s="14" t="str">
        <x:v>Direct BBC public-service scope</x:v>
      </x:c>
      <x:c r="AQ963" s="14" t="str">
        <x:v>Yes</x:v>
      </x:c>
      <x:c r="AR963" s="14" t="str">
        <x:v>Resolved from master register</x:v>
      </x:c>
      <x:c r="AS963" s="14" t="str">
        <x:v>No established-register match</x:v>
      </x:c>
      <x:c r="AT963" s="14"/>
      <x:c r="AU963" s="14"/>
      <x:c r="AV963" s="14" t="str">
        <x:v>No established apparent-disability match</x:v>
      </x:c>
      <x:c r="AW963" s="14"/>
      <x:c r="AX963" s="14" t="str">
        <x:v>No</x:v>
      </x:c>
      <x:c r="AY963" s="14" t="str">
        <x:v>Unmatched</x:v>
      </x:c>
      <x:c r="AZ963" s="14" t="str">
        <x:v>Final supplied register</x:v>
      </x:c>
      <x:c r="BA963" s="14" t="str">
        <x:v>Absence from the register is not evidence that the performer is not disabled.</x:v>
      </x:c>
      <x:c r="BB963" s="14" t="str">
        <x:v>No established-register match</x:v>
      </x:c>
      <x:c r="BC963" s="14"/>
      <x:c r="BD963" s="14"/>
      <x:c r="BE963" s="14"/>
      <x:c r="BF963" s="14" t="str">
        <x:v>No established apparent-disability match</x:v>
      </x:c>
      <x:c r="BG963" s="14"/>
      <x:c r="BH963" s="14" t="str">
        <x:v>No</x:v>
      </x:c>
      <x:c r="BI963" s="14"/>
      <x:c r="BJ963" s="14"/>
      <x:c r="BK963" s="14"/>
      <x:c r="BL963" s="14" t="str">
        <x:v>Unmatched</x:v>
      </x:c>
      <x:c r="BM963" s="14" t="str">
        <x:v>Final supplied register</x:v>
      </x:c>
      <x:c r="BN963" s="14" t="str">
        <x:v>Absence from the register is not evidence that the performer is not disabled.</x:v>
      </x:c>
      <x:c r="BO963" s="14" t="n">
        <x:v>17</x:v>
      </x:c>
      <x:c r="BP963" s="14" t="str">
        <x:v>Maximum eligible IMDb cast-credit total (17), shared by 8 performer(s); not independently verified as a 2021-only episode total.</x:v>
      </x:c>
      <x:c r="BQ963" s="14" t="str">
        <x:v>Medium</x:v>
      </x:c>
      <x:c r="BR963" s="15" t="n">
        <x:v>1</x:v>
      </x:c>
      <x:c r="BS963" s="16" t="n">
        <x:v>0.05882352941176471</x:v>
      </x:c>
      <x:c r="BT963" s="14" t="str">
        <x:v>One episode</x:v>
      </x:c>
      <x:c r="BU963" s="14" t="str">
        <x:v>Medium</x:v>
      </x:c>
      <x:c r="BV963" s="14" t="str">
        <x:v>Derived from supplied IMDb episode count and the documented production-total proxy.</x:v>
      </x:c>
      <x:c r="BW963" s="14" t="str">
        <x:v>Unable to determine</x:v>
      </x:c>
      <x:c r="BX963" s="14" t="str">
        <x:v>Supplied cast data establishes the credit and episode presence but does not establish narrative prominence.</x:v>
      </x:c>
      <x:c r="BY963" s="14" t="str">
        <x:v>Supplied IMDb cast-list workbook</x:v>
      </x:c>
      <x:c r="BZ96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3" s="14" t="str">
        <x:v>Not classified</x:v>
      </x:c>
      <x:c r="CB963" s="14" t="str">
        <x:v>Unable to determine</x:v>
      </x:c>
      <x:c r="CC963" s="14" t="str">
        <x:v>Unique</x:v>
      </x:c>
      <x:c r="CD963" s="14" t="str">
        <x:v>None identified</x:v>
      </x:c>
    </x:row>
    <x:row r="964">
      <x:c r="A964" s="14" t="str">
        <x:v>tt11646832|nm0257454|smiler's elderly neighbour</x:v>
      </x:c>
      <x:c r="B964" s="14" t="str">
        <x:v>04</x:v>
      </x:c>
      <x:c r="C964" s="14" t="str">
        <x:v>2021_IMDb_Cast_Lists_Batch_04(1).xlsx</x:v>
      </x:c>
      <x:c r="D964" s="14" t="str">
        <x:v>The Outlaws</x:v>
      </x:c>
      <x:c r="E964" s="14" t="n">
        <x:v>84</x:v>
      </x:c>
      <x:c r="F964" s="14" t="str">
        <x:v>The Outlaws</x:v>
      </x:c>
      <x:c r="G964" s="14" t="str">
        <x:v>tt11646832</x:v>
      </x:c>
      <x:c r="H964" s="14" t="n">
        <x:v>2021</x:v>
      </x:c>
      <x:c r="I964" s="14" t="n">
        <x:v>2023</x:v>
      </x:c>
      <x:c r="J964" s="14" t="str">
        <x:v>Future Carry-Forward Cohort</x:v>
      </x:c>
      <x:c r="K964" s="14" t="n">
        <x:v>2021</x:v>
      </x:c>
      <x:c r="L964" s="14" t="str">
        <x:v>Available from 2021 analysis</x:v>
      </x:c>
      <x:c r="M964" s="15" t="n">
        <x:v>77</x:v>
      </x:c>
      <x:c r="N964" s="14" t="str">
        <x:v>Patricia England</x:v>
      </x:c>
      <x:c r="O964" s="14" t="str">
        <x:v>nm0257454</x:v>
      </x:c>
      <x:c r="P964" s="14" t="str">
        <x:v>Smiler's Elderly Neighbour</x:v>
      </x:c>
      <x:c r="Q964" s="15" t="n">
        <x:v>1</x:v>
      </x:c>
      <x:c r="R964" s="14" t="str">
        <x:v>2024</x:v>
      </x:c>
      <x:c r="S964" s="14" t="n">
        <x:v>2024</x:v>
      </x:c>
      <x:c r="T964" s="14" t="n">
        <x:v>2024</x:v>
      </x:c>
      <x:c r="U964" s="14" t="str">
        <x:v>Post-2021 casting excluded</x:v>
      </x:c>
      <x:c r="V964" s="14" t="str">
        <x:v>Earliest supplied year is 2024, later than the 2021 study year.</x:v>
      </x:c>
      <x:c r="W964" s="14"/>
      <x:c r="X964" s="14" t="str">
        <x:v>Carried forward to 2024</x:v>
      </x:c>
      <x:c r="Y964" s="14"/>
      <x:c r="Z964" s="14" t="str">
        <x:v>The Outlaws.docx</x:v>
      </x:c>
      <x:c r="AA96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4" s="14" t="str">
        <x:v>No established-register match</x:v>
      </x:c>
      <x:c r="AC964" s="14"/>
      <x:c r="AD964" s="14"/>
      <x:c r="AE964" s="14"/>
      <x:c r="AF964" s="14"/>
      <x:c r="AG964" s="14" t="str">
        <x:v>No qualifying conclusion recorded. Absence from the register is not evidence that the performer is not disabled.</x:v>
      </x:c>
      <x:c r="AH964" s="14" t="str">
        <x:v>BBC</x:v>
      </x:c>
      <x:c r="AI964" s="14" t="str">
        <x:v>UK original commission</x:v>
      </x:c>
      <x:c r="AJ964" s="14" t="str">
        <x:v>Exact normalised title</x:v>
      </x:c>
      <x:c r="AK964" s="14" t="str">
        <x:v>Medium</x:v>
      </x:c>
      <x:c r="AL964" s="14" t="str">
        <x:v>Verified for commissioner/platform scope; uk original commission.</x:v>
      </x:c>
      <x:c r="AM964" s="17" t="e">
        <x:f>HYPERLINK("https://en.wikipedia.org/wiki/Outlaws","Open source")</x:f>
        <x:v>HYPERLINK is not implemented. linkLocation=https://en.wikipedia.org/wiki/Outlaws, friendlyName=Open source</x:v>
      </x:c>
      <x:c r="AN964" s="14" t="str">
        <x:v>BBC public-service commission</x:v>
      </x:c>
      <x:c r="AO964" s="14" t="str">
        <x:v>Yes</x:v>
      </x:c>
      <x:c r="AP964" s="14" t="str">
        <x:v>Direct BBC public-service scope</x:v>
      </x:c>
      <x:c r="AQ964" s="14" t="str">
        <x:v>Yes</x:v>
      </x:c>
      <x:c r="AR964" s="14" t="str">
        <x:v>Resolved from master register</x:v>
      </x:c>
      <x:c r="AS964" s="14" t="str">
        <x:v>No established-register match</x:v>
      </x:c>
      <x:c r="AT964" s="14"/>
      <x:c r="AU964" s="14"/>
      <x:c r="AV964" s="14" t="str">
        <x:v>No established apparent-disability match</x:v>
      </x:c>
      <x:c r="AW964" s="14"/>
      <x:c r="AX964" s="14" t="str">
        <x:v>No</x:v>
      </x:c>
      <x:c r="AY964" s="14" t="str">
        <x:v>Unmatched</x:v>
      </x:c>
      <x:c r="AZ964" s="14" t="str">
        <x:v>Final supplied register</x:v>
      </x:c>
      <x:c r="BA964" s="14" t="str">
        <x:v>Absence from the register is not evidence that the performer is not disabled.</x:v>
      </x:c>
      <x:c r="BB964" s="14" t="str">
        <x:v>No established-register match</x:v>
      </x:c>
      <x:c r="BC964" s="14"/>
      <x:c r="BD964" s="14"/>
      <x:c r="BE964" s="14"/>
      <x:c r="BF964" s="14" t="str">
        <x:v>No established apparent-disability match</x:v>
      </x:c>
      <x:c r="BG964" s="14"/>
      <x:c r="BH964" s="14" t="str">
        <x:v>No</x:v>
      </x:c>
      <x:c r="BI964" s="14"/>
      <x:c r="BJ964" s="14"/>
      <x:c r="BK964" s="14"/>
      <x:c r="BL964" s="14" t="str">
        <x:v>Unmatched</x:v>
      </x:c>
      <x:c r="BM964" s="14" t="str">
        <x:v>Final supplied register</x:v>
      </x:c>
      <x:c r="BN964" s="14" t="str">
        <x:v>Absence from the register is not evidence that the performer is not disabled.</x:v>
      </x:c>
      <x:c r="BO964" s="14" t="n">
        <x:v>17</x:v>
      </x:c>
      <x:c r="BP964" s="14" t="str">
        <x:v>Maximum eligible IMDb cast-credit total (17), shared by 8 performer(s); not independently verified as a 2021-only episode total.</x:v>
      </x:c>
      <x:c r="BQ964" s="14" t="str">
        <x:v>Medium</x:v>
      </x:c>
      <x:c r="BR964" s="15" t="n">
        <x:v>1</x:v>
      </x:c>
      <x:c r="BS964" s="16" t="n">
        <x:v>0.05882352941176471</x:v>
      </x:c>
      <x:c r="BT964" s="14" t="str">
        <x:v>One episode</x:v>
      </x:c>
      <x:c r="BU964" s="14" t="str">
        <x:v>Medium</x:v>
      </x:c>
      <x:c r="BV964" s="14" t="str">
        <x:v>Derived from supplied IMDb episode count and the documented production-total proxy.</x:v>
      </x:c>
      <x:c r="BW964" s="14" t="str">
        <x:v>Unable to determine</x:v>
      </x:c>
      <x:c r="BX964" s="14" t="str">
        <x:v>Supplied cast data establishes the credit and episode presence but does not establish narrative prominence.</x:v>
      </x:c>
      <x:c r="BY964" s="14" t="str">
        <x:v>Supplied IMDb cast-list workbook</x:v>
      </x:c>
      <x:c r="BZ96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4" s="14" t="str">
        <x:v>Not classified</x:v>
      </x:c>
      <x:c r="CB964" s="14" t="str">
        <x:v>Unable to determine</x:v>
      </x:c>
      <x:c r="CC964" s="14" t="str">
        <x:v>Unique</x:v>
      </x:c>
      <x:c r="CD964" s="14" t="str">
        <x:v>None identified</x:v>
      </x:c>
    </x:row>
    <x:row r="965">
      <x:c r="A965" s="14" t="str">
        <x:v>tt11646832|nm0447288|fertility technician</x:v>
      </x:c>
      <x:c r="B965" s="14" t="str">
        <x:v>04</x:v>
      </x:c>
      <x:c r="C965" s="14" t="str">
        <x:v>2021_IMDb_Cast_Lists_Batch_04(1).xlsx</x:v>
      </x:c>
      <x:c r="D965" s="14" t="str">
        <x:v>The Outlaws</x:v>
      </x:c>
      <x:c r="E965" s="14" t="n">
        <x:v>85</x:v>
      </x:c>
      <x:c r="F965" s="14" t="str">
        <x:v>The Outlaws</x:v>
      </x:c>
      <x:c r="G965" s="14" t="str">
        <x:v>tt11646832</x:v>
      </x:c>
      <x:c r="H965" s="14" t="n">
        <x:v>2021</x:v>
      </x:c>
      <x:c r="I965" s="14" t="n">
        <x:v>2023</x:v>
      </x:c>
      <x:c r="J965" s="14" t="str">
        <x:v>Future Carry-Forward Cohort</x:v>
      </x:c>
      <x:c r="K965" s="14" t="n">
        <x:v>2021</x:v>
      </x:c>
      <x:c r="L965" s="14" t="str">
        <x:v>Available from 2021 analysis</x:v>
      </x:c>
      <x:c r="M965" s="15" t="n">
        <x:v>78</x:v>
      </x:c>
      <x:c r="N965" s="14" t="str">
        <x:v>Gail Kemp</x:v>
      </x:c>
      <x:c r="O965" s="14" t="str">
        <x:v>nm0447288</x:v>
      </x:c>
      <x:c r="P965" s="14" t="str">
        <x:v>Fertility Technician</x:v>
      </x:c>
      <x:c r="Q965" s="15" t="n">
        <x:v>1</x:v>
      </x:c>
      <x:c r="R965" s="14" t="str">
        <x:v>2024</x:v>
      </x:c>
      <x:c r="S965" s="14" t="n">
        <x:v>2024</x:v>
      </x:c>
      <x:c r="T965" s="14" t="n">
        <x:v>2024</x:v>
      </x:c>
      <x:c r="U965" s="14" t="str">
        <x:v>Post-2021 casting excluded</x:v>
      </x:c>
      <x:c r="V965" s="14" t="str">
        <x:v>Earliest supplied year is 2024, later than the 2021 study year.</x:v>
      </x:c>
      <x:c r="W965" s="14"/>
      <x:c r="X965" s="14" t="str">
        <x:v>Carried forward to 2024</x:v>
      </x:c>
      <x:c r="Y965" s="14"/>
      <x:c r="Z965" s="14" t="str">
        <x:v>The Outlaws.docx</x:v>
      </x:c>
      <x:c r="AA96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5" s="14" t="str">
        <x:v>No established-register match</x:v>
      </x:c>
      <x:c r="AC965" s="14"/>
      <x:c r="AD965" s="14"/>
      <x:c r="AE965" s="14"/>
      <x:c r="AF965" s="14"/>
      <x:c r="AG965" s="14" t="str">
        <x:v>No qualifying conclusion recorded. Absence from the register is not evidence that the performer is not disabled.</x:v>
      </x:c>
      <x:c r="AH965" s="14" t="str">
        <x:v>BBC</x:v>
      </x:c>
      <x:c r="AI965" s="14" t="str">
        <x:v>UK original commission</x:v>
      </x:c>
      <x:c r="AJ965" s="14" t="str">
        <x:v>Exact normalised title</x:v>
      </x:c>
      <x:c r="AK965" s="14" t="str">
        <x:v>Medium</x:v>
      </x:c>
      <x:c r="AL965" s="14" t="str">
        <x:v>Verified for commissioner/platform scope; uk original commission.</x:v>
      </x:c>
      <x:c r="AM965" s="17" t="e">
        <x:f>HYPERLINK("https://en.wikipedia.org/wiki/Outlaws","Open source")</x:f>
        <x:v>HYPERLINK is not implemented. linkLocation=https://en.wikipedia.org/wiki/Outlaws, friendlyName=Open source</x:v>
      </x:c>
      <x:c r="AN965" s="14" t="str">
        <x:v>BBC public-service commission</x:v>
      </x:c>
      <x:c r="AO965" s="14" t="str">
        <x:v>Yes</x:v>
      </x:c>
      <x:c r="AP965" s="14" t="str">
        <x:v>Direct BBC public-service scope</x:v>
      </x:c>
      <x:c r="AQ965" s="14" t="str">
        <x:v>Yes</x:v>
      </x:c>
      <x:c r="AR965" s="14" t="str">
        <x:v>Resolved from master register</x:v>
      </x:c>
      <x:c r="AS965" s="14" t="str">
        <x:v>No established-register match</x:v>
      </x:c>
      <x:c r="AT965" s="14"/>
      <x:c r="AU965" s="14"/>
      <x:c r="AV965" s="14" t="str">
        <x:v>No established apparent-disability match</x:v>
      </x:c>
      <x:c r="AW965" s="14"/>
      <x:c r="AX965" s="14" t="str">
        <x:v>No</x:v>
      </x:c>
      <x:c r="AY965" s="14" t="str">
        <x:v>Unmatched</x:v>
      </x:c>
      <x:c r="AZ965" s="14" t="str">
        <x:v>Final supplied register</x:v>
      </x:c>
      <x:c r="BA965" s="14" t="str">
        <x:v>Absence from the register is not evidence that the performer is not disabled.</x:v>
      </x:c>
      <x:c r="BB965" s="14" t="str">
        <x:v>No established-register match</x:v>
      </x:c>
      <x:c r="BC965" s="14"/>
      <x:c r="BD965" s="14"/>
      <x:c r="BE965" s="14"/>
      <x:c r="BF965" s="14" t="str">
        <x:v>No established apparent-disability match</x:v>
      </x:c>
      <x:c r="BG965" s="14"/>
      <x:c r="BH965" s="14" t="str">
        <x:v>No</x:v>
      </x:c>
      <x:c r="BI965" s="14"/>
      <x:c r="BJ965" s="14"/>
      <x:c r="BK965" s="14"/>
      <x:c r="BL965" s="14" t="str">
        <x:v>Unmatched</x:v>
      </x:c>
      <x:c r="BM965" s="14" t="str">
        <x:v>Final supplied register</x:v>
      </x:c>
      <x:c r="BN965" s="14" t="str">
        <x:v>Absence from the register is not evidence that the performer is not disabled.</x:v>
      </x:c>
      <x:c r="BO965" s="14" t="n">
        <x:v>17</x:v>
      </x:c>
      <x:c r="BP965" s="14" t="str">
        <x:v>Maximum eligible IMDb cast-credit total (17), shared by 8 performer(s); not independently verified as a 2021-only episode total.</x:v>
      </x:c>
      <x:c r="BQ965" s="14" t="str">
        <x:v>Medium</x:v>
      </x:c>
      <x:c r="BR965" s="15" t="n">
        <x:v>1</x:v>
      </x:c>
      <x:c r="BS965" s="16" t="n">
        <x:v>0.05882352941176471</x:v>
      </x:c>
      <x:c r="BT965" s="14" t="str">
        <x:v>One episode</x:v>
      </x:c>
      <x:c r="BU965" s="14" t="str">
        <x:v>Medium</x:v>
      </x:c>
      <x:c r="BV965" s="14" t="str">
        <x:v>Derived from supplied IMDb episode count and the documented production-total proxy.</x:v>
      </x:c>
      <x:c r="BW965" s="14" t="str">
        <x:v>Unable to determine</x:v>
      </x:c>
      <x:c r="BX965" s="14" t="str">
        <x:v>Supplied cast data establishes the credit and episode presence but does not establish narrative prominence.</x:v>
      </x:c>
      <x:c r="BY965" s="14" t="str">
        <x:v>Supplied IMDb cast-list workbook</x:v>
      </x:c>
      <x:c r="BZ96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5" s="14" t="str">
        <x:v>Not classified</x:v>
      </x:c>
      <x:c r="CB965" s="14" t="str">
        <x:v>Unable to determine</x:v>
      </x:c>
      <x:c r="CC965" s="14" t="str">
        <x:v>Unique</x:v>
      </x:c>
      <x:c r="CD965" s="14" t="str">
        <x:v>None identified</x:v>
      </x:c>
    </x:row>
    <x:row r="966">
      <x:c r="A966" s="14" t="str">
        <x:v>tt11646832|nm4244719|woman (school run)</x:v>
      </x:c>
      <x:c r="B966" s="14" t="str">
        <x:v>04</x:v>
      </x:c>
      <x:c r="C966" s="14" t="str">
        <x:v>2021_IMDb_Cast_Lists_Batch_04(1).xlsx</x:v>
      </x:c>
      <x:c r="D966" s="14" t="str">
        <x:v>The Outlaws</x:v>
      </x:c>
      <x:c r="E966" s="14" t="n">
        <x:v>92</x:v>
      </x:c>
      <x:c r="F966" s="14" t="str">
        <x:v>The Outlaws</x:v>
      </x:c>
      <x:c r="G966" s="14" t="str">
        <x:v>tt11646832</x:v>
      </x:c>
      <x:c r="H966" s="14" t="n">
        <x:v>2021</x:v>
      </x:c>
      <x:c r="I966" s="14" t="n">
        <x:v>2023</x:v>
      </x:c>
      <x:c r="J966" s="14" t="str">
        <x:v>Future Carry-Forward Cohort</x:v>
      </x:c>
      <x:c r="K966" s="14" t="n">
        <x:v>2021</x:v>
      </x:c>
      <x:c r="L966" s="14" t="str">
        <x:v>Available from 2021 analysis</x:v>
      </x:c>
      <x:c r="M966" s="15" t="n">
        <x:v>85</x:v>
      </x:c>
      <x:c r="N966" s="14" t="str">
        <x:v>Andrea Kristina</x:v>
      </x:c>
      <x:c r="O966" s="14" t="str">
        <x:v>nm4244719</x:v>
      </x:c>
      <x:c r="P966" s="14" t="str">
        <x:v>Woman (School Run)</x:v>
      </x:c>
      <x:c r="Q966" s="15" t="n">
        <x:v>1</x:v>
      </x:c>
      <x:c r="R966" s="14" t="str">
        <x:v>2024</x:v>
      </x:c>
      <x:c r="S966" s="14" t="n">
        <x:v>2024</x:v>
      </x:c>
      <x:c r="T966" s="14" t="n">
        <x:v>2024</x:v>
      </x:c>
      <x:c r="U966" s="14" t="str">
        <x:v>Post-2021 casting excluded</x:v>
      </x:c>
      <x:c r="V966" s="14" t="str">
        <x:v>Earliest supplied year is 2024, later than the 2021 study year.</x:v>
      </x:c>
      <x:c r="W966" s="14"/>
      <x:c r="X966" s="14" t="str">
        <x:v>Carried forward to 2024</x:v>
      </x:c>
      <x:c r="Y966" s="14"/>
      <x:c r="Z966" s="14" t="str">
        <x:v>The Outlaws.docx</x:v>
      </x:c>
      <x:c r="AA96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6" s="14" t="str">
        <x:v>No established-register match</x:v>
      </x:c>
      <x:c r="AC966" s="14"/>
      <x:c r="AD966" s="14"/>
      <x:c r="AE966" s="14"/>
      <x:c r="AF966" s="14"/>
      <x:c r="AG966" s="14" t="str">
        <x:v>No qualifying conclusion recorded. Absence from the register is not evidence that the performer is not disabled.</x:v>
      </x:c>
      <x:c r="AH966" s="14" t="str">
        <x:v>BBC</x:v>
      </x:c>
      <x:c r="AI966" s="14" t="str">
        <x:v>UK original commission</x:v>
      </x:c>
      <x:c r="AJ966" s="14" t="str">
        <x:v>Exact normalised title</x:v>
      </x:c>
      <x:c r="AK966" s="14" t="str">
        <x:v>Medium</x:v>
      </x:c>
      <x:c r="AL966" s="14" t="str">
        <x:v>Verified for commissioner/platform scope; uk original commission.</x:v>
      </x:c>
      <x:c r="AM966" s="17" t="e">
        <x:f>HYPERLINK("https://en.wikipedia.org/wiki/Outlaws","Open source")</x:f>
        <x:v>HYPERLINK is not implemented. linkLocation=https://en.wikipedia.org/wiki/Outlaws, friendlyName=Open source</x:v>
      </x:c>
      <x:c r="AN966" s="14" t="str">
        <x:v>BBC public-service commission</x:v>
      </x:c>
      <x:c r="AO966" s="14" t="str">
        <x:v>Yes</x:v>
      </x:c>
      <x:c r="AP966" s="14" t="str">
        <x:v>Direct BBC public-service scope</x:v>
      </x:c>
      <x:c r="AQ966" s="14" t="str">
        <x:v>Yes</x:v>
      </x:c>
      <x:c r="AR966" s="14" t="str">
        <x:v>Resolved from master register</x:v>
      </x:c>
      <x:c r="AS966" s="14" t="str">
        <x:v>No established-register match</x:v>
      </x:c>
      <x:c r="AT966" s="14"/>
      <x:c r="AU966" s="14"/>
      <x:c r="AV966" s="14" t="str">
        <x:v>No established apparent-disability match</x:v>
      </x:c>
      <x:c r="AW966" s="14"/>
      <x:c r="AX966" s="14" t="str">
        <x:v>No</x:v>
      </x:c>
      <x:c r="AY966" s="14" t="str">
        <x:v>Unmatched</x:v>
      </x:c>
      <x:c r="AZ966" s="14" t="str">
        <x:v>Final supplied register</x:v>
      </x:c>
      <x:c r="BA966" s="14" t="str">
        <x:v>Absence from the register is not evidence that the performer is not disabled.</x:v>
      </x:c>
      <x:c r="BB966" s="14" t="str">
        <x:v>No established-register match</x:v>
      </x:c>
      <x:c r="BC966" s="14"/>
      <x:c r="BD966" s="14"/>
      <x:c r="BE966" s="14"/>
      <x:c r="BF966" s="14" t="str">
        <x:v>No established apparent-disability match</x:v>
      </x:c>
      <x:c r="BG966" s="14"/>
      <x:c r="BH966" s="14" t="str">
        <x:v>No</x:v>
      </x:c>
      <x:c r="BI966" s="14"/>
      <x:c r="BJ966" s="14"/>
      <x:c r="BK966" s="14"/>
      <x:c r="BL966" s="14" t="str">
        <x:v>Unmatched</x:v>
      </x:c>
      <x:c r="BM966" s="14" t="str">
        <x:v>Final supplied register</x:v>
      </x:c>
      <x:c r="BN966" s="14" t="str">
        <x:v>Absence from the register is not evidence that the performer is not disabled.</x:v>
      </x:c>
      <x:c r="BO966" s="14" t="n">
        <x:v>17</x:v>
      </x:c>
      <x:c r="BP966" s="14" t="str">
        <x:v>Maximum eligible IMDb cast-credit total (17), shared by 8 performer(s); not independently verified as a 2021-only episode total.</x:v>
      </x:c>
      <x:c r="BQ966" s="14" t="str">
        <x:v>Medium</x:v>
      </x:c>
      <x:c r="BR966" s="15" t="n">
        <x:v>1</x:v>
      </x:c>
      <x:c r="BS966" s="16" t="n">
        <x:v>0.05882352941176471</x:v>
      </x:c>
      <x:c r="BT966" s="14" t="str">
        <x:v>One episode</x:v>
      </x:c>
      <x:c r="BU966" s="14" t="str">
        <x:v>Medium</x:v>
      </x:c>
      <x:c r="BV966" s="14" t="str">
        <x:v>Derived from supplied IMDb episode count and the documented production-total proxy.</x:v>
      </x:c>
      <x:c r="BW966" s="14" t="str">
        <x:v>Unable to determine</x:v>
      </x:c>
      <x:c r="BX966" s="14" t="str">
        <x:v>Supplied cast data establishes the credit and episode presence but does not establish narrative prominence.</x:v>
      </x:c>
      <x:c r="BY966" s="14" t="str">
        <x:v>Supplied IMDb cast-list workbook</x:v>
      </x:c>
      <x:c r="BZ96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6" s="14" t="str">
        <x:v>Not classified</x:v>
      </x:c>
      <x:c r="CB966" s="14" t="str">
        <x:v>Unable to determine</x:v>
      </x:c>
      <x:c r="CC966" s="14" t="str">
        <x:v>Unique</x:v>
      </x:c>
      <x:c r="CD966" s="14" t="str">
        <x:v>None identified</x:v>
      </x:c>
    </x:row>
    <x:row r="967">
      <x:c r="A967" s="14" t="str">
        <x:v>tt11646832|nm5937456|dog walker</x:v>
      </x:c>
      <x:c r="B967" s="14" t="str">
        <x:v>04</x:v>
      </x:c>
      <x:c r="C967" s="14" t="str">
        <x:v>2021_IMDb_Cast_Lists_Batch_04(1).xlsx</x:v>
      </x:c>
      <x:c r="D967" s="14" t="str">
        <x:v>The Outlaws</x:v>
      </x:c>
      <x:c r="E967" s="14" t="n">
        <x:v>94</x:v>
      </x:c>
      <x:c r="F967" s="14" t="str">
        <x:v>The Outlaws</x:v>
      </x:c>
      <x:c r="G967" s="14" t="str">
        <x:v>tt11646832</x:v>
      </x:c>
      <x:c r="H967" s="14" t="n">
        <x:v>2021</x:v>
      </x:c>
      <x:c r="I967" s="14" t="n">
        <x:v>2023</x:v>
      </x:c>
      <x:c r="J967" s="14" t="str">
        <x:v>Future Carry-Forward Cohort</x:v>
      </x:c>
      <x:c r="K967" s="14" t="n">
        <x:v>2021</x:v>
      </x:c>
      <x:c r="L967" s="14" t="str">
        <x:v>Available from 2021 analysis</x:v>
      </x:c>
      <x:c r="M967" s="15" t="n">
        <x:v>87</x:v>
      </x:c>
      <x:c r="N967" s="14" t="str">
        <x:v>Ross Hatt</x:v>
      </x:c>
      <x:c r="O967" s="14" t="str">
        <x:v>nm5937456</x:v>
      </x:c>
      <x:c r="P967" s="14" t="str">
        <x:v>Dog Walker</x:v>
      </x:c>
      <x:c r="Q967" s="15" t="n">
        <x:v>1</x:v>
      </x:c>
      <x:c r="R967" s="14" t="str">
        <x:v>2024</x:v>
      </x:c>
      <x:c r="S967" s="14" t="n">
        <x:v>2024</x:v>
      </x:c>
      <x:c r="T967" s="14" t="n">
        <x:v>2024</x:v>
      </x:c>
      <x:c r="U967" s="14" t="str">
        <x:v>Post-2021 casting excluded</x:v>
      </x:c>
      <x:c r="V967" s="14" t="str">
        <x:v>Earliest supplied year is 2024, later than the 2021 study year.</x:v>
      </x:c>
      <x:c r="W967" s="14"/>
      <x:c r="X967" s="14" t="str">
        <x:v>Carried forward to 2024</x:v>
      </x:c>
      <x:c r="Y967" s="14"/>
      <x:c r="Z967" s="14" t="str">
        <x:v>The Outlaws.docx</x:v>
      </x:c>
      <x:c r="AA96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7" s="14" t="str">
        <x:v>No established-register match</x:v>
      </x:c>
      <x:c r="AC967" s="14"/>
      <x:c r="AD967" s="14"/>
      <x:c r="AE967" s="14"/>
      <x:c r="AF967" s="14"/>
      <x:c r="AG967" s="14" t="str">
        <x:v>No qualifying conclusion recorded. Absence from the register is not evidence that the performer is not disabled.</x:v>
      </x:c>
      <x:c r="AH967" s="14" t="str">
        <x:v>BBC</x:v>
      </x:c>
      <x:c r="AI967" s="14" t="str">
        <x:v>UK original commission</x:v>
      </x:c>
      <x:c r="AJ967" s="14" t="str">
        <x:v>Exact normalised title</x:v>
      </x:c>
      <x:c r="AK967" s="14" t="str">
        <x:v>Medium</x:v>
      </x:c>
      <x:c r="AL967" s="14" t="str">
        <x:v>Verified for commissioner/platform scope; uk original commission.</x:v>
      </x:c>
      <x:c r="AM967" s="17" t="e">
        <x:f>HYPERLINK("https://en.wikipedia.org/wiki/Outlaws","Open source")</x:f>
        <x:v>HYPERLINK is not implemented. linkLocation=https://en.wikipedia.org/wiki/Outlaws, friendlyName=Open source</x:v>
      </x:c>
      <x:c r="AN967" s="14" t="str">
        <x:v>BBC public-service commission</x:v>
      </x:c>
      <x:c r="AO967" s="14" t="str">
        <x:v>Yes</x:v>
      </x:c>
      <x:c r="AP967" s="14" t="str">
        <x:v>Direct BBC public-service scope</x:v>
      </x:c>
      <x:c r="AQ967" s="14" t="str">
        <x:v>Yes</x:v>
      </x:c>
      <x:c r="AR967" s="14" t="str">
        <x:v>Resolved from master register</x:v>
      </x:c>
      <x:c r="AS967" s="14" t="str">
        <x:v>No established-register match</x:v>
      </x:c>
      <x:c r="AT967" s="14"/>
      <x:c r="AU967" s="14"/>
      <x:c r="AV967" s="14" t="str">
        <x:v>No established apparent-disability match</x:v>
      </x:c>
      <x:c r="AW967" s="14"/>
      <x:c r="AX967" s="14" t="str">
        <x:v>No</x:v>
      </x:c>
      <x:c r="AY967" s="14" t="str">
        <x:v>Unmatched</x:v>
      </x:c>
      <x:c r="AZ967" s="14" t="str">
        <x:v>Final supplied register</x:v>
      </x:c>
      <x:c r="BA967" s="14" t="str">
        <x:v>Absence from the register is not evidence that the performer is not disabled.</x:v>
      </x:c>
      <x:c r="BB967" s="14" t="str">
        <x:v>No established-register match</x:v>
      </x:c>
      <x:c r="BC967" s="14"/>
      <x:c r="BD967" s="14"/>
      <x:c r="BE967" s="14"/>
      <x:c r="BF967" s="14" t="str">
        <x:v>No established apparent-disability match</x:v>
      </x:c>
      <x:c r="BG967" s="14"/>
      <x:c r="BH967" s="14" t="str">
        <x:v>No</x:v>
      </x:c>
      <x:c r="BI967" s="14"/>
      <x:c r="BJ967" s="14"/>
      <x:c r="BK967" s="14"/>
      <x:c r="BL967" s="14" t="str">
        <x:v>Unmatched</x:v>
      </x:c>
      <x:c r="BM967" s="14" t="str">
        <x:v>Final supplied register</x:v>
      </x:c>
      <x:c r="BN967" s="14" t="str">
        <x:v>Absence from the register is not evidence that the performer is not disabled.</x:v>
      </x:c>
      <x:c r="BO967" s="14" t="n">
        <x:v>17</x:v>
      </x:c>
      <x:c r="BP967" s="14" t="str">
        <x:v>Maximum eligible IMDb cast-credit total (17), shared by 8 performer(s); not independently verified as a 2021-only episode total.</x:v>
      </x:c>
      <x:c r="BQ967" s="14" t="str">
        <x:v>Medium</x:v>
      </x:c>
      <x:c r="BR967" s="15" t="n">
        <x:v>1</x:v>
      </x:c>
      <x:c r="BS967" s="16" t="n">
        <x:v>0.05882352941176471</x:v>
      </x:c>
      <x:c r="BT967" s="14" t="str">
        <x:v>One episode</x:v>
      </x:c>
      <x:c r="BU967" s="14" t="str">
        <x:v>Medium</x:v>
      </x:c>
      <x:c r="BV967" s="14" t="str">
        <x:v>Derived from supplied IMDb episode count and the documented production-total proxy.</x:v>
      </x:c>
      <x:c r="BW967" s="14" t="str">
        <x:v>Unable to determine</x:v>
      </x:c>
      <x:c r="BX967" s="14" t="str">
        <x:v>Supplied cast data establishes the credit and episode presence but does not establish narrative prominence.</x:v>
      </x:c>
      <x:c r="BY967" s="14" t="str">
        <x:v>Supplied IMDb cast-list workbook</x:v>
      </x:c>
      <x:c r="BZ96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7" s="14" t="str">
        <x:v>Not classified</x:v>
      </x:c>
      <x:c r="CB967" s="14" t="str">
        <x:v>Unable to determine</x:v>
      </x:c>
      <x:c r="CC967" s="14" t="str">
        <x:v>Unique</x:v>
      </x:c>
      <x:c r="CD967" s="14" t="str">
        <x:v>None identified</x:v>
      </x:c>
    </x:row>
    <x:row r="968">
      <x:c r="A968" s="14" t="str">
        <x:v>tt11646832|nm2308646|female uber passenger</x:v>
      </x:c>
      <x:c r="B968" s="14" t="str">
        <x:v>04</x:v>
      </x:c>
      <x:c r="C968" s="14" t="str">
        <x:v>2021_IMDb_Cast_Lists_Batch_04(1).xlsx</x:v>
      </x:c>
      <x:c r="D968" s="14" t="str">
        <x:v>The Outlaws</x:v>
      </x:c>
      <x:c r="E968" s="14" t="n">
        <x:v>100</x:v>
      </x:c>
      <x:c r="F968" s="14" t="str">
        <x:v>The Outlaws</x:v>
      </x:c>
      <x:c r="G968" s="14" t="str">
        <x:v>tt11646832</x:v>
      </x:c>
      <x:c r="H968" s="14" t="n">
        <x:v>2021</x:v>
      </x:c>
      <x:c r="I968" s="14" t="n">
        <x:v>2023</x:v>
      </x:c>
      <x:c r="J968" s="14" t="str">
        <x:v>Future Carry-Forward Cohort</x:v>
      </x:c>
      <x:c r="K968" s="14" t="n">
        <x:v>2021</x:v>
      </x:c>
      <x:c r="L968" s="14" t="str">
        <x:v>Available from 2021 analysis</x:v>
      </x:c>
      <x:c r="M968" s="15" t="n">
        <x:v>93</x:v>
      </x:c>
      <x:c r="N968" s="14" t="str">
        <x:v>Brona C. Titley</x:v>
      </x:c>
      <x:c r="O968" s="14" t="str">
        <x:v>nm2308646</x:v>
      </x:c>
      <x:c r="P968" s="14" t="str">
        <x:v>Female Uber Passenger</x:v>
      </x:c>
      <x:c r="Q968" s="15" t="n">
        <x:v>1</x:v>
      </x:c>
      <x:c r="R968" s="14" t="str">
        <x:v>2024</x:v>
      </x:c>
      <x:c r="S968" s="14" t="n">
        <x:v>2024</x:v>
      </x:c>
      <x:c r="T968" s="14" t="n">
        <x:v>2024</x:v>
      </x:c>
      <x:c r="U968" s="14" t="str">
        <x:v>Post-2021 casting excluded</x:v>
      </x:c>
      <x:c r="V968" s="14" t="str">
        <x:v>Earliest supplied year is 2024, later than the 2021 study year.</x:v>
      </x:c>
      <x:c r="W968" s="14"/>
      <x:c r="X968" s="14" t="str">
        <x:v>Carried forward to 2024</x:v>
      </x:c>
      <x:c r="Y968" s="14"/>
      <x:c r="Z968" s="14" t="str">
        <x:v>The Outlaws.docx</x:v>
      </x:c>
      <x:c r="AA96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8" s="14" t="str">
        <x:v>No established-register match</x:v>
      </x:c>
      <x:c r="AC968" s="14"/>
      <x:c r="AD968" s="14"/>
      <x:c r="AE968" s="14"/>
      <x:c r="AF968" s="14"/>
      <x:c r="AG968" s="14" t="str">
        <x:v>No qualifying conclusion recorded. Absence from the register is not evidence that the performer is not disabled.</x:v>
      </x:c>
      <x:c r="AH968" s="14" t="str">
        <x:v>BBC</x:v>
      </x:c>
      <x:c r="AI968" s="14" t="str">
        <x:v>UK original commission</x:v>
      </x:c>
      <x:c r="AJ968" s="14" t="str">
        <x:v>Exact normalised title</x:v>
      </x:c>
      <x:c r="AK968" s="14" t="str">
        <x:v>Medium</x:v>
      </x:c>
      <x:c r="AL968" s="14" t="str">
        <x:v>Verified for commissioner/platform scope; uk original commission.</x:v>
      </x:c>
      <x:c r="AM968" s="17" t="e">
        <x:f>HYPERLINK("https://en.wikipedia.org/wiki/Outlaws","Open source")</x:f>
        <x:v>HYPERLINK is not implemented. linkLocation=https://en.wikipedia.org/wiki/Outlaws, friendlyName=Open source</x:v>
      </x:c>
      <x:c r="AN968" s="14" t="str">
        <x:v>BBC public-service commission</x:v>
      </x:c>
      <x:c r="AO968" s="14" t="str">
        <x:v>Yes</x:v>
      </x:c>
      <x:c r="AP968" s="14" t="str">
        <x:v>Direct BBC public-service scope</x:v>
      </x:c>
      <x:c r="AQ968" s="14" t="str">
        <x:v>Yes</x:v>
      </x:c>
      <x:c r="AR968" s="14" t="str">
        <x:v>Resolved from master register</x:v>
      </x:c>
      <x:c r="AS968" s="14" t="str">
        <x:v>No established-register match</x:v>
      </x:c>
      <x:c r="AT968" s="14"/>
      <x:c r="AU968" s="14"/>
      <x:c r="AV968" s="14" t="str">
        <x:v>No established apparent-disability match</x:v>
      </x:c>
      <x:c r="AW968" s="14"/>
      <x:c r="AX968" s="14" t="str">
        <x:v>No</x:v>
      </x:c>
      <x:c r="AY968" s="14" t="str">
        <x:v>Unmatched</x:v>
      </x:c>
      <x:c r="AZ968" s="14" t="str">
        <x:v>Final supplied register</x:v>
      </x:c>
      <x:c r="BA968" s="14" t="str">
        <x:v>Absence from the register is not evidence that the performer is not disabled.</x:v>
      </x:c>
      <x:c r="BB968" s="14" t="str">
        <x:v>No established-register match</x:v>
      </x:c>
      <x:c r="BC968" s="14"/>
      <x:c r="BD968" s="14"/>
      <x:c r="BE968" s="14"/>
      <x:c r="BF968" s="14" t="str">
        <x:v>No established apparent-disability match</x:v>
      </x:c>
      <x:c r="BG968" s="14"/>
      <x:c r="BH968" s="14" t="str">
        <x:v>No</x:v>
      </x:c>
      <x:c r="BI968" s="14"/>
      <x:c r="BJ968" s="14"/>
      <x:c r="BK968" s="14"/>
      <x:c r="BL968" s="14" t="str">
        <x:v>Unmatched</x:v>
      </x:c>
      <x:c r="BM968" s="14" t="str">
        <x:v>Final supplied register</x:v>
      </x:c>
      <x:c r="BN968" s="14" t="str">
        <x:v>Absence from the register is not evidence that the performer is not disabled.</x:v>
      </x:c>
      <x:c r="BO968" s="14" t="n">
        <x:v>17</x:v>
      </x:c>
      <x:c r="BP968" s="14" t="str">
        <x:v>Maximum eligible IMDb cast-credit total (17), shared by 8 performer(s); not independently verified as a 2021-only episode total.</x:v>
      </x:c>
      <x:c r="BQ968" s="14" t="str">
        <x:v>Medium</x:v>
      </x:c>
      <x:c r="BR968" s="15" t="n">
        <x:v>1</x:v>
      </x:c>
      <x:c r="BS968" s="16" t="n">
        <x:v>0.05882352941176471</x:v>
      </x:c>
      <x:c r="BT968" s="14" t="str">
        <x:v>One episode</x:v>
      </x:c>
      <x:c r="BU968" s="14" t="str">
        <x:v>Medium</x:v>
      </x:c>
      <x:c r="BV968" s="14" t="str">
        <x:v>Derived from supplied IMDb episode count and the documented production-total proxy.</x:v>
      </x:c>
      <x:c r="BW968" s="14" t="str">
        <x:v>Unable to determine</x:v>
      </x:c>
      <x:c r="BX968" s="14" t="str">
        <x:v>Supplied cast data establishes the credit and episode presence but does not establish narrative prominence.</x:v>
      </x:c>
      <x:c r="BY968" s="14" t="str">
        <x:v>Supplied IMDb cast-list workbook</x:v>
      </x:c>
      <x:c r="BZ96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8" s="14" t="str">
        <x:v>Not classified</x:v>
      </x:c>
      <x:c r="CB968" s="14" t="str">
        <x:v>Unable to determine</x:v>
      </x:c>
      <x:c r="CC968" s="14" t="str">
        <x:v>Unique</x:v>
      </x:c>
      <x:c r="CD968" s="14" t="str">
        <x:v>None identified</x:v>
      </x:c>
    </x:row>
    <x:row r="969">
      <x:c r="A969" s="14" t="str">
        <x:v>tt11646832|nm15458697|hipster</x:v>
      </x:c>
      <x:c r="B969" s="14" t="str">
        <x:v>04</x:v>
      </x:c>
      <x:c r="C969" s="14" t="str">
        <x:v>2021_IMDb_Cast_Lists_Batch_04(1).xlsx</x:v>
      </x:c>
      <x:c r="D969" s="14" t="str">
        <x:v>The Outlaws</x:v>
      </x:c>
      <x:c r="E969" s="14" t="n">
        <x:v>121</x:v>
      </x:c>
      <x:c r="F969" s="14" t="str">
        <x:v>The Outlaws</x:v>
      </x:c>
      <x:c r="G969" s="14" t="str">
        <x:v>tt11646832</x:v>
      </x:c>
      <x:c r="H969" s="14" t="n">
        <x:v>2021</x:v>
      </x:c>
      <x:c r="I969" s="14" t="n">
        <x:v>2023</x:v>
      </x:c>
      <x:c r="J969" s="14" t="str">
        <x:v>Future Carry-Forward Cohort</x:v>
      </x:c>
      <x:c r="K969" s="14" t="n">
        <x:v>2021</x:v>
      </x:c>
      <x:c r="L969" s="14" t="str">
        <x:v>Available from 2021 analysis</x:v>
      </x:c>
      <x:c r="M969" s="15" t="n">
        <x:v>114</x:v>
      </x:c>
      <x:c r="N969" s="14" t="str">
        <x:v>John El-Jor</x:v>
      </x:c>
      <x:c r="O969" s="14" t="str">
        <x:v>nm15458697</x:v>
      </x:c>
      <x:c r="P969" s="14" t="str">
        <x:v>Hipster</x:v>
      </x:c>
      <x:c r="Q969" s="15" t="n">
        <x:v>1</x:v>
      </x:c>
      <x:c r="R969" s="14" t="str">
        <x:v>2024</x:v>
      </x:c>
      <x:c r="S969" s="14" t="n">
        <x:v>2024</x:v>
      </x:c>
      <x:c r="T969" s="14" t="n">
        <x:v>2024</x:v>
      </x:c>
      <x:c r="U969" s="14" t="str">
        <x:v>Post-2021 casting excluded</x:v>
      </x:c>
      <x:c r="V969" s="14" t="str">
        <x:v>Earliest supplied year is 2024, later than the 2021 study year.</x:v>
      </x:c>
      <x:c r="W969" s="14"/>
      <x:c r="X969" s="14" t="str">
        <x:v>Carried forward to 2024</x:v>
      </x:c>
      <x:c r="Y969" s="14" t="str">
        <x:v>(as John El Jor)</x:v>
      </x:c>
      <x:c r="Z969" s="14" t="str">
        <x:v>The Outlaws.docx</x:v>
      </x:c>
      <x:c r="AA96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9" s="14" t="str">
        <x:v>No established-register match</x:v>
      </x:c>
      <x:c r="AC969" s="14"/>
      <x:c r="AD969" s="14"/>
      <x:c r="AE969" s="14"/>
      <x:c r="AF969" s="14"/>
      <x:c r="AG969" s="14" t="str">
        <x:v>No qualifying conclusion recorded. Absence from the register is not evidence that the performer is not disabled.</x:v>
      </x:c>
      <x:c r="AH969" s="14" t="str">
        <x:v>BBC</x:v>
      </x:c>
      <x:c r="AI969" s="14" t="str">
        <x:v>UK original commission</x:v>
      </x:c>
      <x:c r="AJ969" s="14" t="str">
        <x:v>Exact normalised title</x:v>
      </x:c>
      <x:c r="AK969" s="14" t="str">
        <x:v>Medium</x:v>
      </x:c>
      <x:c r="AL969" s="14" t="str">
        <x:v>Verified for commissioner/platform scope; uk original commission.</x:v>
      </x:c>
      <x:c r="AM969" s="17" t="e">
        <x:f>HYPERLINK("https://en.wikipedia.org/wiki/Outlaws","Open source")</x:f>
        <x:v>HYPERLINK is not implemented. linkLocation=https://en.wikipedia.org/wiki/Outlaws, friendlyName=Open source</x:v>
      </x:c>
      <x:c r="AN969" s="14" t="str">
        <x:v>BBC public-service commission</x:v>
      </x:c>
      <x:c r="AO969" s="14" t="str">
        <x:v>Yes</x:v>
      </x:c>
      <x:c r="AP969" s="14" t="str">
        <x:v>Direct BBC public-service scope</x:v>
      </x:c>
      <x:c r="AQ969" s="14" t="str">
        <x:v>Yes</x:v>
      </x:c>
      <x:c r="AR969" s="14" t="str">
        <x:v>Resolved from master register</x:v>
      </x:c>
      <x:c r="AS969" s="14" t="str">
        <x:v>No established-register match</x:v>
      </x:c>
      <x:c r="AT969" s="14"/>
      <x:c r="AU969" s="14"/>
      <x:c r="AV969" s="14" t="str">
        <x:v>No established apparent-disability match</x:v>
      </x:c>
      <x:c r="AW969" s="14"/>
      <x:c r="AX969" s="14" t="str">
        <x:v>No</x:v>
      </x:c>
      <x:c r="AY969" s="14" t="str">
        <x:v>Unmatched</x:v>
      </x:c>
      <x:c r="AZ969" s="14" t="str">
        <x:v>Final supplied register</x:v>
      </x:c>
      <x:c r="BA969" s="14" t="str">
        <x:v>Absence from the register is not evidence that the performer is not disabled.</x:v>
      </x:c>
      <x:c r="BB969" s="14" t="str">
        <x:v>No established-register match</x:v>
      </x:c>
      <x:c r="BC969" s="14"/>
      <x:c r="BD969" s="14"/>
      <x:c r="BE969" s="14"/>
      <x:c r="BF969" s="14" t="str">
        <x:v>No established apparent-disability match</x:v>
      </x:c>
      <x:c r="BG969" s="14"/>
      <x:c r="BH969" s="14" t="str">
        <x:v>No</x:v>
      </x:c>
      <x:c r="BI969" s="14"/>
      <x:c r="BJ969" s="14"/>
      <x:c r="BK969" s="14"/>
      <x:c r="BL969" s="14" t="str">
        <x:v>Unmatched</x:v>
      </x:c>
      <x:c r="BM969" s="14" t="str">
        <x:v>Final supplied register</x:v>
      </x:c>
      <x:c r="BN969" s="14" t="str">
        <x:v>Absence from the register is not evidence that the performer is not disabled.</x:v>
      </x:c>
      <x:c r="BO969" s="14" t="n">
        <x:v>17</x:v>
      </x:c>
      <x:c r="BP969" s="14" t="str">
        <x:v>Maximum eligible IMDb cast-credit total (17), shared by 8 performer(s); not independently verified as a 2021-only episode total.</x:v>
      </x:c>
      <x:c r="BQ969" s="14" t="str">
        <x:v>Medium</x:v>
      </x:c>
      <x:c r="BR969" s="15" t="n">
        <x:v>1</x:v>
      </x:c>
      <x:c r="BS969" s="16" t="n">
        <x:v>0.05882352941176471</x:v>
      </x:c>
      <x:c r="BT969" s="14" t="str">
        <x:v>One episode</x:v>
      </x:c>
      <x:c r="BU969" s="14" t="str">
        <x:v>Medium</x:v>
      </x:c>
      <x:c r="BV969" s="14" t="str">
        <x:v>Derived from supplied IMDb episode count and the documented production-total proxy.</x:v>
      </x:c>
      <x:c r="BW969" s="14" t="str">
        <x:v>Unable to determine</x:v>
      </x:c>
      <x:c r="BX969" s="14" t="str">
        <x:v>Supplied cast data establishes the credit and episode presence but does not establish narrative prominence.</x:v>
      </x:c>
      <x:c r="BY969" s="14" t="str">
        <x:v>Supplied IMDb cast-list workbook</x:v>
      </x:c>
      <x:c r="BZ96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9" s="14" t="str">
        <x:v>Not classified</x:v>
      </x:c>
      <x:c r="CB969" s="14" t="str">
        <x:v>Unable to determine</x:v>
      </x:c>
      <x:c r="CC969" s="14" t="str">
        <x:v>Unique</x:v>
      </x:c>
      <x:c r="CD969" s="14" t="str">
        <x:v>None identified</x:v>
      </x:c>
    </x:row>
    <x:row r="970">
      <x:c r="A970" s="14" t="str">
        <x:v>tt11646832|nm1687772|wall street guy</x:v>
      </x:c>
      <x:c r="B970" s="14" t="str">
        <x:v>04</x:v>
      </x:c>
      <x:c r="C970" s="14" t="str">
        <x:v>2021_IMDb_Cast_Lists_Batch_04(1).xlsx</x:v>
      </x:c>
      <x:c r="D970" s="14" t="str">
        <x:v>The Outlaws</x:v>
      </x:c>
      <x:c r="E970" s="14" t="n">
        <x:v>128</x:v>
      </x:c>
      <x:c r="F970" s="14" t="str">
        <x:v>The Outlaws</x:v>
      </x:c>
      <x:c r="G970" s="14" t="str">
        <x:v>tt11646832</x:v>
      </x:c>
      <x:c r="H970" s="14" t="n">
        <x:v>2021</x:v>
      </x:c>
      <x:c r="I970" s="14" t="n">
        <x:v>2023</x:v>
      </x:c>
      <x:c r="J970" s="14" t="str">
        <x:v>Future Carry-Forward Cohort</x:v>
      </x:c>
      <x:c r="K970" s="14" t="n">
        <x:v>2021</x:v>
      </x:c>
      <x:c r="L970" s="14" t="str">
        <x:v>Available from 2021 analysis</x:v>
      </x:c>
      <x:c r="M970" s="15" t="n">
        <x:v>121</x:v>
      </x:c>
      <x:c r="N970" s="14" t="str">
        <x:v>Juri Henley-Cohn</x:v>
      </x:c>
      <x:c r="O970" s="14" t="str">
        <x:v>nm1687772</x:v>
      </x:c>
      <x:c r="P970" s="14" t="str">
        <x:v>Wall Street Guy</x:v>
      </x:c>
      <x:c r="Q970" s="15" t="n">
        <x:v>1</x:v>
      </x:c>
      <x:c r="R970" s="14" t="str">
        <x:v>2024</x:v>
      </x:c>
      <x:c r="S970" s="14" t="n">
        <x:v>2024</x:v>
      </x:c>
      <x:c r="T970" s="14" t="n">
        <x:v>2024</x:v>
      </x:c>
      <x:c r="U970" s="14" t="str">
        <x:v>Post-2021 casting excluded</x:v>
      </x:c>
      <x:c r="V970" s="14" t="str">
        <x:v>Earliest supplied year is 2024, later than the 2021 study year.</x:v>
      </x:c>
      <x:c r="W970" s="14"/>
      <x:c r="X970" s="14" t="str">
        <x:v>Carried forward to 2024</x:v>
      </x:c>
      <x:c r="Y970" s="14"/>
      <x:c r="Z970" s="14" t="str">
        <x:v>The Outlaws.docx</x:v>
      </x:c>
      <x:c r="AA97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0" s="14" t="str">
        <x:v>No established-register match</x:v>
      </x:c>
      <x:c r="AC970" s="14"/>
      <x:c r="AD970" s="14"/>
      <x:c r="AE970" s="14"/>
      <x:c r="AF970" s="14"/>
      <x:c r="AG970" s="14" t="str">
        <x:v>No qualifying conclusion recorded. Absence from the register is not evidence that the performer is not disabled.</x:v>
      </x:c>
      <x:c r="AH970" s="14" t="str">
        <x:v>BBC</x:v>
      </x:c>
      <x:c r="AI970" s="14" t="str">
        <x:v>UK original commission</x:v>
      </x:c>
      <x:c r="AJ970" s="14" t="str">
        <x:v>Exact normalised title</x:v>
      </x:c>
      <x:c r="AK970" s="14" t="str">
        <x:v>Medium</x:v>
      </x:c>
      <x:c r="AL970" s="14" t="str">
        <x:v>Verified for commissioner/platform scope; uk original commission.</x:v>
      </x:c>
      <x:c r="AM970" s="17" t="e">
        <x:f>HYPERLINK("https://en.wikipedia.org/wiki/Outlaws","Open source")</x:f>
        <x:v>HYPERLINK is not implemented. linkLocation=https://en.wikipedia.org/wiki/Outlaws, friendlyName=Open source</x:v>
      </x:c>
      <x:c r="AN970" s="14" t="str">
        <x:v>BBC public-service commission</x:v>
      </x:c>
      <x:c r="AO970" s="14" t="str">
        <x:v>Yes</x:v>
      </x:c>
      <x:c r="AP970" s="14" t="str">
        <x:v>Direct BBC public-service scope</x:v>
      </x:c>
      <x:c r="AQ970" s="14" t="str">
        <x:v>Yes</x:v>
      </x:c>
      <x:c r="AR970" s="14" t="str">
        <x:v>Resolved from master register</x:v>
      </x:c>
      <x:c r="AS970" s="14" t="str">
        <x:v>No established-register match</x:v>
      </x:c>
      <x:c r="AT970" s="14"/>
      <x:c r="AU970" s="14"/>
      <x:c r="AV970" s="14" t="str">
        <x:v>No established apparent-disability match</x:v>
      </x:c>
      <x:c r="AW970" s="14"/>
      <x:c r="AX970" s="14" t="str">
        <x:v>No</x:v>
      </x:c>
      <x:c r="AY970" s="14" t="str">
        <x:v>Unmatched</x:v>
      </x:c>
      <x:c r="AZ970" s="14" t="str">
        <x:v>Final supplied register</x:v>
      </x:c>
      <x:c r="BA970" s="14" t="str">
        <x:v>Absence from the register is not evidence that the performer is not disabled.</x:v>
      </x:c>
      <x:c r="BB970" s="14" t="str">
        <x:v>No established-register match</x:v>
      </x:c>
      <x:c r="BC970" s="14"/>
      <x:c r="BD970" s="14"/>
      <x:c r="BE970" s="14"/>
      <x:c r="BF970" s="14" t="str">
        <x:v>No established apparent-disability match</x:v>
      </x:c>
      <x:c r="BG970" s="14"/>
      <x:c r="BH970" s="14" t="str">
        <x:v>No</x:v>
      </x:c>
      <x:c r="BI970" s="14"/>
      <x:c r="BJ970" s="14"/>
      <x:c r="BK970" s="14"/>
      <x:c r="BL970" s="14" t="str">
        <x:v>Unmatched</x:v>
      </x:c>
      <x:c r="BM970" s="14" t="str">
        <x:v>Final supplied register</x:v>
      </x:c>
      <x:c r="BN970" s="14" t="str">
        <x:v>Absence from the register is not evidence that the performer is not disabled.</x:v>
      </x:c>
      <x:c r="BO970" s="14" t="n">
        <x:v>17</x:v>
      </x:c>
      <x:c r="BP970" s="14" t="str">
        <x:v>Maximum eligible IMDb cast-credit total (17), shared by 8 performer(s); not independently verified as a 2021-only episode total.</x:v>
      </x:c>
      <x:c r="BQ970" s="14" t="str">
        <x:v>Medium</x:v>
      </x:c>
      <x:c r="BR970" s="15" t="n">
        <x:v>1</x:v>
      </x:c>
      <x:c r="BS970" s="16" t="n">
        <x:v>0.05882352941176471</x:v>
      </x:c>
      <x:c r="BT970" s="14" t="str">
        <x:v>One episode</x:v>
      </x:c>
      <x:c r="BU970" s="14" t="str">
        <x:v>Medium</x:v>
      </x:c>
      <x:c r="BV970" s="14" t="str">
        <x:v>Derived from supplied IMDb episode count and the documented production-total proxy.</x:v>
      </x:c>
      <x:c r="BW970" s="14" t="str">
        <x:v>Unable to determine</x:v>
      </x:c>
      <x:c r="BX970" s="14" t="str">
        <x:v>Supplied cast data establishes the credit and episode presence but does not establish narrative prominence.</x:v>
      </x:c>
      <x:c r="BY970" s="14" t="str">
        <x:v>Supplied IMDb cast-list workbook</x:v>
      </x:c>
      <x:c r="BZ97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0" s="14" t="str">
        <x:v>Not classified</x:v>
      </x:c>
      <x:c r="CB970" s="14" t="str">
        <x:v>Unable to determine</x:v>
      </x:c>
      <x:c r="CC970" s="14" t="str">
        <x:v>Unique</x:v>
      </x:c>
      <x:c r="CD970" s="14" t="str">
        <x:v>None identified</x:v>
      </x:c>
    </x:row>
    <x:row r="971">
      <x:c r="A971" s="14" t="str">
        <x:v>tt11646832|nm7937947|scary inmate</x:v>
      </x:c>
      <x:c r="B971" s="14" t="str">
        <x:v>04</x:v>
      </x:c>
      <x:c r="C971" s="14" t="str">
        <x:v>2021_IMDb_Cast_Lists_Batch_04(1).xlsx</x:v>
      </x:c>
      <x:c r="D971" s="14" t="str">
        <x:v>The Outlaws</x:v>
      </x:c>
      <x:c r="E971" s="14" t="n">
        <x:v>129</x:v>
      </x:c>
      <x:c r="F971" s="14" t="str">
        <x:v>The Outlaws</x:v>
      </x:c>
      <x:c r="G971" s="14" t="str">
        <x:v>tt11646832</x:v>
      </x:c>
      <x:c r="H971" s="14" t="n">
        <x:v>2021</x:v>
      </x:c>
      <x:c r="I971" s="14" t="n">
        <x:v>2023</x:v>
      </x:c>
      <x:c r="J971" s="14" t="str">
        <x:v>Future Carry-Forward Cohort</x:v>
      </x:c>
      <x:c r="K971" s="14" t="n">
        <x:v>2021</x:v>
      </x:c>
      <x:c r="L971" s="14" t="str">
        <x:v>Available from 2021 analysis</x:v>
      </x:c>
      <x:c r="M971" s="15" t="n">
        <x:v>122</x:v>
      </x:c>
      <x:c r="N971" s="14" t="str">
        <x:v>Adam Vaughan</x:v>
      </x:c>
      <x:c r="O971" s="14" t="str">
        <x:v>nm7937947</x:v>
      </x:c>
      <x:c r="P971" s="14" t="str">
        <x:v>Scary Inmate</x:v>
      </x:c>
      <x:c r="Q971" s="15" t="n">
        <x:v>1</x:v>
      </x:c>
      <x:c r="R971" s="14" t="str">
        <x:v>2024</x:v>
      </x:c>
      <x:c r="S971" s="14" t="n">
        <x:v>2024</x:v>
      </x:c>
      <x:c r="T971" s="14" t="n">
        <x:v>2024</x:v>
      </x:c>
      <x:c r="U971" s="14" t="str">
        <x:v>Post-2021 casting excluded</x:v>
      </x:c>
      <x:c r="V971" s="14" t="str">
        <x:v>Earliest supplied year is 2024, later than the 2021 study year.</x:v>
      </x:c>
      <x:c r="W971" s="14"/>
      <x:c r="X971" s="14" t="str">
        <x:v>Carried forward to 2024</x:v>
      </x:c>
      <x:c r="Y971" s="14"/>
      <x:c r="Z971" s="14" t="str">
        <x:v>The Outlaws.docx</x:v>
      </x:c>
      <x:c r="AA97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1" s="14" t="str">
        <x:v>No established-register match</x:v>
      </x:c>
      <x:c r="AC971" s="14"/>
      <x:c r="AD971" s="14"/>
      <x:c r="AE971" s="14"/>
      <x:c r="AF971" s="14"/>
      <x:c r="AG971" s="14" t="str">
        <x:v>No qualifying conclusion recorded. Absence from the register is not evidence that the performer is not disabled.</x:v>
      </x:c>
      <x:c r="AH971" s="14" t="str">
        <x:v>BBC</x:v>
      </x:c>
      <x:c r="AI971" s="14" t="str">
        <x:v>UK original commission</x:v>
      </x:c>
      <x:c r="AJ971" s="14" t="str">
        <x:v>Exact normalised title</x:v>
      </x:c>
      <x:c r="AK971" s="14" t="str">
        <x:v>Medium</x:v>
      </x:c>
      <x:c r="AL971" s="14" t="str">
        <x:v>Verified for commissioner/platform scope; uk original commission.</x:v>
      </x:c>
      <x:c r="AM971" s="17" t="e">
        <x:f>HYPERLINK("https://en.wikipedia.org/wiki/Outlaws","Open source")</x:f>
        <x:v>HYPERLINK is not implemented. linkLocation=https://en.wikipedia.org/wiki/Outlaws, friendlyName=Open source</x:v>
      </x:c>
      <x:c r="AN971" s="14" t="str">
        <x:v>BBC public-service commission</x:v>
      </x:c>
      <x:c r="AO971" s="14" t="str">
        <x:v>Yes</x:v>
      </x:c>
      <x:c r="AP971" s="14" t="str">
        <x:v>Direct BBC public-service scope</x:v>
      </x:c>
      <x:c r="AQ971" s="14" t="str">
        <x:v>Yes</x:v>
      </x:c>
      <x:c r="AR971" s="14" t="str">
        <x:v>Resolved from master register</x:v>
      </x:c>
      <x:c r="AS971" s="14" t="str">
        <x:v>No established-register match</x:v>
      </x:c>
      <x:c r="AT971" s="14"/>
      <x:c r="AU971" s="14"/>
      <x:c r="AV971" s="14" t="str">
        <x:v>No established apparent-disability match</x:v>
      </x:c>
      <x:c r="AW971" s="14"/>
      <x:c r="AX971" s="14" t="str">
        <x:v>No</x:v>
      </x:c>
      <x:c r="AY971" s="14" t="str">
        <x:v>Unmatched</x:v>
      </x:c>
      <x:c r="AZ971" s="14" t="str">
        <x:v>Final supplied register</x:v>
      </x:c>
      <x:c r="BA971" s="14" t="str">
        <x:v>Absence from the register is not evidence that the performer is not disabled.</x:v>
      </x:c>
      <x:c r="BB971" s="14" t="str">
        <x:v>No established-register match</x:v>
      </x:c>
      <x:c r="BC971" s="14"/>
      <x:c r="BD971" s="14"/>
      <x:c r="BE971" s="14"/>
      <x:c r="BF971" s="14" t="str">
        <x:v>No established apparent-disability match</x:v>
      </x:c>
      <x:c r="BG971" s="14"/>
      <x:c r="BH971" s="14" t="str">
        <x:v>No</x:v>
      </x:c>
      <x:c r="BI971" s="14"/>
      <x:c r="BJ971" s="14"/>
      <x:c r="BK971" s="14"/>
      <x:c r="BL971" s="14" t="str">
        <x:v>Unmatched</x:v>
      </x:c>
      <x:c r="BM971" s="14" t="str">
        <x:v>Final supplied register</x:v>
      </x:c>
      <x:c r="BN971" s="14" t="str">
        <x:v>Absence from the register is not evidence that the performer is not disabled.</x:v>
      </x:c>
      <x:c r="BO971" s="14" t="n">
        <x:v>17</x:v>
      </x:c>
      <x:c r="BP971" s="14" t="str">
        <x:v>Maximum eligible IMDb cast-credit total (17), shared by 8 performer(s); not independently verified as a 2021-only episode total.</x:v>
      </x:c>
      <x:c r="BQ971" s="14" t="str">
        <x:v>Medium</x:v>
      </x:c>
      <x:c r="BR971" s="15" t="n">
        <x:v>1</x:v>
      </x:c>
      <x:c r="BS971" s="16" t="n">
        <x:v>0.05882352941176471</x:v>
      </x:c>
      <x:c r="BT971" s="14" t="str">
        <x:v>One episode</x:v>
      </x:c>
      <x:c r="BU971" s="14" t="str">
        <x:v>Medium</x:v>
      </x:c>
      <x:c r="BV971" s="14" t="str">
        <x:v>Derived from supplied IMDb episode count and the documented production-total proxy.</x:v>
      </x:c>
      <x:c r="BW971" s="14" t="str">
        <x:v>Unable to determine</x:v>
      </x:c>
      <x:c r="BX971" s="14" t="str">
        <x:v>Supplied cast data establishes the credit and episode presence but does not establish narrative prominence.</x:v>
      </x:c>
      <x:c r="BY971" s="14" t="str">
        <x:v>Supplied IMDb cast-list workbook</x:v>
      </x:c>
      <x:c r="BZ97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1" s="14" t="str">
        <x:v>Not classified</x:v>
      </x:c>
      <x:c r="CB971" s="14" t="str">
        <x:v>Unable to determine</x:v>
      </x:c>
      <x:c r="CC971" s="14" t="str">
        <x:v>Unique</x:v>
      </x:c>
      <x:c r="CD971" s="14" t="str">
        <x:v>None identified</x:v>
      </x:c>
    </x:row>
    <x:row r="972">
      <x:c r="A972" s="14" t="str">
        <x:v>tt11646832|nm0674864|female patron</x:v>
      </x:c>
      <x:c r="B972" s="14" t="str">
        <x:v>04</x:v>
      </x:c>
      <x:c r="C972" s="14" t="str">
        <x:v>2021_IMDb_Cast_Lists_Batch_04(1).xlsx</x:v>
      </x:c>
      <x:c r="D972" s="14" t="str">
        <x:v>The Outlaws</x:v>
      </x:c>
      <x:c r="E972" s="14" t="n">
        <x:v>133</x:v>
      </x:c>
      <x:c r="F972" s="14" t="str">
        <x:v>The Outlaws</x:v>
      </x:c>
      <x:c r="G972" s="14" t="str">
        <x:v>tt11646832</x:v>
      </x:c>
      <x:c r="H972" s="14" t="n">
        <x:v>2021</x:v>
      </x:c>
      <x:c r="I972" s="14" t="n">
        <x:v>2023</x:v>
      </x:c>
      <x:c r="J972" s="14" t="str">
        <x:v>Future Carry-Forward Cohort</x:v>
      </x:c>
      <x:c r="K972" s="14" t="n">
        <x:v>2021</x:v>
      </x:c>
      <x:c r="L972" s="14" t="str">
        <x:v>Available from 2021 analysis</x:v>
      </x:c>
      <x:c r="M972" s="15" t="n">
        <x:v>126</x:v>
      </x:c>
      <x:c r="N972" s="14" t="str">
        <x:v>Regina Perrone</x:v>
      </x:c>
      <x:c r="O972" s="14" t="str">
        <x:v>nm0674864</x:v>
      </x:c>
      <x:c r="P972" s="14" t="str">
        <x:v>Female Patron</x:v>
      </x:c>
      <x:c r="Q972" s="15" t="n">
        <x:v>1</x:v>
      </x:c>
      <x:c r="R972" s="14" t="str">
        <x:v>2024</x:v>
      </x:c>
      <x:c r="S972" s="14" t="n">
        <x:v>2024</x:v>
      </x:c>
      <x:c r="T972" s="14" t="n">
        <x:v>2024</x:v>
      </x:c>
      <x:c r="U972" s="14" t="str">
        <x:v>Post-2021 casting excluded</x:v>
      </x:c>
      <x:c r="V972" s="14" t="str">
        <x:v>Earliest supplied year is 2024, later than the 2021 study year.</x:v>
      </x:c>
      <x:c r="W972" s="14"/>
      <x:c r="X972" s="14" t="str">
        <x:v>Carried forward to 2024</x:v>
      </x:c>
      <x:c r="Y972" s="14"/>
      <x:c r="Z972" s="14" t="str">
        <x:v>The Outlaws.docx</x:v>
      </x:c>
      <x:c r="AA97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2" s="14" t="str">
        <x:v>No established-register match</x:v>
      </x:c>
      <x:c r="AC972" s="14"/>
      <x:c r="AD972" s="14"/>
      <x:c r="AE972" s="14"/>
      <x:c r="AF972" s="14"/>
      <x:c r="AG972" s="14" t="str">
        <x:v>No qualifying conclusion recorded. Absence from the register is not evidence that the performer is not disabled.</x:v>
      </x:c>
      <x:c r="AH972" s="14" t="str">
        <x:v>BBC</x:v>
      </x:c>
      <x:c r="AI972" s="14" t="str">
        <x:v>UK original commission</x:v>
      </x:c>
      <x:c r="AJ972" s="14" t="str">
        <x:v>Exact normalised title</x:v>
      </x:c>
      <x:c r="AK972" s="14" t="str">
        <x:v>Medium</x:v>
      </x:c>
      <x:c r="AL972" s="14" t="str">
        <x:v>Verified for commissioner/platform scope; uk original commission.</x:v>
      </x:c>
      <x:c r="AM972" s="17" t="e">
        <x:f>HYPERLINK("https://en.wikipedia.org/wiki/Outlaws","Open source")</x:f>
        <x:v>HYPERLINK is not implemented. linkLocation=https://en.wikipedia.org/wiki/Outlaws, friendlyName=Open source</x:v>
      </x:c>
      <x:c r="AN972" s="14" t="str">
        <x:v>BBC public-service commission</x:v>
      </x:c>
      <x:c r="AO972" s="14" t="str">
        <x:v>Yes</x:v>
      </x:c>
      <x:c r="AP972" s="14" t="str">
        <x:v>Direct BBC public-service scope</x:v>
      </x:c>
      <x:c r="AQ972" s="14" t="str">
        <x:v>Yes</x:v>
      </x:c>
      <x:c r="AR972" s="14" t="str">
        <x:v>Resolved from master register</x:v>
      </x:c>
      <x:c r="AS972" s="14" t="str">
        <x:v>No established-register match</x:v>
      </x:c>
      <x:c r="AT972" s="14"/>
      <x:c r="AU972" s="14"/>
      <x:c r="AV972" s="14" t="str">
        <x:v>No established apparent-disability match</x:v>
      </x:c>
      <x:c r="AW972" s="14"/>
      <x:c r="AX972" s="14" t="str">
        <x:v>No</x:v>
      </x:c>
      <x:c r="AY972" s="14" t="str">
        <x:v>Unmatched</x:v>
      </x:c>
      <x:c r="AZ972" s="14" t="str">
        <x:v>Final supplied register</x:v>
      </x:c>
      <x:c r="BA972" s="14" t="str">
        <x:v>Absence from the register is not evidence that the performer is not disabled.</x:v>
      </x:c>
      <x:c r="BB972" s="14" t="str">
        <x:v>No established-register match</x:v>
      </x:c>
      <x:c r="BC972" s="14"/>
      <x:c r="BD972" s="14"/>
      <x:c r="BE972" s="14"/>
      <x:c r="BF972" s="14" t="str">
        <x:v>No established apparent-disability match</x:v>
      </x:c>
      <x:c r="BG972" s="14"/>
      <x:c r="BH972" s="14" t="str">
        <x:v>No</x:v>
      </x:c>
      <x:c r="BI972" s="14"/>
      <x:c r="BJ972" s="14"/>
      <x:c r="BK972" s="14"/>
      <x:c r="BL972" s="14" t="str">
        <x:v>Unmatched</x:v>
      </x:c>
      <x:c r="BM972" s="14" t="str">
        <x:v>Final supplied register</x:v>
      </x:c>
      <x:c r="BN972" s="14" t="str">
        <x:v>Absence from the register is not evidence that the performer is not disabled.</x:v>
      </x:c>
      <x:c r="BO972" s="14" t="n">
        <x:v>17</x:v>
      </x:c>
      <x:c r="BP972" s="14" t="str">
        <x:v>Maximum eligible IMDb cast-credit total (17), shared by 8 performer(s); not independently verified as a 2021-only episode total.</x:v>
      </x:c>
      <x:c r="BQ972" s="14" t="str">
        <x:v>Medium</x:v>
      </x:c>
      <x:c r="BR972" s="15" t="n">
        <x:v>1</x:v>
      </x:c>
      <x:c r="BS972" s="16" t="n">
        <x:v>0.05882352941176471</x:v>
      </x:c>
      <x:c r="BT972" s="14" t="str">
        <x:v>One episode</x:v>
      </x:c>
      <x:c r="BU972" s="14" t="str">
        <x:v>Medium</x:v>
      </x:c>
      <x:c r="BV972" s="14" t="str">
        <x:v>Derived from supplied IMDb episode count and the documented production-total proxy.</x:v>
      </x:c>
      <x:c r="BW972" s="14" t="str">
        <x:v>Unable to determine</x:v>
      </x:c>
      <x:c r="BX972" s="14" t="str">
        <x:v>Supplied cast data establishes the credit and episode presence but does not establish narrative prominence.</x:v>
      </x:c>
      <x:c r="BY972" s="14" t="str">
        <x:v>Supplied IMDb cast-list workbook</x:v>
      </x:c>
      <x:c r="BZ97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2" s="14" t="str">
        <x:v>Not classified</x:v>
      </x:c>
      <x:c r="CB972" s="14" t="str">
        <x:v>Unable to determine</x:v>
      </x:c>
      <x:c r="CC972" s="14" t="str">
        <x:v>Unique</x:v>
      </x:c>
      <x:c r="CD972" s="14" t="str">
        <x:v>None identified</x:v>
      </x:c>
    </x:row>
    <x:row r="973">
      <x:c r="A973" s="14" t="str">
        <x:v>tt11646832|nm16071760|young myrna</x:v>
      </x:c>
      <x:c r="B973" s="14" t="str">
        <x:v>04</x:v>
      </x:c>
      <x:c r="C973" s="14" t="str">
        <x:v>2021_IMDb_Cast_Lists_Batch_04(1).xlsx</x:v>
      </x:c>
      <x:c r="D973" s="14" t="str">
        <x:v>The Outlaws</x:v>
      </x:c>
      <x:c r="E973" s="14" t="n">
        <x:v>134</x:v>
      </x:c>
      <x:c r="F973" s="14" t="str">
        <x:v>The Outlaws</x:v>
      </x:c>
      <x:c r="G973" s="14" t="str">
        <x:v>tt11646832</x:v>
      </x:c>
      <x:c r="H973" s="14" t="n">
        <x:v>2021</x:v>
      </x:c>
      <x:c r="I973" s="14" t="n">
        <x:v>2023</x:v>
      </x:c>
      <x:c r="J973" s="14" t="str">
        <x:v>Future Carry-Forward Cohort</x:v>
      </x:c>
      <x:c r="K973" s="14" t="n">
        <x:v>2021</x:v>
      </x:c>
      <x:c r="L973" s="14" t="str">
        <x:v>Available from 2021 analysis</x:v>
      </x:c>
      <x:c r="M973" s="15" t="n">
        <x:v>127</x:v>
      </x:c>
      <x:c r="N973" s="14" t="str">
        <x:v>Nadia Violet-Johnson</x:v>
      </x:c>
      <x:c r="O973" s="14" t="str">
        <x:v>nm16071760</x:v>
      </x:c>
      <x:c r="P973" s="14" t="str">
        <x:v>Young Myrna</x:v>
      </x:c>
      <x:c r="Q973" s="15" t="n">
        <x:v>1</x:v>
      </x:c>
      <x:c r="R973" s="14" t="str">
        <x:v>2024</x:v>
      </x:c>
      <x:c r="S973" s="14" t="n">
        <x:v>2024</x:v>
      </x:c>
      <x:c r="T973" s="14" t="n">
        <x:v>2024</x:v>
      </x:c>
      <x:c r="U973" s="14" t="str">
        <x:v>Post-2021 casting excluded</x:v>
      </x:c>
      <x:c r="V973" s="14" t="str">
        <x:v>Earliest supplied year is 2024, later than the 2021 study year.</x:v>
      </x:c>
      <x:c r="W973" s="14"/>
      <x:c r="X973" s="14" t="str">
        <x:v>Carried forward to 2024</x:v>
      </x:c>
      <x:c r="Y973" s="14"/>
      <x:c r="Z973" s="14" t="str">
        <x:v>The Outlaws.docx</x:v>
      </x:c>
      <x:c r="AA97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3" s="14" t="str">
        <x:v>No established-register match</x:v>
      </x:c>
      <x:c r="AC973" s="14"/>
      <x:c r="AD973" s="14"/>
      <x:c r="AE973" s="14"/>
      <x:c r="AF973" s="14"/>
      <x:c r="AG973" s="14" t="str">
        <x:v>No qualifying conclusion recorded. Absence from the register is not evidence that the performer is not disabled.</x:v>
      </x:c>
      <x:c r="AH973" s="14" t="str">
        <x:v>BBC</x:v>
      </x:c>
      <x:c r="AI973" s="14" t="str">
        <x:v>UK original commission</x:v>
      </x:c>
      <x:c r="AJ973" s="14" t="str">
        <x:v>Exact normalised title</x:v>
      </x:c>
      <x:c r="AK973" s="14" t="str">
        <x:v>Medium</x:v>
      </x:c>
      <x:c r="AL973" s="14" t="str">
        <x:v>Verified for commissioner/platform scope; uk original commission.</x:v>
      </x:c>
      <x:c r="AM973" s="17" t="e">
        <x:f>HYPERLINK("https://en.wikipedia.org/wiki/Outlaws","Open source")</x:f>
        <x:v>HYPERLINK is not implemented. linkLocation=https://en.wikipedia.org/wiki/Outlaws, friendlyName=Open source</x:v>
      </x:c>
      <x:c r="AN973" s="14" t="str">
        <x:v>BBC public-service commission</x:v>
      </x:c>
      <x:c r="AO973" s="14" t="str">
        <x:v>Yes</x:v>
      </x:c>
      <x:c r="AP973" s="14" t="str">
        <x:v>Direct BBC public-service scope</x:v>
      </x:c>
      <x:c r="AQ973" s="14" t="str">
        <x:v>Yes</x:v>
      </x:c>
      <x:c r="AR973" s="14" t="str">
        <x:v>Resolved from master register</x:v>
      </x:c>
      <x:c r="AS973" s="14" t="str">
        <x:v>No established-register match</x:v>
      </x:c>
      <x:c r="AT973" s="14"/>
      <x:c r="AU973" s="14"/>
      <x:c r="AV973" s="14" t="str">
        <x:v>No established apparent-disability match</x:v>
      </x:c>
      <x:c r="AW973" s="14"/>
      <x:c r="AX973" s="14" t="str">
        <x:v>No</x:v>
      </x:c>
      <x:c r="AY973" s="14" t="str">
        <x:v>Unmatched</x:v>
      </x:c>
      <x:c r="AZ973" s="14" t="str">
        <x:v>Final supplied register</x:v>
      </x:c>
      <x:c r="BA973" s="14" t="str">
        <x:v>Absence from the register is not evidence that the performer is not disabled.</x:v>
      </x:c>
      <x:c r="BB973" s="14" t="str">
        <x:v>No established-register match</x:v>
      </x:c>
      <x:c r="BC973" s="14"/>
      <x:c r="BD973" s="14"/>
      <x:c r="BE973" s="14"/>
      <x:c r="BF973" s="14" t="str">
        <x:v>No established apparent-disability match</x:v>
      </x:c>
      <x:c r="BG973" s="14"/>
      <x:c r="BH973" s="14" t="str">
        <x:v>No</x:v>
      </x:c>
      <x:c r="BI973" s="14"/>
      <x:c r="BJ973" s="14"/>
      <x:c r="BK973" s="14"/>
      <x:c r="BL973" s="14" t="str">
        <x:v>Unmatched</x:v>
      </x:c>
      <x:c r="BM973" s="14" t="str">
        <x:v>Final supplied register</x:v>
      </x:c>
      <x:c r="BN973" s="14" t="str">
        <x:v>Absence from the register is not evidence that the performer is not disabled.</x:v>
      </x:c>
      <x:c r="BO973" s="14" t="n">
        <x:v>17</x:v>
      </x:c>
      <x:c r="BP973" s="14" t="str">
        <x:v>Maximum eligible IMDb cast-credit total (17), shared by 8 performer(s); not independently verified as a 2021-only episode total.</x:v>
      </x:c>
      <x:c r="BQ973" s="14" t="str">
        <x:v>Medium</x:v>
      </x:c>
      <x:c r="BR973" s="15" t="n">
        <x:v>1</x:v>
      </x:c>
      <x:c r="BS973" s="16" t="n">
        <x:v>0.05882352941176471</x:v>
      </x:c>
      <x:c r="BT973" s="14" t="str">
        <x:v>One episode</x:v>
      </x:c>
      <x:c r="BU973" s="14" t="str">
        <x:v>Medium</x:v>
      </x:c>
      <x:c r="BV973" s="14" t="str">
        <x:v>Derived from supplied IMDb episode count and the documented production-total proxy.</x:v>
      </x:c>
      <x:c r="BW973" s="14" t="str">
        <x:v>Unable to determine</x:v>
      </x:c>
      <x:c r="BX973" s="14" t="str">
        <x:v>Supplied cast data establishes the credit and episode presence but does not establish narrative prominence.</x:v>
      </x:c>
      <x:c r="BY973" s="14" t="str">
        <x:v>Supplied IMDb cast-list workbook</x:v>
      </x:c>
      <x:c r="BZ97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3" s="14" t="str">
        <x:v>Not classified</x:v>
      </x:c>
      <x:c r="CB973" s="14" t="str">
        <x:v>Unable to determine</x:v>
      </x:c>
      <x:c r="CC973" s="14" t="str">
        <x:v>Unique</x:v>
      </x:c>
      <x:c r="CD973" s="14" t="str">
        <x:v>None identified</x:v>
      </x:c>
    </x:row>
    <x:row r="974">
      <x:c r="A974" s="14" t="str">
        <x:v>tt11646832|nm1882087|safe cracker</x:v>
      </x:c>
      <x:c r="B974" s="14" t="str">
        <x:v>04</x:v>
      </x:c>
      <x:c r="C974" s="14" t="str">
        <x:v>2021_IMDb_Cast_Lists_Batch_04(1).xlsx</x:v>
      </x:c>
      <x:c r="D974" s="14" t="str">
        <x:v>The Outlaws</x:v>
      </x:c>
      <x:c r="E974" s="14" t="n">
        <x:v>138</x:v>
      </x:c>
      <x:c r="F974" s="14" t="str">
        <x:v>The Outlaws</x:v>
      </x:c>
      <x:c r="G974" s="14" t="str">
        <x:v>tt11646832</x:v>
      </x:c>
      <x:c r="H974" s="14" t="n">
        <x:v>2021</x:v>
      </x:c>
      <x:c r="I974" s="14" t="n">
        <x:v>2023</x:v>
      </x:c>
      <x:c r="J974" s="14" t="str">
        <x:v>Future Carry-Forward Cohort</x:v>
      </x:c>
      <x:c r="K974" s="14" t="n">
        <x:v>2021</x:v>
      </x:c>
      <x:c r="L974" s="14" t="str">
        <x:v>Available from 2021 analysis</x:v>
      </x:c>
      <x:c r="M974" s="15" t="n">
        <x:v>131</x:v>
      </x:c>
      <x:c r="N974" s="14" t="str">
        <x:v>Justin Skelton</x:v>
      </x:c>
      <x:c r="O974" s="14" t="str">
        <x:v>nm1882087</x:v>
      </x:c>
      <x:c r="P974" s="14" t="str">
        <x:v>Safe Cracker</x:v>
      </x:c>
      <x:c r="Q974" s="15" t="n">
        <x:v>1</x:v>
      </x:c>
      <x:c r="R974" s="14" t="str">
        <x:v>2024</x:v>
      </x:c>
      <x:c r="S974" s="14" t="n">
        <x:v>2024</x:v>
      </x:c>
      <x:c r="T974" s="14" t="n">
        <x:v>2024</x:v>
      </x:c>
      <x:c r="U974" s="14" t="str">
        <x:v>Post-2021 casting excluded</x:v>
      </x:c>
      <x:c r="V974" s="14" t="str">
        <x:v>Earliest supplied year is 2024, later than the 2021 study year.</x:v>
      </x:c>
      <x:c r="W974" s="14"/>
      <x:c r="X974" s="14" t="str">
        <x:v>Carried forward to 2024</x:v>
      </x:c>
      <x:c r="Y974" s="14"/>
      <x:c r="Z974" s="14" t="str">
        <x:v>The Outlaws.docx</x:v>
      </x:c>
      <x:c r="AA97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4" s="14" t="str">
        <x:v>No established-register match</x:v>
      </x:c>
      <x:c r="AC974" s="14"/>
      <x:c r="AD974" s="14"/>
      <x:c r="AE974" s="14"/>
      <x:c r="AF974" s="14"/>
      <x:c r="AG974" s="14" t="str">
        <x:v>No qualifying conclusion recorded. Absence from the register is not evidence that the performer is not disabled.</x:v>
      </x:c>
      <x:c r="AH974" s="14" t="str">
        <x:v>BBC</x:v>
      </x:c>
      <x:c r="AI974" s="14" t="str">
        <x:v>UK original commission</x:v>
      </x:c>
      <x:c r="AJ974" s="14" t="str">
        <x:v>Exact normalised title</x:v>
      </x:c>
      <x:c r="AK974" s="14" t="str">
        <x:v>Medium</x:v>
      </x:c>
      <x:c r="AL974" s="14" t="str">
        <x:v>Verified for commissioner/platform scope; uk original commission.</x:v>
      </x:c>
      <x:c r="AM974" s="17" t="e">
        <x:f>HYPERLINK("https://en.wikipedia.org/wiki/Outlaws","Open source")</x:f>
        <x:v>HYPERLINK is not implemented. linkLocation=https://en.wikipedia.org/wiki/Outlaws, friendlyName=Open source</x:v>
      </x:c>
      <x:c r="AN974" s="14" t="str">
        <x:v>BBC public-service commission</x:v>
      </x:c>
      <x:c r="AO974" s="14" t="str">
        <x:v>Yes</x:v>
      </x:c>
      <x:c r="AP974" s="14" t="str">
        <x:v>Direct BBC public-service scope</x:v>
      </x:c>
      <x:c r="AQ974" s="14" t="str">
        <x:v>Yes</x:v>
      </x:c>
      <x:c r="AR974" s="14" t="str">
        <x:v>Resolved from master register</x:v>
      </x:c>
      <x:c r="AS974" s="14" t="str">
        <x:v>No established-register match</x:v>
      </x:c>
      <x:c r="AT974" s="14"/>
      <x:c r="AU974" s="14"/>
      <x:c r="AV974" s="14" t="str">
        <x:v>No established apparent-disability match</x:v>
      </x:c>
      <x:c r="AW974" s="14"/>
      <x:c r="AX974" s="14" t="str">
        <x:v>No</x:v>
      </x:c>
      <x:c r="AY974" s="14" t="str">
        <x:v>Unmatched</x:v>
      </x:c>
      <x:c r="AZ974" s="14" t="str">
        <x:v>Final supplied register</x:v>
      </x:c>
      <x:c r="BA974" s="14" t="str">
        <x:v>Absence from the register is not evidence that the performer is not disabled.</x:v>
      </x:c>
      <x:c r="BB974" s="14" t="str">
        <x:v>No established-register match</x:v>
      </x:c>
      <x:c r="BC974" s="14"/>
      <x:c r="BD974" s="14"/>
      <x:c r="BE974" s="14"/>
      <x:c r="BF974" s="14" t="str">
        <x:v>No established apparent-disability match</x:v>
      </x:c>
      <x:c r="BG974" s="14"/>
      <x:c r="BH974" s="14" t="str">
        <x:v>No</x:v>
      </x:c>
      <x:c r="BI974" s="14"/>
      <x:c r="BJ974" s="14"/>
      <x:c r="BK974" s="14"/>
      <x:c r="BL974" s="14" t="str">
        <x:v>Unmatched</x:v>
      </x:c>
      <x:c r="BM974" s="14" t="str">
        <x:v>Final supplied register</x:v>
      </x:c>
      <x:c r="BN974" s="14" t="str">
        <x:v>Absence from the register is not evidence that the performer is not disabled.</x:v>
      </x:c>
      <x:c r="BO974" s="14" t="n">
        <x:v>17</x:v>
      </x:c>
      <x:c r="BP974" s="14" t="str">
        <x:v>Maximum eligible IMDb cast-credit total (17), shared by 8 performer(s); not independently verified as a 2021-only episode total.</x:v>
      </x:c>
      <x:c r="BQ974" s="14" t="str">
        <x:v>Medium</x:v>
      </x:c>
      <x:c r="BR974" s="15" t="n">
        <x:v>1</x:v>
      </x:c>
      <x:c r="BS974" s="16" t="n">
        <x:v>0.05882352941176471</x:v>
      </x:c>
      <x:c r="BT974" s="14" t="str">
        <x:v>One episode</x:v>
      </x:c>
      <x:c r="BU974" s="14" t="str">
        <x:v>Medium</x:v>
      </x:c>
      <x:c r="BV974" s="14" t="str">
        <x:v>Derived from supplied IMDb episode count and the documented production-total proxy.</x:v>
      </x:c>
      <x:c r="BW974" s="14" t="str">
        <x:v>Unable to determine</x:v>
      </x:c>
      <x:c r="BX974" s="14" t="str">
        <x:v>Supplied cast data establishes the credit and episode presence but does not establish narrative prominence.</x:v>
      </x:c>
      <x:c r="BY974" s="14" t="str">
        <x:v>Supplied IMDb cast-list workbook</x:v>
      </x:c>
      <x:c r="BZ97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4" s="14" t="str">
        <x:v>Not classified</x:v>
      </x:c>
      <x:c r="CB974" s="14" t="str">
        <x:v>Unable to determine</x:v>
      </x:c>
      <x:c r="CC974" s="14" t="str">
        <x:v>Unique</x:v>
      </x:c>
      <x:c r="CD974" s="14" t="str">
        <x:v>None identified</x:v>
      </x:c>
    </x:row>
    <x:row r="975">
      <x:c r="A975" s="14" t="str">
        <x:v>tt11646832|nm13388800|josie</x:v>
      </x:c>
      <x:c r="B975" s="14" t="str">
        <x:v>04</x:v>
      </x:c>
      <x:c r="C975" s="14" t="str">
        <x:v>2021_IMDb_Cast_Lists_Batch_04(1).xlsx</x:v>
      </x:c>
      <x:c r="D975" s="14" t="str">
        <x:v>The Outlaws</x:v>
      </x:c>
      <x:c r="E975" s="14" t="n">
        <x:v>139</x:v>
      </x:c>
      <x:c r="F975" s="14" t="str">
        <x:v>The Outlaws</x:v>
      </x:c>
      <x:c r="G975" s="14" t="str">
        <x:v>tt11646832</x:v>
      </x:c>
      <x:c r="H975" s="14" t="n">
        <x:v>2021</x:v>
      </x:c>
      <x:c r="I975" s="14" t="n">
        <x:v>2023</x:v>
      </x:c>
      <x:c r="J975" s="14" t="str">
        <x:v>Future Carry-Forward Cohort</x:v>
      </x:c>
      <x:c r="K975" s="14" t="n">
        <x:v>2021</x:v>
      </x:c>
      <x:c r="L975" s="14" t="str">
        <x:v>Available from 2021 analysis</x:v>
      </x:c>
      <x:c r="M975" s="15" t="n">
        <x:v>132</x:v>
      </x:c>
      <x:c r="N975" s="14" t="str">
        <x:v>Chanel Waddock</x:v>
      </x:c>
      <x:c r="O975" s="14" t="str">
        <x:v>nm13388800</x:v>
      </x:c>
      <x:c r="P975" s="14" t="str">
        <x:v>Josie</x:v>
      </x:c>
      <x:c r="Q975" s="15" t="n">
        <x:v>1</x:v>
      </x:c>
      <x:c r="R975" s="14" t="str">
        <x:v>2024</x:v>
      </x:c>
      <x:c r="S975" s="14" t="n">
        <x:v>2024</x:v>
      </x:c>
      <x:c r="T975" s="14" t="n">
        <x:v>2024</x:v>
      </x:c>
      <x:c r="U975" s="14" t="str">
        <x:v>Post-2021 casting excluded</x:v>
      </x:c>
      <x:c r="V975" s="14" t="str">
        <x:v>Earliest supplied year is 2024, later than the 2021 study year.</x:v>
      </x:c>
      <x:c r="W975" s="14"/>
      <x:c r="X975" s="14" t="str">
        <x:v>Carried forward to 2024</x:v>
      </x:c>
      <x:c r="Y975" s="14"/>
      <x:c r="Z975" s="14" t="str">
        <x:v>The Outlaws.docx</x:v>
      </x:c>
      <x:c r="AA97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5" s="14" t="str">
        <x:v>No established-register match</x:v>
      </x:c>
      <x:c r="AC975" s="14"/>
      <x:c r="AD975" s="14"/>
      <x:c r="AE975" s="14"/>
      <x:c r="AF975" s="14"/>
      <x:c r="AG975" s="14" t="str">
        <x:v>No qualifying conclusion recorded. Absence from the register is not evidence that the performer is not disabled.</x:v>
      </x:c>
      <x:c r="AH975" s="14" t="str">
        <x:v>BBC</x:v>
      </x:c>
      <x:c r="AI975" s="14" t="str">
        <x:v>UK original commission</x:v>
      </x:c>
      <x:c r="AJ975" s="14" t="str">
        <x:v>Exact normalised title</x:v>
      </x:c>
      <x:c r="AK975" s="14" t="str">
        <x:v>Medium</x:v>
      </x:c>
      <x:c r="AL975" s="14" t="str">
        <x:v>Verified for commissioner/platform scope; uk original commission.</x:v>
      </x:c>
      <x:c r="AM975" s="17" t="e">
        <x:f>HYPERLINK("https://en.wikipedia.org/wiki/Outlaws","Open source")</x:f>
        <x:v>HYPERLINK is not implemented. linkLocation=https://en.wikipedia.org/wiki/Outlaws, friendlyName=Open source</x:v>
      </x:c>
      <x:c r="AN975" s="14" t="str">
        <x:v>BBC public-service commission</x:v>
      </x:c>
      <x:c r="AO975" s="14" t="str">
        <x:v>Yes</x:v>
      </x:c>
      <x:c r="AP975" s="14" t="str">
        <x:v>Direct BBC public-service scope</x:v>
      </x:c>
      <x:c r="AQ975" s="14" t="str">
        <x:v>Yes</x:v>
      </x:c>
      <x:c r="AR975" s="14" t="str">
        <x:v>Resolved from master register</x:v>
      </x:c>
      <x:c r="AS975" s="14" t="str">
        <x:v>No established-register match</x:v>
      </x:c>
      <x:c r="AT975" s="14"/>
      <x:c r="AU975" s="14"/>
      <x:c r="AV975" s="14" t="str">
        <x:v>No established apparent-disability match</x:v>
      </x:c>
      <x:c r="AW975" s="14"/>
      <x:c r="AX975" s="14" t="str">
        <x:v>No</x:v>
      </x:c>
      <x:c r="AY975" s="14" t="str">
        <x:v>Unmatched</x:v>
      </x:c>
      <x:c r="AZ975" s="14" t="str">
        <x:v>Final supplied register</x:v>
      </x:c>
      <x:c r="BA975" s="14" t="str">
        <x:v>Absence from the register is not evidence that the performer is not disabled.</x:v>
      </x:c>
      <x:c r="BB975" s="14" t="str">
        <x:v>No established-register match</x:v>
      </x:c>
      <x:c r="BC975" s="14"/>
      <x:c r="BD975" s="14"/>
      <x:c r="BE975" s="14"/>
      <x:c r="BF975" s="14" t="str">
        <x:v>No established apparent-disability match</x:v>
      </x:c>
      <x:c r="BG975" s="14"/>
      <x:c r="BH975" s="14" t="str">
        <x:v>No</x:v>
      </x:c>
      <x:c r="BI975" s="14"/>
      <x:c r="BJ975" s="14"/>
      <x:c r="BK975" s="14"/>
      <x:c r="BL975" s="14" t="str">
        <x:v>Unmatched</x:v>
      </x:c>
      <x:c r="BM975" s="14" t="str">
        <x:v>Final supplied register</x:v>
      </x:c>
      <x:c r="BN975" s="14" t="str">
        <x:v>Absence from the register is not evidence that the performer is not disabled.</x:v>
      </x:c>
      <x:c r="BO975" s="14" t="n">
        <x:v>17</x:v>
      </x:c>
      <x:c r="BP975" s="14" t="str">
        <x:v>Maximum eligible IMDb cast-credit total (17), shared by 8 performer(s); not independently verified as a 2021-only episode total.</x:v>
      </x:c>
      <x:c r="BQ975" s="14" t="str">
        <x:v>Medium</x:v>
      </x:c>
      <x:c r="BR975" s="15" t="n">
        <x:v>1</x:v>
      </x:c>
      <x:c r="BS975" s="16" t="n">
        <x:v>0.05882352941176471</x:v>
      </x:c>
      <x:c r="BT975" s="14" t="str">
        <x:v>One episode</x:v>
      </x:c>
      <x:c r="BU975" s="14" t="str">
        <x:v>Medium</x:v>
      </x:c>
      <x:c r="BV975" s="14" t="str">
        <x:v>Derived from supplied IMDb episode count and the documented production-total proxy.</x:v>
      </x:c>
      <x:c r="BW975" s="14" t="str">
        <x:v>Unable to determine</x:v>
      </x:c>
      <x:c r="BX975" s="14" t="str">
        <x:v>Supplied cast data establishes the credit and episode presence but does not establish narrative prominence.</x:v>
      </x:c>
      <x:c r="BY975" s="14" t="str">
        <x:v>Supplied IMDb cast-list workbook</x:v>
      </x:c>
      <x:c r="BZ97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5" s="14" t="str">
        <x:v>Not classified</x:v>
      </x:c>
      <x:c r="CB975" s="14" t="str">
        <x:v>Unable to determine</x:v>
      </x:c>
      <x:c r="CC975" s="14" t="str">
        <x:v>Unique</x:v>
      </x:c>
      <x:c r="CD975" s="14" t="str">
        <x:v>None identified</x:v>
      </x:c>
    </x:row>
    <x:row r="976">
      <x:c r="A976" s="14" t="str">
        <x:v>tt11646832|nm0947379|judge #2</x:v>
      </x:c>
      <x:c r="B976" s="14" t="str">
        <x:v>04</x:v>
      </x:c>
      <x:c r="C976" s="14" t="str">
        <x:v>2021_IMDb_Cast_Lists_Batch_04(1).xlsx</x:v>
      </x:c>
      <x:c r="D976" s="14" t="str">
        <x:v>The Outlaws</x:v>
      </x:c>
      <x:c r="E976" s="14" t="n">
        <x:v>141</x:v>
      </x:c>
      <x:c r="F976" s="14" t="str">
        <x:v>The Outlaws</x:v>
      </x:c>
      <x:c r="G976" s="14" t="str">
        <x:v>tt11646832</x:v>
      </x:c>
      <x:c r="H976" s="14" t="n">
        <x:v>2021</x:v>
      </x:c>
      <x:c r="I976" s="14" t="n">
        <x:v>2023</x:v>
      </x:c>
      <x:c r="J976" s="14" t="str">
        <x:v>Future Carry-Forward Cohort</x:v>
      </x:c>
      <x:c r="K976" s="14" t="n">
        <x:v>2021</x:v>
      </x:c>
      <x:c r="L976" s="14" t="str">
        <x:v>Available from 2021 analysis</x:v>
      </x:c>
      <x:c r="M976" s="15" t="n">
        <x:v>134</x:v>
      </x:c>
      <x:c r="N976" s="14" t="str">
        <x:v>David Yelland</x:v>
      </x:c>
      <x:c r="O976" s="14" t="str">
        <x:v>nm0947379</x:v>
      </x:c>
      <x:c r="P976" s="14" t="str">
        <x:v>Judge #2</x:v>
      </x:c>
      <x:c r="Q976" s="15" t="n">
        <x:v>1</x:v>
      </x:c>
      <x:c r="R976" s="14" t="str">
        <x:v>2024</x:v>
      </x:c>
      <x:c r="S976" s="14" t="n">
        <x:v>2024</x:v>
      </x:c>
      <x:c r="T976" s="14" t="n">
        <x:v>2024</x:v>
      </x:c>
      <x:c r="U976" s="14" t="str">
        <x:v>Post-2021 casting excluded</x:v>
      </x:c>
      <x:c r="V976" s="14" t="str">
        <x:v>Earliest supplied year is 2024, later than the 2021 study year.</x:v>
      </x:c>
      <x:c r="W976" s="14"/>
      <x:c r="X976" s="14" t="str">
        <x:v>Carried forward to 2024</x:v>
      </x:c>
      <x:c r="Y976" s="14"/>
      <x:c r="Z976" s="14" t="str">
        <x:v>The Outlaws.docx</x:v>
      </x:c>
      <x:c r="AA97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6" s="14" t="str">
        <x:v>No established-register match</x:v>
      </x:c>
      <x:c r="AC976" s="14"/>
      <x:c r="AD976" s="14"/>
      <x:c r="AE976" s="14"/>
      <x:c r="AF976" s="14"/>
      <x:c r="AG976" s="14" t="str">
        <x:v>No qualifying conclusion recorded. Absence from the register is not evidence that the performer is not disabled.</x:v>
      </x:c>
      <x:c r="AH976" s="14" t="str">
        <x:v>BBC</x:v>
      </x:c>
      <x:c r="AI976" s="14" t="str">
        <x:v>UK original commission</x:v>
      </x:c>
      <x:c r="AJ976" s="14" t="str">
        <x:v>Exact normalised title</x:v>
      </x:c>
      <x:c r="AK976" s="14" t="str">
        <x:v>Medium</x:v>
      </x:c>
      <x:c r="AL976" s="14" t="str">
        <x:v>Verified for commissioner/platform scope; uk original commission.</x:v>
      </x:c>
      <x:c r="AM976" s="17" t="e">
        <x:f>HYPERLINK("https://en.wikipedia.org/wiki/Outlaws","Open source")</x:f>
        <x:v>HYPERLINK is not implemented. linkLocation=https://en.wikipedia.org/wiki/Outlaws, friendlyName=Open source</x:v>
      </x:c>
      <x:c r="AN976" s="14" t="str">
        <x:v>BBC public-service commission</x:v>
      </x:c>
      <x:c r="AO976" s="14" t="str">
        <x:v>Yes</x:v>
      </x:c>
      <x:c r="AP976" s="14" t="str">
        <x:v>Direct BBC public-service scope</x:v>
      </x:c>
      <x:c r="AQ976" s="14" t="str">
        <x:v>Yes</x:v>
      </x:c>
      <x:c r="AR976" s="14" t="str">
        <x:v>Resolved from master register</x:v>
      </x:c>
      <x:c r="AS976" s="14" t="str">
        <x:v>No established-register match</x:v>
      </x:c>
      <x:c r="AT976" s="14"/>
      <x:c r="AU976" s="14"/>
      <x:c r="AV976" s="14" t="str">
        <x:v>No established apparent-disability match</x:v>
      </x:c>
      <x:c r="AW976" s="14"/>
      <x:c r="AX976" s="14" t="str">
        <x:v>No</x:v>
      </x:c>
      <x:c r="AY976" s="14" t="str">
        <x:v>Unmatched</x:v>
      </x:c>
      <x:c r="AZ976" s="14" t="str">
        <x:v>Final supplied register</x:v>
      </x:c>
      <x:c r="BA976" s="14" t="str">
        <x:v>Absence from the register is not evidence that the performer is not disabled.</x:v>
      </x:c>
      <x:c r="BB976" s="14" t="str">
        <x:v>No established-register match</x:v>
      </x:c>
      <x:c r="BC976" s="14"/>
      <x:c r="BD976" s="14"/>
      <x:c r="BE976" s="14"/>
      <x:c r="BF976" s="14" t="str">
        <x:v>No established apparent-disability match</x:v>
      </x:c>
      <x:c r="BG976" s="14"/>
      <x:c r="BH976" s="14" t="str">
        <x:v>No</x:v>
      </x:c>
      <x:c r="BI976" s="14"/>
      <x:c r="BJ976" s="14"/>
      <x:c r="BK976" s="14"/>
      <x:c r="BL976" s="14" t="str">
        <x:v>Unmatched</x:v>
      </x:c>
      <x:c r="BM976" s="14" t="str">
        <x:v>Final supplied register</x:v>
      </x:c>
      <x:c r="BN976" s="14" t="str">
        <x:v>Absence from the register is not evidence that the performer is not disabled.</x:v>
      </x:c>
      <x:c r="BO976" s="14" t="n">
        <x:v>17</x:v>
      </x:c>
      <x:c r="BP976" s="14" t="str">
        <x:v>Maximum eligible IMDb cast-credit total (17), shared by 8 performer(s); not independently verified as a 2021-only episode total.</x:v>
      </x:c>
      <x:c r="BQ976" s="14" t="str">
        <x:v>Medium</x:v>
      </x:c>
      <x:c r="BR976" s="15" t="n">
        <x:v>1</x:v>
      </x:c>
      <x:c r="BS976" s="16" t="n">
        <x:v>0.05882352941176471</x:v>
      </x:c>
      <x:c r="BT976" s="14" t="str">
        <x:v>One episode</x:v>
      </x:c>
      <x:c r="BU976" s="14" t="str">
        <x:v>Medium</x:v>
      </x:c>
      <x:c r="BV976" s="14" t="str">
        <x:v>Derived from supplied IMDb episode count and the documented production-total proxy.</x:v>
      </x:c>
      <x:c r="BW976" s="14" t="str">
        <x:v>Unable to determine</x:v>
      </x:c>
      <x:c r="BX976" s="14" t="str">
        <x:v>Supplied cast data establishes the credit and episode presence but does not establish narrative prominence.</x:v>
      </x:c>
      <x:c r="BY976" s="14" t="str">
        <x:v>Supplied IMDb cast-list workbook</x:v>
      </x:c>
      <x:c r="BZ97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6" s="14" t="str">
        <x:v>Not classified</x:v>
      </x:c>
      <x:c r="CB976" s="14" t="str">
        <x:v>Unable to determine</x:v>
      </x:c>
      <x:c r="CC976" s="14" t="str">
        <x:v>Unique</x:v>
      </x:c>
      <x:c r="CD976" s="14" t="str">
        <x:v>None identified</x:v>
      </x:c>
    </x:row>
    <x:row r="977">
      <x:c r="A977" s="14" t="str">
        <x:v>tt14364876|nm4089182|shakiel oliver</x:v>
      </x:c>
      <x:c r="B977" s="14" t="str">
        <x:v>04</x:v>
      </x:c>
      <x:c r="C977" s="14" t="str">
        <x:v>2021_IMDb_Cast_Lists_Batch_04(1).xlsx</x:v>
      </x:c>
      <x:c r="D977" s="14" t="str">
        <x:v>The Tower</x:v>
      </x:c>
      <x:c r="E977" s="14" t="n">
        <x:v>25</x:v>
      </x:c>
      <x:c r="F977" s="14" t="str">
        <x:v>The Tower</x:v>
      </x:c>
      <x:c r="G977" s="14" t="str">
        <x:v>tt14364876</x:v>
      </x:c>
      <x:c r="H977" s="14" t="n">
        <x:v>2021</x:v>
      </x:c>
      <x:c r="I977" s="14" t="n">
        <x:v>2023</x:v>
      </x:c>
      <x:c r="J977" s="14" t="str">
        <x:v>Future Carry-Forward Cohort</x:v>
      </x:c>
      <x:c r="K977" s="14" t="n">
        <x:v>2021</x:v>
      </x:c>
      <x:c r="L977" s="14" t="str">
        <x:v>Available from 2021 analysis</x:v>
      </x:c>
      <x:c r="M977" s="15" t="n">
        <x:v>18</x:v>
      </x:c>
      <x:c r="N977" s="14" t="str">
        <x:v>Daniel Adegboyega</x:v>
      </x:c>
      <x:c r="O977" s="14" t="str">
        <x:v>nm4089182</x:v>
      </x:c>
      <x:c r="P977" s="14" t="str">
        <x:v>Shakiel Oliver</x:v>
      </x:c>
      <x:c r="Q977" s="15" t="n">
        <x:v>4</x:v>
      </x:c>
      <x:c r="R977" s="14" t="str">
        <x:v>2024</x:v>
      </x:c>
      <x:c r="S977" s="14" t="n">
        <x:v>2024</x:v>
      </x:c>
      <x:c r="T977" s="14" t="n">
        <x:v>2024</x:v>
      </x:c>
      <x:c r="U977" s="14" t="str">
        <x:v>Post-2021 casting excluded</x:v>
      </x:c>
      <x:c r="V977" s="14" t="str">
        <x:v>Earliest supplied year is 2024, later than the 2021 study year.</x:v>
      </x:c>
      <x:c r="W977" s="14"/>
      <x:c r="X977" s="14" t="str">
        <x:v>Carried forward to 2024</x:v>
      </x:c>
      <x:c r="Y977" s="14"/>
      <x:c r="Z977" s="14" t="str">
        <x:v>The Tower.docx</x:v>
      </x:c>
      <x:c r="AA97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77" s="14" t="str">
        <x:v>No established-register match</x:v>
      </x:c>
      <x:c r="AC977" s="14"/>
      <x:c r="AD977" s="14"/>
      <x:c r="AE977" s="14"/>
      <x:c r="AF977" s="14"/>
      <x:c r="AG977" s="14" t="str">
        <x:v>No qualifying conclusion recorded. Absence from the register is not evidence that the performer is not disabled.</x:v>
      </x:c>
      <x:c r="AH977" s="14" t="str">
        <x:v>ITV / ITVX</x:v>
      </x:c>
      <x:c r="AI977" s="14" t="str">
        <x:v>UK original commission</x:v>
      </x:c>
      <x:c r="AJ977" s="14" t="str">
        <x:v>Exact normalised title</x:v>
      </x:c>
      <x:c r="AK977" s="14" t="str">
        <x:v>Medium</x:v>
      </x:c>
      <x:c r="AL977" s="14" t="str">
        <x:v>Verified for commissioner/platform scope; uk original commission.</x:v>
      </x:c>
      <x:c r="AM977" s="17" t="e">
        <x:f>HYPERLINK("https://en.wikipedia.org/wiki/The_Tower","Open source")</x:f>
        <x:v>HYPERLINK is not implemented. linkLocation=https://en.wikipedia.org/wiki/The_Tower, friendlyName=Open source</x:v>
      </x:c>
      <x:c r="AN977" s="14" t="str">
        <x:v>No qualifying BBC relationship</x:v>
      </x:c>
      <x:c r="AO977" s="14" t="str">
        <x:v>No</x:v>
      </x:c>
      <x:c r="AP977" s="14" t="str">
        <x:v>Out of scope</x:v>
      </x:c>
      <x:c r="AQ977" s="14" t="str">
        <x:v>No</x:v>
      </x:c>
      <x:c r="AR977" s="14" t="str">
        <x:v>Resolved from master register</x:v>
      </x:c>
      <x:c r="AS977" s="14" t="str">
        <x:v>No established-register match</x:v>
      </x:c>
      <x:c r="AT977" s="14"/>
      <x:c r="AU977" s="14"/>
      <x:c r="AV977" s="14" t="str">
        <x:v>No established apparent-disability match</x:v>
      </x:c>
      <x:c r="AW977" s="14"/>
      <x:c r="AX977" s="14" t="str">
        <x:v>No</x:v>
      </x:c>
      <x:c r="AY977" s="14" t="str">
        <x:v>Unmatched</x:v>
      </x:c>
      <x:c r="AZ977" s="14" t="str">
        <x:v>Final supplied register</x:v>
      </x:c>
      <x:c r="BA977" s="14" t="str">
        <x:v>Absence from the register is not evidence that the performer is not disabled.</x:v>
      </x:c>
      <x:c r="BB977" s="14" t="str">
        <x:v>No established-register match</x:v>
      </x:c>
      <x:c r="BC977" s="14"/>
      <x:c r="BD977" s="14"/>
      <x:c r="BE977" s="14"/>
      <x:c r="BF977" s="14" t="str">
        <x:v>No established apparent-disability match</x:v>
      </x:c>
      <x:c r="BG977" s="14"/>
      <x:c r="BH977" s="14" t="str">
        <x:v>No</x:v>
      </x:c>
      <x:c r="BI977" s="14"/>
      <x:c r="BJ977" s="14"/>
      <x:c r="BK977" s="14"/>
      <x:c r="BL977" s="14" t="str">
        <x:v>Unmatched</x:v>
      </x:c>
      <x:c r="BM977" s="14" t="str">
        <x:v>Final supplied register</x:v>
      </x:c>
      <x:c r="BN977" s="14" t="str">
        <x:v>Absence from the register is not evidence that the performer is not disabled.</x:v>
      </x:c>
      <x:c r="BO977" s="14" t="n">
        <x:v>11</x:v>
      </x:c>
      <x:c r="BP977" s="14" t="str">
        <x:v>Maximum eligible IMDb cast-credit total (11), shared by 5 performer(s); not independently verified as a 2021-only episode total.</x:v>
      </x:c>
      <x:c r="BQ977" s="14" t="str">
        <x:v>Medium</x:v>
      </x:c>
      <x:c r="BR977" s="15" t="n">
        <x:v>4</x:v>
      </x:c>
      <x:c r="BS977" s="16" t="n">
        <x:v>0.3636363636363636</x:v>
      </x:c>
      <x:c r="BT977" s="14" t="str">
        <x:v>Minority of episodes</x:v>
      </x:c>
      <x:c r="BU977" s="14" t="str">
        <x:v>Medium</x:v>
      </x:c>
      <x:c r="BV977" s="14" t="str">
        <x:v>Derived from supplied IMDb episode count and the documented production-total proxy.</x:v>
      </x:c>
      <x:c r="BW977" s="14" t="str">
        <x:v>Unable to determine</x:v>
      </x:c>
      <x:c r="BX977" s="14" t="str">
        <x:v>Supplied cast data establishes the credit and episode presence but does not establish narrative prominence.</x:v>
      </x:c>
      <x:c r="BY977" s="14" t="str">
        <x:v>Supplied IMDb cast-list workbook</x:v>
      </x:c>
      <x:c r="BZ97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77" s="14" t="str">
        <x:v>Not classified</x:v>
      </x:c>
      <x:c r="CB977" s="14" t="str">
        <x:v>Unable to determine</x:v>
      </x:c>
      <x:c r="CC977" s="14" t="str">
        <x:v>Unique</x:v>
      </x:c>
      <x:c r="CD977" s="14" t="str">
        <x:v>None identified</x:v>
      </x:c>
    </x:row>
    <x:row r="978">
      <x:c r="A978" s="14" t="str">
        <x:v>tt14364876|nm12495357|ryan kennedy</x:v>
      </x:c>
      <x:c r="B978" s="14" t="str">
        <x:v>04</x:v>
      </x:c>
      <x:c r="C978" s="14" t="str">
        <x:v>2021_IMDb_Cast_Lists_Batch_04(1).xlsx</x:v>
      </x:c>
      <x:c r="D978" s="14" t="str">
        <x:v>The Tower</x:v>
      </x:c>
      <x:c r="E978" s="14" t="n">
        <x:v>26</x:v>
      </x:c>
      <x:c r="F978" s="14" t="str">
        <x:v>The Tower</x:v>
      </x:c>
      <x:c r="G978" s="14" t="str">
        <x:v>tt14364876</x:v>
      </x:c>
      <x:c r="H978" s="14" t="n">
        <x:v>2021</x:v>
      </x:c>
      <x:c r="I978" s="14" t="n">
        <x:v>2023</x:v>
      </x:c>
      <x:c r="J978" s="14" t="str">
        <x:v>Future Carry-Forward Cohort</x:v>
      </x:c>
      <x:c r="K978" s="14" t="n">
        <x:v>2021</x:v>
      </x:c>
      <x:c r="L978" s="14" t="str">
        <x:v>Available from 2021 analysis</x:v>
      </x:c>
      <x:c r="M978" s="15" t="n">
        <x:v>19</x:v>
      </x:c>
      <x:c r="N978" s="14" t="str">
        <x:v>Lamar Waves</x:v>
      </x:c>
      <x:c r="O978" s="14" t="str">
        <x:v>nm12495357</x:v>
      </x:c>
      <x:c r="P978" s="14" t="str">
        <x:v>Ryan Kennedy</x:v>
      </x:c>
      <x:c r="Q978" s="15" t="n">
        <x:v>4</x:v>
      </x:c>
      <x:c r="R978" s="14" t="str">
        <x:v>2024</x:v>
      </x:c>
      <x:c r="S978" s="14" t="n">
        <x:v>2024</x:v>
      </x:c>
      <x:c r="T978" s="14" t="n">
        <x:v>2024</x:v>
      </x:c>
      <x:c r="U978" s="14" t="str">
        <x:v>Post-2021 casting excluded</x:v>
      </x:c>
      <x:c r="V978" s="14" t="str">
        <x:v>Earliest supplied year is 2024, later than the 2021 study year.</x:v>
      </x:c>
      <x:c r="W978" s="14"/>
      <x:c r="X978" s="14" t="str">
        <x:v>Carried forward to 2024</x:v>
      </x:c>
      <x:c r="Y978" s="14"/>
      <x:c r="Z978" s="14" t="str">
        <x:v>The Tower.docx</x:v>
      </x:c>
      <x:c r="AA97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78" s="14" t="str">
        <x:v>No established-register match</x:v>
      </x:c>
      <x:c r="AC978" s="14"/>
      <x:c r="AD978" s="14"/>
      <x:c r="AE978" s="14"/>
      <x:c r="AF978" s="14"/>
      <x:c r="AG978" s="14" t="str">
        <x:v>No qualifying conclusion recorded. Absence from the register is not evidence that the performer is not disabled.</x:v>
      </x:c>
      <x:c r="AH978" s="14" t="str">
        <x:v>ITV / ITVX</x:v>
      </x:c>
      <x:c r="AI978" s="14" t="str">
        <x:v>UK original commission</x:v>
      </x:c>
      <x:c r="AJ978" s="14" t="str">
        <x:v>Exact normalised title</x:v>
      </x:c>
      <x:c r="AK978" s="14" t="str">
        <x:v>Medium</x:v>
      </x:c>
      <x:c r="AL978" s="14" t="str">
        <x:v>Verified for commissioner/platform scope; uk original commission.</x:v>
      </x:c>
      <x:c r="AM978" s="17" t="e">
        <x:f>HYPERLINK("https://en.wikipedia.org/wiki/The_Tower","Open source")</x:f>
        <x:v>HYPERLINK is not implemented. linkLocation=https://en.wikipedia.org/wiki/The_Tower, friendlyName=Open source</x:v>
      </x:c>
      <x:c r="AN978" s="14" t="str">
        <x:v>No qualifying BBC relationship</x:v>
      </x:c>
      <x:c r="AO978" s="14" t="str">
        <x:v>No</x:v>
      </x:c>
      <x:c r="AP978" s="14" t="str">
        <x:v>Out of scope</x:v>
      </x:c>
      <x:c r="AQ978" s="14" t="str">
        <x:v>No</x:v>
      </x:c>
      <x:c r="AR978" s="14" t="str">
        <x:v>Resolved from master register</x:v>
      </x:c>
      <x:c r="AS978" s="14" t="str">
        <x:v>No established-register match</x:v>
      </x:c>
      <x:c r="AT978" s="14"/>
      <x:c r="AU978" s="14"/>
      <x:c r="AV978" s="14" t="str">
        <x:v>No established apparent-disability match</x:v>
      </x:c>
      <x:c r="AW978" s="14"/>
      <x:c r="AX978" s="14" t="str">
        <x:v>No</x:v>
      </x:c>
      <x:c r="AY978" s="14" t="str">
        <x:v>Unmatched</x:v>
      </x:c>
      <x:c r="AZ978" s="14" t="str">
        <x:v>Final supplied register</x:v>
      </x:c>
      <x:c r="BA978" s="14" t="str">
        <x:v>Absence from the register is not evidence that the performer is not disabled.</x:v>
      </x:c>
      <x:c r="BB978" s="14" t="str">
        <x:v>No established-register match</x:v>
      </x:c>
      <x:c r="BC978" s="14"/>
      <x:c r="BD978" s="14"/>
      <x:c r="BE978" s="14"/>
      <x:c r="BF978" s="14" t="str">
        <x:v>No established apparent-disability match</x:v>
      </x:c>
      <x:c r="BG978" s="14"/>
      <x:c r="BH978" s="14" t="str">
        <x:v>No</x:v>
      </x:c>
      <x:c r="BI978" s="14"/>
      <x:c r="BJ978" s="14"/>
      <x:c r="BK978" s="14"/>
      <x:c r="BL978" s="14" t="str">
        <x:v>Unmatched</x:v>
      </x:c>
      <x:c r="BM978" s="14" t="str">
        <x:v>Final supplied register</x:v>
      </x:c>
      <x:c r="BN978" s="14" t="str">
        <x:v>Absence from the register is not evidence that the performer is not disabled.</x:v>
      </x:c>
      <x:c r="BO978" s="14" t="n">
        <x:v>11</x:v>
      </x:c>
      <x:c r="BP978" s="14" t="str">
        <x:v>Maximum eligible IMDb cast-credit total (11), shared by 5 performer(s); not independently verified as a 2021-only episode total.</x:v>
      </x:c>
      <x:c r="BQ978" s="14" t="str">
        <x:v>Medium</x:v>
      </x:c>
      <x:c r="BR978" s="15" t="n">
        <x:v>4</x:v>
      </x:c>
      <x:c r="BS978" s="16" t="n">
        <x:v>0.3636363636363636</x:v>
      </x:c>
      <x:c r="BT978" s="14" t="str">
        <x:v>Minority of episodes</x:v>
      </x:c>
      <x:c r="BU978" s="14" t="str">
        <x:v>Medium</x:v>
      </x:c>
      <x:c r="BV978" s="14" t="str">
        <x:v>Derived from supplied IMDb episode count and the documented production-total proxy.</x:v>
      </x:c>
      <x:c r="BW978" s="14" t="str">
        <x:v>Unable to determine</x:v>
      </x:c>
      <x:c r="BX978" s="14" t="str">
        <x:v>Supplied cast data establishes the credit and episode presence but does not establish narrative prominence.</x:v>
      </x:c>
      <x:c r="BY978" s="14" t="str">
        <x:v>Supplied IMDb cast-list workbook</x:v>
      </x:c>
      <x:c r="BZ97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78" s="14" t="str">
        <x:v>Not classified</x:v>
      </x:c>
      <x:c r="CB978" s="14" t="str">
        <x:v>Unable to determine</x:v>
      </x:c>
      <x:c r="CC978" s="14" t="str">
        <x:v>Unique</x:v>
      </x:c>
      <x:c r="CD978" s="14" t="str">
        <x:v>None identified</x:v>
      </x:c>
    </x:row>
    <x:row r="979">
      <x:c r="A979" s="14" t="str">
        <x:v>tt14364876|nm0311563|ds mark angel</x:v>
      </x:c>
      <x:c r="B979" s="14" t="str">
        <x:v>04</x:v>
      </x:c>
      <x:c r="C979" s="14" t="str">
        <x:v>2021_IMDb_Cast_Lists_Batch_04(1).xlsx</x:v>
      </x:c>
      <x:c r="D979" s="14" t="str">
        <x:v>The Tower</x:v>
      </x:c>
      <x:c r="E979" s="14" t="n">
        <x:v>27</x:v>
      </x:c>
      <x:c r="F979" s="14" t="str">
        <x:v>The Tower</x:v>
      </x:c>
      <x:c r="G979" s="14" t="str">
        <x:v>tt14364876</x:v>
      </x:c>
      <x:c r="H979" s="14" t="n">
        <x:v>2021</x:v>
      </x:c>
      <x:c r="I979" s="14" t="n">
        <x:v>2023</x:v>
      </x:c>
      <x:c r="J979" s="14" t="str">
        <x:v>Future Carry-Forward Cohort</x:v>
      </x:c>
      <x:c r="K979" s="14" t="n">
        <x:v>2021</x:v>
      </x:c>
      <x:c r="L979" s="14" t="str">
        <x:v>Available from 2021 analysis</x:v>
      </x:c>
      <x:c r="M979" s="15" t="n">
        <x:v>20</x:v>
      </x:c>
      <x:c r="N979" s="14" t="str">
        <x:v>Robbie Gee</x:v>
      </x:c>
      <x:c r="O979" s="14" t="str">
        <x:v>nm0311563</x:v>
      </x:c>
      <x:c r="P979" s="14" t="str">
        <x:v>DS Mark Angel</x:v>
      </x:c>
      <x:c r="Q979" s="15" t="n">
        <x:v>4</x:v>
      </x:c>
      <x:c r="R979" s="14" t="str">
        <x:v>2024</x:v>
      </x:c>
      <x:c r="S979" s="14" t="n">
        <x:v>2024</x:v>
      </x:c>
      <x:c r="T979" s="14" t="n">
        <x:v>2024</x:v>
      </x:c>
      <x:c r="U979" s="14" t="str">
        <x:v>Post-2021 casting excluded</x:v>
      </x:c>
      <x:c r="V979" s="14" t="str">
        <x:v>Earliest supplied year is 2024, later than the 2021 study year.</x:v>
      </x:c>
      <x:c r="W979" s="14"/>
      <x:c r="X979" s="14" t="str">
        <x:v>Carried forward to 2024</x:v>
      </x:c>
      <x:c r="Y979" s="14"/>
      <x:c r="Z979" s="14" t="str">
        <x:v>The Tower.docx</x:v>
      </x:c>
      <x:c r="AA97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79" s="14" t="str">
        <x:v>No established-register match</x:v>
      </x:c>
      <x:c r="AC979" s="14"/>
      <x:c r="AD979" s="14"/>
      <x:c r="AE979" s="14"/>
      <x:c r="AF979" s="14"/>
      <x:c r="AG979" s="14" t="str">
        <x:v>No qualifying conclusion recorded. Absence from the register is not evidence that the performer is not disabled.</x:v>
      </x:c>
      <x:c r="AH979" s="14" t="str">
        <x:v>ITV / ITVX</x:v>
      </x:c>
      <x:c r="AI979" s="14" t="str">
        <x:v>UK original commission</x:v>
      </x:c>
      <x:c r="AJ979" s="14" t="str">
        <x:v>Exact normalised title</x:v>
      </x:c>
      <x:c r="AK979" s="14" t="str">
        <x:v>Medium</x:v>
      </x:c>
      <x:c r="AL979" s="14" t="str">
        <x:v>Verified for commissioner/platform scope; uk original commission.</x:v>
      </x:c>
      <x:c r="AM979" s="17" t="e">
        <x:f>HYPERLINK("https://en.wikipedia.org/wiki/The_Tower","Open source")</x:f>
        <x:v>HYPERLINK is not implemented. linkLocation=https://en.wikipedia.org/wiki/The_Tower, friendlyName=Open source</x:v>
      </x:c>
      <x:c r="AN979" s="14" t="str">
        <x:v>No qualifying BBC relationship</x:v>
      </x:c>
      <x:c r="AO979" s="14" t="str">
        <x:v>No</x:v>
      </x:c>
      <x:c r="AP979" s="14" t="str">
        <x:v>Out of scope</x:v>
      </x:c>
      <x:c r="AQ979" s="14" t="str">
        <x:v>No</x:v>
      </x:c>
      <x:c r="AR979" s="14" t="str">
        <x:v>Resolved from master register</x:v>
      </x:c>
      <x:c r="AS979" s="14" t="str">
        <x:v>No established-register match</x:v>
      </x:c>
      <x:c r="AT979" s="14"/>
      <x:c r="AU979" s="14"/>
      <x:c r="AV979" s="14" t="str">
        <x:v>No established apparent-disability match</x:v>
      </x:c>
      <x:c r="AW979" s="14"/>
      <x:c r="AX979" s="14" t="str">
        <x:v>No</x:v>
      </x:c>
      <x:c r="AY979" s="14" t="str">
        <x:v>Unmatched</x:v>
      </x:c>
      <x:c r="AZ979" s="14" t="str">
        <x:v>Final supplied register</x:v>
      </x:c>
      <x:c r="BA979" s="14" t="str">
        <x:v>Absence from the register is not evidence that the performer is not disabled.</x:v>
      </x:c>
      <x:c r="BB979" s="14" t="str">
        <x:v>No established-register match</x:v>
      </x:c>
      <x:c r="BC979" s="14"/>
      <x:c r="BD979" s="14"/>
      <x:c r="BE979" s="14"/>
      <x:c r="BF979" s="14" t="str">
        <x:v>No established apparent-disability match</x:v>
      </x:c>
      <x:c r="BG979" s="14"/>
      <x:c r="BH979" s="14" t="str">
        <x:v>No</x:v>
      </x:c>
      <x:c r="BI979" s="14"/>
      <x:c r="BJ979" s="14"/>
      <x:c r="BK979" s="14"/>
      <x:c r="BL979" s="14" t="str">
        <x:v>Unmatched</x:v>
      </x:c>
      <x:c r="BM979" s="14" t="str">
        <x:v>Final supplied register</x:v>
      </x:c>
      <x:c r="BN979" s="14" t="str">
        <x:v>Absence from the register is not evidence that the performer is not disabled.</x:v>
      </x:c>
      <x:c r="BO979" s="14" t="n">
        <x:v>11</x:v>
      </x:c>
      <x:c r="BP979" s="14" t="str">
        <x:v>Maximum eligible IMDb cast-credit total (11), shared by 5 performer(s); not independently verified as a 2021-only episode total.</x:v>
      </x:c>
      <x:c r="BQ979" s="14" t="str">
        <x:v>Medium</x:v>
      </x:c>
      <x:c r="BR979" s="15" t="n">
        <x:v>4</x:v>
      </x:c>
      <x:c r="BS979" s="16" t="n">
        <x:v>0.3636363636363636</x:v>
      </x:c>
      <x:c r="BT979" s="14" t="str">
        <x:v>Minority of episodes</x:v>
      </x:c>
      <x:c r="BU979" s="14" t="str">
        <x:v>Medium</x:v>
      </x:c>
      <x:c r="BV979" s="14" t="str">
        <x:v>Derived from supplied IMDb episode count and the documented production-total proxy.</x:v>
      </x:c>
      <x:c r="BW979" s="14" t="str">
        <x:v>Unable to determine</x:v>
      </x:c>
      <x:c r="BX979" s="14" t="str">
        <x:v>Supplied cast data establishes the credit and episode presence but does not establish narrative prominence.</x:v>
      </x:c>
      <x:c r="BY979" s="14" t="str">
        <x:v>Supplied IMDb cast-list workbook</x:v>
      </x:c>
      <x:c r="BZ97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79" s="14" t="str">
        <x:v>Not classified</x:v>
      </x:c>
      <x:c r="CB979" s="14" t="str">
        <x:v>Unable to determine</x:v>
      </x:c>
      <x:c r="CC979" s="14" t="str">
        <x:v>Unique</x:v>
      </x:c>
      <x:c r="CD979" s="14" t="str">
        <x:v>None identified</x:v>
      </x:c>
    </x:row>
    <x:row r="980">
      <x:c r="A980" s="14" t="str">
        <x:v>tt14364876|nm5018300|ujal jarral</x:v>
      </x:c>
      <x:c r="B980" s="14" t="str">
        <x:v>04</x:v>
      </x:c>
      <x:c r="C980" s="14" t="str">
        <x:v>2021_IMDb_Cast_Lists_Batch_04(1).xlsx</x:v>
      </x:c>
      <x:c r="D980" s="14" t="str">
        <x:v>The Tower</x:v>
      </x:c>
      <x:c r="E980" s="14" t="n">
        <x:v>29</x:v>
      </x:c>
      <x:c r="F980" s="14" t="str">
        <x:v>The Tower</x:v>
      </x:c>
      <x:c r="G980" s="14" t="str">
        <x:v>tt14364876</x:v>
      </x:c>
      <x:c r="H980" s="14" t="n">
        <x:v>2021</x:v>
      </x:c>
      <x:c r="I980" s="14" t="n">
        <x:v>2023</x:v>
      </x:c>
      <x:c r="J980" s="14" t="str">
        <x:v>Future Carry-Forward Cohort</x:v>
      </x:c>
      <x:c r="K980" s="14" t="n">
        <x:v>2021</x:v>
      </x:c>
      <x:c r="L980" s="14" t="str">
        <x:v>Available from 2021 analysis</x:v>
      </x:c>
      <x:c r="M980" s="15" t="n">
        <x:v>22</x:v>
      </x:c>
      <x:c r="N980" s="14" t="str">
        <x:v>Omar Malik</x:v>
      </x:c>
      <x:c r="O980" s="14" t="str">
        <x:v>nm5018300</x:v>
      </x:c>
      <x:c r="P980" s="14" t="str">
        <x:v>Ujal Jarral</x:v>
      </x:c>
      <x:c r="Q980" s="15" t="n">
        <x:v>4</x:v>
      </x:c>
      <x:c r="R980" s="14" t="str">
        <x:v>2024</x:v>
      </x:c>
      <x:c r="S980" s="14" t="n">
        <x:v>2024</x:v>
      </x:c>
      <x:c r="T980" s="14" t="n">
        <x:v>2024</x:v>
      </x:c>
      <x:c r="U980" s="14" t="str">
        <x:v>Post-2021 casting excluded</x:v>
      </x:c>
      <x:c r="V980" s="14" t="str">
        <x:v>Earliest supplied year is 2024, later than the 2021 study year.</x:v>
      </x:c>
      <x:c r="W980" s="14"/>
      <x:c r="X980" s="14" t="str">
        <x:v>Carried forward to 2024</x:v>
      </x:c>
      <x:c r="Y980" s="14"/>
      <x:c r="Z980" s="14" t="str">
        <x:v>The Tower.docx</x:v>
      </x:c>
      <x:c r="AA98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0" s="14" t="str">
        <x:v>No established-register match</x:v>
      </x:c>
      <x:c r="AC980" s="14"/>
      <x:c r="AD980" s="14"/>
      <x:c r="AE980" s="14"/>
      <x:c r="AF980" s="14"/>
      <x:c r="AG980" s="14" t="str">
        <x:v>No qualifying conclusion recorded. Absence from the register is not evidence that the performer is not disabled.</x:v>
      </x:c>
      <x:c r="AH980" s="14" t="str">
        <x:v>ITV / ITVX</x:v>
      </x:c>
      <x:c r="AI980" s="14" t="str">
        <x:v>UK original commission</x:v>
      </x:c>
      <x:c r="AJ980" s="14" t="str">
        <x:v>Exact normalised title</x:v>
      </x:c>
      <x:c r="AK980" s="14" t="str">
        <x:v>Medium</x:v>
      </x:c>
      <x:c r="AL980" s="14" t="str">
        <x:v>Verified for commissioner/platform scope; uk original commission.</x:v>
      </x:c>
      <x:c r="AM980" s="17" t="e">
        <x:f>HYPERLINK("https://en.wikipedia.org/wiki/The_Tower","Open source")</x:f>
        <x:v>HYPERLINK is not implemented. linkLocation=https://en.wikipedia.org/wiki/The_Tower, friendlyName=Open source</x:v>
      </x:c>
      <x:c r="AN980" s="14" t="str">
        <x:v>No qualifying BBC relationship</x:v>
      </x:c>
      <x:c r="AO980" s="14" t="str">
        <x:v>No</x:v>
      </x:c>
      <x:c r="AP980" s="14" t="str">
        <x:v>Out of scope</x:v>
      </x:c>
      <x:c r="AQ980" s="14" t="str">
        <x:v>No</x:v>
      </x:c>
      <x:c r="AR980" s="14" t="str">
        <x:v>Resolved from master register</x:v>
      </x:c>
      <x:c r="AS980" s="14" t="str">
        <x:v>No established-register match</x:v>
      </x:c>
      <x:c r="AT980" s="14"/>
      <x:c r="AU980" s="14"/>
      <x:c r="AV980" s="14" t="str">
        <x:v>No established apparent-disability match</x:v>
      </x:c>
      <x:c r="AW980" s="14"/>
      <x:c r="AX980" s="14" t="str">
        <x:v>No</x:v>
      </x:c>
      <x:c r="AY980" s="14" t="str">
        <x:v>Unmatched</x:v>
      </x:c>
      <x:c r="AZ980" s="14" t="str">
        <x:v>Final supplied register</x:v>
      </x:c>
      <x:c r="BA980" s="14" t="str">
        <x:v>Absence from the register is not evidence that the performer is not disabled.</x:v>
      </x:c>
      <x:c r="BB980" s="14" t="str">
        <x:v>No established-register match</x:v>
      </x:c>
      <x:c r="BC980" s="14"/>
      <x:c r="BD980" s="14"/>
      <x:c r="BE980" s="14"/>
      <x:c r="BF980" s="14" t="str">
        <x:v>No established apparent-disability match</x:v>
      </x:c>
      <x:c r="BG980" s="14"/>
      <x:c r="BH980" s="14" t="str">
        <x:v>No</x:v>
      </x:c>
      <x:c r="BI980" s="14"/>
      <x:c r="BJ980" s="14"/>
      <x:c r="BK980" s="14"/>
      <x:c r="BL980" s="14" t="str">
        <x:v>Unmatched</x:v>
      </x:c>
      <x:c r="BM980" s="14" t="str">
        <x:v>Final supplied register</x:v>
      </x:c>
      <x:c r="BN980" s="14" t="str">
        <x:v>Absence from the register is not evidence that the performer is not disabled.</x:v>
      </x:c>
      <x:c r="BO980" s="14" t="n">
        <x:v>11</x:v>
      </x:c>
      <x:c r="BP980" s="14" t="str">
        <x:v>Maximum eligible IMDb cast-credit total (11), shared by 5 performer(s); not independently verified as a 2021-only episode total.</x:v>
      </x:c>
      <x:c r="BQ980" s="14" t="str">
        <x:v>Medium</x:v>
      </x:c>
      <x:c r="BR980" s="15" t="n">
        <x:v>4</x:v>
      </x:c>
      <x:c r="BS980" s="16" t="n">
        <x:v>0.3636363636363636</x:v>
      </x:c>
      <x:c r="BT980" s="14" t="str">
        <x:v>Minority of episodes</x:v>
      </x:c>
      <x:c r="BU980" s="14" t="str">
        <x:v>Medium</x:v>
      </x:c>
      <x:c r="BV980" s="14" t="str">
        <x:v>Derived from supplied IMDb episode count and the documented production-total proxy.</x:v>
      </x:c>
      <x:c r="BW980" s="14" t="str">
        <x:v>Unable to determine</x:v>
      </x:c>
      <x:c r="BX980" s="14" t="str">
        <x:v>Supplied cast data establishes the credit and episode presence but does not establish narrative prominence.</x:v>
      </x:c>
      <x:c r="BY980" s="14" t="str">
        <x:v>Supplied IMDb cast-list workbook</x:v>
      </x:c>
      <x:c r="BZ98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0" s="14" t="str">
        <x:v>Not classified</x:v>
      </x:c>
      <x:c r="CB980" s="14" t="str">
        <x:v>Unable to determine</x:v>
      </x:c>
      <x:c r="CC980" s="14" t="str">
        <x:v>Unique</x:v>
      </x:c>
      <x:c r="CD980" s="14" t="str">
        <x:v>None identified</x:v>
      </x:c>
    </x:row>
    <x:row r="981">
      <x:c r="A981" s="14" t="str">
        <x:v>tt14364876|nm12748437|tia kennedy</x:v>
      </x:c>
      <x:c r="B981" s="14" t="str">
        <x:v>04</x:v>
      </x:c>
      <x:c r="C981" s="14" t="str">
        <x:v>2021_IMDb_Cast_Lists_Batch_04(1).xlsx</x:v>
      </x:c>
      <x:c r="D981" s="14" t="str">
        <x:v>The Tower</x:v>
      </x:c>
      <x:c r="E981" s="14" t="n">
        <x:v>31</x:v>
      </x:c>
      <x:c r="F981" s="14" t="str">
        <x:v>The Tower</x:v>
      </x:c>
      <x:c r="G981" s="14" t="str">
        <x:v>tt14364876</x:v>
      </x:c>
      <x:c r="H981" s="14" t="n">
        <x:v>2021</x:v>
      </x:c>
      <x:c r="I981" s="14" t="n">
        <x:v>2023</x:v>
      </x:c>
      <x:c r="J981" s="14" t="str">
        <x:v>Future Carry-Forward Cohort</x:v>
      </x:c>
      <x:c r="K981" s="14" t="n">
        <x:v>2021</x:v>
      </x:c>
      <x:c r="L981" s="14" t="str">
        <x:v>Available from 2021 analysis</x:v>
      </x:c>
      <x:c r="M981" s="15" t="n">
        <x:v>24</x:v>
      </x:c>
      <x:c r="N981" s="14" t="str">
        <x:v>Rawdat Quadri</x:v>
      </x:c>
      <x:c r="O981" s="14" t="str">
        <x:v>nm12748437</x:v>
      </x:c>
      <x:c r="P981" s="14" t="str">
        <x:v>Tia Kennedy</x:v>
      </x:c>
      <x:c r="Q981" s="15" t="n">
        <x:v>4</x:v>
      </x:c>
      <x:c r="R981" s="14" t="str">
        <x:v>2024</x:v>
      </x:c>
      <x:c r="S981" s="14" t="n">
        <x:v>2024</x:v>
      </x:c>
      <x:c r="T981" s="14" t="n">
        <x:v>2024</x:v>
      </x:c>
      <x:c r="U981" s="14" t="str">
        <x:v>Post-2021 casting excluded</x:v>
      </x:c>
      <x:c r="V981" s="14" t="str">
        <x:v>Earliest supplied year is 2024, later than the 2021 study year.</x:v>
      </x:c>
      <x:c r="W981" s="14"/>
      <x:c r="X981" s="14" t="str">
        <x:v>Carried forward to 2024</x:v>
      </x:c>
      <x:c r="Y981" s="14"/>
      <x:c r="Z981" s="14" t="str">
        <x:v>The Tower.docx</x:v>
      </x:c>
      <x:c r="AA98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1" s="14" t="str">
        <x:v>No established-register match</x:v>
      </x:c>
      <x:c r="AC981" s="14"/>
      <x:c r="AD981" s="14"/>
      <x:c r="AE981" s="14"/>
      <x:c r="AF981" s="14"/>
      <x:c r="AG981" s="14" t="str">
        <x:v>No qualifying conclusion recorded. Absence from the register is not evidence that the performer is not disabled.</x:v>
      </x:c>
      <x:c r="AH981" s="14" t="str">
        <x:v>ITV / ITVX</x:v>
      </x:c>
      <x:c r="AI981" s="14" t="str">
        <x:v>UK original commission</x:v>
      </x:c>
      <x:c r="AJ981" s="14" t="str">
        <x:v>Exact normalised title</x:v>
      </x:c>
      <x:c r="AK981" s="14" t="str">
        <x:v>Medium</x:v>
      </x:c>
      <x:c r="AL981" s="14" t="str">
        <x:v>Verified for commissioner/platform scope; uk original commission.</x:v>
      </x:c>
      <x:c r="AM981" s="17" t="e">
        <x:f>HYPERLINK("https://en.wikipedia.org/wiki/The_Tower","Open source")</x:f>
        <x:v>HYPERLINK is not implemented. linkLocation=https://en.wikipedia.org/wiki/The_Tower, friendlyName=Open source</x:v>
      </x:c>
      <x:c r="AN981" s="14" t="str">
        <x:v>No qualifying BBC relationship</x:v>
      </x:c>
      <x:c r="AO981" s="14" t="str">
        <x:v>No</x:v>
      </x:c>
      <x:c r="AP981" s="14" t="str">
        <x:v>Out of scope</x:v>
      </x:c>
      <x:c r="AQ981" s="14" t="str">
        <x:v>No</x:v>
      </x:c>
      <x:c r="AR981" s="14" t="str">
        <x:v>Resolved from master register</x:v>
      </x:c>
      <x:c r="AS981" s="14" t="str">
        <x:v>No established-register match</x:v>
      </x:c>
      <x:c r="AT981" s="14"/>
      <x:c r="AU981" s="14"/>
      <x:c r="AV981" s="14" t="str">
        <x:v>No established apparent-disability match</x:v>
      </x:c>
      <x:c r="AW981" s="14"/>
      <x:c r="AX981" s="14" t="str">
        <x:v>No</x:v>
      </x:c>
      <x:c r="AY981" s="14" t="str">
        <x:v>Unmatched</x:v>
      </x:c>
      <x:c r="AZ981" s="14" t="str">
        <x:v>Final supplied register</x:v>
      </x:c>
      <x:c r="BA981" s="14" t="str">
        <x:v>Absence from the register is not evidence that the performer is not disabled.</x:v>
      </x:c>
      <x:c r="BB981" s="14" t="str">
        <x:v>No established-register match</x:v>
      </x:c>
      <x:c r="BC981" s="14"/>
      <x:c r="BD981" s="14"/>
      <x:c r="BE981" s="14"/>
      <x:c r="BF981" s="14" t="str">
        <x:v>No established apparent-disability match</x:v>
      </x:c>
      <x:c r="BG981" s="14"/>
      <x:c r="BH981" s="14" t="str">
        <x:v>No</x:v>
      </x:c>
      <x:c r="BI981" s="14"/>
      <x:c r="BJ981" s="14"/>
      <x:c r="BK981" s="14"/>
      <x:c r="BL981" s="14" t="str">
        <x:v>Unmatched</x:v>
      </x:c>
      <x:c r="BM981" s="14" t="str">
        <x:v>Final supplied register</x:v>
      </x:c>
      <x:c r="BN981" s="14" t="str">
        <x:v>Absence from the register is not evidence that the performer is not disabled.</x:v>
      </x:c>
      <x:c r="BO981" s="14" t="n">
        <x:v>11</x:v>
      </x:c>
      <x:c r="BP981" s="14" t="str">
        <x:v>Maximum eligible IMDb cast-credit total (11), shared by 5 performer(s); not independently verified as a 2021-only episode total.</x:v>
      </x:c>
      <x:c r="BQ981" s="14" t="str">
        <x:v>Medium</x:v>
      </x:c>
      <x:c r="BR981" s="15" t="n">
        <x:v>4</x:v>
      </x:c>
      <x:c r="BS981" s="16" t="n">
        <x:v>0.3636363636363636</x:v>
      </x:c>
      <x:c r="BT981" s="14" t="str">
        <x:v>Minority of episodes</x:v>
      </x:c>
      <x:c r="BU981" s="14" t="str">
        <x:v>Medium</x:v>
      </x:c>
      <x:c r="BV981" s="14" t="str">
        <x:v>Derived from supplied IMDb episode count and the documented production-total proxy.</x:v>
      </x:c>
      <x:c r="BW981" s="14" t="str">
        <x:v>Unable to determine</x:v>
      </x:c>
      <x:c r="BX981" s="14" t="str">
        <x:v>Supplied cast data establishes the credit and episode presence but does not establish narrative prominence.</x:v>
      </x:c>
      <x:c r="BY981" s="14" t="str">
        <x:v>Supplied IMDb cast-list workbook</x:v>
      </x:c>
      <x:c r="BZ98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1" s="14" t="str">
        <x:v>Not classified</x:v>
      </x:c>
      <x:c r="CB981" s="14" t="str">
        <x:v>Unable to determine</x:v>
      </x:c>
      <x:c r="CC981" s="14" t="str">
        <x:v>Unique</x:v>
      </x:c>
      <x:c r="CD981" s="14" t="str">
        <x:v>None identified</x:v>
      </x:c>
    </x:row>
    <x:row r="982">
      <x:c r="A982" s="14" t="str">
        <x:v>tt14364876|nm13908325|jermaine king</x:v>
      </x:c>
      <x:c r="B982" s="14" t="str">
        <x:v>04</x:v>
      </x:c>
      <x:c r="C982" s="14" t="str">
        <x:v>2021_IMDb_Cast_Lists_Batch_04(1).xlsx</x:v>
      </x:c>
      <x:c r="D982" s="14" t="str">
        <x:v>The Tower</x:v>
      </x:c>
      <x:c r="E982" s="14" t="n">
        <x:v>32</x:v>
      </x:c>
      <x:c r="F982" s="14" t="str">
        <x:v>The Tower</x:v>
      </x:c>
      <x:c r="G982" s="14" t="str">
        <x:v>tt14364876</x:v>
      </x:c>
      <x:c r="H982" s="14" t="n">
        <x:v>2021</x:v>
      </x:c>
      <x:c r="I982" s="14" t="n">
        <x:v>2023</x:v>
      </x:c>
      <x:c r="J982" s="14" t="str">
        <x:v>Future Carry-Forward Cohort</x:v>
      </x:c>
      <x:c r="K982" s="14" t="n">
        <x:v>2021</x:v>
      </x:c>
      <x:c r="L982" s="14" t="str">
        <x:v>Available from 2021 analysis</x:v>
      </x:c>
      <x:c r="M982" s="15" t="n">
        <x:v>25</x:v>
      </x:c>
      <x:c r="N982" s="14" t="str">
        <x:v>Kwabena Peprah</x:v>
      </x:c>
      <x:c r="O982" s="14" t="str">
        <x:v>nm13908325</x:v>
      </x:c>
      <x:c r="P982" s="14" t="str">
        <x:v>Jermaine King</x:v>
      </x:c>
      <x:c r="Q982" s="15" t="n">
        <x:v>4</x:v>
      </x:c>
      <x:c r="R982" s="14" t="str">
        <x:v>2024</x:v>
      </x:c>
      <x:c r="S982" s="14" t="n">
        <x:v>2024</x:v>
      </x:c>
      <x:c r="T982" s="14" t="n">
        <x:v>2024</x:v>
      </x:c>
      <x:c r="U982" s="14" t="str">
        <x:v>Post-2021 casting excluded</x:v>
      </x:c>
      <x:c r="V982" s="14" t="str">
        <x:v>Earliest supplied year is 2024, later than the 2021 study year.</x:v>
      </x:c>
      <x:c r="W982" s="14"/>
      <x:c r="X982" s="14" t="str">
        <x:v>Carried forward to 2024</x:v>
      </x:c>
      <x:c r="Y982" s="14"/>
      <x:c r="Z982" s="14" t="str">
        <x:v>The Tower.docx</x:v>
      </x:c>
      <x:c r="AA98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2" s="14" t="str">
        <x:v>No established-register match</x:v>
      </x:c>
      <x:c r="AC982" s="14"/>
      <x:c r="AD982" s="14"/>
      <x:c r="AE982" s="14"/>
      <x:c r="AF982" s="14"/>
      <x:c r="AG982" s="14" t="str">
        <x:v>No qualifying conclusion recorded. Absence from the register is not evidence that the performer is not disabled.</x:v>
      </x:c>
      <x:c r="AH982" s="14" t="str">
        <x:v>ITV / ITVX</x:v>
      </x:c>
      <x:c r="AI982" s="14" t="str">
        <x:v>UK original commission</x:v>
      </x:c>
      <x:c r="AJ982" s="14" t="str">
        <x:v>Exact normalised title</x:v>
      </x:c>
      <x:c r="AK982" s="14" t="str">
        <x:v>Medium</x:v>
      </x:c>
      <x:c r="AL982" s="14" t="str">
        <x:v>Verified for commissioner/platform scope; uk original commission.</x:v>
      </x:c>
      <x:c r="AM982" s="17" t="e">
        <x:f>HYPERLINK("https://en.wikipedia.org/wiki/The_Tower","Open source")</x:f>
        <x:v>HYPERLINK is not implemented. linkLocation=https://en.wikipedia.org/wiki/The_Tower, friendlyName=Open source</x:v>
      </x:c>
      <x:c r="AN982" s="14" t="str">
        <x:v>No qualifying BBC relationship</x:v>
      </x:c>
      <x:c r="AO982" s="14" t="str">
        <x:v>No</x:v>
      </x:c>
      <x:c r="AP982" s="14" t="str">
        <x:v>Out of scope</x:v>
      </x:c>
      <x:c r="AQ982" s="14" t="str">
        <x:v>No</x:v>
      </x:c>
      <x:c r="AR982" s="14" t="str">
        <x:v>Resolved from master register</x:v>
      </x:c>
      <x:c r="AS982" s="14" t="str">
        <x:v>No established-register match</x:v>
      </x:c>
      <x:c r="AT982" s="14"/>
      <x:c r="AU982" s="14"/>
      <x:c r="AV982" s="14" t="str">
        <x:v>No established apparent-disability match</x:v>
      </x:c>
      <x:c r="AW982" s="14"/>
      <x:c r="AX982" s="14" t="str">
        <x:v>No</x:v>
      </x:c>
      <x:c r="AY982" s="14" t="str">
        <x:v>Unmatched</x:v>
      </x:c>
      <x:c r="AZ982" s="14" t="str">
        <x:v>Final supplied register</x:v>
      </x:c>
      <x:c r="BA982" s="14" t="str">
        <x:v>Absence from the register is not evidence that the performer is not disabled.</x:v>
      </x:c>
      <x:c r="BB982" s="14" t="str">
        <x:v>No established-register match</x:v>
      </x:c>
      <x:c r="BC982" s="14"/>
      <x:c r="BD982" s="14"/>
      <x:c r="BE982" s="14"/>
      <x:c r="BF982" s="14" t="str">
        <x:v>No established apparent-disability match</x:v>
      </x:c>
      <x:c r="BG982" s="14"/>
      <x:c r="BH982" s="14" t="str">
        <x:v>No</x:v>
      </x:c>
      <x:c r="BI982" s="14"/>
      <x:c r="BJ982" s="14"/>
      <x:c r="BK982" s="14"/>
      <x:c r="BL982" s="14" t="str">
        <x:v>Unmatched</x:v>
      </x:c>
      <x:c r="BM982" s="14" t="str">
        <x:v>Final supplied register</x:v>
      </x:c>
      <x:c r="BN982" s="14" t="str">
        <x:v>Absence from the register is not evidence that the performer is not disabled.</x:v>
      </x:c>
      <x:c r="BO982" s="14" t="n">
        <x:v>11</x:v>
      </x:c>
      <x:c r="BP982" s="14" t="str">
        <x:v>Maximum eligible IMDb cast-credit total (11), shared by 5 performer(s); not independently verified as a 2021-only episode total.</x:v>
      </x:c>
      <x:c r="BQ982" s="14" t="str">
        <x:v>Medium</x:v>
      </x:c>
      <x:c r="BR982" s="15" t="n">
        <x:v>4</x:v>
      </x:c>
      <x:c r="BS982" s="16" t="n">
        <x:v>0.3636363636363636</x:v>
      </x:c>
      <x:c r="BT982" s="14" t="str">
        <x:v>Minority of episodes</x:v>
      </x:c>
      <x:c r="BU982" s="14" t="str">
        <x:v>Medium</x:v>
      </x:c>
      <x:c r="BV982" s="14" t="str">
        <x:v>Derived from supplied IMDb episode count and the documented production-total proxy.</x:v>
      </x:c>
      <x:c r="BW982" s="14" t="str">
        <x:v>Unable to determine</x:v>
      </x:c>
      <x:c r="BX982" s="14" t="str">
        <x:v>Supplied cast data establishes the credit and episode presence but does not establish narrative prominence.</x:v>
      </x:c>
      <x:c r="BY982" s="14" t="str">
        <x:v>Supplied IMDb cast-list workbook</x:v>
      </x:c>
      <x:c r="BZ98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2" s="14" t="str">
        <x:v>Not classified</x:v>
      </x:c>
      <x:c r="CB982" s="14" t="str">
        <x:v>Unable to determine</x:v>
      </x:c>
      <x:c r="CC982" s="14" t="str">
        <x:v>Unique</x:v>
      </x:c>
      <x:c r="CD982" s="14" t="str">
        <x:v>None identified</x:v>
      </x:c>
    </x:row>
    <x:row r="983">
      <x:c r="A983" s="14" t="str">
        <x:v>tt14364876|nm2290686|mitko</x:v>
      </x:c>
      <x:c r="B983" s="14" t="str">
        <x:v>04</x:v>
      </x:c>
      <x:c r="C983" s="14" t="str">
        <x:v>2021_IMDb_Cast_Lists_Batch_04(1).xlsx</x:v>
      </x:c>
      <x:c r="D983" s="14" t="str">
        <x:v>The Tower</x:v>
      </x:c>
      <x:c r="E983" s="14" t="n">
        <x:v>33</x:v>
      </x:c>
      <x:c r="F983" s="14" t="str">
        <x:v>The Tower</x:v>
      </x:c>
      <x:c r="G983" s="14" t="str">
        <x:v>tt14364876</x:v>
      </x:c>
      <x:c r="H983" s="14" t="n">
        <x:v>2021</x:v>
      </x:c>
      <x:c r="I983" s="14" t="n">
        <x:v>2023</x:v>
      </x:c>
      <x:c r="J983" s="14" t="str">
        <x:v>Future Carry-Forward Cohort</x:v>
      </x:c>
      <x:c r="K983" s="14" t="n">
        <x:v>2021</x:v>
      </x:c>
      <x:c r="L983" s="14" t="str">
        <x:v>Available from 2021 analysis</x:v>
      </x:c>
      <x:c r="M983" s="15" t="n">
        <x:v>26</x:v>
      </x:c>
      <x:c r="N983" s="14" t="str">
        <x:v>Petar Cvirn</x:v>
      </x:c>
      <x:c r="O983" s="14" t="str">
        <x:v>nm2290686</x:v>
      </x:c>
      <x:c r="P983" s="14" t="str">
        <x:v>Mitko</x:v>
      </x:c>
      <x:c r="Q983" s="15" t="n">
        <x:v>4</x:v>
      </x:c>
      <x:c r="R983" s="14" t="str">
        <x:v>2024</x:v>
      </x:c>
      <x:c r="S983" s="14" t="n">
        <x:v>2024</x:v>
      </x:c>
      <x:c r="T983" s="14" t="n">
        <x:v>2024</x:v>
      </x:c>
      <x:c r="U983" s="14" t="str">
        <x:v>Post-2021 casting excluded</x:v>
      </x:c>
      <x:c r="V983" s="14" t="str">
        <x:v>Earliest supplied year is 2024, later than the 2021 study year.</x:v>
      </x:c>
      <x:c r="W983" s="14"/>
      <x:c r="X983" s="14" t="str">
        <x:v>Carried forward to 2024</x:v>
      </x:c>
      <x:c r="Y983" s="14"/>
      <x:c r="Z983" s="14" t="str">
        <x:v>The Tower.docx</x:v>
      </x:c>
      <x:c r="AA98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3" s="14" t="str">
        <x:v>No established-register match</x:v>
      </x:c>
      <x:c r="AC983" s="14"/>
      <x:c r="AD983" s="14"/>
      <x:c r="AE983" s="14"/>
      <x:c r="AF983" s="14"/>
      <x:c r="AG983" s="14" t="str">
        <x:v>No qualifying conclusion recorded. Absence from the register is not evidence that the performer is not disabled.</x:v>
      </x:c>
      <x:c r="AH983" s="14" t="str">
        <x:v>ITV / ITVX</x:v>
      </x:c>
      <x:c r="AI983" s="14" t="str">
        <x:v>UK original commission</x:v>
      </x:c>
      <x:c r="AJ983" s="14" t="str">
        <x:v>Exact normalised title</x:v>
      </x:c>
      <x:c r="AK983" s="14" t="str">
        <x:v>Medium</x:v>
      </x:c>
      <x:c r="AL983" s="14" t="str">
        <x:v>Verified for commissioner/platform scope; uk original commission.</x:v>
      </x:c>
      <x:c r="AM983" s="17" t="e">
        <x:f>HYPERLINK("https://en.wikipedia.org/wiki/The_Tower","Open source")</x:f>
        <x:v>HYPERLINK is not implemented. linkLocation=https://en.wikipedia.org/wiki/The_Tower, friendlyName=Open source</x:v>
      </x:c>
      <x:c r="AN983" s="14" t="str">
        <x:v>No qualifying BBC relationship</x:v>
      </x:c>
      <x:c r="AO983" s="14" t="str">
        <x:v>No</x:v>
      </x:c>
      <x:c r="AP983" s="14" t="str">
        <x:v>Out of scope</x:v>
      </x:c>
      <x:c r="AQ983" s="14" t="str">
        <x:v>No</x:v>
      </x:c>
      <x:c r="AR983" s="14" t="str">
        <x:v>Resolved from master register</x:v>
      </x:c>
      <x:c r="AS983" s="14" t="str">
        <x:v>No established-register match</x:v>
      </x:c>
      <x:c r="AT983" s="14"/>
      <x:c r="AU983" s="14"/>
      <x:c r="AV983" s="14" t="str">
        <x:v>No established apparent-disability match</x:v>
      </x:c>
      <x:c r="AW983" s="14"/>
      <x:c r="AX983" s="14" t="str">
        <x:v>No</x:v>
      </x:c>
      <x:c r="AY983" s="14" t="str">
        <x:v>Unmatched</x:v>
      </x:c>
      <x:c r="AZ983" s="14" t="str">
        <x:v>Final supplied register</x:v>
      </x:c>
      <x:c r="BA983" s="14" t="str">
        <x:v>Absence from the register is not evidence that the performer is not disabled.</x:v>
      </x:c>
      <x:c r="BB983" s="14" t="str">
        <x:v>No established-register match</x:v>
      </x:c>
      <x:c r="BC983" s="14"/>
      <x:c r="BD983" s="14"/>
      <x:c r="BE983" s="14"/>
      <x:c r="BF983" s="14" t="str">
        <x:v>No established apparent-disability match</x:v>
      </x:c>
      <x:c r="BG983" s="14"/>
      <x:c r="BH983" s="14" t="str">
        <x:v>No</x:v>
      </x:c>
      <x:c r="BI983" s="14"/>
      <x:c r="BJ983" s="14"/>
      <x:c r="BK983" s="14"/>
      <x:c r="BL983" s="14" t="str">
        <x:v>Unmatched</x:v>
      </x:c>
      <x:c r="BM983" s="14" t="str">
        <x:v>Final supplied register</x:v>
      </x:c>
      <x:c r="BN983" s="14" t="str">
        <x:v>Absence from the register is not evidence that the performer is not disabled.</x:v>
      </x:c>
      <x:c r="BO983" s="14" t="n">
        <x:v>11</x:v>
      </x:c>
      <x:c r="BP983" s="14" t="str">
        <x:v>Maximum eligible IMDb cast-credit total (11), shared by 5 performer(s); not independently verified as a 2021-only episode total.</x:v>
      </x:c>
      <x:c r="BQ983" s="14" t="str">
        <x:v>Medium</x:v>
      </x:c>
      <x:c r="BR983" s="15" t="n">
        <x:v>4</x:v>
      </x:c>
      <x:c r="BS983" s="16" t="n">
        <x:v>0.3636363636363636</x:v>
      </x:c>
      <x:c r="BT983" s="14" t="str">
        <x:v>Minority of episodes</x:v>
      </x:c>
      <x:c r="BU983" s="14" t="str">
        <x:v>Medium</x:v>
      </x:c>
      <x:c r="BV983" s="14" t="str">
        <x:v>Derived from supplied IMDb episode count and the documented production-total proxy.</x:v>
      </x:c>
      <x:c r="BW983" s="14" t="str">
        <x:v>Unable to determine</x:v>
      </x:c>
      <x:c r="BX983" s="14" t="str">
        <x:v>Supplied cast data establishes the credit and episode presence but does not establish narrative prominence.</x:v>
      </x:c>
      <x:c r="BY983" s="14" t="str">
        <x:v>Supplied IMDb cast-list workbook</x:v>
      </x:c>
      <x:c r="BZ98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3" s="14" t="str">
        <x:v>Not classified</x:v>
      </x:c>
      <x:c r="CB983" s="14" t="str">
        <x:v>Unable to determine</x:v>
      </x:c>
      <x:c r="CC983" s="14" t="str">
        <x:v>Unique</x:v>
      </x:c>
      <x:c r="CD983" s="14" t="str">
        <x:v>None identified</x:v>
      </x:c>
    </x:row>
    <x:row r="984">
      <x:c r="A984" s="14" t="str">
        <x:v>tt14364876|nm2383341|loretta kennedy</x:v>
      </x:c>
      <x:c r="B984" s="14" t="str">
        <x:v>04</x:v>
      </x:c>
      <x:c r="C984" s="14" t="str">
        <x:v>2021_IMDb_Cast_Lists_Batch_04(1).xlsx</x:v>
      </x:c>
      <x:c r="D984" s="14" t="str">
        <x:v>The Tower</x:v>
      </x:c>
      <x:c r="E984" s="14" t="n">
        <x:v>38</x:v>
      </x:c>
      <x:c r="F984" s="14" t="str">
        <x:v>The Tower</x:v>
      </x:c>
      <x:c r="G984" s="14" t="str">
        <x:v>tt14364876</x:v>
      </x:c>
      <x:c r="H984" s="14" t="n">
        <x:v>2021</x:v>
      </x:c>
      <x:c r="I984" s="14" t="n">
        <x:v>2023</x:v>
      </x:c>
      <x:c r="J984" s="14" t="str">
        <x:v>Future Carry-Forward Cohort</x:v>
      </x:c>
      <x:c r="K984" s="14" t="n">
        <x:v>2021</x:v>
      </x:c>
      <x:c r="L984" s="14" t="str">
        <x:v>Available from 2021 analysis</x:v>
      </x:c>
      <x:c r="M984" s="15" t="n">
        <x:v>31</x:v>
      </x:c>
      <x:c r="N984" s="14" t="str">
        <x:v>Emmanuella Cole</x:v>
      </x:c>
      <x:c r="O984" s="14" t="str">
        <x:v>nm2383341</x:v>
      </x:c>
      <x:c r="P984" s="14" t="str">
        <x:v>Loretta Kennedy</x:v>
      </x:c>
      <x:c r="Q984" s="15" t="n">
        <x:v>3</x:v>
      </x:c>
      <x:c r="R984" s="14" t="str">
        <x:v>2024</x:v>
      </x:c>
      <x:c r="S984" s="14" t="n">
        <x:v>2024</x:v>
      </x:c>
      <x:c r="T984" s="14" t="n">
        <x:v>2024</x:v>
      </x:c>
      <x:c r="U984" s="14" t="str">
        <x:v>Post-2021 casting excluded</x:v>
      </x:c>
      <x:c r="V984" s="14" t="str">
        <x:v>Earliest supplied year is 2024, later than the 2021 study year.</x:v>
      </x:c>
      <x:c r="W984" s="14"/>
      <x:c r="X984" s="14" t="str">
        <x:v>Carried forward to 2024</x:v>
      </x:c>
      <x:c r="Y984" s="14"/>
      <x:c r="Z984" s="14" t="str">
        <x:v>The Tower.docx</x:v>
      </x:c>
      <x:c r="AA98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4" s="14" t="str">
        <x:v>No established-register match</x:v>
      </x:c>
      <x:c r="AC984" s="14"/>
      <x:c r="AD984" s="14"/>
      <x:c r="AE984" s="14"/>
      <x:c r="AF984" s="14"/>
      <x:c r="AG984" s="14" t="str">
        <x:v>No qualifying conclusion recorded. Absence from the register is not evidence that the performer is not disabled.</x:v>
      </x:c>
      <x:c r="AH984" s="14" t="str">
        <x:v>ITV / ITVX</x:v>
      </x:c>
      <x:c r="AI984" s="14" t="str">
        <x:v>UK original commission</x:v>
      </x:c>
      <x:c r="AJ984" s="14" t="str">
        <x:v>Exact normalised title</x:v>
      </x:c>
      <x:c r="AK984" s="14" t="str">
        <x:v>Medium</x:v>
      </x:c>
      <x:c r="AL984" s="14" t="str">
        <x:v>Verified for commissioner/platform scope; uk original commission.</x:v>
      </x:c>
      <x:c r="AM984" s="17" t="e">
        <x:f>HYPERLINK("https://en.wikipedia.org/wiki/The_Tower","Open source")</x:f>
        <x:v>HYPERLINK is not implemented. linkLocation=https://en.wikipedia.org/wiki/The_Tower, friendlyName=Open source</x:v>
      </x:c>
      <x:c r="AN984" s="14" t="str">
        <x:v>No qualifying BBC relationship</x:v>
      </x:c>
      <x:c r="AO984" s="14" t="str">
        <x:v>No</x:v>
      </x:c>
      <x:c r="AP984" s="14" t="str">
        <x:v>Out of scope</x:v>
      </x:c>
      <x:c r="AQ984" s="14" t="str">
        <x:v>No</x:v>
      </x:c>
      <x:c r="AR984" s="14" t="str">
        <x:v>Resolved from master register</x:v>
      </x:c>
      <x:c r="AS984" s="14" t="str">
        <x:v>No established-register match</x:v>
      </x:c>
      <x:c r="AT984" s="14"/>
      <x:c r="AU984" s="14"/>
      <x:c r="AV984" s="14" t="str">
        <x:v>No established apparent-disability match</x:v>
      </x:c>
      <x:c r="AW984" s="14"/>
      <x:c r="AX984" s="14" t="str">
        <x:v>No</x:v>
      </x:c>
      <x:c r="AY984" s="14" t="str">
        <x:v>Unmatched</x:v>
      </x:c>
      <x:c r="AZ984" s="14" t="str">
        <x:v>Final supplied register</x:v>
      </x:c>
      <x:c r="BA984" s="14" t="str">
        <x:v>Absence from the register is not evidence that the performer is not disabled.</x:v>
      </x:c>
      <x:c r="BB984" s="14" t="str">
        <x:v>No established-register match</x:v>
      </x:c>
      <x:c r="BC984" s="14"/>
      <x:c r="BD984" s="14"/>
      <x:c r="BE984" s="14"/>
      <x:c r="BF984" s="14" t="str">
        <x:v>No established apparent-disability match</x:v>
      </x:c>
      <x:c r="BG984" s="14"/>
      <x:c r="BH984" s="14" t="str">
        <x:v>No</x:v>
      </x:c>
      <x:c r="BI984" s="14"/>
      <x:c r="BJ984" s="14"/>
      <x:c r="BK984" s="14"/>
      <x:c r="BL984" s="14" t="str">
        <x:v>Unmatched</x:v>
      </x:c>
      <x:c r="BM984" s="14" t="str">
        <x:v>Final supplied register</x:v>
      </x:c>
      <x:c r="BN984" s="14" t="str">
        <x:v>Absence from the register is not evidence that the performer is not disabled.</x:v>
      </x:c>
      <x:c r="BO984" s="14" t="n">
        <x:v>11</x:v>
      </x:c>
      <x:c r="BP984" s="14" t="str">
        <x:v>Maximum eligible IMDb cast-credit total (11), shared by 5 performer(s); not independently verified as a 2021-only episode total.</x:v>
      </x:c>
      <x:c r="BQ984" s="14" t="str">
        <x:v>Medium</x:v>
      </x:c>
      <x:c r="BR984" s="15" t="n">
        <x:v>3</x:v>
      </x:c>
      <x:c r="BS984" s="16" t="n">
        <x:v>0.2727272727272727</x:v>
      </x:c>
      <x:c r="BT984" s="14" t="str">
        <x:v>Minority of episodes</x:v>
      </x:c>
      <x:c r="BU984" s="14" t="str">
        <x:v>Medium</x:v>
      </x:c>
      <x:c r="BV984" s="14" t="str">
        <x:v>Derived from supplied IMDb episode count and the documented production-total proxy.</x:v>
      </x:c>
      <x:c r="BW984" s="14" t="str">
        <x:v>Unable to determine</x:v>
      </x:c>
      <x:c r="BX984" s="14" t="str">
        <x:v>Supplied cast data establishes the credit and episode presence but does not establish narrative prominence.</x:v>
      </x:c>
      <x:c r="BY984" s="14" t="str">
        <x:v>Supplied IMDb cast-list workbook</x:v>
      </x:c>
      <x:c r="BZ98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4" s="14" t="str">
        <x:v>Not classified</x:v>
      </x:c>
      <x:c r="CB984" s="14" t="str">
        <x:v>Unable to determine</x:v>
      </x:c>
      <x:c r="CC984" s="14" t="str">
        <x:v>Unique</x:v>
      </x:c>
      <x:c r="CD984" s="14" t="str">
        <x:v>None identified</x:v>
      </x:c>
    </x:row>
    <x:row r="985">
      <x:c r="A985" s="14" t="str">
        <x:v>tt14364876|nm9043517|spencer cardoso</x:v>
      </x:c>
      <x:c r="B985" s="14" t="str">
        <x:v>04</x:v>
      </x:c>
      <x:c r="C985" s="14" t="str">
        <x:v>2021_IMDb_Cast_Lists_Batch_04(1).xlsx</x:v>
      </x:c>
      <x:c r="D985" s="14" t="str">
        <x:v>The Tower</x:v>
      </x:c>
      <x:c r="E985" s="14" t="n">
        <x:v>41</x:v>
      </x:c>
      <x:c r="F985" s="14" t="str">
        <x:v>The Tower</x:v>
      </x:c>
      <x:c r="G985" s="14" t="str">
        <x:v>tt14364876</x:v>
      </x:c>
      <x:c r="H985" s="14" t="n">
        <x:v>2021</x:v>
      </x:c>
      <x:c r="I985" s="14" t="n">
        <x:v>2023</x:v>
      </x:c>
      <x:c r="J985" s="14" t="str">
        <x:v>Future Carry-Forward Cohort</x:v>
      </x:c>
      <x:c r="K985" s="14" t="n">
        <x:v>2021</x:v>
      </x:c>
      <x:c r="L985" s="14" t="str">
        <x:v>Available from 2021 analysis</x:v>
      </x:c>
      <x:c r="M985" s="15" t="n">
        <x:v>34</x:v>
      </x:c>
      <x:c r="N985" s="14" t="str">
        <x:v>Max Fincham</x:v>
      </x:c>
      <x:c r="O985" s="14" t="str">
        <x:v>nm9043517</x:v>
      </x:c>
      <x:c r="P985" s="14" t="str">
        <x:v>Spencer Cardoso</x:v>
      </x:c>
      <x:c r="Q985" s="15" t="n">
        <x:v>3</x:v>
      </x:c>
      <x:c r="R985" s="14" t="str">
        <x:v>2024</x:v>
      </x:c>
      <x:c r="S985" s="14" t="n">
        <x:v>2024</x:v>
      </x:c>
      <x:c r="T985" s="14" t="n">
        <x:v>2024</x:v>
      </x:c>
      <x:c r="U985" s="14" t="str">
        <x:v>Post-2021 casting excluded</x:v>
      </x:c>
      <x:c r="V985" s="14" t="str">
        <x:v>Earliest supplied year is 2024, later than the 2021 study year.</x:v>
      </x:c>
      <x:c r="W985" s="14"/>
      <x:c r="X985" s="14" t="str">
        <x:v>Carried forward to 2024</x:v>
      </x:c>
      <x:c r="Y985" s="14"/>
      <x:c r="Z985" s="14" t="str">
        <x:v>The Tower.docx</x:v>
      </x:c>
      <x:c r="AA98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5" s="14" t="str">
        <x:v>No established-register match</x:v>
      </x:c>
      <x:c r="AC985" s="14"/>
      <x:c r="AD985" s="14"/>
      <x:c r="AE985" s="14"/>
      <x:c r="AF985" s="14"/>
      <x:c r="AG985" s="14" t="str">
        <x:v>No qualifying conclusion recorded. Absence from the register is not evidence that the performer is not disabled.</x:v>
      </x:c>
      <x:c r="AH985" s="14" t="str">
        <x:v>ITV / ITVX</x:v>
      </x:c>
      <x:c r="AI985" s="14" t="str">
        <x:v>UK original commission</x:v>
      </x:c>
      <x:c r="AJ985" s="14" t="str">
        <x:v>Exact normalised title</x:v>
      </x:c>
      <x:c r="AK985" s="14" t="str">
        <x:v>Medium</x:v>
      </x:c>
      <x:c r="AL985" s="14" t="str">
        <x:v>Verified for commissioner/platform scope; uk original commission.</x:v>
      </x:c>
      <x:c r="AM985" s="17" t="e">
        <x:f>HYPERLINK("https://en.wikipedia.org/wiki/The_Tower","Open source")</x:f>
        <x:v>HYPERLINK is not implemented. linkLocation=https://en.wikipedia.org/wiki/The_Tower, friendlyName=Open source</x:v>
      </x:c>
      <x:c r="AN985" s="14" t="str">
        <x:v>No qualifying BBC relationship</x:v>
      </x:c>
      <x:c r="AO985" s="14" t="str">
        <x:v>No</x:v>
      </x:c>
      <x:c r="AP985" s="14" t="str">
        <x:v>Out of scope</x:v>
      </x:c>
      <x:c r="AQ985" s="14" t="str">
        <x:v>No</x:v>
      </x:c>
      <x:c r="AR985" s="14" t="str">
        <x:v>Resolved from master register</x:v>
      </x:c>
      <x:c r="AS985" s="14" t="str">
        <x:v>No established-register match</x:v>
      </x:c>
      <x:c r="AT985" s="14"/>
      <x:c r="AU985" s="14"/>
      <x:c r="AV985" s="14" t="str">
        <x:v>No established apparent-disability match</x:v>
      </x:c>
      <x:c r="AW985" s="14"/>
      <x:c r="AX985" s="14" t="str">
        <x:v>No</x:v>
      </x:c>
      <x:c r="AY985" s="14" t="str">
        <x:v>Unmatched</x:v>
      </x:c>
      <x:c r="AZ985" s="14" t="str">
        <x:v>Final supplied register</x:v>
      </x:c>
      <x:c r="BA985" s="14" t="str">
        <x:v>Absence from the register is not evidence that the performer is not disabled.</x:v>
      </x:c>
      <x:c r="BB985" s="14" t="str">
        <x:v>No established-register match</x:v>
      </x:c>
      <x:c r="BC985" s="14"/>
      <x:c r="BD985" s="14"/>
      <x:c r="BE985" s="14"/>
      <x:c r="BF985" s="14" t="str">
        <x:v>No established apparent-disability match</x:v>
      </x:c>
      <x:c r="BG985" s="14"/>
      <x:c r="BH985" s="14" t="str">
        <x:v>No</x:v>
      </x:c>
      <x:c r="BI985" s="14"/>
      <x:c r="BJ985" s="14"/>
      <x:c r="BK985" s="14"/>
      <x:c r="BL985" s="14" t="str">
        <x:v>Unmatched</x:v>
      </x:c>
      <x:c r="BM985" s="14" t="str">
        <x:v>Final supplied register</x:v>
      </x:c>
      <x:c r="BN985" s="14" t="str">
        <x:v>Absence from the register is not evidence that the performer is not disabled.</x:v>
      </x:c>
      <x:c r="BO985" s="14" t="n">
        <x:v>11</x:v>
      </x:c>
      <x:c r="BP985" s="14" t="str">
        <x:v>Maximum eligible IMDb cast-credit total (11), shared by 5 performer(s); not independently verified as a 2021-only episode total.</x:v>
      </x:c>
      <x:c r="BQ985" s="14" t="str">
        <x:v>Medium</x:v>
      </x:c>
      <x:c r="BR985" s="15" t="n">
        <x:v>3</x:v>
      </x:c>
      <x:c r="BS985" s="16" t="n">
        <x:v>0.2727272727272727</x:v>
      </x:c>
      <x:c r="BT985" s="14" t="str">
        <x:v>Minority of episodes</x:v>
      </x:c>
      <x:c r="BU985" s="14" t="str">
        <x:v>Medium</x:v>
      </x:c>
      <x:c r="BV985" s="14" t="str">
        <x:v>Derived from supplied IMDb episode count and the documented production-total proxy.</x:v>
      </x:c>
      <x:c r="BW985" s="14" t="str">
        <x:v>Unable to determine</x:v>
      </x:c>
      <x:c r="BX985" s="14" t="str">
        <x:v>Supplied cast data establishes the credit and episode presence but does not establish narrative prominence.</x:v>
      </x:c>
      <x:c r="BY985" s="14" t="str">
        <x:v>Supplied IMDb cast-list workbook</x:v>
      </x:c>
      <x:c r="BZ98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5" s="14" t="str">
        <x:v>Not classified</x:v>
      </x:c>
      <x:c r="CB985" s="14" t="str">
        <x:v>Unable to determine</x:v>
      </x:c>
      <x:c r="CC985" s="14" t="str">
        <x:v>Unique</x:v>
      </x:c>
      <x:c r="CD985" s="14" t="str">
        <x:v>None identified</x:v>
      </x:c>
    </x:row>
    <x:row r="986">
      <x:c r="A986" s="14" t="str">
        <x:v>tt14364876|nm14892302|becca</x:v>
      </x:c>
      <x:c r="B986" s="14" t="str">
        <x:v>04</x:v>
      </x:c>
      <x:c r="C986" s="14" t="str">
        <x:v>2021_IMDb_Cast_Lists_Batch_04(1).xlsx</x:v>
      </x:c>
      <x:c r="D986" s="14" t="str">
        <x:v>The Tower</x:v>
      </x:c>
      <x:c r="E986" s="14" t="n">
        <x:v>43</x:v>
      </x:c>
      <x:c r="F986" s="14" t="str">
        <x:v>The Tower</x:v>
      </x:c>
      <x:c r="G986" s="14" t="str">
        <x:v>tt14364876</x:v>
      </x:c>
      <x:c r="H986" s="14" t="n">
        <x:v>2021</x:v>
      </x:c>
      <x:c r="I986" s="14" t="n">
        <x:v>2023</x:v>
      </x:c>
      <x:c r="J986" s="14" t="str">
        <x:v>Future Carry-Forward Cohort</x:v>
      </x:c>
      <x:c r="K986" s="14" t="n">
        <x:v>2021</x:v>
      </x:c>
      <x:c r="L986" s="14" t="str">
        <x:v>Available from 2021 analysis</x:v>
      </x:c>
      <x:c r="M986" s="15" t="n">
        <x:v>36</x:v>
      </x:c>
      <x:c r="N986" s="14" t="str">
        <x:v>Ema Cavolli</x:v>
      </x:c>
      <x:c r="O986" s="14" t="str">
        <x:v>nm14892302</x:v>
      </x:c>
      <x:c r="P986" s="14" t="str">
        <x:v>Becca</x:v>
      </x:c>
      <x:c r="Q986" s="15" t="n">
        <x:v>3</x:v>
      </x:c>
      <x:c r="R986" s="14" t="str">
        <x:v>2024</x:v>
      </x:c>
      <x:c r="S986" s="14" t="n">
        <x:v>2024</x:v>
      </x:c>
      <x:c r="T986" s="14" t="n">
        <x:v>2024</x:v>
      </x:c>
      <x:c r="U986" s="14" t="str">
        <x:v>Post-2021 casting excluded</x:v>
      </x:c>
      <x:c r="V986" s="14" t="str">
        <x:v>Earliest supplied year is 2024, later than the 2021 study year.</x:v>
      </x:c>
      <x:c r="W986" s="14"/>
      <x:c r="X986" s="14" t="str">
        <x:v>Carried forward to 2024</x:v>
      </x:c>
      <x:c r="Y986" s="14"/>
      <x:c r="Z986" s="14" t="str">
        <x:v>The Tower.docx</x:v>
      </x:c>
      <x:c r="AA98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6" s="14" t="str">
        <x:v>No established-register match</x:v>
      </x:c>
      <x:c r="AC986" s="14"/>
      <x:c r="AD986" s="14"/>
      <x:c r="AE986" s="14"/>
      <x:c r="AF986" s="14"/>
      <x:c r="AG986" s="14" t="str">
        <x:v>No qualifying conclusion recorded. Absence from the register is not evidence that the performer is not disabled.</x:v>
      </x:c>
      <x:c r="AH986" s="14" t="str">
        <x:v>ITV / ITVX</x:v>
      </x:c>
      <x:c r="AI986" s="14" t="str">
        <x:v>UK original commission</x:v>
      </x:c>
      <x:c r="AJ986" s="14" t="str">
        <x:v>Exact normalised title</x:v>
      </x:c>
      <x:c r="AK986" s="14" t="str">
        <x:v>Medium</x:v>
      </x:c>
      <x:c r="AL986" s="14" t="str">
        <x:v>Verified for commissioner/platform scope; uk original commission.</x:v>
      </x:c>
      <x:c r="AM986" s="17" t="e">
        <x:f>HYPERLINK("https://en.wikipedia.org/wiki/The_Tower","Open source")</x:f>
        <x:v>HYPERLINK is not implemented. linkLocation=https://en.wikipedia.org/wiki/The_Tower, friendlyName=Open source</x:v>
      </x:c>
      <x:c r="AN986" s="14" t="str">
        <x:v>No qualifying BBC relationship</x:v>
      </x:c>
      <x:c r="AO986" s="14" t="str">
        <x:v>No</x:v>
      </x:c>
      <x:c r="AP986" s="14" t="str">
        <x:v>Out of scope</x:v>
      </x:c>
      <x:c r="AQ986" s="14" t="str">
        <x:v>No</x:v>
      </x:c>
      <x:c r="AR986" s="14" t="str">
        <x:v>Resolved from master register</x:v>
      </x:c>
      <x:c r="AS986" s="14" t="str">
        <x:v>No established-register match</x:v>
      </x:c>
      <x:c r="AT986" s="14"/>
      <x:c r="AU986" s="14"/>
      <x:c r="AV986" s="14" t="str">
        <x:v>No established apparent-disability match</x:v>
      </x:c>
      <x:c r="AW986" s="14"/>
      <x:c r="AX986" s="14" t="str">
        <x:v>No</x:v>
      </x:c>
      <x:c r="AY986" s="14" t="str">
        <x:v>Unmatched</x:v>
      </x:c>
      <x:c r="AZ986" s="14" t="str">
        <x:v>Final supplied register</x:v>
      </x:c>
      <x:c r="BA986" s="14" t="str">
        <x:v>Absence from the register is not evidence that the performer is not disabled.</x:v>
      </x:c>
      <x:c r="BB986" s="14" t="str">
        <x:v>No established-register match</x:v>
      </x:c>
      <x:c r="BC986" s="14"/>
      <x:c r="BD986" s="14"/>
      <x:c r="BE986" s="14"/>
      <x:c r="BF986" s="14" t="str">
        <x:v>No established apparent-disability match</x:v>
      </x:c>
      <x:c r="BG986" s="14"/>
      <x:c r="BH986" s="14" t="str">
        <x:v>No</x:v>
      </x:c>
      <x:c r="BI986" s="14"/>
      <x:c r="BJ986" s="14"/>
      <x:c r="BK986" s="14"/>
      <x:c r="BL986" s="14" t="str">
        <x:v>Unmatched</x:v>
      </x:c>
      <x:c r="BM986" s="14" t="str">
        <x:v>Final supplied register</x:v>
      </x:c>
      <x:c r="BN986" s="14" t="str">
        <x:v>Absence from the register is not evidence that the performer is not disabled.</x:v>
      </x:c>
      <x:c r="BO986" s="14" t="n">
        <x:v>11</x:v>
      </x:c>
      <x:c r="BP986" s="14" t="str">
        <x:v>Maximum eligible IMDb cast-credit total (11), shared by 5 performer(s); not independently verified as a 2021-only episode total.</x:v>
      </x:c>
      <x:c r="BQ986" s="14" t="str">
        <x:v>Medium</x:v>
      </x:c>
      <x:c r="BR986" s="15" t="n">
        <x:v>3</x:v>
      </x:c>
      <x:c r="BS986" s="16" t="n">
        <x:v>0.2727272727272727</x:v>
      </x:c>
      <x:c r="BT986" s="14" t="str">
        <x:v>Minority of episodes</x:v>
      </x:c>
      <x:c r="BU986" s="14" t="str">
        <x:v>Medium</x:v>
      </x:c>
      <x:c r="BV986" s="14" t="str">
        <x:v>Derived from supplied IMDb episode count and the documented production-total proxy.</x:v>
      </x:c>
      <x:c r="BW986" s="14" t="str">
        <x:v>Unable to determine</x:v>
      </x:c>
      <x:c r="BX986" s="14" t="str">
        <x:v>Supplied cast data establishes the credit and episode presence but does not establish narrative prominence.</x:v>
      </x:c>
      <x:c r="BY986" s="14" t="str">
        <x:v>Supplied IMDb cast-list workbook</x:v>
      </x:c>
      <x:c r="BZ98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6" s="14" t="str">
        <x:v>Not classified</x:v>
      </x:c>
      <x:c r="CB986" s="14" t="str">
        <x:v>Unable to determine</x:v>
      </x:c>
      <x:c r="CC986" s="14" t="str">
        <x:v>Unique</x:v>
      </x:c>
      <x:c r="CD986" s="14" t="str">
        <x:v>None identified</x:v>
      </x:c>
    </x:row>
    <x:row r="987">
      <x:c r="A987" s="14" t="str">
        <x:v>tt14364876|nm15577332|lexie moss / lexi moss</x:v>
      </x:c>
      <x:c r="B987" s="14" t="str">
        <x:v>04</x:v>
      </x:c>
      <x:c r="C987" s="14" t="str">
        <x:v>2021_IMDb_Cast_Lists_Batch_04(1).xlsx</x:v>
      </x:c>
      <x:c r="D987" s="14" t="str">
        <x:v>The Tower</x:v>
      </x:c>
      <x:c r="E987" s="14" t="n">
        <x:v>50</x:v>
      </x:c>
      <x:c r="F987" s="14" t="str">
        <x:v>The Tower</x:v>
      </x:c>
      <x:c r="G987" s="14" t="str">
        <x:v>tt14364876</x:v>
      </x:c>
      <x:c r="H987" s="14" t="n">
        <x:v>2021</x:v>
      </x:c>
      <x:c r="I987" s="14" t="n">
        <x:v>2023</x:v>
      </x:c>
      <x:c r="J987" s="14" t="str">
        <x:v>Future Carry-Forward Cohort</x:v>
      </x:c>
      <x:c r="K987" s="14" t="n">
        <x:v>2021</x:v>
      </x:c>
      <x:c r="L987" s="14" t="str">
        <x:v>Available from 2021 analysis</x:v>
      </x:c>
      <x:c r="M987" s="15" t="n">
        <x:v>43</x:v>
      </x:c>
      <x:c r="N987" s="14" t="str">
        <x:v>Allie Aylott</x:v>
      </x:c>
      <x:c r="O987" s="14" t="str">
        <x:v>nm15577332</x:v>
      </x:c>
      <x:c r="P987" s="14" t="str">
        <x:v>Lexie Moss / Lexi Moss</x:v>
      </x:c>
      <x:c r="Q987" s="15" t="n">
        <x:v>2</x:v>
      </x:c>
      <x:c r="R987" s="14" t="str">
        <x:v>2024</x:v>
      </x:c>
      <x:c r="S987" s="14" t="n">
        <x:v>2024</x:v>
      </x:c>
      <x:c r="T987" s="14" t="n">
        <x:v>2024</x:v>
      </x:c>
      <x:c r="U987" s="14" t="str">
        <x:v>Post-2021 casting excluded</x:v>
      </x:c>
      <x:c r="V987" s="14" t="str">
        <x:v>Earliest supplied year is 2024, later than the 2021 study year.</x:v>
      </x:c>
      <x:c r="W987" s="14"/>
      <x:c r="X987" s="14" t="str">
        <x:v>Carried forward to 2024</x:v>
      </x:c>
      <x:c r="Y987" s="14"/>
      <x:c r="Z987" s="14" t="str">
        <x:v>The Tower.docx</x:v>
      </x:c>
      <x:c r="AA98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7" s="14" t="str">
        <x:v>No established-register match</x:v>
      </x:c>
      <x:c r="AC987" s="14"/>
      <x:c r="AD987" s="14"/>
      <x:c r="AE987" s="14"/>
      <x:c r="AF987" s="14"/>
      <x:c r="AG987" s="14" t="str">
        <x:v>No qualifying conclusion recorded. Absence from the register is not evidence that the performer is not disabled.</x:v>
      </x:c>
      <x:c r="AH987" s="14" t="str">
        <x:v>ITV / ITVX</x:v>
      </x:c>
      <x:c r="AI987" s="14" t="str">
        <x:v>UK original commission</x:v>
      </x:c>
      <x:c r="AJ987" s="14" t="str">
        <x:v>Exact normalised title</x:v>
      </x:c>
      <x:c r="AK987" s="14" t="str">
        <x:v>Medium</x:v>
      </x:c>
      <x:c r="AL987" s="14" t="str">
        <x:v>Verified for commissioner/platform scope; uk original commission.</x:v>
      </x:c>
      <x:c r="AM987" s="17" t="e">
        <x:f>HYPERLINK("https://en.wikipedia.org/wiki/The_Tower","Open source")</x:f>
        <x:v>HYPERLINK is not implemented. linkLocation=https://en.wikipedia.org/wiki/The_Tower, friendlyName=Open source</x:v>
      </x:c>
      <x:c r="AN987" s="14" t="str">
        <x:v>No qualifying BBC relationship</x:v>
      </x:c>
      <x:c r="AO987" s="14" t="str">
        <x:v>No</x:v>
      </x:c>
      <x:c r="AP987" s="14" t="str">
        <x:v>Out of scope</x:v>
      </x:c>
      <x:c r="AQ987" s="14" t="str">
        <x:v>No</x:v>
      </x:c>
      <x:c r="AR987" s="14" t="str">
        <x:v>Resolved from master register</x:v>
      </x:c>
      <x:c r="AS987" s="14" t="str">
        <x:v>No established-register match</x:v>
      </x:c>
      <x:c r="AT987" s="14"/>
      <x:c r="AU987" s="14"/>
      <x:c r="AV987" s="14" t="str">
        <x:v>No established apparent-disability match</x:v>
      </x:c>
      <x:c r="AW987" s="14"/>
      <x:c r="AX987" s="14" t="str">
        <x:v>No</x:v>
      </x:c>
      <x:c r="AY987" s="14" t="str">
        <x:v>Unmatched</x:v>
      </x:c>
      <x:c r="AZ987" s="14" t="str">
        <x:v>Final supplied register</x:v>
      </x:c>
      <x:c r="BA987" s="14" t="str">
        <x:v>Absence from the register is not evidence that the performer is not disabled.</x:v>
      </x:c>
      <x:c r="BB987" s="14" t="str">
        <x:v>No established-register match</x:v>
      </x:c>
      <x:c r="BC987" s="14"/>
      <x:c r="BD987" s="14"/>
      <x:c r="BE987" s="14"/>
      <x:c r="BF987" s="14" t="str">
        <x:v>No established apparent-disability match</x:v>
      </x:c>
      <x:c r="BG987" s="14"/>
      <x:c r="BH987" s="14" t="str">
        <x:v>No</x:v>
      </x:c>
      <x:c r="BI987" s="14"/>
      <x:c r="BJ987" s="14"/>
      <x:c r="BK987" s="14"/>
      <x:c r="BL987" s="14" t="str">
        <x:v>Unmatched</x:v>
      </x:c>
      <x:c r="BM987" s="14" t="str">
        <x:v>Final supplied register</x:v>
      </x:c>
      <x:c r="BN987" s="14" t="str">
        <x:v>Absence from the register is not evidence that the performer is not disabled.</x:v>
      </x:c>
      <x:c r="BO987" s="14" t="n">
        <x:v>11</x:v>
      </x:c>
      <x:c r="BP987" s="14" t="str">
        <x:v>Maximum eligible IMDb cast-credit total (11), shared by 5 performer(s); not independently verified as a 2021-only episode total.</x:v>
      </x:c>
      <x:c r="BQ987" s="14" t="str">
        <x:v>Medium</x:v>
      </x:c>
      <x:c r="BR987" s="15" t="n">
        <x:v>2</x:v>
      </x:c>
      <x:c r="BS987" s="16" t="n">
        <x:v>0.1818181818181818</x:v>
      </x:c>
      <x:c r="BT987" s="14" t="str">
        <x:v>Minority of episodes</x:v>
      </x:c>
      <x:c r="BU987" s="14" t="str">
        <x:v>Medium</x:v>
      </x:c>
      <x:c r="BV987" s="14" t="str">
        <x:v>Derived from supplied IMDb episode count and the documented production-total proxy.</x:v>
      </x:c>
      <x:c r="BW987" s="14" t="str">
        <x:v>Unable to determine</x:v>
      </x:c>
      <x:c r="BX987" s="14" t="str">
        <x:v>Supplied cast data establishes the credit and episode presence but does not establish narrative prominence.</x:v>
      </x:c>
      <x:c r="BY987" s="14" t="str">
        <x:v>Supplied IMDb cast-list workbook</x:v>
      </x:c>
      <x:c r="BZ98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7" s="14" t="str">
        <x:v>Not classified</x:v>
      </x:c>
      <x:c r="CB987" s="14" t="str">
        <x:v>Unable to determine</x:v>
      </x:c>
      <x:c r="CC987" s="14" t="str">
        <x:v>Unique</x:v>
      </x:c>
      <x:c r="CD987" s="14" t="str">
        <x:v>None identified</x:v>
      </x:c>
    </x:row>
    <x:row r="988">
      <x:c r="A988" s="14" t="str">
        <x:v>tt14364876|nm2413324|deirdre keir</x:v>
      </x:c>
      <x:c r="B988" s="14" t="str">
        <x:v>04</x:v>
      </x:c>
      <x:c r="C988" s="14" t="str">
        <x:v>2021_IMDb_Cast_Lists_Batch_04(1).xlsx</x:v>
      </x:c>
      <x:c r="D988" s="14" t="str">
        <x:v>The Tower</x:v>
      </x:c>
      <x:c r="E988" s="14" t="n">
        <x:v>53</x:v>
      </x:c>
      <x:c r="F988" s="14" t="str">
        <x:v>The Tower</x:v>
      </x:c>
      <x:c r="G988" s="14" t="str">
        <x:v>tt14364876</x:v>
      </x:c>
      <x:c r="H988" s="14" t="n">
        <x:v>2021</x:v>
      </x:c>
      <x:c r="I988" s="14" t="n">
        <x:v>2023</x:v>
      </x:c>
      <x:c r="J988" s="14" t="str">
        <x:v>Future Carry-Forward Cohort</x:v>
      </x:c>
      <x:c r="K988" s="14" t="n">
        <x:v>2021</x:v>
      </x:c>
      <x:c r="L988" s="14" t="str">
        <x:v>Available from 2021 analysis</x:v>
      </x:c>
      <x:c r="M988" s="15" t="n">
        <x:v>46</x:v>
      </x:c>
      <x:c r="N988" s="14" t="str">
        <x:v>Rosina Carbone</x:v>
      </x:c>
      <x:c r="O988" s="14" t="str">
        <x:v>nm2413324</x:v>
      </x:c>
      <x:c r="P988" s="14" t="str">
        <x:v>Deirdre Keir</x:v>
      </x:c>
      <x:c r="Q988" s="15" t="n">
        <x:v>2</x:v>
      </x:c>
      <x:c r="R988" s="14" t="str">
        <x:v>2024</x:v>
      </x:c>
      <x:c r="S988" s="14" t="n">
        <x:v>2024</x:v>
      </x:c>
      <x:c r="T988" s="14" t="n">
        <x:v>2024</x:v>
      </x:c>
      <x:c r="U988" s="14" t="str">
        <x:v>Post-2021 casting excluded</x:v>
      </x:c>
      <x:c r="V988" s="14" t="str">
        <x:v>Earliest supplied year is 2024, later than the 2021 study year.</x:v>
      </x:c>
      <x:c r="W988" s="14"/>
      <x:c r="X988" s="14" t="str">
        <x:v>Carried forward to 2024</x:v>
      </x:c>
      <x:c r="Y988" s="14"/>
      <x:c r="Z988" s="14" t="str">
        <x:v>The Tower.docx</x:v>
      </x:c>
      <x:c r="AA98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8" s="14" t="str">
        <x:v>No established-register match</x:v>
      </x:c>
      <x:c r="AC988" s="14"/>
      <x:c r="AD988" s="14"/>
      <x:c r="AE988" s="14"/>
      <x:c r="AF988" s="14"/>
      <x:c r="AG988" s="14" t="str">
        <x:v>No qualifying conclusion recorded. Absence from the register is not evidence that the performer is not disabled.</x:v>
      </x:c>
      <x:c r="AH988" s="14" t="str">
        <x:v>ITV / ITVX</x:v>
      </x:c>
      <x:c r="AI988" s="14" t="str">
        <x:v>UK original commission</x:v>
      </x:c>
      <x:c r="AJ988" s="14" t="str">
        <x:v>Exact normalised title</x:v>
      </x:c>
      <x:c r="AK988" s="14" t="str">
        <x:v>Medium</x:v>
      </x:c>
      <x:c r="AL988" s="14" t="str">
        <x:v>Verified for commissioner/platform scope; uk original commission.</x:v>
      </x:c>
      <x:c r="AM988" s="17" t="e">
        <x:f>HYPERLINK("https://en.wikipedia.org/wiki/The_Tower","Open source")</x:f>
        <x:v>HYPERLINK is not implemented. linkLocation=https://en.wikipedia.org/wiki/The_Tower, friendlyName=Open source</x:v>
      </x:c>
      <x:c r="AN988" s="14" t="str">
        <x:v>No qualifying BBC relationship</x:v>
      </x:c>
      <x:c r="AO988" s="14" t="str">
        <x:v>No</x:v>
      </x:c>
      <x:c r="AP988" s="14" t="str">
        <x:v>Out of scope</x:v>
      </x:c>
      <x:c r="AQ988" s="14" t="str">
        <x:v>No</x:v>
      </x:c>
      <x:c r="AR988" s="14" t="str">
        <x:v>Resolved from master register</x:v>
      </x:c>
      <x:c r="AS988" s="14" t="str">
        <x:v>No established-register match</x:v>
      </x:c>
      <x:c r="AT988" s="14"/>
      <x:c r="AU988" s="14"/>
      <x:c r="AV988" s="14" t="str">
        <x:v>No established apparent-disability match</x:v>
      </x:c>
      <x:c r="AW988" s="14"/>
      <x:c r="AX988" s="14" t="str">
        <x:v>No</x:v>
      </x:c>
      <x:c r="AY988" s="14" t="str">
        <x:v>Unmatched</x:v>
      </x:c>
      <x:c r="AZ988" s="14" t="str">
        <x:v>Final supplied register</x:v>
      </x:c>
      <x:c r="BA988" s="14" t="str">
        <x:v>Absence from the register is not evidence that the performer is not disabled.</x:v>
      </x:c>
      <x:c r="BB988" s="14" t="str">
        <x:v>No established-register match</x:v>
      </x:c>
      <x:c r="BC988" s="14"/>
      <x:c r="BD988" s="14"/>
      <x:c r="BE988" s="14"/>
      <x:c r="BF988" s="14" t="str">
        <x:v>No established apparent-disability match</x:v>
      </x:c>
      <x:c r="BG988" s="14"/>
      <x:c r="BH988" s="14" t="str">
        <x:v>No</x:v>
      </x:c>
      <x:c r="BI988" s="14"/>
      <x:c r="BJ988" s="14"/>
      <x:c r="BK988" s="14"/>
      <x:c r="BL988" s="14" t="str">
        <x:v>Unmatched</x:v>
      </x:c>
      <x:c r="BM988" s="14" t="str">
        <x:v>Final supplied register</x:v>
      </x:c>
      <x:c r="BN988" s="14" t="str">
        <x:v>Absence from the register is not evidence that the performer is not disabled.</x:v>
      </x:c>
      <x:c r="BO988" s="14" t="n">
        <x:v>11</x:v>
      </x:c>
      <x:c r="BP988" s="14" t="str">
        <x:v>Maximum eligible IMDb cast-credit total (11), shared by 5 performer(s); not independently verified as a 2021-only episode total.</x:v>
      </x:c>
      <x:c r="BQ988" s="14" t="str">
        <x:v>Medium</x:v>
      </x:c>
      <x:c r="BR988" s="15" t="n">
        <x:v>2</x:v>
      </x:c>
      <x:c r="BS988" s="16" t="n">
        <x:v>0.1818181818181818</x:v>
      </x:c>
      <x:c r="BT988" s="14" t="str">
        <x:v>Minority of episodes</x:v>
      </x:c>
      <x:c r="BU988" s="14" t="str">
        <x:v>Medium</x:v>
      </x:c>
      <x:c r="BV988" s="14" t="str">
        <x:v>Derived from supplied IMDb episode count and the documented production-total proxy.</x:v>
      </x:c>
      <x:c r="BW988" s="14" t="str">
        <x:v>Unable to determine</x:v>
      </x:c>
      <x:c r="BX988" s="14" t="str">
        <x:v>Supplied cast data establishes the credit and episode presence but does not establish narrative prominence.</x:v>
      </x:c>
      <x:c r="BY988" s="14" t="str">
        <x:v>Supplied IMDb cast-list workbook</x:v>
      </x:c>
      <x:c r="BZ98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8" s="14" t="str">
        <x:v>Not classified</x:v>
      </x:c>
      <x:c r="CB988" s="14" t="str">
        <x:v>Unable to determine</x:v>
      </x:c>
      <x:c r="CC988" s="14" t="str">
        <x:v>Unique</x:v>
      </x:c>
      <x:c r="CD988" s="14" t="str">
        <x:v>None identified</x:v>
      </x:c>
    </x:row>
    <x:row r="989">
      <x:c r="A989" s="14" t="str">
        <x:v>tt14364876|nm0571360|victor grimes</x:v>
      </x:c>
      <x:c r="B989" s="14" t="str">
        <x:v>04</x:v>
      </x:c>
      <x:c r="C989" s="14" t="str">
        <x:v>2021_IMDb_Cast_Lists_Batch_04(1).xlsx</x:v>
      </x:c>
      <x:c r="D989" s="14" t="str">
        <x:v>The Tower</x:v>
      </x:c>
      <x:c r="E989" s="14" t="n">
        <x:v>55</x:v>
      </x:c>
      <x:c r="F989" s="14" t="str">
        <x:v>The Tower</x:v>
      </x:c>
      <x:c r="G989" s="14" t="str">
        <x:v>tt14364876</x:v>
      </x:c>
      <x:c r="H989" s="14" t="n">
        <x:v>2021</x:v>
      </x:c>
      <x:c r="I989" s="14" t="n">
        <x:v>2023</x:v>
      </x:c>
      <x:c r="J989" s="14" t="str">
        <x:v>Future Carry-Forward Cohort</x:v>
      </x:c>
      <x:c r="K989" s="14" t="n">
        <x:v>2021</x:v>
      </x:c>
      <x:c r="L989" s="14" t="str">
        <x:v>Available from 2021 analysis</x:v>
      </x:c>
      <x:c r="M989" s="15" t="n">
        <x:v>48</x:v>
      </x:c>
      <x:c r="N989" s="14" t="str">
        <x:v>Ged McKenna</x:v>
      </x:c>
      <x:c r="O989" s="14" t="str">
        <x:v>nm0571360</x:v>
      </x:c>
      <x:c r="P989" s="14" t="str">
        <x:v>Victor Grimes</x:v>
      </x:c>
      <x:c r="Q989" s="15" t="n">
        <x:v>2</x:v>
      </x:c>
      <x:c r="R989" s="14" t="str">
        <x:v>2024</x:v>
      </x:c>
      <x:c r="S989" s="14" t="n">
        <x:v>2024</x:v>
      </x:c>
      <x:c r="T989" s="14" t="n">
        <x:v>2024</x:v>
      </x:c>
      <x:c r="U989" s="14" t="str">
        <x:v>Post-2021 casting excluded</x:v>
      </x:c>
      <x:c r="V989" s="14" t="str">
        <x:v>Earliest supplied year is 2024, later than the 2021 study year.</x:v>
      </x:c>
      <x:c r="W989" s="14"/>
      <x:c r="X989" s="14" t="str">
        <x:v>Carried forward to 2024</x:v>
      </x:c>
      <x:c r="Y989" s="14"/>
      <x:c r="Z989" s="14" t="str">
        <x:v>The Tower.docx</x:v>
      </x:c>
      <x:c r="AA98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9" s="14" t="str">
        <x:v>No established-register match</x:v>
      </x:c>
      <x:c r="AC989" s="14"/>
      <x:c r="AD989" s="14"/>
      <x:c r="AE989" s="14"/>
      <x:c r="AF989" s="14"/>
      <x:c r="AG989" s="14" t="str">
        <x:v>No qualifying conclusion recorded. Absence from the register is not evidence that the performer is not disabled.</x:v>
      </x:c>
      <x:c r="AH989" s="14" t="str">
        <x:v>ITV / ITVX</x:v>
      </x:c>
      <x:c r="AI989" s="14" t="str">
        <x:v>UK original commission</x:v>
      </x:c>
      <x:c r="AJ989" s="14" t="str">
        <x:v>Exact normalised title</x:v>
      </x:c>
      <x:c r="AK989" s="14" t="str">
        <x:v>Medium</x:v>
      </x:c>
      <x:c r="AL989" s="14" t="str">
        <x:v>Verified for commissioner/platform scope; uk original commission.</x:v>
      </x:c>
      <x:c r="AM989" s="17" t="e">
        <x:f>HYPERLINK("https://en.wikipedia.org/wiki/The_Tower","Open source")</x:f>
        <x:v>HYPERLINK is not implemented. linkLocation=https://en.wikipedia.org/wiki/The_Tower, friendlyName=Open source</x:v>
      </x:c>
      <x:c r="AN989" s="14" t="str">
        <x:v>No qualifying BBC relationship</x:v>
      </x:c>
      <x:c r="AO989" s="14" t="str">
        <x:v>No</x:v>
      </x:c>
      <x:c r="AP989" s="14" t="str">
        <x:v>Out of scope</x:v>
      </x:c>
      <x:c r="AQ989" s="14" t="str">
        <x:v>No</x:v>
      </x:c>
      <x:c r="AR989" s="14" t="str">
        <x:v>Resolved from master register</x:v>
      </x:c>
      <x:c r="AS989" s="14" t="str">
        <x:v>No established-register match</x:v>
      </x:c>
      <x:c r="AT989" s="14"/>
      <x:c r="AU989" s="14"/>
      <x:c r="AV989" s="14" t="str">
        <x:v>No established apparent-disability match</x:v>
      </x:c>
      <x:c r="AW989" s="14"/>
      <x:c r="AX989" s="14" t="str">
        <x:v>No</x:v>
      </x:c>
      <x:c r="AY989" s="14" t="str">
        <x:v>Unmatched</x:v>
      </x:c>
      <x:c r="AZ989" s="14" t="str">
        <x:v>Final supplied register</x:v>
      </x:c>
      <x:c r="BA989" s="14" t="str">
        <x:v>Absence from the register is not evidence that the performer is not disabled.</x:v>
      </x:c>
      <x:c r="BB989" s="14" t="str">
        <x:v>No established-register match</x:v>
      </x:c>
      <x:c r="BC989" s="14"/>
      <x:c r="BD989" s="14"/>
      <x:c r="BE989" s="14"/>
      <x:c r="BF989" s="14" t="str">
        <x:v>No established apparent-disability match</x:v>
      </x:c>
      <x:c r="BG989" s="14"/>
      <x:c r="BH989" s="14" t="str">
        <x:v>No</x:v>
      </x:c>
      <x:c r="BI989" s="14"/>
      <x:c r="BJ989" s="14"/>
      <x:c r="BK989" s="14"/>
      <x:c r="BL989" s="14" t="str">
        <x:v>Unmatched</x:v>
      </x:c>
      <x:c r="BM989" s="14" t="str">
        <x:v>Final supplied register</x:v>
      </x:c>
      <x:c r="BN989" s="14" t="str">
        <x:v>Absence from the register is not evidence that the performer is not disabled.</x:v>
      </x:c>
      <x:c r="BO989" s="14" t="n">
        <x:v>11</x:v>
      </x:c>
      <x:c r="BP989" s="14" t="str">
        <x:v>Maximum eligible IMDb cast-credit total (11), shared by 5 performer(s); not independently verified as a 2021-only episode total.</x:v>
      </x:c>
      <x:c r="BQ989" s="14" t="str">
        <x:v>Medium</x:v>
      </x:c>
      <x:c r="BR989" s="15" t="n">
        <x:v>2</x:v>
      </x:c>
      <x:c r="BS989" s="16" t="n">
        <x:v>0.1818181818181818</x:v>
      </x:c>
      <x:c r="BT989" s="14" t="str">
        <x:v>Minority of episodes</x:v>
      </x:c>
      <x:c r="BU989" s="14" t="str">
        <x:v>Medium</x:v>
      </x:c>
      <x:c r="BV989" s="14" t="str">
        <x:v>Derived from supplied IMDb episode count and the documented production-total proxy.</x:v>
      </x:c>
      <x:c r="BW989" s="14" t="str">
        <x:v>Unable to determine</x:v>
      </x:c>
      <x:c r="BX989" s="14" t="str">
        <x:v>Supplied cast data establishes the credit and episode presence but does not establish narrative prominence.</x:v>
      </x:c>
      <x:c r="BY989" s="14" t="str">
        <x:v>Supplied IMDb cast-list workbook</x:v>
      </x:c>
      <x:c r="BZ98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9" s="14" t="str">
        <x:v>Not classified</x:v>
      </x:c>
      <x:c r="CB989" s="14" t="str">
        <x:v>Unable to determine</x:v>
      </x:c>
      <x:c r="CC989" s="14" t="str">
        <x:v>Unique</x:v>
      </x:c>
      <x:c r="CD989" s="14" t="str">
        <x:v>None identified</x:v>
      </x:c>
    </x:row>
    <x:row r="990">
      <x:c r="A990" s="14" t="str">
        <x:v>tt14364876|nm2988528|ds ash curran</x:v>
      </x:c>
      <x:c r="B990" s="14" t="str">
        <x:v>04</x:v>
      </x:c>
      <x:c r="C990" s="14" t="str">
        <x:v>2021_IMDb_Cast_Lists_Batch_04(1).xlsx</x:v>
      </x:c>
      <x:c r="D990" s="14" t="str">
        <x:v>The Tower</x:v>
      </x:c>
      <x:c r="E990" s="14" t="n">
        <x:v>56</x:v>
      </x:c>
      <x:c r="F990" s="14" t="str">
        <x:v>The Tower</x:v>
      </x:c>
      <x:c r="G990" s="14" t="str">
        <x:v>tt14364876</x:v>
      </x:c>
      <x:c r="H990" s="14" t="n">
        <x:v>2021</x:v>
      </x:c>
      <x:c r="I990" s="14" t="n">
        <x:v>2023</x:v>
      </x:c>
      <x:c r="J990" s="14" t="str">
        <x:v>Future Carry-Forward Cohort</x:v>
      </x:c>
      <x:c r="K990" s="14" t="n">
        <x:v>2021</x:v>
      </x:c>
      <x:c r="L990" s="14" t="str">
        <x:v>Available from 2021 analysis</x:v>
      </x:c>
      <x:c r="M990" s="15" t="n">
        <x:v>49</x:v>
      </x:c>
      <x:c r="N990" s="14" t="str">
        <x:v>David O'Reilly</x:v>
      </x:c>
      <x:c r="O990" s="14" t="str">
        <x:v>nm2988528</x:v>
      </x:c>
      <x:c r="P990" s="14" t="str">
        <x:v>DS Ash Curran</x:v>
      </x:c>
      <x:c r="Q990" s="15" t="n">
        <x:v>2</x:v>
      </x:c>
      <x:c r="R990" s="14" t="str">
        <x:v>2024</x:v>
      </x:c>
      <x:c r="S990" s="14" t="n">
        <x:v>2024</x:v>
      </x:c>
      <x:c r="T990" s="14" t="n">
        <x:v>2024</x:v>
      </x:c>
      <x:c r="U990" s="14" t="str">
        <x:v>Post-2021 casting excluded</x:v>
      </x:c>
      <x:c r="V990" s="14" t="str">
        <x:v>Earliest supplied year is 2024, later than the 2021 study year.</x:v>
      </x:c>
      <x:c r="W990" s="14"/>
      <x:c r="X990" s="14" t="str">
        <x:v>Carried forward to 2024</x:v>
      </x:c>
      <x:c r="Y990" s="14"/>
      <x:c r="Z990" s="14" t="str">
        <x:v>The Tower.docx</x:v>
      </x:c>
      <x:c r="AA99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0" s="14" t="str">
        <x:v>No established-register match</x:v>
      </x:c>
      <x:c r="AC990" s="14"/>
      <x:c r="AD990" s="14"/>
      <x:c r="AE990" s="14"/>
      <x:c r="AF990" s="14"/>
      <x:c r="AG990" s="14" t="str">
        <x:v>No qualifying conclusion recorded. Absence from the register is not evidence that the performer is not disabled.</x:v>
      </x:c>
      <x:c r="AH990" s="14" t="str">
        <x:v>ITV / ITVX</x:v>
      </x:c>
      <x:c r="AI990" s="14" t="str">
        <x:v>UK original commission</x:v>
      </x:c>
      <x:c r="AJ990" s="14" t="str">
        <x:v>Exact normalised title</x:v>
      </x:c>
      <x:c r="AK990" s="14" t="str">
        <x:v>Medium</x:v>
      </x:c>
      <x:c r="AL990" s="14" t="str">
        <x:v>Verified for commissioner/platform scope; uk original commission.</x:v>
      </x:c>
      <x:c r="AM990" s="17" t="e">
        <x:f>HYPERLINK("https://en.wikipedia.org/wiki/The_Tower","Open source")</x:f>
        <x:v>HYPERLINK is not implemented. linkLocation=https://en.wikipedia.org/wiki/The_Tower, friendlyName=Open source</x:v>
      </x:c>
      <x:c r="AN990" s="14" t="str">
        <x:v>No qualifying BBC relationship</x:v>
      </x:c>
      <x:c r="AO990" s="14" t="str">
        <x:v>No</x:v>
      </x:c>
      <x:c r="AP990" s="14" t="str">
        <x:v>Out of scope</x:v>
      </x:c>
      <x:c r="AQ990" s="14" t="str">
        <x:v>No</x:v>
      </x:c>
      <x:c r="AR990" s="14" t="str">
        <x:v>Resolved from master register</x:v>
      </x:c>
      <x:c r="AS990" s="14" t="str">
        <x:v>No established-register match</x:v>
      </x:c>
      <x:c r="AT990" s="14"/>
      <x:c r="AU990" s="14"/>
      <x:c r="AV990" s="14" t="str">
        <x:v>No established apparent-disability match</x:v>
      </x:c>
      <x:c r="AW990" s="14"/>
      <x:c r="AX990" s="14" t="str">
        <x:v>No</x:v>
      </x:c>
      <x:c r="AY990" s="14" t="str">
        <x:v>Unmatched</x:v>
      </x:c>
      <x:c r="AZ990" s="14" t="str">
        <x:v>Final supplied register</x:v>
      </x:c>
      <x:c r="BA990" s="14" t="str">
        <x:v>Absence from the register is not evidence that the performer is not disabled.</x:v>
      </x:c>
      <x:c r="BB990" s="14" t="str">
        <x:v>No established-register match</x:v>
      </x:c>
      <x:c r="BC990" s="14"/>
      <x:c r="BD990" s="14"/>
      <x:c r="BE990" s="14"/>
      <x:c r="BF990" s="14" t="str">
        <x:v>No established apparent-disability match</x:v>
      </x:c>
      <x:c r="BG990" s="14"/>
      <x:c r="BH990" s="14" t="str">
        <x:v>No</x:v>
      </x:c>
      <x:c r="BI990" s="14"/>
      <x:c r="BJ990" s="14"/>
      <x:c r="BK990" s="14"/>
      <x:c r="BL990" s="14" t="str">
        <x:v>Unmatched</x:v>
      </x:c>
      <x:c r="BM990" s="14" t="str">
        <x:v>Final supplied register</x:v>
      </x:c>
      <x:c r="BN990" s="14" t="str">
        <x:v>Absence from the register is not evidence that the performer is not disabled.</x:v>
      </x:c>
      <x:c r="BO990" s="14" t="n">
        <x:v>11</x:v>
      </x:c>
      <x:c r="BP990" s="14" t="str">
        <x:v>Maximum eligible IMDb cast-credit total (11), shared by 5 performer(s); not independently verified as a 2021-only episode total.</x:v>
      </x:c>
      <x:c r="BQ990" s="14" t="str">
        <x:v>Medium</x:v>
      </x:c>
      <x:c r="BR990" s="15" t="n">
        <x:v>2</x:v>
      </x:c>
      <x:c r="BS990" s="16" t="n">
        <x:v>0.1818181818181818</x:v>
      </x:c>
      <x:c r="BT990" s="14" t="str">
        <x:v>Minority of episodes</x:v>
      </x:c>
      <x:c r="BU990" s="14" t="str">
        <x:v>Medium</x:v>
      </x:c>
      <x:c r="BV990" s="14" t="str">
        <x:v>Derived from supplied IMDb episode count and the documented production-total proxy.</x:v>
      </x:c>
      <x:c r="BW990" s="14" t="str">
        <x:v>Unable to determine</x:v>
      </x:c>
      <x:c r="BX990" s="14" t="str">
        <x:v>Supplied cast data establishes the credit and episode presence but does not establish narrative prominence.</x:v>
      </x:c>
      <x:c r="BY990" s="14" t="str">
        <x:v>Supplied IMDb cast-list workbook</x:v>
      </x:c>
      <x:c r="BZ99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0" s="14" t="str">
        <x:v>Not classified</x:v>
      </x:c>
      <x:c r="CB990" s="14" t="str">
        <x:v>Unable to determine</x:v>
      </x:c>
      <x:c r="CC990" s="14" t="str">
        <x:v>Unique</x:v>
      </x:c>
      <x:c r="CD990" s="14" t="str">
        <x:v>None identified</x:v>
      </x:c>
    </x:row>
    <x:row r="991">
      <x:c r="A991" s="14" t="str">
        <x:v>tt14364876|nm4051192|michelle jones</x:v>
      </x:c>
      <x:c r="B991" s="14" t="str">
        <x:v>04</x:v>
      </x:c>
      <x:c r="C991" s="14" t="str">
        <x:v>2021_IMDb_Cast_Lists_Batch_04(1).xlsx</x:v>
      </x:c>
      <x:c r="D991" s="14" t="str">
        <x:v>The Tower</x:v>
      </x:c>
      <x:c r="E991" s="14" t="n">
        <x:v>75</x:v>
      </x:c>
      <x:c r="F991" s="14" t="str">
        <x:v>The Tower</x:v>
      </x:c>
      <x:c r="G991" s="14" t="str">
        <x:v>tt14364876</x:v>
      </x:c>
      <x:c r="H991" s="14" t="n">
        <x:v>2021</x:v>
      </x:c>
      <x:c r="I991" s="14" t="n">
        <x:v>2023</x:v>
      </x:c>
      <x:c r="J991" s="14" t="str">
        <x:v>Future Carry-Forward Cohort</x:v>
      </x:c>
      <x:c r="K991" s="14" t="n">
        <x:v>2021</x:v>
      </x:c>
      <x:c r="L991" s="14" t="str">
        <x:v>Available from 2021 analysis</x:v>
      </x:c>
      <x:c r="M991" s="15" t="n">
        <x:v>68</x:v>
      </x:c>
      <x:c r="N991" s="14" t="str">
        <x:v>Terri Reddin</x:v>
      </x:c>
      <x:c r="O991" s="14" t="str">
        <x:v>nm4051192</x:v>
      </x:c>
      <x:c r="P991" s="14" t="str">
        <x:v>Michelle Jones</x:v>
      </x:c>
      <x:c r="Q991" s="15" t="n">
        <x:v>1</x:v>
      </x:c>
      <x:c r="R991" s="14" t="str">
        <x:v>2024</x:v>
      </x:c>
      <x:c r="S991" s="14" t="n">
        <x:v>2024</x:v>
      </x:c>
      <x:c r="T991" s="14" t="n">
        <x:v>2024</x:v>
      </x:c>
      <x:c r="U991" s="14" t="str">
        <x:v>Post-2021 casting excluded</x:v>
      </x:c>
      <x:c r="V991" s="14" t="str">
        <x:v>Earliest supplied year is 2024, later than the 2021 study year.</x:v>
      </x:c>
      <x:c r="W991" s="14"/>
      <x:c r="X991" s="14" t="str">
        <x:v>Carried forward to 2024</x:v>
      </x:c>
      <x:c r="Y991" s="14"/>
      <x:c r="Z991" s="14" t="str">
        <x:v>The Tower.docx</x:v>
      </x:c>
      <x:c r="AA99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1" s="14" t="str">
        <x:v>No established-register match</x:v>
      </x:c>
      <x:c r="AC991" s="14"/>
      <x:c r="AD991" s="14"/>
      <x:c r="AE991" s="14"/>
      <x:c r="AF991" s="14"/>
      <x:c r="AG991" s="14" t="str">
        <x:v>No qualifying conclusion recorded. Absence from the register is not evidence that the performer is not disabled.</x:v>
      </x:c>
      <x:c r="AH991" s="14" t="str">
        <x:v>ITV / ITVX</x:v>
      </x:c>
      <x:c r="AI991" s="14" t="str">
        <x:v>UK original commission</x:v>
      </x:c>
      <x:c r="AJ991" s="14" t="str">
        <x:v>Exact normalised title</x:v>
      </x:c>
      <x:c r="AK991" s="14" t="str">
        <x:v>Medium</x:v>
      </x:c>
      <x:c r="AL991" s="14" t="str">
        <x:v>Verified for commissioner/platform scope; uk original commission.</x:v>
      </x:c>
      <x:c r="AM991" s="17" t="e">
        <x:f>HYPERLINK("https://en.wikipedia.org/wiki/The_Tower","Open source")</x:f>
        <x:v>HYPERLINK is not implemented. linkLocation=https://en.wikipedia.org/wiki/The_Tower, friendlyName=Open source</x:v>
      </x:c>
      <x:c r="AN991" s="14" t="str">
        <x:v>No qualifying BBC relationship</x:v>
      </x:c>
      <x:c r="AO991" s="14" t="str">
        <x:v>No</x:v>
      </x:c>
      <x:c r="AP991" s="14" t="str">
        <x:v>Out of scope</x:v>
      </x:c>
      <x:c r="AQ991" s="14" t="str">
        <x:v>No</x:v>
      </x:c>
      <x:c r="AR991" s="14" t="str">
        <x:v>Resolved from master register</x:v>
      </x:c>
      <x:c r="AS991" s="14" t="str">
        <x:v>No established-register match</x:v>
      </x:c>
      <x:c r="AT991" s="14"/>
      <x:c r="AU991" s="14"/>
      <x:c r="AV991" s="14" t="str">
        <x:v>No established apparent-disability match</x:v>
      </x:c>
      <x:c r="AW991" s="14"/>
      <x:c r="AX991" s="14" t="str">
        <x:v>No</x:v>
      </x:c>
      <x:c r="AY991" s="14" t="str">
        <x:v>Unmatched</x:v>
      </x:c>
      <x:c r="AZ991" s="14" t="str">
        <x:v>Final supplied register</x:v>
      </x:c>
      <x:c r="BA991" s="14" t="str">
        <x:v>Absence from the register is not evidence that the performer is not disabled.</x:v>
      </x:c>
      <x:c r="BB991" s="14" t="str">
        <x:v>No established-register match</x:v>
      </x:c>
      <x:c r="BC991" s="14"/>
      <x:c r="BD991" s="14"/>
      <x:c r="BE991" s="14"/>
      <x:c r="BF991" s="14" t="str">
        <x:v>No established apparent-disability match</x:v>
      </x:c>
      <x:c r="BG991" s="14"/>
      <x:c r="BH991" s="14" t="str">
        <x:v>No</x:v>
      </x:c>
      <x:c r="BI991" s="14"/>
      <x:c r="BJ991" s="14"/>
      <x:c r="BK991" s="14"/>
      <x:c r="BL991" s="14" t="str">
        <x:v>Unmatched</x:v>
      </x:c>
      <x:c r="BM991" s="14" t="str">
        <x:v>Final supplied register</x:v>
      </x:c>
      <x:c r="BN991" s="14" t="str">
        <x:v>Absence from the register is not evidence that the performer is not disabled.</x:v>
      </x:c>
      <x:c r="BO991" s="14" t="n">
        <x:v>11</x:v>
      </x:c>
      <x:c r="BP991" s="14" t="str">
        <x:v>Maximum eligible IMDb cast-credit total (11), shared by 5 performer(s); not independently verified as a 2021-only episode total.</x:v>
      </x:c>
      <x:c r="BQ991" s="14" t="str">
        <x:v>Medium</x:v>
      </x:c>
      <x:c r="BR991" s="15" t="n">
        <x:v>1</x:v>
      </x:c>
      <x:c r="BS991" s="16" t="n">
        <x:v>0.09090909090909091</x:v>
      </x:c>
      <x:c r="BT991" s="14" t="str">
        <x:v>One episode</x:v>
      </x:c>
      <x:c r="BU991" s="14" t="str">
        <x:v>Medium</x:v>
      </x:c>
      <x:c r="BV991" s="14" t="str">
        <x:v>Derived from supplied IMDb episode count and the documented production-total proxy.</x:v>
      </x:c>
      <x:c r="BW991" s="14" t="str">
        <x:v>Unable to determine</x:v>
      </x:c>
      <x:c r="BX991" s="14" t="str">
        <x:v>Supplied cast data establishes the credit and episode presence but does not establish narrative prominence.</x:v>
      </x:c>
      <x:c r="BY991" s="14" t="str">
        <x:v>Supplied IMDb cast-list workbook</x:v>
      </x:c>
      <x:c r="BZ99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1" s="14" t="str">
        <x:v>Not classified</x:v>
      </x:c>
      <x:c r="CB991" s="14" t="str">
        <x:v>Unable to determine</x:v>
      </x:c>
      <x:c r="CC991" s="14" t="str">
        <x:v>Unique</x:v>
      </x:c>
      <x:c r="CD991" s="14" t="str">
        <x:v>None identified</x:v>
      </x:c>
    </x:row>
    <x:row r="992">
      <x:c r="A992" s="14" t="str">
        <x:v>tt14364876|nm3009812|owen pierce</x:v>
      </x:c>
      <x:c r="B992" s="14" t="str">
        <x:v>04</x:v>
      </x:c>
      <x:c r="C992" s="14" t="str">
        <x:v>2021_IMDb_Cast_Lists_Batch_04(1).xlsx</x:v>
      </x:c>
      <x:c r="D992" s="14" t="str">
        <x:v>The Tower</x:v>
      </x:c>
      <x:c r="E992" s="14" t="n">
        <x:v>76</x:v>
      </x:c>
      <x:c r="F992" s="14" t="str">
        <x:v>The Tower</x:v>
      </x:c>
      <x:c r="G992" s="14" t="str">
        <x:v>tt14364876</x:v>
      </x:c>
      <x:c r="H992" s="14" t="n">
        <x:v>2021</x:v>
      </x:c>
      <x:c r="I992" s="14" t="n">
        <x:v>2023</x:v>
      </x:c>
      <x:c r="J992" s="14" t="str">
        <x:v>Future Carry-Forward Cohort</x:v>
      </x:c>
      <x:c r="K992" s="14" t="n">
        <x:v>2021</x:v>
      </x:c>
      <x:c r="L992" s="14" t="str">
        <x:v>Available from 2021 analysis</x:v>
      </x:c>
      <x:c r="M992" s="15" t="n">
        <x:v>69</x:v>
      </x:c>
      <x:c r="N992" s="14" t="str">
        <x:v>Chord Melodic</x:v>
      </x:c>
      <x:c r="O992" s="14" t="str">
        <x:v>nm3009812</x:v>
      </x:c>
      <x:c r="P992" s="14" t="str">
        <x:v>Owen Pierce</x:v>
      </x:c>
      <x:c r="Q992" s="15" t="n">
        <x:v>1</x:v>
      </x:c>
      <x:c r="R992" s="14" t="str">
        <x:v>2024</x:v>
      </x:c>
      <x:c r="S992" s="14" t="n">
        <x:v>2024</x:v>
      </x:c>
      <x:c r="T992" s="14" t="n">
        <x:v>2024</x:v>
      </x:c>
      <x:c r="U992" s="14" t="str">
        <x:v>Post-2021 casting excluded</x:v>
      </x:c>
      <x:c r="V992" s="14" t="str">
        <x:v>Earliest supplied year is 2024, later than the 2021 study year.</x:v>
      </x:c>
      <x:c r="W992" s="14"/>
      <x:c r="X992" s="14" t="str">
        <x:v>Carried forward to 2024</x:v>
      </x:c>
      <x:c r="Y992" s="14"/>
      <x:c r="Z992" s="14" t="str">
        <x:v>The Tower.docx</x:v>
      </x:c>
      <x:c r="AA99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2" s="14" t="str">
        <x:v>No established-register match</x:v>
      </x:c>
      <x:c r="AC992" s="14"/>
      <x:c r="AD992" s="14"/>
      <x:c r="AE992" s="14"/>
      <x:c r="AF992" s="14"/>
      <x:c r="AG992" s="14" t="str">
        <x:v>No qualifying conclusion recorded. Absence from the register is not evidence that the performer is not disabled.</x:v>
      </x:c>
      <x:c r="AH992" s="14" t="str">
        <x:v>ITV / ITVX</x:v>
      </x:c>
      <x:c r="AI992" s="14" t="str">
        <x:v>UK original commission</x:v>
      </x:c>
      <x:c r="AJ992" s="14" t="str">
        <x:v>Exact normalised title</x:v>
      </x:c>
      <x:c r="AK992" s="14" t="str">
        <x:v>Medium</x:v>
      </x:c>
      <x:c r="AL992" s="14" t="str">
        <x:v>Verified for commissioner/platform scope; uk original commission.</x:v>
      </x:c>
      <x:c r="AM992" s="17" t="e">
        <x:f>HYPERLINK("https://en.wikipedia.org/wiki/The_Tower","Open source")</x:f>
        <x:v>HYPERLINK is not implemented. linkLocation=https://en.wikipedia.org/wiki/The_Tower, friendlyName=Open source</x:v>
      </x:c>
      <x:c r="AN992" s="14" t="str">
        <x:v>No qualifying BBC relationship</x:v>
      </x:c>
      <x:c r="AO992" s="14" t="str">
        <x:v>No</x:v>
      </x:c>
      <x:c r="AP992" s="14" t="str">
        <x:v>Out of scope</x:v>
      </x:c>
      <x:c r="AQ992" s="14" t="str">
        <x:v>No</x:v>
      </x:c>
      <x:c r="AR992" s="14" t="str">
        <x:v>Resolved from master register</x:v>
      </x:c>
      <x:c r="AS992" s="14" t="str">
        <x:v>No established-register match</x:v>
      </x:c>
      <x:c r="AT992" s="14"/>
      <x:c r="AU992" s="14"/>
      <x:c r="AV992" s="14" t="str">
        <x:v>No established apparent-disability match</x:v>
      </x:c>
      <x:c r="AW992" s="14"/>
      <x:c r="AX992" s="14" t="str">
        <x:v>No</x:v>
      </x:c>
      <x:c r="AY992" s="14" t="str">
        <x:v>Unmatched</x:v>
      </x:c>
      <x:c r="AZ992" s="14" t="str">
        <x:v>Final supplied register</x:v>
      </x:c>
      <x:c r="BA992" s="14" t="str">
        <x:v>Absence from the register is not evidence that the performer is not disabled.</x:v>
      </x:c>
      <x:c r="BB992" s="14" t="str">
        <x:v>No established-register match</x:v>
      </x:c>
      <x:c r="BC992" s="14"/>
      <x:c r="BD992" s="14"/>
      <x:c r="BE992" s="14"/>
      <x:c r="BF992" s="14" t="str">
        <x:v>No established apparent-disability match</x:v>
      </x:c>
      <x:c r="BG992" s="14"/>
      <x:c r="BH992" s="14" t="str">
        <x:v>No</x:v>
      </x:c>
      <x:c r="BI992" s="14"/>
      <x:c r="BJ992" s="14"/>
      <x:c r="BK992" s="14"/>
      <x:c r="BL992" s="14" t="str">
        <x:v>Unmatched</x:v>
      </x:c>
      <x:c r="BM992" s="14" t="str">
        <x:v>Final supplied register</x:v>
      </x:c>
      <x:c r="BN992" s="14" t="str">
        <x:v>Absence from the register is not evidence that the performer is not disabled.</x:v>
      </x:c>
      <x:c r="BO992" s="14" t="n">
        <x:v>11</x:v>
      </x:c>
      <x:c r="BP992" s="14" t="str">
        <x:v>Maximum eligible IMDb cast-credit total (11), shared by 5 performer(s); not independently verified as a 2021-only episode total.</x:v>
      </x:c>
      <x:c r="BQ992" s="14" t="str">
        <x:v>Medium</x:v>
      </x:c>
      <x:c r="BR992" s="15" t="n">
        <x:v>1</x:v>
      </x:c>
      <x:c r="BS992" s="16" t="n">
        <x:v>0.09090909090909091</x:v>
      </x:c>
      <x:c r="BT992" s="14" t="str">
        <x:v>One episode</x:v>
      </x:c>
      <x:c r="BU992" s="14" t="str">
        <x:v>Medium</x:v>
      </x:c>
      <x:c r="BV992" s="14" t="str">
        <x:v>Derived from supplied IMDb episode count and the documented production-total proxy.</x:v>
      </x:c>
      <x:c r="BW992" s="14" t="str">
        <x:v>Unable to determine</x:v>
      </x:c>
      <x:c r="BX992" s="14" t="str">
        <x:v>Supplied cast data establishes the credit and episode presence but does not establish narrative prominence.</x:v>
      </x:c>
      <x:c r="BY992" s="14" t="str">
        <x:v>Supplied IMDb cast-list workbook</x:v>
      </x:c>
      <x:c r="BZ99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2" s="14" t="str">
        <x:v>Not classified</x:v>
      </x:c>
      <x:c r="CB992" s="14" t="str">
        <x:v>Unable to determine</x:v>
      </x:c>
      <x:c r="CC992" s="14" t="str">
        <x:v>Unique</x:v>
      </x:c>
      <x:c r="CD992" s="14" t="str">
        <x:v>None identified</x:v>
      </x:c>
    </x:row>
    <x:row r="993">
      <x:c r="A993" s="14" t="str">
        <x:v>tt14364876|nm4658697|cindy jarral</x:v>
      </x:c>
      <x:c r="B993" s="14" t="str">
        <x:v>04</x:v>
      </x:c>
      <x:c r="C993" s="14" t="str">
        <x:v>2021_IMDb_Cast_Lists_Batch_04(1).xlsx</x:v>
      </x:c>
      <x:c r="D993" s="14" t="str">
        <x:v>The Tower</x:v>
      </x:c>
      <x:c r="E993" s="14" t="n">
        <x:v>78</x:v>
      </x:c>
      <x:c r="F993" s="14" t="str">
        <x:v>The Tower</x:v>
      </x:c>
      <x:c r="G993" s="14" t="str">
        <x:v>tt14364876</x:v>
      </x:c>
      <x:c r="H993" s="14" t="n">
        <x:v>2021</x:v>
      </x:c>
      <x:c r="I993" s="14" t="n">
        <x:v>2023</x:v>
      </x:c>
      <x:c r="J993" s="14" t="str">
        <x:v>Future Carry-Forward Cohort</x:v>
      </x:c>
      <x:c r="K993" s="14" t="n">
        <x:v>2021</x:v>
      </x:c>
      <x:c r="L993" s="14" t="str">
        <x:v>Available from 2021 analysis</x:v>
      </x:c>
      <x:c r="M993" s="15" t="n">
        <x:v>71</x:v>
      </x:c>
      <x:c r="N993" s="14" t="str">
        <x:v>Shamia Chalabi</x:v>
      </x:c>
      <x:c r="O993" s="14" t="str">
        <x:v>nm4658697</x:v>
      </x:c>
      <x:c r="P993" s="14" t="str">
        <x:v>Cindy Jarral</x:v>
      </x:c>
      <x:c r="Q993" s="15" t="n">
        <x:v>1</x:v>
      </x:c>
      <x:c r="R993" s="14" t="str">
        <x:v>2024</x:v>
      </x:c>
      <x:c r="S993" s="14" t="n">
        <x:v>2024</x:v>
      </x:c>
      <x:c r="T993" s="14" t="n">
        <x:v>2024</x:v>
      </x:c>
      <x:c r="U993" s="14" t="str">
        <x:v>Post-2021 casting excluded</x:v>
      </x:c>
      <x:c r="V993" s="14" t="str">
        <x:v>Earliest supplied year is 2024, later than the 2021 study year.</x:v>
      </x:c>
      <x:c r="W993" s="14"/>
      <x:c r="X993" s="14" t="str">
        <x:v>Carried forward to 2024</x:v>
      </x:c>
      <x:c r="Y993" s="14"/>
      <x:c r="Z993" s="14" t="str">
        <x:v>The Tower.docx</x:v>
      </x:c>
      <x:c r="AA99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3" s="14" t="str">
        <x:v>No established-register match</x:v>
      </x:c>
      <x:c r="AC993" s="14"/>
      <x:c r="AD993" s="14"/>
      <x:c r="AE993" s="14"/>
      <x:c r="AF993" s="14"/>
      <x:c r="AG993" s="14" t="str">
        <x:v>No qualifying conclusion recorded. Absence from the register is not evidence that the performer is not disabled.</x:v>
      </x:c>
      <x:c r="AH993" s="14" t="str">
        <x:v>ITV / ITVX</x:v>
      </x:c>
      <x:c r="AI993" s="14" t="str">
        <x:v>UK original commission</x:v>
      </x:c>
      <x:c r="AJ993" s="14" t="str">
        <x:v>Exact normalised title</x:v>
      </x:c>
      <x:c r="AK993" s="14" t="str">
        <x:v>Medium</x:v>
      </x:c>
      <x:c r="AL993" s="14" t="str">
        <x:v>Verified for commissioner/platform scope; uk original commission.</x:v>
      </x:c>
      <x:c r="AM993" s="17" t="e">
        <x:f>HYPERLINK("https://en.wikipedia.org/wiki/The_Tower","Open source")</x:f>
        <x:v>HYPERLINK is not implemented. linkLocation=https://en.wikipedia.org/wiki/The_Tower, friendlyName=Open source</x:v>
      </x:c>
      <x:c r="AN993" s="14" t="str">
        <x:v>No qualifying BBC relationship</x:v>
      </x:c>
      <x:c r="AO993" s="14" t="str">
        <x:v>No</x:v>
      </x:c>
      <x:c r="AP993" s="14" t="str">
        <x:v>Out of scope</x:v>
      </x:c>
      <x:c r="AQ993" s="14" t="str">
        <x:v>No</x:v>
      </x:c>
      <x:c r="AR993" s="14" t="str">
        <x:v>Resolved from master register</x:v>
      </x:c>
      <x:c r="AS993" s="14" t="str">
        <x:v>No established-register match</x:v>
      </x:c>
      <x:c r="AT993" s="14"/>
      <x:c r="AU993" s="14"/>
      <x:c r="AV993" s="14" t="str">
        <x:v>No established apparent-disability match</x:v>
      </x:c>
      <x:c r="AW993" s="14"/>
      <x:c r="AX993" s="14" t="str">
        <x:v>No</x:v>
      </x:c>
      <x:c r="AY993" s="14" t="str">
        <x:v>Unmatched</x:v>
      </x:c>
      <x:c r="AZ993" s="14" t="str">
        <x:v>Final supplied register</x:v>
      </x:c>
      <x:c r="BA993" s="14" t="str">
        <x:v>Absence from the register is not evidence that the performer is not disabled.</x:v>
      </x:c>
      <x:c r="BB993" s="14" t="str">
        <x:v>No established-register match</x:v>
      </x:c>
      <x:c r="BC993" s="14"/>
      <x:c r="BD993" s="14"/>
      <x:c r="BE993" s="14"/>
      <x:c r="BF993" s="14" t="str">
        <x:v>No established apparent-disability match</x:v>
      </x:c>
      <x:c r="BG993" s="14"/>
      <x:c r="BH993" s="14" t="str">
        <x:v>No</x:v>
      </x:c>
      <x:c r="BI993" s="14"/>
      <x:c r="BJ993" s="14"/>
      <x:c r="BK993" s="14"/>
      <x:c r="BL993" s="14" t="str">
        <x:v>Unmatched</x:v>
      </x:c>
      <x:c r="BM993" s="14" t="str">
        <x:v>Final supplied register</x:v>
      </x:c>
      <x:c r="BN993" s="14" t="str">
        <x:v>Absence from the register is not evidence that the performer is not disabled.</x:v>
      </x:c>
      <x:c r="BO993" s="14" t="n">
        <x:v>11</x:v>
      </x:c>
      <x:c r="BP993" s="14" t="str">
        <x:v>Maximum eligible IMDb cast-credit total (11), shared by 5 performer(s); not independently verified as a 2021-only episode total.</x:v>
      </x:c>
      <x:c r="BQ993" s="14" t="str">
        <x:v>Medium</x:v>
      </x:c>
      <x:c r="BR993" s="15" t="n">
        <x:v>1</x:v>
      </x:c>
      <x:c r="BS993" s="16" t="n">
        <x:v>0.09090909090909091</x:v>
      </x:c>
      <x:c r="BT993" s="14" t="str">
        <x:v>One episode</x:v>
      </x:c>
      <x:c r="BU993" s="14" t="str">
        <x:v>Medium</x:v>
      </x:c>
      <x:c r="BV993" s="14" t="str">
        <x:v>Derived from supplied IMDb episode count and the documented production-total proxy.</x:v>
      </x:c>
      <x:c r="BW993" s="14" t="str">
        <x:v>Unable to determine</x:v>
      </x:c>
      <x:c r="BX993" s="14" t="str">
        <x:v>Supplied cast data establishes the credit and episode presence but does not establish narrative prominence.</x:v>
      </x:c>
      <x:c r="BY993" s="14" t="str">
        <x:v>Supplied IMDb cast-list workbook</x:v>
      </x:c>
      <x:c r="BZ99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3" s="14" t="str">
        <x:v>Not classified</x:v>
      </x:c>
      <x:c r="CB993" s="14" t="str">
        <x:v>Unable to determine</x:v>
      </x:c>
      <x:c r="CC993" s="14" t="str">
        <x:v>Unique</x:v>
      </x:c>
      <x:c r="CD993" s="14" t="str">
        <x:v>None identified</x:v>
      </x:c>
    </x:row>
    <x:row r="994">
      <x:c r="A994" s="14" t="str">
        <x:v>tt14364876|nm10013267|nina khady</x:v>
      </x:c>
      <x:c r="B994" s="14" t="str">
        <x:v>04</x:v>
      </x:c>
      <x:c r="C994" s="14" t="str">
        <x:v>2021_IMDb_Cast_Lists_Batch_04(1).xlsx</x:v>
      </x:c>
      <x:c r="D994" s="14" t="str">
        <x:v>The Tower</x:v>
      </x:c>
      <x:c r="E994" s="14" t="n">
        <x:v>79</x:v>
      </x:c>
      <x:c r="F994" s="14" t="str">
        <x:v>The Tower</x:v>
      </x:c>
      <x:c r="G994" s="14" t="str">
        <x:v>tt14364876</x:v>
      </x:c>
      <x:c r="H994" s="14" t="n">
        <x:v>2021</x:v>
      </x:c>
      <x:c r="I994" s="14" t="n">
        <x:v>2023</x:v>
      </x:c>
      <x:c r="J994" s="14" t="str">
        <x:v>Future Carry-Forward Cohort</x:v>
      </x:c>
      <x:c r="K994" s="14" t="n">
        <x:v>2021</x:v>
      </x:c>
      <x:c r="L994" s="14" t="str">
        <x:v>Available from 2021 analysis</x:v>
      </x:c>
      <x:c r="M994" s="15" t="n">
        <x:v>72</x:v>
      </x:c>
      <x:c r="N994" s="14" t="str">
        <x:v>Janet Etuk</x:v>
      </x:c>
      <x:c r="O994" s="14" t="str">
        <x:v>nm10013267</x:v>
      </x:c>
      <x:c r="P994" s="14" t="str">
        <x:v>Nina Khady</x:v>
      </x:c>
      <x:c r="Q994" s="15" t="n">
        <x:v>1</x:v>
      </x:c>
      <x:c r="R994" s="14" t="str">
        <x:v>2024</x:v>
      </x:c>
      <x:c r="S994" s="14" t="n">
        <x:v>2024</x:v>
      </x:c>
      <x:c r="T994" s="14" t="n">
        <x:v>2024</x:v>
      </x:c>
      <x:c r="U994" s="14" t="str">
        <x:v>Post-2021 casting excluded</x:v>
      </x:c>
      <x:c r="V994" s="14" t="str">
        <x:v>Earliest supplied year is 2024, later than the 2021 study year.</x:v>
      </x:c>
      <x:c r="W994" s="14"/>
      <x:c r="X994" s="14" t="str">
        <x:v>Carried forward to 2024</x:v>
      </x:c>
      <x:c r="Y994" s="14"/>
      <x:c r="Z994" s="14" t="str">
        <x:v>The Tower.docx</x:v>
      </x:c>
      <x:c r="AA99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4" s="14" t="str">
        <x:v>No established-register match</x:v>
      </x:c>
      <x:c r="AC994" s="14"/>
      <x:c r="AD994" s="14"/>
      <x:c r="AE994" s="14"/>
      <x:c r="AF994" s="14"/>
      <x:c r="AG994" s="14" t="str">
        <x:v>No qualifying conclusion recorded. Absence from the register is not evidence that the performer is not disabled.</x:v>
      </x:c>
      <x:c r="AH994" s="14" t="str">
        <x:v>ITV / ITVX</x:v>
      </x:c>
      <x:c r="AI994" s="14" t="str">
        <x:v>UK original commission</x:v>
      </x:c>
      <x:c r="AJ994" s="14" t="str">
        <x:v>Exact normalised title</x:v>
      </x:c>
      <x:c r="AK994" s="14" t="str">
        <x:v>Medium</x:v>
      </x:c>
      <x:c r="AL994" s="14" t="str">
        <x:v>Verified for commissioner/platform scope; uk original commission.</x:v>
      </x:c>
      <x:c r="AM994" s="17" t="e">
        <x:f>HYPERLINK("https://en.wikipedia.org/wiki/The_Tower","Open source")</x:f>
        <x:v>HYPERLINK is not implemented. linkLocation=https://en.wikipedia.org/wiki/The_Tower, friendlyName=Open source</x:v>
      </x:c>
      <x:c r="AN994" s="14" t="str">
        <x:v>No qualifying BBC relationship</x:v>
      </x:c>
      <x:c r="AO994" s="14" t="str">
        <x:v>No</x:v>
      </x:c>
      <x:c r="AP994" s="14" t="str">
        <x:v>Out of scope</x:v>
      </x:c>
      <x:c r="AQ994" s="14" t="str">
        <x:v>No</x:v>
      </x:c>
      <x:c r="AR994" s="14" t="str">
        <x:v>Resolved from master register</x:v>
      </x:c>
      <x:c r="AS994" s="14" t="str">
        <x:v>No established-register match</x:v>
      </x:c>
      <x:c r="AT994" s="14"/>
      <x:c r="AU994" s="14"/>
      <x:c r="AV994" s="14" t="str">
        <x:v>No established apparent-disability match</x:v>
      </x:c>
      <x:c r="AW994" s="14"/>
      <x:c r="AX994" s="14" t="str">
        <x:v>No</x:v>
      </x:c>
      <x:c r="AY994" s="14" t="str">
        <x:v>Unmatched</x:v>
      </x:c>
      <x:c r="AZ994" s="14" t="str">
        <x:v>Final supplied register</x:v>
      </x:c>
      <x:c r="BA994" s="14" t="str">
        <x:v>Absence from the register is not evidence that the performer is not disabled.</x:v>
      </x:c>
      <x:c r="BB994" s="14" t="str">
        <x:v>No established-register match</x:v>
      </x:c>
      <x:c r="BC994" s="14"/>
      <x:c r="BD994" s="14"/>
      <x:c r="BE994" s="14"/>
      <x:c r="BF994" s="14" t="str">
        <x:v>No established apparent-disability match</x:v>
      </x:c>
      <x:c r="BG994" s="14"/>
      <x:c r="BH994" s="14" t="str">
        <x:v>No</x:v>
      </x:c>
      <x:c r="BI994" s="14"/>
      <x:c r="BJ994" s="14"/>
      <x:c r="BK994" s="14"/>
      <x:c r="BL994" s="14" t="str">
        <x:v>Unmatched</x:v>
      </x:c>
      <x:c r="BM994" s="14" t="str">
        <x:v>Final supplied register</x:v>
      </x:c>
      <x:c r="BN994" s="14" t="str">
        <x:v>Absence from the register is not evidence that the performer is not disabled.</x:v>
      </x:c>
      <x:c r="BO994" s="14" t="n">
        <x:v>11</x:v>
      </x:c>
      <x:c r="BP994" s="14" t="str">
        <x:v>Maximum eligible IMDb cast-credit total (11), shared by 5 performer(s); not independently verified as a 2021-only episode total.</x:v>
      </x:c>
      <x:c r="BQ994" s="14" t="str">
        <x:v>Medium</x:v>
      </x:c>
      <x:c r="BR994" s="15" t="n">
        <x:v>1</x:v>
      </x:c>
      <x:c r="BS994" s="16" t="n">
        <x:v>0.09090909090909091</x:v>
      </x:c>
      <x:c r="BT994" s="14" t="str">
        <x:v>One episode</x:v>
      </x:c>
      <x:c r="BU994" s="14" t="str">
        <x:v>Medium</x:v>
      </x:c>
      <x:c r="BV994" s="14" t="str">
        <x:v>Derived from supplied IMDb episode count and the documented production-total proxy.</x:v>
      </x:c>
      <x:c r="BW994" s="14" t="str">
        <x:v>Unable to determine</x:v>
      </x:c>
      <x:c r="BX994" s="14" t="str">
        <x:v>Supplied cast data establishes the credit and episode presence but does not establish narrative prominence.</x:v>
      </x:c>
      <x:c r="BY994" s="14" t="str">
        <x:v>Supplied IMDb cast-list workbook</x:v>
      </x:c>
      <x:c r="BZ99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4" s="14" t="str">
        <x:v>Not classified</x:v>
      </x:c>
      <x:c r="CB994" s="14" t="str">
        <x:v>Unable to determine</x:v>
      </x:c>
      <x:c r="CC994" s="14" t="str">
        <x:v>Unique</x:v>
      </x:c>
      <x:c r="CD994" s="14" t="str">
        <x:v>None identified</x:v>
      </x:c>
    </x:row>
    <x:row r="995">
      <x:c r="A995" s="14" t="str">
        <x:v>tt14364876|nm12826507|danny kane</x:v>
      </x:c>
      <x:c r="B995" s="14" t="str">
        <x:v>04</x:v>
      </x:c>
      <x:c r="C995" s="14" t="str">
        <x:v>2021_IMDb_Cast_Lists_Batch_04(1).xlsx</x:v>
      </x:c>
      <x:c r="D995" s="14" t="str">
        <x:v>The Tower</x:v>
      </x:c>
      <x:c r="E995" s="14" t="n">
        <x:v>81</x:v>
      </x:c>
      <x:c r="F995" s="14" t="str">
        <x:v>The Tower</x:v>
      </x:c>
      <x:c r="G995" s="14" t="str">
        <x:v>tt14364876</x:v>
      </x:c>
      <x:c r="H995" s="14" t="n">
        <x:v>2021</x:v>
      </x:c>
      <x:c r="I995" s="14" t="n">
        <x:v>2023</x:v>
      </x:c>
      <x:c r="J995" s="14" t="str">
        <x:v>Future Carry-Forward Cohort</x:v>
      </x:c>
      <x:c r="K995" s="14" t="n">
        <x:v>2021</x:v>
      </x:c>
      <x:c r="L995" s="14" t="str">
        <x:v>Available from 2021 analysis</x:v>
      </x:c>
      <x:c r="M995" s="15" t="n">
        <x:v>74</x:v>
      </x:c>
      <x:c r="N995" s="14" t="str">
        <x:v>Lewis William Magee</x:v>
      </x:c>
      <x:c r="O995" s="14" t="str">
        <x:v>nm12826507</x:v>
      </x:c>
      <x:c r="P995" s="14" t="str">
        <x:v>Danny Kane</x:v>
      </x:c>
      <x:c r="Q995" s="15" t="n">
        <x:v>1</x:v>
      </x:c>
      <x:c r="R995" s="14" t="str">
        <x:v>2024</x:v>
      </x:c>
      <x:c r="S995" s="14" t="n">
        <x:v>2024</x:v>
      </x:c>
      <x:c r="T995" s="14" t="n">
        <x:v>2024</x:v>
      </x:c>
      <x:c r="U995" s="14" t="str">
        <x:v>Post-2021 casting excluded</x:v>
      </x:c>
      <x:c r="V995" s="14" t="str">
        <x:v>Earliest supplied year is 2024, later than the 2021 study year.</x:v>
      </x:c>
      <x:c r="W995" s="14"/>
      <x:c r="X995" s="14" t="str">
        <x:v>Carried forward to 2024</x:v>
      </x:c>
      <x:c r="Y995" s="14"/>
      <x:c r="Z995" s="14" t="str">
        <x:v>The Tower.docx</x:v>
      </x:c>
      <x:c r="AA99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5" s="14" t="str">
        <x:v>No established-register match</x:v>
      </x:c>
      <x:c r="AC995" s="14"/>
      <x:c r="AD995" s="14"/>
      <x:c r="AE995" s="14"/>
      <x:c r="AF995" s="14"/>
      <x:c r="AG995" s="14" t="str">
        <x:v>No qualifying conclusion recorded. Absence from the register is not evidence that the performer is not disabled.</x:v>
      </x:c>
      <x:c r="AH995" s="14" t="str">
        <x:v>ITV / ITVX</x:v>
      </x:c>
      <x:c r="AI995" s="14" t="str">
        <x:v>UK original commission</x:v>
      </x:c>
      <x:c r="AJ995" s="14" t="str">
        <x:v>Exact normalised title</x:v>
      </x:c>
      <x:c r="AK995" s="14" t="str">
        <x:v>Medium</x:v>
      </x:c>
      <x:c r="AL995" s="14" t="str">
        <x:v>Verified for commissioner/platform scope; uk original commission.</x:v>
      </x:c>
      <x:c r="AM995" s="17" t="e">
        <x:f>HYPERLINK("https://en.wikipedia.org/wiki/The_Tower","Open source")</x:f>
        <x:v>HYPERLINK is not implemented. linkLocation=https://en.wikipedia.org/wiki/The_Tower, friendlyName=Open source</x:v>
      </x:c>
      <x:c r="AN995" s="14" t="str">
        <x:v>No qualifying BBC relationship</x:v>
      </x:c>
      <x:c r="AO995" s="14" t="str">
        <x:v>No</x:v>
      </x:c>
      <x:c r="AP995" s="14" t="str">
        <x:v>Out of scope</x:v>
      </x:c>
      <x:c r="AQ995" s="14" t="str">
        <x:v>No</x:v>
      </x:c>
      <x:c r="AR995" s="14" t="str">
        <x:v>Resolved from master register</x:v>
      </x:c>
      <x:c r="AS995" s="14" t="str">
        <x:v>No established-register match</x:v>
      </x:c>
      <x:c r="AT995" s="14"/>
      <x:c r="AU995" s="14"/>
      <x:c r="AV995" s="14" t="str">
        <x:v>No established apparent-disability match</x:v>
      </x:c>
      <x:c r="AW995" s="14"/>
      <x:c r="AX995" s="14" t="str">
        <x:v>No</x:v>
      </x:c>
      <x:c r="AY995" s="14" t="str">
        <x:v>Unmatched</x:v>
      </x:c>
      <x:c r="AZ995" s="14" t="str">
        <x:v>Final supplied register</x:v>
      </x:c>
      <x:c r="BA995" s="14" t="str">
        <x:v>Absence from the register is not evidence that the performer is not disabled.</x:v>
      </x:c>
      <x:c r="BB995" s="14" t="str">
        <x:v>No established-register match</x:v>
      </x:c>
      <x:c r="BC995" s="14"/>
      <x:c r="BD995" s="14"/>
      <x:c r="BE995" s="14"/>
      <x:c r="BF995" s="14" t="str">
        <x:v>No established apparent-disability match</x:v>
      </x:c>
      <x:c r="BG995" s="14"/>
      <x:c r="BH995" s="14" t="str">
        <x:v>No</x:v>
      </x:c>
      <x:c r="BI995" s="14"/>
      <x:c r="BJ995" s="14"/>
      <x:c r="BK995" s="14"/>
      <x:c r="BL995" s="14" t="str">
        <x:v>Unmatched</x:v>
      </x:c>
      <x:c r="BM995" s="14" t="str">
        <x:v>Final supplied register</x:v>
      </x:c>
      <x:c r="BN995" s="14" t="str">
        <x:v>Absence from the register is not evidence that the performer is not disabled.</x:v>
      </x:c>
      <x:c r="BO995" s="14" t="n">
        <x:v>11</x:v>
      </x:c>
      <x:c r="BP995" s="14" t="str">
        <x:v>Maximum eligible IMDb cast-credit total (11), shared by 5 performer(s); not independently verified as a 2021-only episode total.</x:v>
      </x:c>
      <x:c r="BQ995" s="14" t="str">
        <x:v>Medium</x:v>
      </x:c>
      <x:c r="BR995" s="15" t="n">
        <x:v>1</x:v>
      </x:c>
      <x:c r="BS995" s="16" t="n">
        <x:v>0.09090909090909091</x:v>
      </x:c>
      <x:c r="BT995" s="14" t="str">
        <x:v>One episode</x:v>
      </x:c>
      <x:c r="BU995" s="14" t="str">
        <x:v>Medium</x:v>
      </x:c>
      <x:c r="BV995" s="14" t="str">
        <x:v>Derived from supplied IMDb episode count and the documented production-total proxy.</x:v>
      </x:c>
      <x:c r="BW995" s="14" t="str">
        <x:v>Unable to determine</x:v>
      </x:c>
      <x:c r="BX995" s="14" t="str">
        <x:v>Supplied cast data establishes the credit and episode presence but does not establish narrative prominence.</x:v>
      </x:c>
      <x:c r="BY995" s="14" t="str">
        <x:v>Supplied IMDb cast-list workbook</x:v>
      </x:c>
      <x:c r="BZ99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5" s="14" t="str">
        <x:v>Not classified</x:v>
      </x:c>
      <x:c r="CB995" s="14" t="str">
        <x:v>Unable to determine</x:v>
      </x:c>
      <x:c r="CC995" s="14" t="str">
        <x:v>Unique</x:v>
      </x:c>
      <x:c r="CD995" s="14" t="str">
        <x:v>None identified</x:v>
      </x:c>
    </x:row>
    <x:row r="996">
      <x:c r="A996" s="14" t="str">
        <x:v>tt14364876|nm13591512|shania</x:v>
      </x:c>
      <x:c r="B996" s="14" t="str">
        <x:v>04</x:v>
      </x:c>
      <x:c r="C996" s="14" t="str">
        <x:v>2021_IMDb_Cast_Lists_Batch_04(1).xlsx</x:v>
      </x:c>
      <x:c r="D996" s="14" t="str">
        <x:v>The Tower</x:v>
      </x:c>
      <x:c r="E996" s="14" t="n">
        <x:v>89</x:v>
      </x:c>
      <x:c r="F996" s="14" t="str">
        <x:v>The Tower</x:v>
      </x:c>
      <x:c r="G996" s="14" t="str">
        <x:v>tt14364876</x:v>
      </x:c>
      <x:c r="H996" s="14" t="n">
        <x:v>2021</x:v>
      </x:c>
      <x:c r="I996" s="14" t="n">
        <x:v>2023</x:v>
      </x:c>
      <x:c r="J996" s="14" t="str">
        <x:v>Future Carry-Forward Cohort</x:v>
      </x:c>
      <x:c r="K996" s="14" t="n">
        <x:v>2021</x:v>
      </x:c>
      <x:c r="L996" s="14" t="str">
        <x:v>Available from 2021 analysis</x:v>
      </x:c>
      <x:c r="M996" s="15" t="n">
        <x:v>82</x:v>
      </x:c>
      <x:c r="N996" s="14" t="str">
        <x:v>Amara Atwal</x:v>
      </x:c>
      <x:c r="O996" s="14" t="str">
        <x:v>nm13591512</x:v>
      </x:c>
      <x:c r="P996" s="14" t="str">
        <x:v>Shania</x:v>
      </x:c>
      <x:c r="Q996" s="15" t="n">
        <x:v>1</x:v>
      </x:c>
      <x:c r="R996" s="14" t="str">
        <x:v>2024</x:v>
      </x:c>
      <x:c r="S996" s="14" t="n">
        <x:v>2024</x:v>
      </x:c>
      <x:c r="T996" s="14" t="n">
        <x:v>2024</x:v>
      </x:c>
      <x:c r="U996" s="14" t="str">
        <x:v>Post-2021 casting excluded</x:v>
      </x:c>
      <x:c r="V996" s="14" t="str">
        <x:v>Earliest supplied year is 2024, later than the 2021 study year.</x:v>
      </x:c>
      <x:c r="W996" s="14"/>
      <x:c r="X996" s="14" t="str">
        <x:v>Carried forward to 2024</x:v>
      </x:c>
      <x:c r="Y996" s="14"/>
      <x:c r="Z996" s="14" t="str">
        <x:v>The Tower.docx</x:v>
      </x:c>
      <x:c r="AA99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6" s="14" t="str">
        <x:v>No established-register match</x:v>
      </x:c>
      <x:c r="AC996" s="14"/>
      <x:c r="AD996" s="14"/>
      <x:c r="AE996" s="14"/>
      <x:c r="AF996" s="14"/>
      <x:c r="AG996" s="14" t="str">
        <x:v>No qualifying conclusion recorded. Absence from the register is not evidence that the performer is not disabled.</x:v>
      </x:c>
      <x:c r="AH996" s="14" t="str">
        <x:v>ITV / ITVX</x:v>
      </x:c>
      <x:c r="AI996" s="14" t="str">
        <x:v>UK original commission</x:v>
      </x:c>
      <x:c r="AJ996" s="14" t="str">
        <x:v>Exact normalised title</x:v>
      </x:c>
      <x:c r="AK996" s="14" t="str">
        <x:v>Medium</x:v>
      </x:c>
      <x:c r="AL996" s="14" t="str">
        <x:v>Verified for commissioner/platform scope; uk original commission.</x:v>
      </x:c>
      <x:c r="AM996" s="17" t="e">
        <x:f>HYPERLINK("https://en.wikipedia.org/wiki/The_Tower","Open source")</x:f>
        <x:v>HYPERLINK is not implemented. linkLocation=https://en.wikipedia.org/wiki/The_Tower, friendlyName=Open source</x:v>
      </x:c>
      <x:c r="AN996" s="14" t="str">
        <x:v>No qualifying BBC relationship</x:v>
      </x:c>
      <x:c r="AO996" s="14" t="str">
        <x:v>No</x:v>
      </x:c>
      <x:c r="AP996" s="14" t="str">
        <x:v>Out of scope</x:v>
      </x:c>
      <x:c r="AQ996" s="14" t="str">
        <x:v>No</x:v>
      </x:c>
      <x:c r="AR996" s="14" t="str">
        <x:v>Resolved from master register</x:v>
      </x:c>
      <x:c r="AS996" s="14" t="str">
        <x:v>No established-register match</x:v>
      </x:c>
      <x:c r="AT996" s="14"/>
      <x:c r="AU996" s="14"/>
      <x:c r="AV996" s="14" t="str">
        <x:v>No established apparent-disability match</x:v>
      </x:c>
      <x:c r="AW996" s="14"/>
      <x:c r="AX996" s="14" t="str">
        <x:v>No</x:v>
      </x:c>
      <x:c r="AY996" s="14" t="str">
        <x:v>Unmatched</x:v>
      </x:c>
      <x:c r="AZ996" s="14" t="str">
        <x:v>Final supplied register</x:v>
      </x:c>
      <x:c r="BA996" s="14" t="str">
        <x:v>Absence from the register is not evidence that the performer is not disabled.</x:v>
      </x:c>
      <x:c r="BB996" s="14" t="str">
        <x:v>No established-register match</x:v>
      </x:c>
      <x:c r="BC996" s="14"/>
      <x:c r="BD996" s="14"/>
      <x:c r="BE996" s="14"/>
      <x:c r="BF996" s="14" t="str">
        <x:v>No established apparent-disability match</x:v>
      </x:c>
      <x:c r="BG996" s="14"/>
      <x:c r="BH996" s="14" t="str">
        <x:v>No</x:v>
      </x:c>
      <x:c r="BI996" s="14"/>
      <x:c r="BJ996" s="14"/>
      <x:c r="BK996" s="14"/>
      <x:c r="BL996" s="14" t="str">
        <x:v>Unmatched</x:v>
      </x:c>
      <x:c r="BM996" s="14" t="str">
        <x:v>Final supplied register</x:v>
      </x:c>
      <x:c r="BN996" s="14" t="str">
        <x:v>Absence from the register is not evidence that the performer is not disabled.</x:v>
      </x:c>
      <x:c r="BO996" s="14" t="n">
        <x:v>11</x:v>
      </x:c>
      <x:c r="BP996" s="14" t="str">
        <x:v>Maximum eligible IMDb cast-credit total (11), shared by 5 performer(s); not independently verified as a 2021-only episode total.</x:v>
      </x:c>
      <x:c r="BQ996" s="14" t="str">
        <x:v>Medium</x:v>
      </x:c>
      <x:c r="BR996" s="15" t="n">
        <x:v>1</x:v>
      </x:c>
      <x:c r="BS996" s="16" t="n">
        <x:v>0.09090909090909091</x:v>
      </x:c>
      <x:c r="BT996" s="14" t="str">
        <x:v>One episode</x:v>
      </x:c>
      <x:c r="BU996" s="14" t="str">
        <x:v>Medium</x:v>
      </x:c>
      <x:c r="BV996" s="14" t="str">
        <x:v>Derived from supplied IMDb episode count and the documented production-total proxy.</x:v>
      </x:c>
      <x:c r="BW996" s="14" t="str">
        <x:v>Unable to determine</x:v>
      </x:c>
      <x:c r="BX996" s="14" t="str">
        <x:v>Supplied cast data establishes the credit and episode presence but does not establish narrative prominence.</x:v>
      </x:c>
      <x:c r="BY996" s="14" t="str">
        <x:v>Supplied IMDb cast-list workbook</x:v>
      </x:c>
      <x:c r="BZ99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6" s="14" t="str">
        <x:v>Not classified</x:v>
      </x:c>
      <x:c r="CB996" s="14" t="str">
        <x:v>Unable to determine</x:v>
      </x:c>
      <x:c r="CC996" s="14" t="str">
        <x:v>Unique</x:v>
      </x:c>
      <x:c r="CD996" s="14" t="str">
        <x:v>None identified</x:v>
      </x:c>
    </x:row>
    <x:row r="997">
      <x:c r="A997" s="14" t="str">
        <x:v>tt10846104|nm5735256|billy</x:v>
      </x:c>
      <x:c r="B997" s="14" t="str">
        <x:v>05</x:v>
      </x:c>
      <x:c r="C997" s="14" t="str">
        <x:v>2021_IMDb_Cast_Lists_Batch_05(1).xlsx</x:v>
      </x:c>
      <x:c r="D997" s="14" t="str">
        <x:v>We Are Lady Parts</x:v>
      </x:c>
      <x:c r="E997" s="14" t="n">
        <x:v>22</x:v>
      </x:c>
      <x:c r="F997" s="14" t="str">
        <x:v>We Are Lady Parts</x:v>
      </x:c>
      <x:c r="G997" s="14" t="str">
        <x:v>tt10846104</x:v>
      </x:c>
      <x:c r="H997" s="14" t="n">
        <x:v>2021</x:v>
      </x:c>
      <x:c r="I997" s="14" t="n">
        <x:v>2023</x:v>
      </x:c>
      <x:c r="J997" s="14" t="str">
        <x:v>Future Carry-Forward Cohort</x:v>
      </x:c>
      <x:c r="K997" s="14" t="n">
        <x:v>2021</x:v>
      </x:c>
      <x:c r="L997" s="14" t="str">
        <x:v>Available from 2021 analysis</x:v>
      </x:c>
      <x:c r="M997" s="15" t="n">
        <x:v>15</x:v>
      </x:c>
      <x:c r="N997" s="14" t="str">
        <x:v>Jack Riddiford</x:v>
      </x:c>
      <x:c r="O997" s="14" t="str">
        <x:v>nm5735256</x:v>
      </x:c>
      <x:c r="P997" s="14" t="str">
        <x:v>Billy</x:v>
      </x:c>
      <x:c r="Q997" s="15" t="n">
        <x:v>5</x:v>
      </x:c>
      <x:c r="R997" s="14" t="str">
        <x:v>2024</x:v>
      </x:c>
      <x:c r="S997" s="14" t="n">
        <x:v>2024</x:v>
      </x:c>
      <x:c r="T997" s="14" t="n">
        <x:v>2024</x:v>
      </x:c>
      <x:c r="U997" s="14" t="str">
        <x:v>Post-2021 casting excluded</x:v>
      </x:c>
      <x:c r="V997" s="14" t="str">
        <x:v>Earliest supplied year is 2024, later than the 2021 study year.</x:v>
      </x:c>
      <x:c r="W997" s="14"/>
      <x:c r="X997" s="14" t="str">
        <x:v>Carried forward to 2024</x:v>
      </x:c>
      <x:c r="Y997" s="14"/>
      <x:c r="Z997" s="14" t="str">
        <x:v>We Are Lady Parts.docx</x:v>
      </x:c>
      <x:c r="AA99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997" s="14" t="str">
        <x:v>No established-register match</x:v>
      </x:c>
      <x:c r="AC997" s="14"/>
      <x:c r="AD997" s="14"/>
      <x:c r="AE997" s="14"/>
      <x:c r="AF997" s="14"/>
      <x:c r="AG997" s="14" t="str">
        <x:v>No qualifying conclusion recorded. Absence from the register is not evidence that the performer is not disabled.</x:v>
      </x:c>
      <x:c r="AH997" s="14" t="str">
        <x:v>Channel 4 / E4</x:v>
      </x:c>
      <x:c r="AI997" s="14" t="str">
        <x:v>UK original commission</x:v>
      </x:c>
      <x:c r="AJ997" s="14" t="str">
        <x:v>Exact normalised title</x:v>
      </x:c>
      <x:c r="AK997" s="14" t="str">
        <x:v>Medium</x:v>
      </x:c>
      <x:c r="AL997" s="14" t="str">
        <x:v>Verified for commissioner/platform scope; uk original commission.</x:v>
      </x:c>
      <x:c r="AM997" s="17" t="e">
        <x:f>HYPERLINK("https://en.wikipedia.org/wiki/We_Are_Lady_Parts","Open source")</x:f>
        <x:v>HYPERLINK is not implemented. linkLocation=https://en.wikipedia.org/wiki/We_Are_Lady_Parts, friendlyName=Open source</x:v>
      </x:c>
      <x:c r="AN997" s="14" t="str">
        <x:v>No qualifying BBC relationship</x:v>
      </x:c>
      <x:c r="AO997" s="14" t="str">
        <x:v>No</x:v>
      </x:c>
      <x:c r="AP997" s="14" t="str">
        <x:v>Out of scope</x:v>
      </x:c>
      <x:c r="AQ997" s="14" t="str">
        <x:v>No</x:v>
      </x:c>
      <x:c r="AR997" s="14" t="str">
        <x:v>Resolved from master register</x:v>
      </x:c>
      <x:c r="AS997" s="14" t="str">
        <x:v>No established-register match</x:v>
      </x:c>
      <x:c r="AT997" s="14"/>
      <x:c r="AU997" s="14"/>
      <x:c r="AV997" s="14" t="str">
        <x:v>No established apparent-disability match</x:v>
      </x:c>
      <x:c r="AW997" s="14"/>
      <x:c r="AX997" s="14" t="str">
        <x:v>No</x:v>
      </x:c>
      <x:c r="AY997" s="14" t="str">
        <x:v>Unmatched</x:v>
      </x:c>
      <x:c r="AZ997" s="14" t="str">
        <x:v>Final supplied register</x:v>
      </x:c>
      <x:c r="BA997" s="14" t="str">
        <x:v>Absence from the register is not evidence that the performer is not disabled.</x:v>
      </x:c>
      <x:c r="BB997" s="14" t="str">
        <x:v>No established-register match</x:v>
      </x:c>
      <x:c r="BC997" s="14"/>
      <x:c r="BD997" s="14"/>
      <x:c r="BE997" s="14"/>
      <x:c r="BF997" s="14" t="str">
        <x:v>No established apparent-disability match</x:v>
      </x:c>
      <x:c r="BG997" s="14"/>
      <x:c r="BH997" s="14" t="str">
        <x:v>No</x:v>
      </x:c>
      <x:c r="BI997" s="14"/>
      <x:c r="BJ997" s="14"/>
      <x:c r="BK997" s="14"/>
      <x:c r="BL997" s="14" t="str">
        <x:v>Unmatched</x:v>
      </x:c>
      <x:c r="BM997" s="14" t="str">
        <x:v>Final supplied register</x:v>
      </x:c>
      <x:c r="BN997" s="14" t="str">
        <x:v>Absence from the register is not evidence that the performer is not disabled.</x:v>
      </x:c>
      <x:c r="BO997" s="14" t="n">
        <x:v>12</x:v>
      </x:c>
      <x:c r="BP997" s="14" t="str">
        <x:v>Maximum eligible IMDb cast-credit total (12), shared by 6 performer(s); not independently verified as a 2021-only episode total.</x:v>
      </x:c>
      <x:c r="BQ997" s="14" t="str">
        <x:v>Medium</x:v>
      </x:c>
      <x:c r="BR997" s="15" t="n">
        <x:v>5</x:v>
      </x:c>
      <x:c r="BS997" s="16" t="n">
        <x:v>0.4166666666666667</x:v>
      </x:c>
      <x:c r="BT997" s="14" t="str">
        <x:v>Minority of episodes</x:v>
      </x:c>
      <x:c r="BU997" s="14" t="str">
        <x:v>Medium</x:v>
      </x:c>
      <x:c r="BV997" s="14" t="str">
        <x:v>Derived from supplied IMDb episode count and the documented production-total proxy.</x:v>
      </x:c>
      <x:c r="BW997" s="14" t="str">
        <x:v>Unable to determine</x:v>
      </x:c>
      <x:c r="BX997" s="14" t="str">
        <x:v>Supplied cast data establishes the credit and episode presence but does not establish narrative prominence.</x:v>
      </x:c>
      <x:c r="BY997" s="14" t="str">
        <x:v>Supplied IMDb cast-list workbook</x:v>
      </x:c>
      <x:c r="BZ99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997" s="14" t="str">
        <x:v>Not classified</x:v>
      </x:c>
      <x:c r="CB997" s="14" t="str">
        <x:v>Unable to determine</x:v>
      </x:c>
      <x:c r="CC997" s="14" t="str">
        <x:v>Unique</x:v>
      </x:c>
      <x:c r="CD997" s="14" t="str">
        <x:v>None identified</x:v>
      </x:c>
    </x:row>
    <x:row r="998">
      <x:c r="A998" s="14" t="str">
        <x:v>tt10846104|nm1705083|clarice</x:v>
      </x:c>
      <x:c r="B998" s="14" t="str">
        <x:v>05</x:v>
      </x:c>
      <x:c r="C998" s="14" t="str">
        <x:v>2021_IMDb_Cast_Lists_Batch_05(1).xlsx</x:v>
      </x:c>
      <x:c r="D998" s="14" t="str">
        <x:v>We Are Lady Parts</x:v>
      </x:c>
      <x:c r="E998" s="14" t="n">
        <x:v>23</x:v>
      </x:c>
      <x:c r="F998" s="14" t="str">
        <x:v>We Are Lady Parts</x:v>
      </x:c>
      <x:c r="G998" s="14" t="str">
        <x:v>tt10846104</x:v>
      </x:c>
      <x:c r="H998" s="14" t="n">
        <x:v>2021</x:v>
      </x:c>
      <x:c r="I998" s="14" t="n">
        <x:v>2023</x:v>
      </x:c>
      <x:c r="J998" s="14" t="str">
        <x:v>Future Carry-Forward Cohort</x:v>
      </x:c>
      <x:c r="K998" s="14" t="n">
        <x:v>2021</x:v>
      </x:c>
      <x:c r="L998" s="14" t="str">
        <x:v>Available from 2021 analysis</x:v>
      </x:c>
      <x:c r="M998" s="15" t="n">
        <x:v>16</x:v>
      </x:c>
      <x:c r="N998" s="14" t="str">
        <x:v>Lydia Leonard</x:v>
      </x:c>
      <x:c r="O998" s="14" t="str">
        <x:v>nm1705083</x:v>
      </x:c>
      <x:c r="P998" s="14" t="str">
        <x:v>Clarice</x:v>
      </x:c>
      <x:c r="Q998" s="15" t="n">
        <x:v>4</x:v>
      </x:c>
      <x:c r="R998" s="14" t="str">
        <x:v>2024</x:v>
      </x:c>
      <x:c r="S998" s="14" t="n">
        <x:v>2024</x:v>
      </x:c>
      <x:c r="T998" s="14" t="n">
        <x:v>2024</x:v>
      </x:c>
      <x:c r="U998" s="14" t="str">
        <x:v>Post-2021 casting excluded</x:v>
      </x:c>
      <x:c r="V998" s="14" t="str">
        <x:v>Earliest supplied year is 2024, later than the 2021 study year.</x:v>
      </x:c>
      <x:c r="W998" s="14"/>
      <x:c r="X998" s="14" t="str">
        <x:v>Carried forward to 2024</x:v>
      </x:c>
      <x:c r="Y998" s="14"/>
      <x:c r="Z998" s="14" t="str">
        <x:v>We Are Lady Parts.docx</x:v>
      </x:c>
      <x:c r="AA99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998" s="14" t="str">
        <x:v>No established-register match</x:v>
      </x:c>
      <x:c r="AC998" s="14"/>
      <x:c r="AD998" s="14"/>
      <x:c r="AE998" s="14"/>
      <x:c r="AF998" s="14"/>
      <x:c r="AG998" s="14" t="str">
        <x:v>No qualifying conclusion recorded. Absence from the register is not evidence that the performer is not disabled.</x:v>
      </x:c>
      <x:c r="AH998" s="14" t="str">
        <x:v>Channel 4 / E4</x:v>
      </x:c>
      <x:c r="AI998" s="14" t="str">
        <x:v>UK original commission</x:v>
      </x:c>
      <x:c r="AJ998" s="14" t="str">
        <x:v>Exact normalised title</x:v>
      </x:c>
      <x:c r="AK998" s="14" t="str">
        <x:v>Medium</x:v>
      </x:c>
      <x:c r="AL998" s="14" t="str">
        <x:v>Verified for commissioner/platform scope; uk original commission.</x:v>
      </x:c>
      <x:c r="AM998" s="17" t="e">
        <x:f>HYPERLINK("https://en.wikipedia.org/wiki/We_Are_Lady_Parts","Open source")</x:f>
        <x:v>HYPERLINK is not implemented. linkLocation=https://en.wikipedia.org/wiki/We_Are_Lady_Parts, friendlyName=Open source</x:v>
      </x:c>
      <x:c r="AN998" s="14" t="str">
        <x:v>No qualifying BBC relationship</x:v>
      </x:c>
      <x:c r="AO998" s="14" t="str">
        <x:v>No</x:v>
      </x:c>
      <x:c r="AP998" s="14" t="str">
        <x:v>Out of scope</x:v>
      </x:c>
      <x:c r="AQ998" s="14" t="str">
        <x:v>No</x:v>
      </x:c>
      <x:c r="AR998" s="14" t="str">
        <x:v>Resolved from master register</x:v>
      </x:c>
      <x:c r="AS998" s="14" t="str">
        <x:v>No established-register match</x:v>
      </x:c>
      <x:c r="AT998" s="14"/>
      <x:c r="AU998" s="14"/>
      <x:c r="AV998" s="14" t="str">
        <x:v>No established apparent-disability match</x:v>
      </x:c>
      <x:c r="AW998" s="14"/>
      <x:c r="AX998" s="14" t="str">
        <x:v>No</x:v>
      </x:c>
      <x:c r="AY998" s="14" t="str">
        <x:v>Unmatched</x:v>
      </x:c>
      <x:c r="AZ998" s="14" t="str">
        <x:v>Final supplied register</x:v>
      </x:c>
      <x:c r="BA998" s="14" t="str">
        <x:v>Absence from the register is not evidence that the performer is not disabled.</x:v>
      </x:c>
      <x:c r="BB998" s="14" t="str">
        <x:v>No established-register match</x:v>
      </x:c>
      <x:c r="BC998" s="14"/>
      <x:c r="BD998" s="14"/>
      <x:c r="BE998" s="14"/>
      <x:c r="BF998" s="14" t="str">
        <x:v>No established apparent-disability match</x:v>
      </x:c>
      <x:c r="BG998" s="14"/>
      <x:c r="BH998" s="14" t="str">
        <x:v>No</x:v>
      </x:c>
      <x:c r="BI998" s="14"/>
      <x:c r="BJ998" s="14"/>
      <x:c r="BK998" s="14"/>
      <x:c r="BL998" s="14" t="str">
        <x:v>Unmatched</x:v>
      </x:c>
      <x:c r="BM998" s="14" t="str">
        <x:v>Final supplied register</x:v>
      </x:c>
      <x:c r="BN998" s="14" t="str">
        <x:v>Absence from the register is not evidence that the performer is not disabled.</x:v>
      </x:c>
      <x:c r="BO998" s="14" t="n">
        <x:v>12</x:v>
      </x:c>
      <x:c r="BP998" s="14" t="str">
        <x:v>Maximum eligible IMDb cast-credit total (12), shared by 6 performer(s); not independently verified as a 2021-only episode total.</x:v>
      </x:c>
      <x:c r="BQ998" s="14" t="str">
        <x:v>Medium</x:v>
      </x:c>
      <x:c r="BR998" s="15" t="n">
        <x:v>4</x:v>
      </x:c>
      <x:c r="BS998" s="16" t="n">
        <x:v>0.3333333333333333</x:v>
      </x:c>
      <x:c r="BT998" s="14" t="str">
        <x:v>Minority of episodes</x:v>
      </x:c>
      <x:c r="BU998" s="14" t="str">
        <x:v>Medium</x:v>
      </x:c>
      <x:c r="BV998" s="14" t="str">
        <x:v>Derived from supplied IMDb episode count and the documented production-total proxy.</x:v>
      </x:c>
      <x:c r="BW998" s="14" t="str">
        <x:v>Unable to determine</x:v>
      </x:c>
      <x:c r="BX998" s="14" t="str">
        <x:v>Supplied cast data establishes the credit and episode presence but does not establish narrative prominence.</x:v>
      </x:c>
      <x:c r="BY998" s="14" t="str">
        <x:v>Supplied IMDb cast-list workbook</x:v>
      </x:c>
      <x:c r="BZ99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998" s="14" t="str">
        <x:v>Not classified</x:v>
      </x:c>
      <x:c r="CB998" s="14" t="str">
        <x:v>Unable to determine</x:v>
      </x:c>
      <x:c r="CC998" s="14" t="str">
        <x:v>Unique</x:v>
      </x:c>
      <x:c r="CD998" s="14" t="str">
        <x:v>None identified</x:v>
      </x:c>
    </x:row>
    <x:row r="999">
      <x:c r="A999" s="14" t="str">
        <x:v>tt10846104|nm9451874|taifa</x:v>
      </x:c>
      <x:c r="B999" s="14" t="str">
        <x:v>05</x:v>
      </x:c>
      <x:c r="C999" s="14" t="str">
        <x:v>2021_IMDb_Cast_Lists_Batch_05(1).xlsx</x:v>
      </x:c>
      <x:c r="D999" s="14" t="str">
        <x:v>We Are Lady Parts</x:v>
      </x:c>
      <x:c r="E999" s="14" t="n">
        <x:v>24</x:v>
      </x:c>
      <x:c r="F999" s="14" t="str">
        <x:v>We Are Lady Parts</x:v>
      </x:c>
      <x:c r="G999" s="14" t="str">
        <x:v>tt10846104</x:v>
      </x:c>
      <x:c r="H999" s="14" t="n">
        <x:v>2021</x:v>
      </x:c>
      <x:c r="I999" s="14" t="n">
        <x:v>2023</x:v>
      </x:c>
      <x:c r="J999" s="14" t="str">
        <x:v>Future Carry-Forward Cohort</x:v>
      </x:c>
      <x:c r="K999" s="14" t="n">
        <x:v>2021</x:v>
      </x:c>
      <x:c r="L999" s="14" t="str">
        <x:v>Available from 2021 analysis</x:v>
      </x:c>
      <x:c r="M999" s="15" t="n">
        <x:v>17</x:v>
      </x:c>
      <x:c r="N999" s="14" t="str">
        <x:v>Kimani Arthur</x:v>
      </x:c>
      <x:c r="O999" s="14" t="str">
        <x:v>nm9451874</x:v>
      </x:c>
      <x:c r="P999" s="14" t="str">
        <x:v>Taifa</x:v>
      </x:c>
      <x:c r="Q999" s="15" t="n">
        <x:v>4</x:v>
      </x:c>
      <x:c r="R999" s="14" t="str">
        <x:v>2024</x:v>
      </x:c>
      <x:c r="S999" s="14" t="n">
        <x:v>2024</x:v>
      </x:c>
      <x:c r="T999" s="14" t="n">
        <x:v>2024</x:v>
      </x:c>
      <x:c r="U999" s="14" t="str">
        <x:v>Post-2021 casting excluded</x:v>
      </x:c>
      <x:c r="V999" s="14" t="str">
        <x:v>Earliest supplied year is 2024, later than the 2021 study year.</x:v>
      </x:c>
      <x:c r="W999" s="14"/>
      <x:c r="X999" s="14" t="str">
        <x:v>Carried forward to 2024</x:v>
      </x:c>
      <x:c r="Y999" s="14"/>
      <x:c r="Z999" s="14" t="str">
        <x:v>We Are Lady Parts.docx</x:v>
      </x:c>
      <x:c r="AA99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999" s="14" t="str">
        <x:v>No established-register match</x:v>
      </x:c>
      <x:c r="AC999" s="14"/>
      <x:c r="AD999" s="14"/>
      <x:c r="AE999" s="14"/>
      <x:c r="AF999" s="14"/>
      <x:c r="AG999" s="14" t="str">
        <x:v>No qualifying conclusion recorded. Absence from the register is not evidence that the performer is not disabled.</x:v>
      </x:c>
      <x:c r="AH999" s="14" t="str">
        <x:v>Channel 4 / E4</x:v>
      </x:c>
      <x:c r="AI999" s="14" t="str">
        <x:v>UK original commission</x:v>
      </x:c>
      <x:c r="AJ999" s="14" t="str">
        <x:v>Exact normalised title</x:v>
      </x:c>
      <x:c r="AK999" s="14" t="str">
        <x:v>Medium</x:v>
      </x:c>
      <x:c r="AL999" s="14" t="str">
        <x:v>Verified for commissioner/platform scope; uk original commission.</x:v>
      </x:c>
      <x:c r="AM999" s="17" t="e">
        <x:f>HYPERLINK("https://en.wikipedia.org/wiki/We_Are_Lady_Parts","Open source")</x:f>
        <x:v>HYPERLINK is not implemented. linkLocation=https://en.wikipedia.org/wiki/We_Are_Lady_Parts, friendlyName=Open source</x:v>
      </x:c>
      <x:c r="AN999" s="14" t="str">
        <x:v>No qualifying BBC relationship</x:v>
      </x:c>
      <x:c r="AO999" s="14" t="str">
        <x:v>No</x:v>
      </x:c>
      <x:c r="AP999" s="14" t="str">
        <x:v>Out of scope</x:v>
      </x:c>
      <x:c r="AQ999" s="14" t="str">
        <x:v>No</x:v>
      </x:c>
      <x:c r="AR999" s="14" t="str">
        <x:v>Resolved from master register</x:v>
      </x:c>
      <x:c r="AS999" s="14" t="str">
        <x:v>No established-register match</x:v>
      </x:c>
      <x:c r="AT999" s="14"/>
      <x:c r="AU999" s="14"/>
      <x:c r="AV999" s="14" t="str">
        <x:v>No established apparent-disability match</x:v>
      </x:c>
      <x:c r="AW999" s="14"/>
      <x:c r="AX999" s="14" t="str">
        <x:v>No</x:v>
      </x:c>
      <x:c r="AY999" s="14" t="str">
        <x:v>Unmatched</x:v>
      </x:c>
      <x:c r="AZ999" s="14" t="str">
        <x:v>Final supplied register</x:v>
      </x:c>
      <x:c r="BA999" s="14" t="str">
        <x:v>Absence from the register is not evidence that the performer is not disabled.</x:v>
      </x:c>
      <x:c r="BB999" s="14" t="str">
        <x:v>No established-register match</x:v>
      </x:c>
      <x:c r="BC999" s="14"/>
      <x:c r="BD999" s="14"/>
      <x:c r="BE999" s="14"/>
      <x:c r="BF999" s="14" t="str">
        <x:v>No established apparent-disability match</x:v>
      </x:c>
      <x:c r="BG999" s="14"/>
      <x:c r="BH999" s="14" t="str">
        <x:v>No</x:v>
      </x:c>
      <x:c r="BI999" s="14"/>
      <x:c r="BJ999" s="14"/>
      <x:c r="BK999" s="14"/>
      <x:c r="BL999" s="14" t="str">
        <x:v>Unmatched</x:v>
      </x:c>
      <x:c r="BM999" s="14" t="str">
        <x:v>Final supplied register</x:v>
      </x:c>
      <x:c r="BN999" s="14" t="str">
        <x:v>Absence from the register is not evidence that the performer is not disabled.</x:v>
      </x:c>
      <x:c r="BO999" s="14" t="n">
        <x:v>12</x:v>
      </x:c>
      <x:c r="BP999" s="14" t="str">
        <x:v>Maximum eligible IMDb cast-credit total (12), shared by 6 performer(s); not independently verified as a 2021-only episode total.</x:v>
      </x:c>
      <x:c r="BQ999" s="14" t="str">
        <x:v>Medium</x:v>
      </x:c>
      <x:c r="BR999" s="15" t="n">
        <x:v>4</x:v>
      </x:c>
      <x:c r="BS999" s="16" t="n">
        <x:v>0.3333333333333333</x:v>
      </x:c>
      <x:c r="BT999" s="14" t="str">
        <x:v>Minority of episodes</x:v>
      </x:c>
      <x:c r="BU999" s="14" t="str">
        <x:v>Medium</x:v>
      </x:c>
      <x:c r="BV999" s="14" t="str">
        <x:v>Derived from supplied IMDb episode count and the documented production-total proxy.</x:v>
      </x:c>
      <x:c r="BW999" s="14" t="str">
        <x:v>Unable to determine</x:v>
      </x:c>
      <x:c r="BX999" s="14" t="str">
        <x:v>Supplied cast data establishes the credit and episode presence but does not establish narrative prominence.</x:v>
      </x:c>
      <x:c r="BY999" s="14" t="str">
        <x:v>Supplied IMDb cast-list workbook</x:v>
      </x:c>
      <x:c r="BZ99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999" s="14" t="str">
        <x:v>Not classified</x:v>
      </x:c>
      <x:c r="CB999" s="14" t="str">
        <x:v>Unable to determine</x:v>
      </x:c>
      <x:c r="CC999" s="14" t="str">
        <x:v>Unique</x:v>
      </x:c>
      <x:c r="CD999" s="14" t="str">
        <x:v>None identified</x:v>
      </x:c>
    </x:row>
    <x:row r="1000">
      <x:c r="A1000" s="14" t="str">
        <x:v>tt10846104|nm14037698|laura</x:v>
      </x:c>
      <x:c r="B1000" s="14" t="str">
        <x:v>05</x:v>
      </x:c>
      <x:c r="C1000" s="14" t="str">
        <x:v>2021_IMDb_Cast_Lists_Batch_05(1).xlsx</x:v>
      </x:c>
      <x:c r="D1000" s="14" t="str">
        <x:v>We Are Lady Parts</x:v>
      </x:c>
      <x:c r="E1000" s="14" t="n">
        <x:v>25</x:v>
      </x:c>
      <x:c r="F1000" s="14" t="str">
        <x:v>We Are Lady Parts</x:v>
      </x:c>
      <x:c r="G1000" s="14" t="str">
        <x:v>tt10846104</x:v>
      </x:c>
      <x:c r="H1000" s="14" t="n">
        <x:v>2021</x:v>
      </x:c>
      <x:c r="I1000" s="14" t="n">
        <x:v>2023</x:v>
      </x:c>
      <x:c r="J1000" s="14" t="str">
        <x:v>Future Carry-Forward Cohort</x:v>
      </x:c>
      <x:c r="K1000" s="14" t="n">
        <x:v>2021</x:v>
      </x:c>
      <x:c r="L1000" s="14" t="str">
        <x:v>Available from 2021 analysis</x:v>
      </x:c>
      <x:c r="M1000" s="15" t="n">
        <x:v>18</x:v>
      </x:c>
      <x:c r="N1000" s="14" t="str">
        <x:v>Anna Tolstoy</x:v>
      </x:c>
      <x:c r="O1000" s="14" t="str">
        <x:v>nm14037698</x:v>
      </x:c>
      <x:c r="P1000" s="14" t="str">
        <x:v>Laura</x:v>
      </x:c>
      <x:c r="Q1000" s="15" t="n">
        <x:v>4</x:v>
      </x:c>
      <x:c r="R1000" s="14" t="str">
        <x:v>2024</x:v>
      </x:c>
      <x:c r="S1000" s="14" t="n">
        <x:v>2024</x:v>
      </x:c>
      <x:c r="T1000" s="14" t="n">
        <x:v>2024</x:v>
      </x:c>
      <x:c r="U1000" s="14" t="str">
        <x:v>Post-2021 casting excluded</x:v>
      </x:c>
      <x:c r="V1000" s="14" t="str">
        <x:v>Earliest supplied year is 2024, later than the 2021 study year.</x:v>
      </x:c>
      <x:c r="W1000" s="14"/>
      <x:c r="X1000" s="14" t="str">
        <x:v>Carried forward to 2024</x:v>
      </x:c>
      <x:c r="Y1000" s="14"/>
      <x:c r="Z1000" s="14" t="str">
        <x:v>We Are Lady Parts.docx</x:v>
      </x:c>
      <x:c r="AA100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0" s="14" t="str">
        <x:v>No established-register match</x:v>
      </x:c>
      <x:c r="AC1000" s="14"/>
      <x:c r="AD1000" s="14"/>
      <x:c r="AE1000" s="14"/>
      <x:c r="AF1000" s="14"/>
      <x:c r="AG1000" s="14" t="str">
        <x:v>No qualifying conclusion recorded. Absence from the register is not evidence that the performer is not disabled.</x:v>
      </x:c>
      <x:c r="AH1000" s="14" t="str">
        <x:v>Channel 4 / E4</x:v>
      </x:c>
      <x:c r="AI1000" s="14" t="str">
        <x:v>UK original commission</x:v>
      </x:c>
      <x:c r="AJ1000" s="14" t="str">
        <x:v>Exact normalised title</x:v>
      </x:c>
      <x:c r="AK1000" s="14" t="str">
        <x:v>Medium</x:v>
      </x:c>
      <x:c r="AL1000" s="14" t="str">
        <x:v>Verified for commissioner/platform scope; uk original commission.</x:v>
      </x:c>
      <x:c r="AM1000" s="17" t="e">
        <x:f>HYPERLINK("https://en.wikipedia.org/wiki/We_Are_Lady_Parts","Open source")</x:f>
        <x:v>HYPERLINK is not implemented. linkLocation=https://en.wikipedia.org/wiki/We_Are_Lady_Parts, friendlyName=Open source</x:v>
      </x:c>
      <x:c r="AN1000" s="14" t="str">
        <x:v>No qualifying BBC relationship</x:v>
      </x:c>
      <x:c r="AO1000" s="14" t="str">
        <x:v>No</x:v>
      </x:c>
      <x:c r="AP1000" s="14" t="str">
        <x:v>Out of scope</x:v>
      </x:c>
      <x:c r="AQ1000" s="14" t="str">
        <x:v>No</x:v>
      </x:c>
      <x:c r="AR1000" s="14" t="str">
        <x:v>Resolved from master register</x:v>
      </x:c>
      <x:c r="AS1000" s="14" t="str">
        <x:v>No established-register match</x:v>
      </x:c>
      <x:c r="AT1000" s="14"/>
      <x:c r="AU1000" s="14"/>
      <x:c r="AV1000" s="14" t="str">
        <x:v>No established apparent-disability match</x:v>
      </x:c>
      <x:c r="AW1000" s="14"/>
      <x:c r="AX1000" s="14" t="str">
        <x:v>No</x:v>
      </x:c>
      <x:c r="AY1000" s="14" t="str">
        <x:v>Unmatched</x:v>
      </x:c>
      <x:c r="AZ1000" s="14" t="str">
        <x:v>Final supplied register</x:v>
      </x:c>
      <x:c r="BA1000" s="14" t="str">
        <x:v>Absence from the register is not evidence that the performer is not disabled.</x:v>
      </x:c>
      <x:c r="BB1000" s="14" t="str">
        <x:v>No established-register match</x:v>
      </x:c>
      <x:c r="BC1000" s="14"/>
      <x:c r="BD1000" s="14"/>
      <x:c r="BE1000" s="14"/>
      <x:c r="BF1000" s="14" t="str">
        <x:v>No established apparent-disability match</x:v>
      </x:c>
      <x:c r="BG1000" s="14"/>
      <x:c r="BH1000" s="14" t="str">
        <x:v>No</x:v>
      </x:c>
      <x:c r="BI1000" s="14"/>
      <x:c r="BJ1000" s="14"/>
      <x:c r="BK1000" s="14"/>
      <x:c r="BL1000" s="14" t="str">
        <x:v>Unmatched</x:v>
      </x:c>
      <x:c r="BM1000" s="14" t="str">
        <x:v>Final supplied register</x:v>
      </x:c>
      <x:c r="BN1000" s="14" t="str">
        <x:v>Absence from the register is not evidence that the performer is not disabled.</x:v>
      </x:c>
      <x:c r="BO1000" s="14" t="n">
        <x:v>12</x:v>
      </x:c>
      <x:c r="BP1000" s="14" t="str">
        <x:v>Maximum eligible IMDb cast-credit total (12), shared by 6 performer(s); not independently verified as a 2021-only episode total.</x:v>
      </x:c>
      <x:c r="BQ1000" s="14" t="str">
        <x:v>Medium</x:v>
      </x:c>
      <x:c r="BR1000" s="15" t="n">
        <x:v>4</x:v>
      </x:c>
      <x:c r="BS1000" s="16" t="n">
        <x:v>0.3333333333333333</x:v>
      </x:c>
      <x:c r="BT1000" s="14" t="str">
        <x:v>Minority of episodes</x:v>
      </x:c>
      <x:c r="BU1000" s="14" t="str">
        <x:v>Medium</x:v>
      </x:c>
      <x:c r="BV1000" s="14" t="str">
        <x:v>Derived from supplied IMDb episode count and the documented production-total proxy.</x:v>
      </x:c>
      <x:c r="BW1000" s="14" t="str">
        <x:v>Unable to determine</x:v>
      </x:c>
      <x:c r="BX1000" s="14" t="str">
        <x:v>Supplied cast data establishes the credit and episode presence but does not establish narrative prominence.</x:v>
      </x:c>
      <x:c r="BY1000" s="14" t="str">
        <x:v>Supplied IMDb cast-list workbook</x:v>
      </x:c>
      <x:c r="BZ100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0" s="14" t="str">
        <x:v>Not classified</x:v>
      </x:c>
      <x:c r="CB1000" s="14" t="str">
        <x:v>Unable to determine</x:v>
      </x:c>
      <x:c r="CC1000" s="14" t="str">
        <x:v>Unique</x:v>
      </x:c>
      <x:c r="CD1000" s="14" t="str">
        <x:v>None identified</x:v>
      </x:c>
    </x:row>
    <x:row r="1001">
      <x:c r="A1001" s="14" t="str">
        <x:v>tt10846104|nm14566986|farah</x:v>
      </x:c>
      <x:c r="B1001" s="14" t="str">
        <x:v>05</x:v>
      </x:c>
      <x:c r="C1001" s="14" t="str">
        <x:v>2021_IMDb_Cast_Lists_Batch_05(1).xlsx</x:v>
      </x:c>
      <x:c r="D1001" s="14" t="str">
        <x:v>We Are Lady Parts</x:v>
      </x:c>
      <x:c r="E1001" s="14" t="n">
        <x:v>27</x:v>
      </x:c>
      <x:c r="F1001" s="14" t="str">
        <x:v>We Are Lady Parts</x:v>
      </x:c>
      <x:c r="G1001" s="14" t="str">
        <x:v>tt10846104</x:v>
      </x:c>
      <x:c r="H1001" s="14" t="n">
        <x:v>2021</x:v>
      </x:c>
      <x:c r="I1001" s="14" t="n">
        <x:v>2023</x:v>
      </x:c>
      <x:c r="J1001" s="14" t="str">
        <x:v>Future Carry-Forward Cohort</x:v>
      </x:c>
      <x:c r="K1001" s="14" t="n">
        <x:v>2021</x:v>
      </x:c>
      <x:c r="L1001" s="14" t="str">
        <x:v>Available from 2021 analysis</x:v>
      </x:c>
      <x:c r="M1001" s="15" t="n">
        <x:v>20</x:v>
      </x:c>
      <x:c r="N1001" s="14" t="str">
        <x:v>Eman Alali</x:v>
      </x:c>
      <x:c r="O1001" s="14" t="str">
        <x:v>nm14566986</x:v>
      </x:c>
      <x:c r="P1001" s="14" t="str">
        <x:v>Farah</x:v>
      </x:c>
      <x:c r="Q1001" s="15" t="n">
        <x:v>4</x:v>
      </x:c>
      <x:c r="R1001" s="14" t="str">
        <x:v>2024</x:v>
      </x:c>
      <x:c r="S1001" s="14" t="n">
        <x:v>2024</x:v>
      </x:c>
      <x:c r="T1001" s="14" t="n">
        <x:v>2024</x:v>
      </x:c>
      <x:c r="U1001" s="14" t="str">
        <x:v>Post-2021 casting excluded</x:v>
      </x:c>
      <x:c r="V1001" s="14" t="str">
        <x:v>Earliest supplied year is 2024, later than the 2021 study year.</x:v>
      </x:c>
      <x:c r="W1001" s="14"/>
      <x:c r="X1001" s="14" t="str">
        <x:v>Carried forward to 2024</x:v>
      </x:c>
      <x:c r="Y1001" s="14"/>
      <x:c r="Z1001" s="14" t="str">
        <x:v>We Are Lady Parts.docx</x:v>
      </x:c>
      <x:c r="AA100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1" s="14" t="str">
        <x:v>No established-register match</x:v>
      </x:c>
      <x:c r="AC1001" s="14"/>
      <x:c r="AD1001" s="14"/>
      <x:c r="AE1001" s="14"/>
      <x:c r="AF1001" s="14"/>
      <x:c r="AG1001" s="14" t="str">
        <x:v>No qualifying conclusion recorded. Absence from the register is not evidence that the performer is not disabled.</x:v>
      </x:c>
      <x:c r="AH1001" s="14" t="str">
        <x:v>Channel 4 / E4</x:v>
      </x:c>
      <x:c r="AI1001" s="14" t="str">
        <x:v>UK original commission</x:v>
      </x:c>
      <x:c r="AJ1001" s="14" t="str">
        <x:v>Exact normalised title</x:v>
      </x:c>
      <x:c r="AK1001" s="14" t="str">
        <x:v>Medium</x:v>
      </x:c>
      <x:c r="AL1001" s="14" t="str">
        <x:v>Verified for commissioner/platform scope; uk original commission.</x:v>
      </x:c>
      <x:c r="AM1001" s="17" t="e">
        <x:f>HYPERLINK("https://en.wikipedia.org/wiki/We_Are_Lady_Parts","Open source")</x:f>
        <x:v>HYPERLINK is not implemented. linkLocation=https://en.wikipedia.org/wiki/We_Are_Lady_Parts, friendlyName=Open source</x:v>
      </x:c>
      <x:c r="AN1001" s="14" t="str">
        <x:v>No qualifying BBC relationship</x:v>
      </x:c>
      <x:c r="AO1001" s="14" t="str">
        <x:v>No</x:v>
      </x:c>
      <x:c r="AP1001" s="14" t="str">
        <x:v>Out of scope</x:v>
      </x:c>
      <x:c r="AQ1001" s="14" t="str">
        <x:v>No</x:v>
      </x:c>
      <x:c r="AR1001" s="14" t="str">
        <x:v>Resolved from master register</x:v>
      </x:c>
      <x:c r="AS1001" s="14" t="str">
        <x:v>No established-register match</x:v>
      </x:c>
      <x:c r="AT1001" s="14"/>
      <x:c r="AU1001" s="14"/>
      <x:c r="AV1001" s="14" t="str">
        <x:v>No established apparent-disability match</x:v>
      </x:c>
      <x:c r="AW1001" s="14"/>
      <x:c r="AX1001" s="14" t="str">
        <x:v>No</x:v>
      </x:c>
      <x:c r="AY1001" s="14" t="str">
        <x:v>Unmatched</x:v>
      </x:c>
      <x:c r="AZ1001" s="14" t="str">
        <x:v>Final supplied register</x:v>
      </x:c>
      <x:c r="BA1001" s="14" t="str">
        <x:v>Absence from the register is not evidence that the performer is not disabled.</x:v>
      </x:c>
      <x:c r="BB1001" s="14" t="str">
        <x:v>No established-register match</x:v>
      </x:c>
      <x:c r="BC1001" s="14"/>
      <x:c r="BD1001" s="14"/>
      <x:c r="BE1001" s="14"/>
      <x:c r="BF1001" s="14" t="str">
        <x:v>No established apparent-disability match</x:v>
      </x:c>
      <x:c r="BG1001" s="14"/>
      <x:c r="BH1001" s="14" t="str">
        <x:v>No</x:v>
      </x:c>
      <x:c r="BI1001" s="14"/>
      <x:c r="BJ1001" s="14"/>
      <x:c r="BK1001" s="14"/>
      <x:c r="BL1001" s="14" t="str">
        <x:v>Unmatched</x:v>
      </x:c>
      <x:c r="BM1001" s="14" t="str">
        <x:v>Final supplied register</x:v>
      </x:c>
      <x:c r="BN1001" s="14" t="str">
        <x:v>Absence from the register is not evidence that the performer is not disabled.</x:v>
      </x:c>
      <x:c r="BO1001" s="14" t="n">
        <x:v>12</x:v>
      </x:c>
      <x:c r="BP1001" s="14" t="str">
        <x:v>Maximum eligible IMDb cast-credit total (12), shared by 6 performer(s); not independently verified as a 2021-only episode total.</x:v>
      </x:c>
      <x:c r="BQ1001" s="14" t="str">
        <x:v>Medium</x:v>
      </x:c>
      <x:c r="BR1001" s="15" t="n">
        <x:v>4</x:v>
      </x:c>
      <x:c r="BS1001" s="16" t="n">
        <x:v>0.3333333333333333</x:v>
      </x:c>
      <x:c r="BT1001" s="14" t="str">
        <x:v>Minority of episodes</x:v>
      </x:c>
      <x:c r="BU1001" s="14" t="str">
        <x:v>Medium</x:v>
      </x:c>
      <x:c r="BV1001" s="14" t="str">
        <x:v>Derived from supplied IMDb episode count and the documented production-total proxy.</x:v>
      </x:c>
      <x:c r="BW1001" s="14" t="str">
        <x:v>Unable to determine</x:v>
      </x:c>
      <x:c r="BX1001" s="14" t="str">
        <x:v>Supplied cast data establishes the credit and episode presence but does not establish narrative prominence.</x:v>
      </x:c>
      <x:c r="BY1001" s="14" t="str">
        <x:v>Supplied IMDb cast-list workbook</x:v>
      </x:c>
      <x:c r="BZ100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1" s="14" t="str">
        <x:v>Not classified</x:v>
      </x:c>
      <x:c r="CB1001" s="14" t="str">
        <x:v>Unable to determine</x:v>
      </x:c>
      <x:c r="CC1001" s="14" t="str">
        <x:v>Unique</x:v>
      </x:c>
      <x:c r="CD1001" s="14" t="str">
        <x:v>None identified</x:v>
      </x:c>
    </x:row>
    <x:row r="1002">
      <x:c r="A1002" s="14" t="str">
        <x:v>tt10846104|nm9547184|ali</x:v>
      </x:c>
      <x:c r="B1002" s="14" t="str">
        <x:v>05</x:v>
      </x:c>
      <x:c r="C1002" s="14" t="str">
        <x:v>2021_IMDb_Cast_Lists_Batch_05(1).xlsx</x:v>
      </x:c>
      <x:c r="D1002" s="14" t="str">
        <x:v>We Are Lady Parts</x:v>
      </x:c>
      <x:c r="E1002" s="14" t="n">
        <x:v>28</x:v>
      </x:c>
      <x:c r="F1002" s="14" t="str">
        <x:v>We Are Lady Parts</x:v>
      </x:c>
      <x:c r="G1002" s="14" t="str">
        <x:v>tt10846104</x:v>
      </x:c>
      <x:c r="H1002" s="14" t="n">
        <x:v>2021</x:v>
      </x:c>
      <x:c r="I1002" s="14" t="n">
        <x:v>2023</x:v>
      </x:c>
      <x:c r="J1002" s="14" t="str">
        <x:v>Future Carry-Forward Cohort</x:v>
      </x:c>
      <x:c r="K1002" s="14" t="n">
        <x:v>2021</x:v>
      </x:c>
      <x:c r="L1002" s="14" t="str">
        <x:v>Available from 2021 analysis</x:v>
      </x:c>
      <x:c r="M1002" s="15" t="n">
        <x:v>21</x:v>
      </x:c>
      <x:c r="N1002" s="14" t="str">
        <x:v>Bradley Banton</x:v>
      </x:c>
      <x:c r="O1002" s="14" t="str">
        <x:v>nm9547184</x:v>
      </x:c>
      <x:c r="P1002" s="14" t="str">
        <x:v>Ali</x:v>
      </x:c>
      <x:c r="Q1002" s="15" t="n">
        <x:v>4</x:v>
      </x:c>
      <x:c r="R1002" s="14" t="str">
        <x:v>2024</x:v>
      </x:c>
      <x:c r="S1002" s="14" t="n">
        <x:v>2024</x:v>
      </x:c>
      <x:c r="T1002" s="14" t="n">
        <x:v>2024</x:v>
      </x:c>
      <x:c r="U1002" s="14" t="str">
        <x:v>Post-2021 casting excluded</x:v>
      </x:c>
      <x:c r="V1002" s="14" t="str">
        <x:v>Earliest supplied year is 2024, later than the 2021 study year.</x:v>
      </x:c>
      <x:c r="W1002" s="14"/>
      <x:c r="X1002" s="14" t="str">
        <x:v>Carried forward to 2024</x:v>
      </x:c>
      <x:c r="Y1002" s="14"/>
      <x:c r="Z1002" s="14" t="str">
        <x:v>We Are Lady Parts.docx</x:v>
      </x:c>
      <x:c r="AA100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2" s="14" t="str">
        <x:v>No established-register match</x:v>
      </x:c>
      <x:c r="AC1002" s="14"/>
      <x:c r="AD1002" s="14"/>
      <x:c r="AE1002" s="14"/>
      <x:c r="AF1002" s="14"/>
      <x:c r="AG1002" s="14" t="str">
        <x:v>No qualifying conclusion recorded. Absence from the register is not evidence that the performer is not disabled.</x:v>
      </x:c>
      <x:c r="AH1002" s="14" t="str">
        <x:v>Channel 4 / E4</x:v>
      </x:c>
      <x:c r="AI1002" s="14" t="str">
        <x:v>UK original commission</x:v>
      </x:c>
      <x:c r="AJ1002" s="14" t="str">
        <x:v>Exact normalised title</x:v>
      </x:c>
      <x:c r="AK1002" s="14" t="str">
        <x:v>Medium</x:v>
      </x:c>
      <x:c r="AL1002" s="14" t="str">
        <x:v>Verified for commissioner/platform scope; uk original commission.</x:v>
      </x:c>
      <x:c r="AM1002" s="17" t="e">
        <x:f>HYPERLINK("https://en.wikipedia.org/wiki/We_Are_Lady_Parts","Open source")</x:f>
        <x:v>HYPERLINK is not implemented. linkLocation=https://en.wikipedia.org/wiki/We_Are_Lady_Parts, friendlyName=Open source</x:v>
      </x:c>
      <x:c r="AN1002" s="14" t="str">
        <x:v>No qualifying BBC relationship</x:v>
      </x:c>
      <x:c r="AO1002" s="14" t="str">
        <x:v>No</x:v>
      </x:c>
      <x:c r="AP1002" s="14" t="str">
        <x:v>Out of scope</x:v>
      </x:c>
      <x:c r="AQ1002" s="14" t="str">
        <x:v>No</x:v>
      </x:c>
      <x:c r="AR1002" s="14" t="str">
        <x:v>Resolved from master register</x:v>
      </x:c>
      <x:c r="AS1002" s="14" t="str">
        <x:v>No established-register match</x:v>
      </x:c>
      <x:c r="AT1002" s="14"/>
      <x:c r="AU1002" s="14"/>
      <x:c r="AV1002" s="14" t="str">
        <x:v>No established apparent-disability match</x:v>
      </x:c>
      <x:c r="AW1002" s="14"/>
      <x:c r="AX1002" s="14" t="str">
        <x:v>No</x:v>
      </x:c>
      <x:c r="AY1002" s="14" t="str">
        <x:v>Unmatched</x:v>
      </x:c>
      <x:c r="AZ1002" s="14" t="str">
        <x:v>Final supplied register</x:v>
      </x:c>
      <x:c r="BA1002" s="14" t="str">
        <x:v>Absence from the register is not evidence that the performer is not disabled.</x:v>
      </x:c>
      <x:c r="BB1002" s="14" t="str">
        <x:v>No established-register match</x:v>
      </x:c>
      <x:c r="BC1002" s="14"/>
      <x:c r="BD1002" s="14"/>
      <x:c r="BE1002" s="14"/>
      <x:c r="BF1002" s="14" t="str">
        <x:v>No established apparent-disability match</x:v>
      </x:c>
      <x:c r="BG1002" s="14"/>
      <x:c r="BH1002" s="14" t="str">
        <x:v>No</x:v>
      </x:c>
      <x:c r="BI1002" s="14"/>
      <x:c r="BJ1002" s="14"/>
      <x:c r="BK1002" s="14"/>
      <x:c r="BL1002" s="14" t="str">
        <x:v>Unmatched</x:v>
      </x:c>
      <x:c r="BM1002" s="14" t="str">
        <x:v>Final supplied register</x:v>
      </x:c>
      <x:c r="BN1002" s="14" t="str">
        <x:v>Absence from the register is not evidence that the performer is not disabled.</x:v>
      </x:c>
      <x:c r="BO1002" s="14" t="n">
        <x:v>12</x:v>
      </x:c>
      <x:c r="BP1002" s="14" t="str">
        <x:v>Maximum eligible IMDb cast-credit total (12), shared by 6 performer(s); not independently verified as a 2021-only episode total.</x:v>
      </x:c>
      <x:c r="BQ1002" s="14" t="str">
        <x:v>Medium</x:v>
      </x:c>
      <x:c r="BR1002" s="15" t="n">
        <x:v>4</x:v>
      </x:c>
      <x:c r="BS1002" s="16" t="n">
        <x:v>0.3333333333333333</x:v>
      </x:c>
      <x:c r="BT1002" s="14" t="str">
        <x:v>Minority of episodes</x:v>
      </x:c>
      <x:c r="BU1002" s="14" t="str">
        <x:v>Medium</x:v>
      </x:c>
      <x:c r="BV1002" s="14" t="str">
        <x:v>Derived from supplied IMDb episode count and the documented production-total proxy.</x:v>
      </x:c>
      <x:c r="BW1002" s="14" t="str">
        <x:v>Unable to determine</x:v>
      </x:c>
      <x:c r="BX1002" s="14" t="str">
        <x:v>Supplied cast data establishes the credit and episode presence but does not establish narrative prominence.</x:v>
      </x:c>
      <x:c r="BY1002" s="14" t="str">
        <x:v>Supplied IMDb cast-list workbook</x:v>
      </x:c>
      <x:c r="BZ100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2" s="14" t="str">
        <x:v>Not classified</x:v>
      </x:c>
      <x:c r="CB1002" s="14" t="str">
        <x:v>Unable to determine</x:v>
      </x:c>
      <x:c r="CC1002" s="14" t="str">
        <x:v>Unique</x:v>
      </x:c>
      <x:c r="CD1002" s="14" t="str">
        <x:v>None identified</x:v>
      </x:c>
    </x:row>
    <x:row r="1003">
      <x:c r="A1003" s="14" t="str">
        <x:v>tt10846104|nm1666893|dirty mahmood</x:v>
      </x:c>
      <x:c r="B1003" s="14" t="str">
        <x:v>05</x:v>
      </x:c>
      <x:c r="C1003" s="14" t="str">
        <x:v>2021_IMDb_Cast_Lists_Batch_05(1).xlsx</x:v>
      </x:c>
      <x:c r="D1003" s="14" t="str">
        <x:v>We Are Lady Parts</x:v>
      </x:c>
      <x:c r="E1003" s="14" t="n">
        <x:v>29</x:v>
      </x:c>
      <x:c r="F1003" s="14" t="str">
        <x:v>We Are Lady Parts</x:v>
      </x:c>
      <x:c r="G1003" s="14" t="str">
        <x:v>tt10846104</x:v>
      </x:c>
      <x:c r="H1003" s="14" t="n">
        <x:v>2021</x:v>
      </x:c>
      <x:c r="I1003" s="14" t="n">
        <x:v>2023</x:v>
      </x:c>
      <x:c r="J1003" s="14" t="str">
        <x:v>Future Carry-Forward Cohort</x:v>
      </x:c>
      <x:c r="K1003" s="14" t="n">
        <x:v>2021</x:v>
      </x:c>
      <x:c r="L1003" s="14" t="str">
        <x:v>Available from 2021 analysis</x:v>
      </x:c>
      <x:c r="M1003" s="15" t="n">
        <x:v>22</x:v>
      </x:c>
      <x:c r="N1003" s="14" t="str">
        <x:v>Anil Desai</x:v>
      </x:c>
      <x:c r="O1003" s="14" t="str">
        <x:v>nm1666893</x:v>
      </x:c>
      <x:c r="P1003" s="14" t="str">
        <x:v>Dirty Mahmood</x:v>
      </x:c>
      <x:c r="Q1003" s="15" t="n">
        <x:v>3</x:v>
      </x:c>
      <x:c r="R1003" s="14" t="str">
        <x:v>2024</x:v>
      </x:c>
      <x:c r="S1003" s="14" t="n">
        <x:v>2024</x:v>
      </x:c>
      <x:c r="T1003" s="14" t="n">
        <x:v>2024</x:v>
      </x:c>
      <x:c r="U1003" s="14" t="str">
        <x:v>Post-2021 casting excluded</x:v>
      </x:c>
      <x:c r="V1003" s="14" t="str">
        <x:v>Earliest supplied year is 2024, later than the 2021 study year.</x:v>
      </x:c>
      <x:c r="W1003" s="14"/>
      <x:c r="X1003" s="14" t="str">
        <x:v>Carried forward to 2024</x:v>
      </x:c>
      <x:c r="Y1003" s="14"/>
      <x:c r="Z1003" s="14" t="str">
        <x:v>We Are Lady Parts.docx</x:v>
      </x:c>
      <x:c r="AA100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3" s="14" t="str">
        <x:v>No established-register match</x:v>
      </x:c>
      <x:c r="AC1003" s="14"/>
      <x:c r="AD1003" s="14"/>
      <x:c r="AE1003" s="14"/>
      <x:c r="AF1003" s="14"/>
      <x:c r="AG1003" s="14" t="str">
        <x:v>No qualifying conclusion recorded. Absence from the register is not evidence that the performer is not disabled.</x:v>
      </x:c>
      <x:c r="AH1003" s="14" t="str">
        <x:v>Channel 4 / E4</x:v>
      </x:c>
      <x:c r="AI1003" s="14" t="str">
        <x:v>UK original commission</x:v>
      </x:c>
      <x:c r="AJ1003" s="14" t="str">
        <x:v>Exact normalised title</x:v>
      </x:c>
      <x:c r="AK1003" s="14" t="str">
        <x:v>Medium</x:v>
      </x:c>
      <x:c r="AL1003" s="14" t="str">
        <x:v>Verified for commissioner/platform scope; uk original commission.</x:v>
      </x:c>
      <x:c r="AM1003" s="17" t="e">
        <x:f>HYPERLINK("https://en.wikipedia.org/wiki/We_Are_Lady_Parts","Open source")</x:f>
        <x:v>HYPERLINK is not implemented. linkLocation=https://en.wikipedia.org/wiki/We_Are_Lady_Parts, friendlyName=Open source</x:v>
      </x:c>
      <x:c r="AN1003" s="14" t="str">
        <x:v>No qualifying BBC relationship</x:v>
      </x:c>
      <x:c r="AO1003" s="14" t="str">
        <x:v>No</x:v>
      </x:c>
      <x:c r="AP1003" s="14" t="str">
        <x:v>Out of scope</x:v>
      </x:c>
      <x:c r="AQ1003" s="14" t="str">
        <x:v>No</x:v>
      </x:c>
      <x:c r="AR1003" s="14" t="str">
        <x:v>Resolved from master register</x:v>
      </x:c>
      <x:c r="AS1003" s="14" t="str">
        <x:v>No established-register match</x:v>
      </x:c>
      <x:c r="AT1003" s="14"/>
      <x:c r="AU1003" s="14"/>
      <x:c r="AV1003" s="14" t="str">
        <x:v>No established apparent-disability match</x:v>
      </x:c>
      <x:c r="AW1003" s="14"/>
      <x:c r="AX1003" s="14" t="str">
        <x:v>No</x:v>
      </x:c>
      <x:c r="AY1003" s="14" t="str">
        <x:v>Unmatched</x:v>
      </x:c>
      <x:c r="AZ1003" s="14" t="str">
        <x:v>Final supplied register</x:v>
      </x:c>
      <x:c r="BA1003" s="14" t="str">
        <x:v>Absence from the register is not evidence that the performer is not disabled.</x:v>
      </x:c>
      <x:c r="BB1003" s="14" t="str">
        <x:v>No established-register match</x:v>
      </x:c>
      <x:c r="BC1003" s="14"/>
      <x:c r="BD1003" s="14"/>
      <x:c r="BE1003" s="14"/>
      <x:c r="BF1003" s="14" t="str">
        <x:v>No established apparent-disability match</x:v>
      </x:c>
      <x:c r="BG1003" s="14"/>
      <x:c r="BH1003" s="14" t="str">
        <x:v>No</x:v>
      </x:c>
      <x:c r="BI1003" s="14"/>
      <x:c r="BJ1003" s="14"/>
      <x:c r="BK1003" s="14"/>
      <x:c r="BL1003" s="14" t="str">
        <x:v>Unmatched</x:v>
      </x:c>
      <x:c r="BM1003" s="14" t="str">
        <x:v>Final supplied register</x:v>
      </x:c>
      <x:c r="BN1003" s="14" t="str">
        <x:v>Absence from the register is not evidence that the performer is not disabled.</x:v>
      </x:c>
      <x:c r="BO1003" s="14" t="n">
        <x:v>12</x:v>
      </x:c>
      <x:c r="BP1003" s="14" t="str">
        <x:v>Maximum eligible IMDb cast-credit total (12), shared by 6 performer(s); not independently verified as a 2021-only episode total.</x:v>
      </x:c>
      <x:c r="BQ1003" s="14" t="str">
        <x:v>Medium</x:v>
      </x:c>
      <x:c r="BR1003" s="15" t="n">
        <x:v>3</x:v>
      </x:c>
      <x:c r="BS1003" s="16" t="n">
        <x:v>0.25</x:v>
      </x:c>
      <x:c r="BT1003" s="14" t="str">
        <x:v>Minority of episodes</x:v>
      </x:c>
      <x:c r="BU1003" s="14" t="str">
        <x:v>Medium</x:v>
      </x:c>
      <x:c r="BV1003" s="14" t="str">
        <x:v>Derived from supplied IMDb episode count and the documented production-total proxy.</x:v>
      </x:c>
      <x:c r="BW1003" s="14" t="str">
        <x:v>Unable to determine</x:v>
      </x:c>
      <x:c r="BX1003" s="14" t="str">
        <x:v>Supplied cast data establishes the credit and episode presence but does not establish narrative prominence.</x:v>
      </x:c>
      <x:c r="BY1003" s="14" t="str">
        <x:v>Supplied IMDb cast-list workbook</x:v>
      </x:c>
      <x:c r="BZ100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3" s="14" t="str">
        <x:v>Not classified</x:v>
      </x:c>
      <x:c r="CB1003" s="14" t="str">
        <x:v>Unable to determine</x:v>
      </x:c>
      <x:c r="CC1003" s="14" t="str">
        <x:v>Unique</x:v>
      </x:c>
      <x:c r="CD1003" s="14" t="str">
        <x:v>None identified</x:v>
      </x:c>
    </x:row>
    <x:row r="1004">
      <x:c r="A1004" s="14" t="str">
        <x:v>tt10846104|nm0842934|sister squire</x:v>
      </x:c>
      <x:c r="B1004" s="14" t="str">
        <x:v>05</x:v>
      </x:c>
      <x:c r="C1004" s="14" t="str">
        <x:v>2021_IMDb_Cast_Lists_Batch_05(1).xlsx</x:v>
      </x:c>
      <x:c r="D1004" s="14" t="str">
        <x:v>We Are Lady Parts</x:v>
      </x:c>
      <x:c r="E1004" s="14" t="n">
        <x:v>30</x:v>
      </x:c>
      <x:c r="F1004" s="14" t="str">
        <x:v>We Are Lady Parts</x:v>
      </x:c>
      <x:c r="G1004" s="14" t="str">
        <x:v>tt10846104</x:v>
      </x:c>
      <x:c r="H1004" s="14" t="n">
        <x:v>2021</x:v>
      </x:c>
      <x:c r="I1004" s="14" t="n">
        <x:v>2023</x:v>
      </x:c>
      <x:c r="J1004" s="14" t="str">
        <x:v>Future Carry-Forward Cohort</x:v>
      </x:c>
      <x:c r="K1004" s="14" t="n">
        <x:v>2021</x:v>
      </x:c>
      <x:c r="L1004" s="14" t="str">
        <x:v>Available from 2021 analysis</x:v>
      </x:c>
      <x:c r="M1004" s="15" t="n">
        <x:v>23</x:v>
      </x:c>
      <x:c r="N1004" s="14" t="str">
        <x:v>Meera Syal</x:v>
      </x:c>
      <x:c r="O1004" s="14" t="str">
        <x:v>nm0842934</x:v>
      </x:c>
      <x:c r="P1004" s="14" t="str">
        <x:v>Sister Squire</x:v>
      </x:c>
      <x:c r="Q1004" s="15" t="n">
        <x:v>3</x:v>
      </x:c>
      <x:c r="R1004" s="14" t="str">
        <x:v>2024</x:v>
      </x:c>
      <x:c r="S1004" s="14" t="n">
        <x:v>2024</x:v>
      </x:c>
      <x:c r="T1004" s="14" t="n">
        <x:v>2024</x:v>
      </x:c>
      <x:c r="U1004" s="14" t="str">
        <x:v>Post-2021 casting excluded</x:v>
      </x:c>
      <x:c r="V1004" s="14" t="str">
        <x:v>Earliest supplied year is 2024, later than the 2021 study year.</x:v>
      </x:c>
      <x:c r="W1004" s="14"/>
      <x:c r="X1004" s="14" t="str">
        <x:v>Carried forward to 2024</x:v>
      </x:c>
      <x:c r="Y1004" s="14"/>
      <x:c r="Z1004" s="14" t="str">
        <x:v>We Are Lady Parts.docx</x:v>
      </x:c>
      <x:c r="AA100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4" s="14" t="str">
        <x:v>No established-register match</x:v>
      </x:c>
      <x:c r="AC1004" s="14"/>
      <x:c r="AD1004" s="14"/>
      <x:c r="AE1004" s="14"/>
      <x:c r="AF1004" s="14"/>
      <x:c r="AG1004" s="14" t="str">
        <x:v>No qualifying conclusion recorded. Absence from the register is not evidence that the performer is not disabled.</x:v>
      </x:c>
      <x:c r="AH1004" s="14" t="str">
        <x:v>Channel 4 / E4</x:v>
      </x:c>
      <x:c r="AI1004" s="14" t="str">
        <x:v>UK original commission</x:v>
      </x:c>
      <x:c r="AJ1004" s="14" t="str">
        <x:v>Exact normalised title</x:v>
      </x:c>
      <x:c r="AK1004" s="14" t="str">
        <x:v>Medium</x:v>
      </x:c>
      <x:c r="AL1004" s="14" t="str">
        <x:v>Verified for commissioner/platform scope; uk original commission.</x:v>
      </x:c>
      <x:c r="AM1004" s="17" t="e">
        <x:f>HYPERLINK("https://en.wikipedia.org/wiki/We_Are_Lady_Parts","Open source")</x:f>
        <x:v>HYPERLINK is not implemented. linkLocation=https://en.wikipedia.org/wiki/We_Are_Lady_Parts, friendlyName=Open source</x:v>
      </x:c>
      <x:c r="AN1004" s="14" t="str">
        <x:v>No qualifying BBC relationship</x:v>
      </x:c>
      <x:c r="AO1004" s="14" t="str">
        <x:v>No</x:v>
      </x:c>
      <x:c r="AP1004" s="14" t="str">
        <x:v>Out of scope</x:v>
      </x:c>
      <x:c r="AQ1004" s="14" t="str">
        <x:v>No</x:v>
      </x:c>
      <x:c r="AR1004" s="14" t="str">
        <x:v>Resolved from master register</x:v>
      </x:c>
      <x:c r="AS1004" s="14" t="str">
        <x:v>No established-register match</x:v>
      </x:c>
      <x:c r="AT1004" s="14"/>
      <x:c r="AU1004" s="14"/>
      <x:c r="AV1004" s="14" t="str">
        <x:v>No established apparent-disability match</x:v>
      </x:c>
      <x:c r="AW1004" s="14"/>
      <x:c r="AX1004" s="14" t="str">
        <x:v>No</x:v>
      </x:c>
      <x:c r="AY1004" s="14" t="str">
        <x:v>Unmatched</x:v>
      </x:c>
      <x:c r="AZ1004" s="14" t="str">
        <x:v>Final supplied register</x:v>
      </x:c>
      <x:c r="BA1004" s="14" t="str">
        <x:v>Absence from the register is not evidence that the performer is not disabled.</x:v>
      </x:c>
      <x:c r="BB1004" s="14" t="str">
        <x:v>No established-register match</x:v>
      </x:c>
      <x:c r="BC1004" s="14"/>
      <x:c r="BD1004" s="14"/>
      <x:c r="BE1004" s="14"/>
      <x:c r="BF1004" s="14" t="str">
        <x:v>No established apparent-disability match</x:v>
      </x:c>
      <x:c r="BG1004" s="14"/>
      <x:c r="BH1004" s="14" t="str">
        <x:v>No</x:v>
      </x:c>
      <x:c r="BI1004" s="14"/>
      <x:c r="BJ1004" s="14"/>
      <x:c r="BK1004" s="14"/>
      <x:c r="BL1004" s="14" t="str">
        <x:v>Unmatched</x:v>
      </x:c>
      <x:c r="BM1004" s="14" t="str">
        <x:v>Final supplied register</x:v>
      </x:c>
      <x:c r="BN1004" s="14" t="str">
        <x:v>Absence from the register is not evidence that the performer is not disabled.</x:v>
      </x:c>
      <x:c r="BO1004" s="14" t="n">
        <x:v>12</x:v>
      </x:c>
      <x:c r="BP1004" s="14" t="str">
        <x:v>Maximum eligible IMDb cast-credit total (12), shared by 6 performer(s); not independently verified as a 2021-only episode total.</x:v>
      </x:c>
      <x:c r="BQ1004" s="14" t="str">
        <x:v>Medium</x:v>
      </x:c>
      <x:c r="BR1004" s="15" t="n">
        <x:v>3</x:v>
      </x:c>
      <x:c r="BS1004" s="16" t="n">
        <x:v>0.25</x:v>
      </x:c>
      <x:c r="BT1004" s="14" t="str">
        <x:v>Minority of episodes</x:v>
      </x:c>
      <x:c r="BU1004" s="14" t="str">
        <x:v>Medium</x:v>
      </x:c>
      <x:c r="BV1004" s="14" t="str">
        <x:v>Derived from supplied IMDb episode count and the documented production-total proxy.</x:v>
      </x:c>
      <x:c r="BW1004" s="14" t="str">
        <x:v>Unable to determine</x:v>
      </x:c>
      <x:c r="BX1004" s="14" t="str">
        <x:v>Supplied cast data establishes the credit and episode presence but does not establish narrative prominence.</x:v>
      </x:c>
      <x:c r="BY1004" s="14" t="str">
        <x:v>Supplied IMDb cast-list workbook</x:v>
      </x:c>
      <x:c r="BZ100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4" s="14" t="str">
        <x:v>Not classified</x:v>
      </x:c>
      <x:c r="CB1004" s="14" t="str">
        <x:v>Unable to determine</x:v>
      </x:c>
      <x:c r="CC1004" s="14" t="str">
        <x:v>Unique</x:v>
      </x:c>
      <x:c r="CD1004" s="14" t="str">
        <x:v>None identified</x:v>
      </x:c>
    </x:row>
    <x:row r="1005">
      <x:c r="A1005" s="14" t="str">
        <x:v>tt10846104|nm3101446|lucien</x:v>
      </x:c>
      <x:c r="B1005" s="14" t="str">
        <x:v>05</x:v>
      </x:c>
      <x:c r="C1005" s="14" t="str">
        <x:v>2021_IMDb_Cast_Lists_Batch_05(1).xlsx</x:v>
      </x:c>
      <x:c r="D1005" s="14" t="str">
        <x:v>We Are Lady Parts</x:v>
      </x:c>
      <x:c r="E1005" s="14" t="n">
        <x:v>32</x:v>
      </x:c>
      <x:c r="F1005" s="14" t="str">
        <x:v>We Are Lady Parts</x:v>
      </x:c>
      <x:c r="G1005" s="14" t="str">
        <x:v>tt10846104</x:v>
      </x:c>
      <x:c r="H1005" s="14" t="n">
        <x:v>2021</x:v>
      </x:c>
      <x:c r="I1005" s="14" t="n">
        <x:v>2023</x:v>
      </x:c>
      <x:c r="J1005" s="14" t="str">
        <x:v>Future Carry-Forward Cohort</x:v>
      </x:c>
      <x:c r="K1005" s="14" t="n">
        <x:v>2021</x:v>
      </x:c>
      <x:c r="L1005" s="14" t="str">
        <x:v>Available from 2021 analysis</x:v>
      </x:c>
      <x:c r="M1005" s="15" t="n">
        <x:v>25</x:v>
      </x:c>
      <x:c r="N1005" s="14" t="str">
        <x:v>Alex Felton</x:v>
      </x:c>
      <x:c r="O1005" s="14" t="str">
        <x:v>nm3101446</x:v>
      </x:c>
      <x:c r="P1005" s="14" t="str">
        <x:v>Lucien</x:v>
      </x:c>
      <x:c r="Q1005" s="15" t="n">
        <x:v>2</x:v>
      </x:c>
      <x:c r="R1005" s="14" t="str">
        <x:v>2024</x:v>
      </x:c>
      <x:c r="S1005" s="14" t="n">
        <x:v>2024</x:v>
      </x:c>
      <x:c r="T1005" s="14" t="n">
        <x:v>2024</x:v>
      </x:c>
      <x:c r="U1005" s="14" t="str">
        <x:v>Post-2021 casting excluded</x:v>
      </x:c>
      <x:c r="V1005" s="14" t="str">
        <x:v>Earliest supplied year is 2024, later than the 2021 study year.</x:v>
      </x:c>
      <x:c r="W1005" s="14"/>
      <x:c r="X1005" s="14" t="str">
        <x:v>Carried forward to 2024</x:v>
      </x:c>
      <x:c r="Y1005" s="14"/>
      <x:c r="Z1005" s="14" t="str">
        <x:v>We Are Lady Parts.docx</x:v>
      </x:c>
      <x:c r="AA100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5" s="14" t="str">
        <x:v>No established-register match</x:v>
      </x:c>
      <x:c r="AC1005" s="14"/>
      <x:c r="AD1005" s="14"/>
      <x:c r="AE1005" s="14"/>
      <x:c r="AF1005" s="14"/>
      <x:c r="AG1005" s="14" t="str">
        <x:v>No qualifying conclusion recorded. Absence from the register is not evidence that the performer is not disabled.</x:v>
      </x:c>
      <x:c r="AH1005" s="14" t="str">
        <x:v>Channel 4 / E4</x:v>
      </x:c>
      <x:c r="AI1005" s="14" t="str">
        <x:v>UK original commission</x:v>
      </x:c>
      <x:c r="AJ1005" s="14" t="str">
        <x:v>Exact normalised title</x:v>
      </x:c>
      <x:c r="AK1005" s="14" t="str">
        <x:v>Medium</x:v>
      </x:c>
      <x:c r="AL1005" s="14" t="str">
        <x:v>Verified for commissioner/platform scope; uk original commission.</x:v>
      </x:c>
      <x:c r="AM1005" s="17" t="e">
        <x:f>HYPERLINK("https://en.wikipedia.org/wiki/We_Are_Lady_Parts","Open source")</x:f>
        <x:v>HYPERLINK is not implemented. linkLocation=https://en.wikipedia.org/wiki/We_Are_Lady_Parts, friendlyName=Open source</x:v>
      </x:c>
      <x:c r="AN1005" s="14" t="str">
        <x:v>No qualifying BBC relationship</x:v>
      </x:c>
      <x:c r="AO1005" s="14" t="str">
        <x:v>No</x:v>
      </x:c>
      <x:c r="AP1005" s="14" t="str">
        <x:v>Out of scope</x:v>
      </x:c>
      <x:c r="AQ1005" s="14" t="str">
        <x:v>No</x:v>
      </x:c>
      <x:c r="AR1005" s="14" t="str">
        <x:v>Resolved from master register</x:v>
      </x:c>
      <x:c r="AS1005" s="14" t="str">
        <x:v>No established-register match</x:v>
      </x:c>
      <x:c r="AT1005" s="14"/>
      <x:c r="AU1005" s="14"/>
      <x:c r="AV1005" s="14" t="str">
        <x:v>No established apparent-disability match</x:v>
      </x:c>
      <x:c r="AW1005" s="14"/>
      <x:c r="AX1005" s="14" t="str">
        <x:v>No</x:v>
      </x:c>
      <x:c r="AY1005" s="14" t="str">
        <x:v>Unmatched</x:v>
      </x:c>
      <x:c r="AZ1005" s="14" t="str">
        <x:v>Final supplied register</x:v>
      </x:c>
      <x:c r="BA1005" s="14" t="str">
        <x:v>Absence from the register is not evidence that the performer is not disabled.</x:v>
      </x:c>
      <x:c r="BB1005" s="14" t="str">
        <x:v>No established-register match</x:v>
      </x:c>
      <x:c r="BC1005" s="14"/>
      <x:c r="BD1005" s="14"/>
      <x:c r="BE1005" s="14"/>
      <x:c r="BF1005" s="14" t="str">
        <x:v>No established apparent-disability match</x:v>
      </x:c>
      <x:c r="BG1005" s="14"/>
      <x:c r="BH1005" s="14" t="str">
        <x:v>No</x:v>
      </x:c>
      <x:c r="BI1005" s="14"/>
      <x:c r="BJ1005" s="14"/>
      <x:c r="BK1005" s="14"/>
      <x:c r="BL1005" s="14" t="str">
        <x:v>Unmatched</x:v>
      </x:c>
      <x:c r="BM1005" s="14" t="str">
        <x:v>Final supplied register</x:v>
      </x:c>
      <x:c r="BN1005" s="14" t="str">
        <x:v>Absence from the register is not evidence that the performer is not disabled.</x:v>
      </x:c>
      <x:c r="BO1005" s="14" t="n">
        <x:v>12</x:v>
      </x:c>
      <x:c r="BP1005" s="14" t="str">
        <x:v>Maximum eligible IMDb cast-credit total (12), shared by 6 performer(s); not independently verified as a 2021-only episode total.</x:v>
      </x:c>
      <x:c r="BQ1005" s="14" t="str">
        <x:v>Medium</x:v>
      </x:c>
      <x:c r="BR1005" s="15" t="n">
        <x:v>2</x:v>
      </x:c>
      <x:c r="BS1005" s="16" t="n">
        <x:v>0.1666666666666667</x:v>
      </x:c>
      <x:c r="BT1005" s="14" t="str">
        <x:v>Minority of episodes</x:v>
      </x:c>
      <x:c r="BU1005" s="14" t="str">
        <x:v>Medium</x:v>
      </x:c>
      <x:c r="BV1005" s="14" t="str">
        <x:v>Derived from supplied IMDb episode count and the documented production-total proxy.</x:v>
      </x:c>
      <x:c r="BW1005" s="14" t="str">
        <x:v>Unable to determine</x:v>
      </x:c>
      <x:c r="BX1005" s="14" t="str">
        <x:v>Supplied cast data establishes the credit and episode presence but does not establish narrative prominence.</x:v>
      </x:c>
      <x:c r="BY1005" s="14" t="str">
        <x:v>Supplied IMDb cast-list workbook</x:v>
      </x:c>
      <x:c r="BZ100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5" s="14" t="str">
        <x:v>Not classified</x:v>
      </x:c>
      <x:c r="CB1005" s="14" t="str">
        <x:v>Unable to determine</x:v>
      </x:c>
      <x:c r="CC1005" s="14" t="str">
        <x:v>Unique</x:v>
      </x:c>
      <x:c r="CD1005" s="14" t="str">
        <x:v>None identified</x:v>
      </x:c>
    </x:row>
    <x:row r="1006">
      <x:c r="A1006" s="14" t="str">
        <x:v>tt10846104|nm16202694|fahima</x:v>
      </x:c>
      <x:c r="B1006" s="14" t="str">
        <x:v>05</x:v>
      </x:c>
      <x:c r="C1006" s="14" t="str">
        <x:v>2021_IMDb_Cast_Lists_Batch_05(1).xlsx</x:v>
      </x:c>
      <x:c r="D1006" s="14" t="str">
        <x:v>We Are Lady Parts</x:v>
      </x:c>
      <x:c r="E1006" s="14" t="n">
        <x:v>35</x:v>
      </x:c>
      <x:c r="F1006" s="14" t="str">
        <x:v>We Are Lady Parts</x:v>
      </x:c>
      <x:c r="G1006" s="14" t="str">
        <x:v>tt10846104</x:v>
      </x:c>
      <x:c r="H1006" s="14" t="n">
        <x:v>2021</x:v>
      </x:c>
      <x:c r="I1006" s="14" t="n">
        <x:v>2023</x:v>
      </x:c>
      <x:c r="J1006" s="14" t="str">
        <x:v>Future Carry-Forward Cohort</x:v>
      </x:c>
      <x:c r="K1006" s="14" t="n">
        <x:v>2021</x:v>
      </x:c>
      <x:c r="L1006" s="14" t="str">
        <x:v>Available from 2021 analysis</x:v>
      </x:c>
      <x:c r="M1006" s="15" t="n">
        <x:v>28</x:v>
      </x:c>
      <x:c r="N1006" s="14" t="str">
        <x:v>Haleemah X</x:v>
      </x:c>
      <x:c r="O1006" s="14" t="str">
        <x:v>nm16202694</x:v>
      </x:c>
      <x:c r="P1006" s="14" t="str">
        <x:v>Fahima</x:v>
      </x:c>
      <x:c r="Q1006" s="15" t="n">
        <x:v>2</x:v>
      </x:c>
      <x:c r="R1006" s="14" t="str">
        <x:v>2024</x:v>
      </x:c>
      <x:c r="S1006" s="14" t="n">
        <x:v>2024</x:v>
      </x:c>
      <x:c r="T1006" s="14" t="n">
        <x:v>2024</x:v>
      </x:c>
      <x:c r="U1006" s="14" t="str">
        <x:v>Post-2021 casting excluded</x:v>
      </x:c>
      <x:c r="V1006" s="14" t="str">
        <x:v>Earliest supplied year is 2024, later than the 2021 study year.</x:v>
      </x:c>
      <x:c r="W1006" s="14"/>
      <x:c r="X1006" s="14" t="str">
        <x:v>Carried forward to 2024</x:v>
      </x:c>
      <x:c r="Y1006" s="14"/>
      <x:c r="Z1006" s="14" t="str">
        <x:v>We Are Lady Parts.docx</x:v>
      </x:c>
      <x:c r="AA100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6" s="14" t="str">
        <x:v>No established-register match</x:v>
      </x:c>
      <x:c r="AC1006" s="14"/>
      <x:c r="AD1006" s="14"/>
      <x:c r="AE1006" s="14"/>
      <x:c r="AF1006" s="14"/>
      <x:c r="AG1006" s="14" t="str">
        <x:v>No qualifying conclusion recorded. Absence from the register is not evidence that the performer is not disabled.</x:v>
      </x:c>
      <x:c r="AH1006" s="14" t="str">
        <x:v>Channel 4 / E4</x:v>
      </x:c>
      <x:c r="AI1006" s="14" t="str">
        <x:v>UK original commission</x:v>
      </x:c>
      <x:c r="AJ1006" s="14" t="str">
        <x:v>Exact normalised title</x:v>
      </x:c>
      <x:c r="AK1006" s="14" t="str">
        <x:v>Medium</x:v>
      </x:c>
      <x:c r="AL1006" s="14" t="str">
        <x:v>Verified for commissioner/platform scope; uk original commission.</x:v>
      </x:c>
      <x:c r="AM1006" s="17" t="e">
        <x:f>HYPERLINK("https://en.wikipedia.org/wiki/We_Are_Lady_Parts","Open source")</x:f>
        <x:v>HYPERLINK is not implemented. linkLocation=https://en.wikipedia.org/wiki/We_Are_Lady_Parts, friendlyName=Open source</x:v>
      </x:c>
      <x:c r="AN1006" s="14" t="str">
        <x:v>No qualifying BBC relationship</x:v>
      </x:c>
      <x:c r="AO1006" s="14" t="str">
        <x:v>No</x:v>
      </x:c>
      <x:c r="AP1006" s="14" t="str">
        <x:v>Out of scope</x:v>
      </x:c>
      <x:c r="AQ1006" s="14" t="str">
        <x:v>No</x:v>
      </x:c>
      <x:c r="AR1006" s="14" t="str">
        <x:v>Resolved from master register</x:v>
      </x:c>
      <x:c r="AS1006" s="14" t="str">
        <x:v>No established-register match</x:v>
      </x:c>
      <x:c r="AT1006" s="14"/>
      <x:c r="AU1006" s="14"/>
      <x:c r="AV1006" s="14" t="str">
        <x:v>No established apparent-disability match</x:v>
      </x:c>
      <x:c r="AW1006" s="14"/>
      <x:c r="AX1006" s="14" t="str">
        <x:v>No</x:v>
      </x:c>
      <x:c r="AY1006" s="14" t="str">
        <x:v>Unmatched</x:v>
      </x:c>
      <x:c r="AZ1006" s="14" t="str">
        <x:v>Final supplied register</x:v>
      </x:c>
      <x:c r="BA1006" s="14" t="str">
        <x:v>Absence from the register is not evidence that the performer is not disabled.</x:v>
      </x:c>
      <x:c r="BB1006" s="14" t="str">
        <x:v>No established-register match</x:v>
      </x:c>
      <x:c r="BC1006" s="14"/>
      <x:c r="BD1006" s="14"/>
      <x:c r="BE1006" s="14"/>
      <x:c r="BF1006" s="14" t="str">
        <x:v>No established apparent-disability match</x:v>
      </x:c>
      <x:c r="BG1006" s="14"/>
      <x:c r="BH1006" s="14" t="str">
        <x:v>No</x:v>
      </x:c>
      <x:c r="BI1006" s="14"/>
      <x:c r="BJ1006" s="14"/>
      <x:c r="BK1006" s="14"/>
      <x:c r="BL1006" s="14" t="str">
        <x:v>Unmatched</x:v>
      </x:c>
      <x:c r="BM1006" s="14" t="str">
        <x:v>Final supplied register</x:v>
      </x:c>
      <x:c r="BN1006" s="14" t="str">
        <x:v>Absence from the register is not evidence that the performer is not disabled.</x:v>
      </x:c>
      <x:c r="BO1006" s="14" t="n">
        <x:v>12</x:v>
      </x:c>
      <x:c r="BP1006" s="14" t="str">
        <x:v>Maximum eligible IMDb cast-credit total (12), shared by 6 performer(s); not independently verified as a 2021-only episode total.</x:v>
      </x:c>
      <x:c r="BQ1006" s="14" t="str">
        <x:v>Medium</x:v>
      </x:c>
      <x:c r="BR1006" s="15" t="n">
        <x:v>2</x:v>
      </x:c>
      <x:c r="BS1006" s="16" t="n">
        <x:v>0.1666666666666667</x:v>
      </x:c>
      <x:c r="BT1006" s="14" t="str">
        <x:v>Minority of episodes</x:v>
      </x:c>
      <x:c r="BU1006" s="14" t="str">
        <x:v>Medium</x:v>
      </x:c>
      <x:c r="BV1006" s="14" t="str">
        <x:v>Derived from supplied IMDb episode count and the documented production-total proxy.</x:v>
      </x:c>
      <x:c r="BW1006" s="14" t="str">
        <x:v>Unable to determine</x:v>
      </x:c>
      <x:c r="BX1006" s="14" t="str">
        <x:v>Supplied cast data establishes the credit and episode presence but does not establish narrative prominence.</x:v>
      </x:c>
      <x:c r="BY1006" s="14" t="str">
        <x:v>Supplied IMDb cast-list workbook</x:v>
      </x:c>
      <x:c r="BZ100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6" s="14" t="str">
        <x:v>Not classified</x:v>
      </x:c>
      <x:c r="CB1006" s="14" t="str">
        <x:v>Unable to determine</x:v>
      </x:c>
      <x:c r="CC1006" s="14" t="str">
        <x:v>Unique</x:v>
      </x:c>
      <x:c r="CD1006" s="14" t="str">
        <x:v>None identified</x:v>
      </x:c>
    </x:row>
    <x:row r="1007">
      <x:c r="A1007" s="14" t="str">
        <x:v>tt10846104|nm5324796|role not listed</x:v>
      </x:c>
      <x:c r="B1007" s="14" t="str">
        <x:v>05</x:v>
      </x:c>
      <x:c r="C1007" s="14" t="str">
        <x:v>2021_IMDb_Cast_Lists_Batch_05(1).xlsx</x:v>
      </x:c>
      <x:c r="D1007" s="14" t="str">
        <x:v>We Are Lady Parts</x:v>
      </x:c>
      <x:c r="E1007" s="14" t="n">
        <x:v>37</x:v>
      </x:c>
      <x:c r="F1007" s="14" t="str">
        <x:v>We Are Lady Parts</x:v>
      </x:c>
      <x:c r="G1007" s="14" t="str">
        <x:v>tt10846104</x:v>
      </x:c>
      <x:c r="H1007" s="14" t="n">
        <x:v>2021</x:v>
      </x:c>
      <x:c r="I1007" s="14" t="n">
        <x:v>2023</x:v>
      </x:c>
      <x:c r="J1007" s="14" t="str">
        <x:v>Future Carry-Forward Cohort</x:v>
      </x:c>
      <x:c r="K1007" s="14" t="n">
        <x:v>2021</x:v>
      </x:c>
      <x:c r="L1007" s="14" t="str">
        <x:v>Available from 2021 analysis</x:v>
      </x:c>
      <x:c r="M1007" s="15" t="n">
        <x:v>30</x:v>
      </x:c>
      <x:c r="N1007" s="14" t="str">
        <x:v>Malala Yousafzai</x:v>
      </x:c>
      <x:c r="O1007" s="14" t="str">
        <x:v>nm5324796</x:v>
      </x:c>
      <x:c r="P1007" s="14" t="str">
        <x:v>Role not listed</x:v>
      </x:c>
      <x:c r="Q1007" s="15" t="n">
        <x:v>2</x:v>
      </x:c>
      <x:c r="R1007" s="14" t="str">
        <x:v>2024</x:v>
      </x:c>
      <x:c r="S1007" s="14" t="n">
        <x:v>2024</x:v>
      </x:c>
      <x:c r="T1007" s="14" t="n">
        <x:v>2024</x:v>
      </x:c>
      <x:c r="U1007" s="14" t="str">
        <x:v>Post-2021 casting excluded</x:v>
      </x:c>
      <x:c r="V1007" s="14" t="str">
        <x:v>Earliest supplied year is 2024, later than the 2021 study year.</x:v>
      </x:c>
      <x:c r="W1007" s="14"/>
      <x:c r="X1007" s="14" t="str">
        <x:v>Carried forward to 2024</x:v>
      </x:c>
      <x:c r="Y1007" s="14" t="str">
        <x:v>Character / role not supplied in source</x:v>
      </x:c>
      <x:c r="Z1007" s="14" t="str">
        <x:v>We Are Lady Parts.docx</x:v>
      </x:c>
      <x:c r="AA100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7" s="14" t="str">
        <x:v>No established-register match</x:v>
      </x:c>
      <x:c r="AC1007" s="14"/>
      <x:c r="AD1007" s="14"/>
      <x:c r="AE1007" s="14"/>
      <x:c r="AF1007" s="14"/>
      <x:c r="AG1007" s="14" t="str">
        <x:v>No qualifying conclusion recorded. Absence from the register is not evidence that the performer is not disabled.</x:v>
      </x:c>
      <x:c r="AH1007" s="14" t="str">
        <x:v>Channel 4 / E4</x:v>
      </x:c>
      <x:c r="AI1007" s="14" t="str">
        <x:v>UK original commission</x:v>
      </x:c>
      <x:c r="AJ1007" s="14" t="str">
        <x:v>Exact normalised title</x:v>
      </x:c>
      <x:c r="AK1007" s="14" t="str">
        <x:v>Medium</x:v>
      </x:c>
      <x:c r="AL1007" s="14" t="str">
        <x:v>Verified for commissioner/platform scope; uk original commission.</x:v>
      </x:c>
      <x:c r="AM1007" s="17" t="e">
        <x:f>HYPERLINK("https://en.wikipedia.org/wiki/We_Are_Lady_Parts","Open source")</x:f>
        <x:v>HYPERLINK is not implemented. linkLocation=https://en.wikipedia.org/wiki/We_Are_Lady_Parts, friendlyName=Open source</x:v>
      </x:c>
      <x:c r="AN1007" s="14" t="str">
        <x:v>No qualifying BBC relationship</x:v>
      </x:c>
      <x:c r="AO1007" s="14" t="str">
        <x:v>No</x:v>
      </x:c>
      <x:c r="AP1007" s="14" t="str">
        <x:v>Out of scope</x:v>
      </x:c>
      <x:c r="AQ1007" s="14" t="str">
        <x:v>No</x:v>
      </x:c>
      <x:c r="AR1007" s="14" t="str">
        <x:v>Resolved from master register</x:v>
      </x:c>
      <x:c r="AS1007" s="14" t="str">
        <x:v>No established-register match</x:v>
      </x:c>
      <x:c r="AT1007" s="14"/>
      <x:c r="AU1007" s="14"/>
      <x:c r="AV1007" s="14" t="str">
        <x:v>No established apparent-disability match</x:v>
      </x:c>
      <x:c r="AW1007" s="14"/>
      <x:c r="AX1007" s="14" t="str">
        <x:v>No</x:v>
      </x:c>
      <x:c r="AY1007" s="14" t="str">
        <x:v>Unmatched</x:v>
      </x:c>
      <x:c r="AZ1007" s="14" t="str">
        <x:v>Final supplied register</x:v>
      </x:c>
      <x:c r="BA1007" s="14" t="str">
        <x:v>Absence from the register is not evidence that the performer is not disabled.</x:v>
      </x:c>
      <x:c r="BB1007" s="14" t="str">
        <x:v>No established-register match</x:v>
      </x:c>
      <x:c r="BC1007" s="14"/>
      <x:c r="BD1007" s="14"/>
      <x:c r="BE1007" s="14"/>
      <x:c r="BF1007" s="14" t="str">
        <x:v>No established apparent-disability match</x:v>
      </x:c>
      <x:c r="BG1007" s="14"/>
      <x:c r="BH1007" s="14" t="str">
        <x:v>No</x:v>
      </x:c>
      <x:c r="BI1007" s="14"/>
      <x:c r="BJ1007" s="14"/>
      <x:c r="BK1007" s="14"/>
      <x:c r="BL1007" s="14" t="str">
        <x:v>Unmatched</x:v>
      </x:c>
      <x:c r="BM1007" s="14" t="str">
        <x:v>Final supplied register</x:v>
      </x:c>
      <x:c r="BN1007" s="14" t="str">
        <x:v>Absence from the register is not evidence that the performer is not disabled.</x:v>
      </x:c>
      <x:c r="BO1007" s="14" t="n">
        <x:v>12</x:v>
      </x:c>
      <x:c r="BP1007" s="14" t="str">
        <x:v>Maximum eligible IMDb cast-credit total (12), shared by 6 performer(s); not independently verified as a 2021-only episode total.</x:v>
      </x:c>
      <x:c r="BQ1007" s="14" t="str">
        <x:v>Medium</x:v>
      </x:c>
      <x:c r="BR1007" s="15" t="n">
        <x:v>2</x:v>
      </x:c>
      <x:c r="BS1007" s="16" t="n">
        <x:v>0.1666666666666667</x:v>
      </x:c>
      <x:c r="BT1007" s="14" t="str">
        <x:v>Minority of episodes</x:v>
      </x:c>
      <x:c r="BU1007" s="14" t="str">
        <x:v>Medium</x:v>
      </x:c>
      <x:c r="BV1007" s="14" t="str">
        <x:v>Derived from supplied IMDb episode count and the documented production-total proxy.</x:v>
      </x:c>
      <x:c r="BW1007" s="14" t="str">
        <x:v>Unable to determine</x:v>
      </x:c>
      <x:c r="BX1007" s="14" t="str">
        <x:v>Supplied cast data establishes the credit and episode presence but does not establish narrative prominence.</x:v>
      </x:c>
      <x:c r="BY1007" s="14" t="str">
        <x:v>Supplied IMDb cast-list workbook</x:v>
      </x:c>
      <x:c r="BZ100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7" s="14" t="str">
        <x:v>Not classified</x:v>
      </x:c>
      <x:c r="CB1007" s="14" t="str">
        <x:v>Unable to determine</x:v>
      </x:c>
      <x:c r="CC1007" s="14" t="str">
        <x:v>Unique</x:v>
      </x:c>
      <x:c r="CD1007" s="14" t="str">
        <x:v>None identified</x:v>
      </x:c>
    </x:row>
    <x:row r="1008">
      <x:c r="A1008" s="14" t="str">
        <x:v>tt10846104|nm0519528|uncle steve</x:v>
      </x:c>
      <x:c r="B1008" s="14" t="str">
        <x:v>05</x:v>
      </x:c>
      <x:c r="C1008" s="14" t="str">
        <x:v>2021_IMDb_Cast_Lists_Batch_05(1).xlsx</x:v>
      </x:c>
      <x:c r="D1008" s="14" t="str">
        <x:v>We Are Lady Parts</x:v>
      </x:c>
      <x:c r="E1008" s="14" t="n">
        <x:v>38</x:v>
      </x:c>
      <x:c r="F1008" s="14" t="str">
        <x:v>We Are Lady Parts</x:v>
      </x:c>
      <x:c r="G1008" s="14" t="str">
        <x:v>tt10846104</x:v>
      </x:c>
      <x:c r="H1008" s="14" t="n">
        <x:v>2021</x:v>
      </x:c>
      <x:c r="I1008" s="14" t="n">
        <x:v>2023</x:v>
      </x:c>
      <x:c r="J1008" s="14" t="str">
        <x:v>Future Carry-Forward Cohort</x:v>
      </x:c>
      <x:c r="K1008" s="14" t="n">
        <x:v>2021</x:v>
      </x:c>
      <x:c r="L1008" s="14" t="str">
        <x:v>Available from 2021 analysis</x:v>
      </x:c>
      <x:c r="M1008" s="15" t="n">
        <x:v>31</x:v>
      </x:c>
      <x:c r="N1008" s="14" t="str">
        <x:v>Toby Longworth</x:v>
      </x:c>
      <x:c r="O1008" s="14" t="str">
        <x:v>nm0519528</x:v>
      </x:c>
      <x:c r="P1008" s="14" t="str">
        <x:v>Uncle Steve</x:v>
      </x:c>
      <x:c r="Q1008" s="15" t="n">
        <x:v>1</x:v>
      </x:c>
      <x:c r="R1008" s="14" t="str">
        <x:v>2024</x:v>
      </x:c>
      <x:c r="S1008" s="14" t="n">
        <x:v>2024</x:v>
      </x:c>
      <x:c r="T1008" s="14" t="n">
        <x:v>2024</x:v>
      </x:c>
      <x:c r="U1008" s="14" t="str">
        <x:v>Post-2021 casting excluded</x:v>
      </x:c>
      <x:c r="V1008" s="14" t="str">
        <x:v>Earliest supplied year is 2024, later than the 2021 study year.</x:v>
      </x:c>
      <x:c r="W1008" s="14"/>
      <x:c r="X1008" s="14" t="str">
        <x:v>Carried forward to 2024</x:v>
      </x:c>
      <x:c r="Y1008" s="14"/>
      <x:c r="Z1008" s="14" t="str">
        <x:v>We Are Lady Parts.docx</x:v>
      </x:c>
      <x:c r="AA100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8" s="14" t="str">
        <x:v>No established-register match</x:v>
      </x:c>
      <x:c r="AC1008" s="14"/>
      <x:c r="AD1008" s="14"/>
      <x:c r="AE1008" s="14"/>
      <x:c r="AF1008" s="14"/>
      <x:c r="AG1008" s="14" t="str">
        <x:v>No qualifying conclusion recorded. Absence from the register is not evidence that the performer is not disabled.</x:v>
      </x:c>
      <x:c r="AH1008" s="14" t="str">
        <x:v>Channel 4 / E4</x:v>
      </x:c>
      <x:c r="AI1008" s="14" t="str">
        <x:v>UK original commission</x:v>
      </x:c>
      <x:c r="AJ1008" s="14" t="str">
        <x:v>Exact normalised title</x:v>
      </x:c>
      <x:c r="AK1008" s="14" t="str">
        <x:v>Medium</x:v>
      </x:c>
      <x:c r="AL1008" s="14" t="str">
        <x:v>Verified for commissioner/platform scope; uk original commission.</x:v>
      </x:c>
      <x:c r="AM1008" s="17" t="e">
        <x:f>HYPERLINK("https://en.wikipedia.org/wiki/We_Are_Lady_Parts","Open source")</x:f>
        <x:v>HYPERLINK is not implemented. linkLocation=https://en.wikipedia.org/wiki/We_Are_Lady_Parts, friendlyName=Open source</x:v>
      </x:c>
      <x:c r="AN1008" s="14" t="str">
        <x:v>No qualifying BBC relationship</x:v>
      </x:c>
      <x:c r="AO1008" s="14" t="str">
        <x:v>No</x:v>
      </x:c>
      <x:c r="AP1008" s="14" t="str">
        <x:v>Out of scope</x:v>
      </x:c>
      <x:c r="AQ1008" s="14" t="str">
        <x:v>No</x:v>
      </x:c>
      <x:c r="AR1008" s="14" t="str">
        <x:v>Resolved from master register</x:v>
      </x:c>
      <x:c r="AS1008" s="14" t="str">
        <x:v>No established-register match</x:v>
      </x:c>
      <x:c r="AT1008" s="14"/>
      <x:c r="AU1008" s="14"/>
      <x:c r="AV1008" s="14" t="str">
        <x:v>No established apparent-disability match</x:v>
      </x:c>
      <x:c r="AW1008" s="14"/>
      <x:c r="AX1008" s="14" t="str">
        <x:v>No</x:v>
      </x:c>
      <x:c r="AY1008" s="14" t="str">
        <x:v>Unmatched</x:v>
      </x:c>
      <x:c r="AZ1008" s="14" t="str">
        <x:v>Final supplied register</x:v>
      </x:c>
      <x:c r="BA1008" s="14" t="str">
        <x:v>Absence from the register is not evidence that the performer is not disabled.</x:v>
      </x:c>
      <x:c r="BB1008" s="14" t="str">
        <x:v>No established-register match</x:v>
      </x:c>
      <x:c r="BC1008" s="14"/>
      <x:c r="BD1008" s="14"/>
      <x:c r="BE1008" s="14"/>
      <x:c r="BF1008" s="14" t="str">
        <x:v>No established apparent-disability match</x:v>
      </x:c>
      <x:c r="BG1008" s="14"/>
      <x:c r="BH1008" s="14" t="str">
        <x:v>No</x:v>
      </x:c>
      <x:c r="BI1008" s="14"/>
      <x:c r="BJ1008" s="14"/>
      <x:c r="BK1008" s="14"/>
      <x:c r="BL1008" s="14" t="str">
        <x:v>Unmatched</x:v>
      </x:c>
      <x:c r="BM1008" s="14" t="str">
        <x:v>Final supplied register</x:v>
      </x:c>
      <x:c r="BN1008" s="14" t="str">
        <x:v>Absence from the register is not evidence that the performer is not disabled.</x:v>
      </x:c>
      <x:c r="BO1008" s="14" t="n">
        <x:v>12</x:v>
      </x:c>
      <x:c r="BP1008" s="14" t="str">
        <x:v>Maximum eligible IMDb cast-credit total (12), shared by 6 performer(s); not independently verified as a 2021-only episode total.</x:v>
      </x:c>
      <x:c r="BQ1008" s="14" t="str">
        <x:v>Medium</x:v>
      </x:c>
      <x:c r="BR1008" s="15" t="n">
        <x:v>1</x:v>
      </x:c>
      <x:c r="BS1008" s="16" t="n">
        <x:v>0.08333333333333333</x:v>
      </x:c>
      <x:c r="BT1008" s="14" t="str">
        <x:v>One episode</x:v>
      </x:c>
      <x:c r="BU1008" s="14" t="str">
        <x:v>Medium</x:v>
      </x:c>
      <x:c r="BV1008" s="14" t="str">
        <x:v>Derived from supplied IMDb episode count and the documented production-total proxy.</x:v>
      </x:c>
      <x:c r="BW1008" s="14" t="str">
        <x:v>Unable to determine</x:v>
      </x:c>
      <x:c r="BX1008" s="14" t="str">
        <x:v>Supplied cast data establishes the credit and episode presence but does not establish narrative prominence.</x:v>
      </x:c>
      <x:c r="BY1008" s="14" t="str">
        <x:v>Supplied IMDb cast-list workbook</x:v>
      </x:c>
      <x:c r="BZ100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8" s="14" t="str">
        <x:v>Not classified</x:v>
      </x:c>
      <x:c r="CB1008" s="14" t="str">
        <x:v>Unable to determine</x:v>
      </x:c>
      <x:c r="CC1008" s="14" t="str">
        <x:v>Unique</x:v>
      </x:c>
      <x:c r="CD1008" s="14" t="str">
        <x:v>None identified</x:v>
      </x:c>
    </x:row>
    <x:row r="1009">
      <x:c r="A1009" s="14" t="str">
        <x:v>tt10846104|nm9425121|detective suarez</x:v>
      </x:c>
      <x:c r="B1009" s="14" t="str">
        <x:v>05</x:v>
      </x:c>
      <x:c r="C1009" s="14" t="str">
        <x:v>2021_IMDb_Cast_Lists_Batch_05(1).xlsx</x:v>
      </x:c>
      <x:c r="D1009" s="14" t="str">
        <x:v>We Are Lady Parts</x:v>
      </x:c>
      <x:c r="E1009" s="14" t="n">
        <x:v>39</x:v>
      </x:c>
      <x:c r="F1009" s="14" t="str">
        <x:v>We Are Lady Parts</x:v>
      </x:c>
      <x:c r="G1009" s="14" t="str">
        <x:v>tt10846104</x:v>
      </x:c>
      <x:c r="H1009" s="14" t="n">
        <x:v>2021</x:v>
      </x:c>
      <x:c r="I1009" s="14" t="n">
        <x:v>2023</x:v>
      </x:c>
      <x:c r="J1009" s="14" t="str">
        <x:v>Future Carry-Forward Cohort</x:v>
      </x:c>
      <x:c r="K1009" s="14" t="n">
        <x:v>2021</x:v>
      </x:c>
      <x:c r="L1009" s="14" t="str">
        <x:v>Available from 2021 analysis</x:v>
      </x:c>
      <x:c r="M1009" s="15" t="n">
        <x:v>32</x:v>
      </x:c>
      <x:c r="N1009" s="14" t="str">
        <x:v>Kristen Alminta</x:v>
      </x:c>
      <x:c r="O1009" s="14" t="str">
        <x:v>nm9425121</x:v>
      </x:c>
      <x:c r="P1009" s="14" t="str">
        <x:v>Detective Suarez</x:v>
      </x:c>
      <x:c r="Q1009" s="15" t="n">
        <x:v>1</x:v>
      </x:c>
      <x:c r="R1009" s="14" t="str">
        <x:v>2024</x:v>
      </x:c>
      <x:c r="S1009" s="14" t="n">
        <x:v>2024</x:v>
      </x:c>
      <x:c r="T1009" s="14" t="n">
        <x:v>2024</x:v>
      </x:c>
      <x:c r="U1009" s="14" t="str">
        <x:v>Post-2021 casting excluded</x:v>
      </x:c>
      <x:c r="V1009" s="14" t="str">
        <x:v>Earliest supplied year is 2024, later than the 2021 study year.</x:v>
      </x:c>
      <x:c r="W1009" s="14"/>
      <x:c r="X1009" s="14" t="str">
        <x:v>Carried forward to 2024</x:v>
      </x:c>
      <x:c r="Y1009" s="14"/>
      <x:c r="Z1009" s="14" t="str">
        <x:v>We Are Lady Parts.docx</x:v>
      </x:c>
      <x:c r="AA100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9" s="14" t="str">
        <x:v>No established-register match</x:v>
      </x:c>
      <x:c r="AC1009" s="14"/>
      <x:c r="AD1009" s="14"/>
      <x:c r="AE1009" s="14"/>
      <x:c r="AF1009" s="14"/>
      <x:c r="AG1009" s="14" t="str">
        <x:v>No qualifying conclusion recorded. Absence from the register is not evidence that the performer is not disabled.</x:v>
      </x:c>
      <x:c r="AH1009" s="14" t="str">
        <x:v>Channel 4 / E4</x:v>
      </x:c>
      <x:c r="AI1009" s="14" t="str">
        <x:v>UK original commission</x:v>
      </x:c>
      <x:c r="AJ1009" s="14" t="str">
        <x:v>Exact normalised title</x:v>
      </x:c>
      <x:c r="AK1009" s="14" t="str">
        <x:v>Medium</x:v>
      </x:c>
      <x:c r="AL1009" s="14" t="str">
        <x:v>Verified for commissioner/platform scope; uk original commission.</x:v>
      </x:c>
      <x:c r="AM1009" s="17" t="e">
        <x:f>HYPERLINK("https://en.wikipedia.org/wiki/We_Are_Lady_Parts","Open source")</x:f>
        <x:v>HYPERLINK is not implemented. linkLocation=https://en.wikipedia.org/wiki/We_Are_Lady_Parts, friendlyName=Open source</x:v>
      </x:c>
      <x:c r="AN1009" s="14" t="str">
        <x:v>No qualifying BBC relationship</x:v>
      </x:c>
      <x:c r="AO1009" s="14" t="str">
        <x:v>No</x:v>
      </x:c>
      <x:c r="AP1009" s="14" t="str">
        <x:v>Out of scope</x:v>
      </x:c>
      <x:c r="AQ1009" s="14" t="str">
        <x:v>No</x:v>
      </x:c>
      <x:c r="AR1009" s="14" t="str">
        <x:v>Resolved from master register</x:v>
      </x:c>
      <x:c r="AS1009" s="14" t="str">
        <x:v>No established-register match</x:v>
      </x:c>
      <x:c r="AT1009" s="14"/>
      <x:c r="AU1009" s="14"/>
      <x:c r="AV1009" s="14" t="str">
        <x:v>No established apparent-disability match</x:v>
      </x:c>
      <x:c r="AW1009" s="14"/>
      <x:c r="AX1009" s="14" t="str">
        <x:v>No</x:v>
      </x:c>
      <x:c r="AY1009" s="14" t="str">
        <x:v>Unmatched</x:v>
      </x:c>
      <x:c r="AZ1009" s="14" t="str">
        <x:v>Final supplied register</x:v>
      </x:c>
      <x:c r="BA1009" s="14" t="str">
        <x:v>Absence from the register is not evidence that the performer is not disabled.</x:v>
      </x:c>
      <x:c r="BB1009" s="14" t="str">
        <x:v>No established-register match</x:v>
      </x:c>
      <x:c r="BC1009" s="14"/>
      <x:c r="BD1009" s="14"/>
      <x:c r="BE1009" s="14"/>
      <x:c r="BF1009" s="14" t="str">
        <x:v>No established apparent-disability match</x:v>
      </x:c>
      <x:c r="BG1009" s="14"/>
      <x:c r="BH1009" s="14" t="str">
        <x:v>No</x:v>
      </x:c>
      <x:c r="BI1009" s="14"/>
      <x:c r="BJ1009" s="14"/>
      <x:c r="BK1009" s="14"/>
      <x:c r="BL1009" s="14" t="str">
        <x:v>Unmatched</x:v>
      </x:c>
      <x:c r="BM1009" s="14" t="str">
        <x:v>Final supplied register</x:v>
      </x:c>
      <x:c r="BN1009" s="14" t="str">
        <x:v>Absence from the register is not evidence that the performer is not disabled.</x:v>
      </x:c>
      <x:c r="BO1009" s="14" t="n">
        <x:v>12</x:v>
      </x:c>
      <x:c r="BP1009" s="14" t="str">
        <x:v>Maximum eligible IMDb cast-credit total (12), shared by 6 performer(s); not independently verified as a 2021-only episode total.</x:v>
      </x:c>
      <x:c r="BQ1009" s="14" t="str">
        <x:v>Medium</x:v>
      </x:c>
      <x:c r="BR1009" s="15" t="n">
        <x:v>1</x:v>
      </x:c>
      <x:c r="BS1009" s="16" t="n">
        <x:v>0.08333333333333333</x:v>
      </x:c>
      <x:c r="BT1009" s="14" t="str">
        <x:v>One episode</x:v>
      </x:c>
      <x:c r="BU1009" s="14" t="str">
        <x:v>Medium</x:v>
      </x:c>
      <x:c r="BV1009" s="14" t="str">
        <x:v>Derived from supplied IMDb episode count and the documented production-total proxy.</x:v>
      </x:c>
      <x:c r="BW1009" s="14" t="str">
        <x:v>Unable to determine</x:v>
      </x:c>
      <x:c r="BX1009" s="14" t="str">
        <x:v>Supplied cast data establishes the credit and episode presence but does not establish narrative prominence.</x:v>
      </x:c>
      <x:c r="BY1009" s="14" t="str">
        <x:v>Supplied IMDb cast-list workbook</x:v>
      </x:c>
      <x:c r="BZ100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9" s="14" t="str">
        <x:v>Not classified</x:v>
      </x:c>
      <x:c r="CB1009" s="14" t="str">
        <x:v>Unable to determine</x:v>
      </x:c>
      <x:c r="CC1009" s="14" t="str">
        <x:v>Unique</x:v>
      </x:c>
      <x:c r="CD1009" s="14" t="str">
        <x:v>None identified</x:v>
      </x:c>
    </x:row>
    <x:row r="1010">
      <x:c r="A1010" s="14" t="str">
        <x:v>tt10846104|nm1711697|detective colt</x:v>
      </x:c>
      <x:c r="B1010" s="14" t="str">
        <x:v>05</x:v>
      </x:c>
      <x:c r="C1010" s="14" t="str">
        <x:v>2021_IMDb_Cast_Lists_Batch_05(1).xlsx</x:v>
      </x:c>
      <x:c r="D1010" s="14" t="str">
        <x:v>We Are Lady Parts</x:v>
      </x:c>
      <x:c r="E1010" s="14" t="n">
        <x:v>41</x:v>
      </x:c>
      <x:c r="F1010" s="14" t="str">
        <x:v>We Are Lady Parts</x:v>
      </x:c>
      <x:c r="G1010" s="14" t="str">
        <x:v>tt10846104</x:v>
      </x:c>
      <x:c r="H1010" s="14" t="n">
        <x:v>2021</x:v>
      </x:c>
      <x:c r="I1010" s="14" t="n">
        <x:v>2023</x:v>
      </x:c>
      <x:c r="J1010" s="14" t="str">
        <x:v>Future Carry-Forward Cohort</x:v>
      </x:c>
      <x:c r="K1010" s="14" t="n">
        <x:v>2021</x:v>
      </x:c>
      <x:c r="L1010" s="14" t="str">
        <x:v>Available from 2021 analysis</x:v>
      </x:c>
      <x:c r="M1010" s="15" t="n">
        <x:v>34</x:v>
      </x:c>
      <x:c r="N1010" s="14" t="str">
        <x:v>Nathan Nolan</x:v>
      </x:c>
      <x:c r="O1010" s="14" t="str">
        <x:v>nm1711697</x:v>
      </x:c>
      <x:c r="P1010" s="14" t="str">
        <x:v>Detective Colt</x:v>
      </x:c>
      <x:c r="Q1010" s="15" t="n">
        <x:v>1</x:v>
      </x:c>
      <x:c r="R1010" s="14" t="str">
        <x:v>2024</x:v>
      </x:c>
      <x:c r="S1010" s="14" t="n">
        <x:v>2024</x:v>
      </x:c>
      <x:c r="T1010" s="14" t="n">
        <x:v>2024</x:v>
      </x:c>
      <x:c r="U1010" s="14" t="str">
        <x:v>Post-2021 casting excluded</x:v>
      </x:c>
      <x:c r="V1010" s="14" t="str">
        <x:v>Earliest supplied year is 2024, later than the 2021 study year.</x:v>
      </x:c>
      <x:c r="W1010" s="14"/>
      <x:c r="X1010" s="14" t="str">
        <x:v>Carried forward to 2024</x:v>
      </x:c>
      <x:c r="Y1010" s="14"/>
      <x:c r="Z1010" s="14" t="str">
        <x:v>We Are Lady Parts.docx</x:v>
      </x:c>
      <x:c r="AA101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0" s="14" t="str">
        <x:v>No established-register match</x:v>
      </x:c>
      <x:c r="AC1010" s="14"/>
      <x:c r="AD1010" s="14"/>
      <x:c r="AE1010" s="14"/>
      <x:c r="AF1010" s="14"/>
      <x:c r="AG1010" s="14" t="str">
        <x:v>No qualifying conclusion recorded. Absence from the register is not evidence that the performer is not disabled.</x:v>
      </x:c>
      <x:c r="AH1010" s="14" t="str">
        <x:v>Channel 4 / E4</x:v>
      </x:c>
      <x:c r="AI1010" s="14" t="str">
        <x:v>UK original commission</x:v>
      </x:c>
      <x:c r="AJ1010" s="14" t="str">
        <x:v>Exact normalised title</x:v>
      </x:c>
      <x:c r="AK1010" s="14" t="str">
        <x:v>Medium</x:v>
      </x:c>
      <x:c r="AL1010" s="14" t="str">
        <x:v>Verified for commissioner/platform scope; uk original commission.</x:v>
      </x:c>
      <x:c r="AM1010" s="17" t="e">
        <x:f>HYPERLINK("https://en.wikipedia.org/wiki/We_Are_Lady_Parts","Open source")</x:f>
        <x:v>HYPERLINK is not implemented. linkLocation=https://en.wikipedia.org/wiki/We_Are_Lady_Parts, friendlyName=Open source</x:v>
      </x:c>
      <x:c r="AN1010" s="14" t="str">
        <x:v>No qualifying BBC relationship</x:v>
      </x:c>
      <x:c r="AO1010" s="14" t="str">
        <x:v>No</x:v>
      </x:c>
      <x:c r="AP1010" s="14" t="str">
        <x:v>Out of scope</x:v>
      </x:c>
      <x:c r="AQ1010" s="14" t="str">
        <x:v>No</x:v>
      </x:c>
      <x:c r="AR1010" s="14" t="str">
        <x:v>Resolved from master register</x:v>
      </x:c>
      <x:c r="AS1010" s="14" t="str">
        <x:v>No established-register match</x:v>
      </x:c>
      <x:c r="AT1010" s="14"/>
      <x:c r="AU1010" s="14"/>
      <x:c r="AV1010" s="14" t="str">
        <x:v>No established apparent-disability match</x:v>
      </x:c>
      <x:c r="AW1010" s="14"/>
      <x:c r="AX1010" s="14" t="str">
        <x:v>No</x:v>
      </x:c>
      <x:c r="AY1010" s="14" t="str">
        <x:v>Unmatched</x:v>
      </x:c>
      <x:c r="AZ1010" s="14" t="str">
        <x:v>Final supplied register</x:v>
      </x:c>
      <x:c r="BA1010" s="14" t="str">
        <x:v>Absence from the register is not evidence that the performer is not disabled.</x:v>
      </x:c>
      <x:c r="BB1010" s="14" t="str">
        <x:v>No established-register match</x:v>
      </x:c>
      <x:c r="BC1010" s="14"/>
      <x:c r="BD1010" s="14"/>
      <x:c r="BE1010" s="14"/>
      <x:c r="BF1010" s="14" t="str">
        <x:v>No established apparent-disability match</x:v>
      </x:c>
      <x:c r="BG1010" s="14"/>
      <x:c r="BH1010" s="14" t="str">
        <x:v>No</x:v>
      </x:c>
      <x:c r="BI1010" s="14"/>
      <x:c r="BJ1010" s="14"/>
      <x:c r="BK1010" s="14"/>
      <x:c r="BL1010" s="14" t="str">
        <x:v>Unmatched</x:v>
      </x:c>
      <x:c r="BM1010" s="14" t="str">
        <x:v>Final supplied register</x:v>
      </x:c>
      <x:c r="BN1010" s="14" t="str">
        <x:v>Absence from the register is not evidence that the performer is not disabled.</x:v>
      </x:c>
      <x:c r="BO1010" s="14" t="n">
        <x:v>12</x:v>
      </x:c>
      <x:c r="BP1010" s="14" t="str">
        <x:v>Maximum eligible IMDb cast-credit total (12), shared by 6 performer(s); not independently verified as a 2021-only episode total.</x:v>
      </x:c>
      <x:c r="BQ1010" s="14" t="str">
        <x:v>Medium</x:v>
      </x:c>
      <x:c r="BR1010" s="15" t="n">
        <x:v>1</x:v>
      </x:c>
      <x:c r="BS1010" s="16" t="n">
        <x:v>0.08333333333333333</x:v>
      </x:c>
      <x:c r="BT1010" s="14" t="str">
        <x:v>One episode</x:v>
      </x:c>
      <x:c r="BU1010" s="14" t="str">
        <x:v>Medium</x:v>
      </x:c>
      <x:c r="BV1010" s="14" t="str">
        <x:v>Derived from supplied IMDb episode count and the documented production-total proxy.</x:v>
      </x:c>
      <x:c r="BW1010" s="14" t="str">
        <x:v>Unable to determine</x:v>
      </x:c>
      <x:c r="BX1010" s="14" t="str">
        <x:v>Supplied cast data establishes the credit and episode presence but does not establish narrative prominence.</x:v>
      </x:c>
      <x:c r="BY1010" s="14" t="str">
        <x:v>Supplied IMDb cast-list workbook</x:v>
      </x:c>
      <x:c r="BZ101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0" s="14" t="str">
        <x:v>Not classified</x:v>
      </x:c>
      <x:c r="CB1010" s="14" t="str">
        <x:v>Unable to determine</x:v>
      </x:c>
      <x:c r="CC1010" s="14" t="str">
        <x:v>Unique</x:v>
      </x:c>
      <x:c r="CD1010" s="14" t="str">
        <x:v>None identified</x:v>
      </x:c>
    </x:row>
    <x:row r="1011">
      <x:c r="A1011" s="14" t="str">
        <x:v>tt10846104|nm3544818|tobi</x:v>
      </x:c>
      <x:c r="B1011" s="14" t="str">
        <x:v>05</x:v>
      </x:c>
      <x:c r="C1011" s="14" t="str">
        <x:v>2021_IMDb_Cast_Lists_Batch_05(1).xlsx</x:v>
      </x:c>
      <x:c r="D1011" s="14" t="str">
        <x:v>We Are Lady Parts</x:v>
      </x:c>
      <x:c r="E1011" s="14" t="n">
        <x:v>43</x:v>
      </x:c>
      <x:c r="F1011" s="14" t="str">
        <x:v>We Are Lady Parts</x:v>
      </x:c>
      <x:c r="G1011" s="14" t="str">
        <x:v>tt10846104</x:v>
      </x:c>
      <x:c r="H1011" s="14" t="n">
        <x:v>2021</x:v>
      </x:c>
      <x:c r="I1011" s="14" t="n">
        <x:v>2023</x:v>
      </x:c>
      <x:c r="J1011" s="14" t="str">
        <x:v>Future Carry-Forward Cohort</x:v>
      </x:c>
      <x:c r="K1011" s="14" t="n">
        <x:v>2021</x:v>
      </x:c>
      <x:c r="L1011" s="14" t="str">
        <x:v>Available from 2021 analysis</x:v>
      </x:c>
      <x:c r="M1011" s="15" t="n">
        <x:v>36</x:v>
      </x:c>
      <x:c r="N1011" s="14" t="str">
        <x:v>Dani Moseley</x:v>
      </x:c>
      <x:c r="O1011" s="14" t="str">
        <x:v>nm3544818</x:v>
      </x:c>
      <x:c r="P1011" s="14" t="str">
        <x:v>Tobi</x:v>
      </x:c>
      <x:c r="Q1011" s="15" t="n">
        <x:v>1</x:v>
      </x:c>
      <x:c r="R1011" s="14" t="str">
        <x:v>2024</x:v>
      </x:c>
      <x:c r="S1011" s="14" t="n">
        <x:v>2024</x:v>
      </x:c>
      <x:c r="T1011" s="14" t="n">
        <x:v>2024</x:v>
      </x:c>
      <x:c r="U1011" s="14" t="str">
        <x:v>Post-2021 casting excluded</x:v>
      </x:c>
      <x:c r="V1011" s="14" t="str">
        <x:v>Earliest supplied year is 2024, later than the 2021 study year.</x:v>
      </x:c>
      <x:c r="W1011" s="14"/>
      <x:c r="X1011" s="14" t="str">
        <x:v>Carried forward to 2024</x:v>
      </x:c>
      <x:c r="Y1011" s="14"/>
      <x:c r="Z1011" s="14" t="str">
        <x:v>We Are Lady Parts.docx</x:v>
      </x:c>
      <x:c r="AA101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1" s="14" t="str">
        <x:v>No established-register match</x:v>
      </x:c>
      <x:c r="AC1011" s="14"/>
      <x:c r="AD1011" s="14"/>
      <x:c r="AE1011" s="14"/>
      <x:c r="AF1011" s="14"/>
      <x:c r="AG1011" s="14" t="str">
        <x:v>No qualifying conclusion recorded. Absence from the register is not evidence that the performer is not disabled.</x:v>
      </x:c>
      <x:c r="AH1011" s="14" t="str">
        <x:v>Channel 4 / E4</x:v>
      </x:c>
      <x:c r="AI1011" s="14" t="str">
        <x:v>UK original commission</x:v>
      </x:c>
      <x:c r="AJ1011" s="14" t="str">
        <x:v>Exact normalised title</x:v>
      </x:c>
      <x:c r="AK1011" s="14" t="str">
        <x:v>Medium</x:v>
      </x:c>
      <x:c r="AL1011" s="14" t="str">
        <x:v>Verified for commissioner/platform scope; uk original commission.</x:v>
      </x:c>
      <x:c r="AM1011" s="17" t="e">
        <x:f>HYPERLINK("https://en.wikipedia.org/wiki/We_Are_Lady_Parts","Open source")</x:f>
        <x:v>HYPERLINK is not implemented. linkLocation=https://en.wikipedia.org/wiki/We_Are_Lady_Parts, friendlyName=Open source</x:v>
      </x:c>
      <x:c r="AN1011" s="14" t="str">
        <x:v>No qualifying BBC relationship</x:v>
      </x:c>
      <x:c r="AO1011" s="14" t="str">
        <x:v>No</x:v>
      </x:c>
      <x:c r="AP1011" s="14" t="str">
        <x:v>Out of scope</x:v>
      </x:c>
      <x:c r="AQ1011" s="14" t="str">
        <x:v>No</x:v>
      </x:c>
      <x:c r="AR1011" s="14" t="str">
        <x:v>Resolved from master register</x:v>
      </x:c>
      <x:c r="AS1011" s="14" t="str">
        <x:v>No established-register match</x:v>
      </x:c>
      <x:c r="AT1011" s="14"/>
      <x:c r="AU1011" s="14"/>
      <x:c r="AV1011" s="14" t="str">
        <x:v>No established apparent-disability match</x:v>
      </x:c>
      <x:c r="AW1011" s="14"/>
      <x:c r="AX1011" s="14" t="str">
        <x:v>No</x:v>
      </x:c>
      <x:c r="AY1011" s="14" t="str">
        <x:v>Unmatched</x:v>
      </x:c>
      <x:c r="AZ1011" s="14" t="str">
        <x:v>Final supplied register</x:v>
      </x:c>
      <x:c r="BA1011" s="14" t="str">
        <x:v>Absence from the register is not evidence that the performer is not disabled.</x:v>
      </x:c>
      <x:c r="BB1011" s="14" t="str">
        <x:v>No established-register match</x:v>
      </x:c>
      <x:c r="BC1011" s="14"/>
      <x:c r="BD1011" s="14"/>
      <x:c r="BE1011" s="14"/>
      <x:c r="BF1011" s="14" t="str">
        <x:v>No established apparent-disability match</x:v>
      </x:c>
      <x:c r="BG1011" s="14"/>
      <x:c r="BH1011" s="14" t="str">
        <x:v>No</x:v>
      </x:c>
      <x:c r="BI1011" s="14"/>
      <x:c r="BJ1011" s="14"/>
      <x:c r="BK1011" s="14"/>
      <x:c r="BL1011" s="14" t="str">
        <x:v>Unmatched</x:v>
      </x:c>
      <x:c r="BM1011" s="14" t="str">
        <x:v>Final supplied register</x:v>
      </x:c>
      <x:c r="BN1011" s="14" t="str">
        <x:v>Absence from the register is not evidence that the performer is not disabled.</x:v>
      </x:c>
      <x:c r="BO1011" s="14" t="n">
        <x:v>12</x:v>
      </x:c>
      <x:c r="BP1011" s="14" t="str">
        <x:v>Maximum eligible IMDb cast-credit total (12), shared by 6 performer(s); not independently verified as a 2021-only episode total.</x:v>
      </x:c>
      <x:c r="BQ1011" s="14" t="str">
        <x:v>Medium</x:v>
      </x:c>
      <x:c r="BR1011" s="15" t="n">
        <x:v>1</x:v>
      </x:c>
      <x:c r="BS1011" s="16" t="n">
        <x:v>0.08333333333333333</x:v>
      </x:c>
      <x:c r="BT1011" s="14" t="str">
        <x:v>One episode</x:v>
      </x:c>
      <x:c r="BU1011" s="14" t="str">
        <x:v>Medium</x:v>
      </x:c>
      <x:c r="BV1011" s="14" t="str">
        <x:v>Derived from supplied IMDb episode count and the documented production-total proxy.</x:v>
      </x:c>
      <x:c r="BW1011" s="14" t="str">
        <x:v>Unable to determine</x:v>
      </x:c>
      <x:c r="BX1011" s="14" t="str">
        <x:v>Supplied cast data establishes the credit and episode presence but does not establish narrative prominence.</x:v>
      </x:c>
      <x:c r="BY1011" s="14" t="str">
        <x:v>Supplied IMDb cast-list workbook</x:v>
      </x:c>
      <x:c r="BZ101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1" s="14" t="str">
        <x:v>Not classified</x:v>
      </x:c>
      <x:c r="CB1011" s="14" t="str">
        <x:v>Unable to determine</x:v>
      </x:c>
      <x:c r="CC1011" s="14" t="str">
        <x:v>Unique</x:v>
      </x:c>
      <x:c r="CD1011" s="14" t="str">
        <x:v>None identified</x:v>
      </x:c>
    </x:row>
    <x:row r="1012">
      <x:c r="A1012" s="14" t="str">
        <x:v>tt10846104|nm0570569|lucy</x:v>
      </x:c>
      <x:c r="B1012" s="14" t="str">
        <x:v>05</x:v>
      </x:c>
      <x:c r="C1012" s="14" t="str">
        <x:v>2021_IMDb_Cast_Lists_Batch_05(1).xlsx</x:v>
      </x:c>
      <x:c r="D1012" s="14" t="str">
        <x:v>We Are Lady Parts</x:v>
      </x:c>
      <x:c r="E1012" s="14" t="n">
        <x:v>49</x:v>
      </x:c>
      <x:c r="F1012" s="14" t="str">
        <x:v>We Are Lady Parts</x:v>
      </x:c>
      <x:c r="G1012" s="14" t="str">
        <x:v>tt10846104</x:v>
      </x:c>
      <x:c r="H1012" s="14" t="n">
        <x:v>2021</x:v>
      </x:c>
      <x:c r="I1012" s="14" t="n">
        <x:v>2023</x:v>
      </x:c>
      <x:c r="J1012" s="14" t="str">
        <x:v>Future Carry-Forward Cohort</x:v>
      </x:c>
      <x:c r="K1012" s="14" t="n">
        <x:v>2021</x:v>
      </x:c>
      <x:c r="L1012" s="14" t="str">
        <x:v>Available from 2021 analysis</x:v>
      </x:c>
      <x:c r="M1012" s="15" t="n">
        <x:v>42</x:v>
      </x:c>
      <x:c r="N1012" s="14" t="str">
        <x:v>Lizzy McInnerny</x:v>
      </x:c>
      <x:c r="O1012" s="14" t="str">
        <x:v>nm0570569</x:v>
      </x:c>
      <x:c r="P1012" s="14" t="str">
        <x:v>Lucy</x:v>
      </x:c>
      <x:c r="Q1012" s="15" t="n">
        <x:v>1</x:v>
      </x:c>
      <x:c r="R1012" s="14" t="str">
        <x:v>2024</x:v>
      </x:c>
      <x:c r="S1012" s="14" t="n">
        <x:v>2024</x:v>
      </x:c>
      <x:c r="T1012" s="14" t="n">
        <x:v>2024</x:v>
      </x:c>
      <x:c r="U1012" s="14" t="str">
        <x:v>Post-2021 casting excluded</x:v>
      </x:c>
      <x:c r="V1012" s="14" t="str">
        <x:v>Earliest supplied year is 2024, later than the 2021 study year.</x:v>
      </x:c>
      <x:c r="W1012" s="14"/>
      <x:c r="X1012" s="14" t="str">
        <x:v>Carried forward to 2024</x:v>
      </x:c>
      <x:c r="Y1012" s="14"/>
      <x:c r="Z1012" s="14" t="str">
        <x:v>We Are Lady Parts.docx</x:v>
      </x:c>
      <x:c r="AA101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2" s="14" t="str">
        <x:v>No established-register match</x:v>
      </x:c>
      <x:c r="AC1012" s="14"/>
      <x:c r="AD1012" s="14"/>
      <x:c r="AE1012" s="14"/>
      <x:c r="AF1012" s="14"/>
      <x:c r="AG1012" s="14" t="str">
        <x:v>No qualifying conclusion recorded. Absence from the register is not evidence that the performer is not disabled.</x:v>
      </x:c>
      <x:c r="AH1012" s="14" t="str">
        <x:v>Channel 4 / E4</x:v>
      </x:c>
      <x:c r="AI1012" s="14" t="str">
        <x:v>UK original commission</x:v>
      </x:c>
      <x:c r="AJ1012" s="14" t="str">
        <x:v>Exact normalised title</x:v>
      </x:c>
      <x:c r="AK1012" s="14" t="str">
        <x:v>Medium</x:v>
      </x:c>
      <x:c r="AL1012" s="14" t="str">
        <x:v>Verified for commissioner/platform scope; uk original commission.</x:v>
      </x:c>
      <x:c r="AM1012" s="17" t="e">
        <x:f>HYPERLINK("https://en.wikipedia.org/wiki/We_Are_Lady_Parts","Open source")</x:f>
        <x:v>HYPERLINK is not implemented. linkLocation=https://en.wikipedia.org/wiki/We_Are_Lady_Parts, friendlyName=Open source</x:v>
      </x:c>
      <x:c r="AN1012" s="14" t="str">
        <x:v>No qualifying BBC relationship</x:v>
      </x:c>
      <x:c r="AO1012" s="14" t="str">
        <x:v>No</x:v>
      </x:c>
      <x:c r="AP1012" s="14" t="str">
        <x:v>Out of scope</x:v>
      </x:c>
      <x:c r="AQ1012" s="14" t="str">
        <x:v>No</x:v>
      </x:c>
      <x:c r="AR1012" s="14" t="str">
        <x:v>Resolved from master register</x:v>
      </x:c>
      <x:c r="AS1012" s="14" t="str">
        <x:v>No established-register match</x:v>
      </x:c>
      <x:c r="AT1012" s="14"/>
      <x:c r="AU1012" s="14"/>
      <x:c r="AV1012" s="14" t="str">
        <x:v>No established apparent-disability match</x:v>
      </x:c>
      <x:c r="AW1012" s="14"/>
      <x:c r="AX1012" s="14" t="str">
        <x:v>No</x:v>
      </x:c>
      <x:c r="AY1012" s="14" t="str">
        <x:v>Unmatched</x:v>
      </x:c>
      <x:c r="AZ1012" s="14" t="str">
        <x:v>Final supplied register</x:v>
      </x:c>
      <x:c r="BA1012" s="14" t="str">
        <x:v>Absence from the register is not evidence that the performer is not disabled.</x:v>
      </x:c>
      <x:c r="BB1012" s="14" t="str">
        <x:v>No established-register match</x:v>
      </x:c>
      <x:c r="BC1012" s="14"/>
      <x:c r="BD1012" s="14"/>
      <x:c r="BE1012" s="14"/>
      <x:c r="BF1012" s="14" t="str">
        <x:v>No established apparent-disability match</x:v>
      </x:c>
      <x:c r="BG1012" s="14"/>
      <x:c r="BH1012" s="14" t="str">
        <x:v>No</x:v>
      </x:c>
      <x:c r="BI1012" s="14"/>
      <x:c r="BJ1012" s="14"/>
      <x:c r="BK1012" s="14"/>
      <x:c r="BL1012" s="14" t="str">
        <x:v>Unmatched</x:v>
      </x:c>
      <x:c r="BM1012" s="14" t="str">
        <x:v>Final supplied register</x:v>
      </x:c>
      <x:c r="BN1012" s="14" t="str">
        <x:v>Absence from the register is not evidence that the performer is not disabled.</x:v>
      </x:c>
      <x:c r="BO1012" s="14" t="n">
        <x:v>12</x:v>
      </x:c>
      <x:c r="BP1012" s="14" t="str">
        <x:v>Maximum eligible IMDb cast-credit total (12), shared by 6 performer(s); not independently verified as a 2021-only episode total.</x:v>
      </x:c>
      <x:c r="BQ1012" s="14" t="str">
        <x:v>Medium</x:v>
      </x:c>
      <x:c r="BR1012" s="15" t="n">
        <x:v>1</x:v>
      </x:c>
      <x:c r="BS1012" s="16" t="n">
        <x:v>0.08333333333333333</x:v>
      </x:c>
      <x:c r="BT1012" s="14" t="str">
        <x:v>One episode</x:v>
      </x:c>
      <x:c r="BU1012" s="14" t="str">
        <x:v>Medium</x:v>
      </x:c>
      <x:c r="BV1012" s="14" t="str">
        <x:v>Derived from supplied IMDb episode count and the documented production-total proxy.</x:v>
      </x:c>
      <x:c r="BW1012" s="14" t="str">
        <x:v>Unable to determine</x:v>
      </x:c>
      <x:c r="BX1012" s="14" t="str">
        <x:v>Supplied cast data establishes the credit and episode presence but does not establish narrative prominence.</x:v>
      </x:c>
      <x:c r="BY1012" s="14" t="str">
        <x:v>Supplied IMDb cast-list workbook</x:v>
      </x:c>
      <x:c r="BZ101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2" s="14" t="str">
        <x:v>Not classified</x:v>
      </x:c>
      <x:c r="CB1012" s="14" t="str">
        <x:v>Unable to determine</x:v>
      </x:c>
      <x:c r="CC1012" s="14" t="str">
        <x:v>Unique</x:v>
      </x:c>
      <x:c r="CD1012" s="14" t="str">
        <x:v>None identified</x:v>
      </x:c>
    </x:row>
    <x:row r="1013">
      <x:c r="A1013" s="14" t="str">
        <x:v>tt10846104|nm1668745|dr. saunders</x:v>
      </x:c>
      <x:c r="B1013" s="14" t="str">
        <x:v>05</x:v>
      </x:c>
      <x:c r="C1013" s="14" t="str">
        <x:v>2021_IMDb_Cast_Lists_Batch_05(1).xlsx</x:v>
      </x:c>
      <x:c r="D1013" s="14" t="str">
        <x:v>We Are Lady Parts</x:v>
      </x:c>
      <x:c r="E1013" s="14" t="n">
        <x:v>50</x:v>
      </x:c>
      <x:c r="F1013" s="14" t="str">
        <x:v>We Are Lady Parts</x:v>
      </x:c>
      <x:c r="G1013" s="14" t="str">
        <x:v>tt10846104</x:v>
      </x:c>
      <x:c r="H1013" s="14" t="n">
        <x:v>2021</x:v>
      </x:c>
      <x:c r="I1013" s="14" t="n">
        <x:v>2023</x:v>
      </x:c>
      <x:c r="J1013" s="14" t="str">
        <x:v>Future Carry-Forward Cohort</x:v>
      </x:c>
      <x:c r="K1013" s="14" t="n">
        <x:v>2021</x:v>
      </x:c>
      <x:c r="L1013" s="14" t="str">
        <x:v>Available from 2021 analysis</x:v>
      </x:c>
      <x:c r="M1013" s="15" t="n">
        <x:v>43</x:v>
      </x:c>
      <x:c r="N1013" s="14" t="str">
        <x:v>Toby Williams</x:v>
      </x:c>
      <x:c r="O1013" s="14" t="str">
        <x:v>nm1668745</x:v>
      </x:c>
      <x:c r="P1013" s="14" t="str">
        <x:v>Dr. Saunders</x:v>
      </x:c>
      <x:c r="Q1013" s="15" t="n">
        <x:v>1</x:v>
      </x:c>
      <x:c r="R1013" s="14" t="str">
        <x:v>2024</x:v>
      </x:c>
      <x:c r="S1013" s="14" t="n">
        <x:v>2024</x:v>
      </x:c>
      <x:c r="T1013" s="14" t="n">
        <x:v>2024</x:v>
      </x:c>
      <x:c r="U1013" s="14" t="str">
        <x:v>Post-2021 casting excluded</x:v>
      </x:c>
      <x:c r="V1013" s="14" t="str">
        <x:v>Earliest supplied year is 2024, later than the 2021 study year.</x:v>
      </x:c>
      <x:c r="W1013" s="14"/>
      <x:c r="X1013" s="14" t="str">
        <x:v>Carried forward to 2024</x:v>
      </x:c>
      <x:c r="Y1013" s="14"/>
      <x:c r="Z1013" s="14" t="str">
        <x:v>We Are Lady Parts.docx</x:v>
      </x:c>
      <x:c r="AA101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3" s="14" t="str">
        <x:v>No established-register match</x:v>
      </x:c>
      <x:c r="AC1013" s="14"/>
      <x:c r="AD1013" s="14"/>
      <x:c r="AE1013" s="14"/>
      <x:c r="AF1013" s="14"/>
      <x:c r="AG1013" s="14" t="str">
        <x:v>No qualifying conclusion recorded. Absence from the register is not evidence that the performer is not disabled.</x:v>
      </x:c>
      <x:c r="AH1013" s="14" t="str">
        <x:v>Channel 4 / E4</x:v>
      </x:c>
      <x:c r="AI1013" s="14" t="str">
        <x:v>UK original commission</x:v>
      </x:c>
      <x:c r="AJ1013" s="14" t="str">
        <x:v>Exact normalised title</x:v>
      </x:c>
      <x:c r="AK1013" s="14" t="str">
        <x:v>Medium</x:v>
      </x:c>
      <x:c r="AL1013" s="14" t="str">
        <x:v>Verified for commissioner/platform scope; uk original commission.</x:v>
      </x:c>
      <x:c r="AM1013" s="17" t="e">
        <x:f>HYPERLINK("https://en.wikipedia.org/wiki/We_Are_Lady_Parts","Open source")</x:f>
        <x:v>HYPERLINK is not implemented. linkLocation=https://en.wikipedia.org/wiki/We_Are_Lady_Parts, friendlyName=Open source</x:v>
      </x:c>
      <x:c r="AN1013" s="14" t="str">
        <x:v>No qualifying BBC relationship</x:v>
      </x:c>
      <x:c r="AO1013" s="14" t="str">
        <x:v>No</x:v>
      </x:c>
      <x:c r="AP1013" s="14" t="str">
        <x:v>Out of scope</x:v>
      </x:c>
      <x:c r="AQ1013" s="14" t="str">
        <x:v>No</x:v>
      </x:c>
      <x:c r="AR1013" s="14" t="str">
        <x:v>Resolved from master register</x:v>
      </x:c>
      <x:c r="AS1013" s="14" t="str">
        <x:v>No established-register match</x:v>
      </x:c>
      <x:c r="AT1013" s="14"/>
      <x:c r="AU1013" s="14"/>
      <x:c r="AV1013" s="14" t="str">
        <x:v>No established apparent-disability match</x:v>
      </x:c>
      <x:c r="AW1013" s="14"/>
      <x:c r="AX1013" s="14" t="str">
        <x:v>No</x:v>
      </x:c>
      <x:c r="AY1013" s="14" t="str">
        <x:v>Unmatched</x:v>
      </x:c>
      <x:c r="AZ1013" s="14" t="str">
        <x:v>Final supplied register</x:v>
      </x:c>
      <x:c r="BA1013" s="14" t="str">
        <x:v>Absence from the register is not evidence that the performer is not disabled.</x:v>
      </x:c>
      <x:c r="BB1013" s="14" t="str">
        <x:v>No established-register match</x:v>
      </x:c>
      <x:c r="BC1013" s="14"/>
      <x:c r="BD1013" s="14"/>
      <x:c r="BE1013" s="14"/>
      <x:c r="BF1013" s="14" t="str">
        <x:v>No established apparent-disability match</x:v>
      </x:c>
      <x:c r="BG1013" s="14"/>
      <x:c r="BH1013" s="14" t="str">
        <x:v>No</x:v>
      </x:c>
      <x:c r="BI1013" s="14"/>
      <x:c r="BJ1013" s="14"/>
      <x:c r="BK1013" s="14"/>
      <x:c r="BL1013" s="14" t="str">
        <x:v>Unmatched</x:v>
      </x:c>
      <x:c r="BM1013" s="14" t="str">
        <x:v>Final supplied register</x:v>
      </x:c>
      <x:c r="BN1013" s="14" t="str">
        <x:v>Absence from the register is not evidence that the performer is not disabled.</x:v>
      </x:c>
      <x:c r="BO1013" s="14" t="n">
        <x:v>12</x:v>
      </x:c>
      <x:c r="BP1013" s="14" t="str">
        <x:v>Maximum eligible IMDb cast-credit total (12), shared by 6 performer(s); not independently verified as a 2021-only episode total.</x:v>
      </x:c>
      <x:c r="BQ1013" s="14" t="str">
        <x:v>Medium</x:v>
      </x:c>
      <x:c r="BR1013" s="15" t="n">
        <x:v>1</x:v>
      </x:c>
      <x:c r="BS1013" s="16" t="n">
        <x:v>0.08333333333333333</x:v>
      </x:c>
      <x:c r="BT1013" s="14" t="str">
        <x:v>One episode</x:v>
      </x:c>
      <x:c r="BU1013" s="14" t="str">
        <x:v>Medium</x:v>
      </x:c>
      <x:c r="BV1013" s="14" t="str">
        <x:v>Derived from supplied IMDb episode count and the documented production-total proxy.</x:v>
      </x:c>
      <x:c r="BW1013" s="14" t="str">
        <x:v>Unable to determine</x:v>
      </x:c>
      <x:c r="BX1013" s="14" t="str">
        <x:v>Supplied cast data establishes the credit and episode presence but does not establish narrative prominence.</x:v>
      </x:c>
      <x:c r="BY1013" s="14" t="str">
        <x:v>Supplied IMDb cast-list workbook</x:v>
      </x:c>
      <x:c r="BZ101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3" s="14" t="str">
        <x:v>Not classified</x:v>
      </x:c>
      <x:c r="CB1013" s="14" t="str">
        <x:v>Unable to determine</x:v>
      </x:c>
      <x:c r="CC1013" s="14" t="str">
        <x:v>Unique</x:v>
      </x:c>
      <x:c r="CD1013" s="14" t="str">
        <x:v>None identified</x:v>
      </x:c>
    </x:row>
    <x:row r="1014">
      <x:c r="A1014" s="14" t="str">
        <x:v>tt10846104|nm10706567|muslim mother</x:v>
      </x:c>
      <x:c r="B1014" s="14" t="str">
        <x:v>05</x:v>
      </x:c>
      <x:c r="C1014" s="14" t="str">
        <x:v>2021_IMDb_Cast_Lists_Batch_05(1).xlsx</x:v>
      </x:c>
      <x:c r="D1014" s="14" t="str">
        <x:v>We Are Lady Parts</x:v>
      </x:c>
      <x:c r="E1014" s="14" t="n">
        <x:v>51</x:v>
      </x:c>
      <x:c r="F1014" s="14" t="str">
        <x:v>We Are Lady Parts</x:v>
      </x:c>
      <x:c r="G1014" s="14" t="str">
        <x:v>tt10846104</x:v>
      </x:c>
      <x:c r="H1014" s="14" t="n">
        <x:v>2021</x:v>
      </x:c>
      <x:c r="I1014" s="14" t="n">
        <x:v>2023</x:v>
      </x:c>
      <x:c r="J1014" s="14" t="str">
        <x:v>Future Carry-Forward Cohort</x:v>
      </x:c>
      <x:c r="K1014" s="14" t="n">
        <x:v>2021</x:v>
      </x:c>
      <x:c r="L1014" s="14" t="str">
        <x:v>Available from 2021 analysis</x:v>
      </x:c>
      <x:c r="M1014" s="15" t="n">
        <x:v>44</x:v>
      </x:c>
      <x:c r="N1014" s="14" t="str">
        <x:v>Bitu Thomas</x:v>
      </x:c>
      <x:c r="O1014" s="14" t="str">
        <x:v>nm10706567</x:v>
      </x:c>
      <x:c r="P1014" s="14" t="str">
        <x:v>Muslim Mother</x:v>
      </x:c>
      <x:c r="Q1014" s="15" t="n">
        <x:v>1</x:v>
      </x:c>
      <x:c r="R1014" s="14" t="str">
        <x:v>2024</x:v>
      </x:c>
      <x:c r="S1014" s="14" t="n">
        <x:v>2024</x:v>
      </x:c>
      <x:c r="T1014" s="14" t="n">
        <x:v>2024</x:v>
      </x:c>
      <x:c r="U1014" s="14" t="str">
        <x:v>Post-2021 casting excluded</x:v>
      </x:c>
      <x:c r="V1014" s="14" t="str">
        <x:v>Earliest supplied year is 2024, later than the 2021 study year.</x:v>
      </x:c>
      <x:c r="W1014" s="14"/>
      <x:c r="X1014" s="14" t="str">
        <x:v>Carried forward to 2024</x:v>
      </x:c>
      <x:c r="Y1014" s="14"/>
      <x:c r="Z1014" s="14" t="str">
        <x:v>We Are Lady Parts.docx</x:v>
      </x:c>
      <x:c r="AA101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4" s="14" t="str">
        <x:v>No established-register match</x:v>
      </x:c>
      <x:c r="AC1014" s="14"/>
      <x:c r="AD1014" s="14"/>
      <x:c r="AE1014" s="14"/>
      <x:c r="AF1014" s="14"/>
      <x:c r="AG1014" s="14" t="str">
        <x:v>No qualifying conclusion recorded. Absence from the register is not evidence that the performer is not disabled.</x:v>
      </x:c>
      <x:c r="AH1014" s="14" t="str">
        <x:v>Channel 4 / E4</x:v>
      </x:c>
      <x:c r="AI1014" s="14" t="str">
        <x:v>UK original commission</x:v>
      </x:c>
      <x:c r="AJ1014" s="14" t="str">
        <x:v>Exact normalised title</x:v>
      </x:c>
      <x:c r="AK1014" s="14" t="str">
        <x:v>Medium</x:v>
      </x:c>
      <x:c r="AL1014" s="14" t="str">
        <x:v>Verified for commissioner/platform scope; uk original commission.</x:v>
      </x:c>
      <x:c r="AM1014" s="17" t="e">
        <x:f>HYPERLINK("https://en.wikipedia.org/wiki/We_Are_Lady_Parts","Open source")</x:f>
        <x:v>HYPERLINK is not implemented. linkLocation=https://en.wikipedia.org/wiki/We_Are_Lady_Parts, friendlyName=Open source</x:v>
      </x:c>
      <x:c r="AN1014" s="14" t="str">
        <x:v>No qualifying BBC relationship</x:v>
      </x:c>
      <x:c r="AO1014" s="14" t="str">
        <x:v>No</x:v>
      </x:c>
      <x:c r="AP1014" s="14" t="str">
        <x:v>Out of scope</x:v>
      </x:c>
      <x:c r="AQ1014" s="14" t="str">
        <x:v>No</x:v>
      </x:c>
      <x:c r="AR1014" s="14" t="str">
        <x:v>Resolved from master register</x:v>
      </x:c>
      <x:c r="AS1014" s="14" t="str">
        <x:v>No established-register match</x:v>
      </x:c>
      <x:c r="AT1014" s="14"/>
      <x:c r="AU1014" s="14"/>
      <x:c r="AV1014" s="14" t="str">
        <x:v>No established apparent-disability match</x:v>
      </x:c>
      <x:c r="AW1014" s="14"/>
      <x:c r="AX1014" s="14" t="str">
        <x:v>No</x:v>
      </x:c>
      <x:c r="AY1014" s="14" t="str">
        <x:v>Unmatched</x:v>
      </x:c>
      <x:c r="AZ1014" s="14" t="str">
        <x:v>Final supplied register</x:v>
      </x:c>
      <x:c r="BA1014" s="14" t="str">
        <x:v>Absence from the register is not evidence that the performer is not disabled.</x:v>
      </x:c>
      <x:c r="BB1014" s="14" t="str">
        <x:v>No established-register match</x:v>
      </x:c>
      <x:c r="BC1014" s="14"/>
      <x:c r="BD1014" s="14"/>
      <x:c r="BE1014" s="14"/>
      <x:c r="BF1014" s="14" t="str">
        <x:v>No established apparent-disability match</x:v>
      </x:c>
      <x:c r="BG1014" s="14"/>
      <x:c r="BH1014" s="14" t="str">
        <x:v>No</x:v>
      </x:c>
      <x:c r="BI1014" s="14"/>
      <x:c r="BJ1014" s="14"/>
      <x:c r="BK1014" s="14"/>
      <x:c r="BL1014" s="14" t="str">
        <x:v>Unmatched</x:v>
      </x:c>
      <x:c r="BM1014" s="14" t="str">
        <x:v>Final supplied register</x:v>
      </x:c>
      <x:c r="BN1014" s="14" t="str">
        <x:v>Absence from the register is not evidence that the performer is not disabled.</x:v>
      </x:c>
      <x:c r="BO1014" s="14" t="n">
        <x:v>12</x:v>
      </x:c>
      <x:c r="BP1014" s="14" t="str">
        <x:v>Maximum eligible IMDb cast-credit total (12), shared by 6 performer(s); not independently verified as a 2021-only episode total.</x:v>
      </x:c>
      <x:c r="BQ1014" s="14" t="str">
        <x:v>Medium</x:v>
      </x:c>
      <x:c r="BR1014" s="15" t="n">
        <x:v>1</x:v>
      </x:c>
      <x:c r="BS1014" s="16" t="n">
        <x:v>0.08333333333333333</x:v>
      </x:c>
      <x:c r="BT1014" s="14" t="str">
        <x:v>One episode</x:v>
      </x:c>
      <x:c r="BU1014" s="14" t="str">
        <x:v>Medium</x:v>
      </x:c>
      <x:c r="BV1014" s="14" t="str">
        <x:v>Derived from supplied IMDb episode count and the documented production-total proxy.</x:v>
      </x:c>
      <x:c r="BW1014" s="14" t="str">
        <x:v>Unable to determine</x:v>
      </x:c>
      <x:c r="BX1014" s="14" t="str">
        <x:v>Supplied cast data establishes the credit and episode presence but does not establish narrative prominence.</x:v>
      </x:c>
      <x:c r="BY1014" s="14" t="str">
        <x:v>Supplied IMDb cast-list workbook</x:v>
      </x:c>
      <x:c r="BZ101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4" s="14" t="str">
        <x:v>Not classified</x:v>
      </x:c>
      <x:c r="CB1014" s="14" t="str">
        <x:v>Unable to determine</x:v>
      </x:c>
      <x:c r="CC1014" s="14" t="str">
        <x:v>Unique</x:v>
      </x:c>
      <x:c r="CD1014" s="14" t="str">
        <x:v>None identified</x:v>
      </x:c>
    </x:row>
    <x:row r="1015">
      <x:c r="A1015" s="14" t="str">
        <x:v>tt10846104|nm1861862|rupert</x:v>
      </x:c>
      <x:c r="B1015" s="14" t="str">
        <x:v>05</x:v>
      </x:c>
      <x:c r="C1015" s="14" t="str">
        <x:v>2021_IMDb_Cast_Lists_Batch_05(1).xlsx</x:v>
      </x:c>
      <x:c r="D1015" s="14" t="str">
        <x:v>We Are Lady Parts</x:v>
      </x:c>
      <x:c r="E1015" s="14" t="n">
        <x:v>54</x:v>
      </x:c>
      <x:c r="F1015" s="14" t="str">
        <x:v>We Are Lady Parts</x:v>
      </x:c>
      <x:c r="G1015" s="14" t="str">
        <x:v>tt10846104</x:v>
      </x:c>
      <x:c r="H1015" s="14" t="n">
        <x:v>2021</x:v>
      </x:c>
      <x:c r="I1015" s="14" t="n">
        <x:v>2023</x:v>
      </x:c>
      <x:c r="J1015" s="14" t="str">
        <x:v>Future Carry-Forward Cohort</x:v>
      </x:c>
      <x:c r="K1015" s="14" t="n">
        <x:v>2021</x:v>
      </x:c>
      <x:c r="L1015" s="14" t="str">
        <x:v>Available from 2021 analysis</x:v>
      </x:c>
      <x:c r="M1015" s="15" t="n">
        <x:v>47</x:v>
      </x:c>
      <x:c r="N1015" s="14" t="str">
        <x:v>Simon Paisley Day</x:v>
      </x:c>
      <x:c r="O1015" s="14" t="str">
        <x:v>nm1861862</x:v>
      </x:c>
      <x:c r="P1015" s="14" t="str">
        <x:v>Rupert</x:v>
      </x:c>
      <x:c r="Q1015" s="15" t="n">
        <x:v>1</x:v>
      </x:c>
      <x:c r="R1015" s="14" t="str">
        <x:v>2024</x:v>
      </x:c>
      <x:c r="S1015" s="14" t="n">
        <x:v>2024</x:v>
      </x:c>
      <x:c r="T1015" s="14" t="n">
        <x:v>2024</x:v>
      </x:c>
      <x:c r="U1015" s="14" t="str">
        <x:v>Post-2021 casting excluded</x:v>
      </x:c>
      <x:c r="V1015" s="14" t="str">
        <x:v>Earliest supplied year is 2024, later than the 2021 study year.</x:v>
      </x:c>
      <x:c r="W1015" s="14"/>
      <x:c r="X1015" s="14" t="str">
        <x:v>Carried forward to 2024</x:v>
      </x:c>
      <x:c r="Y1015" s="14"/>
      <x:c r="Z1015" s="14" t="str">
        <x:v>We Are Lady Parts.docx</x:v>
      </x:c>
      <x:c r="AA101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5" s="14" t="str">
        <x:v>No established-register match</x:v>
      </x:c>
      <x:c r="AC1015" s="14"/>
      <x:c r="AD1015" s="14"/>
      <x:c r="AE1015" s="14"/>
      <x:c r="AF1015" s="14"/>
      <x:c r="AG1015" s="14" t="str">
        <x:v>No qualifying conclusion recorded. Absence from the register is not evidence that the performer is not disabled.</x:v>
      </x:c>
      <x:c r="AH1015" s="14" t="str">
        <x:v>Channel 4 / E4</x:v>
      </x:c>
      <x:c r="AI1015" s="14" t="str">
        <x:v>UK original commission</x:v>
      </x:c>
      <x:c r="AJ1015" s="14" t="str">
        <x:v>Exact normalised title</x:v>
      </x:c>
      <x:c r="AK1015" s="14" t="str">
        <x:v>Medium</x:v>
      </x:c>
      <x:c r="AL1015" s="14" t="str">
        <x:v>Verified for commissioner/platform scope; uk original commission.</x:v>
      </x:c>
      <x:c r="AM1015" s="17" t="e">
        <x:f>HYPERLINK("https://en.wikipedia.org/wiki/We_Are_Lady_Parts","Open source")</x:f>
        <x:v>HYPERLINK is not implemented. linkLocation=https://en.wikipedia.org/wiki/We_Are_Lady_Parts, friendlyName=Open source</x:v>
      </x:c>
      <x:c r="AN1015" s="14" t="str">
        <x:v>No qualifying BBC relationship</x:v>
      </x:c>
      <x:c r="AO1015" s="14" t="str">
        <x:v>No</x:v>
      </x:c>
      <x:c r="AP1015" s="14" t="str">
        <x:v>Out of scope</x:v>
      </x:c>
      <x:c r="AQ1015" s="14" t="str">
        <x:v>No</x:v>
      </x:c>
      <x:c r="AR1015" s="14" t="str">
        <x:v>Resolved from master register</x:v>
      </x:c>
      <x:c r="AS1015" s="14" t="str">
        <x:v>No established-register match</x:v>
      </x:c>
      <x:c r="AT1015" s="14"/>
      <x:c r="AU1015" s="14"/>
      <x:c r="AV1015" s="14" t="str">
        <x:v>No established apparent-disability match</x:v>
      </x:c>
      <x:c r="AW1015" s="14"/>
      <x:c r="AX1015" s="14" t="str">
        <x:v>No</x:v>
      </x:c>
      <x:c r="AY1015" s="14" t="str">
        <x:v>Unmatched</x:v>
      </x:c>
      <x:c r="AZ1015" s="14" t="str">
        <x:v>Final supplied register</x:v>
      </x:c>
      <x:c r="BA1015" s="14" t="str">
        <x:v>Absence from the register is not evidence that the performer is not disabled.</x:v>
      </x:c>
      <x:c r="BB1015" s="14" t="str">
        <x:v>No established-register match</x:v>
      </x:c>
      <x:c r="BC1015" s="14"/>
      <x:c r="BD1015" s="14"/>
      <x:c r="BE1015" s="14"/>
      <x:c r="BF1015" s="14" t="str">
        <x:v>No established apparent-disability match</x:v>
      </x:c>
      <x:c r="BG1015" s="14"/>
      <x:c r="BH1015" s="14" t="str">
        <x:v>No</x:v>
      </x:c>
      <x:c r="BI1015" s="14"/>
      <x:c r="BJ1015" s="14"/>
      <x:c r="BK1015" s="14"/>
      <x:c r="BL1015" s="14" t="str">
        <x:v>Unmatched</x:v>
      </x:c>
      <x:c r="BM1015" s="14" t="str">
        <x:v>Final supplied register</x:v>
      </x:c>
      <x:c r="BN1015" s="14" t="str">
        <x:v>Absence from the register is not evidence that the performer is not disabled.</x:v>
      </x:c>
      <x:c r="BO1015" s="14" t="n">
        <x:v>12</x:v>
      </x:c>
      <x:c r="BP1015" s="14" t="str">
        <x:v>Maximum eligible IMDb cast-credit total (12), shared by 6 performer(s); not independently verified as a 2021-only episode total.</x:v>
      </x:c>
      <x:c r="BQ1015" s="14" t="str">
        <x:v>Medium</x:v>
      </x:c>
      <x:c r="BR1015" s="15" t="n">
        <x:v>1</x:v>
      </x:c>
      <x:c r="BS1015" s="16" t="n">
        <x:v>0.08333333333333333</x:v>
      </x:c>
      <x:c r="BT1015" s="14" t="str">
        <x:v>One episode</x:v>
      </x:c>
      <x:c r="BU1015" s="14" t="str">
        <x:v>Medium</x:v>
      </x:c>
      <x:c r="BV1015" s="14" t="str">
        <x:v>Derived from supplied IMDb episode count and the documented production-total proxy.</x:v>
      </x:c>
      <x:c r="BW1015" s="14" t="str">
        <x:v>Unable to determine</x:v>
      </x:c>
      <x:c r="BX1015" s="14" t="str">
        <x:v>Supplied cast data establishes the credit and episode presence but does not establish narrative prominence.</x:v>
      </x:c>
      <x:c r="BY1015" s="14" t="str">
        <x:v>Supplied IMDb cast-list workbook</x:v>
      </x:c>
      <x:c r="BZ101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5" s="14" t="str">
        <x:v>Not classified</x:v>
      </x:c>
      <x:c r="CB1015" s="14" t="str">
        <x:v>Unable to determine</x:v>
      </x:c>
      <x:c r="CC1015" s="14" t="str">
        <x:v>Unique</x:v>
      </x:c>
      <x:c r="CD1015" s="14" t="str">
        <x:v>None identified</x:v>
      </x:c>
    </x:row>
    <x:row r="1016">
      <x:c r="A1016" s="14" t="str">
        <x:v>tt10846104|nm12408895|nabila</x:v>
      </x:c>
      <x:c r="B1016" s="14" t="str">
        <x:v>05</x:v>
      </x:c>
      <x:c r="C1016" s="14" t="str">
        <x:v>2021_IMDb_Cast_Lists_Batch_05(1).xlsx</x:v>
      </x:c>
      <x:c r="D1016" s="14" t="str">
        <x:v>We Are Lady Parts</x:v>
      </x:c>
      <x:c r="E1016" s="14" t="n">
        <x:v>55</x:v>
      </x:c>
      <x:c r="F1016" s="14" t="str">
        <x:v>We Are Lady Parts</x:v>
      </x:c>
      <x:c r="G1016" s="14" t="str">
        <x:v>tt10846104</x:v>
      </x:c>
      <x:c r="H1016" s="14" t="n">
        <x:v>2021</x:v>
      </x:c>
      <x:c r="I1016" s="14" t="n">
        <x:v>2023</x:v>
      </x:c>
      <x:c r="J1016" s="14" t="str">
        <x:v>Future Carry-Forward Cohort</x:v>
      </x:c>
      <x:c r="K1016" s="14" t="n">
        <x:v>2021</x:v>
      </x:c>
      <x:c r="L1016" s="14" t="str">
        <x:v>Available from 2021 analysis</x:v>
      </x:c>
      <x:c r="M1016" s="15" t="n">
        <x:v>48</x:v>
      </x:c>
      <x:c r="N1016" s="14" t="str">
        <x:v>Tia Dutt</x:v>
      </x:c>
      <x:c r="O1016" s="14" t="str">
        <x:v>nm12408895</x:v>
      </x:c>
      <x:c r="P1016" s="14" t="str">
        <x:v>Nabila</x:v>
      </x:c>
      <x:c r="Q1016" s="15" t="n">
        <x:v>1</x:v>
      </x:c>
      <x:c r="R1016" s="14" t="str">
        <x:v>2024</x:v>
      </x:c>
      <x:c r="S1016" s="14" t="n">
        <x:v>2024</x:v>
      </x:c>
      <x:c r="T1016" s="14" t="n">
        <x:v>2024</x:v>
      </x:c>
      <x:c r="U1016" s="14" t="str">
        <x:v>Post-2021 casting excluded</x:v>
      </x:c>
      <x:c r="V1016" s="14" t="str">
        <x:v>Earliest supplied year is 2024, later than the 2021 study year.</x:v>
      </x:c>
      <x:c r="W1016" s="14"/>
      <x:c r="X1016" s="14" t="str">
        <x:v>Carried forward to 2024</x:v>
      </x:c>
      <x:c r="Y1016" s="14"/>
      <x:c r="Z1016" s="14" t="str">
        <x:v>We Are Lady Parts.docx</x:v>
      </x:c>
      <x:c r="AA101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6" s="14" t="str">
        <x:v>No established-register match</x:v>
      </x:c>
      <x:c r="AC1016" s="14"/>
      <x:c r="AD1016" s="14"/>
      <x:c r="AE1016" s="14"/>
      <x:c r="AF1016" s="14"/>
      <x:c r="AG1016" s="14" t="str">
        <x:v>No qualifying conclusion recorded. Absence from the register is not evidence that the performer is not disabled.</x:v>
      </x:c>
      <x:c r="AH1016" s="14" t="str">
        <x:v>Channel 4 / E4</x:v>
      </x:c>
      <x:c r="AI1016" s="14" t="str">
        <x:v>UK original commission</x:v>
      </x:c>
      <x:c r="AJ1016" s="14" t="str">
        <x:v>Exact normalised title</x:v>
      </x:c>
      <x:c r="AK1016" s="14" t="str">
        <x:v>Medium</x:v>
      </x:c>
      <x:c r="AL1016" s="14" t="str">
        <x:v>Verified for commissioner/platform scope; uk original commission.</x:v>
      </x:c>
      <x:c r="AM1016" s="17" t="e">
        <x:f>HYPERLINK("https://en.wikipedia.org/wiki/We_Are_Lady_Parts","Open source")</x:f>
        <x:v>HYPERLINK is not implemented. linkLocation=https://en.wikipedia.org/wiki/We_Are_Lady_Parts, friendlyName=Open source</x:v>
      </x:c>
      <x:c r="AN1016" s="14" t="str">
        <x:v>No qualifying BBC relationship</x:v>
      </x:c>
      <x:c r="AO1016" s="14" t="str">
        <x:v>No</x:v>
      </x:c>
      <x:c r="AP1016" s="14" t="str">
        <x:v>Out of scope</x:v>
      </x:c>
      <x:c r="AQ1016" s="14" t="str">
        <x:v>No</x:v>
      </x:c>
      <x:c r="AR1016" s="14" t="str">
        <x:v>Resolved from master register</x:v>
      </x:c>
      <x:c r="AS1016" s="14" t="str">
        <x:v>No established-register match</x:v>
      </x:c>
      <x:c r="AT1016" s="14"/>
      <x:c r="AU1016" s="14"/>
      <x:c r="AV1016" s="14" t="str">
        <x:v>No established apparent-disability match</x:v>
      </x:c>
      <x:c r="AW1016" s="14"/>
      <x:c r="AX1016" s="14" t="str">
        <x:v>No</x:v>
      </x:c>
      <x:c r="AY1016" s="14" t="str">
        <x:v>Unmatched</x:v>
      </x:c>
      <x:c r="AZ1016" s="14" t="str">
        <x:v>Final supplied register</x:v>
      </x:c>
      <x:c r="BA1016" s="14" t="str">
        <x:v>Absence from the register is not evidence that the performer is not disabled.</x:v>
      </x:c>
      <x:c r="BB1016" s="14" t="str">
        <x:v>No established-register match</x:v>
      </x:c>
      <x:c r="BC1016" s="14"/>
      <x:c r="BD1016" s="14"/>
      <x:c r="BE1016" s="14"/>
      <x:c r="BF1016" s="14" t="str">
        <x:v>No established apparent-disability match</x:v>
      </x:c>
      <x:c r="BG1016" s="14"/>
      <x:c r="BH1016" s="14" t="str">
        <x:v>No</x:v>
      </x:c>
      <x:c r="BI1016" s="14"/>
      <x:c r="BJ1016" s="14"/>
      <x:c r="BK1016" s="14"/>
      <x:c r="BL1016" s="14" t="str">
        <x:v>Unmatched</x:v>
      </x:c>
      <x:c r="BM1016" s="14" t="str">
        <x:v>Final supplied register</x:v>
      </x:c>
      <x:c r="BN1016" s="14" t="str">
        <x:v>Absence from the register is not evidence that the performer is not disabled.</x:v>
      </x:c>
      <x:c r="BO1016" s="14" t="n">
        <x:v>12</x:v>
      </x:c>
      <x:c r="BP1016" s="14" t="str">
        <x:v>Maximum eligible IMDb cast-credit total (12), shared by 6 performer(s); not independently verified as a 2021-only episode total.</x:v>
      </x:c>
      <x:c r="BQ1016" s="14" t="str">
        <x:v>Medium</x:v>
      </x:c>
      <x:c r="BR1016" s="15" t="n">
        <x:v>1</x:v>
      </x:c>
      <x:c r="BS1016" s="16" t="n">
        <x:v>0.08333333333333333</x:v>
      </x:c>
      <x:c r="BT1016" s="14" t="str">
        <x:v>One episode</x:v>
      </x:c>
      <x:c r="BU1016" s="14" t="str">
        <x:v>Medium</x:v>
      </x:c>
      <x:c r="BV1016" s="14" t="str">
        <x:v>Derived from supplied IMDb episode count and the documented production-total proxy.</x:v>
      </x:c>
      <x:c r="BW1016" s="14" t="str">
        <x:v>Unable to determine</x:v>
      </x:c>
      <x:c r="BX1016" s="14" t="str">
        <x:v>Supplied cast data establishes the credit and episode presence but does not establish narrative prominence.</x:v>
      </x:c>
      <x:c r="BY1016" s="14" t="str">
        <x:v>Supplied IMDb cast-list workbook</x:v>
      </x:c>
      <x:c r="BZ101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6" s="14" t="str">
        <x:v>Not classified</x:v>
      </x:c>
      <x:c r="CB1016" s="14" t="str">
        <x:v>Unable to determine</x:v>
      </x:c>
      <x:c r="CC1016" s="14" t="str">
        <x:v>Unique</x:v>
      </x:c>
      <x:c r="CD1016" s="14" t="str">
        <x:v>None identified</x:v>
      </x:c>
    </x:row>
    <x:row r="1017">
      <x:c r="A1017" s="14" t="str">
        <x:v>tt10846104|nm6641594|mala</x:v>
      </x:c>
      <x:c r="B1017" s="14" t="str">
        <x:v>05</x:v>
      </x:c>
      <x:c r="C1017" s="14" t="str">
        <x:v>2021_IMDb_Cast_Lists_Batch_05(1).xlsx</x:v>
      </x:c>
      <x:c r="D1017" s="14" t="str">
        <x:v>We Are Lady Parts</x:v>
      </x:c>
      <x:c r="E1017" s="14" t="n">
        <x:v>58</x:v>
      </x:c>
      <x:c r="F1017" s="14" t="str">
        <x:v>We Are Lady Parts</x:v>
      </x:c>
      <x:c r="G1017" s="14" t="str">
        <x:v>tt10846104</x:v>
      </x:c>
      <x:c r="H1017" s="14" t="n">
        <x:v>2021</x:v>
      </x:c>
      <x:c r="I1017" s="14" t="n">
        <x:v>2023</x:v>
      </x:c>
      <x:c r="J1017" s="14" t="str">
        <x:v>Future Carry-Forward Cohort</x:v>
      </x:c>
      <x:c r="K1017" s="14" t="n">
        <x:v>2021</x:v>
      </x:c>
      <x:c r="L1017" s="14" t="str">
        <x:v>Available from 2021 analysis</x:v>
      </x:c>
      <x:c r="M1017" s="15" t="n">
        <x:v>51</x:v>
      </x:c>
      <x:c r="N1017" s="14" t="str">
        <x:v>Sabrina Sandhu</x:v>
      </x:c>
      <x:c r="O1017" s="14" t="str">
        <x:v>nm6641594</x:v>
      </x:c>
      <x:c r="P1017" s="14" t="str">
        <x:v>Mala</x:v>
      </x:c>
      <x:c r="Q1017" s="15" t="n">
        <x:v>1</x:v>
      </x:c>
      <x:c r="R1017" s="14" t="str">
        <x:v>2024</x:v>
      </x:c>
      <x:c r="S1017" s="14" t="n">
        <x:v>2024</x:v>
      </x:c>
      <x:c r="T1017" s="14" t="n">
        <x:v>2024</x:v>
      </x:c>
      <x:c r="U1017" s="14" t="str">
        <x:v>Post-2021 casting excluded</x:v>
      </x:c>
      <x:c r="V1017" s="14" t="str">
        <x:v>Earliest supplied year is 2024, later than the 2021 study year.</x:v>
      </x:c>
      <x:c r="W1017" s="14"/>
      <x:c r="X1017" s="14" t="str">
        <x:v>Carried forward to 2024</x:v>
      </x:c>
      <x:c r="Y1017" s="14"/>
      <x:c r="Z1017" s="14" t="str">
        <x:v>We Are Lady Parts.docx</x:v>
      </x:c>
      <x:c r="AA101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7" s="14" t="str">
        <x:v>No established-register match</x:v>
      </x:c>
      <x:c r="AC1017" s="14"/>
      <x:c r="AD1017" s="14"/>
      <x:c r="AE1017" s="14"/>
      <x:c r="AF1017" s="14"/>
      <x:c r="AG1017" s="14" t="str">
        <x:v>No qualifying conclusion recorded. Absence from the register is not evidence that the performer is not disabled.</x:v>
      </x:c>
      <x:c r="AH1017" s="14" t="str">
        <x:v>Channel 4 / E4</x:v>
      </x:c>
      <x:c r="AI1017" s="14" t="str">
        <x:v>UK original commission</x:v>
      </x:c>
      <x:c r="AJ1017" s="14" t="str">
        <x:v>Exact normalised title</x:v>
      </x:c>
      <x:c r="AK1017" s="14" t="str">
        <x:v>Medium</x:v>
      </x:c>
      <x:c r="AL1017" s="14" t="str">
        <x:v>Verified for commissioner/platform scope; uk original commission.</x:v>
      </x:c>
      <x:c r="AM1017" s="17" t="e">
        <x:f>HYPERLINK("https://en.wikipedia.org/wiki/We_Are_Lady_Parts","Open source")</x:f>
        <x:v>HYPERLINK is not implemented. linkLocation=https://en.wikipedia.org/wiki/We_Are_Lady_Parts, friendlyName=Open source</x:v>
      </x:c>
      <x:c r="AN1017" s="14" t="str">
        <x:v>No qualifying BBC relationship</x:v>
      </x:c>
      <x:c r="AO1017" s="14" t="str">
        <x:v>No</x:v>
      </x:c>
      <x:c r="AP1017" s="14" t="str">
        <x:v>Out of scope</x:v>
      </x:c>
      <x:c r="AQ1017" s="14" t="str">
        <x:v>No</x:v>
      </x:c>
      <x:c r="AR1017" s="14" t="str">
        <x:v>Resolved from master register</x:v>
      </x:c>
      <x:c r="AS1017" s="14" t="str">
        <x:v>No established-register match</x:v>
      </x:c>
      <x:c r="AT1017" s="14"/>
      <x:c r="AU1017" s="14"/>
      <x:c r="AV1017" s="14" t="str">
        <x:v>No established apparent-disability match</x:v>
      </x:c>
      <x:c r="AW1017" s="14"/>
      <x:c r="AX1017" s="14" t="str">
        <x:v>No</x:v>
      </x:c>
      <x:c r="AY1017" s="14" t="str">
        <x:v>Unmatched</x:v>
      </x:c>
      <x:c r="AZ1017" s="14" t="str">
        <x:v>Final supplied register</x:v>
      </x:c>
      <x:c r="BA1017" s="14" t="str">
        <x:v>Absence from the register is not evidence that the performer is not disabled.</x:v>
      </x:c>
      <x:c r="BB1017" s="14" t="str">
        <x:v>No established-register match</x:v>
      </x:c>
      <x:c r="BC1017" s="14"/>
      <x:c r="BD1017" s="14"/>
      <x:c r="BE1017" s="14"/>
      <x:c r="BF1017" s="14" t="str">
        <x:v>No established apparent-disability match</x:v>
      </x:c>
      <x:c r="BG1017" s="14"/>
      <x:c r="BH1017" s="14" t="str">
        <x:v>No</x:v>
      </x:c>
      <x:c r="BI1017" s="14"/>
      <x:c r="BJ1017" s="14"/>
      <x:c r="BK1017" s="14"/>
      <x:c r="BL1017" s="14" t="str">
        <x:v>Unmatched</x:v>
      </x:c>
      <x:c r="BM1017" s="14" t="str">
        <x:v>Final supplied register</x:v>
      </x:c>
      <x:c r="BN1017" s="14" t="str">
        <x:v>Absence from the register is not evidence that the performer is not disabled.</x:v>
      </x:c>
      <x:c r="BO1017" s="14" t="n">
        <x:v>12</x:v>
      </x:c>
      <x:c r="BP1017" s="14" t="str">
        <x:v>Maximum eligible IMDb cast-credit total (12), shared by 6 performer(s); not independently verified as a 2021-only episode total.</x:v>
      </x:c>
      <x:c r="BQ1017" s="14" t="str">
        <x:v>Medium</x:v>
      </x:c>
      <x:c r="BR1017" s="15" t="n">
        <x:v>1</x:v>
      </x:c>
      <x:c r="BS1017" s="16" t="n">
        <x:v>0.08333333333333333</x:v>
      </x:c>
      <x:c r="BT1017" s="14" t="str">
        <x:v>One episode</x:v>
      </x:c>
      <x:c r="BU1017" s="14" t="str">
        <x:v>Medium</x:v>
      </x:c>
      <x:c r="BV1017" s="14" t="str">
        <x:v>Derived from supplied IMDb episode count and the documented production-total proxy.</x:v>
      </x:c>
      <x:c r="BW1017" s="14" t="str">
        <x:v>Unable to determine</x:v>
      </x:c>
      <x:c r="BX1017" s="14" t="str">
        <x:v>Supplied cast data establishes the credit and episode presence but does not establish narrative prominence.</x:v>
      </x:c>
      <x:c r="BY1017" s="14" t="str">
        <x:v>Supplied IMDb cast-list workbook</x:v>
      </x:c>
      <x:c r="BZ101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7" s="14" t="str">
        <x:v>Not classified</x:v>
      </x:c>
      <x:c r="CB1017" s="14" t="str">
        <x:v>Unable to determine</x:v>
      </x:c>
      <x:c r="CC1017" s="14" t="str">
        <x:v>Unique</x:v>
      </x:c>
      <x:c r="CD1017" s="14" t="str">
        <x:v>None identified</x:v>
      </x:c>
    </x:row>
    <x:row r="1018">
      <x:c r="A1018" s="14" t="str">
        <x:v>tt10846104|nm11530750|chelle</x:v>
      </x:c>
      <x:c r="B1018" s="14" t="str">
        <x:v>05</x:v>
      </x:c>
      <x:c r="C1018" s="14" t="str">
        <x:v>2021_IMDb_Cast_Lists_Batch_05(1).xlsx</x:v>
      </x:c>
      <x:c r="D1018" s="14" t="str">
        <x:v>We Are Lady Parts</x:v>
      </x:c>
      <x:c r="E1018" s="14" t="n">
        <x:v>65</x:v>
      </x:c>
      <x:c r="F1018" s="14" t="str">
        <x:v>We Are Lady Parts</x:v>
      </x:c>
      <x:c r="G1018" s="14" t="str">
        <x:v>tt10846104</x:v>
      </x:c>
      <x:c r="H1018" s="14" t="n">
        <x:v>2021</x:v>
      </x:c>
      <x:c r="I1018" s="14" t="n">
        <x:v>2023</x:v>
      </x:c>
      <x:c r="J1018" s="14" t="str">
        <x:v>Future Carry-Forward Cohort</x:v>
      </x:c>
      <x:c r="K1018" s="14" t="n">
        <x:v>2021</x:v>
      </x:c>
      <x:c r="L1018" s="14" t="str">
        <x:v>Available from 2021 analysis</x:v>
      </x:c>
      <x:c r="M1018" s="15" t="n">
        <x:v>58</x:v>
      </x:c>
      <x:c r="N1018" s="14" t="str">
        <x:v>Libby Mai</x:v>
      </x:c>
      <x:c r="O1018" s="14" t="str">
        <x:v>nm11530750</x:v>
      </x:c>
      <x:c r="P1018" s="14" t="str">
        <x:v>Chelle</x:v>
      </x:c>
      <x:c r="Q1018" s="15" t="n">
        <x:v>1</x:v>
      </x:c>
      <x:c r="R1018" s="14" t="str">
        <x:v>2024</x:v>
      </x:c>
      <x:c r="S1018" s="14" t="n">
        <x:v>2024</x:v>
      </x:c>
      <x:c r="T1018" s="14" t="n">
        <x:v>2024</x:v>
      </x:c>
      <x:c r="U1018" s="14" t="str">
        <x:v>Post-2021 casting excluded</x:v>
      </x:c>
      <x:c r="V1018" s="14" t="str">
        <x:v>Earliest supplied year is 2024, later than the 2021 study year.</x:v>
      </x:c>
      <x:c r="W1018" s="14"/>
      <x:c r="X1018" s="14" t="str">
        <x:v>Carried forward to 2024</x:v>
      </x:c>
      <x:c r="Y1018" s="14"/>
      <x:c r="Z1018" s="14" t="str">
        <x:v>We Are Lady Parts.docx</x:v>
      </x:c>
      <x:c r="AA101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8" s="14" t="str">
        <x:v>Existing established-register match</x:v>
      </x:c>
      <x:c r="AC1018" s="14"/>
      <x:c r="AD1018" s="14" t="str">
        <x:v>Existing register classification: Neurodivergent. Not treated as an apparent-disability finding here.</x:v>
      </x:c>
      <x:c r="AE1018" s="14" t="str">
        <x:v>Established_Disability_Category_Register V1.1.xlsx</x:v>
      </x:c>
      <x:c r="AF1018" s="14"/>
      <x:c r="AG1018" s="14" t="str">
        <x:v>Established user-supplied classification retained for deduplication; evidence was not re-researched in this batch.</x:v>
      </x:c>
      <x:c r="AH1018" s="14" t="str">
        <x:v>Channel 4 / E4</x:v>
      </x:c>
      <x:c r="AI1018" s="14" t="str">
        <x:v>UK original commission</x:v>
      </x:c>
      <x:c r="AJ1018" s="14" t="str">
        <x:v>Exact normalised title</x:v>
      </x:c>
      <x:c r="AK1018" s="14" t="str">
        <x:v>Medium</x:v>
      </x:c>
      <x:c r="AL1018" s="14" t="str">
        <x:v>Verified for commissioner/platform scope; uk original commission.</x:v>
      </x:c>
      <x:c r="AM1018" s="17" t="e">
        <x:f>HYPERLINK("https://en.wikipedia.org/wiki/We_Are_Lady_Parts","Open source")</x:f>
        <x:v>HYPERLINK is not implemented. linkLocation=https://en.wikipedia.org/wiki/We_Are_Lady_Parts, friendlyName=Open source</x:v>
      </x:c>
      <x:c r="AN1018" s="14" t="str">
        <x:v>No qualifying BBC relationship</x:v>
      </x:c>
      <x:c r="AO1018" s="14" t="str">
        <x:v>No</x:v>
      </x:c>
      <x:c r="AP1018" s="14" t="str">
        <x:v>Out of scope</x:v>
      </x:c>
      <x:c r="AQ1018" s="14" t="str">
        <x:v>No</x:v>
      </x:c>
      <x:c r="AR1018" s="14" t="str">
        <x:v>Resolved from master register</x:v>
      </x:c>
      <x:c r="AS1018" s="14" t="str">
        <x:v>Exact IMDb performer ID match</x:v>
      </x:c>
      <x:c r="AT1018" s="14" t="str">
        <x:v>nm11530750</x:v>
      </x:c>
      <x:c r="AU1018" s="14" t="str">
        <x:v>Neurodivergent</x:v>
      </x:c>
      <x:c r="AV1018" s="14" t="str">
        <x:v>No</x:v>
      </x:c>
      <x:c r="AW1018" s="14"/>
      <x:c r="AX1018" s="14" t="str">
        <x:v>Yes</x:v>
      </x:c>
      <x:c r="AY1018" s="14" t="str">
        <x:v>Matched</x:v>
      </x:c>
      <x:c r="AZ1018" s="14" t="str">
        <x:v>Final supplied register</x:v>
      </x:c>
      <x:c r="BA1018" s="14"/>
      <x:c r="BB1018" s="14" t="str">
        <x:v>Exact IMDb performer ID match</x:v>
      </x:c>
      <x:c r="BC1018" s="14" t="str">
        <x:v>nm11530750</x:v>
      </x:c>
      <x:c r="BD1018" s="14" t="str">
        <x:v>Libby Mai</x:v>
      </x:c>
      <x:c r="BE1018" s="14" t="str">
        <x:v>Neurodivergent</x:v>
      </x:c>
      <x:c r="BF1018" s="14" t="str">
        <x:v>No</x:v>
      </x:c>
      <x:c r="BG1018" s="14"/>
      <x:c r="BH1018" s="14" t="str">
        <x:v>Yes</x:v>
      </x:c>
      <x:c r="BI1018" s="14" t="str">
        <x:v>User-supplied established classification</x:v>
      </x:c>
      <x:c r="BJ1018" s="14" t="str">
        <x:v>11_Neurodivergent..csv</x:v>
      </x:c>
      <x:c r="BK1018" s="14"/>
      <x:c r="BL1018" s="14" t="str">
        <x:v>Matched</x:v>
      </x:c>
      <x:c r="BM1018" s="14" t="str">
        <x:v>Final supplied register</x:v>
      </x:c>
      <x:c r="BN1018" s="14"/>
      <x:c r="BO1018" s="14" t="n">
        <x:v>12</x:v>
      </x:c>
      <x:c r="BP1018" s="14" t="str">
        <x:v>Maximum eligible IMDb cast-credit total (12), shared by 6 performer(s); not independently verified as a 2021-only episode total.</x:v>
      </x:c>
      <x:c r="BQ1018" s="14" t="str">
        <x:v>Medium</x:v>
      </x:c>
      <x:c r="BR1018" s="15" t="n">
        <x:v>1</x:v>
      </x:c>
      <x:c r="BS1018" s="16" t="n">
        <x:v>0.08333333333333333</x:v>
      </x:c>
      <x:c r="BT1018" s="14" t="str">
        <x:v>One episode</x:v>
      </x:c>
      <x:c r="BU1018" s="14" t="str">
        <x:v>Medium</x:v>
      </x:c>
      <x:c r="BV1018" s="14" t="str">
        <x:v>Derived from supplied IMDb episode count and the documented production-total proxy.</x:v>
      </x:c>
      <x:c r="BW1018" s="14" t="str">
        <x:v>Unable to determine</x:v>
      </x:c>
      <x:c r="BX1018" s="14" t="str">
        <x:v>Supplied cast data establishes the credit and episode presence but does not establish narrative prominence.</x:v>
      </x:c>
      <x:c r="BY1018" s="14" t="str">
        <x:v>Supplied IMDb cast-list workbook</x:v>
      </x:c>
      <x:c r="BZ101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8" s="14" t="str">
        <x:v>Not classified</x:v>
      </x:c>
      <x:c r="CB1018" s="14" t="str">
        <x:v>Unable to determine</x:v>
      </x:c>
      <x:c r="CC1018" s="14" t="str">
        <x:v>Unique</x:v>
      </x:c>
      <x:c r="CD1018" s="14" t="str">
        <x:v>None identified</x:v>
      </x:c>
    </x:row>
    <x:row r="1019">
      <x:c r="A1019" s="14" t="str">
        <x:v>tt10846104|nm9831648|teacher</x:v>
      </x:c>
      <x:c r="B1019" s="14" t="str">
        <x:v>05</x:v>
      </x:c>
      <x:c r="C1019" s="14" t="str">
        <x:v>2021_IMDb_Cast_Lists_Batch_05(1).xlsx</x:v>
      </x:c>
      <x:c r="D1019" s="14" t="str">
        <x:v>We Are Lady Parts</x:v>
      </x:c>
      <x:c r="E1019" s="14" t="n">
        <x:v>68</x:v>
      </x:c>
      <x:c r="F1019" s="14" t="str">
        <x:v>We Are Lady Parts</x:v>
      </x:c>
      <x:c r="G1019" s="14" t="str">
        <x:v>tt10846104</x:v>
      </x:c>
      <x:c r="H1019" s="14" t="n">
        <x:v>2021</x:v>
      </x:c>
      <x:c r="I1019" s="14" t="n">
        <x:v>2023</x:v>
      </x:c>
      <x:c r="J1019" s="14" t="str">
        <x:v>Future Carry-Forward Cohort</x:v>
      </x:c>
      <x:c r="K1019" s="14" t="n">
        <x:v>2021</x:v>
      </x:c>
      <x:c r="L1019" s="14" t="str">
        <x:v>Available from 2021 analysis</x:v>
      </x:c>
      <x:c r="M1019" s="15" t="n">
        <x:v>61</x:v>
      </x:c>
      <x:c r="N1019" s="14" t="str">
        <x:v>Fatiha El-Ghorri</x:v>
      </x:c>
      <x:c r="O1019" s="14" t="str">
        <x:v>nm9831648</x:v>
      </x:c>
      <x:c r="P1019" s="14" t="str">
        <x:v>Teacher</x:v>
      </x:c>
      <x:c r="Q1019" s="15" t="n">
        <x:v>1</x:v>
      </x:c>
      <x:c r="R1019" s="14" t="str">
        <x:v>2024</x:v>
      </x:c>
      <x:c r="S1019" s="14" t="n">
        <x:v>2024</x:v>
      </x:c>
      <x:c r="T1019" s="14" t="n">
        <x:v>2024</x:v>
      </x:c>
      <x:c r="U1019" s="14" t="str">
        <x:v>Post-2021 casting excluded</x:v>
      </x:c>
      <x:c r="V1019" s="14" t="str">
        <x:v>Earliest supplied year is 2024, later than the 2021 study year.</x:v>
      </x:c>
      <x:c r="W1019" s="14"/>
      <x:c r="X1019" s="14" t="str">
        <x:v>Carried forward to 2024</x:v>
      </x:c>
      <x:c r="Y1019" s="14"/>
      <x:c r="Z1019" s="14" t="str">
        <x:v>We Are Lady Parts.docx</x:v>
      </x:c>
      <x:c r="AA101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9" s="14" t="str">
        <x:v>No established-register match</x:v>
      </x:c>
      <x:c r="AC1019" s="14"/>
      <x:c r="AD1019" s="14"/>
      <x:c r="AE1019" s="14"/>
      <x:c r="AF1019" s="14"/>
      <x:c r="AG1019" s="14" t="str">
        <x:v>No qualifying conclusion recorded. Absence from the register is not evidence that the performer is not disabled.</x:v>
      </x:c>
      <x:c r="AH1019" s="14" t="str">
        <x:v>Channel 4 / E4</x:v>
      </x:c>
      <x:c r="AI1019" s="14" t="str">
        <x:v>UK original commission</x:v>
      </x:c>
      <x:c r="AJ1019" s="14" t="str">
        <x:v>Exact normalised title</x:v>
      </x:c>
      <x:c r="AK1019" s="14" t="str">
        <x:v>Medium</x:v>
      </x:c>
      <x:c r="AL1019" s="14" t="str">
        <x:v>Verified for commissioner/platform scope; uk original commission.</x:v>
      </x:c>
      <x:c r="AM1019" s="17" t="e">
        <x:f>HYPERLINK("https://en.wikipedia.org/wiki/We_Are_Lady_Parts","Open source")</x:f>
        <x:v>HYPERLINK is not implemented. linkLocation=https://en.wikipedia.org/wiki/We_Are_Lady_Parts, friendlyName=Open source</x:v>
      </x:c>
      <x:c r="AN1019" s="14" t="str">
        <x:v>No qualifying BBC relationship</x:v>
      </x:c>
      <x:c r="AO1019" s="14" t="str">
        <x:v>No</x:v>
      </x:c>
      <x:c r="AP1019" s="14" t="str">
        <x:v>Out of scope</x:v>
      </x:c>
      <x:c r="AQ1019" s="14" t="str">
        <x:v>No</x:v>
      </x:c>
      <x:c r="AR1019" s="14" t="str">
        <x:v>Resolved from master register</x:v>
      </x:c>
      <x:c r="AS1019" s="14" t="str">
        <x:v>No established-register match</x:v>
      </x:c>
      <x:c r="AT1019" s="14"/>
      <x:c r="AU1019" s="14"/>
      <x:c r="AV1019" s="14" t="str">
        <x:v>No established apparent-disability match</x:v>
      </x:c>
      <x:c r="AW1019" s="14"/>
      <x:c r="AX1019" s="14" t="str">
        <x:v>No</x:v>
      </x:c>
      <x:c r="AY1019" s="14" t="str">
        <x:v>Unmatched</x:v>
      </x:c>
      <x:c r="AZ1019" s="14" t="str">
        <x:v>Final supplied register</x:v>
      </x:c>
      <x:c r="BA1019" s="14" t="str">
        <x:v>Absence from the register is not evidence that the performer is not disabled.</x:v>
      </x:c>
      <x:c r="BB1019" s="14" t="str">
        <x:v>No established-register match</x:v>
      </x:c>
      <x:c r="BC1019" s="14"/>
      <x:c r="BD1019" s="14"/>
      <x:c r="BE1019" s="14"/>
      <x:c r="BF1019" s="14" t="str">
        <x:v>No established apparent-disability match</x:v>
      </x:c>
      <x:c r="BG1019" s="14"/>
      <x:c r="BH1019" s="14" t="str">
        <x:v>No</x:v>
      </x:c>
      <x:c r="BI1019" s="14"/>
      <x:c r="BJ1019" s="14"/>
      <x:c r="BK1019" s="14"/>
      <x:c r="BL1019" s="14" t="str">
        <x:v>Unmatched</x:v>
      </x:c>
      <x:c r="BM1019" s="14" t="str">
        <x:v>Final supplied register</x:v>
      </x:c>
      <x:c r="BN1019" s="14" t="str">
        <x:v>Absence from the register is not evidence that the performer is not disabled.</x:v>
      </x:c>
      <x:c r="BO1019" s="14" t="n">
        <x:v>12</x:v>
      </x:c>
      <x:c r="BP1019" s="14" t="str">
        <x:v>Maximum eligible IMDb cast-credit total (12), shared by 6 performer(s); not independently verified as a 2021-only episode total.</x:v>
      </x:c>
      <x:c r="BQ1019" s="14" t="str">
        <x:v>Medium</x:v>
      </x:c>
      <x:c r="BR1019" s="15" t="n">
        <x:v>1</x:v>
      </x:c>
      <x:c r="BS1019" s="16" t="n">
        <x:v>0.08333333333333333</x:v>
      </x:c>
      <x:c r="BT1019" s="14" t="str">
        <x:v>One episode</x:v>
      </x:c>
      <x:c r="BU1019" s="14" t="str">
        <x:v>Medium</x:v>
      </x:c>
      <x:c r="BV1019" s="14" t="str">
        <x:v>Derived from supplied IMDb episode count and the documented production-total proxy.</x:v>
      </x:c>
      <x:c r="BW1019" s="14" t="str">
        <x:v>Unable to determine</x:v>
      </x:c>
      <x:c r="BX1019" s="14" t="str">
        <x:v>Supplied cast data establishes the credit and episode presence but does not establish narrative prominence.</x:v>
      </x:c>
      <x:c r="BY1019" s="14" t="str">
        <x:v>Supplied IMDb cast-list workbook</x:v>
      </x:c>
      <x:c r="BZ101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9" s="14" t="str">
        <x:v>Not classified</x:v>
      </x:c>
      <x:c r="CB1019" s="14" t="str">
        <x:v>Unable to determine</x:v>
      </x:c>
      <x:c r="CC1019" s="14" t="str">
        <x:v>Unique</x:v>
      </x:c>
      <x:c r="CD1019" s="14" t="str">
        <x:v>None identified</x:v>
      </x:c>
    </x:row>
    <x:row r="1020">
      <x:c r="A1020" s="14" t="str">
        <x:v>tt10846104|nm0046756|oskar the photographer</x:v>
      </x:c>
      <x:c r="B1020" s="14" t="str">
        <x:v>05</x:v>
      </x:c>
      <x:c r="C1020" s="14" t="str">
        <x:v>2021_IMDb_Cast_Lists_Batch_05(1).xlsx</x:v>
      </x:c>
      <x:c r="D1020" s="14" t="str">
        <x:v>We Are Lady Parts</x:v>
      </x:c>
      <x:c r="E1020" s="14" t="n">
        <x:v>69</x:v>
      </x:c>
      <x:c r="F1020" s="14" t="str">
        <x:v>We Are Lady Parts</x:v>
      </x:c>
      <x:c r="G1020" s="14" t="str">
        <x:v>tt10846104</x:v>
      </x:c>
      <x:c r="H1020" s="14" t="n">
        <x:v>2021</x:v>
      </x:c>
      <x:c r="I1020" s="14" t="n">
        <x:v>2023</x:v>
      </x:c>
      <x:c r="J1020" s="14" t="str">
        <x:v>Future Carry-Forward Cohort</x:v>
      </x:c>
      <x:c r="K1020" s="14" t="n">
        <x:v>2021</x:v>
      </x:c>
      <x:c r="L1020" s="14" t="str">
        <x:v>Available from 2021 analysis</x:v>
      </x:c>
      <x:c r="M1020" s="15" t="n">
        <x:v>62</x:v>
      </x:c>
      <x:c r="N1020" s="14" t="str">
        <x:v>Mark Bagnall</x:v>
      </x:c>
      <x:c r="O1020" s="14" t="str">
        <x:v>nm0046756</x:v>
      </x:c>
      <x:c r="P1020" s="14" t="str">
        <x:v>Oskar the Photographer</x:v>
      </x:c>
      <x:c r="Q1020" s="15" t="n">
        <x:v>1</x:v>
      </x:c>
      <x:c r="R1020" s="14" t="str">
        <x:v>2024</x:v>
      </x:c>
      <x:c r="S1020" s="14" t="n">
        <x:v>2024</x:v>
      </x:c>
      <x:c r="T1020" s="14" t="n">
        <x:v>2024</x:v>
      </x:c>
      <x:c r="U1020" s="14" t="str">
        <x:v>Post-2021 casting excluded</x:v>
      </x:c>
      <x:c r="V1020" s="14" t="str">
        <x:v>Earliest supplied year is 2024, later than the 2021 study year.</x:v>
      </x:c>
      <x:c r="W1020" s="14"/>
      <x:c r="X1020" s="14" t="str">
        <x:v>Carried forward to 2024</x:v>
      </x:c>
      <x:c r="Y1020" s="14"/>
      <x:c r="Z1020" s="14" t="str">
        <x:v>We Are Lady Parts.docx</x:v>
      </x:c>
      <x:c r="AA102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0" s="14" t="str">
        <x:v>No established-register match</x:v>
      </x:c>
      <x:c r="AC1020" s="14"/>
      <x:c r="AD1020" s="14"/>
      <x:c r="AE1020" s="14"/>
      <x:c r="AF1020" s="14"/>
      <x:c r="AG1020" s="14" t="str">
        <x:v>No qualifying conclusion recorded. Absence from the register is not evidence that the performer is not disabled.</x:v>
      </x:c>
      <x:c r="AH1020" s="14" t="str">
        <x:v>Channel 4 / E4</x:v>
      </x:c>
      <x:c r="AI1020" s="14" t="str">
        <x:v>UK original commission</x:v>
      </x:c>
      <x:c r="AJ1020" s="14" t="str">
        <x:v>Exact normalised title</x:v>
      </x:c>
      <x:c r="AK1020" s="14" t="str">
        <x:v>Medium</x:v>
      </x:c>
      <x:c r="AL1020" s="14" t="str">
        <x:v>Verified for commissioner/platform scope; uk original commission.</x:v>
      </x:c>
      <x:c r="AM1020" s="17" t="e">
        <x:f>HYPERLINK("https://en.wikipedia.org/wiki/We_Are_Lady_Parts","Open source")</x:f>
        <x:v>HYPERLINK is not implemented. linkLocation=https://en.wikipedia.org/wiki/We_Are_Lady_Parts, friendlyName=Open source</x:v>
      </x:c>
      <x:c r="AN1020" s="14" t="str">
        <x:v>No qualifying BBC relationship</x:v>
      </x:c>
      <x:c r="AO1020" s="14" t="str">
        <x:v>No</x:v>
      </x:c>
      <x:c r="AP1020" s="14" t="str">
        <x:v>Out of scope</x:v>
      </x:c>
      <x:c r="AQ1020" s="14" t="str">
        <x:v>No</x:v>
      </x:c>
      <x:c r="AR1020" s="14" t="str">
        <x:v>Resolved from master register</x:v>
      </x:c>
      <x:c r="AS1020" s="14" t="str">
        <x:v>No established-register match</x:v>
      </x:c>
      <x:c r="AT1020" s="14"/>
      <x:c r="AU1020" s="14"/>
      <x:c r="AV1020" s="14" t="str">
        <x:v>No established apparent-disability match</x:v>
      </x:c>
      <x:c r="AW1020" s="14"/>
      <x:c r="AX1020" s="14" t="str">
        <x:v>No</x:v>
      </x:c>
      <x:c r="AY1020" s="14" t="str">
        <x:v>Unmatched</x:v>
      </x:c>
      <x:c r="AZ1020" s="14" t="str">
        <x:v>Final supplied register</x:v>
      </x:c>
      <x:c r="BA1020" s="14" t="str">
        <x:v>Absence from the register is not evidence that the performer is not disabled.</x:v>
      </x:c>
      <x:c r="BB1020" s="14" t="str">
        <x:v>No established-register match</x:v>
      </x:c>
      <x:c r="BC1020" s="14"/>
      <x:c r="BD1020" s="14"/>
      <x:c r="BE1020" s="14"/>
      <x:c r="BF1020" s="14" t="str">
        <x:v>No established apparent-disability match</x:v>
      </x:c>
      <x:c r="BG1020" s="14"/>
      <x:c r="BH1020" s="14" t="str">
        <x:v>No</x:v>
      </x:c>
      <x:c r="BI1020" s="14"/>
      <x:c r="BJ1020" s="14"/>
      <x:c r="BK1020" s="14"/>
      <x:c r="BL1020" s="14" t="str">
        <x:v>Unmatched</x:v>
      </x:c>
      <x:c r="BM1020" s="14" t="str">
        <x:v>Final supplied register</x:v>
      </x:c>
      <x:c r="BN1020" s="14" t="str">
        <x:v>Absence from the register is not evidence that the performer is not disabled.</x:v>
      </x:c>
      <x:c r="BO1020" s="14" t="n">
        <x:v>12</x:v>
      </x:c>
      <x:c r="BP1020" s="14" t="str">
        <x:v>Maximum eligible IMDb cast-credit total (12), shared by 6 performer(s); not independently verified as a 2021-only episode total.</x:v>
      </x:c>
      <x:c r="BQ1020" s="14" t="str">
        <x:v>Medium</x:v>
      </x:c>
      <x:c r="BR1020" s="15" t="n">
        <x:v>1</x:v>
      </x:c>
      <x:c r="BS1020" s="16" t="n">
        <x:v>0.08333333333333333</x:v>
      </x:c>
      <x:c r="BT1020" s="14" t="str">
        <x:v>One episode</x:v>
      </x:c>
      <x:c r="BU1020" s="14" t="str">
        <x:v>Medium</x:v>
      </x:c>
      <x:c r="BV1020" s="14" t="str">
        <x:v>Derived from supplied IMDb episode count and the documented production-total proxy.</x:v>
      </x:c>
      <x:c r="BW1020" s="14" t="str">
        <x:v>Unable to determine</x:v>
      </x:c>
      <x:c r="BX1020" s="14" t="str">
        <x:v>Supplied cast data establishes the credit and episode presence but does not establish narrative prominence.</x:v>
      </x:c>
      <x:c r="BY1020" s="14" t="str">
        <x:v>Supplied IMDb cast-list workbook</x:v>
      </x:c>
      <x:c r="BZ102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0" s="14" t="str">
        <x:v>Not classified</x:v>
      </x:c>
      <x:c r="CB1020" s="14" t="str">
        <x:v>Unable to determine</x:v>
      </x:c>
      <x:c r="CC1020" s="14" t="str">
        <x:v>Unique</x:v>
      </x:c>
      <x:c r="CD1020" s="14" t="str">
        <x:v>None identified</x:v>
      </x:c>
    </x:row>
    <x:row r="1021">
      <x:c r="A1021" s="14" t="str">
        <x:v>tt10846104|nm9256820|vaults musician</x:v>
      </x:c>
      <x:c r="B1021" s="14" t="str">
        <x:v>05</x:v>
      </x:c>
      <x:c r="C1021" s="14" t="str">
        <x:v>2021_IMDb_Cast_Lists_Batch_05(1).xlsx</x:v>
      </x:c>
      <x:c r="D1021" s="14" t="str">
        <x:v>We Are Lady Parts</x:v>
      </x:c>
      <x:c r="E1021" s="14" t="n">
        <x:v>70</x:v>
      </x:c>
      <x:c r="F1021" s="14" t="str">
        <x:v>We Are Lady Parts</x:v>
      </x:c>
      <x:c r="G1021" s="14" t="str">
        <x:v>tt10846104</x:v>
      </x:c>
      <x:c r="H1021" s="14" t="n">
        <x:v>2021</x:v>
      </x:c>
      <x:c r="I1021" s="14" t="n">
        <x:v>2023</x:v>
      </x:c>
      <x:c r="J1021" s="14" t="str">
        <x:v>Future Carry-Forward Cohort</x:v>
      </x:c>
      <x:c r="K1021" s="14" t="n">
        <x:v>2021</x:v>
      </x:c>
      <x:c r="L1021" s="14" t="str">
        <x:v>Available from 2021 analysis</x:v>
      </x:c>
      <x:c r="M1021" s="15" t="n">
        <x:v>63</x:v>
      </x:c>
      <x:c r="N1021" s="14" t="str">
        <x:v>Saima Khalid</x:v>
      </x:c>
      <x:c r="O1021" s="14" t="str">
        <x:v>nm9256820</x:v>
      </x:c>
      <x:c r="P1021" s="14" t="str">
        <x:v>Vaults Musician</x:v>
      </x:c>
      <x:c r="Q1021" s="15" t="n">
        <x:v>1</x:v>
      </x:c>
      <x:c r="R1021" s="14" t="str">
        <x:v>2024</x:v>
      </x:c>
      <x:c r="S1021" s="14" t="n">
        <x:v>2024</x:v>
      </x:c>
      <x:c r="T1021" s="14" t="n">
        <x:v>2024</x:v>
      </x:c>
      <x:c r="U1021" s="14" t="str">
        <x:v>Post-2021 casting excluded</x:v>
      </x:c>
      <x:c r="V1021" s="14" t="str">
        <x:v>Earliest supplied year is 2024, later than the 2021 study year.</x:v>
      </x:c>
      <x:c r="W1021" s="14"/>
      <x:c r="X1021" s="14" t="str">
        <x:v>Carried forward to 2024</x:v>
      </x:c>
      <x:c r="Y1021" s="14"/>
      <x:c r="Z1021" s="14" t="str">
        <x:v>We Are Lady Parts.docx</x:v>
      </x:c>
      <x:c r="AA102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1" s="14" t="str">
        <x:v>No established-register match</x:v>
      </x:c>
      <x:c r="AC1021" s="14"/>
      <x:c r="AD1021" s="14"/>
      <x:c r="AE1021" s="14"/>
      <x:c r="AF1021" s="14"/>
      <x:c r="AG1021" s="14" t="str">
        <x:v>No qualifying conclusion recorded. Absence from the register is not evidence that the performer is not disabled.</x:v>
      </x:c>
      <x:c r="AH1021" s="14" t="str">
        <x:v>Channel 4 / E4</x:v>
      </x:c>
      <x:c r="AI1021" s="14" t="str">
        <x:v>UK original commission</x:v>
      </x:c>
      <x:c r="AJ1021" s="14" t="str">
        <x:v>Exact normalised title</x:v>
      </x:c>
      <x:c r="AK1021" s="14" t="str">
        <x:v>Medium</x:v>
      </x:c>
      <x:c r="AL1021" s="14" t="str">
        <x:v>Verified for commissioner/platform scope; uk original commission.</x:v>
      </x:c>
      <x:c r="AM1021" s="17" t="e">
        <x:f>HYPERLINK("https://en.wikipedia.org/wiki/We_Are_Lady_Parts","Open source")</x:f>
        <x:v>HYPERLINK is not implemented. linkLocation=https://en.wikipedia.org/wiki/We_Are_Lady_Parts, friendlyName=Open source</x:v>
      </x:c>
      <x:c r="AN1021" s="14" t="str">
        <x:v>No qualifying BBC relationship</x:v>
      </x:c>
      <x:c r="AO1021" s="14" t="str">
        <x:v>No</x:v>
      </x:c>
      <x:c r="AP1021" s="14" t="str">
        <x:v>Out of scope</x:v>
      </x:c>
      <x:c r="AQ1021" s="14" t="str">
        <x:v>No</x:v>
      </x:c>
      <x:c r="AR1021" s="14" t="str">
        <x:v>Resolved from master register</x:v>
      </x:c>
      <x:c r="AS1021" s="14" t="str">
        <x:v>No established-register match</x:v>
      </x:c>
      <x:c r="AT1021" s="14"/>
      <x:c r="AU1021" s="14"/>
      <x:c r="AV1021" s="14" t="str">
        <x:v>No established apparent-disability match</x:v>
      </x:c>
      <x:c r="AW1021" s="14"/>
      <x:c r="AX1021" s="14" t="str">
        <x:v>No</x:v>
      </x:c>
      <x:c r="AY1021" s="14" t="str">
        <x:v>Unmatched</x:v>
      </x:c>
      <x:c r="AZ1021" s="14" t="str">
        <x:v>Final supplied register</x:v>
      </x:c>
      <x:c r="BA1021" s="14" t="str">
        <x:v>Absence from the register is not evidence that the performer is not disabled.</x:v>
      </x:c>
      <x:c r="BB1021" s="14" t="str">
        <x:v>No established-register match</x:v>
      </x:c>
      <x:c r="BC1021" s="14"/>
      <x:c r="BD1021" s="14"/>
      <x:c r="BE1021" s="14"/>
      <x:c r="BF1021" s="14" t="str">
        <x:v>No established apparent-disability match</x:v>
      </x:c>
      <x:c r="BG1021" s="14"/>
      <x:c r="BH1021" s="14" t="str">
        <x:v>No</x:v>
      </x:c>
      <x:c r="BI1021" s="14"/>
      <x:c r="BJ1021" s="14"/>
      <x:c r="BK1021" s="14"/>
      <x:c r="BL1021" s="14" t="str">
        <x:v>Unmatched</x:v>
      </x:c>
      <x:c r="BM1021" s="14" t="str">
        <x:v>Final supplied register</x:v>
      </x:c>
      <x:c r="BN1021" s="14" t="str">
        <x:v>Absence from the register is not evidence that the performer is not disabled.</x:v>
      </x:c>
      <x:c r="BO1021" s="14" t="n">
        <x:v>12</x:v>
      </x:c>
      <x:c r="BP1021" s="14" t="str">
        <x:v>Maximum eligible IMDb cast-credit total (12), shared by 6 performer(s); not independently verified as a 2021-only episode total.</x:v>
      </x:c>
      <x:c r="BQ1021" s="14" t="str">
        <x:v>Medium</x:v>
      </x:c>
      <x:c r="BR1021" s="15" t="n">
        <x:v>1</x:v>
      </x:c>
      <x:c r="BS1021" s="16" t="n">
        <x:v>0.08333333333333333</x:v>
      </x:c>
      <x:c r="BT1021" s="14" t="str">
        <x:v>One episode</x:v>
      </x:c>
      <x:c r="BU1021" s="14" t="str">
        <x:v>Medium</x:v>
      </x:c>
      <x:c r="BV1021" s="14" t="str">
        <x:v>Derived from supplied IMDb episode count and the documented production-total proxy.</x:v>
      </x:c>
      <x:c r="BW1021" s="14" t="str">
        <x:v>Unable to determine</x:v>
      </x:c>
      <x:c r="BX1021" s="14" t="str">
        <x:v>Supplied cast data establishes the credit and episode presence but does not establish narrative prominence.</x:v>
      </x:c>
      <x:c r="BY1021" s="14" t="str">
        <x:v>Supplied IMDb cast-list workbook</x:v>
      </x:c>
      <x:c r="BZ102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1" s="14" t="str">
        <x:v>Not classified</x:v>
      </x:c>
      <x:c r="CB1021" s="14" t="str">
        <x:v>Unable to determine</x:v>
      </x:c>
      <x:c r="CC1021" s="14" t="str">
        <x:v>Unique</x:v>
      </x:c>
      <x:c r="CD1021" s="14" t="str">
        <x:v>None identified</x:v>
      </x:c>
    </x:row>
    <x:row r="1022">
      <x:c r="A1022" s="14" t="str">
        <x:v>tt10846104|nm13029226|lady 1, 'reshma'</x:v>
      </x:c>
      <x:c r="B1022" s="14" t="str">
        <x:v>05</x:v>
      </x:c>
      <x:c r="C1022" s="14" t="str">
        <x:v>2021_IMDb_Cast_Lists_Batch_05(1).xlsx</x:v>
      </x:c>
      <x:c r="D1022" s="14" t="str">
        <x:v>We Are Lady Parts</x:v>
      </x:c>
      <x:c r="E1022" s="14" t="n">
        <x:v>73</x:v>
      </x:c>
      <x:c r="F1022" s="14" t="str">
        <x:v>We Are Lady Parts</x:v>
      </x:c>
      <x:c r="G1022" s="14" t="str">
        <x:v>tt10846104</x:v>
      </x:c>
      <x:c r="H1022" s="14" t="n">
        <x:v>2021</x:v>
      </x:c>
      <x:c r="I1022" s="14" t="n">
        <x:v>2023</x:v>
      </x:c>
      <x:c r="J1022" s="14" t="str">
        <x:v>Future Carry-Forward Cohort</x:v>
      </x:c>
      <x:c r="K1022" s="14" t="n">
        <x:v>2021</x:v>
      </x:c>
      <x:c r="L1022" s="14" t="str">
        <x:v>Available from 2021 analysis</x:v>
      </x:c>
      <x:c r="M1022" s="15" t="n">
        <x:v>66</x:v>
      </x:c>
      <x:c r="N1022" s="14" t="str">
        <x:v>Lakesha Cammock</x:v>
      </x:c>
      <x:c r="O1022" s="14" t="str">
        <x:v>nm13029226</x:v>
      </x:c>
      <x:c r="P1022" s="14" t="str">
        <x:v>Lady 1, 'Reshma'</x:v>
      </x:c>
      <x:c r="Q1022" s="15" t="n">
        <x:v>1</x:v>
      </x:c>
      <x:c r="R1022" s="14" t="str">
        <x:v>2024</x:v>
      </x:c>
      <x:c r="S1022" s="14" t="n">
        <x:v>2024</x:v>
      </x:c>
      <x:c r="T1022" s="14" t="n">
        <x:v>2024</x:v>
      </x:c>
      <x:c r="U1022" s="14" t="str">
        <x:v>Post-2021 casting excluded</x:v>
      </x:c>
      <x:c r="V1022" s="14" t="str">
        <x:v>Earliest supplied year is 2024, later than the 2021 study year.</x:v>
      </x:c>
      <x:c r="W1022" s="14"/>
      <x:c r="X1022" s="14" t="str">
        <x:v>Carried forward to 2024</x:v>
      </x:c>
      <x:c r="Y1022" s="14"/>
      <x:c r="Z1022" s="14" t="str">
        <x:v>We Are Lady Parts.docx</x:v>
      </x:c>
      <x:c r="AA102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2" s="14" t="str">
        <x:v>No established-register match</x:v>
      </x:c>
      <x:c r="AC1022" s="14"/>
      <x:c r="AD1022" s="14"/>
      <x:c r="AE1022" s="14"/>
      <x:c r="AF1022" s="14"/>
      <x:c r="AG1022" s="14" t="str">
        <x:v>No qualifying conclusion recorded. Absence from the register is not evidence that the performer is not disabled.</x:v>
      </x:c>
      <x:c r="AH1022" s="14" t="str">
        <x:v>Channel 4 / E4</x:v>
      </x:c>
      <x:c r="AI1022" s="14" t="str">
        <x:v>UK original commission</x:v>
      </x:c>
      <x:c r="AJ1022" s="14" t="str">
        <x:v>Exact normalised title</x:v>
      </x:c>
      <x:c r="AK1022" s="14" t="str">
        <x:v>Medium</x:v>
      </x:c>
      <x:c r="AL1022" s="14" t="str">
        <x:v>Verified for commissioner/platform scope; uk original commission.</x:v>
      </x:c>
      <x:c r="AM1022" s="17" t="e">
        <x:f>HYPERLINK("https://en.wikipedia.org/wiki/We_Are_Lady_Parts","Open source")</x:f>
        <x:v>HYPERLINK is not implemented. linkLocation=https://en.wikipedia.org/wiki/We_Are_Lady_Parts, friendlyName=Open source</x:v>
      </x:c>
      <x:c r="AN1022" s="14" t="str">
        <x:v>No qualifying BBC relationship</x:v>
      </x:c>
      <x:c r="AO1022" s="14" t="str">
        <x:v>No</x:v>
      </x:c>
      <x:c r="AP1022" s="14" t="str">
        <x:v>Out of scope</x:v>
      </x:c>
      <x:c r="AQ1022" s="14" t="str">
        <x:v>No</x:v>
      </x:c>
      <x:c r="AR1022" s="14" t="str">
        <x:v>Resolved from master register</x:v>
      </x:c>
      <x:c r="AS1022" s="14" t="str">
        <x:v>No established-register match</x:v>
      </x:c>
      <x:c r="AT1022" s="14"/>
      <x:c r="AU1022" s="14"/>
      <x:c r="AV1022" s="14" t="str">
        <x:v>No established apparent-disability match</x:v>
      </x:c>
      <x:c r="AW1022" s="14"/>
      <x:c r="AX1022" s="14" t="str">
        <x:v>No</x:v>
      </x:c>
      <x:c r="AY1022" s="14" t="str">
        <x:v>Unmatched</x:v>
      </x:c>
      <x:c r="AZ1022" s="14" t="str">
        <x:v>Final supplied register</x:v>
      </x:c>
      <x:c r="BA1022" s="14" t="str">
        <x:v>Absence from the register is not evidence that the performer is not disabled.</x:v>
      </x:c>
      <x:c r="BB1022" s="14" t="str">
        <x:v>No established-register match</x:v>
      </x:c>
      <x:c r="BC1022" s="14"/>
      <x:c r="BD1022" s="14"/>
      <x:c r="BE1022" s="14"/>
      <x:c r="BF1022" s="14" t="str">
        <x:v>No established apparent-disability match</x:v>
      </x:c>
      <x:c r="BG1022" s="14"/>
      <x:c r="BH1022" s="14" t="str">
        <x:v>No</x:v>
      </x:c>
      <x:c r="BI1022" s="14"/>
      <x:c r="BJ1022" s="14"/>
      <x:c r="BK1022" s="14"/>
      <x:c r="BL1022" s="14" t="str">
        <x:v>Unmatched</x:v>
      </x:c>
      <x:c r="BM1022" s="14" t="str">
        <x:v>Final supplied register</x:v>
      </x:c>
      <x:c r="BN1022" s="14" t="str">
        <x:v>Absence from the register is not evidence that the performer is not disabled.</x:v>
      </x:c>
      <x:c r="BO1022" s="14" t="n">
        <x:v>12</x:v>
      </x:c>
      <x:c r="BP1022" s="14" t="str">
        <x:v>Maximum eligible IMDb cast-credit total (12), shared by 6 performer(s); not independently verified as a 2021-only episode total.</x:v>
      </x:c>
      <x:c r="BQ1022" s="14" t="str">
        <x:v>Medium</x:v>
      </x:c>
      <x:c r="BR1022" s="15" t="n">
        <x:v>1</x:v>
      </x:c>
      <x:c r="BS1022" s="16" t="n">
        <x:v>0.08333333333333333</x:v>
      </x:c>
      <x:c r="BT1022" s="14" t="str">
        <x:v>One episode</x:v>
      </x:c>
      <x:c r="BU1022" s="14" t="str">
        <x:v>Medium</x:v>
      </x:c>
      <x:c r="BV1022" s="14" t="str">
        <x:v>Derived from supplied IMDb episode count and the documented production-total proxy.</x:v>
      </x:c>
      <x:c r="BW1022" s="14" t="str">
        <x:v>Unable to determine</x:v>
      </x:c>
      <x:c r="BX1022" s="14" t="str">
        <x:v>Supplied cast data establishes the credit and episode presence but does not establish narrative prominence.</x:v>
      </x:c>
      <x:c r="BY1022" s="14" t="str">
        <x:v>Supplied IMDb cast-list workbook</x:v>
      </x:c>
      <x:c r="BZ102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2" s="14" t="str">
        <x:v>Not classified</x:v>
      </x:c>
      <x:c r="CB1022" s="14" t="str">
        <x:v>Unable to determine</x:v>
      </x:c>
      <x:c r="CC1022" s="14" t="str">
        <x:v>Unique</x:v>
      </x:c>
      <x:c r="CD1022" s="14" t="str">
        <x:v>None identified</x:v>
      </x:c>
    </x:row>
    <x:row r="1023">
      <x:c r="A1023" s="14" t="str">
        <x:v>tt10846104|nm11798949|vaults musician</x:v>
      </x:c>
      <x:c r="B1023" s="14" t="str">
        <x:v>05</x:v>
      </x:c>
      <x:c r="C1023" s="14" t="str">
        <x:v>2021_IMDb_Cast_Lists_Batch_05(1).xlsx</x:v>
      </x:c>
      <x:c r="D1023" s="14" t="str">
        <x:v>We Are Lady Parts</x:v>
      </x:c>
      <x:c r="E1023" s="14" t="n">
        <x:v>74</x:v>
      </x:c>
      <x:c r="F1023" s="14" t="str">
        <x:v>We Are Lady Parts</x:v>
      </x:c>
      <x:c r="G1023" s="14" t="str">
        <x:v>tt10846104</x:v>
      </x:c>
      <x:c r="H1023" s="14" t="n">
        <x:v>2021</x:v>
      </x:c>
      <x:c r="I1023" s="14" t="n">
        <x:v>2023</x:v>
      </x:c>
      <x:c r="J1023" s="14" t="str">
        <x:v>Future Carry-Forward Cohort</x:v>
      </x:c>
      <x:c r="K1023" s="14" t="n">
        <x:v>2021</x:v>
      </x:c>
      <x:c r="L1023" s="14" t="str">
        <x:v>Available from 2021 analysis</x:v>
      </x:c>
      <x:c r="M1023" s="15" t="n">
        <x:v>67</x:v>
      </x:c>
      <x:c r="N1023" s="14" t="str">
        <x:v>Shez Manzoor</x:v>
      </x:c>
      <x:c r="O1023" s="14" t="str">
        <x:v>nm11798949</x:v>
      </x:c>
      <x:c r="P1023" s="14" t="str">
        <x:v>Vaults Musician</x:v>
      </x:c>
      <x:c r="Q1023" s="15" t="n">
        <x:v>1</x:v>
      </x:c>
      <x:c r="R1023" s="14" t="str">
        <x:v>2024</x:v>
      </x:c>
      <x:c r="S1023" s="14" t="n">
        <x:v>2024</x:v>
      </x:c>
      <x:c r="T1023" s="14" t="n">
        <x:v>2024</x:v>
      </x:c>
      <x:c r="U1023" s="14" t="str">
        <x:v>Post-2021 casting excluded</x:v>
      </x:c>
      <x:c r="V1023" s="14" t="str">
        <x:v>Earliest supplied year is 2024, later than the 2021 study year.</x:v>
      </x:c>
      <x:c r="W1023" s="14"/>
      <x:c r="X1023" s="14" t="str">
        <x:v>Carried forward to 2024</x:v>
      </x:c>
      <x:c r="Y1023" s="14"/>
      <x:c r="Z1023" s="14" t="str">
        <x:v>We Are Lady Parts.docx</x:v>
      </x:c>
      <x:c r="AA102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3" s="14" t="str">
        <x:v>No established-register match</x:v>
      </x:c>
      <x:c r="AC1023" s="14"/>
      <x:c r="AD1023" s="14"/>
      <x:c r="AE1023" s="14"/>
      <x:c r="AF1023" s="14"/>
      <x:c r="AG1023" s="14" t="str">
        <x:v>No qualifying conclusion recorded. Absence from the register is not evidence that the performer is not disabled.</x:v>
      </x:c>
      <x:c r="AH1023" s="14" t="str">
        <x:v>Channel 4 / E4</x:v>
      </x:c>
      <x:c r="AI1023" s="14" t="str">
        <x:v>UK original commission</x:v>
      </x:c>
      <x:c r="AJ1023" s="14" t="str">
        <x:v>Exact normalised title</x:v>
      </x:c>
      <x:c r="AK1023" s="14" t="str">
        <x:v>Medium</x:v>
      </x:c>
      <x:c r="AL1023" s="14" t="str">
        <x:v>Verified for commissioner/platform scope; uk original commission.</x:v>
      </x:c>
      <x:c r="AM1023" s="17" t="e">
        <x:f>HYPERLINK("https://en.wikipedia.org/wiki/We_Are_Lady_Parts","Open source")</x:f>
        <x:v>HYPERLINK is not implemented. linkLocation=https://en.wikipedia.org/wiki/We_Are_Lady_Parts, friendlyName=Open source</x:v>
      </x:c>
      <x:c r="AN1023" s="14" t="str">
        <x:v>No qualifying BBC relationship</x:v>
      </x:c>
      <x:c r="AO1023" s="14" t="str">
        <x:v>No</x:v>
      </x:c>
      <x:c r="AP1023" s="14" t="str">
        <x:v>Out of scope</x:v>
      </x:c>
      <x:c r="AQ1023" s="14" t="str">
        <x:v>No</x:v>
      </x:c>
      <x:c r="AR1023" s="14" t="str">
        <x:v>Resolved from master register</x:v>
      </x:c>
      <x:c r="AS1023" s="14" t="str">
        <x:v>No established-register match</x:v>
      </x:c>
      <x:c r="AT1023" s="14"/>
      <x:c r="AU1023" s="14"/>
      <x:c r="AV1023" s="14" t="str">
        <x:v>No established apparent-disability match</x:v>
      </x:c>
      <x:c r="AW1023" s="14"/>
      <x:c r="AX1023" s="14" t="str">
        <x:v>No</x:v>
      </x:c>
      <x:c r="AY1023" s="14" t="str">
        <x:v>Unmatched</x:v>
      </x:c>
      <x:c r="AZ1023" s="14" t="str">
        <x:v>Final supplied register</x:v>
      </x:c>
      <x:c r="BA1023" s="14" t="str">
        <x:v>Absence from the register is not evidence that the performer is not disabled.</x:v>
      </x:c>
      <x:c r="BB1023" s="14" t="str">
        <x:v>No established-register match</x:v>
      </x:c>
      <x:c r="BC1023" s="14"/>
      <x:c r="BD1023" s="14"/>
      <x:c r="BE1023" s="14"/>
      <x:c r="BF1023" s="14" t="str">
        <x:v>No established apparent-disability match</x:v>
      </x:c>
      <x:c r="BG1023" s="14"/>
      <x:c r="BH1023" s="14" t="str">
        <x:v>No</x:v>
      </x:c>
      <x:c r="BI1023" s="14"/>
      <x:c r="BJ1023" s="14"/>
      <x:c r="BK1023" s="14"/>
      <x:c r="BL1023" s="14" t="str">
        <x:v>Unmatched</x:v>
      </x:c>
      <x:c r="BM1023" s="14" t="str">
        <x:v>Final supplied register</x:v>
      </x:c>
      <x:c r="BN1023" s="14" t="str">
        <x:v>Absence from the register is not evidence that the performer is not disabled.</x:v>
      </x:c>
      <x:c r="BO1023" s="14" t="n">
        <x:v>12</x:v>
      </x:c>
      <x:c r="BP1023" s="14" t="str">
        <x:v>Maximum eligible IMDb cast-credit total (12), shared by 6 performer(s); not independently verified as a 2021-only episode total.</x:v>
      </x:c>
      <x:c r="BQ1023" s="14" t="str">
        <x:v>Medium</x:v>
      </x:c>
      <x:c r="BR1023" s="15" t="n">
        <x:v>1</x:v>
      </x:c>
      <x:c r="BS1023" s="16" t="n">
        <x:v>0.08333333333333333</x:v>
      </x:c>
      <x:c r="BT1023" s="14" t="str">
        <x:v>One episode</x:v>
      </x:c>
      <x:c r="BU1023" s="14" t="str">
        <x:v>Medium</x:v>
      </x:c>
      <x:c r="BV1023" s="14" t="str">
        <x:v>Derived from supplied IMDb episode count and the documented production-total proxy.</x:v>
      </x:c>
      <x:c r="BW1023" s="14" t="str">
        <x:v>Unable to determine</x:v>
      </x:c>
      <x:c r="BX1023" s="14" t="str">
        <x:v>Supplied cast data establishes the credit and episode presence but does not establish narrative prominence.</x:v>
      </x:c>
      <x:c r="BY1023" s="14" t="str">
        <x:v>Supplied IMDb cast-list workbook</x:v>
      </x:c>
      <x:c r="BZ102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3" s="14" t="str">
        <x:v>Not classified</x:v>
      </x:c>
      <x:c r="CB1023" s="14" t="str">
        <x:v>Unable to determine</x:v>
      </x:c>
      <x:c r="CC1023" s="14" t="str">
        <x:v>Unique</x:v>
      </x:c>
      <x:c r="CD1023" s="14" t="str">
        <x:v>None identified</x:v>
      </x:c>
    </x:row>
    <x:row r="1024">
      <x:c r="A1024" s="14" t="str">
        <x:v>tt10846104|nm7863184|lady 2, 'farida'</x:v>
      </x:c>
      <x:c r="B1024" s="14" t="str">
        <x:v>05</x:v>
      </x:c>
      <x:c r="C1024" s="14" t="str">
        <x:v>2021_IMDb_Cast_Lists_Batch_05(1).xlsx</x:v>
      </x:c>
      <x:c r="D1024" s="14" t="str">
        <x:v>We Are Lady Parts</x:v>
      </x:c>
      <x:c r="E1024" s="14" t="n">
        <x:v>77</x:v>
      </x:c>
      <x:c r="F1024" s="14" t="str">
        <x:v>We Are Lady Parts</x:v>
      </x:c>
      <x:c r="G1024" s="14" t="str">
        <x:v>tt10846104</x:v>
      </x:c>
      <x:c r="H1024" s="14" t="n">
        <x:v>2021</x:v>
      </x:c>
      <x:c r="I1024" s="14" t="n">
        <x:v>2023</x:v>
      </x:c>
      <x:c r="J1024" s="14" t="str">
        <x:v>Future Carry-Forward Cohort</x:v>
      </x:c>
      <x:c r="K1024" s="14" t="n">
        <x:v>2021</x:v>
      </x:c>
      <x:c r="L1024" s="14" t="str">
        <x:v>Available from 2021 analysis</x:v>
      </x:c>
      <x:c r="M1024" s="15" t="n">
        <x:v>70</x:v>
      </x:c>
      <x:c r="N1024" s="14" t="str">
        <x:v>Shermin Hassan</x:v>
      </x:c>
      <x:c r="O1024" s="14" t="str">
        <x:v>nm7863184</x:v>
      </x:c>
      <x:c r="P1024" s="14" t="str">
        <x:v>Lady 2, 'Farida'</x:v>
      </x:c>
      <x:c r="Q1024" s="15" t="n">
        <x:v>1</x:v>
      </x:c>
      <x:c r="R1024" s="14" t="str">
        <x:v>2024</x:v>
      </x:c>
      <x:c r="S1024" s="14" t="n">
        <x:v>2024</x:v>
      </x:c>
      <x:c r="T1024" s="14" t="n">
        <x:v>2024</x:v>
      </x:c>
      <x:c r="U1024" s="14" t="str">
        <x:v>Post-2021 casting excluded</x:v>
      </x:c>
      <x:c r="V1024" s="14" t="str">
        <x:v>Earliest supplied year is 2024, later than the 2021 study year.</x:v>
      </x:c>
      <x:c r="W1024" s="14"/>
      <x:c r="X1024" s="14" t="str">
        <x:v>Carried forward to 2024</x:v>
      </x:c>
      <x:c r="Y1024" s="14"/>
      <x:c r="Z1024" s="14" t="str">
        <x:v>We Are Lady Parts.docx</x:v>
      </x:c>
      <x:c r="AA102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4" s="14" t="str">
        <x:v>No established-register match</x:v>
      </x:c>
      <x:c r="AC1024" s="14"/>
      <x:c r="AD1024" s="14"/>
      <x:c r="AE1024" s="14"/>
      <x:c r="AF1024" s="14"/>
      <x:c r="AG1024" s="14" t="str">
        <x:v>No qualifying conclusion recorded. Absence from the register is not evidence that the performer is not disabled.</x:v>
      </x:c>
      <x:c r="AH1024" s="14" t="str">
        <x:v>Channel 4 / E4</x:v>
      </x:c>
      <x:c r="AI1024" s="14" t="str">
        <x:v>UK original commission</x:v>
      </x:c>
      <x:c r="AJ1024" s="14" t="str">
        <x:v>Exact normalised title</x:v>
      </x:c>
      <x:c r="AK1024" s="14" t="str">
        <x:v>Medium</x:v>
      </x:c>
      <x:c r="AL1024" s="14" t="str">
        <x:v>Verified for commissioner/platform scope; uk original commission.</x:v>
      </x:c>
      <x:c r="AM1024" s="17" t="e">
        <x:f>HYPERLINK("https://en.wikipedia.org/wiki/We_Are_Lady_Parts","Open source")</x:f>
        <x:v>HYPERLINK is not implemented. linkLocation=https://en.wikipedia.org/wiki/We_Are_Lady_Parts, friendlyName=Open source</x:v>
      </x:c>
      <x:c r="AN1024" s="14" t="str">
        <x:v>No qualifying BBC relationship</x:v>
      </x:c>
      <x:c r="AO1024" s="14" t="str">
        <x:v>No</x:v>
      </x:c>
      <x:c r="AP1024" s="14" t="str">
        <x:v>Out of scope</x:v>
      </x:c>
      <x:c r="AQ1024" s="14" t="str">
        <x:v>No</x:v>
      </x:c>
      <x:c r="AR1024" s="14" t="str">
        <x:v>Resolved from master register</x:v>
      </x:c>
      <x:c r="AS1024" s="14" t="str">
        <x:v>No established-register match</x:v>
      </x:c>
      <x:c r="AT1024" s="14"/>
      <x:c r="AU1024" s="14"/>
      <x:c r="AV1024" s="14" t="str">
        <x:v>No established apparent-disability match</x:v>
      </x:c>
      <x:c r="AW1024" s="14"/>
      <x:c r="AX1024" s="14" t="str">
        <x:v>No</x:v>
      </x:c>
      <x:c r="AY1024" s="14" t="str">
        <x:v>Unmatched</x:v>
      </x:c>
      <x:c r="AZ1024" s="14" t="str">
        <x:v>Final supplied register</x:v>
      </x:c>
      <x:c r="BA1024" s="14" t="str">
        <x:v>Absence from the register is not evidence that the performer is not disabled.</x:v>
      </x:c>
      <x:c r="BB1024" s="14" t="str">
        <x:v>No established-register match</x:v>
      </x:c>
      <x:c r="BC1024" s="14"/>
      <x:c r="BD1024" s="14"/>
      <x:c r="BE1024" s="14"/>
      <x:c r="BF1024" s="14" t="str">
        <x:v>No established apparent-disability match</x:v>
      </x:c>
      <x:c r="BG1024" s="14"/>
      <x:c r="BH1024" s="14" t="str">
        <x:v>No</x:v>
      </x:c>
      <x:c r="BI1024" s="14"/>
      <x:c r="BJ1024" s="14"/>
      <x:c r="BK1024" s="14"/>
      <x:c r="BL1024" s="14" t="str">
        <x:v>Unmatched</x:v>
      </x:c>
      <x:c r="BM1024" s="14" t="str">
        <x:v>Final supplied register</x:v>
      </x:c>
      <x:c r="BN1024" s="14" t="str">
        <x:v>Absence from the register is not evidence that the performer is not disabled.</x:v>
      </x:c>
      <x:c r="BO1024" s="14" t="n">
        <x:v>12</x:v>
      </x:c>
      <x:c r="BP1024" s="14" t="str">
        <x:v>Maximum eligible IMDb cast-credit total (12), shared by 6 performer(s); not independently verified as a 2021-only episode total.</x:v>
      </x:c>
      <x:c r="BQ1024" s="14" t="str">
        <x:v>Medium</x:v>
      </x:c>
      <x:c r="BR1024" s="15" t="n">
        <x:v>1</x:v>
      </x:c>
      <x:c r="BS1024" s="16" t="n">
        <x:v>0.08333333333333333</x:v>
      </x:c>
      <x:c r="BT1024" s="14" t="str">
        <x:v>One episode</x:v>
      </x:c>
      <x:c r="BU1024" s="14" t="str">
        <x:v>Medium</x:v>
      </x:c>
      <x:c r="BV1024" s="14" t="str">
        <x:v>Derived from supplied IMDb episode count and the documented production-total proxy.</x:v>
      </x:c>
      <x:c r="BW1024" s="14" t="str">
        <x:v>Unable to determine</x:v>
      </x:c>
      <x:c r="BX1024" s="14" t="str">
        <x:v>Supplied cast data establishes the credit and episode presence but does not establish narrative prominence.</x:v>
      </x:c>
      <x:c r="BY1024" s="14" t="str">
        <x:v>Supplied IMDb cast-list workbook</x:v>
      </x:c>
      <x:c r="BZ102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4" s="14" t="str">
        <x:v>Not classified</x:v>
      </x:c>
      <x:c r="CB1024" s="14" t="str">
        <x:v>Unable to determine</x:v>
      </x:c>
      <x:c r="CC1024" s="14" t="str">
        <x:v>Unique</x:v>
      </x:c>
      <x:c r="CD1024" s="14" t="str">
        <x:v>None identified</x:v>
      </x:c>
    </x:row>
    <x:row r="1025">
      <x:c r="A1025" s="14" t="str">
        <x:v>tt10846104|nm17440189|vaults musician</x:v>
      </x:c>
      <x:c r="B1025" s="14" t="str">
        <x:v>05</x:v>
      </x:c>
      <x:c r="C1025" s="14" t="str">
        <x:v>2021_IMDb_Cast_Lists_Batch_05(1).xlsx</x:v>
      </x:c>
      <x:c r="D1025" s="14" t="str">
        <x:v>We Are Lady Parts</x:v>
      </x:c>
      <x:c r="E1025" s="14" t="n">
        <x:v>78</x:v>
      </x:c>
      <x:c r="F1025" s="14" t="str">
        <x:v>We Are Lady Parts</x:v>
      </x:c>
      <x:c r="G1025" s="14" t="str">
        <x:v>tt10846104</x:v>
      </x:c>
      <x:c r="H1025" s="14" t="n">
        <x:v>2021</x:v>
      </x:c>
      <x:c r="I1025" s="14" t="n">
        <x:v>2023</x:v>
      </x:c>
      <x:c r="J1025" s="14" t="str">
        <x:v>Future Carry-Forward Cohort</x:v>
      </x:c>
      <x:c r="K1025" s="14" t="n">
        <x:v>2021</x:v>
      </x:c>
      <x:c r="L1025" s="14" t="str">
        <x:v>Available from 2021 analysis</x:v>
      </x:c>
      <x:c r="M1025" s="15" t="n">
        <x:v>71</x:v>
      </x:c>
      <x:c r="N1025" s="14" t="str">
        <x:v>Lauriem Mompelat</x:v>
      </x:c>
      <x:c r="O1025" s="14" t="str">
        <x:v>nm17440189</x:v>
      </x:c>
      <x:c r="P1025" s="14" t="str">
        <x:v>Vaults Musician</x:v>
      </x:c>
      <x:c r="Q1025" s="15" t="n">
        <x:v>1</x:v>
      </x:c>
      <x:c r="R1025" s="14" t="str">
        <x:v>2024</x:v>
      </x:c>
      <x:c r="S1025" s="14" t="n">
        <x:v>2024</x:v>
      </x:c>
      <x:c r="T1025" s="14" t="n">
        <x:v>2024</x:v>
      </x:c>
      <x:c r="U1025" s="14" t="str">
        <x:v>Post-2021 casting excluded</x:v>
      </x:c>
      <x:c r="V1025" s="14" t="str">
        <x:v>Earliest supplied year is 2024, later than the 2021 study year.</x:v>
      </x:c>
      <x:c r="W1025" s="14"/>
      <x:c r="X1025" s="14" t="str">
        <x:v>Carried forward to 2024</x:v>
      </x:c>
      <x:c r="Y1025" s="14"/>
      <x:c r="Z1025" s="14" t="str">
        <x:v>We Are Lady Parts.docx</x:v>
      </x:c>
      <x:c r="AA102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5" s="14" t="str">
        <x:v>No established-register match</x:v>
      </x:c>
      <x:c r="AC1025" s="14"/>
      <x:c r="AD1025" s="14"/>
      <x:c r="AE1025" s="14"/>
      <x:c r="AF1025" s="14"/>
      <x:c r="AG1025" s="14" t="str">
        <x:v>No qualifying conclusion recorded. Absence from the register is not evidence that the performer is not disabled.</x:v>
      </x:c>
      <x:c r="AH1025" s="14" t="str">
        <x:v>Channel 4 / E4</x:v>
      </x:c>
      <x:c r="AI1025" s="14" t="str">
        <x:v>UK original commission</x:v>
      </x:c>
      <x:c r="AJ1025" s="14" t="str">
        <x:v>Exact normalised title</x:v>
      </x:c>
      <x:c r="AK1025" s="14" t="str">
        <x:v>Medium</x:v>
      </x:c>
      <x:c r="AL1025" s="14" t="str">
        <x:v>Verified for commissioner/platform scope; uk original commission.</x:v>
      </x:c>
      <x:c r="AM1025" s="17" t="e">
        <x:f>HYPERLINK("https://en.wikipedia.org/wiki/We_Are_Lady_Parts","Open source")</x:f>
        <x:v>HYPERLINK is not implemented. linkLocation=https://en.wikipedia.org/wiki/We_Are_Lady_Parts, friendlyName=Open source</x:v>
      </x:c>
      <x:c r="AN1025" s="14" t="str">
        <x:v>No qualifying BBC relationship</x:v>
      </x:c>
      <x:c r="AO1025" s="14" t="str">
        <x:v>No</x:v>
      </x:c>
      <x:c r="AP1025" s="14" t="str">
        <x:v>Out of scope</x:v>
      </x:c>
      <x:c r="AQ1025" s="14" t="str">
        <x:v>No</x:v>
      </x:c>
      <x:c r="AR1025" s="14" t="str">
        <x:v>Resolved from master register</x:v>
      </x:c>
      <x:c r="AS1025" s="14" t="str">
        <x:v>No established-register match</x:v>
      </x:c>
      <x:c r="AT1025" s="14"/>
      <x:c r="AU1025" s="14"/>
      <x:c r="AV1025" s="14" t="str">
        <x:v>No established apparent-disability match</x:v>
      </x:c>
      <x:c r="AW1025" s="14"/>
      <x:c r="AX1025" s="14" t="str">
        <x:v>No</x:v>
      </x:c>
      <x:c r="AY1025" s="14" t="str">
        <x:v>Unmatched</x:v>
      </x:c>
      <x:c r="AZ1025" s="14" t="str">
        <x:v>Final supplied register</x:v>
      </x:c>
      <x:c r="BA1025" s="14" t="str">
        <x:v>Absence from the register is not evidence that the performer is not disabled.</x:v>
      </x:c>
      <x:c r="BB1025" s="14" t="str">
        <x:v>No established-register match</x:v>
      </x:c>
      <x:c r="BC1025" s="14"/>
      <x:c r="BD1025" s="14"/>
      <x:c r="BE1025" s="14"/>
      <x:c r="BF1025" s="14" t="str">
        <x:v>No established apparent-disability match</x:v>
      </x:c>
      <x:c r="BG1025" s="14"/>
      <x:c r="BH1025" s="14" t="str">
        <x:v>No</x:v>
      </x:c>
      <x:c r="BI1025" s="14"/>
      <x:c r="BJ1025" s="14"/>
      <x:c r="BK1025" s="14"/>
      <x:c r="BL1025" s="14" t="str">
        <x:v>Unmatched</x:v>
      </x:c>
      <x:c r="BM1025" s="14" t="str">
        <x:v>Final supplied register</x:v>
      </x:c>
      <x:c r="BN1025" s="14" t="str">
        <x:v>Absence from the register is not evidence that the performer is not disabled.</x:v>
      </x:c>
      <x:c r="BO1025" s="14" t="n">
        <x:v>12</x:v>
      </x:c>
      <x:c r="BP1025" s="14" t="str">
        <x:v>Maximum eligible IMDb cast-credit total (12), shared by 6 performer(s); not independently verified as a 2021-only episode total.</x:v>
      </x:c>
      <x:c r="BQ1025" s="14" t="str">
        <x:v>Medium</x:v>
      </x:c>
      <x:c r="BR1025" s="15" t="n">
        <x:v>1</x:v>
      </x:c>
      <x:c r="BS1025" s="16" t="n">
        <x:v>0.08333333333333333</x:v>
      </x:c>
      <x:c r="BT1025" s="14" t="str">
        <x:v>One episode</x:v>
      </x:c>
      <x:c r="BU1025" s="14" t="str">
        <x:v>Medium</x:v>
      </x:c>
      <x:c r="BV1025" s="14" t="str">
        <x:v>Derived from supplied IMDb episode count and the documented production-total proxy.</x:v>
      </x:c>
      <x:c r="BW1025" s="14" t="str">
        <x:v>Unable to determine</x:v>
      </x:c>
      <x:c r="BX1025" s="14" t="str">
        <x:v>Supplied cast data establishes the credit and episode presence but does not establish narrative prominence.</x:v>
      </x:c>
      <x:c r="BY1025" s="14" t="str">
        <x:v>Supplied IMDb cast-list workbook</x:v>
      </x:c>
      <x:c r="BZ102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5" s="14" t="str">
        <x:v>Not classified</x:v>
      </x:c>
      <x:c r="CB1025" s="14" t="str">
        <x:v>Unable to determine</x:v>
      </x:c>
      <x:c r="CC1025" s="14" t="str">
        <x:v>Unique</x:v>
      </x:c>
      <x:c r="CD1025" s="14" t="str">
        <x:v>None identified</x:v>
      </x:c>
    </x:row>
    <x:row r="1026">
      <x:c r="A1026" s="14" t="str">
        <x:v>tt10846104|nm17056052|vault musician</x:v>
      </x:c>
      <x:c r="B1026" s="14" t="str">
        <x:v>05</x:v>
      </x:c>
      <x:c r="C1026" s="14" t="str">
        <x:v>2021_IMDb_Cast_Lists_Batch_05(1).xlsx</x:v>
      </x:c>
      <x:c r="D1026" s="14" t="str">
        <x:v>We Are Lady Parts</x:v>
      </x:c>
      <x:c r="E1026" s="14" t="n">
        <x:v>80</x:v>
      </x:c>
      <x:c r="F1026" s="14" t="str">
        <x:v>We Are Lady Parts</x:v>
      </x:c>
      <x:c r="G1026" s="14" t="str">
        <x:v>tt10846104</x:v>
      </x:c>
      <x:c r="H1026" s="14" t="n">
        <x:v>2021</x:v>
      </x:c>
      <x:c r="I1026" s="14" t="n">
        <x:v>2023</x:v>
      </x:c>
      <x:c r="J1026" s="14" t="str">
        <x:v>Future Carry-Forward Cohort</x:v>
      </x:c>
      <x:c r="K1026" s="14" t="n">
        <x:v>2021</x:v>
      </x:c>
      <x:c r="L1026" s="14" t="str">
        <x:v>Available from 2021 analysis</x:v>
      </x:c>
      <x:c r="M1026" s="15" t="n">
        <x:v>73</x:v>
      </x:c>
      <x:c r="N1026" s="14" t="str">
        <x:v>Rasha Nahas</x:v>
      </x:c>
      <x:c r="O1026" s="14" t="str">
        <x:v>nm17056052</x:v>
      </x:c>
      <x:c r="P1026" s="14" t="str">
        <x:v>Vault Musician</x:v>
      </x:c>
      <x:c r="Q1026" s="15" t="n">
        <x:v>1</x:v>
      </x:c>
      <x:c r="R1026" s="14" t="str">
        <x:v>2024</x:v>
      </x:c>
      <x:c r="S1026" s="14" t="n">
        <x:v>2024</x:v>
      </x:c>
      <x:c r="T1026" s="14" t="n">
        <x:v>2024</x:v>
      </x:c>
      <x:c r="U1026" s="14" t="str">
        <x:v>Post-2021 casting excluded</x:v>
      </x:c>
      <x:c r="V1026" s="14" t="str">
        <x:v>Earliest supplied year is 2024, later than the 2021 study year.</x:v>
      </x:c>
      <x:c r="W1026" s="14"/>
      <x:c r="X1026" s="14" t="str">
        <x:v>Carried forward to 2024</x:v>
      </x:c>
      <x:c r="Y1026" s="14"/>
      <x:c r="Z1026" s="14" t="str">
        <x:v>We Are Lady Parts.docx</x:v>
      </x:c>
      <x:c r="AA102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6" s="14" t="str">
        <x:v>No established-register match</x:v>
      </x:c>
      <x:c r="AC1026" s="14"/>
      <x:c r="AD1026" s="14"/>
      <x:c r="AE1026" s="14"/>
      <x:c r="AF1026" s="14"/>
      <x:c r="AG1026" s="14" t="str">
        <x:v>No qualifying conclusion recorded. Absence from the register is not evidence that the performer is not disabled.</x:v>
      </x:c>
      <x:c r="AH1026" s="14" t="str">
        <x:v>Channel 4 / E4</x:v>
      </x:c>
      <x:c r="AI1026" s="14" t="str">
        <x:v>UK original commission</x:v>
      </x:c>
      <x:c r="AJ1026" s="14" t="str">
        <x:v>Exact normalised title</x:v>
      </x:c>
      <x:c r="AK1026" s="14" t="str">
        <x:v>Medium</x:v>
      </x:c>
      <x:c r="AL1026" s="14" t="str">
        <x:v>Verified for commissioner/platform scope; uk original commission.</x:v>
      </x:c>
      <x:c r="AM1026" s="17" t="e">
        <x:f>HYPERLINK("https://en.wikipedia.org/wiki/We_Are_Lady_Parts","Open source")</x:f>
        <x:v>HYPERLINK is not implemented. linkLocation=https://en.wikipedia.org/wiki/We_Are_Lady_Parts, friendlyName=Open source</x:v>
      </x:c>
      <x:c r="AN1026" s="14" t="str">
        <x:v>No qualifying BBC relationship</x:v>
      </x:c>
      <x:c r="AO1026" s="14" t="str">
        <x:v>No</x:v>
      </x:c>
      <x:c r="AP1026" s="14" t="str">
        <x:v>Out of scope</x:v>
      </x:c>
      <x:c r="AQ1026" s="14" t="str">
        <x:v>No</x:v>
      </x:c>
      <x:c r="AR1026" s="14" t="str">
        <x:v>Resolved from master register</x:v>
      </x:c>
      <x:c r="AS1026" s="14" t="str">
        <x:v>No established-register match</x:v>
      </x:c>
      <x:c r="AT1026" s="14"/>
      <x:c r="AU1026" s="14"/>
      <x:c r="AV1026" s="14" t="str">
        <x:v>No established apparent-disability match</x:v>
      </x:c>
      <x:c r="AW1026" s="14"/>
      <x:c r="AX1026" s="14" t="str">
        <x:v>No</x:v>
      </x:c>
      <x:c r="AY1026" s="14" t="str">
        <x:v>Unmatched</x:v>
      </x:c>
      <x:c r="AZ1026" s="14" t="str">
        <x:v>Final supplied register</x:v>
      </x:c>
      <x:c r="BA1026" s="14" t="str">
        <x:v>Absence from the register is not evidence that the performer is not disabled.</x:v>
      </x:c>
      <x:c r="BB1026" s="14" t="str">
        <x:v>No established-register match</x:v>
      </x:c>
      <x:c r="BC1026" s="14"/>
      <x:c r="BD1026" s="14"/>
      <x:c r="BE1026" s="14"/>
      <x:c r="BF1026" s="14" t="str">
        <x:v>No established apparent-disability match</x:v>
      </x:c>
      <x:c r="BG1026" s="14"/>
      <x:c r="BH1026" s="14" t="str">
        <x:v>No</x:v>
      </x:c>
      <x:c r="BI1026" s="14"/>
      <x:c r="BJ1026" s="14"/>
      <x:c r="BK1026" s="14"/>
      <x:c r="BL1026" s="14" t="str">
        <x:v>Unmatched</x:v>
      </x:c>
      <x:c r="BM1026" s="14" t="str">
        <x:v>Final supplied register</x:v>
      </x:c>
      <x:c r="BN1026" s="14" t="str">
        <x:v>Absence from the register is not evidence that the performer is not disabled.</x:v>
      </x:c>
      <x:c r="BO1026" s="14" t="n">
        <x:v>12</x:v>
      </x:c>
      <x:c r="BP1026" s="14" t="str">
        <x:v>Maximum eligible IMDb cast-credit total (12), shared by 6 performer(s); not independently verified as a 2021-only episode total.</x:v>
      </x:c>
      <x:c r="BQ1026" s="14" t="str">
        <x:v>Medium</x:v>
      </x:c>
      <x:c r="BR1026" s="15" t="n">
        <x:v>1</x:v>
      </x:c>
      <x:c r="BS1026" s="16" t="n">
        <x:v>0.08333333333333333</x:v>
      </x:c>
      <x:c r="BT1026" s="14" t="str">
        <x:v>One episode</x:v>
      </x:c>
      <x:c r="BU1026" s="14" t="str">
        <x:v>Medium</x:v>
      </x:c>
      <x:c r="BV1026" s="14" t="str">
        <x:v>Derived from supplied IMDb episode count and the documented production-total proxy.</x:v>
      </x:c>
      <x:c r="BW1026" s="14" t="str">
        <x:v>Unable to determine</x:v>
      </x:c>
      <x:c r="BX1026" s="14" t="str">
        <x:v>Supplied cast data establishes the credit and episode presence but does not establish narrative prominence.</x:v>
      </x:c>
      <x:c r="BY1026" s="14" t="str">
        <x:v>Supplied IMDb cast-list workbook</x:v>
      </x:c>
      <x:c r="BZ102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6" s="14" t="str">
        <x:v>Not classified</x:v>
      </x:c>
      <x:c r="CB1026" s="14" t="str">
        <x:v>Unable to determine</x:v>
      </x:c>
      <x:c r="CC1026" s="14" t="str">
        <x:v>Unique</x:v>
      </x:c>
      <x:c r="CD1026" s="14" t="str">
        <x:v>None identified</x:v>
      </x:c>
    </x:row>
    <x:row r="1027">
      <x:c r="A1027" s="14" t="str">
        <x:v>tt10846104|nm3602983|vaults musician</x:v>
      </x:c>
      <x:c r="B1027" s="14" t="str">
        <x:v>05</x:v>
      </x:c>
      <x:c r="C1027" s="14" t="str">
        <x:v>2021_IMDb_Cast_Lists_Batch_05(1).xlsx</x:v>
      </x:c>
      <x:c r="D1027" s="14" t="str">
        <x:v>We Are Lady Parts</x:v>
      </x:c>
      <x:c r="E1027" s="14" t="n">
        <x:v>82</x:v>
      </x:c>
      <x:c r="F1027" s="14" t="str">
        <x:v>We Are Lady Parts</x:v>
      </x:c>
      <x:c r="G1027" s="14" t="str">
        <x:v>tt10846104</x:v>
      </x:c>
      <x:c r="H1027" s="14" t="n">
        <x:v>2021</x:v>
      </x:c>
      <x:c r="I1027" s="14" t="n">
        <x:v>2023</x:v>
      </x:c>
      <x:c r="J1027" s="14" t="str">
        <x:v>Future Carry-Forward Cohort</x:v>
      </x:c>
      <x:c r="K1027" s="14" t="n">
        <x:v>2021</x:v>
      </x:c>
      <x:c r="L1027" s="14" t="str">
        <x:v>Available from 2021 analysis</x:v>
      </x:c>
      <x:c r="M1027" s="15" t="n">
        <x:v>75</x:v>
      </x:c>
      <x:c r="N1027" s="14" t="str">
        <x:v>Elaha Soroor</x:v>
      </x:c>
      <x:c r="O1027" s="14" t="str">
        <x:v>nm3602983</x:v>
      </x:c>
      <x:c r="P1027" s="14" t="str">
        <x:v>Vaults Musician</x:v>
      </x:c>
      <x:c r="Q1027" s="15" t="n">
        <x:v>1</x:v>
      </x:c>
      <x:c r="R1027" s="14" t="str">
        <x:v>2024</x:v>
      </x:c>
      <x:c r="S1027" s="14" t="n">
        <x:v>2024</x:v>
      </x:c>
      <x:c r="T1027" s="14" t="n">
        <x:v>2024</x:v>
      </x:c>
      <x:c r="U1027" s="14" t="str">
        <x:v>Post-2021 casting excluded</x:v>
      </x:c>
      <x:c r="V1027" s="14" t="str">
        <x:v>Earliest supplied year is 2024, later than the 2021 study year.</x:v>
      </x:c>
      <x:c r="W1027" s="14"/>
      <x:c r="X1027" s="14" t="str">
        <x:v>Carried forward to 2024</x:v>
      </x:c>
      <x:c r="Y1027" s="14"/>
      <x:c r="Z1027" s="14" t="str">
        <x:v>We Are Lady Parts.docx</x:v>
      </x:c>
      <x:c r="AA102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7" s="14" t="str">
        <x:v>No established-register match</x:v>
      </x:c>
      <x:c r="AC1027" s="14"/>
      <x:c r="AD1027" s="14"/>
      <x:c r="AE1027" s="14"/>
      <x:c r="AF1027" s="14"/>
      <x:c r="AG1027" s="14" t="str">
        <x:v>No qualifying conclusion recorded. Absence from the register is not evidence that the performer is not disabled.</x:v>
      </x:c>
      <x:c r="AH1027" s="14" t="str">
        <x:v>Channel 4 / E4</x:v>
      </x:c>
      <x:c r="AI1027" s="14" t="str">
        <x:v>UK original commission</x:v>
      </x:c>
      <x:c r="AJ1027" s="14" t="str">
        <x:v>Exact normalised title</x:v>
      </x:c>
      <x:c r="AK1027" s="14" t="str">
        <x:v>Medium</x:v>
      </x:c>
      <x:c r="AL1027" s="14" t="str">
        <x:v>Verified for commissioner/platform scope; uk original commission.</x:v>
      </x:c>
      <x:c r="AM1027" s="17" t="e">
        <x:f>HYPERLINK("https://en.wikipedia.org/wiki/We_Are_Lady_Parts","Open source")</x:f>
        <x:v>HYPERLINK is not implemented. linkLocation=https://en.wikipedia.org/wiki/We_Are_Lady_Parts, friendlyName=Open source</x:v>
      </x:c>
      <x:c r="AN1027" s="14" t="str">
        <x:v>No qualifying BBC relationship</x:v>
      </x:c>
      <x:c r="AO1027" s="14" t="str">
        <x:v>No</x:v>
      </x:c>
      <x:c r="AP1027" s="14" t="str">
        <x:v>Out of scope</x:v>
      </x:c>
      <x:c r="AQ1027" s="14" t="str">
        <x:v>No</x:v>
      </x:c>
      <x:c r="AR1027" s="14" t="str">
        <x:v>Resolved from master register</x:v>
      </x:c>
      <x:c r="AS1027" s="14" t="str">
        <x:v>No established-register match</x:v>
      </x:c>
      <x:c r="AT1027" s="14"/>
      <x:c r="AU1027" s="14"/>
      <x:c r="AV1027" s="14" t="str">
        <x:v>No established apparent-disability match</x:v>
      </x:c>
      <x:c r="AW1027" s="14"/>
      <x:c r="AX1027" s="14" t="str">
        <x:v>No</x:v>
      </x:c>
      <x:c r="AY1027" s="14" t="str">
        <x:v>Unmatched</x:v>
      </x:c>
      <x:c r="AZ1027" s="14" t="str">
        <x:v>Final supplied register</x:v>
      </x:c>
      <x:c r="BA1027" s="14" t="str">
        <x:v>Absence from the register is not evidence that the performer is not disabled.</x:v>
      </x:c>
      <x:c r="BB1027" s="14" t="str">
        <x:v>No established-register match</x:v>
      </x:c>
      <x:c r="BC1027" s="14"/>
      <x:c r="BD1027" s="14"/>
      <x:c r="BE1027" s="14"/>
      <x:c r="BF1027" s="14" t="str">
        <x:v>No established apparent-disability match</x:v>
      </x:c>
      <x:c r="BG1027" s="14"/>
      <x:c r="BH1027" s="14" t="str">
        <x:v>No</x:v>
      </x:c>
      <x:c r="BI1027" s="14"/>
      <x:c r="BJ1027" s="14"/>
      <x:c r="BK1027" s="14"/>
      <x:c r="BL1027" s="14" t="str">
        <x:v>Unmatched</x:v>
      </x:c>
      <x:c r="BM1027" s="14" t="str">
        <x:v>Final supplied register</x:v>
      </x:c>
      <x:c r="BN1027" s="14" t="str">
        <x:v>Absence from the register is not evidence that the performer is not disabled.</x:v>
      </x:c>
      <x:c r="BO1027" s="14" t="n">
        <x:v>12</x:v>
      </x:c>
      <x:c r="BP1027" s="14" t="str">
        <x:v>Maximum eligible IMDb cast-credit total (12), shared by 6 performer(s); not independently verified as a 2021-only episode total.</x:v>
      </x:c>
      <x:c r="BQ1027" s="14" t="str">
        <x:v>Medium</x:v>
      </x:c>
      <x:c r="BR1027" s="15" t="n">
        <x:v>1</x:v>
      </x:c>
      <x:c r="BS1027" s="16" t="n">
        <x:v>0.08333333333333333</x:v>
      </x:c>
      <x:c r="BT1027" s="14" t="str">
        <x:v>One episode</x:v>
      </x:c>
      <x:c r="BU1027" s="14" t="str">
        <x:v>Medium</x:v>
      </x:c>
      <x:c r="BV1027" s="14" t="str">
        <x:v>Derived from supplied IMDb episode count and the documented production-total proxy.</x:v>
      </x:c>
      <x:c r="BW1027" s="14" t="str">
        <x:v>Unable to determine</x:v>
      </x:c>
      <x:c r="BX1027" s="14" t="str">
        <x:v>Supplied cast data establishes the credit and episode presence but does not establish narrative prominence.</x:v>
      </x:c>
      <x:c r="BY1027" s="14" t="str">
        <x:v>Supplied IMDb cast-list workbook</x:v>
      </x:c>
      <x:c r="BZ102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7" s="14" t="str">
        <x:v>Not classified</x:v>
      </x:c>
      <x:c r="CB1027" s="14" t="str">
        <x:v>Unable to determine</x:v>
      </x:c>
      <x:c r="CC1027" s="14" t="str">
        <x:v>Unique</x:v>
      </x:c>
      <x:c r="CD1027" s="14" t="str">
        <x:v>None identified</x:v>
      </x:c>
    </x:row>
    <x:row r="1028">
      <x:c r="A1028" s="14" t="str">
        <x:v>tt10846104|nm15059148|burley builder</x:v>
      </x:c>
      <x:c r="B1028" s="14" t="str">
        <x:v>05</x:v>
      </x:c>
      <x:c r="C1028" s="14" t="str">
        <x:v>2021_IMDb_Cast_Lists_Batch_05(1).xlsx</x:v>
      </x:c>
      <x:c r="D1028" s="14" t="str">
        <x:v>We Are Lady Parts</x:v>
      </x:c>
      <x:c r="E1028" s="14" t="n">
        <x:v>92</x:v>
      </x:c>
      <x:c r="F1028" s="14" t="str">
        <x:v>We Are Lady Parts</x:v>
      </x:c>
      <x:c r="G1028" s="14" t="str">
        <x:v>tt10846104</x:v>
      </x:c>
      <x:c r="H1028" s="14" t="n">
        <x:v>2021</x:v>
      </x:c>
      <x:c r="I1028" s="14" t="n">
        <x:v>2023</x:v>
      </x:c>
      <x:c r="J1028" s="14" t="str">
        <x:v>Future Carry-Forward Cohort</x:v>
      </x:c>
      <x:c r="K1028" s="14" t="n">
        <x:v>2021</x:v>
      </x:c>
      <x:c r="L1028" s="14" t="str">
        <x:v>Available from 2021 analysis</x:v>
      </x:c>
      <x:c r="M1028" s="15" t="n">
        <x:v>85</x:v>
      </x:c>
      <x:c r="N1028" s="14" t="str">
        <x:v>Will Bayliss-Brown</x:v>
      </x:c>
      <x:c r="O1028" s="14" t="str">
        <x:v>nm15059148</x:v>
      </x:c>
      <x:c r="P1028" s="14" t="str">
        <x:v>Burley Builder</x:v>
      </x:c>
      <x:c r="Q1028" s="15" t="n">
        <x:v>1</x:v>
      </x:c>
      <x:c r="R1028" s="14" t="str">
        <x:v>2024</x:v>
      </x:c>
      <x:c r="S1028" s="14" t="n">
        <x:v>2024</x:v>
      </x:c>
      <x:c r="T1028" s="14" t="n">
        <x:v>2024</x:v>
      </x:c>
      <x:c r="U1028" s="14" t="str">
        <x:v>Post-2021 casting excluded</x:v>
      </x:c>
      <x:c r="V1028" s="14" t="str">
        <x:v>Earliest supplied year is 2024, later than the 2021 study year.</x:v>
      </x:c>
      <x:c r="W1028" s="14"/>
      <x:c r="X1028" s="14" t="str">
        <x:v>Carried forward to 2024</x:v>
      </x:c>
      <x:c r="Y1028" s="14"/>
      <x:c r="Z1028" s="14" t="str">
        <x:v>We Are Lady Parts.docx</x:v>
      </x:c>
      <x:c r="AA102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8" s="14" t="str">
        <x:v>No established-register match</x:v>
      </x:c>
      <x:c r="AC1028" s="14"/>
      <x:c r="AD1028" s="14"/>
      <x:c r="AE1028" s="14"/>
      <x:c r="AF1028" s="14"/>
      <x:c r="AG1028" s="14" t="str">
        <x:v>No qualifying conclusion recorded. Absence from the register is not evidence that the performer is not disabled.</x:v>
      </x:c>
      <x:c r="AH1028" s="14" t="str">
        <x:v>Channel 4 / E4</x:v>
      </x:c>
      <x:c r="AI1028" s="14" t="str">
        <x:v>UK original commission</x:v>
      </x:c>
      <x:c r="AJ1028" s="14" t="str">
        <x:v>Exact normalised title</x:v>
      </x:c>
      <x:c r="AK1028" s="14" t="str">
        <x:v>Medium</x:v>
      </x:c>
      <x:c r="AL1028" s="14" t="str">
        <x:v>Verified for commissioner/platform scope; uk original commission.</x:v>
      </x:c>
      <x:c r="AM1028" s="17" t="e">
        <x:f>HYPERLINK("https://en.wikipedia.org/wiki/We_Are_Lady_Parts","Open source")</x:f>
        <x:v>HYPERLINK is not implemented. linkLocation=https://en.wikipedia.org/wiki/We_Are_Lady_Parts, friendlyName=Open source</x:v>
      </x:c>
      <x:c r="AN1028" s="14" t="str">
        <x:v>No qualifying BBC relationship</x:v>
      </x:c>
      <x:c r="AO1028" s="14" t="str">
        <x:v>No</x:v>
      </x:c>
      <x:c r="AP1028" s="14" t="str">
        <x:v>Out of scope</x:v>
      </x:c>
      <x:c r="AQ1028" s="14" t="str">
        <x:v>No</x:v>
      </x:c>
      <x:c r="AR1028" s="14" t="str">
        <x:v>Resolved from master register</x:v>
      </x:c>
      <x:c r="AS1028" s="14" t="str">
        <x:v>No established-register match</x:v>
      </x:c>
      <x:c r="AT1028" s="14"/>
      <x:c r="AU1028" s="14"/>
      <x:c r="AV1028" s="14" t="str">
        <x:v>No established apparent-disability match</x:v>
      </x:c>
      <x:c r="AW1028" s="14"/>
      <x:c r="AX1028" s="14" t="str">
        <x:v>No</x:v>
      </x:c>
      <x:c r="AY1028" s="14" t="str">
        <x:v>Unmatched</x:v>
      </x:c>
      <x:c r="AZ1028" s="14" t="str">
        <x:v>Final supplied register</x:v>
      </x:c>
      <x:c r="BA1028" s="14" t="str">
        <x:v>Absence from the register is not evidence that the performer is not disabled.</x:v>
      </x:c>
      <x:c r="BB1028" s="14" t="str">
        <x:v>No established-register match</x:v>
      </x:c>
      <x:c r="BC1028" s="14"/>
      <x:c r="BD1028" s="14"/>
      <x:c r="BE1028" s="14"/>
      <x:c r="BF1028" s="14" t="str">
        <x:v>No established apparent-disability match</x:v>
      </x:c>
      <x:c r="BG1028" s="14"/>
      <x:c r="BH1028" s="14" t="str">
        <x:v>No</x:v>
      </x:c>
      <x:c r="BI1028" s="14"/>
      <x:c r="BJ1028" s="14"/>
      <x:c r="BK1028" s="14"/>
      <x:c r="BL1028" s="14" t="str">
        <x:v>Unmatched</x:v>
      </x:c>
      <x:c r="BM1028" s="14" t="str">
        <x:v>Final supplied register</x:v>
      </x:c>
      <x:c r="BN1028" s="14" t="str">
        <x:v>Absence from the register is not evidence that the performer is not disabled.</x:v>
      </x:c>
      <x:c r="BO1028" s="14" t="n">
        <x:v>12</x:v>
      </x:c>
      <x:c r="BP1028" s="14" t="str">
        <x:v>Maximum eligible IMDb cast-credit total (12), shared by 6 performer(s); not independently verified as a 2021-only episode total.</x:v>
      </x:c>
      <x:c r="BQ1028" s="14" t="str">
        <x:v>Medium</x:v>
      </x:c>
      <x:c r="BR1028" s="15" t="n">
        <x:v>1</x:v>
      </x:c>
      <x:c r="BS1028" s="16" t="n">
        <x:v>0.08333333333333333</x:v>
      </x:c>
      <x:c r="BT1028" s="14" t="str">
        <x:v>One episode</x:v>
      </x:c>
      <x:c r="BU1028" s="14" t="str">
        <x:v>Medium</x:v>
      </x:c>
      <x:c r="BV1028" s="14" t="str">
        <x:v>Derived from supplied IMDb episode count and the documented production-total proxy.</x:v>
      </x:c>
      <x:c r="BW1028" s="14" t="str">
        <x:v>Unable to determine</x:v>
      </x:c>
      <x:c r="BX1028" s="14" t="str">
        <x:v>Supplied cast data establishes the credit and episode presence but does not establish narrative prominence.</x:v>
      </x:c>
      <x:c r="BY1028" s="14" t="str">
        <x:v>Supplied IMDb cast-list workbook</x:v>
      </x:c>
      <x:c r="BZ102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8" s="14" t="str">
        <x:v>Not classified</x:v>
      </x:c>
      <x:c r="CB1028" s="14" t="str">
        <x:v>Unable to determine</x:v>
      </x:c>
      <x:c r="CC1028" s="14" t="str">
        <x:v>Unique</x:v>
      </x:c>
      <x:c r="CD1028" s="14" t="str">
        <x:v>None identified</x:v>
      </x:c>
    </x:row>
    <x:row r="1029">
      <x:c r="A1029" s="14" t="str">
        <x:v>tt10846104|nm13853665|security</x:v>
      </x:c>
      <x:c r="B1029" s="14" t="str">
        <x:v>05</x:v>
      </x:c>
      <x:c r="C1029" s="14" t="str">
        <x:v>2021_IMDb_Cast_Lists_Batch_05(1).xlsx</x:v>
      </x:c>
      <x:c r="D1029" s="14" t="str">
        <x:v>We Are Lady Parts</x:v>
      </x:c>
      <x:c r="E1029" s="14" t="n">
        <x:v>93</x:v>
      </x:c>
      <x:c r="F1029" s="14" t="str">
        <x:v>We Are Lady Parts</x:v>
      </x:c>
      <x:c r="G1029" s="14" t="str">
        <x:v>tt10846104</x:v>
      </x:c>
      <x:c r="H1029" s="14" t="n">
        <x:v>2021</x:v>
      </x:c>
      <x:c r="I1029" s="14" t="n">
        <x:v>2023</x:v>
      </x:c>
      <x:c r="J1029" s="14" t="str">
        <x:v>Future Carry-Forward Cohort</x:v>
      </x:c>
      <x:c r="K1029" s="14" t="n">
        <x:v>2021</x:v>
      </x:c>
      <x:c r="L1029" s="14" t="str">
        <x:v>Available from 2021 analysis</x:v>
      </x:c>
      <x:c r="M1029" s="15" t="n">
        <x:v>86</x:v>
      </x:c>
      <x:c r="N1029" s="14" t="str">
        <x:v>Muneesh Sharma</x:v>
      </x:c>
      <x:c r="O1029" s="14" t="str">
        <x:v>nm13853665</x:v>
      </x:c>
      <x:c r="P1029" s="14" t="str">
        <x:v>Security</x:v>
      </x:c>
      <x:c r="Q1029" s="15" t="n">
        <x:v>1</x:v>
      </x:c>
      <x:c r="R1029" s="14" t="str">
        <x:v>2024</x:v>
      </x:c>
      <x:c r="S1029" s="14" t="n">
        <x:v>2024</x:v>
      </x:c>
      <x:c r="T1029" s="14" t="n">
        <x:v>2024</x:v>
      </x:c>
      <x:c r="U1029" s="14" t="str">
        <x:v>Post-2021 casting excluded</x:v>
      </x:c>
      <x:c r="V1029" s="14" t="str">
        <x:v>Earliest supplied year is 2024, later than the 2021 study year.</x:v>
      </x:c>
      <x:c r="W1029" s="14"/>
      <x:c r="X1029" s="14" t="str">
        <x:v>Carried forward to 2024</x:v>
      </x:c>
      <x:c r="Y1029" s="14"/>
      <x:c r="Z1029" s="14" t="str">
        <x:v>We Are Lady Parts.docx</x:v>
      </x:c>
      <x:c r="AA102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9" s="14" t="str">
        <x:v>No established-register match</x:v>
      </x:c>
      <x:c r="AC1029" s="14"/>
      <x:c r="AD1029" s="14"/>
      <x:c r="AE1029" s="14"/>
      <x:c r="AF1029" s="14"/>
      <x:c r="AG1029" s="14" t="str">
        <x:v>No qualifying conclusion recorded. Absence from the register is not evidence that the performer is not disabled.</x:v>
      </x:c>
      <x:c r="AH1029" s="14" t="str">
        <x:v>Channel 4 / E4</x:v>
      </x:c>
      <x:c r="AI1029" s="14" t="str">
        <x:v>UK original commission</x:v>
      </x:c>
      <x:c r="AJ1029" s="14" t="str">
        <x:v>Exact normalised title</x:v>
      </x:c>
      <x:c r="AK1029" s="14" t="str">
        <x:v>Medium</x:v>
      </x:c>
      <x:c r="AL1029" s="14" t="str">
        <x:v>Verified for commissioner/platform scope; uk original commission.</x:v>
      </x:c>
      <x:c r="AM1029" s="17" t="e">
        <x:f>HYPERLINK("https://en.wikipedia.org/wiki/We_Are_Lady_Parts","Open source")</x:f>
        <x:v>HYPERLINK is not implemented. linkLocation=https://en.wikipedia.org/wiki/We_Are_Lady_Parts, friendlyName=Open source</x:v>
      </x:c>
      <x:c r="AN1029" s="14" t="str">
        <x:v>No qualifying BBC relationship</x:v>
      </x:c>
      <x:c r="AO1029" s="14" t="str">
        <x:v>No</x:v>
      </x:c>
      <x:c r="AP1029" s="14" t="str">
        <x:v>Out of scope</x:v>
      </x:c>
      <x:c r="AQ1029" s="14" t="str">
        <x:v>No</x:v>
      </x:c>
      <x:c r="AR1029" s="14" t="str">
        <x:v>Resolved from master register</x:v>
      </x:c>
      <x:c r="AS1029" s="14" t="str">
        <x:v>No established-register match</x:v>
      </x:c>
      <x:c r="AT1029" s="14"/>
      <x:c r="AU1029" s="14"/>
      <x:c r="AV1029" s="14" t="str">
        <x:v>No established apparent-disability match</x:v>
      </x:c>
      <x:c r="AW1029" s="14"/>
      <x:c r="AX1029" s="14" t="str">
        <x:v>No</x:v>
      </x:c>
      <x:c r="AY1029" s="14" t="str">
        <x:v>Unmatched</x:v>
      </x:c>
      <x:c r="AZ1029" s="14" t="str">
        <x:v>Final supplied register</x:v>
      </x:c>
      <x:c r="BA1029" s="14" t="str">
        <x:v>Absence from the register is not evidence that the performer is not disabled.</x:v>
      </x:c>
      <x:c r="BB1029" s="14" t="str">
        <x:v>No established-register match</x:v>
      </x:c>
      <x:c r="BC1029" s="14"/>
      <x:c r="BD1029" s="14"/>
      <x:c r="BE1029" s="14"/>
      <x:c r="BF1029" s="14" t="str">
        <x:v>No established apparent-disability match</x:v>
      </x:c>
      <x:c r="BG1029" s="14"/>
      <x:c r="BH1029" s="14" t="str">
        <x:v>No</x:v>
      </x:c>
      <x:c r="BI1029" s="14"/>
      <x:c r="BJ1029" s="14"/>
      <x:c r="BK1029" s="14"/>
      <x:c r="BL1029" s="14" t="str">
        <x:v>Unmatched</x:v>
      </x:c>
      <x:c r="BM1029" s="14" t="str">
        <x:v>Final supplied register</x:v>
      </x:c>
      <x:c r="BN1029" s="14" t="str">
        <x:v>Absence from the register is not evidence that the performer is not disabled.</x:v>
      </x:c>
      <x:c r="BO1029" s="14" t="n">
        <x:v>12</x:v>
      </x:c>
      <x:c r="BP1029" s="14" t="str">
        <x:v>Maximum eligible IMDb cast-credit total (12), shared by 6 performer(s); not independently verified as a 2021-only episode total.</x:v>
      </x:c>
      <x:c r="BQ1029" s="14" t="str">
        <x:v>Medium</x:v>
      </x:c>
      <x:c r="BR1029" s="15" t="n">
        <x:v>1</x:v>
      </x:c>
      <x:c r="BS1029" s="16" t="n">
        <x:v>0.08333333333333333</x:v>
      </x:c>
      <x:c r="BT1029" s="14" t="str">
        <x:v>One episode</x:v>
      </x:c>
      <x:c r="BU1029" s="14" t="str">
        <x:v>Medium</x:v>
      </x:c>
      <x:c r="BV1029" s="14" t="str">
        <x:v>Derived from supplied IMDb episode count and the documented production-total proxy.</x:v>
      </x:c>
      <x:c r="BW1029" s="14" t="str">
        <x:v>Unable to determine</x:v>
      </x:c>
      <x:c r="BX1029" s="14" t="str">
        <x:v>Supplied cast data establishes the credit and episode presence but does not establish narrative prominence.</x:v>
      </x:c>
      <x:c r="BY1029" s="14" t="str">
        <x:v>Supplied IMDb cast-list workbook</x:v>
      </x:c>
      <x:c r="BZ102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9" s="14" t="str">
        <x:v>Not classified</x:v>
      </x:c>
      <x:c r="CB1029" s="14" t="str">
        <x:v>Unable to determine</x:v>
      </x:c>
      <x:c r="CC1029" s="14" t="str">
        <x:v>Unique</x:v>
      </x:c>
      <x:c r="CD1029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4192ca49159144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2025 first-appearance carry-forward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715 canonical records retained for the 2025 annual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tt21161156|nm17166252|rosie</x:v>
      </x:c>
      <x:c r="B6" s="14" t="str">
        <x:v>01</x:v>
      </x:c>
      <x:c r="C6" s="14" t="str">
        <x:v>2023_IMDb_Cast_Lists_Batch_01(2).xlsx</x:v>
      </x:c>
      <x:c r="D6" s="14" t="str">
        <x:v>Beyond Paradise</x:v>
      </x:c>
      <x:c r="E6" s="14" t="n">
        <x:v>19</x:v>
      </x:c>
      <x:c r="F6" s="14" t="str">
        <x:v>Beyond Paradise</x:v>
      </x:c>
      <x:c r="G6" s="14" t="str">
        <x:v>tt21161156</x:v>
      </x:c>
      <x:c r="H6" s="14" t="n">
        <x:v>2023</x:v>
      </x:c>
      <x:c r="I6" s="14" t="n">
        <x:v>2023</x:v>
      </x:c>
      <x:c r="J6" s="14" t="str">
        <x:v>Future Carry-Forward Cohort</x:v>
      </x:c>
      <x:c r="K6" s="14"/>
      <x:c r="L6" s="14" t="str">
        <x:v>Not inherited</x:v>
      </x:c>
      <x:c r="M6" s="15" t="n">
        <x:v>12</x:v>
      </x:c>
      <x:c r="N6" s="14" t="str">
        <x:v>Bella Rei Blue Stevenson</x:v>
      </x:c>
      <x:c r="O6" s="14" t="str">
        <x:v>nm17166252</x:v>
      </x:c>
      <x:c r="P6" s="14" t="str">
        <x:v>Rosie</x:v>
      </x:c>
      <x:c r="Q6" s="15" t="n">
        <x:v>6</x:v>
      </x:c>
      <x:c r="R6" s="14" t="str">
        <x:v>2025</x:v>
      </x:c>
      <x:c r="S6" s="14" t="n">
        <x:v>2025</x:v>
      </x:c>
      <x:c r="T6" s="14" t="n">
        <x:v>2025</x:v>
      </x:c>
      <x:c r="U6" s="14" t="str">
        <x:v>Explicit source first year retained</x:v>
      </x:c>
      <x:c r="V6" s="14" t="str">
        <x:v>Earliest supplied year is 2025.</x:v>
      </x:c>
      <x:c r="W6" s="14"/>
      <x:c r="X6" s="14" t="str">
        <x:v>Carried forward to 2025</x:v>
      </x:c>
      <x:c r="Y6" s="14"/>
      <x:c r="Z6" s="14" t="str">
        <x:v>Beyond Paradise.docx</x:v>
      </x:c>
      <x:c r="AA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HYPERLINK("https://en.wikipedia.org/wiki/Beyond_Paradise","Open source")</x:f>
        <x:v>HYPERLINK is not implemented. linkLocation=https://en.wikipedia.org/wiki/Beyond_Paradise,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27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6</x:v>
      </x:c>
      <x:c r="BS6" s="16" t="n">
        <x:v>0.2222222222222222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tt21161156|nm0249528|david haleton</x:v>
      </x:c>
      <x:c r="B7" s="14" t="str">
        <x:v>01</x:v>
      </x:c>
      <x:c r="C7" s="14" t="str">
        <x:v>2023_IMDb_Cast_Lists_Batch_01(2).xlsx</x:v>
      </x:c>
      <x:c r="D7" s="14" t="str">
        <x:v>Beyond Paradise</x:v>
      </x:c>
      <x:c r="E7" s="14" t="n">
        <x:v>40</x:v>
      </x:c>
      <x:c r="F7" s="14" t="str">
        <x:v>Beyond Paradise</x:v>
      </x:c>
      <x:c r="G7" s="14" t="str">
        <x:v>tt21161156</x:v>
      </x:c>
      <x:c r="H7" s="14" t="n">
        <x:v>2023</x:v>
      </x:c>
      <x:c r="I7" s="14" t="n">
        <x:v>2023</x:v>
      </x:c>
      <x:c r="J7" s="14" t="str">
        <x:v>Future Carry-Forward Cohort</x:v>
      </x:c>
      <x:c r="K7" s="14"/>
      <x:c r="L7" s="14" t="str">
        <x:v>Not inherited</x:v>
      </x:c>
      <x:c r="M7" s="15" t="n">
        <x:v>33</x:v>
      </x:c>
      <x:c r="N7" s="14" t="str">
        <x:v>Adrian Edmondson</x:v>
      </x:c>
      <x:c r="O7" s="14" t="str">
        <x:v>nm0249528</x:v>
      </x:c>
      <x:c r="P7" s="14" t="str">
        <x:v>David Haleton</x:v>
      </x:c>
      <x:c r="Q7" s="15" t="n">
        <x:v>1</x:v>
      </x:c>
      <x:c r="R7" s="14" t="str">
        <x:v>2025</x:v>
      </x:c>
      <x:c r="S7" s="14" t="n">
        <x:v>2025</x:v>
      </x:c>
      <x:c r="T7" s="14" t="n">
        <x:v>2025</x:v>
      </x:c>
      <x:c r="U7" s="14" t="str">
        <x:v>Explicit source first year retained</x:v>
      </x:c>
      <x:c r="V7" s="14" t="str">
        <x:v>Earliest supplied year is 2025.</x:v>
      </x:c>
      <x:c r="W7" s="14"/>
      <x:c r="X7" s="14" t="str">
        <x:v>Carried forward to 2025</x:v>
      </x:c>
      <x:c r="Y7" s="14"/>
      <x:c r="Z7" s="14" t="str">
        <x:v>Beyond Paradise.docx</x:v>
      </x:c>
      <x:c r="AA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HYPERLINK("https://en.wikipedia.org/wiki/Beyond_Paradise","Open source")</x:f>
        <x:v>HYPERLINK is not implemented. linkLocation=https://en.wikipedia.org/wiki/Beyond_Paradise,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27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1</x:v>
      </x:c>
      <x:c r="BS7" s="16" t="n">
        <x:v>0.037037037037037035</x:v>
      </x:c>
      <x:c r="BT7" s="14" t="str">
        <x:v>One episode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tt21161156|nm0219465|arthur donalan</x:v>
      </x:c>
      <x:c r="B8" s="14" t="str">
        <x:v>01</x:v>
      </x:c>
      <x:c r="C8" s="14" t="str">
        <x:v>2023_IMDb_Cast_Lists_Batch_01(2).xlsx</x:v>
      </x:c>
      <x:c r="D8" s="14" t="str">
        <x:v>Beyond Paradise</x:v>
      </x:c>
      <x:c r="E8" s="14" t="n">
        <x:v>41</x:v>
      </x:c>
      <x:c r="F8" s="14" t="str">
        <x:v>Beyond Paradise</x:v>
      </x:c>
      <x:c r="G8" s="14" t="str">
        <x:v>tt21161156</x:v>
      </x:c>
      <x:c r="H8" s="14" t="n">
        <x:v>2023</x:v>
      </x:c>
      <x:c r="I8" s="14" t="n">
        <x:v>2023</x:v>
      </x:c>
      <x:c r="J8" s="14" t="str">
        <x:v>Future Carry-Forward Cohort</x:v>
      </x:c>
      <x:c r="K8" s="14"/>
      <x:c r="L8" s="14" t="str">
        <x:v>Not inherited</x:v>
      </x:c>
      <x:c r="M8" s="15" t="n">
        <x:v>34</x:v>
      </x:c>
      <x:c r="N8" s="14" t="str">
        <x:v>Hugh Dennis</x:v>
      </x:c>
      <x:c r="O8" s="14" t="str">
        <x:v>nm0219465</x:v>
      </x:c>
      <x:c r="P8" s="14" t="str">
        <x:v>Arthur Donalan</x:v>
      </x:c>
      <x:c r="Q8" s="15" t="n">
        <x:v>1</x:v>
      </x:c>
      <x:c r="R8" s="14" t="str">
        <x:v>2025</x:v>
      </x:c>
      <x:c r="S8" s="14" t="n">
        <x:v>2025</x:v>
      </x:c>
      <x:c r="T8" s="14" t="n">
        <x:v>2025</x:v>
      </x:c>
      <x:c r="U8" s="14" t="str">
        <x:v>Explicit source first year retained</x:v>
      </x:c>
      <x:c r="V8" s="14" t="str">
        <x:v>Earliest supplied year is 2025.</x:v>
      </x:c>
      <x:c r="W8" s="14"/>
      <x:c r="X8" s="14" t="str">
        <x:v>Carried forward to 2025</x:v>
      </x:c>
      <x:c r="Y8" s="14"/>
      <x:c r="Z8" s="14" t="str">
        <x:v>Beyond Paradise.docx</x:v>
      </x:c>
      <x:c r="AA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HYPERLINK("https://en.wikipedia.org/wiki/Beyond_Paradise","Open source")</x:f>
        <x:v>HYPERLINK is not implemented. linkLocation=https://en.wikipedia.org/wiki/Beyond_Paradise,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27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1</x:v>
      </x:c>
      <x:c r="BS8" s="16" t="n">
        <x:v>0.037037037037037035</x:v>
      </x:c>
      <x:c r="BT8" s="14" t="str">
        <x:v>One episode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tt21161156|nm1632762|stella ellis</x:v>
      </x:c>
      <x:c r="B9" s="14" t="str">
        <x:v>01</x:v>
      </x:c>
      <x:c r="C9" s="14" t="str">
        <x:v>2023_IMDb_Cast_Lists_Batch_01(2).xlsx</x:v>
      </x:c>
      <x:c r="D9" s="14" t="str">
        <x:v>Beyond Paradise</x:v>
      </x:c>
      <x:c r="E9" s="14" t="n">
        <x:v>42</x:v>
      </x:c>
      <x:c r="F9" s="14" t="str">
        <x:v>Beyond Paradise</x:v>
      </x:c>
      <x:c r="G9" s="14" t="str">
        <x:v>tt21161156</x:v>
      </x:c>
      <x:c r="H9" s="14" t="n">
        <x:v>2023</x:v>
      </x:c>
      <x:c r="I9" s="14" t="n">
        <x:v>2023</x:v>
      </x:c>
      <x:c r="J9" s="14" t="str">
        <x:v>Future Carry-Forward Cohort</x:v>
      </x:c>
      <x:c r="K9" s="14"/>
      <x:c r="L9" s="14" t="str">
        <x:v>Not inherited</x:v>
      </x:c>
      <x:c r="M9" s="15" t="n">
        <x:v>35</x:v>
      </x:c>
      <x:c r="N9" s="14" t="str">
        <x:v>Amy Morgan</x:v>
      </x:c>
      <x:c r="O9" s="14" t="str">
        <x:v>nm1632762</x:v>
      </x:c>
      <x:c r="P9" s="14" t="str">
        <x:v>Stella Ellis</x:v>
      </x:c>
      <x:c r="Q9" s="15" t="n">
        <x:v>1</x:v>
      </x:c>
      <x:c r="R9" s="14" t="str">
        <x:v>2025</x:v>
      </x:c>
      <x:c r="S9" s="14" t="n">
        <x:v>2025</x:v>
      </x:c>
      <x:c r="T9" s="14" t="n">
        <x:v>2025</x:v>
      </x:c>
      <x:c r="U9" s="14" t="str">
        <x:v>Explicit source first year retained</x:v>
      </x:c>
      <x:c r="V9" s="14" t="str">
        <x:v>Earliest supplied year is 2025.</x:v>
      </x:c>
      <x:c r="W9" s="14"/>
      <x:c r="X9" s="14" t="str">
        <x:v>Carried forward to 2025</x:v>
      </x:c>
      <x:c r="Y9" s="14"/>
      <x:c r="Z9" s="14" t="str">
        <x:v>Beyond Paradise.docx</x:v>
      </x:c>
      <x:c r="AA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HYPERLINK("https://en.wikipedia.org/wiki/Beyond_Paradise","Open source")</x:f>
        <x:v>HYPERLINK is not implemented. linkLocation=https://en.wikipedia.org/wiki/Beyond_Paradise,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27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1</x:v>
      </x:c>
      <x:c r="BS9" s="16" t="n">
        <x:v>0.037037037037037035</x:v>
      </x:c>
      <x:c r="BT9" s="14" t="str">
        <x:v>One episode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tt21161156|nm5775637|emily buswell</x:v>
      </x:c>
      <x:c r="B10" s="14" t="str">
        <x:v>01</x:v>
      </x:c>
      <x:c r="C10" s="14" t="str">
        <x:v>2023_IMDb_Cast_Lists_Batch_01(2).xlsx</x:v>
      </x:c>
      <x:c r="D10" s="14" t="str">
        <x:v>Beyond Paradise</x:v>
      </x:c>
      <x:c r="E10" s="14" t="n">
        <x:v>43</x:v>
      </x:c>
      <x:c r="F10" s="14" t="str">
        <x:v>Beyond Paradise</x:v>
      </x:c>
      <x:c r="G10" s="14" t="str">
        <x:v>tt21161156</x:v>
      </x:c>
      <x:c r="H10" s="14" t="n">
        <x:v>2023</x:v>
      </x:c>
      <x:c r="I10" s="14" t="n">
        <x:v>2023</x:v>
      </x:c>
      <x:c r="J10" s="14" t="str">
        <x:v>Future Carry-Forward Cohort</x:v>
      </x:c>
      <x:c r="K10" s="14"/>
      <x:c r="L10" s="14" t="str">
        <x:v>Not inherited</x:v>
      </x:c>
      <x:c r="M10" s="15" t="n">
        <x:v>36</x:v>
      </x:c>
      <x:c r="N10" s="14" t="str">
        <x:v>Abra Thompson</x:v>
      </x:c>
      <x:c r="O10" s="14" t="str">
        <x:v>nm5775637</x:v>
      </x:c>
      <x:c r="P10" s="14" t="str">
        <x:v>Emily Buswell</x:v>
      </x:c>
      <x:c r="Q10" s="15" t="n">
        <x:v>1</x:v>
      </x:c>
      <x:c r="R10" s="14" t="str">
        <x:v>2025</x:v>
      </x:c>
      <x:c r="S10" s="14" t="n">
        <x:v>2025</x:v>
      </x:c>
      <x:c r="T10" s="14" t="n">
        <x:v>2025</x:v>
      </x:c>
      <x:c r="U10" s="14" t="str">
        <x:v>Explicit source first year retained</x:v>
      </x:c>
      <x:c r="V10" s="14" t="str">
        <x:v>Earliest supplied year is 2025.</x:v>
      </x:c>
      <x:c r="W10" s="14"/>
      <x:c r="X10" s="14" t="str">
        <x:v>Carried forward to 2025</x:v>
      </x:c>
      <x:c r="Y10" s="14"/>
      <x:c r="Z10" s="14" t="str">
        <x:v>Beyond Paradise.docx</x:v>
      </x:c>
      <x:c r="AA1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HYPERLINK("https://en.wikipedia.org/wiki/Beyond_Paradise","Open source")</x:f>
        <x:v>HYPERLINK is not implemented. linkLocation=https://en.wikipedia.org/wiki/Beyond_Paradise,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27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1</x:v>
      </x:c>
      <x:c r="BS10" s="16" t="n">
        <x:v>0.037037037037037035</x:v>
      </x:c>
      <x:c r="BT10" s="14" t="str">
        <x:v>One episode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tt21161156|nm1763169|gabriella dalmori</x:v>
      </x:c>
      <x:c r="B11" s="14" t="str">
        <x:v>01</x:v>
      </x:c>
      <x:c r="C11" s="14" t="str">
        <x:v>2023_IMDb_Cast_Lists_Batch_01(2).xlsx</x:v>
      </x:c>
      <x:c r="D11" s="14" t="str">
        <x:v>Beyond Paradise</x:v>
      </x:c>
      <x:c r="E11" s="14" t="n">
        <x:v>44</x:v>
      </x:c>
      <x:c r="F11" s="14" t="str">
        <x:v>Beyond Paradise</x:v>
      </x:c>
      <x:c r="G11" s="14" t="str">
        <x:v>tt21161156</x:v>
      </x:c>
      <x:c r="H11" s="14" t="n">
        <x:v>2023</x:v>
      </x:c>
      <x:c r="I11" s="14" t="n">
        <x:v>2023</x:v>
      </x:c>
      <x:c r="J11" s="14" t="str">
        <x:v>Future Carry-Forward Cohort</x:v>
      </x:c>
      <x:c r="K11" s="14"/>
      <x:c r="L11" s="14" t="str">
        <x:v>Not inherited</x:v>
      </x:c>
      <x:c r="M11" s="15" t="n">
        <x:v>37</x:v>
      </x:c>
      <x:c r="N11" s="14" t="str">
        <x:v>Alicia Charles</x:v>
      </x:c>
      <x:c r="O11" s="14" t="str">
        <x:v>nm1763169</x:v>
      </x:c>
      <x:c r="P11" s="14" t="str">
        <x:v>Gabriella Dalmori</x:v>
      </x:c>
      <x:c r="Q11" s="15" t="n">
        <x:v>1</x:v>
      </x:c>
      <x:c r="R11" s="14" t="str">
        <x:v>2025</x:v>
      </x:c>
      <x:c r="S11" s="14" t="n">
        <x:v>2025</x:v>
      </x:c>
      <x:c r="T11" s="14" t="n">
        <x:v>2025</x:v>
      </x:c>
      <x:c r="U11" s="14" t="str">
        <x:v>Explicit source first year retained</x:v>
      </x:c>
      <x:c r="V11" s="14" t="str">
        <x:v>Earliest supplied year is 2025.</x:v>
      </x:c>
      <x:c r="W11" s="14"/>
      <x:c r="X11" s="14" t="str">
        <x:v>Carried forward to 2025</x:v>
      </x:c>
      <x:c r="Y11" s="14"/>
      <x:c r="Z11" s="14" t="str">
        <x:v>Beyond Paradise.docx</x:v>
      </x:c>
      <x:c r="AA1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HYPERLINK("https://en.wikipedia.org/wiki/Beyond_Paradise","Open source")</x:f>
        <x:v>HYPERLINK is not implemented. linkLocation=https://en.wikipedia.org/wiki/Beyond_Paradise,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27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1</x:v>
      </x:c>
      <x:c r="BS11" s="16" t="n">
        <x:v>0.037037037037037035</x:v>
      </x:c>
      <x:c r="BT11" s="14" t="str">
        <x:v>One episode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tt21161156|nm0573618|george ellis</x:v>
      </x:c>
      <x:c r="B12" s="14" t="str">
        <x:v>01</x:v>
      </x:c>
      <x:c r="C12" s="14" t="str">
        <x:v>2023_IMDb_Cast_Lists_Batch_01(2).xlsx</x:v>
      </x:c>
      <x:c r="D12" s="14" t="str">
        <x:v>Beyond Paradise</x:v>
      </x:c>
      <x:c r="E12" s="14" t="n">
        <x:v>55</x:v>
      </x:c>
      <x:c r="F12" s="14" t="str">
        <x:v>Beyond Paradise</x:v>
      </x:c>
      <x:c r="G12" s="14" t="str">
        <x:v>tt21161156</x:v>
      </x:c>
      <x:c r="H12" s="14" t="n">
        <x:v>2023</x:v>
      </x:c>
      <x:c r="I12" s="14" t="n">
        <x:v>2023</x:v>
      </x:c>
      <x:c r="J12" s="14" t="str">
        <x:v>Future Carry-Forward Cohort</x:v>
      </x:c>
      <x:c r="K12" s="14"/>
      <x:c r="L12" s="14" t="str">
        <x:v>Not inherited</x:v>
      </x:c>
      <x:c r="M12" s="15" t="n">
        <x:v>48</x:v>
      </x:c>
      <x:c r="N12" s="14" t="str">
        <x:v>Kevin McNally</x:v>
      </x:c>
      <x:c r="O12" s="14" t="str">
        <x:v>nm0573618</x:v>
      </x:c>
      <x:c r="P12" s="14" t="str">
        <x:v>George Ellis</x:v>
      </x:c>
      <x:c r="Q12" s="15" t="n">
        <x:v>1</x:v>
      </x:c>
      <x:c r="R12" s="14" t="str">
        <x:v>2025</x:v>
      </x:c>
      <x:c r="S12" s="14" t="n">
        <x:v>2025</x:v>
      </x:c>
      <x:c r="T12" s="14" t="n">
        <x:v>2025</x:v>
      </x:c>
      <x:c r="U12" s="14" t="str">
        <x:v>Explicit source first year retained</x:v>
      </x:c>
      <x:c r="V12" s="14" t="str">
        <x:v>Earliest supplied year is 2025.</x:v>
      </x:c>
      <x:c r="W12" s="14"/>
      <x:c r="X12" s="14" t="str">
        <x:v>Carried forward to 2025</x:v>
      </x:c>
      <x:c r="Y12" s="14" t="str">
        <x:v>(as Kevin R McNally)</x:v>
      </x:c>
      <x:c r="Z12" s="14" t="str">
        <x:v>Beyond Paradise.docx</x:v>
      </x:c>
      <x:c r="AA1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HYPERLINK("https://en.wikipedia.org/wiki/Beyond_Paradise","Open source")</x:f>
        <x:v>HYPERLINK is not implemented. linkLocation=https://en.wikipedia.org/wiki/Beyond_Paradise,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27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0.037037037037037035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tt21161156|nm1257280|martin gaffney</x:v>
      </x:c>
      <x:c r="B13" s="14" t="str">
        <x:v>01</x:v>
      </x:c>
      <x:c r="C13" s="14" t="str">
        <x:v>2023_IMDb_Cast_Lists_Batch_01(2).xlsx</x:v>
      </x:c>
      <x:c r="D13" s="14" t="str">
        <x:v>Beyond Paradise</x:v>
      </x:c>
      <x:c r="E13" s="14" t="n">
        <x:v>56</x:v>
      </x:c>
      <x:c r="F13" s="14" t="str">
        <x:v>Beyond Paradise</x:v>
      </x:c>
      <x:c r="G13" s="14" t="str">
        <x:v>tt21161156</x:v>
      </x:c>
      <x:c r="H13" s="14" t="n">
        <x:v>2023</x:v>
      </x:c>
      <x:c r="I13" s="14" t="n">
        <x:v>2023</x:v>
      </x:c>
      <x:c r="J13" s="14" t="str">
        <x:v>Future Carry-Forward Cohort</x:v>
      </x:c>
      <x:c r="K13" s="14"/>
      <x:c r="L13" s="14" t="str">
        <x:v>Not inherited</x:v>
      </x:c>
      <x:c r="M13" s="15" t="n">
        <x:v>49</x:v>
      </x:c>
      <x:c r="N13" s="14" t="str">
        <x:v>Matthew Gravelle</x:v>
      </x:c>
      <x:c r="O13" s="14" t="str">
        <x:v>nm1257280</x:v>
      </x:c>
      <x:c r="P13" s="14" t="str">
        <x:v>Martin Gaffney</x:v>
      </x:c>
      <x:c r="Q13" s="15" t="n">
        <x:v>1</x:v>
      </x:c>
      <x:c r="R13" s="14" t="str">
        <x:v>2025</x:v>
      </x:c>
      <x:c r="S13" s="14" t="n">
        <x:v>2025</x:v>
      </x:c>
      <x:c r="T13" s="14" t="n">
        <x:v>2025</x:v>
      </x:c>
      <x:c r="U13" s="14" t="str">
        <x:v>Explicit source first year retained</x:v>
      </x:c>
      <x:c r="V13" s="14" t="str">
        <x:v>Earliest supplied year is 2025.</x:v>
      </x:c>
      <x:c r="W13" s="14"/>
      <x:c r="X13" s="14" t="str">
        <x:v>Carried forward to 2025</x:v>
      </x:c>
      <x:c r="Y13" s="14"/>
      <x:c r="Z13" s="14" t="str">
        <x:v>Beyond Paradise.docx</x:v>
      </x:c>
      <x:c r="AA1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HYPERLINK("https://en.wikipedia.org/wiki/Beyond_Paradise","Open source")</x:f>
        <x:v>HYPERLINK is not implemented. linkLocation=https://en.wikipedia.org/wiki/Beyond_Paradise,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27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0.037037037037037035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tt21161156|nm0400673|hugo digsby</x:v>
      </x:c>
      <x:c r="B14" s="14" t="str">
        <x:v>01</x:v>
      </x:c>
      <x:c r="C14" s="14" t="str">
        <x:v>2023_IMDb_Cast_Lists_Batch_01(2).xlsx</x:v>
      </x:c>
      <x:c r="D14" s="14" t="str">
        <x:v>Beyond Paradise</x:v>
      </x:c>
      <x:c r="E14" s="14" t="n">
        <x:v>62</x:v>
      </x:c>
      <x:c r="F14" s="14" t="str">
        <x:v>Beyond Paradise</x:v>
      </x:c>
      <x:c r="G14" s="14" t="str">
        <x:v>tt21161156</x:v>
      </x:c>
      <x:c r="H14" s="14" t="n">
        <x:v>2023</x:v>
      </x:c>
      <x:c r="I14" s="14" t="n">
        <x:v>2023</x:v>
      </x:c>
      <x:c r="J14" s="14" t="str">
        <x:v>Future Carry-Forward Cohort</x:v>
      </x:c>
      <x:c r="K14" s="14"/>
      <x:c r="L14" s="14" t="str">
        <x:v>Not inherited</x:v>
      </x:c>
      <x:c r="M14" s="15" t="n">
        <x:v>55</x:v>
      </x:c>
      <x:c r="N14" s="14" t="str">
        <x:v>Jason Hughes</x:v>
      </x:c>
      <x:c r="O14" s="14" t="str">
        <x:v>nm0400673</x:v>
      </x:c>
      <x:c r="P14" s="14" t="str">
        <x:v>Hugo Digsby</x:v>
      </x:c>
      <x:c r="Q14" s="15" t="n">
        <x:v>1</x:v>
      </x:c>
      <x:c r="R14" s="14" t="str">
        <x:v>2025</x:v>
      </x:c>
      <x:c r="S14" s="14" t="n">
        <x:v>2025</x:v>
      </x:c>
      <x:c r="T14" s="14" t="n">
        <x:v>2025</x:v>
      </x:c>
      <x:c r="U14" s="14" t="str">
        <x:v>Explicit source first year retained</x:v>
      </x:c>
      <x:c r="V14" s="14" t="str">
        <x:v>Earliest supplied year is 2025.</x:v>
      </x:c>
      <x:c r="W14" s="14"/>
      <x:c r="X14" s="14" t="str">
        <x:v>Carried forward to 2025</x:v>
      </x:c>
      <x:c r="Y14" s="14"/>
      <x:c r="Z14" s="14" t="str">
        <x:v>Beyond Paradise.docx</x:v>
      </x:c>
      <x:c r="AA1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HYPERLINK("https://en.wikipedia.org/wiki/Beyond_Paradise","Open source")</x:f>
        <x:v>HYPERLINK is not implemented. linkLocation=https://en.wikipedia.org/wiki/Beyond_Paradise,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27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0.037037037037037035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tt21161156|nm7184185|kenny pluckley</x:v>
      </x:c>
      <x:c r="B15" s="14" t="str">
        <x:v>01</x:v>
      </x:c>
      <x:c r="C15" s="14" t="str">
        <x:v>2023_IMDb_Cast_Lists_Batch_01(2).xlsx</x:v>
      </x:c>
      <x:c r="D15" s="14" t="str">
        <x:v>Beyond Paradise</x:v>
      </x:c>
      <x:c r="E15" s="14" t="n">
        <x:v>63</x:v>
      </x:c>
      <x:c r="F15" s="14" t="str">
        <x:v>Beyond Paradise</x:v>
      </x:c>
      <x:c r="G15" s="14" t="str">
        <x:v>tt21161156</x:v>
      </x:c>
      <x:c r="H15" s="14" t="n">
        <x:v>2023</x:v>
      </x:c>
      <x:c r="I15" s="14" t="n">
        <x:v>2023</x:v>
      </x:c>
      <x:c r="J15" s="14" t="str">
        <x:v>Future Carry-Forward Cohort</x:v>
      </x:c>
      <x:c r="K15" s="14"/>
      <x:c r="L15" s="14" t="str">
        <x:v>Not inherited</x:v>
      </x:c>
      <x:c r="M15" s="15" t="n">
        <x:v>56</x:v>
      </x:c>
      <x:c r="N15" s="14" t="str">
        <x:v>Brandon Fellows</x:v>
      </x:c>
      <x:c r="O15" s="14" t="str">
        <x:v>nm7184185</x:v>
      </x:c>
      <x:c r="P15" s="14" t="str">
        <x:v>Kenny Pluckley</x:v>
      </x:c>
      <x:c r="Q15" s="15" t="n">
        <x:v>1</x:v>
      </x:c>
      <x:c r="R15" s="14" t="str">
        <x:v>2025</x:v>
      </x:c>
      <x:c r="S15" s="14" t="n">
        <x:v>2025</x:v>
      </x:c>
      <x:c r="T15" s="14" t="n">
        <x:v>2025</x:v>
      </x:c>
      <x:c r="U15" s="14" t="str">
        <x:v>Explicit source first year retained</x:v>
      </x:c>
      <x:c r="V15" s="14" t="str">
        <x:v>Earliest supplied year is 2025.</x:v>
      </x:c>
      <x:c r="W15" s="14"/>
      <x:c r="X15" s="14" t="str">
        <x:v>Carried forward to 2025</x:v>
      </x:c>
      <x:c r="Y15" s="14"/>
      <x:c r="Z15" s="14" t="str">
        <x:v>Beyond Paradise.docx</x:v>
      </x:c>
      <x:c r="AA1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HYPERLINK("https://en.wikipedia.org/wiki/Beyond_Paradise","Open source")</x:f>
        <x:v>HYPERLINK is not implemented. linkLocation=https://en.wikipedia.org/wiki/Beyond_Paradise,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27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0.037037037037037035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tt21161156|nm0040607|sherie howard</x:v>
      </x:c>
      <x:c r="B16" s="14" t="str">
        <x:v>01</x:v>
      </x:c>
      <x:c r="C16" s="14" t="str">
        <x:v>2023_IMDb_Cast_Lists_Batch_01(2).xlsx</x:v>
      </x:c>
      <x:c r="D16" s="14" t="str">
        <x:v>Beyond Paradise</x:v>
      </x:c>
      <x:c r="E16" s="14" t="n">
        <x:v>70</x:v>
      </x:c>
      <x:c r="F16" s="14" t="str">
        <x:v>Beyond Paradise</x:v>
      </x:c>
      <x:c r="G16" s="14" t="str">
        <x:v>tt21161156</x:v>
      </x:c>
      <x:c r="H16" s="14" t="n">
        <x:v>2023</x:v>
      </x:c>
      <x:c r="I16" s="14" t="n">
        <x:v>2023</x:v>
      </x:c>
      <x:c r="J16" s="14" t="str">
        <x:v>Future Carry-Forward Cohort</x:v>
      </x:c>
      <x:c r="K16" s="14"/>
      <x:c r="L16" s="14" t="str">
        <x:v>Not inherited</x:v>
      </x:c>
      <x:c r="M16" s="15" t="n">
        <x:v>63</x:v>
      </x:c>
      <x:c r="N16" s="14" t="str">
        <x:v>Holly Atkins</x:v>
      </x:c>
      <x:c r="O16" s="14" t="str">
        <x:v>nm0040607</x:v>
      </x:c>
      <x:c r="P16" s="14" t="str">
        <x:v>Sherie Howard</x:v>
      </x:c>
      <x:c r="Q16" s="15" t="n">
        <x:v>1</x:v>
      </x:c>
      <x:c r="R16" s="14" t="str">
        <x:v>2025</x:v>
      </x:c>
      <x:c r="S16" s="14" t="n">
        <x:v>2025</x:v>
      </x:c>
      <x:c r="T16" s="14" t="n">
        <x:v>2025</x:v>
      </x:c>
      <x:c r="U16" s="14" t="str">
        <x:v>Explicit source first year retained</x:v>
      </x:c>
      <x:c r="V16" s="14" t="str">
        <x:v>Earliest supplied year is 2025.</x:v>
      </x:c>
      <x:c r="W16" s="14"/>
      <x:c r="X16" s="14" t="str">
        <x:v>Carried forward to 2025</x:v>
      </x:c>
      <x:c r="Y16" s="14"/>
      <x:c r="Z16" s="14" t="str">
        <x:v>Beyond Paradise.docx</x:v>
      </x:c>
      <x:c r="AA1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HYPERLINK("https://en.wikipedia.org/wiki/Beyond_Paradise","Open source")</x:f>
        <x:v>HYPERLINK is not implemented. linkLocation=https://en.wikipedia.org/wiki/Beyond_Paradise,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27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0.037037037037037035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tt21161156|nm10281028|ben taylor</x:v>
      </x:c>
      <x:c r="B17" s="14" t="str">
        <x:v>01</x:v>
      </x:c>
      <x:c r="C17" s="14" t="str">
        <x:v>2023_IMDb_Cast_Lists_Batch_01(2).xlsx</x:v>
      </x:c>
      <x:c r="D17" s="14" t="str">
        <x:v>Beyond Paradise</x:v>
      </x:c>
      <x:c r="E17" s="14" t="n">
        <x:v>71</x:v>
      </x:c>
      <x:c r="F17" s="14" t="str">
        <x:v>Beyond Paradise</x:v>
      </x:c>
      <x:c r="G17" s="14" t="str">
        <x:v>tt21161156</x:v>
      </x:c>
      <x:c r="H17" s="14" t="n">
        <x:v>2023</x:v>
      </x:c>
      <x:c r="I17" s="14" t="n">
        <x:v>2023</x:v>
      </x:c>
      <x:c r="J17" s="14" t="str">
        <x:v>Future Carry-Forward Cohort</x:v>
      </x:c>
      <x:c r="K17" s="14"/>
      <x:c r="L17" s="14" t="str">
        <x:v>Not inherited</x:v>
      </x:c>
      <x:c r="M17" s="15" t="n">
        <x:v>64</x:v>
      </x:c>
      <x:c r="N17" s="14" t="str">
        <x:v>Lance West</x:v>
      </x:c>
      <x:c r="O17" s="14" t="str">
        <x:v>nm10281028</x:v>
      </x:c>
      <x:c r="P17" s="14" t="str">
        <x:v>Ben Taylor</x:v>
      </x:c>
      <x:c r="Q17" s="15" t="n">
        <x:v>1</x:v>
      </x:c>
      <x:c r="R17" s="14" t="str">
        <x:v>2025</x:v>
      </x:c>
      <x:c r="S17" s="14" t="n">
        <x:v>2025</x:v>
      </x:c>
      <x:c r="T17" s="14" t="n">
        <x:v>2025</x:v>
      </x:c>
      <x:c r="U17" s="14" t="str">
        <x:v>Explicit source first year retained</x:v>
      </x:c>
      <x:c r="V17" s="14" t="str">
        <x:v>Earliest supplied year is 2025.</x:v>
      </x:c>
      <x:c r="W17" s="14"/>
      <x:c r="X17" s="14" t="str">
        <x:v>Carried forward to 2025</x:v>
      </x:c>
      <x:c r="Y17" s="14"/>
      <x:c r="Z17" s="14" t="str">
        <x:v>Beyond Paradise.docx</x:v>
      </x:c>
      <x:c r="AA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HYPERLINK("https://en.wikipedia.org/wiki/Beyond_Paradise","Open source")</x:f>
        <x:v>HYPERLINK is not implemented. linkLocation=https://en.wikipedia.org/wiki/Beyond_Paradise,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27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0.037037037037037035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tt21161156|nm1357414|dr. lionel jennings</x:v>
      </x:c>
      <x:c r="B18" s="14" t="str">
        <x:v>01</x:v>
      </x:c>
      <x:c r="C18" s="14" t="str">
        <x:v>2023_IMDb_Cast_Lists_Batch_01(2).xlsx</x:v>
      </x:c>
      <x:c r="D18" s="14" t="str">
        <x:v>Beyond Paradise</x:v>
      </x:c>
      <x:c r="E18" s="14" t="n">
        <x:v>77</x:v>
      </x:c>
      <x:c r="F18" s="14" t="str">
        <x:v>Beyond Paradise</x:v>
      </x:c>
      <x:c r="G18" s="14" t="str">
        <x:v>tt21161156</x:v>
      </x:c>
      <x:c r="H18" s="14" t="n">
        <x:v>2023</x:v>
      </x:c>
      <x:c r="I18" s="14" t="n">
        <x:v>2023</x:v>
      </x:c>
      <x:c r="J18" s="14" t="str">
        <x:v>Future Carry-Forward Cohort</x:v>
      </x:c>
      <x:c r="K18" s="14"/>
      <x:c r="L18" s="14" t="str">
        <x:v>Not inherited</x:v>
      </x:c>
      <x:c r="M18" s="15" t="n">
        <x:v>70</x:v>
      </x:c>
      <x:c r="N18" s="14" t="str">
        <x:v>Abdul Salis</x:v>
      </x:c>
      <x:c r="O18" s="14" t="str">
        <x:v>nm1357414</x:v>
      </x:c>
      <x:c r="P18" s="14" t="str">
        <x:v>Dr. Lionel Jennings</x:v>
      </x:c>
      <x:c r="Q18" s="15" t="n">
        <x:v>1</x:v>
      </x:c>
      <x:c r="R18" s="14" t="str">
        <x:v>2025</x:v>
      </x:c>
      <x:c r="S18" s="14" t="n">
        <x:v>2025</x:v>
      </x:c>
      <x:c r="T18" s="14" t="n">
        <x:v>2025</x:v>
      </x:c>
      <x:c r="U18" s="14" t="str">
        <x:v>Explicit source first year retained</x:v>
      </x:c>
      <x:c r="V18" s="14" t="str">
        <x:v>Earliest supplied year is 2025.</x:v>
      </x:c>
      <x:c r="W18" s="14"/>
      <x:c r="X18" s="14" t="str">
        <x:v>Carried forward to 2025</x:v>
      </x:c>
      <x:c r="Y18" s="14"/>
      <x:c r="Z18" s="14" t="str">
        <x:v>Beyond Paradise.docx</x:v>
      </x:c>
      <x:c r="AA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HYPERLINK("https://en.wikipedia.org/wiki/Beyond_Paradise","Open source")</x:f>
        <x:v>HYPERLINK is not implemented. linkLocation=https://en.wikipedia.org/wiki/Beyond_Paradise,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27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0.037037037037037035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tt21161156|nm0192805|angela palmer</x:v>
      </x:c>
      <x:c r="B19" s="14" t="str">
        <x:v>01</x:v>
      </x:c>
      <x:c r="C19" s="14" t="str">
        <x:v>2023_IMDb_Cast_Lists_Batch_01(2).xlsx</x:v>
      </x:c>
      <x:c r="D19" s="14" t="str">
        <x:v>Beyond Paradise</x:v>
      </x:c>
      <x:c r="E19" s="14" t="n">
        <x:v>78</x:v>
      </x:c>
      <x:c r="F19" s="14" t="str">
        <x:v>Beyond Paradise</x:v>
      </x:c>
      <x:c r="G19" s="14" t="str">
        <x:v>tt21161156</x:v>
      </x:c>
      <x:c r="H19" s="14" t="n">
        <x:v>2023</x:v>
      </x:c>
      <x:c r="I19" s="14" t="n">
        <x:v>2023</x:v>
      </x:c>
      <x:c r="J19" s="14" t="str">
        <x:v>Future Carry-Forward Cohort</x:v>
      </x:c>
      <x:c r="K19" s="14"/>
      <x:c r="L19" s="14" t="str">
        <x:v>Not inherited</x:v>
      </x:c>
      <x:c r="M19" s="15" t="n">
        <x:v>71</x:v>
      </x:c>
      <x:c r="N19" s="14" t="str">
        <x:v>Angela Curran</x:v>
      </x:c>
      <x:c r="O19" s="14" t="str">
        <x:v>nm0192805</x:v>
      </x:c>
      <x:c r="P19" s="14" t="str">
        <x:v>Angela Palmer</x:v>
      </x:c>
      <x:c r="Q19" s="15" t="n">
        <x:v>1</x:v>
      </x:c>
      <x:c r="R19" s="14" t="str">
        <x:v>2025</x:v>
      </x:c>
      <x:c r="S19" s="14" t="n">
        <x:v>2025</x:v>
      </x:c>
      <x:c r="T19" s="14" t="n">
        <x:v>2025</x:v>
      </x:c>
      <x:c r="U19" s="14" t="str">
        <x:v>Explicit source first year retained</x:v>
      </x:c>
      <x:c r="V19" s="14" t="str">
        <x:v>Earliest supplied year is 2025.</x:v>
      </x:c>
      <x:c r="W19" s="14"/>
      <x:c r="X19" s="14" t="str">
        <x:v>Carried forward to 2025</x:v>
      </x:c>
      <x:c r="Y19" s="14"/>
      <x:c r="Z19" s="14" t="str">
        <x:v>Beyond Paradise.docx</x:v>
      </x:c>
      <x:c r="AA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HYPERLINK("https://en.wikipedia.org/wiki/Beyond_Paradise","Open source")</x:f>
        <x:v>HYPERLINK is not implemented. linkLocation=https://en.wikipedia.org/wiki/Beyond_Paradise,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27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0.037037037037037035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tt21161156|nm5220737|lizzie dyer</x:v>
      </x:c>
      <x:c r="B20" s="14" t="str">
        <x:v>01</x:v>
      </x:c>
      <x:c r="C20" s="14" t="str">
        <x:v>2023_IMDb_Cast_Lists_Batch_01(2).xlsx</x:v>
      </x:c>
      <x:c r="D20" s="14" t="str">
        <x:v>Beyond Paradise</x:v>
      </x:c>
      <x:c r="E20" s="14" t="n">
        <x:v>82</x:v>
      </x:c>
      <x:c r="F20" s="14" t="str">
        <x:v>Beyond Paradise</x:v>
      </x:c>
      <x:c r="G20" s="14" t="str">
        <x:v>tt21161156</x:v>
      </x:c>
      <x:c r="H20" s="14" t="n">
        <x:v>2023</x:v>
      </x:c>
      <x:c r="I20" s="14" t="n">
        <x:v>2023</x:v>
      </x:c>
      <x:c r="J20" s="14" t="str">
        <x:v>Future Carry-Forward Cohort</x:v>
      </x:c>
      <x:c r="K20" s="14"/>
      <x:c r="L20" s="14" t="str">
        <x:v>Not inherited</x:v>
      </x:c>
      <x:c r="M20" s="15" t="n">
        <x:v>75</x:v>
      </x:c>
      <x:c r="N20" s="14" t="str">
        <x:v>Bebe Sanders</x:v>
      </x:c>
      <x:c r="O20" s="14" t="str">
        <x:v>nm5220737</x:v>
      </x:c>
      <x:c r="P20" s="14" t="str">
        <x:v>Lizzie Dyer</x:v>
      </x:c>
      <x:c r="Q20" s="15" t="n">
        <x:v>1</x:v>
      </x:c>
      <x:c r="R20" s="14" t="str">
        <x:v>2025</x:v>
      </x:c>
      <x:c r="S20" s="14" t="n">
        <x:v>2025</x:v>
      </x:c>
      <x:c r="T20" s="14" t="n">
        <x:v>2025</x:v>
      </x:c>
      <x:c r="U20" s="14" t="str">
        <x:v>Explicit source first year retained</x:v>
      </x:c>
      <x:c r="V20" s="14" t="str">
        <x:v>Earliest supplied year is 2025.</x:v>
      </x:c>
      <x:c r="W20" s="14"/>
      <x:c r="X20" s="14" t="str">
        <x:v>Carried forward to 2025</x:v>
      </x:c>
      <x:c r="Y20" s="14"/>
      <x:c r="Z20" s="14" t="str">
        <x:v>Beyond Paradise.docx</x:v>
      </x:c>
      <x:c r="AA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HYPERLINK("https://en.wikipedia.org/wiki/Beyond_Paradise","Open source")</x:f>
        <x:v>HYPERLINK is not implemented. linkLocation=https://en.wikipedia.org/wiki/Beyond_Paradise,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27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0.037037037037037035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tt21161156|nm6521386|danny</x:v>
      </x:c>
      <x:c r="B21" s="14" t="str">
        <x:v>01</x:v>
      </x:c>
      <x:c r="C21" s="14" t="str">
        <x:v>2023_IMDb_Cast_Lists_Batch_01(2).xlsx</x:v>
      </x:c>
      <x:c r="D21" s="14" t="str">
        <x:v>Beyond Paradise</x:v>
      </x:c>
      <x:c r="E21" s="14" t="n">
        <x:v>88</x:v>
      </x:c>
      <x:c r="F21" s="14" t="str">
        <x:v>Beyond Paradise</x:v>
      </x:c>
      <x:c r="G21" s="14" t="str">
        <x:v>tt21161156</x:v>
      </x:c>
      <x:c r="H21" s="14" t="n">
        <x:v>2023</x:v>
      </x:c>
      <x:c r="I21" s="14" t="n">
        <x:v>2023</x:v>
      </x:c>
      <x:c r="J21" s="14" t="str">
        <x:v>Future Carry-Forward Cohort</x:v>
      </x:c>
      <x:c r="K21" s="14"/>
      <x:c r="L21" s="14" t="str">
        <x:v>Not inherited</x:v>
      </x:c>
      <x:c r="M21" s="15" t="n">
        <x:v>81</x:v>
      </x:c>
      <x:c r="N21" s="14" t="str">
        <x:v>Joseph Ollman</x:v>
      </x:c>
      <x:c r="O21" s="14" t="str">
        <x:v>nm6521386</x:v>
      </x:c>
      <x:c r="P21" s="14" t="str">
        <x:v>Danny</x:v>
      </x:c>
      <x:c r="Q21" s="15" t="n">
        <x:v>1</x:v>
      </x:c>
      <x:c r="R21" s="14" t="str">
        <x:v>2025</x:v>
      </x:c>
      <x:c r="S21" s="14" t="n">
        <x:v>2025</x:v>
      </x:c>
      <x:c r="T21" s="14" t="n">
        <x:v>2025</x:v>
      </x:c>
      <x:c r="U21" s="14" t="str">
        <x:v>Explicit source first year retained</x:v>
      </x:c>
      <x:c r="V21" s="14" t="str">
        <x:v>Earliest supplied year is 2025.</x:v>
      </x:c>
      <x:c r="W21" s="14"/>
      <x:c r="X21" s="14" t="str">
        <x:v>Carried forward to 2025</x:v>
      </x:c>
      <x:c r="Y21" s="14"/>
      <x:c r="Z21" s="14" t="str">
        <x:v>Beyond Paradise.docx</x:v>
      </x:c>
      <x:c r="AA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HYPERLINK("https://en.wikipedia.org/wiki/Beyond_Paradise","Open source")</x:f>
        <x:v>HYPERLINK is not implemented. linkLocation=https://en.wikipedia.org/wiki/Beyond_Paradise,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27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0.037037037037037035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tt21161156|nm0318321|jane buswell</x:v>
      </x:c>
      <x:c r="B22" s="14" t="str">
        <x:v>01</x:v>
      </x:c>
      <x:c r="C22" s="14" t="str">
        <x:v>2023_IMDb_Cast_Lists_Batch_01(2).xlsx</x:v>
      </x:c>
      <x:c r="D22" s="14" t="str">
        <x:v>Beyond Paradise</x:v>
      </x:c>
      <x:c r="E22" s="14" t="n">
        <x:v>95</x:v>
      </x:c>
      <x:c r="F22" s="14" t="str">
        <x:v>Beyond Paradise</x:v>
      </x:c>
      <x:c r="G22" s="14" t="str">
        <x:v>tt21161156</x:v>
      </x:c>
      <x:c r="H22" s="14" t="n">
        <x:v>2023</x:v>
      </x:c>
      <x:c r="I22" s="14" t="n">
        <x:v>2023</x:v>
      </x:c>
      <x:c r="J22" s="14" t="str">
        <x:v>Future Carry-Forward Cohort</x:v>
      </x:c>
      <x:c r="K22" s="14"/>
      <x:c r="L22" s="14" t="str">
        <x:v>Not inherited</x:v>
      </x:c>
      <x:c r="M22" s="15" t="n">
        <x:v>88</x:v>
      </x:c>
      <x:c r="N22" s="14" t="str">
        <x:v>Alexandra Gilbreath</x:v>
      </x:c>
      <x:c r="O22" s="14" t="str">
        <x:v>nm0318321</x:v>
      </x:c>
      <x:c r="P22" s="14" t="str">
        <x:v>Jane Buswell</x:v>
      </x:c>
      <x:c r="Q22" s="15" t="n">
        <x:v>1</x:v>
      </x:c>
      <x:c r="R22" s="14" t="str">
        <x:v>2025</x:v>
      </x:c>
      <x:c r="S22" s="14" t="n">
        <x:v>2025</x:v>
      </x:c>
      <x:c r="T22" s="14" t="n">
        <x:v>2025</x:v>
      </x:c>
      <x:c r="U22" s="14" t="str">
        <x:v>Explicit source first year retained</x:v>
      </x:c>
      <x:c r="V22" s="14" t="str">
        <x:v>Earliest supplied year is 2025.</x:v>
      </x:c>
      <x:c r="W22" s="14"/>
      <x:c r="X22" s="14" t="str">
        <x:v>Carried forward to 2025</x:v>
      </x:c>
      <x:c r="Y22" s="14"/>
      <x:c r="Z22" s="14" t="str">
        <x:v>Beyond Paradise.docx</x:v>
      </x:c>
      <x:c r="AA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HYPERLINK("https://en.wikipedia.org/wiki/Beyond_Paradise","Open source")</x:f>
        <x:v>HYPERLINK is not implemented. linkLocation=https://en.wikipedia.org/wiki/Beyond_Paradise,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27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0.037037037037037035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tt21161156|nm0484202|terry finch</x:v>
      </x:c>
      <x:c r="B23" s="14" t="str">
        <x:v>01</x:v>
      </x:c>
      <x:c r="C23" s="14" t="str">
        <x:v>2023_IMDb_Cast_Lists_Batch_01(2).xlsx</x:v>
      </x:c>
      <x:c r="D23" s="14" t="str">
        <x:v>Beyond Paradise</x:v>
      </x:c>
      <x:c r="E23" s="14" t="n">
        <x:v>106</x:v>
      </x:c>
      <x:c r="F23" s="14" t="str">
        <x:v>Beyond Paradise</x:v>
      </x:c>
      <x:c r="G23" s="14" t="str">
        <x:v>tt21161156</x:v>
      </x:c>
      <x:c r="H23" s="14" t="n">
        <x:v>2023</x:v>
      </x:c>
      <x:c r="I23" s="14" t="n">
        <x:v>2023</x:v>
      </x:c>
      <x:c r="J23" s="14" t="str">
        <x:v>Future Carry-Forward Cohort</x:v>
      </x:c>
      <x:c r="K23" s="14"/>
      <x:c r="L23" s="14" t="str">
        <x:v>Not inherited</x:v>
      </x:c>
      <x:c r="M23" s="15" t="n">
        <x:v>99</x:v>
      </x:c>
      <x:c r="N23" s="14" t="str">
        <x:v>James Lance</x:v>
      </x:c>
      <x:c r="O23" s="14" t="str">
        <x:v>nm0484202</x:v>
      </x:c>
      <x:c r="P23" s="14" t="str">
        <x:v>Terry Finch</x:v>
      </x:c>
      <x:c r="Q23" s="15" t="n">
        <x:v>1</x:v>
      </x:c>
      <x:c r="R23" s="14" t="str">
        <x:v>2025</x:v>
      </x:c>
      <x:c r="S23" s="14" t="n">
        <x:v>2025</x:v>
      </x:c>
      <x:c r="T23" s="14" t="n">
        <x:v>2025</x:v>
      </x:c>
      <x:c r="U23" s="14" t="str">
        <x:v>Explicit source first year retained</x:v>
      </x:c>
      <x:c r="V23" s="14" t="str">
        <x:v>Earliest supplied year is 2025.</x:v>
      </x:c>
      <x:c r="W23" s="14"/>
      <x:c r="X23" s="14" t="str">
        <x:v>Carried forward to 2025</x:v>
      </x:c>
      <x:c r="Y23" s="14"/>
      <x:c r="Z23" s="14" t="str">
        <x:v>Beyond Paradise.docx</x:v>
      </x:c>
      <x:c r="AA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HYPERLINK("https://en.wikipedia.org/wiki/Beyond_Paradise","Open source")</x:f>
        <x:v>HYPERLINK is not implemented. linkLocation=https://en.wikipedia.org/wiki/Beyond_Paradise,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27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0.037037037037037035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tt21161156|nm8960320|michaela robson</x:v>
      </x:c>
      <x:c r="B24" s="14" t="str">
        <x:v>01</x:v>
      </x:c>
      <x:c r="C24" s="14" t="str">
        <x:v>2023_IMDb_Cast_Lists_Batch_01(2).xlsx</x:v>
      </x:c>
      <x:c r="D24" s="14" t="str">
        <x:v>Beyond Paradise</x:v>
      </x:c>
      <x:c r="E24" s="14" t="n">
        <x:v>107</x:v>
      </x:c>
      <x:c r="F24" s="14" t="str">
        <x:v>Beyond Paradise</x:v>
      </x:c>
      <x:c r="G24" s="14" t="str">
        <x:v>tt21161156</x:v>
      </x:c>
      <x:c r="H24" s="14" t="n">
        <x:v>2023</x:v>
      </x:c>
      <x:c r="I24" s="14" t="n">
        <x:v>2023</x:v>
      </x:c>
      <x:c r="J24" s="14" t="str">
        <x:v>Future Carry-Forward Cohort</x:v>
      </x:c>
      <x:c r="K24" s="14"/>
      <x:c r="L24" s="14" t="str">
        <x:v>Not inherited</x:v>
      </x:c>
      <x:c r="M24" s="15" t="n">
        <x:v>100</x:v>
      </x:c>
      <x:c r="N24" s="14" t="str">
        <x:v>Rebecca Lee</x:v>
      </x:c>
      <x:c r="O24" s="14" t="str">
        <x:v>nm8960320</x:v>
      </x:c>
      <x:c r="P24" s="14" t="str">
        <x:v>Michaela Robson</x:v>
      </x:c>
      <x:c r="Q24" s="15" t="n">
        <x:v>1</x:v>
      </x:c>
      <x:c r="R24" s="14" t="str">
        <x:v>2025</x:v>
      </x:c>
      <x:c r="S24" s="14" t="n">
        <x:v>2025</x:v>
      </x:c>
      <x:c r="T24" s="14" t="n">
        <x:v>2025</x:v>
      </x:c>
      <x:c r="U24" s="14" t="str">
        <x:v>Explicit source first year retained</x:v>
      </x:c>
      <x:c r="V24" s="14" t="str">
        <x:v>Earliest supplied year is 2025.</x:v>
      </x:c>
      <x:c r="W24" s="14"/>
      <x:c r="X24" s="14" t="str">
        <x:v>Carried forward to 2025</x:v>
      </x:c>
      <x:c r="Y24" s="14"/>
      <x:c r="Z24" s="14" t="str">
        <x:v>Beyond Paradise.docx</x:v>
      </x:c>
      <x:c r="AA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HYPERLINK("https://en.wikipedia.org/wiki/Beyond_Paradise","Open source")</x:f>
        <x:v>HYPERLINK is not implemented. linkLocation=https://en.wikipedia.org/wiki/Beyond_Paradise,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27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0.037037037037037035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tt21161156|nm0703225|lotty robson</x:v>
      </x:c>
      <x:c r="B25" s="14" t="str">
        <x:v>01</x:v>
      </x:c>
      <x:c r="C25" s="14" t="str">
        <x:v>2023_IMDb_Cast_Lists_Batch_01(2).xlsx</x:v>
      </x:c>
      <x:c r="D25" s="14" t="str">
        <x:v>Beyond Paradise</x:v>
      </x:c>
      <x:c r="E25" s="14" t="n">
        <x:v>119</x:v>
      </x:c>
      <x:c r="F25" s="14" t="str">
        <x:v>Beyond Paradise</x:v>
      </x:c>
      <x:c r="G25" s="14" t="str">
        <x:v>tt21161156</x:v>
      </x:c>
      <x:c r="H25" s="14" t="n">
        <x:v>2023</x:v>
      </x:c>
      <x:c r="I25" s="14" t="n">
        <x:v>2023</x:v>
      </x:c>
      <x:c r="J25" s="14" t="str">
        <x:v>Future Carry-Forward Cohort</x:v>
      </x:c>
      <x:c r="K25" s="14"/>
      <x:c r="L25" s="14" t="str">
        <x:v>Not inherited</x:v>
      </x:c>
      <x:c r="M25" s="15" t="n">
        <x:v>112</x:v>
      </x:c>
      <x:c r="N25" s="14" t="str">
        <x:v>Caroline Quentin</x:v>
      </x:c>
      <x:c r="O25" s="14" t="str">
        <x:v>nm0703225</x:v>
      </x:c>
      <x:c r="P25" s="14" t="str">
        <x:v>Lotty Robson</x:v>
      </x:c>
      <x:c r="Q25" s="15" t="n">
        <x:v>1</x:v>
      </x:c>
      <x:c r="R25" s="14" t="str">
        <x:v>2025</x:v>
      </x:c>
      <x:c r="S25" s="14" t="n">
        <x:v>2025</x:v>
      </x:c>
      <x:c r="T25" s="14" t="n">
        <x:v>2025</x:v>
      </x:c>
      <x:c r="U25" s="14" t="str">
        <x:v>Explicit source first year retained</x:v>
      </x:c>
      <x:c r="V25" s="14" t="str">
        <x:v>Earliest supplied year is 2025.</x:v>
      </x:c>
      <x:c r="W25" s="14"/>
      <x:c r="X25" s="14" t="str">
        <x:v>Carried forward to 2025</x:v>
      </x:c>
      <x:c r="Y25" s="14"/>
      <x:c r="Z25" s="14" t="str">
        <x:v>Beyond Paradise.docx</x:v>
      </x:c>
      <x:c r="AA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HYPERLINK("https://en.wikipedia.org/wiki/Beyond_Paradise","Open source")</x:f>
        <x:v>HYPERLINK is not implemented. linkLocation=https://en.wikipedia.org/wiki/Beyond_Paradise,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27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0.037037037037037035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tt21161156|nm2952645|robert martins</x:v>
      </x:c>
      <x:c r="B26" s="14" t="str">
        <x:v>01</x:v>
      </x:c>
      <x:c r="C26" s="14" t="str">
        <x:v>2023_IMDb_Cast_Lists_Batch_01(2).xlsx</x:v>
      </x:c>
      <x:c r="D26" s="14" t="str">
        <x:v>Beyond Paradise</x:v>
      </x:c>
      <x:c r="E26" s="14" t="n">
        <x:v>120</x:v>
      </x:c>
      <x:c r="F26" s="14" t="str">
        <x:v>Beyond Paradise</x:v>
      </x:c>
      <x:c r="G26" s="14" t="str">
        <x:v>tt21161156</x:v>
      </x:c>
      <x:c r="H26" s="14" t="n">
        <x:v>2023</x:v>
      </x:c>
      <x:c r="I26" s="14" t="n">
        <x:v>2023</x:v>
      </x:c>
      <x:c r="J26" s="14" t="str">
        <x:v>Future Carry-Forward Cohort</x:v>
      </x:c>
      <x:c r="K26" s="14"/>
      <x:c r="L26" s="14" t="str">
        <x:v>Not inherited</x:v>
      </x:c>
      <x:c r="M26" s="15" t="n">
        <x:v>113</x:v>
      </x:c>
      <x:c r="N26" s="14" t="str">
        <x:v>Jonny Weldon</x:v>
      </x:c>
      <x:c r="O26" s="14" t="str">
        <x:v>nm2952645</x:v>
      </x:c>
      <x:c r="P26" s="14" t="str">
        <x:v>Robert Martins</x:v>
      </x:c>
      <x:c r="Q26" s="15" t="n">
        <x:v>1</x:v>
      </x:c>
      <x:c r="R26" s="14" t="str">
        <x:v>2025</x:v>
      </x:c>
      <x:c r="S26" s="14" t="n">
        <x:v>2025</x:v>
      </x:c>
      <x:c r="T26" s="14" t="n">
        <x:v>2025</x:v>
      </x:c>
      <x:c r="U26" s="14" t="str">
        <x:v>Explicit source first year retained</x:v>
      </x:c>
      <x:c r="V26" s="14" t="str">
        <x:v>Earliest supplied year is 2025.</x:v>
      </x:c>
      <x:c r="W26" s="14"/>
      <x:c r="X26" s="14" t="str">
        <x:v>Carried forward to 2025</x:v>
      </x:c>
      <x:c r="Y26" s="14"/>
      <x:c r="Z26" s="14" t="str">
        <x:v>Beyond Paradise.docx</x:v>
      </x:c>
      <x:c r="AA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HYPERLINK("https://en.wikipedia.org/wiki/Beyond_Paradise","Open source")</x:f>
        <x:v>HYPERLINK is not implemented. linkLocation=https://en.wikipedia.org/wiki/Beyond_Paradise, friendlyName=Open source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27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0.037037037037037035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tt21161156|nm1361530|di jacob tremayne</x:v>
      </x:c>
      <x:c r="B27" s="14" t="str">
        <x:v>01</x:v>
      </x:c>
      <x:c r="C27" s="14" t="str">
        <x:v>2023_IMDb_Cast_Lists_Batch_01(2).xlsx</x:v>
      </x:c>
      <x:c r="D27" s="14" t="str">
        <x:v>Beyond Paradise</x:v>
      </x:c>
      <x:c r="E27" s="14" t="n">
        <x:v>121</x:v>
      </x:c>
      <x:c r="F27" s="14" t="str">
        <x:v>Beyond Paradise</x:v>
      </x:c>
      <x:c r="G27" s="14" t="str">
        <x:v>tt21161156</x:v>
      </x:c>
      <x:c r="H27" s="14" t="n">
        <x:v>2023</x:v>
      </x:c>
      <x:c r="I27" s="14" t="n">
        <x:v>2023</x:v>
      </x:c>
      <x:c r="J27" s="14" t="str">
        <x:v>Future Carry-Forward Cohort</x:v>
      </x:c>
      <x:c r="K27" s="14"/>
      <x:c r="L27" s="14" t="str">
        <x:v>Not inherited</x:v>
      </x:c>
      <x:c r="M27" s="15" t="n">
        <x:v>114</x:v>
      </x:c>
      <x:c r="N27" s="14" t="str">
        <x:v>Steve Oram</x:v>
      </x:c>
      <x:c r="O27" s="14" t="str">
        <x:v>nm1361530</x:v>
      </x:c>
      <x:c r="P27" s="14" t="str">
        <x:v>DI Jacob Tremayne</x:v>
      </x:c>
      <x:c r="Q27" s="15" t="n">
        <x:v>1</x:v>
      </x:c>
      <x:c r="R27" s="14" t="str">
        <x:v>2025</x:v>
      </x:c>
      <x:c r="S27" s="14" t="n">
        <x:v>2025</x:v>
      </x:c>
      <x:c r="T27" s="14" t="n">
        <x:v>2025</x:v>
      </x:c>
      <x:c r="U27" s="14" t="str">
        <x:v>Explicit source first year retained</x:v>
      </x:c>
      <x:c r="V27" s="14" t="str">
        <x:v>Earliest supplied year is 2025.</x:v>
      </x:c>
      <x:c r="W27" s="14"/>
      <x:c r="X27" s="14" t="str">
        <x:v>Carried forward to 2025</x:v>
      </x:c>
      <x:c r="Y27" s="14"/>
      <x:c r="Z27" s="14" t="str">
        <x:v>Beyond Paradise.docx</x:v>
      </x:c>
      <x:c r="AA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HYPERLINK("https://en.wikipedia.org/wiki/Beyond_Paradise","Open source")</x:f>
        <x:v>HYPERLINK is not implemented. linkLocation=https://en.wikipedia.org/wiki/Beyond_Paradise, friendlyName=Open source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27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0.037037037037037035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tt21161156|nm4000354|steve banley</x:v>
      </x:c>
      <x:c r="B28" s="14" t="str">
        <x:v>01</x:v>
      </x:c>
      <x:c r="C28" s="14" t="str">
        <x:v>2023_IMDb_Cast_Lists_Batch_01(2).xlsx</x:v>
      </x:c>
      <x:c r="D28" s="14" t="str">
        <x:v>Beyond Paradise</x:v>
      </x:c>
      <x:c r="E28" s="14" t="n">
        <x:v>122</x:v>
      </x:c>
      <x:c r="F28" s="14" t="str">
        <x:v>Beyond Paradise</x:v>
      </x:c>
      <x:c r="G28" s="14" t="str">
        <x:v>tt21161156</x:v>
      </x:c>
      <x:c r="H28" s="14" t="n">
        <x:v>2023</x:v>
      </x:c>
      <x:c r="I28" s="14" t="n">
        <x:v>2023</x:v>
      </x:c>
      <x:c r="J28" s="14" t="str">
        <x:v>Future Carry-Forward Cohort</x:v>
      </x:c>
      <x:c r="K28" s="14"/>
      <x:c r="L28" s="14" t="str">
        <x:v>Not inherited</x:v>
      </x:c>
      <x:c r="M28" s="15" t="n">
        <x:v>115</x:v>
      </x:c>
      <x:c r="N28" s="14" t="str">
        <x:v>Dean Nolan</x:v>
      </x:c>
      <x:c r="O28" s="14" t="str">
        <x:v>nm4000354</x:v>
      </x:c>
      <x:c r="P28" s="14" t="str">
        <x:v>Steve Banley</x:v>
      </x:c>
      <x:c r="Q28" s="15" t="n">
        <x:v>1</x:v>
      </x:c>
      <x:c r="R28" s="14" t="str">
        <x:v>2025</x:v>
      </x:c>
      <x:c r="S28" s="14" t="n">
        <x:v>2025</x:v>
      </x:c>
      <x:c r="T28" s="14" t="n">
        <x:v>2025</x:v>
      </x:c>
      <x:c r="U28" s="14" t="str">
        <x:v>Explicit source first year retained</x:v>
      </x:c>
      <x:c r="V28" s="14" t="str">
        <x:v>Earliest supplied year is 2025.</x:v>
      </x:c>
      <x:c r="W28" s="14"/>
      <x:c r="X28" s="14" t="str">
        <x:v>Carried forward to 2025</x:v>
      </x:c>
      <x:c r="Y28" s="14" t="str">
        <x:v>(as Dean Boodaghians-Nolan)</x:v>
      </x:c>
      <x:c r="Z28" s="14" t="str">
        <x:v>Beyond Paradise.docx</x:v>
      </x:c>
      <x:c r="AA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HYPERLINK("https://en.wikipedia.org/wiki/Beyond_Paradise","Open source")</x:f>
        <x:v>HYPERLINK is not implemented. linkLocation=https://en.wikipedia.org/wiki/Beyond_Paradise, friendlyName=Open source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27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0.037037037037037035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tt21161156|nm5326594|ds fenella foster</x:v>
      </x:c>
      <x:c r="B29" s="14" t="str">
        <x:v>01</x:v>
      </x:c>
      <x:c r="C29" s="14" t="str">
        <x:v>2023_IMDb_Cast_Lists_Batch_01(2).xlsx</x:v>
      </x:c>
      <x:c r="D29" s="14" t="str">
        <x:v>Beyond Paradise</x:v>
      </x:c>
      <x:c r="E29" s="14" t="n">
        <x:v>132</x:v>
      </x:c>
      <x:c r="F29" s="14" t="str">
        <x:v>Beyond Paradise</x:v>
      </x:c>
      <x:c r="G29" s="14" t="str">
        <x:v>tt21161156</x:v>
      </x:c>
      <x:c r="H29" s="14" t="n">
        <x:v>2023</x:v>
      </x:c>
      <x:c r="I29" s="14" t="n">
        <x:v>2023</x:v>
      </x:c>
      <x:c r="J29" s="14" t="str">
        <x:v>Future Carry-Forward Cohort</x:v>
      </x:c>
      <x:c r="K29" s="14"/>
      <x:c r="L29" s="14" t="str">
        <x:v>Not inherited</x:v>
      </x:c>
      <x:c r="M29" s="15" t="n">
        <x:v>125</x:v>
      </x:c>
      <x:c r="N29" s="14" t="str">
        <x:v>Gabby Best</x:v>
      </x:c>
      <x:c r="O29" s="14" t="str">
        <x:v>nm5326594</x:v>
      </x:c>
      <x:c r="P29" s="14" t="str">
        <x:v>DS Fenella Foster</x:v>
      </x:c>
      <x:c r="Q29" s="15" t="n">
        <x:v>1</x:v>
      </x:c>
      <x:c r="R29" s="14" t="str">
        <x:v>2025</x:v>
      </x:c>
      <x:c r="S29" s="14" t="n">
        <x:v>2025</x:v>
      </x:c>
      <x:c r="T29" s="14" t="n">
        <x:v>2025</x:v>
      </x:c>
      <x:c r="U29" s="14" t="str">
        <x:v>Explicit source first year retained</x:v>
      </x:c>
      <x:c r="V29" s="14" t="str">
        <x:v>Earliest supplied year is 2025.</x:v>
      </x:c>
      <x:c r="W29" s="14"/>
      <x:c r="X29" s="14" t="str">
        <x:v>Carried forward to 2025</x:v>
      </x:c>
      <x:c r="Y29" s="14"/>
      <x:c r="Z29" s="14" t="str">
        <x:v>Beyond Paradise.docx</x:v>
      </x:c>
      <x:c r="AA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HYPERLINK("https://en.wikipedia.org/wiki/Beyond_Paradise","Open source")</x:f>
        <x:v>HYPERLINK is not implemented. linkLocation=https://en.wikipedia.org/wiki/Beyond_Paradise, friendlyName=Open source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27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0.037037037037037035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tt21161156|nm9444175|francine dalton</x:v>
      </x:c>
      <x:c r="B30" s="14" t="str">
        <x:v>01</x:v>
      </x:c>
      <x:c r="C30" s="14" t="str">
        <x:v>2023_IMDb_Cast_Lists_Batch_01(2).xlsx</x:v>
      </x:c>
      <x:c r="D30" s="14" t="str">
        <x:v>Beyond Paradise</x:v>
      </x:c>
      <x:c r="E30" s="14" t="n">
        <x:v>133</x:v>
      </x:c>
      <x:c r="F30" s="14" t="str">
        <x:v>Beyond Paradise</x:v>
      </x:c>
      <x:c r="G30" s="14" t="str">
        <x:v>tt21161156</x:v>
      </x:c>
      <x:c r="H30" s="14" t="n">
        <x:v>2023</x:v>
      </x:c>
      <x:c r="I30" s="14" t="n">
        <x:v>2023</x:v>
      </x:c>
      <x:c r="J30" s="14" t="str">
        <x:v>Future Carry-Forward Cohort</x:v>
      </x:c>
      <x:c r="K30" s="14"/>
      <x:c r="L30" s="14" t="str">
        <x:v>Not inherited</x:v>
      </x:c>
      <x:c r="M30" s="15" t="n">
        <x:v>126</x:v>
      </x:c>
      <x:c r="N30" s="14" t="str">
        <x:v>Laura Euler-Rolle</x:v>
      </x:c>
      <x:c r="O30" s="14" t="str">
        <x:v>nm9444175</x:v>
      </x:c>
      <x:c r="P30" s="14" t="str">
        <x:v>Francine Dalton</x:v>
      </x:c>
      <x:c r="Q30" s="15" t="n">
        <x:v>1</x:v>
      </x:c>
      <x:c r="R30" s="14" t="str">
        <x:v>2025</x:v>
      </x:c>
      <x:c r="S30" s="14" t="n">
        <x:v>2025</x:v>
      </x:c>
      <x:c r="T30" s="14" t="n">
        <x:v>2025</x:v>
      </x:c>
      <x:c r="U30" s="14" t="str">
        <x:v>Explicit source first year retained</x:v>
      </x:c>
      <x:c r="V30" s="14" t="str">
        <x:v>Earliest supplied year is 2025.</x:v>
      </x:c>
      <x:c r="W30" s="14"/>
      <x:c r="X30" s="14" t="str">
        <x:v>Carried forward to 2025</x:v>
      </x:c>
      <x:c r="Y30" s="14"/>
      <x:c r="Z30" s="14" t="str">
        <x:v>Beyond Paradise.docx</x:v>
      </x:c>
      <x:c r="AA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HYPERLINK("https://en.wikipedia.org/wiki/Beyond_Paradise","Open source")</x:f>
        <x:v>HYPERLINK is not implemented. linkLocation=https://en.wikipedia.org/wiki/Beyond_Paradise, friendlyName=Open source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27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0.037037037037037035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tt21161156|nm0141324|nate dalton</x:v>
      </x:c>
      <x:c r="B31" s="14" t="str">
        <x:v>01</x:v>
      </x:c>
      <x:c r="C31" s="14" t="str">
        <x:v>2023_IMDb_Cast_Lists_Batch_01(2).xlsx</x:v>
      </x:c>
      <x:c r="D31" s="14" t="str">
        <x:v>Beyond Paradise</x:v>
      </x:c>
      <x:c r="E31" s="14" t="n">
        <x:v>141</x:v>
      </x:c>
      <x:c r="F31" s="14" t="str">
        <x:v>Beyond Paradise</x:v>
      </x:c>
      <x:c r="G31" s="14" t="str">
        <x:v>tt21161156</x:v>
      </x:c>
      <x:c r="H31" s="14" t="n">
        <x:v>2023</x:v>
      </x:c>
      <x:c r="I31" s="14" t="n">
        <x:v>2023</x:v>
      </x:c>
      <x:c r="J31" s="14" t="str">
        <x:v>Future Carry-Forward Cohort</x:v>
      </x:c>
      <x:c r="K31" s="14"/>
      <x:c r="L31" s="14" t="str">
        <x:v>Not inherited</x:v>
      </x:c>
      <x:c r="M31" s="15" t="n">
        <x:v>134</x:v>
      </x:c>
      <x:c r="N31" s="14" t="str">
        <x:v>Silas Carson</x:v>
      </x:c>
      <x:c r="O31" s="14" t="str">
        <x:v>nm0141324</x:v>
      </x:c>
      <x:c r="P31" s="14" t="str">
        <x:v>Nate Dalton</x:v>
      </x:c>
      <x:c r="Q31" s="15" t="n">
        <x:v>1</x:v>
      </x:c>
      <x:c r="R31" s="14" t="str">
        <x:v>2025</x:v>
      </x:c>
      <x:c r="S31" s="14" t="n">
        <x:v>2025</x:v>
      </x:c>
      <x:c r="T31" s="14" t="n">
        <x:v>2025</x:v>
      </x:c>
      <x:c r="U31" s="14" t="str">
        <x:v>Explicit source first year retained</x:v>
      </x:c>
      <x:c r="V31" s="14" t="str">
        <x:v>Earliest supplied year is 2025.</x:v>
      </x:c>
      <x:c r="W31" s="14"/>
      <x:c r="X31" s="14" t="str">
        <x:v>Carried forward to 2025</x:v>
      </x:c>
      <x:c r="Y31" s="14"/>
      <x:c r="Z31" s="14" t="str">
        <x:v>Beyond Paradise.docx</x:v>
      </x:c>
      <x:c r="AA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HYPERLINK("https://en.wikipedia.org/wiki/Beyond_Paradise","Open source")</x:f>
        <x:v>HYPERLINK is not implemented. linkLocation=https://en.wikipedia.org/wiki/Beyond_Paradise, friendlyName=Open source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27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0.037037037037037035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tt21161156|nm4649621|seb branagh</x:v>
      </x:c>
      <x:c r="B32" s="14" t="str">
        <x:v>01</x:v>
      </x:c>
      <x:c r="C32" s="14" t="str">
        <x:v>2023_IMDb_Cast_Lists_Batch_01(2).xlsx</x:v>
      </x:c>
      <x:c r="D32" s="14" t="str">
        <x:v>Beyond Paradise</x:v>
      </x:c>
      <x:c r="E32" s="14" t="n">
        <x:v>142</x:v>
      </x:c>
      <x:c r="F32" s="14" t="str">
        <x:v>Beyond Paradise</x:v>
      </x:c>
      <x:c r="G32" s="14" t="str">
        <x:v>tt21161156</x:v>
      </x:c>
      <x:c r="H32" s="14" t="n">
        <x:v>2023</x:v>
      </x:c>
      <x:c r="I32" s="14" t="n">
        <x:v>2023</x:v>
      </x:c>
      <x:c r="J32" s="14" t="str">
        <x:v>Future Carry-Forward Cohort</x:v>
      </x:c>
      <x:c r="K32" s="14"/>
      <x:c r="L32" s="14" t="str">
        <x:v>Not inherited</x:v>
      </x:c>
      <x:c r="M32" s="15" t="n">
        <x:v>135</x:v>
      </x:c>
      <x:c r="N32" s="14" t="str">
        <x:v>Phil Wang</x:v>
      </x:c>
      <x:c r="O32" s="14" t="str">
        <x:v>nm4649621</x:v>
      </x:c>
      <x:c r="P32" s="14" t="str">
        <x:v>Seb Branagh</x:v>
      </x:c>
      <x:c r="Q32" s="15" t="n">
        <x:v>1</x:v>
      </x:c>
      <x:c r="R32" s="14" t="str">
        <x:v>2025</x:v>
      </x:c>
      <x:c r="S32" s="14" t="n">
        <x:v>2025</x:v>
      </x:c>
      <x:c r="T32" s="14" t="n">
        <x:v>2025</x:v>
      </x:c>
      <x:c r="U32" s="14" t="str">
        <x:v>Explicit source first year retained</x:v>
      </x:c>
      <x:c r="V32" s="14" t="str">
        <x:v>Earliest supplied year is 2025.</x:v>
      </x:c>
      <x:c r="W32" s="14"/>
      <x:c r="X32" s="14" t="str">
        <x:v>Carried forward to 2025</x:v>
      </x:c>
      <x:c r="Y32" s="14"/>
      <x:c r="Z32" s="14" t="str">
        <x:v>Beyond Paradise.docx</x:v>
      </x:c>
      <x:c r="AA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HYPERLINK("https://en.wikipedia.org/wiki/Beyond_Paradise","Open source")</x:f>
        <x:v>HYPERLINK is not implemented. linkLocation=https://en.wikipedia.org/wiki/Beyond_Paradise, friendlyName=Open source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27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0.037037037037037035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tt21161156|nm0375961|rhys tomlinson</x:v>
      </x:c>
      <x:c r="B33" s="14" t="str">
        <x:v>01</x:v>
      </x:c>
      <x:c r="C33" s="14" t="str">
        <x:v>2023_IMDb_Cast_Lists_Batch_01(2).xlsx</x:v>
      </x:c>
      <x:c r="D33" s="14" t="str">
        <x:v>Beyond Paradise</x:v>
      </x:c>
      <x:c r="E33" s="14" t="n">
        <x:v>143</x:v>
      </x:c>
      <x:c r="F33" s="14" t="str">
        <x:v>Beyond Paradise</x:v>
      </x:c>
      <x:c r="G33" s="14" t="str">
        <x:v>tt21161156</x:v>
      </x:c>
      <x:c r="H33" s="14" t="n">
        <x:v>2023</x:v>
      </x:c>
      <x:c r="I33" s="14" t="n">
        <x:v>2023</x:v>
      </x:c>
      <x:c r="J33" s="14" t="str">
        <x:v>Future Carry-Forward Cohort</x:v>
      </x:c>
      <x:c r="K33" s="14"/>
      <x:c r="L33" s="14" t="str">
        <x:v>Not inherited</x:v>
      </x:c>
      <x:c r="M33" s="15" t="n">
        <x:v>136</x:v>
      </x:c>
      <x:c r="N33" s="14" t="str">
        <x:v>Oliver Hembrough</x:v>
      </x:c>
      <x:c r="O33" s="14" t="str">
        <x:v>nm0375961</x:v>
      </x:c>
      <x:c r="P33" s="14" t="str">
        <x:v>Rhys Tomlinson</x:v>
      </x:c>
      <x:c r="Q33" s="15" t="n">
        <x:v>1</x:v>
      </x:c>
      <x:c r="R33" s="14" t="str">
        <x:v>2025</x:v>
      </x:c>
      <x:c r="S33" s="14" t="n">
        <x:v>2025</x:v>
      </x:c>
      <x:c r="T33" s="14" t="n">
        <x:v>2025</x:v>
      </x:c>
      <x:c r="U33" s="14" t="str">
        <x:v>Explicit source first year retained</x:v>
      </x:c>
      <x:c r="V33" s="14" t="str">
        <x:v>Earliest supplied year is 2025.</x:v>
      </x:c>
      <x:c r="W33" s="14"/>
      <x:c r="X33" s="14" t="str">
        <x:v>Carried forward to 2025</x:v>
      </x:c>
      <x:c r="Y33" s="14"/>
      <x:c r="Z33" s="14" t="str">
        <x:v>Beyond Paradise.docx</x:v>
      </x:c>
      <x:c r="AA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HYPERLINK("https://en.wikipedia.org/wiki/Beyond_Paradise","Open source")</x:f>
        <x:v>HYPERLINK is not implemented. linkLocation=https://en.wikipedia.org/wiki/Beyond_Paradise,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27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1</x:v>
      </x:c>
      <x:c r="BS33" s="16" t="n">
        <x:v>0.037037037037037035</x:v>
      </x:c>
      <x:c r="BT33" s="14" t="str">
        <x:v>One episode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tt21161156|nm8824058|mark weston</x:v>
      </x:c>
      <x:c r="B34" s="14" t="str">
        <x:v>01</x:v>
      </x:c>
      <x:c r="C34" s="14" t="str">
        <x:v>2023_IMDb_Cast_Lists_Batch_01(2).xlsx</x:v>
      </x:c>
      <x:c r="D34" s="14" t="str">
        <x:v>Beyond Paradise</x:v>
      </x:c>
      <x:c r="E34" s="14" t="n">
        <x:v>153</x:v>
      </x:c>
      <x:c r="F34" s="14" t="str">
        <x:v>Beyond Paradise</x:v>
      </x:c>
      <x:c r="G34" s="14" t="str">
        <x:v>tt21161156</x:v>
      </x:c>
      <x:c r="H34" s="14" t="n">
        <x:v>2023</x:v>
      </x:c>
      <x:c r="I34" s="14" t="n">
        <x:v>2023</x:v>
      </x:c>
      <x:c r="J34" s="14" t="str">
        <x:v>Future Carry-Forward Cohort</x:v>
      </x:c>
      <x:c r="K34" s="14"/>
      <x:c r="L34" s="14" t="str">
        <x:v>Not inherited</x:v>
      </x:c>
      <x:c r="M34" s="15" t="n">
        <x:v>146</x:v>
      </x:c>
      <x:c r="N34" s="14" t="str">
        <x:v>Kem Hassan</x:v>
      </x:c>
      <x:c r="O34" s="14" t="str">
        <x:v>nm8824058</x:v>
      </x:c>
      <x:c r="P34" s="14" t="str">
        <x:v>Mark Weston</x:v>
      </x:c>
      <x:c r="Q34" s="15" t="n">
        <x:v>1</x:v>
      </x:c>
      <x:c r="R34" s="14" t="str">
        <x:v>2025</x:v>
      </x:c>
      <x:c r="S34" s="14" t="n">
        <x:v>2025</x:v>
      </x:c>
      <x:c r="T34" s="14" t="n">
        <x:v>2025</x:v>
      </x:c>
      <x:c r="U34" s="14" t="str">
        <x:v>Explicit source first year retained</x:v>
      </x:c>
      <x:c r="V34" s="14" t="str">
        <x:v>Earliest supplied year is 2025.</x:v>
      </x:c>
      <x:c r="W34" s="14"/>
      <x:c r="X34" s="14" t="str">
        <x:v>Carried forward to 2025</x:v>
      </x:c>
      <x:c r="Y34" s="14"/>
      <x:c r="Z34" s="14" t="str">
        <x:v>Beyond Paradise.docx</x:v>
      </x:c>
      <x:c r="AA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HYPERLINK("https://en.wikipedia.org/wiki/Beyond_Paradise","Open source")</x:f>
        <x:v>HYPERLINK is not implemented. linkLocation=https://en.wikipedia.org/wiki/Beyond_Paradise,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27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1</x:v>
      </x:c>
      <x:c r="BS34" s="16" t="n">
        <x:v>0.037037037037037035</x:v>
      </x:c>
      <x:c r="BT34" s="14" t="str">
        <x:v>One episode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tt21161156|nm0564133|trent morgan</x:v>
      </x:c>
      <x:c r="B35" s="14" t="str">
        <x:v>01</x:v>
      </x:c>
      <x:c r="C35" s="14" t="str">
        <x:v>2023_IMDb_Cast_Lists_Batch_01(2).xlsx</x:v>
      </x:c>
      <x:c r="D35" s="14" t="str">
        <x:v>Beyond Paradise</x:v>
      </x:c>
      <x:c r="E35" s="14" t="n">
        <x:v>154</x:v>
      </x:c>
      <x:c r="F35" s="14" t="str">
        <x:v>Beyond Paradise</x:v>
      </x:c>
      <x:c r="G35" s="14" t="str">
        <x:v>tt21161156</x:v>
      </x:c>
      <x:c r="H35" s="14" t="n">
        <x:v>2023</x:v>
      </x:c>
      <x:c r="I35" s="14" t="n">
        <x:v>2023</x:v>
      </x:c>
      <x:c r="J35" s="14" t="str">
        <x:v>Future Carry-Forward Cohort</x:v>
      </x:c>
      <x:c r="K35" s="14"/>
      <x:c r="L35" s="14" t="str">
        <x:v>Not inherited</x:v>
      </x:c>
      <x:c r="M35" s="15" t="n">
        <x:v>147</x:v>
      </x:c>
      <x:c r="N35" s="14" t="str">
        <x:v>Murray McArthur</x:v>
      </x:c>
      <x:c r="O35" s="14" t="str">
        <x:v>nm0564133</x:v>
      </x:c>
      <x:c r="P35" s="14" t="str">
        <x:v>Trent Morgan</x:v>
      </x:c>
      <x:c r="Q35" s="15" t="n">
        <x:v>1</x:v>
      </x:c>
      <x:c r="R35" s="14" t="str">
        <x:v>2025</x:v>
      </x:c>
      <x:c r="S35" s="14" t="n">
        <x:v>2025</x:v>
      </x:c>
      <x:c r="T35" s="14" t="n">
        <x:v>2025</x:v>
      </x:c>
      <x:c r="U35" s="14" t="str">
        <x:v>Explicit source first year retained</x:v>
      </x:c>
      <x:c r="V35" s="14" t="str">
        <x:v>Earliest supplied year is 2025.</x:v>
      </x:c>
      <x:c r="W35" s="14"/>
      <x:c r="X35" s="14" t="str">
        <x:v>Carried forward to 2025</x:v>
      </x:c>
      <x:c r="Y35" s="14"/>
      <x:c r="Z35" s="14" t="str">
        <x:v>Beyond Paradise.docx</x:v>
      </x:c>
      <x:c r="AA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HYPERLINK("https://en.wikipedia.org/wiki/Beyond_Paradise","Open source")</x:f>
        <x:v>HYPERLINK is not implemented. linkLocation=https://en.wikipedia.org/wiki/Beyond_Paradise,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27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0.037037037037037035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tt21161156|nm12650950|polly digsby</x:v>
      </x:c>
      <x:c r="B36" s="14" t="str">
        <x:v>01</x:v>
      </x:c>
      <x:c r="C36" s="14" t="str">
        <x:v>2023_IMDb_Cast_Lists_Batch_01(2).xlsx</x:v>
      </x:c>
      <x:c r="D36" s="14" t="str">
        <x:v>Beyond Paradise</x:v>
      </x:c>
      <x:c r="E36" s="14" t="n">
        <x:v>155</x:v>
      </x:c>
      <x:c r="F36" s="14" t="str">
        <x:v>Beyond Paradise</x:v>
      </x:c>
      <x:c r="G36" s="14" t="str">
        <x:v>tt21161156</x:v>
      </x:c>
      <x:c r="H36" s="14" t="n">
        <x:v>2023</x:v>
      </x:c>
      <x:c r="I36" s="14" t="n">
        <x:v>2023</x:v>
      </x:c>
      <x:c r="J36" s="14" t="str">
        <x:v>Future Carry-Forward Cohort</x:v>
      </x:c>
      <x:c r="K36" s="14"/>
      <x:c r="L36" s="14" t="str">
        <x:v>Not inherited</x:v>
      </x:c>
      <x:c r="M36" s="15" t="n">
        <x:v>148</x:v>
      </x:c>
      <x:c r="N36" s="14" t="str">
        <x:v>Madeleine Day</x:v>
      </x:c>
      <x:c r="O36" s="14" t="str">
        <x:v>nm12650950</x:v>
      </x:c>
      <x:c r="P36" s="14" t="str">
        <x:v>Polly Digsby</x:v>
      </x:c>
      <x:c r="Q36" s="15" t="n">
        <x:v>1</x:v>
      </x:c>
      <x:c r="R36" s="14" t="str">
        <x:v>2025</x:v>
      </x:c>
      <x:c r="S36" s="14" t="n">
        <x:v>2025</x:v>
      </x:c>
      <x:c r="T36" s="14" t="n">
        <x:v>2025</x:v>
      </x:c>
      <x:c r="U36" s="14" t="str">
        <x:v>Explicit source first year retained</x:v>
      </x:c>
      <x:c r="V36" s="14" t="str">
        <x:v>Earliest supplied year is 2025.</x:v>
      </x:c>
      <x:c r="W36" s="14"/>
      <x:c r="X36" s="14" t="str">
        <x:v>Carried forward to 2025</x:v>
      </x:c>
      <x:c r="Y36" s="14"/>
      <x:c r="Z36" s="14" t="str">
        <x:v>Beyond Paradise.docx</x:v>
      </x:c>
      <x:c r="AA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HYPERLINK("https://en.wikipedia.org/wiki/Beyond_Paradise","Open source")</x:f>
        <x:v>HYPERLINK is not implemented. linkLocation=https://en.wikipedia.org/wiki/Beyond_Paradise,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27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0.037037037037037035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tt21161156|nm0822697|annie</x:v>
      </x:c>
      <x:c r="B37" s="14" t="str">
        <x:v>01</x:v>
      </x:c>
      <x:c r="C37" s="14" t="str">
        <x:v>2023_IMDb_Cast_Lists_Batch_01(2).xlsx</x:v>
      </x:c>
      <x:c r="D37" s="14" t="str">
        <x:v>Beyond Paradise</x:v>
      </x:c>
      <x:c r="E37" s="14" t="n">
        <x:v>164</x:v>
      </x:c>
      <x:c r="F37" s="14" t="str">
        <x:v>Beyond Paradise</x:v>
      </x:c>
      <x:c r="G37" s="14" t="str">
        <x:v>tt21161156</x:v>
      </x:c>
      <x:c r="H37" s="14" t="n">
        <x:v>2023</x:v>
      </x:c>
      <x:c r="I37" s="14" t="n">
        <x:v>2023</x:v>
      </x:c>
      <x:c r="J37" s="14" t="str">
        <x:v>Future Carry-Forward Cohort</x:v>
      </x:c>
      <x:c r="K37" s="14"/>
      <x:c r="L37" s="14" t="str">
        <x:v>Not inherited</x:v>
      </x:c>
      <x:c r="M37" s="15" t="n">
        <x:v>157</x:v>
      </x:c>
      <x:c r="N37" s="14" t="str">
        <x:v>Emma Stansfield</x:v>
      </x:c>
      <x:c r="O37" s="14" t="str">
        <x:v>nm0822697</x:v>
      </x:c>
      <x:c r="P37" s="14" t="str">
        <x:v>Annie</x:v>
      </x:c>
      <x:c r="Q37" s="15" t="n">
        <x:v>1</x:v>
      </x:c>
      <x:c r="R37" s="14" t="str">
        <x:v>2025</x:v>
      </x:c>
      <x:c r="S37" s="14" t="n">
        <x:v>2025</x:v>
      </x:c>
      <x:c r="T37" s="14" t="n">
        <x:v>2025</x:v>
      </x:c>
      <x:c r="U37" s="14" t="str">
        <x:v>Explicit source first year retained</x:v>
      </x:c>
      <x:c r="V37" s="14" t="str">
        <x:v>Earliest supplied year is 2025.</x:v>
      </x:c>
      <x:c r="W37" s="14"/>
      <x:c r="X37" s="14" t="str">
        <x:v>Carried forward to 2025</x:v>
      </x:c>
      <x:c r="Y37" s="14"/>
      <x:c r="Z37" s="14" t="str">
        <x:v>Beyond Paradise.docx</x:v>
      </x:c>
      <x:c r="AA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HYPERLINK("https://en.wikipedia.org/wiki/Beyond_Paradise","Open source")</x:f>
        <x:v>HYPERLINK is not implemented. linkLocation=https://en.wikipedia.org/wiki/Beyond_Paradise,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27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0.037037037037037035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tt21161156|nm14673261|abigail marsh</x:v>
      </x:c>
      <x:c r="B38" s="14" t="str">
        <x:v>01</x:v>
      </x:c>
      <x:c r="C38" s="14" t="str">
        <x:v>2023_IMDb_Cast_Lists_Batch_01(2).xlsx</x:v>
      </x:c>
      <x:c r="D38" s="14" t="str">
        <x:v>Beyond Paradise</x:v>
      </x:c>
      <x:c r="E38" s="14" t="n">
        <x:v>165</x:v>
      </x:c>
      <x:c r="F38" s="14" t="str">
        <x:v>Beyond Paradise</x:v>
      </x:c>
      <x:c r="G38" s="14" t="str">
        <x:v>tt21161156</x:v>
      </x:c>
      <x:c r="H38" s="14" t="n">
        <x:v>2023</x:v>
      </x:c>
      <x:c r="I38" s="14" t="n">
        <x:v>2023</x:v>
      </x:c>
      <x:c r="J38" s="14" t="str">
        <x:v>Future Carry-Forward Cohort</x:v>
      </x:c>
      <x:c r="K38" s="14"/>
      <x:c r="L38" s="14" t="str">
        <x:v>Not inherited</x:v>
      </x:c>
      <x:c r="M38" s="15" t="n">
        <x:v>158</x:v>
      </x:c>
      <x:c r="N38" s="14" t="str">
        <x:v>Hannah Howland</x:v>
      </x:c>
      <x:c r="O38" s="14" t="str">
        <x:v>nm14673261</x:v>
      </x:c>
      <x:c r="P38" s="14" t="str">
        <x:v>Abigail Marsh</x:v>
      </x:c>
      <x:c r="Q38" s="15" t="n">
        <x:v>1</x:v>
      </x:c>
      <x:c r="R38" s="14" t="str">
        <x:v>2025</x:v>
      </x:c>
      <x:c r="S38" s="14" t="n">
        <x:v>2025</x:v>
      </x:c>
      <x:c r="T38" s="14" t="n">
        <x:v>2025</x:v>
      </x:c>
      <x:c r="U38" s="14" t="str">
        <x:v>Explicit source first year retained</x:v>
      </x:c>
      <x:c r="V38" s="14" t="str">
        <x:v>Earliest supplied year is 2025.</x:v>
      </x:c>
      <x:c r="W38" s="14"/>
      <x:c r="X38" s="14" t="str">
        <x:v>Carried forward to 2025</x:v>
      </x:c>
      <x:c r="Y38" s="14"/>
      <x:c r="Z38" s="14" t="str">
        <x:v>Beyond Paradise.docx</x:v>
      </x:c>
      <x:c r="AA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HYPERLINK("https://en.wikipedia.org/wiki/Beyond_Paradise","Open source")</x:f>
        <x:v>HYPERLINK is not implemented. linkLocation=https://en.wikipedia.org/wiki/Beyond_Paradise,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27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0.037037037037037035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tt21161156|nm17267285|cathy morgan</x:v>
      </x:c>
      <x:c r="B39" s="14" t="str">
        <x:v>01</x:v>
      </x:c>
      <x:c r="C39" s="14" t="str">
        <x:v>2023_IMDb_Cast_Lists_Batch_01(2).xlsx</x:v>
      </x:c>
      <x:c r="D39" s="14" t="str">
        <x:v>Beyond Paradise</x:v>
      </x:c>
      <x:c r="E39" s="14" t="n">
        <x:v>166</x:v>
      </x:c>
      <x:c r="F39" s="14" t="str">
        <x:v>Beyond Paradise</x:v>
      </x:c>
      <x:c r="G39" s="14" t="str">
        <x:v>tt21161156</x:v>
      </x:c>
      <x:c r="H39" s="14" t="n">
        <x:v>2023</x:v>
      </x:c>
      <x:c r="I39" s="14" t="n">
        <x:v>2023</x:v>
      </x:c>
      <x:c r="J39" s="14" t="str">
        <x:v>Future Carry-Forward Cohort</x:v>
      </x:c>
      <x:c r="K39" s="14"/>
      <x:c r="L39" s="14" t="str">
        <x:v>Not inherited</x:v>
      </x:c>
      <x:c r="M39" s="15" t="n">
        <x:v>159</x:v>
      </x:c>
      <x:c r="N39" s="14" t="str">
        <x:v>Sarah Bennett-Green</x:v>
      </x:c>
      <x:c r="O39" s="14" t="str">
        <x:v>nm17267285</x:v>
      </x:c>
      <x:c r="P39" s="14" t="str">
        <x:v>Cathy Morgan</x:v>
      </x:c>
      <x:c r="Q39" s="15" t="n">
        <x:v>1</x:v>
      </x:c>
      <x:c r="R39" s="14" t="str">
        <x:v>2025</x:v>
      </x:c>
      <x:c r="S39" s="14" t="n">
        <x:v>2025</x:v>
      </x:c>
      <x:c r="T39" s="14" t="n">
        <x:v>2025</x:v>
      </x:c>
      <x:c r="U39" s="14" t="str">
        <x:v>Explicit source first year retained</x:v>
      </x:c>
      <x:c r="V39" s="14" t="str">
        <x:v>Earliest supplied year is 2025.</x:v>
      </x:c>
      <x:c r="W39" s="14"/>
      <x:c r="X39" s="14" t="str">
        <x:v>Carried forward to 2025</x:v>
      </x:c>
      <x:c r="Y39" s="14"/>
      <x:c r="Z39" s="14" t="str">
        <x:v>Beyond Paradise.docx</x:v>
      </x:c>
      <x:c r="AA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HYPERLINK("https://en.wikipedia.org/wiki/Beyond_Paradise","Open source")</x:f>
        <x:v>HYPERLINK is not implemented. linkLocation=https://en.wikipedia.org/wiki/Beyond_Paradise,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27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0.037037037037037035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tt21161156|nm2908489|tv interviewer</x:v>
      </x:c>
      <x:c r="B40" s="14" t="str">
        <x:v>01</x:v>
      </x:c>
      <x:c r="C40" s="14" t="str">
        <x:v>2023_IMDb_Cast_Lists_Batch_01(2).xlsx</x:v>
      </x:c>
      <x:c r="D40" s="14" t="str">
        <x:v>Beyond Paradise</x:v>
      </x:c>
      <x:c r="E40" s="14" t="n">
        <x:v>167</x:v>
      </x:c>
      <x:c r="F40" s="14" t="str">
        <x:v>Beyond Paradise</x:v>
      </x:c>
      <x:c r="G40" s="14" t="str">
        <x:v>tt21161156</x:v>
      </x:c>
      <x:c r="H40" s="14" t="n">
        <x:v>2023</x:v>
      </x:c>
      <x:c r="I40" s="14" t="n">
        <x:v>2023</x:v>
      </x:c>
      <x:c r="J40" s="14" t="str">
        <x:v>Future Carry-Forward Cohort</x:v>
      </x:c>
      <x:c r="K40" s="14"/>
      <x:c r="L40" s="14" t="str">
        <x:v>Not inherited</x:v>
      </x:c>
      <x:c r="M40" s="15" t="n">
        <x:v>160</x:v>
      </x:c>
      <x:c r="N40" s="14" t="str">
        <x:v>Sarah Bowden</x:v>
      </x:c>
      <x:c r="O40" s="14" t="str">
        <x:v>nm2908489</x:v>
      </x:c>
      <x:c r="P40" s="14" t="str">
        <x:v>TV Interviewer</x:v>
      </x:c>
      <x:c r="Q40" s="15" t="n">
        <x:v>1</x:v>
      </x:c>
      <x:c r="R40" s="14" t="str">
        <x:v>2025</x:v>
      </x:c>
      <x:c r="S40" s="14" t="n">
        <x:v>2025</x:v>
      </x:c>
      <x:c r="T40" s="14" t="n">
        <x:v>2025</x:v>
      </x:c>
      <x:c r="U40" s="14" t="str">
        <x:v>Explicit source first year retained</x:v>
      </x:c>
      <x:c r="V40" s="14" t="str">
        <x:v>Earliest supplied year is 2025.</x:v>
      </x:c>
      <x:c r="W40" s="14"/>
      <x:c r="X40" s="14" t="str">
        <x:v>Carried forward to 2025</x:v>
      </x:c>
      <x:c r="Y40" s="14"/>
      <x:c r="Z40" s="14" t="str">
        <x:v>Beyond Paradise.docx</x:v>
      </x:c>
      <x:c r="AA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HYPERLINK("https://en.wikipedia.org/wiki/Beyond_Paradise","Open source")</x:f>
        <x:v>HYPERLINK is not implemented. linkLocation=https://en.wikipedia.org/wiki/Beyond_Paradise,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27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0.037037037037037035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tt21161156|nm0444744|louise branagh</x:v>
      </x:c>
      <x:c r="B41" s="14" t="str">
        <x:v>01</x:v>
      </x:c>
      <x:c r="C41" s="14" t="str">
        <x:v>2023_IMDb_Cast_Lists_Batch_01(2).xlsx</x:v>
      </x:c>
      <x:c r="D41" s="14" t="str">
        <x:v>Beyond Paradise</x:v>
      </x:c>
      <x:c r="E41" s="14" t="n">
        <x:v>174</x:v>
      </x:c>
      <x:c r="F41" s="14" t="str">
        <x:v>Beyond Paradise</x:v>
      </x:c>
      <x:c r="G41" s="14" t="str">
        <x:v>tt21161156</x:v>
      </x:c>
      <x:c r="H41" s="14" t="n">
        <x:v>2023</x:v>
      </x:c>
      <x:c r="I41" s="14" t="n">
        <x:v>2023</x:v>
      </x:c>
      <x:c r="J41" s="14" t="str">
        <x:v>Future Carry-Forward Cohort</x:v>
      </x:c>
      <x:c r="K41" s="14"/>
      <x:c r="L41" s="14" t="str">
        <x:v>Not inherited</x:v>
      </x:c>
      <x:c r="M41" s="15" t="n">
        <x:v>167</x:v>
      </x:c>
      <x:c r="N41" s="14" t="str">
        <x:v>Vivien Keene</x:v>
      </x:c>
      <x:c r="O41" s="14" t="str">
        <x:v>nm0444744</x:v>
      </x:c>
      <x:c r="P41" s="14" t="str">
        <x:v>Louise Branagh</x:v>
      </x:c>
      <x:c r="Q41" s="15" t="n">
        <x:v>1</x:v>
      </x:c>
      <x:c r="R41" s="14" t="str">
        <x:v>2025</x:v>
      </x:c>
      <x:c r="S41" s="14" t="n">
        <x:v>2025</x:v>
      </x:c>
      <x:c r="T41" s="14" t="n">
        <x:v>2025</x:v>
      </x:c>
      <x:c r="U41" s="14" t="str">
        <x:v>Explicit source first year retained</x:v>
      </x:c>
      <x:c r="V41" s="14" t="str">
        <x:v>Earliest supplied year is 2025.</x:v>
      </x:c>
      <x:c r="W41" s="14"/>
      <x:c r="X41" s="14" t="str">
        <x:v>Carried forward to 2025</x:v>
      </x:c>
      <x:c r="Y41" s="14"/>
      <x:c r="Z41" s="14" t="str">
        <x:v>Beyond Paradise.docx</x:v>
      </x:c>
      <x:c r="AA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HYPERLINK("https://en.wikipedia.org/wiki/Beyond_Paradise","Open source")</x:f>
        <x:v>HYPERLINK is not implemented. linkLocation=https://en.wikipedia.org/wiki/Beyond_Paradise,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27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0.037037037037037035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tt21161156|nm6620591|skydive instructor</x:v>
      </x:c>
      <x:c r="B42" s="14" t="str">
        <x:v>01</x:v>
      </x:c>
      <x:c r="C42" s="14" t="str">
        <x:v>2023_IMDb_Cast_Lists_Batch_01(2).xlsx</x:v>
      </x:c>
      <x:c r="D42" s="14" t="str">
        <x:v>Beyond Paradise</x:v>
      </x:c>
      <x:c r="E42" s="14" t="n">
        <x:v>175</x:v>
      </x:c>
      <x:c r="F42" s="14" t="str">
        <x:v>Beyond Paradise</x:v>
      </x:c>
      <x:c r="G42" s="14" t="str">
        <x:v>tt21161156</x:v>
      </x:c>
      <x:c r="H42" s="14" t="n">
        <x:v>2023</x:v>
      </x:c>
      <x:c r="I42" s="14" t="n">
        <x:v>2023</x:v>
      </x:c>
      <x:c r="J42" s="14" t="str">
        <x:v>Future Carry-Forward Cohort</x:v>
      </x:c>
      <x:c r="K42" s="14"/>
      <x:c r="L42" s="14" t="str">
        <x:v>Not inherited</x:v>
      </x:c>
      <x:c r="M42" s="15" t="n">
        <x:v>168</x:v>
      </x:c>
      <x:c r="N42" s="14" t="str">
        <x:v>Ankur Sengupta</x:v>
      </x:c>
      <x:c r="O42" s="14" t="str">
        <x:v>nm6620591</x:v>
      </x:c>
      <x:c r="P42" s="14" t="str">
        <x:v>Skydive Instructor</x:v>
      </x:c>
      <x:c r="Q42" s="15" t="n">
        <x:v>1</x:v>
      </x:c>
      <x:c r="R42" s="14" t="str">
        <x:v>2025</x:v>
      </x:c>
      <x:c r="S42" s="14" t="n">
        <x:v>2025</x:v>
      </x:c>
      <x:c r="T42" s="14" t="n">
        <x:v>2025</x:v>
      </x:c>
      <x:c r="U42" s="14" t="str">
        <x:v>Explicit source first year retained</x:v>
      </x:c>
      <x:c r="V42" s="14" t="str">
        <x:v>Earliest supplied year is 2025.</x:v>
      </x:c>
      <x:c r="W42" s="14"/>
      <x:c r="X42" s="14" t="str">
        <x:v>Carried forward to 2025</x:v>
      </x:c>
      <x:c r="Y42" s="14"/>
      <x:c r="Z42" s="14" t="str">
        <x:v>Beyond Paradise.docx</x:v>
      </x:c>
      <x:c r="AA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HYPERLINK("https://en.wikipedia.org/wiki/Beyond_Paradise","Open source")</x:f>
        <x:v>HYPERLINK is not implemented. linkLocation=https://en.wikipedia.org/wiki/Beyond_Paradise,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27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0.037037037037037035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tt21161156|nm0474904|dr. hodges</x:v>
      </x:c>
      <x:c r="B43" s="14" t="str">
        <x:v>01</x:v>
      </x:c>
      <x:c r="C43" s="14" t="str">
        <x:v>2023_IMDb_Cast_Lists_Batch_01(2).xlsx</x:v>
      </x:c>
      <x:c r="D43" s="14" t="str">
        <x:v>Beyond Paradise</x:v>
      </x:c>
      <x:c r="E43" s="14" t="n">
        <x:v>183</x:v>
      </x:c>
      <x:c r="F43" s="14" t="str">
        <x:v>Beyond Paradise</x:v>
      </x:c>
      <x:c r="G43" s="14" t="str">
        <x:v>tt21161156</x:v>
      </x:c>
      <x:c r="H43" s="14" t="n">
        <x:v>2023</x:v>
      </x:c>
      <x:c r="I43" s="14" t="n">
        <x:v>2023</x:v>
      </x:c>
      <x:c r="J43" s="14" t="str">
        <x:v>Future Carry-Forward Cohort</x:v>
      </x:c>
      <x:c r="K43" s="14"/>
      <x:c r="L43" s="14" t="str">
        <x:v>Not inherited</x:v>
      </x:c>
      <x:c r="M43" s="15" t="n">
        <x:v>176</x:v>
      </x:c>
      <x:c r="N43" s="14" t="str">
        <x:v>Syreeta Kumar</x:v>
      </x:c>
      <x:c r="O43" s="14" t="str">
        <x:v>nm0474904</x:v>
      </x:c>
      <x:c r="P43" s="14" t="str">
        <x:v>Dr. Hodges</x:v>
      </x:c>
      <x:c r="Q43" s="15" t="n">
        <x:v>1</x:v>
      </x:c>
      <x:c r="R43" s="14" t="str">
        <x:v>2025</x:v>
      </x:c>
      <x:c r="S43" s="14" t="n">
        <x:v>2025</x:v>
      </x:c>
      <x:c r="T43" s="14" t="n">
        <x:v>2025</x:v>
      </x:c>
      <x:c r="U43" s="14" t="str">
        <x:v>Explicit source first year retained</x:v>
      </x:c>
      <x:c r="V43" s="14" t="str">
        <x:v>Earliest supplied year is 2025.</x:v>
      </x:c>
      <x:c r="W43" s="14"/>
      <x:c r="X43" s="14" t="str">
        <x:v>Carried forward to 2025</x:v>
      </x:c>
      <x:c r="Y43" s="14"/>
      <x:c r="Z43" s="14" t="str">
        <x:v>Beyond Paradise.docx</x:v>
      </x:c>
      <x:c r="AA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HYPERLINK("https://en.wikipedia.org/wiki/Beyond_Paradise","Open source")</x:f>
        <x:v>HYPERLINK is not implemented. linkLocation=https://en.wikipedia.org/wiki/Beyond_Paradise,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27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0.037037037037037035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tt21161156|nm3600214|aad gill - registrar</x:v>
      </x:c>
      <x:c r="B44" s="14" t="str">
        <x:v>01</x:v>
      </x:c>
      <x:c r="C44" s="14" t="str">
        <x:v>2023_IMDb_Cast_Lists_Batch_01(2).xlsx</x:v>
      </x:c>
      <x:c r="D44" s="14" t="str">
        <x:v>Beyond Paradise</x:v>
      </x:c>
      <x:c r="E44" s="14" t="n">
        <x:v>184</x:v>
      </x:c>
      <x:c r="F44" s="14" t="str">
        <x:v>Beyond Paradise</x:v>
      </x:c>
      <x:c r="G44" s="14" t="str">
        <x:v>tt21161156</x:v>
      </x:c>
      <x:c r="H44" s="14" t="n">
        <x:v>2023</x:v>
      </x:c>
      <x:c r="I44" s="14" t="n">
        <x:v>2023</x:v>
      </x:c>
      <x:c r="J44" s="14" t="str">
        <x:v>Future Carry-Forward Cohort</x:v>
      </x:c>
      <x:c r="K44" s="14"/>
      <x:c r="L44" s="14" t="str">
        <x:v>Not inherited</x:v>
      </x:c>
      <x:c r="M44" s="15" t="n">
        <x:v>177</x:v>
      </x:c>
      <x:c r="N44" s="14" t="str">
        <x:v>Sukh Ojla</x:v>
      </x:c>
      <x:c r="O44" s="14" t="str">
        <x:v>nm3600214</x:v>
      </x:c>
      <x:c r="P44" s="14" t="str">
        <x:v>Aad Gill - Registrar</x:v>
      </x:c>
      <x:c r="Q44" s="15" t="n">
        <x:v>1</x:v>
      </x:c>
      <x:c r="R44" s="14" t="str">
        <x:v>2025</x:v>
      </x:c>
      <x:c r="S44" s="14" t="n">
        <x:v>2025</x:v>
      </x:c>
      <x:c r="T44" s="14" t="n">
        <x:v>2025</x:v>
      </x:c>
      <x:c r="U44" s="14" t="str">
        <x:v>Explicit source first year retained</x:v>
      </x:c>
      <x:c r="V44" s="14" t="str">
        <x:v>Earliest supplied year is 2025.</x:v>
      </x:c>
      <x:c r="W44" s="14"/>
      <x:c r="X44" s="14" t="str">
        <x:v>Carried forward to 2025</x:v>
      </x:c>
      <x:c r="Y44" s="14" t="str">
        <x:v>(as Sukh Kaur Ojla)</x:v>
      </x:c>
      <x:c r="Z44" s="14" t="str">
        <x:v>Beyond Paradise.docx</x:v>
      </x:c>
      <x:c r="AA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HYPERLINK("https://en.wikipedia.org/wiki/Beyond_Paradise","Open source")</x:f>
        <x:v>HYPERLINK is not implemented. linkLocation=https://en.wikipedia.org/wiki/Beyond_Paradise,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27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0.037037037037037035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tt21161156|nm6604108|monica grey</x:v>
      </x:c>
      <x:c r="B45" s="14" t="str">
        <x:v>01</x:v>
      </x:c>
      <x:c r="C45" s="14" t="str">
        <x:v>2023_IMDb_Cast_Lists_Batch_01(2).xlsx</x:v>
      </x:c>
      <x:c r="D45" s="14" t="str">
        <x:v>Beyond Paradise</x:v>
      </x:c>
      <x:c r="E45" s="14" t="n">
        <x:v>193</x:v>
      </x:c>
      <x:c r="F45" s="14" t="str">
        <x:v>Beyond Paradise</x:v>
      </x:c>
      <x:c r="G45" s="14" t="str">
        <x:v>tt21161156</x:v>
      </x:c>
      <x:c r="H45" s="14" t="n">
        <x:v>2023</x:v>
      </x:c>
      <x:c r="I45" s="14" t="n">
        <x:v>2023</x:v>
      </x:c>
      <x:c r="J45" s="14" t="str">
        <x:v>Future Carry-Forward Cohort</x:v>
      </x:c>
      <x:c r="K45" s="14"/>
      <x:c r="L45" s="14" t="str">
        <x:v>Not inherited</x:v>
      </x:c>
      <x:c r="M45" s="15" t="n">
        <x:v>186</x:v>
      </x:c>
      <x:c r="N45" s="14" t="str">
        <x:v>Lauren Vandike</x:v>
      </x:c>
      <x:c r="O45" s="14" t="str">
        <x:v>nm6604108</x:v>
      </x:c>
      <x:c r="P45" s="14" t="str">
        <x:v>Monica Grey</x:v>
      </x:c>
      <x:c r="Q45" s="15" t="n">
        <x:v>1</x:v>
      </x:c>
      <x:c r="R45" s="14" t="str">
        <x:v>2025</x:v>
      </x:c>
      <x:c r="S45" s="14" t="n">
        <x:v>2025</x:v>
      </x:c>
      <x:c r="T45" s="14" t="n">
        <x:v>2025</x:v>
      </x:c>
      <x:c r="U45" s="14" t="str">
        <x:v>Explicit source first year retained</x:v>
      </x:c>
      <x:c r="V45" s="14" t="str">
        <x:v>Earliest supplied year is 2025.</x:v>
      </x:c>
      <x:c r="W45" s="14"/>
      <x:c r="X45" s="14" t="str">
        <x:v>Carried forward to 2025</x:v>
      </x:c>
      <x:c r="Y45" s="14"/>
      <x:c r="Z45" s="14" t="str">
        <x:v>Beyond Paradise.docx</x:v>
      </x:c>
      <x:c r="AA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HYPERLINK("https://en.wikipedia.org/wiki/Beyond_Paradise","Open source")</x:f>
        <x:v>HYPERLINK is not implemented. linkLocation=https://en.wikipedia.org/wiki/Beyond_Paradise,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27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0.037037037037037035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tt14466018|nm0879154|dana morgan</x:v>
      </x:c>
      <x:c r="B46" s="14" t="str">
        <x:v>01</x:v>
      </x:c>
      <x:c r="C46" s="14" t="str">
        <x:v>2023_IMDb_Cast_Lists_Batch_01(2).xlsx</x:v>
      </x:c>
      <x:c r="D46" s="14" t="str">
        <x:v>Blue Lights</x:v>
      </x:c>
      <x:c r="E46" s="14" t="n">
        <x:v>31</x:v>
      </x:c>
      <x:c r="F46" s="14" t="str">
        <x:v>Blue Lights</x:v>
      </x:c>
      <x:c r="G46" s="14" t="str">
        <x:v>tt14466018</x:v>
      </x:c>
      <x:c r="H46" s="14" t="n">
        <x:v>2023</x:v>
      </x:c>
      <x:c r="I46" s="14" t="n">
        <x:v>2023</x:v>
      </x:c>
      <x:c r="J46" s="14" t="str">
        <x:v>Future Carry-Forward Cohort</x:v>
      </x:c>
      <x:c r="K46" s="14"/>
      <x:c r="L46" s="14" t="str">
        <x:v>Not inherited</x:v>
      </x:c>
      <x:c r="M46" s="15" t="n">
        <x:v>24</x:v>
      </x:c>
      <x:c r="N46" s="14" t="str">
        <x:v>Cathy Tyson</x:v>
      </x:c>
      <x:c r="O46" s="14" t="str">
        <x:v>nm0879154</x:v>
      </x:c>
      <x:c r="P46" s="14" t="str">
        <x:v>Dana Morgan</x:v>
      </x:c>
      <x:c r="Q46" s="15" t="n">
        <x:v>6</x:v>
      </x:c>
      <x:c r="R46" s="14" t="str">
        <x:v>2025</x:v>
      </x:c>
      <x:c r="S46" s="14" t="n">
        <x:v>2025</x:v>
      </x:c>
      <x:c r="T46" s="14" t="n">
        <x:v>2025</x:v>
      </x:c>
      <x:c r="U46" s="14" t="str">
        <x:v>Explicit source first year retained</x:v>
      </x:c>
      <x:c r="V46" s="14" t="str">
        <x:v>Earliest supplied year is 2025.</x:v>
      </x:c>
      <x:c r="W46" s="14"/>
      <x:c r="X46" s="14" t="str">
        <x:v>Carried forward to 2025</x:v>
      </x:c>
      <x:c r="Y46" s="14"/>
      <x:c r="Z46" s="14" t="str">
        <x:v>Blue Lights.docx</x:v>
      </x:c>
      <x:c r="AA4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HYPERLINK("https://en.wikipedia.org/wiki/Blue_Light","Open source")</x:f>
        <x:v>HYPERLINK is not implemented. linkLocation=https://en.wikipedia.org/wiki/Blue_Light,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19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6</x:v>
      </x:c>
      <x:c r="BS46" s="16" t="n">
        <x:v>0.3157894736842105</x:v>
      </x:c>
      <x:c r="BT46" s="14" t="str">
        <x:v>Minority of episodes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tt14466018|nm0806968|paul 'colly' collins</x:v>
      </x:c>
      <x:c r="B47" s="14" t="str">
        <x:v>01</x:v>
      </x:c>
      <x:c r="C47" s="14" t="str">
        <x:v>2023_IMDb_Cast_Lists_Batch_01(2).xlsx</x:v>
      </x:c>
      <x:c r="D47" s="14" t="str">
        <x:v>Blue Lights</x:v>
      </x:c>
      <x:c r="E47" s="14" t="n">
        <x:v>32</x:v>
      </x:c>
      <x:c r="F47" s="14" t="str">
        <x:v>Blue Lights</x:v>
      </x:c>
      <x:c r="G47" s="14" t="str">
        <x:v>tt14466018</x:v>
      </x:c>
      <x:c r="H47" s="14" t="n">
        <x:v>2023</x:v>
      </x:c>
      <x:c r="I47" s="14" t="n">
        <x:v>2023</x:v>
      </x:c>
      <x:c r="J47" s="14" t="str">
        <x:v>Future Carry-Forward Cohort</x:v>
      </x:c>
      <x:c r="K47" s="14"/>
      <x:c r="L47" s="14" t="str">
        <x:v>Not inherited</x:v>
      </x:c>
      <x:c r="M47" s="15" t="n">
        <x:v>25</x:v>
      </x:c>
      <x:c r="N47" s="14" t="str">
        <x:v>Michael Smiley</x:v>
      </x:c>
      <x:c r="O47" s="14" t="str">
        <x:v>nm0806968</x:v>
      </x:c>
      <x:c r="P47" s="14" t="str">
        <x:v>Paul 'Colly' Collins</x:v>
      </x:c>
      <x:c r="Q47" s="15" t="n">
        <x:v>6</x:v>
      </x:c>
      <x:c r="R47" s="14" t="str">
        <x:v>2025</x:v>
      </x:c>
      <x:c r="S47" s="14" t="n">
        <x:v>2025</x:v>
      </x:c>
      <x:c r="T47" s="14" t="n">
        <x:v>2025</x:v>
      </x:c>
      <x:c r="U47" s="14" t="str">
        <x:v>Explicit source first year retained</x:v>
      </x:c>
      <x:c r="V47" s="14" t="str">
        <x:v>Earliest supplied year is 2025.</x:v>
      </x:c>
      <x:c r="W47" s="14"/>
      <x:c r="X47" s="14" t="str">
        <x:v>Carried forward to 2025</x:v>
      </x:c>
      <x:c r="Y47" s="14"/>
      <x:c r="Z47" s="14" t="str">
        <x:v>Blue Lights.docx</x:v>
      </x:c>
      <x:c r="AA4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HYPERLINK("https://en.wikipedia.org/wiki/Blue_Light","Open source")</x:f>
        <x:v>HYPERLINK is not implemented. linkLocation=https://en.wikipedia.org/wiki/Blue_Light,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19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6</x:v>
      </x:c>
      <x:c r="BS47" s="16" t="n">
        <x:v>0.3157894736842105</x:v>
      </x:c>
      <x:c r="BT47" s="14" t="str">
        <x:v>Minority of episodes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tt14466018|nm6925918|lindsay singleton</x:v>
      </x:c>
      <x:c r="B48" s="14" t="str">
        <x:v>01</x:v>
      </x:c>
      <x:c r="C48" s="14" t="str">
        <x:v>2023_IMDb_Cast_Lists_Batch_01(2).xlsx</x:v>
      </x:c>
      <x:c r="D48" s="14" t="str">
        <x:v>Blue Lights</x:v>
      </x:c>
      <x:c r="E48" s="14" t="n">
        <x:v>39</x:v>
      </x:c>
      <x:c r="F48" s="14" t="str">
        <x:v>Blue Lights</x:v>
      </x:c>
      <x:c r="G48" s="14" t="str">
        <x:v>tt14466018</x:v>
      </x:c>
      <x:c r="H48" s="14" t="n">
        <x:v>2023</x:v>
      </x:c>
      <x:c r="I48" s="14" t="n">
        <x:v>2023</x:v>
      </x:c>
      <x:c r="J48" s="14" t="str">
        <x:v>Future Carry-Forward Cohort</x:v>
      </x:c>
      <x:c r="K48" s="14"/>
      <x:c r="L48" s="14" t="str">
        <x:v>Not inherited</x:v>
      </x:c>
      <x:c r="M48" s="15" t="n">
        <x:v>32</x:v>
      </x:c>
      <x:c r="N48" s="14" t="str">
        <x:v>Aoife Hughes</x:v>
      </x:c>
      <x:c r="O48" s="14" t="str">
        <x:v>nm6925918</x:v>
      </x:c>
      <x:c r="P48" s="14" t="str">
        <x:v>Lindsay Singleton</x:v>
      </x:c>
      <x:c r="Q48" s="15" t="n">
        <x:v>5</x:v>
      </x:c>
      <x:c r="R48" s="14" t="str">
        <x:v>2025</x:v>
      </x:c>
      <x:c r="S48" s="14" t="n">
        <x:v>2025</x:v>
      </x:c>
      <x:c r="T48" s="14" t="n">
        <x:v>2025</x:v>
      </x:c>
      <x:c r="U48" s="14" t="str">
        <x:v>Explicit source first year retained</x:v>
      </x:c>
      <x:c r="V48" s="14" t="str">
        <x:v>Earliest supplied year is 2025.</x:v>
      </x:c>
      <x:c r="W48" s="14"/>
      <x:c r="X48" s="14" t="str">
        <x:v>Carried forward to 2025</x:v>
      </x:c>
      <x:c r="Y48" s="14"/>
      <x:c r="Z48" s="14" t="str">
        <x:v>Blue Lights.docx</x:v>
      </x:c>
      <x:c r="AA4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HYPERLINK("https://en.wikipedia.org/wiki/Blue_Light","Open source")</x:f>
        <x:v>HYPERLINK is not implemented. linkLocation=https://en.wikipedia.org/wiki/Blue_Light,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19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5</x:v>
      </x:c>
      <x:c r="BS48" s="16" t="n">
        <x:v>0.2631578947368421</x:v>
      </x:c>
      <x:c r="BT48" s="14" t="str">
        <x:v>Minority of episodes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tt14466018|nm5393511|sean mulholland</x:v>
      </x:c>
      <x:c r="B49" s="14" t="str">
        <x:v>01</x:v>
      </x:c>
      <x:c r="C49" s="14" t="str">
        <x:v>2023_IMDb_Cast_Lists_Batch_01(2).xlsx</x:v>
      </x:c>
      <x:c r="D49" s="14" t="str">
        <x:v>Blue Lights</x:v>
      </x:c>
      <x:c r="E49" s="14" t="n">
        <x:v>42</x:v>
      </x:c>
      <x:c r="F49" s="14" t="str">
        <x:v>Blue Lights</x:v>
      </x:c>
      <x:c r="G49" s="14" t="str">
        <x:v>tt14466018</x:v>
      </x:c>
      <x:c r="H49" s="14" t="n">
        <x:v>2023</x:v>
      </x:c>
      <x:c r="I49" s="14" t="n">
        <x:v>2023</x:v>
      </x:c>
      <x:c r="J49" s="14" t="str">
        <x:v>Future Carry-Forward Cohort</x:v>
      </x:c>
      <x:c r="K49" s="14"/>
      <x:c r="L49" s="14" t="str">
        <x:v>Not inherited</x:v>
      </x:c>
      <x:c r="M49" s="15" t="n">
        <x:v>35</x:v>
      </x:c>
      <x:c r="N49" s="14" t="str">
        <x:v>Brendan Quinn</x:v>
      </x:c>
      <x:c r="O49" s="14" t="str">
        <x:v>nm5393511</x:v>
      </x:c>
      <x:c r="P49" s="14" t="str">
        <x:v>Sean Mulholland</x:v>
      </x:c>
      <x:c r="Q49" s="15" t="n">
        <x:v>5</x:v>
      </x:c>
      <x:c r="R49" s="14" t="str">
        <x:v>2025</x:v>
      </x:c>
      <x:c r="S49" s="14" t="n">
        <x:v>2025</x:v>
      </x:c>
      <x:c r="T49" s="14" t="n">
        <x:v>2025</x:v>
      </x:c>
      <x:c r="U49" s="14" t="str">
        <x:v>Explicit source first year retained</x:v>
      </x:c>
      <x:c r="V49" s="14" t="str">
        <x:v>Earliest supplied year is 2025.</x:v>
      </x:c>
      <x:c r="W49" s="14"/>
      <x:c r="X49" s="14" t="str">
        <x:v>Carried forward to 2025</x:v>
      </x:c>
      <x:c r="Y49" s="14"/>
      <x:c r="Z49" s="14" t="str">
        <x:v>Blue Lights.docx</x:v>
      </x:c>
      <x:c r="AA4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BBC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HYPERLINK("https://en.wikipedia.org/wiki/Blue_Light","Open source")</x:f>
        <x:v>HYPERLINK is not implemented. linkLocation=https://en.wikipedia.org/wiki/Blue_Light, friendlyName=Open source</x:v>
      </x:c>
      <x:c r="AN49" s="14" t="str">
        <x:v>BBC public-service commission</x:v>
      </x:c>
      <x:c r="AO49" s="14" t="str">
        <x:v>Yes</x:v>
      </x:c>
      <x:c r="AP49" s="14" t="str">
        <x:v>Direct BBC public-service scope</x:v>
      </x:c>
      <x:c r="AQ49" s="14" t="str">
        <x:v>Yes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19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5</x:v>
      </x:c>
      <x:c r="BS49" s="16" t="n">
        <x:v>0.2631578947368421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tt14466018|nm0611995|george mcclelland</x:v>
      </x:c>
      <x:c r="B50" s="14" t="str">
        <x:v>01</x:v>
      </x:c>
      <x:c r="C50" s="14" t="str">
        <x:v>2023_IMDb_Cast_Lists_Batch_01(2).xlsx</x:v>
      </x:c>
      <x:c r="D50" s="14" t="str">
        <x:v>Blue Lights</x:v>
      </x:c>
      <x:c r="E50" s="14" t="n">
        <x:v>47</x:v>
      </x:c>
      <x:c r="F50" s="14" t="str">
        <x:v>Blue Lights</x:v>
      </x:c>
      <x:c r="G50" s="14" t="str">
        <x:v>tt14466018</x:v>
      </x:c>
      <x:c r="H50" s="14" t="n">
        <x:v>2023</x:v>
      </x:c>
      <x:c r="I50" s="14" t="n">
        <x:v>2023</x:v>
      </x:c>
      <x:c r="J50" s="14" t="str">
        <x:v>Future Carry-Forward Cohort</x:v>
      </x:c>
      <x:c r="K50" s="14"/>
      <x:c r="L50" s="14" t="str">
        <x:v>Not inherited</x:v>
      </x:c>
      <x:c r="M50" s="15" t="n">
        <x:v>40</x:v>
      </x:c>
      <x:c r="N50" s="14" t="str">
        <x:v>Conor Mullen</x:v>
      </x:c>
      <x:c r="O50" s="14" t="str">
        <x:v>nm0611995</x:v>
      </x:c>
      <x:c r="P50" s="14" t="str">
        <x:v>George McClelland</x:v>
      </x:c>
      <x:c r="Q50" s="15" t="n">
        <x:v>4</x:v>
      </x:c>
      <x:c r="R50" s="14" t="str">
        <x:v>2025</x:v>
      </x:c>
      <x:c r="S50" s="14" t="n">
        <x:v>2025</x:v>
      </x:c>
      <x:c r="T50" s="14" t="n">
        <x:v>2025</x:v>
      </x:c>
      <x:c r="U50" s="14" t="str">
        <x:v>Explicit source first year retained</x:v>
      </x:c>
      <x:c r="V50" s="14" t="str">
        <x:v>Earliest supplied year is 2025.</x:v>
      </x:c>
      <x:c r="W50" s="14"/>
      <x:c r="X50" s="14" t="str">
        <x:v>Carried forward to 2025</x:v>
      </x:c>
      <x:c r="Y50" s="14"/>
      <x:c r="Z50" s="14" t="str">
        <x:v>Blue Lights.docx</x:v>
      </x:c>
      <x:c r="AA5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HYPERLINK("https://en.wikipedia.org/wiki/Blue_Light","Open source")</x:f>
        <x:v>HYPERLINK is not implemented. linkLocation=https://en.wikipedia.org/wiki/Blue_Light, friendlyName=Open source</x:v>
      </x:c>
      <x:c r="AN50" s="14" t="str">
        <x:v>BBC public-service commission</x:v>
      </x:c>
      <x:c r="AO50" s="14" t="str">
        <x:v>Yes</x:v>
      </x:c>
      <x:c r="AP50" s="14" t="str">
        <x:v>Direct BBC public-service scope</x:v>
      </x:c>
      <x:c r="AQ50" s="14" t="str">
        <x:v>Yes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19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4</x:v>
      </x:c>
      <x:c r="BS50" s="16" t="n">
        <x:v>0.21052631578947367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tt14466018|nm7490611|dr. kerbash</x:v>
      </x:c>
      <x:c r="B51" s="14" t="str">
        <x:v>01</x:v>
      </x:c>
      <x:c r="C51" s="14" t="str">
        <x:v>2023_IMDb_Cast_Lists_Batch_01(2).xlsx</x:v>
      </x:c>
      <x:c r="D51" s="14" t="str">
        <x:v>Blue Lights</x:v>
      </x:c>
      <x:c r="E51" s="14" t="n">
        <x:v>56</x:v>
      </x:c>
      <x:c r="F51" s="14" t="str">
        <x:v>Blue Lights</x:v>
      </x:c>
      <x:c r="G51" s="14" t="str">
        <x:v>tt14466018</x:v>
      </x:c>
      <x:c r="H51" s="14" t="n">
        <x:v>2023</x:v>
      </x:c>
      <x:c r="I51" s="14" t="n">
        <x:v>2023</x:v>
      </x:c>
      <x:c r="J51" s="14" t="str">
        <x:v>Future Carry-Forward Cohort</x:v>
      </x:c>
      <x:c r="K51" s="14"/>
      <x:c r="L51" s="14" t="str">
        <x:v>Not inherited</x:v>
      </x:c>
      <x:c r="M51" s="15" t="n">
        <x:v>49</x:v>
      </x:c>
      <x:c r="N51" s="14" t="str">
        <x:v>Sophia Adli</x:v>
      </x:c>
      <x:c r="O51" s="14" t="str">
        <x:v>nm7490611</x:v>
      </x:c>
      <x:c r="P51" s="14" t="str">
        <x:v>Dr. Kerbash</x:v>
      </x:c>
      <x:c r="Q51" s="15" t="n">
        <x:v>3</x:v>
      </x:c>
      <x:c r="R51" s="14" t="str">
        <x:v>2025</x:v>
      </x:c>
      <x:c r="S51" s="14" t="n">
        <x:v>2025</x:v>
      </x:c>
      <x:c r="T51" s="14" t="n">
        <x:v>2025</x:v>
      </x:c>
      <x:c r="U51" s="14" t="str">
        <x:v>Explicit source first year retained</x:v>
      </x:c>
      <x:c r="V51" s="14" t="str">
        <x:v>Earliest supplied year is 2025.</x:v>
      </x:c>
      <x:c r="W51" s="14"/>
      <x:c r="X51" s="14" t="str">
        <x:v>Carried forward to 2025</x:v>
      </x:c>
      <x:c r="Y51" s="14"/>
      <x:c r="Z51" s="14" t="str">
        <x:v>Blue Lights.docx</x:v>
      </x:c>
      <x:c r="AA5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BBC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HYPERLINK("https://en.wikipedia.org/wiki/Blue_Light","Open source")</x:f>
        <x:v>HYPERLINK is not implemented. linkLocation=https://en.wikipedia.org/wiki/Blue_Light, friendlyName=Open source</x:v>
      </x:c>
      <x:c r="AN51" s="14" t="str">
        <x:v>BBC public-service commission</x:v>
      </x:c>
      <x:c r="AO51" s="14" t="str">
        <x:v>Yes</x:v>
      </x:c>
      <x:c r="AP51" s="14" t="str">
        <x:v>Direct BBC public-service scope</x:v>
      </x:c>
      <x:c r="AQ51" s="14" t="str">
        <x:v>Yes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19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3</x:v>
      </x:c>
      <x:c r="BS51" s="16" t="n">
        <x:v>0.15789473684210525</x:v>
      </x:c>
      <x:c r="BT51" s="14" t="str">
        <x:v>Minority of episodes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tt14466018|nm3442270|father joe</x:v>
      </x:c>
      <x:c r="B52" s="14" t="str">
        <x:v>01</x:v>
      </x:c>
      <x:c r="C52" s="14" t="str">
        <x:v>2023_IMDb_Cast_Lists_Batch_01(2).xlsx</x:v>
      </x:c>
      <x:c r="D52" s="14" t="str">
        <x:v>Blue Lights</x:v>
      </x:c>
      <x:c r="E52" s="14" t="n">
        <x:v>59</x:v>
      </x:c>
      <x:c r="F52" s="14" t="str">
        <x:v>Blue Lights</x:v>
      </x:c>
      <x:c r="G52" s="14" t="str">
        <x:v>tt14466018</x:v>
      </x:c>
      <x:c r="H52" s="14" t="n">
        <x:v>2023</x:v>
      </x:c>
      <x:c r="I52" s="14" t="n">
        <x:v>2023</x:v>
      </x:c>
      <x:c r="J52" s="14" t="str">
        <x:v>Future Carry-Forward Cohort</x:v>
      </x:c>
      <x:c r="K52" s="14"/>
      <x:c r="L52" s="14" t="str">
        <x:v>Not inherited</x:v>
      </x:c>
      <x:c r="M52" s="15" t="n">
        <x:v>52</x:v>
      </x:c>
      <x:c r="N52" s="14" t="str">
        <x:v>Nigel O'Neill</x:v>
      </x:c>
      <x:c r="O52" s="14" t="str">
        <x:v>nm3442270</x:v>
      </x:c>
      <x:c r="P52" s="14" t="str">
        <x:v>Father Joe</x:v>
      </x:c>
      <x:c r="Q52" s="15" t="n">
        <x:v>2</x:v>
      </x:c>
      <x:c r="R52" s="14" t="str">
        <x:v>2025</x:v>
      </x:c>
      <x:c r="S52" s="14" t="n">
        <x:v>2025</x:v>
      </x:c>
      <x:c r="T52" s="14" t="n">
        <x:v>2025</x:v>
      </x:c>
      <x:c r="U52" s="14" t="str">
        <x:v>Explicit source first year retained</x:v>
      </x:c>
      <x:c r="V52" s="14" t="str">
        <x:v>Earliest supplied year is 2025.</x:v>
      </x:c>
      <x:c r="W52" s="14"/>
      <x:c r="X52" s="14" t="str">
        <x:v>Carried forward to 2025</x:v>
      </x:c>
      <x:c r="Y52" s="14"/>
      <x:c r="Z52" s="14" t="str">
        <x:v>Blue Lights.docx</x:v>
      </x:c>
      <x:c r="AA5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BBC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HYPERLINK("https://en.wikipedia.org/wiki/Blue_Light","Open source")</x:f>
        <x:v>HYPERLINK is not implemented. linkLocation=https://en.wikipedia.org/wiki/Blue_Light, friendlyName=Open source</x:v>
      </x:c>
      <x:c r="AN52" s="14" t="str">
        <x:v>BBC public-service commission</x:v>
      </x:c>
      <x:c r="AO52" s="14" t="str">
        <x:v>Yes</x:v>
      </x:c>
      <x:c r="AP52" s="14" t="str">
        <x:v>Direct BBC public-service scope</x:v>
      </x:c>
      <x:c r="AQ52" s="14" t="str">
        <x:v>Yes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19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2</x:v>
      </x:c>
      <x:c r="BS52" s="16" t="n">
        <x:v>0.10526315789473684</x:v>
      </x:c>
      <x:c r="BT52" s="14" t="str">
        <x:v>Minority of episodes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tt14466018|nm5189746|di louise carrigan</x:v>
      </x:c>
      <x:c r="B53" s="14" t="str">
        <x:v>01</x:v>
      </x:c>
      <x:c r="C53" s="14" t="str">
        <x:v>2023_IMDb_Cast_Lists_Batch_01(2).xlsx</x:v>
      </x:c>
      <x:c r="D53" s="14" t="str">
        <x:v>Blue Lights</x:v>
      </x:c>
      <x:c r="E53" s="14" t="n">
        <x:v>60</x:v>
      </x:c>
      <x:c r="F53" s="14" t="str">
        <x:v>Blue Lights</x:v>
      </x:c>
      <x:c r="G53" s="14" t="str">
        <x:v>tt14466018</x:v>
      </x:c>
      <x:c r="H53" s="14" t="n">
        <x:v>2023</x:v>
      </x:c>
      <x:c r="I53" s="14" t="n">
        <x:v>2023</x:v>
      </x:c>
      <x:c r="J53" s="14" t="str">
        <x:v>Future Carry-Forward Cohort</x:v>
      </x:c>
      <x:c r="K53" s="14"/>
      <x:c r="L53" s="14" t="str">
        <x:v>Not inherited</x:v>
      </x:c>
      <x:c r="M53" s="15" t="n">
        <x:v>53</x:v>
      </x:c>
      <x:c r="N53" s="14" t="str">
        <x:v>Diona Doherty</x:v>
      </x:c>
      <x:c r="O53" s="14" t="str">
        <x:v>nm5189746</x:v>
      </x:c>
      <x:c r="P53" s="14" t="str">
        <x:v>DI Louise Carrigan</x:v>
      </x:c>
      <x:c r="Q53" s="15" t="n">
        <x:v>2</x:v>
      </x:c>
      <x:c r="R53" s="14" t="str">
        <x:v>2025</x:v>
      </x:c>
      <x:c r="S53" s="14" t="n">
        <x:v>2025</x:v>
      </x:c>
      <x:c r="T53" s="14" t="n">
        <x:v>2025</x:v>
      </x:c>
      <x:c r="U53" s="14" t="str">
        <x:v>Explicit source first year retained</x:v>
      </x:c>
      <x:c r="V53" s="14" t="str">
        <x:v>Earliest supplied year is 2025.</x:v>
      </x:c>
      <x:c r="W53" s="14"/>
      <x:c r="X53" s="14" t="str">
        <x:v>Carried forward to 2025</x:v>
      </x:c>
      <x:c r="Y53" s="14"/>
      <x:c r="Z53" s="14" t="str">
        <x:v>Blue Lights.docx</x:v>
      </x:c>
      <x:c r="AA5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BBC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HYPERLINK("https://en.wikipedia.org/wiki/Blue_Light","Open source")</x:f>
        <x:v>HYPERLINK is not implemented. linkLocation=https://en.wikipedia.org/wiki/Blue_Light, friendlyName=Open source</x:v>
      </x:c>
      <x:c r="AN53" s="14" t="str">
        <x:v>BBC public-service commission</x:v>
      </x:c>
      <x:c r="AO53" s="14" t="str">
        <x:v>Yes</x:v>
      </x:c>
      <x:c r="AP53" s="14" t="str">
        <x:v>Direct BBC public-service scope</x:v>
      </x:c>
      <x:c r="AQ53" s="14" t="str">
        <x:v>Yes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19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2</x:v>
      </x:c>
      <x:c r="BS53" s="16" t="n">
        <x:v>0.10526315789473684</x:v>
      </x:c>
      <x:c r="BT53" s="14" t="str">
        <x:v>Minority of episodes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tt14466018|nm1264638|bea</x:v>
      </x:c>
      <x:c r="B54" s="14" t="str">
        <x:v>01</x:v>
      </x:c>
      <x:c r="C54" s="14" t="str">
        <x:v>2023_IMDb_Cast_Lists_Batch_01(2).xlsx</x:v>
      </x:c>
      <x:c r="D54" s="14" t="str">
        <x:v>Blue Lights</x:v>
      </x:c>
      <x:c r="E54" s="14" t="n">
        <x:v>61</x:v>
      </x:c>
      <x:c r="F54" s="14" t="str">
        <x:v>Blue Lights</x:v>
      </x:c>
      <x:c r="G54" s="14" t="str">
        <x:v>tt14466018</x:v>
      </x:c>
      <x:c r="H54" s="14" t="n">
        <x:v>2023</x:v>
      </x:c>
      <x:c r="I54" s="14" t="n">
        <x:v>2023</x:v>
      </x:c>
      <x:c r="J54" s="14" t="str">
        <x:v>Future Carry-Forward Cohort</x:v>
      </x:c>
      <x:c r="K54" s="14"/>
      <x:c r="L54" s="14" t="str">
        <x:v>Not inherited</x:v>
      </x:c>
      <x:c r="M54" s="15" t="n">
        <x:v>54</x:v>
      </x:c>
      <x:c r="N54" s="14" t="str">
        <x:v>Maria Connolly</x:v>
      </x:c>
      <x:c r="O54" s="14" t="str">
        <x:v>nm1264638</x:v>
      </x:c>
      <x:c r="P54" s="14" t="str">
        <x:v>Bea</x:v>
      </x:c>
      <x:c r="Q54" s="15" t="n">
        <x:v>2</x:v>
      </x:c>
      <x:c r="R54" s="14" t="str">
        <x:v>2025</x:v>
      </x:c>
      <x:c r="S54" s="14" t="n">
        <x:v>2025</x:v>
      </x:c>
      <x:c r="T54" s="14" t="n">
        <x:v>2025</x:v>
      </x:c>
      <x:c r="U54" s="14" t="str">
        <x:v>Explicit source first year retained</x:v>
      </x:c>
      <x:c r="V54" s="14" t="str">
        <x:v>Earliest supplied year is 2025.</x:v>
      </x:c>
      <x:c r="W54" s="14"/>
      <x:c r="X54" s="14" t="str">
        <x:v>Carried forward to 2025</x:v>
      </x:c>
      <x:c r="Y54" s="14"/>
      <x:c r="Z54" s="14" t="str">
        <x:v>Blue Lights.docx</x:v>
      </x:c>
      <x:c r="AA5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BBC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HYPERLINK("https://en.wikipedia.org/wiki/Blue_Light","Open source")</x:f>
        <x:v>HYPERLINK is not implemented. linkLocation=https://en.wikipedia.org/wiki/Blue_Light, friendlyName=Open source</x:v>
      </x:c>
      <x:c r="AN54" s="14" t="str">
        <x:v>BBC public-service commission</x:v>
      </x:c>
      <x:c r="AO54" s="14" t="str">
        <x:v>Yes</x:v>
      </x:c>
      <x:c r="AP54" s="14" t="str">
        <x:v>Direct BBC public-service scope</x:v>
      </x:c>
      <x:c r="AQ54" s="14" t="str">
        <x:v>Yes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19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2</x:v>
      </x:c>
      <x:c r="BS54" s="16" t="n">
        <x:v>0.10526315789473684</x:v>
      </x:c>
      <x:c r="BT54" s="14" t="str">
        <x:v>Minority of episodes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tt14466018|nm0186475|harry bradley</x:v>
      </x:c>
      <x:c r="B55" s="14" t="str">
        <x:v>01</x:v>
      </x:c>
      <x:c r="C55" s="14" t="str">
        <x:v>2023_IMDb_Cast_Lists_Batch_01(2).xlsx</x:v>
      </x:c>
      <x:c r="D55" s="14" t="str">
        <x:v>Blue Lights</x:v>
      </x:c>
      <x:c r="E55" s="14" t="n">
        <x:v>69</x:v>
      </x:c>
      <x:c r="F55" s="14" t="str">
        <x:v>Blue Lights</x:v>
      </x:c>
      <x:c r="G55" s="14" t="str">
        <x:v>tt14466018</x:v>
      </x:c>
      <x:c r="H55" s="14" t="n">
        <x:v>2023</x:v>
      </x:c>
      <x:c r="I55" s="14" t="n">
        <x:v>2023</x:v>
      </x:c>
      <x:c r="J55" s="14" t="str">
        <x:v>Future Carry-Forward Cohort</x:v>
      </x:c>
      <x:c r="K55" s="14"/>
      <x:c r="L55" s="14" t="str">
        <x:v>Not inherited</x:v>
      </x:c>
      <x:c r="M55" s="15" t="n">
        <x:v>62</x:v>
      </x:c>
      <x:c r="N55" s="14" t="str">
        <x:v>Lorcan Cranitch</x:v>
      </x:c>
      <x:c r="O55" s="14" t="str">
        <x:v>nm0186475</x:v>
      </x:c>
      <x:c r="P55" s="14" t="str">
        <x:v>Harry Bradley</x:v>
      </x:c>
      <x:c r="Q55" s="15" t="n">
        <x:v>2</x:v>
      </x:c>
      <x:c r="R55" s="14" t="str">
        <x:v>2025</x:v>
      </x:c>
      <x:c r="S55" s="14" t="n">
        <x:v>2025</x:v>
      </x:c>
      <x:c r="T55" s="14" t="n">
        <x:v>2025</x:v>
      </x:c>
      <x:c r="U55" s="14" t="str">
        <x:v>Explicit source first year retained</x:v>
      </x:c>
      <x:c r="V55" s="14" t="str">
        <x:v>Earliest supplied year is 2025.</x:v>
      </x:c>
      <x:c r="W55" s="14"/>
      <x:c r="X55" s="14" t="str">
        <x:v>Carried forward to 2025</x:v>
      </x:c>
      <x:c r="Y55" s="14"/>
      <x:c r="Z55" s="14" t="str">
        <x:v>Blue Lights.docx</x:v>
      </x:c>
      <x:c r="AA5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BBC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HYPERLINK("https://en.wikipedia.org/wiki/Blue_Light","Open source")</x:f>
        <x:v>HYPERLINK is not implemented. linkLocation=https://en.wikipedia.org/wiki/Blue_Light, friendlyName=Open source</x:v>
      </x:c>
      <x:c r="AN55" s="14" t="str">
        <x:v>BBC public-service commission</x:v>
      </x:c>
      <x:c r="AO55" s="14" t="str">
        <x:v>Yes</x:v>
      </x:c>
      <x:c r="AP55" s="14" t="str">
        <x:v>Direct BBC public-service scope</x:v>
      </x:c>
      <x:c r="AQ55" s="14" t="str">
        <x:v>Yes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19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2</x:v>
      </x:c>
      <x:c r="BS55" s="16" t="n">
        <x:v>0.10526315789473684</x:v>
      </x:c>
      <x:c r="BT55" s="14" t="str">
        <x:v>Minority of episodes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tt14466018|nm3868795|róisín o'boyle</x:v>
      </x:c>
      <x:c r="B56" s="14" t="str">
        <x:v>01</x:v>
      </x:c>
      <x:c r="C56" s="14" t="str">
        <x:v>2023_IMDb_Cast_Lists_Batch_01(2).xlsx</x:v>
      </x:c>
      <x:c r="D56" s="14" t="str">
        <x:v>Blue Lights</x:v>
      </x:c>
      <x:c r="E56" s="14" t="n">
        <x:v>72</x:v>
      </x:c>
      <x:c r="F56" s="14" t="str">
        <x:v>Blue Lights</x:v>
      </x:c>
      <x:c r="G56" s="14" t="str">
        <x:v>tt14466018</x:v>
      </x:c>
      <x:c r="H56" s="14" t="n">
        <x:v>2023</x:v>
      </x:c>
      <x:c r="I56" s="14" t="n">
        <x:v>2023</x:v>
      </x:c>
      <x:c r="J56" s="14" t="str">
        <x:v>Future Carry-Forward Cohort</x:v>
      </x:c>
      <x:c r="K56" s="14"/>
      <x:c r="L56" s="14" t="str">
        <x:v>Not inherited</x:v>
      </x:c>
      <x:c r="M56" s="15" t="n">
        <x:v>65</x:v>
      </x:c>
      <x:c r="N56" s="14" t="str">
        <x:v>Orla Mullan</x:v>
      </x:c>
      <x:c r="O56" s="14" t="str">
        <x:v>nm3868795</x:v>
      </x:c>
      <x:c r="P56" s="14" t="str">
        <x:v>Róisín O'Boyle</x:v>
      </x:c>
      <x:c r="Q56" s="15" t="n">
        <x:v>2</x:v>
      </x:c>
      <x:c r="R56" s="14" t="str">
        <x:v>2025</x:v>
      </x:c>
      <x:c r="S56" s="14" t="n">
        <x:v>2025</x:v>
      </x:c>
      <x:c r="T56" s="14" t="n">
        <x:v>2025</x:v>
      </x:c>
      <x:c r="U56" s="14" t="str">
        <x:v>Explicit source first year retained</x:v>
      </x:c>
      <x:c r="V56" s="14" t="str">
        <x:v>Earliest supplied year is 2025.</x:v>
      </x:c>
      <x:c r="W56" s="14"/>
      <x:c r="X56" s="14" t="str">
        <x:v>Carried forward to 2025</x:v>
      </x:c>
      <x:c r="Y56" s="14"/>
      <x:c r="Z56" s="14" t="str">
        <x:v>Blue Lights.docx</x:v>
      </x:c>
      <x:c r="AA5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BBC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HYPERLINK("https://en.wikipedia.org/wiki/Blue_Light","Open source")</x:f>
        <x:v>HYPERLINK is not implemented. linkLocation=https://en.wikipedia.org/wiki/Blue_Light, friendlyName=Open source</x:v>
      </x:c>
      <x:c r="AN56" s="14" t="str">
        <x:v>BBC public-service commission</x:v>
      </x:c>
      <x:c r="AO56" s="14" t="str">
        <x:v>Yes</x:v>
      </x:c>
      <x:c r="AP56" s="14" t="str">
        <x:v>Direct BBC public-service scope</x:v>
      </x:c>
      <x:c r="AQ56" s="14" t="str">
        <x:v>Yes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19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2</x:v>
      </x:c>
      <x:c r="BS56" s="16" t="n">
        <x:v>0.10526315789473684</x:v>
      </x:c>
      <x:c r="BT56" s="14" t="str">
        <x:v>Minority of episodes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tt14466018|nm0242954|richard robinson</x:v>
      </x:c>
      <x:c r="B57" s="14" t="str">
        <x:v>01</x:v>
      </x:c>
      <x:c r="C57" s="14" t="str">
        <x:v>2023_IMDb_Cast_Lists_Batch_01(2).xlsx</x:v>
      </x:c>
      <x:c r="D57" s="14" t="str">
        <x:v>Blue Lights</x:v>
      </x:c>
      <x:c r="E57" s="14" t="n">
        <x:v>73</x:v>
      </x:c>
      <x:c r="F57" s="14" t="str">
        <x:v>Blue Lights</x:v>
      </x:c>
      <x:c r="G57" s="14" t="str">
        <x:v>tt14466018</x:v>
      </x:c>
      <x:c r="H57" s="14" t="n">
        <x:v>2023</x:v>
      </x:c>
      <x:c r="I57" s="14" t="n">
        <x:v>2023</x:v>
      </x:c>
      <x:c r="J57" s="14" t="str">
        <x:v>Future Carry-Forward Cohort</x:v>
      </x:c>
      <x:c r="K57" s="14"/>
      <x:c r="L57" s="14" t="str">
        <x:v>Not inherited</x:v>
      </x:c>
      <x:c r="M57" s="15" t="n">
        <x:v>66</x:v>
      </x:c>
      <x:c r="N57" s="14" t="str">
        <x:v>Nick Dunning</x:v>
      </x:c>
      <x:c r="O57" s="14" t="str">
        <x:v>nm0242954</x:v>
      </x:c>
      <x:c r="P57" s="14" t="str">
        <x:v>Richard Robinson</x:v>
      </x:c>
      <x:c r="Q57" s="15" t="n">
        <x:v>2</x:v>
      </x:c>
      <x:c r="R57" s="14" t="str">
        <x:v>2025</x:v>
      </x:c>
      <x:c r="S57" s="14" t="n">
        <x:v>2025</x:v>
      </x:c>
      <x:c r="T57" s="14" t="n">
        <x:v>2025</x:v>
      </x:c>
      <x:c r="U57" s="14" t="str">
        <x:v>Explicit source first year retained</x:v>
      </x:c>
      <x:c r="V57" s="14" t="str">
        <x:v>Earliest supplied year is 2025.</x:v>
      </x:c>
      <x:c r="W57" s="14"/>
      <x:c r="X57" s="14" t="str">
        <x:v>Carried forward to 2025</x:v>
      </x:c>
      <x:c r="Y57" s="14"/>
      <x:c r="Z57" s="14" t="str">
        <x:v>Blue Lights.docx</x:v>
      </x:c>
      <x:c r="AA5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BBC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HYPERLINK("https://en.wikipedia.org/wiki/Blue_Light","Open source")</x:f>
        <x:v>HYPERLINK is not implemented. linkLocation=https://en.wikipedia.org/wiki/Blue_Light, friendlyName=Open source</x:v>
      </x:c>
      <x:c r="AN57" s="14" t="str">
        <x:v>BBC public-service commission</x:v>
      </x:c>
      <x:c r="AO57" s="14" t="str">
        <x:v>Yes</x:v>
      </x:c>
      <x:c r="AP57" s="14" t="str">
        <x:v>Direct BBC public-service scope</x:v>
      </x:c>
      <x:c r="AQ57" s="14" t="str">
        <x:v>Yes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19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2</x:v>
      </x:c>
      <x:c r="BS57" s="16" t="n">
        <x:v>0.10526315789473684</x:v>
      </x:c>
      <x:c r="BT57" s="14" t="str">
        <x:v>Minority of episodes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tt14466018|nm3557780|john o'boyle</x:v>
      </x:c>
      <x:c r="B58" s="14" t="str">
        <x:v>01</x:v>
      </x:c>
      <x:c r="C58" s="14" t="str">
        <x:v>2023_IMDb_Cast_Lists_Batch_01(2).xlsx</x:v>
      </x:c>
      <x:c r="D58" s="14" t="str">
        <x:v>Blue Lights</x:v>
      </x:c>
      <x:c r="E58" s="14" t="n">
        <x:v>74</x:v>
      </x:c>
      <x:c r="F58" s="14" t="str">
        <x:v>Blue Lights</x:v>
      </x:c>
      <x:c r="G58" s="14" t="str">
        <x:v>tt14466018</x:v>
      </x:c>
      <x:c r="H58" s="14" t="n">
        <x:v>2023</x:v>
      </x:c>
      <x:c r="I58" s="14" t="n">
        <x:v>2023</x:v>
      </x:c>
      <x:c r="J58" s="14" t="str">
        <x:v>Future Carry-Forward Cohort</x:v>
      </x:c>
      <x:c r="K58" s="14"/>
      <x:c r="L58" s="14" t="str">
        <x:v>Not inherited</x:v>
      </x:c>
      <x:c r="M58" s="15" t="n">
        <x:v>67</x:v>
      </x:c>
      <x:c r="N58" s="14" t="str">
        <x:v>Patrick McBrearty</x:v>
      </x:c>
      <x:c r="O58" s="14" t="str">
        <x:v>nm3557780</x:v>
      </x:c>
      <x:c r="P58" s="14" t="str">
        <x:v>John O'Boyle</x:v>
      </x:c>
      <x:c r="Q58" s="15" t="n">
        <x:v>2</x:v>
      </x:c>
      <x:c r="R58" s="14" t="str">
        <x:v>2025</x:v>
      </x:c>
      <x:c r="S58" s="14" t="n">
        <x:v>2025</x:v>
      </x:c>
      <x:c r="T58" s="14" t="n">
        <x:v>2025</x:v>
      </x:c>
      <x:c r="U58" s="14" t="str">
        <x:v>Explicit source first year retained</x:v>
      </x:c>
      <x:c r="V58" s="14" t="str">
        <x:v>Earliest supplied year is 2025.</x:v>
      </x:c>
      <x:c r="W58" s="14"/>
      <x:c r="X58" s="14" t="str">
        <x:v>Carried forward to 2025</x:v>
      </x:c>
      <x:c r="Y58" s="14"/>
      <x:c r="Z58" s="14" t="str">
        <x:v>Blue Lights.docx</x:v>
      </x:c>
      <x:c r="AA5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BBC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HYPERLINK("https://en.wikipedia.org/wiki/Blue_Light","Open source")</x:f>
        <x:v>HYPERLINK is not implemented. linkLocation=https://en.wikipedia.org/wiki/Blue_Light, friendlyName=Open source</x:v>
      </x:c>
      <x:c r="AN58" s="14" t="str">
        <x:v>BBC public-service commission</x:v>
      </x:c>
      <x:c r="AO58" s="14" t="str">
        <x:v>Yes</x:v>
      </x:c>
      <x:c r="AP58" s="14" t="str">
        <x:v>Direct BBC public-service scope</x:v>
      </x:c>
      <x:c r="AQ58" s="14" t="str">
        <x:v>Yes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19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2</x:v>
      </x:c>
      <x:c r="BS58" s="16" t="n">
        <x:v>0.10526315789473684</x:v>
      </x:c>
      <x:c r="BT58" s="14" t="str">
        <x:v>Minority of episodes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tt14466018|nm13605120|drunk man 1</x:v>
      </x:c>
      <x:c r="B59" s="14" t="str">
        <x:v>01</x:v>
      </x:c>
      <x:c r="C59" s="14" t="str">
        <x:v>2023_IMDb_Cast_Lists_Batch_01(2).xlsx</x:v>
      </x:c>
      <x:c r="D59" s="14" t="str">
        <x:v>Blue Lights</x:v>
      </x:c>
      <x:c r="E59" s="14" t="n">
        <x:v>78</x:v>
      </x:c>
      <x:c r="F59" s="14" t="str">
        <x:v>Blue Lights</x:v>
      </x:c>
      <x:c r="G59" s="14" t="str">
        <x:v>tt14466018</x:v>
      </x:c>
      <x:c r="H59" s="14" t="n">
        <x:v>2023</x:v>
      </x:c>
      <x:c r="I59" s="14" t="n">
        <x:v>2023</x:v>
      </x:c>
      <x:c r="J59" s="14" t="str">
        <x:v>Future Carry-Forward Cohort</x:v>
      </x:c>
      <x:c r="K59" s="14"/>
      <x:c r="L59" s="14" t="str">
        <x:v>Not inherited</x:v>
      </x:c>
      <x:c r="M59" s="15" t="n">
        <x:v>71</x:v>
      </x:c>
      <x:c r="N59" s="14" t="str">
        <x:v>William Thompson</x:v>
      </x:c>
      <x:c r="O59" s="14" t="str">
        <x:v>nm13605120</x:v>
      </x:c>
      <x:c r="P59" s="14" t="str">
        <x:v>Drunk Man 1</x:v>
      </x:c>
      <x:c r="Q59" s="15" t="n">
        <x:v>1</x:v>
      </x:c>
      <x:c r="R59" s="14" t="str">
        <x:v>2025</x:v>
      </x:c>
      <x:c r="S59" s="14" t="n">
        <x:v>2025</x:v>
      </x:c>
      <x:c r="T59" s="14" t="n">
        <x:v>2025</x:v>
      </x:c>
      <x:c r="U59" s="14" t="str">
        <x:v>Explicit source first year retained</x:v>
      </x:c>
      <x:c r="V59" s="14" t="str">
        <x:v>Earliest supplied year is 2025.</x:v>
      </x:c>
      <x:c r="W59" s="14"/>
      <x:c r="X59" s="14" t="str">
        <x:v>Carried forward to 2025</x:v>
      </x:c>
      <x:c r="Y59" s="14"/>
      <x:c r="Z59" s="14" t="str">
        <x:v>Blue Lights.docx</x:v>
      </x:c>
      <x:c r="AA5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BBC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HYPERLINK("https://en.wikipedia.org/wiki/Blue_Light","Open source")</x:f>
        <x:v>HYPERLINK is not implemented. linkLocation=https://en.wikipedia.org/wiki/Blue_Light, friendlyName=Open source</x:v>
      </x:c>
      <x:c r="AN59" s="14" t="str">
        <x:v>BBC public-service commission</x:v>
      </x:c>
      <x:c r="AO59" s="14" t="str">
        <x:v>Yes</x:v>
      </x:c>
      <x:c r="AP59" s="14" t="str">
        <x:v>Direct BBC public-service scope</x:v>
      </x:c>
      <x:c r="AQ59" s="14" t="str">
        <x:v>Yes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19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0.05263157894736842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tt14466018|nm4202822|drunk man 2</x:v>
      </x:c>
      <x:c r="B60" s="14" t="str">
        <x:v>01</x:v>
      </x:c>
      <x:c r="C60" s="14" t="str">
        <x:v>2023_IMDb_Cast_Lists_Batch_01(2).xlsx</x:v>
      </x:c>
      <x:c r="D60" s="14" t="str">
        <x:v>Blue Lights</x:v>
      </x:c>
      <x:c r="E60" s="14" t="n">
        <x:v>79</x:v>
      </x:c>
      <x:c r="F60" s="14" t="str">
        <x:v>Blue Lights</x:v>
      </x:c>
      <x:c r="G60" s="14" t="str">
        <x:v>tt14466018</x:v>
      </x:c>
      <x:c r="H60" s="14" t="n">
        <x:v>2023</x:v>
      </x:c>
      <x:c r="I60" s="14" t="n">
        <x:v>2023</x:v>
      </x:c>
      <x:c r="J60" s="14" t="str">
        <x:v>Future Carry-Forward Cohort</x:v>
      </x:c>
      <x:c r="K60" s="14"/>
      <x:c r="L60" s="14" t="str">
        <x:v>Not inherited</x:v>
      </x:c>
      <x:c r="M60" s="15" t="n">
        <x:v>72</x:v>
      </x:c>
      <x:c r="N60" s="14" t="str">
        <x:v>Micky Bartlett</x:v>
      </x:c>
      <x:c r="O60" s="14" t="str">
        <x:v>nm4202822</x:v>
      </x:c>
      <x:c r="P60" s="14" t="str">
        <x:v>Drunk Man 2</x:v>
      </x:c>
      <x:c r="Q60" s="15" t="n">
        <x:v>1</x:v>
      </x:c>
      <x:c r="R60" s="14" t="str">
        <x:v>2025</x:v>
      </x:c>
      <x:c r="S60" s="14" t="n">
        <x:v>2025</x:v>
      </x:c>
      <x:c r="T60" s="14" t="n">
        <x:v>2025</x:v>
      </x:c>
      <x:c r="U60" s="14" t="str">
        <x:v>Explicit source first year retained</x:v>
      </x:c>
      <x:c r="V60" s="14" t="str">
        <x:v>Earliest supplied year is 2025.</x:v>
      </x:c>
      <x:c r="W60" s="14"/>
      <x:c r="X60" s="14" t="str">
        <x:v>Carried forward to 2025</x:v>
      </x:c>
      <x:c r="Y60" s="14"/>
      <x:c r="Z60" s="14" t="str">
        <x:v>Blue Lights.docx</x:v>
      </x:c>
      <x:c r="AA6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BBC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HYPERLINK("https://en.wikipedia.org/wiki/Blue_Light","Open source")</x:f>
        <x:v>HYPERLINK is not implemented. linkLocation=https://en.wikipedia.org/wiki/Blue_Light, friendlyName=Open source</x:v>
      </x:c>
      <x:c r="AN60" s="14" t="str">
        <x:v>BBC public-service commission</x:v>
      </x:c>
      <x:c r="AO60" s="14" t="str">
        <x:v>Yes</x:v>
      </x:c>
      <x:c r="AP60" s="14" t="str">
        <x:v>Direct BBC public-service scope</x:v>
      </x:c>
      <x:c r="AQ60" s="14" t="str">
        <x:v>Yes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19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0.05263157894736842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tt14466018|nm13743893|cormac</x:v>
      </x:c>
      <x:c r="B61" s="14" t="str">
        <x:v>01</x:v>
      </x:c>
      <x:c r="C61" s="14" t="str">
        <x:v>2023_IMDb_Cast_Lists_Batch_01(2).xlsx</x:v>
      </x:c>
      <x:c r="D61" s="14" t="str">
        <x:v>Blue Lights</x:v>
      </x:c>
      <x:c r="E61" s="14" t="n">
        <x:v>88</x:v>
      </x:c>
      <x:c r="F61" s="14" t="str">
        <x:v>Blue Lights</x:v>
      </x:c>
      <x:c r="G61" s="14" t="str">
        <x:v>tt14466018</x:v>
      </x:c>
      <x:c r="H61" s="14" t="n">
        <x:v>2023</x:v>
      </x:c>
      <x:c r="I61" s="14" t="n">
        <x:v>2023</x:v>
      </x:c>
      <x:c r="J61" s="14" t="str">
        <x:v>Future Carry-Forward Cohort</x:v>
      </x:c>
      <x:c r="K61" s="14"/>
      <x:c r="L61" s="14" t="str">
        <x:v>Not inherited</x:v>
      </x:c>
      <x:c r="M61" s="15" t="n">
        <x:v>81</x:v>
      </x:c>
      <x:c r="N61" s="14" t="str">
        <x:v>Owen James</x:v>
      </x:c>
      <x:c r="O61" s="14" t="str">
        <x:v>nm13743893</x:v>
      </x:c>
      <x:c r="P61" s="14" t="str">
        <x:v>Cormac</x:v>
      </x:c>
      <x:c r="Q61" s="15" t="n">
        <x:v>1</x:v>
      </x:c>
      <x:c r="R61" s="14" t="str">
        <x:v>2025</x:v>
      </x:c>
      <x:c r="S61" s="14" t="n">
        <x:v>2025</x:v>
      </x:c>
      <x:c r="T61" s="14" t="n">
        <x:v>2025</x:v>
      </x:c>
      <x:c r="U61" s="14" t="str">
        <x:v>Explicit source first year retained</x:v>
      </x:c>
      <x:c r="V61" s="14" t="str">
        <x:v>Earliest supplied year is 2025.</x:v>
      </x:c>
      <x:c r="W61" s="14"/>
      <x:c r="X61" s="14" t="str">
        <x:v>Carried forward to 2025</x:v>
      </x:c>
      <x:c r="Y61" s="14"/>
      <x:c r="Z61" s="14" t="str">
        <x:v>Blue Lights.docx</x:v>
      </x:c>
      <x:c r="AA6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BBC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HYPERLINK("https://en.wikipedia.org/wiki/Blue_Light","Open source")</x:f>
        <x:v>HYPERLINK is not implemented. linkLocation=https://en.wikipedia.org/wiki/Blue_Light, friendlyName=Open source</x:v>
      </x:c>
      <x:c r="AN61" s="14" t="str">
        <x:v>BBC public-service commission</x:v>
      </x:c>
      <x:c r="AO61" s="14" t="str">
        <x:v>Yes</x:v>
      </x:c>
      <x:c r="AP61" s="14" t="str">
        <x:v>Direct BBC public-service scope</x:v>
      </x:c>
      <x:c r="AQ61" s="14" t="str">
        <x:v>Yes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19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0.05263157894736842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tt14466018|nm1843367|natalie mcclelland</x:v>
      </x:c>
      <x:c r="B62" s="14" t="str">
        <x:v>01</x:v>
      </x:c>
      <x:c r="C62" s="14" t="str">
        <x:v>2023_IMDb_Cast_Lists_Batch_01(2).xlsx</x:v>
      </x:c>
      <x:c r="D62" s="14" t="str">
        <x:v>Blue Lights</x:v>
      </x:c>
      <x:c r="E62" s="14" t="n">
        <x:v>90</x:v>
      </x:c>
      <x:c r="F62" s="14" t="str">
        <x:v>Blue Lights</x:v>
      </x:c>
      <x:c r="G62" s="14" t="str">
        <x:v>tt14466018</x:v>
      </x:c>
      <x:c r="H62" s="14" t="n">
        <x:v>2023</x:v>
      </x:c>
      <x:c r="I62" s="14" t="n">
        <x:v>2023</x:v>
      </x:c>
      <x:c r="J62" s="14" t="str">
        <x:v>Future Carry-Forward Cohort</x:v>
      </x:c>
      <x:c r="K62" s="14"/>
      <x:c r="L62" s="14" t="str">
        <x:v>Not inherited</x:v>
      </x:c>
      <x:c r="M62" s="15" t="n">
        <x:v>83</x:v>
      </x:c>
      <x:c r="N62" s="14" t="str">
        <x:v>Sarah Lyle</x:v>
      </x:c>
      <x:c r="O62" s="14" t="str">
        <x:v>nm1843367</x:v>
      </x:c>
      <x:c r="P62" s="14" t="str">
        <x:v>Natalie McClelland</x:v>
      </x:c>
      <x:c r="Q62" s="15" t="n">
        <x:v>1</x:v>
      </x:c>
      <x:c r="R62" s="14" t="str">
        <x:v>2025</x:v>
      </x:c>
      <x:c r="S62" s="14" t="n">
        <x:v>2025</x:v>
      </x:c>
      <x:c r="T62" s="14" t="n">
        <x:v>2025</x:v>
      </x:c>
      <x:c r="U62" s="14" t="str">
        <x:v>Explicit source first year retained</x:v>
      </x:c>
      <x:c r="V62" s="14" t="str">
        <x:v>Earliest supplied year is 2025.</x:v>
      </x:c>
      <x:c r="W62" s="14"/>
      <x:c r="X62" s="14" t="str">
        <x:v>Carried forward to 2025</x:v>
      </x:c>
      <x:c r="Y62" s="14"/>
      <x:c r="Z62" s="14" t="str">
        <x:v>Blue Lights.docx</x:v>
      </x:c>
      <x:c r="AA6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BBC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HYPERLINK("https://en.wikipedia.org/wiki/Blue_Light","Open source")</x:f>
        <x:v>HYPERLINK is not implemented. linkLocation=https://en.wikipedia.org/wiki/Blue_Light, friendlyName=Open source</x:v>
      </x:c>
      <x:c r="AN62" s="14" t="str">
        <x:v>BBC public-service commission</x:v>
      </x:c>
      <x:c r="AO62" s="14" t="str">
        <x:v>Yes</x:v>
      </x:c>
      <x:c r="AP62" s="14" t="str">
        <x:v>Direct BBC public-service scope</x:v>
      </x:c>
      <x:c r="AQ62" s="14" t="str">
        <x:v>Yes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19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0.05263157894736842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tt14466018|nm9286162|mary quigley</x:v>
      </x:c>
      <x:c r="B63" s="14" t="str">
        <x:v>01</x:v>
      </x:c>
      <x:c r="C63" s="14" t="str">
        <x:v>2023_IMDb_Cast_Lists_Batch_01(2).xlsx</x:v>
      </x:c>
      <x:c r="D63" s="14" t="str">
        <x:v>Blue Lights</x:v>
      </x:c>
      <x:c r="E63" s="14" t="n">
        <x:v>92</x:v>
      </x:c>
      <x:c r="F63" s="14" t="str">
        <x:v>Blue Lights</x:v>
      </x:c>
      <x:c r="G63" s="14" t="str">
        <x:v>tt14466018</x:v>
      </x:c>
      <x:c r="H63" s="14" t="n">
        <x:v>2023</x:v>
      </x:c>
      <x:c r="I63" s="14" t="n">
        <x:v>2023</x:v>
      </x:c>
      <x:c r="J63" s="14" t="str">
        <x:v>Future Carry-Forward Cohort</x:v>
      </x:c>
      <x:c r="K63" s="14"/>
      <x:c r="L63" s="14" t="str">
        <x:v>Not inherited</x:v>
      </x:c>
      <x:c r="M63" s="15" t="n">
        <x:v>85</x:v>
      </x:c>
      <x:c r="N63" s="14" t="str">
        <x:v>Debra Hill</x:v>
      </x:c>
      <x:c r="O63" s="14" t="str">
        <x:v>nm9286162</x:v>
      </x:c>
      <x:c r="P63" s="14" t="str">
        <x:v>Mary Quigley</x:v>
      </x:c>
      <x:c r="Q63" s="15" t="n">
        <x:v>1</x:v>
      </x:c>
      <x:c r="R63" s="14" t="str">
        <x:v>2025</x:v>
      </x:c>
      <x:c r="S63" s="14" t="n">
        <x:v>2025</x:v>
      </x:c>
      <x:c r="T63" s="14" t="n">
        <x:v>2025</x:v>
      </x:c>
      <x:c r="U63" s="14" t="str">
        <x:v>Explicit source first year retained</x:v>
      </x:c>
      <x:c r="V63" s="14" t="str">
        <x:v>Earliest supplied year is 2025.</x:v>
      </x:c>
      <x:c r="W63" s="14"/>
      <x:c r="X63" s="14" t="str">
        <x:v>Carried forward to 2025</x:v>
      </x:c>
      <x:c r="Y63" s="14"/>
      <x:c r="Z63" s="14" t="str">
        <x:v>Blue Lights.docx</x:v>
      </x:c>
      <x:c r="AA6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BBC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HYPERLINK("https://en.wikipedia.org/wiki/Blue_Light","Open source")</x:f>
        <x:v>HYPERLINK is not implemented. linkLocation=https://en.wikipedia.org/wiki/Blue_Light, friendlyName=Open source</x:v>
      </x:c>
      <x:c r="AN63" s="14" t="str">
        <x:v>BBC public-service commission</x:v>
      </x:c>
      <x:c r="AO63" s="14" t="str">
        <x:v>Yes</x:v>
      </x:c>
      <x:c r="AP63" s="14" t="str">
        <x:v>Direct BBC public-service scope</x:v>
      </x:c>
      <x:c r="AQ63" s="14" t="str">
        <x:v>Yes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19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0.05263157894736842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tt14466018|nm2016082|melissa schwartz</x:v>
      </x:c>
      <x:c r="B64" s="14" t="str">
        <x:v>01</x:v>
      </x:c>
      <x:c r="C64" s="14" t="str">
        <x:v>2023_IMDb_Cast_Lists_Batch_01(2).xlsx</x:v>
      </x:c>
      <x:c r="D64" s="14" t="str">
        <x:v>Blue Lights</x:v>
      </x:c>
      <x:c r="E64" s="14" t="n">
        <x:v>94</x:v>
      </x:c>
      <x:c r="F64" s="14" t="str">
        <x:v>Blue Lights</x:v>
      </x:c>
      <x:c r="G64" s="14" t="str">
        <x:v>tt14466018</x:v>
      </x:c>
      <x:c r="H64" s="14" t="n">
        <x:v>2023</x:v>
      </x:c>
      <x:c r="I64" s="14" t="n">
        <x:v>2023</x:v>
      </x:c>
      <x:c r="J64" s="14" t="str">
        <x:v>Future Carry-Forward Cohort</x:v>
      </x:c>
      <x:c r="K64" s="14"/>
      <x:c r="L64" s="14" t="str">
        <x:v>Not inherited</x:v>
      </x:c>
      <x:c r="M64" s="15" t="n">
        <x:v>87</x:v>
      </x:c>
      <x:c r="N64" s="14" t="str">
        <x:v>Emily Dunlop</x:v>
      </x:c>
      <x:c r="O64" s="14" t="str">
        <x:v>nm2016082</x:v>
      </x:c>
      <x:c r="P64" s="14" t="str">
        <x:v>Melissa Schwartz</x:v>
      </x:c>
      <x:c r="Q64" s="15" t="n">
        <x:v>1</x:v>
      </x:c>
      <x:c r="R64" s="14" t="str">
        <x:v>2025</x:v>
      </x:c>
      <x:c r="S64" s="14" t="n">
        <x:v>2025</x:v>
      </x:c>
      <x:c r="T64" s="14" t="n">
        <x:v>2025</x:v>
      </x:c>
      <x:c r="U64" s="14" t="str">
        <x:v>Explicit source first year retained</x:v>
      </x:c>
      <x:c r="V64" s="14" t="str">
        <x:v>Earliest supplied year is 2025.</x:v>
      </x:c>
      <x:c r="W64" s="14"/>
      <x:c r="X64" s="14" t="str">
        <x:v>Carried forward to 2025</x:v>
      </x:c>
      <x:c r="Y64" s="14"/>
      <x:c r="Z64" s="14" t="str">
        <x:v>Blue Lights.docx</x:v>
      </x:c>
      <x:c r="AA6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BBC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HYPERLINK("https://en.wikipedia.org/wiki/Blue_Light","Open source")</x:f>
        <x:v>HYPERLINK is not implemented. linkLocation=https://en.wikipedia.org/wiki/Blue_Light, friendlyName=Open source</x:v>
      </x:c>
      <x:c r="AN64" s="14" t="str">
        <x:v>BBC public-service commission</x:v>
      </x:c>
      <x:c r="AO64" s="14" t="str">
        <x:v>Yes</x:v>
      </x:c>
      <x:c r="AP64" s="14" t="str">
        <x:v>Direct BBC public-service scope</x:v>
      </x:c>
      <x:c r="AQ64" s="14" t="str">
        <x:v>Yes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19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0.05263157894736842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tt14466018|nm10635675|orlaith mcclelland</x:v>
      </x:c>
      <x:c r="B65" s="14" t="str">
        <x:v>01</x:v>
      </x:c>
      <x:c r="C65" s="14" t="str">
        <x:v>2023_IMDb_Cast_Lists_Batch_01(2).xlsx</x:v>
      </x:c>
      <x:c r="D65" s="14" t="str">
        <x:v>Blue Lights</x:v>
      </x:c>
      <x:c r="E65" s="14" t="n">
        <x:v>95</x:v>
      </x:c>
      <x:c r="F65" s="14" t="str">
        <x:v>Blue Lights</x:v>
      </x:c>
      <x:c r="G65" s="14" t="str">
        <x:v>tt14466018</x:v>
      </x:c>
      <x:c r="H65" s="14" t="n">
        <x:v>2023</x:v>
      </x:c>
      <x:c r="I65" s="14" t="n">
        <x:v>2023</x:v>
      </x:c>
      <x:c r="J65" s="14" t="str">
        <x:v>Future Carry-Forward Cohort</x:v>
      </x:c>
      <x:c r="K65" s="14"/>
      <x:c r="L65" s="14" t="str">
        <x:v>Not inherited</x:v>
      </x:c>
      <x:c r="M65" s="15" t="n">
        <x:v>88</x:v>
      </x:c>
      <x:c r="N65" s="14" t="str">
        <x:v>Rosa Frazer</x:v>
      </x:c>
      <x:c r="O65" s="14" t="str">
        <x:v>nm10635675</x:v>
      </x:c>
      <x:c r="P65" s="14" t="str">
        <x:v>Orlaith McClelland</x:v>
      </x:c>
      <x:c r="Q65" s="15" t="n">
        <x:v>1</x:v>
      </x:c>
      <x:c r="R65" s="14" t="str">
        <x:v>2025</x:v>
      </x:c>
      <x:c r="S65" s="14" t="n">
        <x:v>2025</x:v>
      </x:c>
      <x:c r="T65" s="14" t="n">
        <x:v>2025</x:v>
      </x:c>
      <x:c r="U65" s="14" t="str">
        <x:v>Explicit source first year retained</x:v>
      </x:c>
      <x:c r="V65" s="14" t="str">
        <x:v>Earliest supplied year is 2025.</x:v>
      </x:c>
      <x:c r="W65" s="14"/>
      <x:c r="X65" s="14" t="str">
        <x:v>Carried forward to 2025</x:v>
      </x:c>
      <x:c r="Y65" s="14"/>
      <x:c r="Z65" s="14" t="str">
        <x:v>Blue Lights.docx</x:v>
      </x:c>
      <x:c r="AA6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BBC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HYPERLINK("https://en.wikipedia.org/wiki/Blue_Light","Open source")</x:f>
        <x:v>HYPERLINK is not implemented. linkLocation=https://en.wikipedia.org/wiki/Blue_Light, friendlyName=Open source</x:v>
      </x:c>
      <x:c r="AN65" s="14" t="str">
        <x:v>BBC public-service commission</x:v>
      </x:c>
      <x:c r="AO65" s="14" t="str">
        <x:v>Yes</x:v>
      </x:c>
      <x:c r="AP65" s="14" t="str">
        <x:v>Direct BBC public-service scope</x:v>
      </x:c>
      <x:c r="AQ65" s="14" t="str">
        <x:v>Yes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19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0.05263157894736842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tt14466018|nm2689447|eugene connolly</x:v>
      </x:c>
      <x:c r="B66" s="14" t="str">
        <x:v>01</x:v>
      </x:c>
      <x:c r="C66" s="14" t="str">
        <x:v>2023_IMDb_Cast_Lists_Batch_01(2).xlsx</x:v>
      </x:c>
      <x:c r="D66" s="14" t="str">
        <x:v>Blue Lights</x:v>
      </x:c>
      <x:c r="E66" s="14" t="n">
        <x:v>96</x:v>
      </x:c>
      <x:c r="F66" s="14" t="str">
        <x:v>Blue Lights</x:v>
      </x:c>
      <x:c r="G66" s="14" t="str">
        <x:v>tt14466018</x:v>
      </x:c>
      <x:c r="H66" s="14" t="n">
        <x:v>2023</x:v>
      </x:c>
      <x:c r="I66" s="14" t="n">
        <x:v>2023</x:v>
      </x:c>
      <x:c r="J66" s="14" t="str">
        <x:v>Future Carry-Forward Cohort</x:v>
      </x:c>
      <x:c r="K66" s="14"/>
      <x:c r="L66" s="14" t="str">
        <x:v>Not inherited</x:v>
      </x:c>
      <x:c r="M66" s="15" t="n">
        <x:v>89</x:v>
      </x:c>
      <x:c r="N66" s="14" t="str">
        <x:v>Keith Singleton</x:v>
      </x:c>
      <x:c r="O66" s="14" t="str">
        <x:v>nm2689447</x:v>
      </x:c>
      <x:c r="P66" s="14" t="str">
        <x:v>Eugene Connolly</x:v>
      </x:c>
      <x:c r="Q66" s="15" t="n">
        <x:v>1</x:v>
      </x:c>
      <x:c r="R66" s="14" t="str">
        <x:v>2025</x:v>
      </x:c>
      <x:c r="S66" s="14" t="n">
        <x:v>2025</x:v>
      </x:c>
      <x:c r="T66" s="14" t="n">
        <x:v>2025</x:v>
      </x:c>
      <x:c r="U66" s="14" t="str">
        <x:v>Explicit source first year retained</x:v>
      </x:c>
      <x:c r="V66" s="14" t="str">
        <x:v>Earliest supplied year is 2025.</x:v>
      </x:c>
      <x:c r="W66" s="14"/>
      <x:c r="X66" s="14" t="str">
        <x:v>Carried forward to 2025</x:v>
      </x:c>
      <x:c r="Y66" s="14"/>
      <x:c r="Z66" s="14" t="str">
        <x:v>Blue Lights.docx</x:v>
      </x:c>
      <x:c r="AA6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BBC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HYPERLINK("https://en.wikipedia.org/wiki/Blue_Light","Open source")</x:f>
        <x:v>HYPERLINK is not implemented. linkLocation=https://en.wikipedia.org/wiki/Blue_Light, friendlyName=Open source</x:v>
      </x:c>
      <x:c r="AN66" s="14" t="str">
        <x:v>BBC public-service commission</x:v>
      </x:c>
      <x:c r="AO66" s="14" t="str">
        <x:v>Yes</x:v>
      </x:c>
      <x:c r="AP66" s="14" t="str">
        <x:v>Direct BBC public-service scope</x:v>
      </x:c>
      <x:c r="AQ66" s="14" t="str">
        <x:v>Yes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19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0.05263157894736842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tt14466018|nm1380296|bobby</x:v>
      </x:c>
      <x:c r="B67" s="14" t="str">
        <x:v>01</x:v>
      </x:c>
      <x:c r="C67" s="14" t="str">
        <x:v>2023_IMDb_Cast_Lists_Batch_01(2).xlsx</x:v>
      </x:c>
      <x:c r="D67" s="14" t="str">
        <x:v>Blue Lights</x:v>
      </x:c>
      <x:c r="E67" s="14" t="n">
        <x:v>100</x:v>
      </x:c>
      <x:c r="F67" s="14" t="str">
        <x:v>Blue Lights</x:v>
      </x:c>
      <x:c r="G67" s="14" t="str">
        <x:v>tt14466018</x:v>
      </x:c>
      <x:c r="H67" s="14" t="n">
        <x:v>2023</x:v>
      </x:c>
      <x:c r="I67" s="14" t="n">
        <x:v>2023</x:v>
      </x:c>
      <x:c r="J67" s="14" t="str">
        <x:v>Future Carry-Forward Cohort</x:v>
      </x:c>
      <x:c r="K67" s="14"/>
      <x:c r="L67" s="14" t="str">
        <x:v>Not inherited</x:v>
      </x:c>
      <x:c r="M67" s="15" t="n">
        <x:v>93</x:v>
      </x:c>
      <x:c r="N67" s="14" t="str">
        <x:v>Vincent Higgins</x:v>
      </x:c>
      <x:c r="O67" s="14" t="str">
        <x:v>nm1380296</x:v>
      </x:c>
      <x:c r="P67" s="14" t="str">
        <x:v>Bobby</x:v>
      </x:c>
      <x:c r="Q67" s="15" t="n">
        <x:v>1</x:v>
      </x:c>
      <x:c r="R67" s="14" t="str">
        <x:v>2025</x:v>
      </x:c>
      <x:c r="S67" s="14" t="n">
        <x:v>2025</x:v>
      </x:c>
      <x:c r="T67" s="14" t="n">
        <x:v>2025</x:v>
      </x:c>
      <x:c r="U67" s="14" t="str">
        <x:v>Explicit source first year retained</x:v>
      </x:c>
      <x:c r="V67" s="14" t="str">
        <x:v>Earliest supplied year is 2025.</x:v>
      </x:c>
      <x:c r="W67" s="14"/>
      <x:c r="X67" s="14" t="str">
        <x:v>Carried forward to 2025</x:v>
      </x:c>
      <x:c r="Y67" s="14"/>
      <x:c r="Z67" s="14" t="str">
        <x:v>Blue Lights.docx</x:v>
      </x:c>
      <x:c r="AA6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BBC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HYPERLINK("https://en.wikipedia.org/wiki/Blue_Light","Open source")</x:f>
        <x:v>HYPERLINK is not implemented. linkLocation=https://en.wikipedia.org/wiki/Blue_Light, friendlyName=Open source</x:v>
      </x:c>
      <x:c r="AN67" s="14" t="str">
        <x:v>BBC public-service commission</x:v>
      </x:c>
      <x:c r="AO67" s="14" t="str">
        <x:v>Yes</x:v>
      </x:c>
      <x:c r="AP67" s="14" t="str">
        <x:v>Direct BBC public-service scope</x:v>
      </x:c>
      <x:c r="AQ67" s="14" t="str">
        <x:v>Yes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19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0.05263157894736842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tt14466018|nm17423596|ciaran o'boyle</x:v>
      </x:c>
      <x:c r="B68" s="14" t="str">
        <x:v>01</x:v>
      </x:c>
      <x:c r="C68" s="14" t="str">
        <x:v>2023_IMDb_Cast_Lists_Batch_01(2).xlsx</x:v>
      </x:c>
      <x:c r="D68" s="14" t="str">
        <x:v>Blue Lights</x:v>
      </x:c>
      <x:c r="E68" s="14" t="n">
        <x:v>103</x:v>
      </x:c>
      <x:c r="F68" s="14" t="str">
        <x:v>Blue Lights</x:v>
      </x:c>
      <x:c r="G68" s="14" t="str">
        <x:v>tt14466018</x:v>
      </x:c>
      <x:c r="H68" s="14" t="n">
        <x:v>2023</x:v>
      </x:c>
      <x:c r="I68" s="14" t="n">
        <x:v>2023</x:v>
      </x:c>
      <x:c r="J68" s="14" t="str">
        <x:v>Future Carry-Forward Cohort</x:v>
      </x:c>
      <x:c r="K68" s="14"/>
      <x:c r="L68" s="14" t="str">
        <x:v>Not inherited</x:v>
      </x:c>
      <x:c r="M68" s="15" t="n">
        <x:v>96</x:v>
      </x:c>
      <x:c r="N68" s="14" t="str">
        <x:v>Paul Storrs</x:v>
      </x:c>
      <x:c r="O68" s="14" t="str">
        <x:v>nm17423596</x:v>
      </x:c>
      <x:c r="P68" s="14" t="str">
        <x:v>Ciaran O'Boyle</x:v>
      </x:c>
      <x:c r="Q68" s="15" t="n">
        <x:v>1</x:v>
      </x:c>
      <x:c r="R68" s="14" t="str">
        <x:v>2025</x:v>
      </x:c>
      <x:c r="S68" s="14" t="n">
        <x:v>2025</x:v>
      </x:c>
      <x:c r="T68" s="14" t="n">
        <x:v>2025</x:v>
      </x:c>
      <x:c r="U68" s="14" t="str">
        <x:v>Explicit source first year retained</x:v>
      </x:c>
      <x:c r="V68" s="14" t="str">
        <x:v>Earliest supplied year is 2025.</x:v>
      </x:c>
      <x:c r="W68" s="14"/>
      <x:c r="X68" s="14" t="str">
        <x:v>Carried forward to 2025</x:v>
      </x:c>
      <x:c r="Y68" s="14"/>
      <x:c r="Z68" s="14" t="str">
        <x:v>Blue Lights.docx</x:v>
      </x:c>
      <x:c r="AA6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BBC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HYPERLINK("https://en.wikipedia.org/wiki/Blue_Light","Open source")</x:f>
        <x:v>HYPERLINK is not implemented. linkLocation=https://en.wikipedia.org/wiki/Blue_Light, friendlyName=Open source</x:v>
      </x:c>
      <x:c r="AN68" s="14" t="str">
        <x:v>BBC public-service commission</x:v>
      </x:c>
      <x:c r="AO68" s="14" t="str">
        <x:v>Yes</x:v>
      </x:c>
      <x:c r="AP68" s="14" t="str">
        <x:v>Direct BBC public-service scope</x:v>
      </x:c>
      <x:c r="AQ68" s="14" t="str">
        <x:v>Yes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19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0.05263157894736842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tt14466018|nm3671126|richmond</x:v>
      </x:c>
      <x:c r="B69" s="14" t="str">
        <x:v>01</x:v>
      </x:c>
      <x:c r="C69" s="14" t="str">
        <x:v>2023_IMDb_Cast_Lists_Batch_01(2).xlsx</x:v>
      </x:c>
      <x:c r="D69" s="14" t="str">
        <x:v>Blue Lights</x:v>
      </x:c>
      <x:c r="E69" s="14" t="n">
        <x:v>104</x:v>
      </x:c>
      <x:c r="F69" s="14" t="str">
        <x:v>Blue Lights</x:v>
      </x:c>
      <x:c r="G69" s="14" t="str">
        <x:v>tt14466018</x:v>
      </x:c>
      <x:c r="H69" s="14" t="n">
        <x:v>2023</x:v>
      </x:c>
      <x:c r="I69" s="14" t="n">
        <x:v>2023</x:v>
      </x:c>
      <x:c r="J69" s="14" t="str">
        <x:v>Future Carry-Forward Cohort</x:v>
      </x:c>
      <x:c r="K69" s="14"/>
      <x:c r="L69" s="14" t="str">
        <x:v>Not inherited</x:v>
      </x:c>
      <x:c r="M69" s="15" t="n">
        <x:v>97</x:v>
      </x:c>
      <x:c r="N69" s="14" t="str">
        <x:v>Peter Mitchell</x:v>
      </x:c>
      <x:c r="O69" s="14" t="str">
        <x:v>nm3671126</x:v>
      </x:c>
      <x:c r="P69" s="14" t="str">
        <x:v>Richmond</x:v>
      </x:c>
      <x:c r="Q69" s="15" t="n">
        <x:v>1</x:v>
      </x:c>
      <x:c r="R69" s="14" t="str">
        <x:v>2025</x:v>
      </x:c>
      <x:c r="S69" s="14" t="n">
        <x:v>2025</x:v>
      </x:c>
      <x:c r="T69" s="14" t="n">
        <x:v>2025</x:v>
      </x:c>
      <x:c r="U69" s="14" t="str">
        <x:v>Explicit source first year retained</x:v>
      </x:c>
      <x:c r="V69" s="14" t="str">
        <x:v>Earliest supplied year is 2025.</x:v>
      </x:c>
      <x:c r="W69" s="14"/>
      <x:c r="X69" s="14" t="str">
        <x:v>Carried forward to 2025</x:v>
      </x:c>
      <x:c r="Y69" s="14"/>
      <x:c r="Z69" s="14" t="str">
        <x:v>Blue Lights.docx</x:v>
      </x:c>
      <x:c r="AA6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69" s="14" t="str">
        <x:v>Existing established-register match</x:v>
      </x:c>
      <x:c r="AC69" s="14" t="str">
        <x:v>Wheelchair user | Physical disability</x:v>
      </x:c>
      <x:c r="AD69" s="14" t="str">
        <x:v>Existing register classification: Wheelchair user | Physical disability</x:v>
      </x:c>
      <x:c r="AE69" s="14" t="str">
        <x:v>Established_Disability_Category_Register V1.2.xlsx</x:v>
      </x:c>
      <x:c r="AF69" s="14"/>
      <x:c r="AG69" s="14" t="str">
        <x:v>Established user-supplied classification retained for deduplication; evidence was not re-researched in this batch.</x:v>
      </x:c>
      <x:c r="AH69" s="14" t="str">
        <x:v>BBC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HYPERLINK("https://en.wikipedia.org/wiki/Blue_Light","Open source")</x:f>
        <x:v>HYPERLINK is not implemented. linkLocation=https://en.wikipedia.org/wiki/Blue_Light, friendlyName=Open source</x:v>
      </x:c>
      <x:c r="AN69" s="14" t="str">
        <x:v>BBC public-service commission</x:v>
      </x:c>
      <x:c r="AO69" s="14" t="str">
        <x:v>Yes</x:v>
      </x:c>
      <x:c r="AP69" s="14" t="str">
        <x:v>Direct BBC public-service scope</x:v>
      </x:c>
      <x:c r="AQ69" s="14" t="str">
        <x:v>Yes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Exact IMDb performer ID match</x:v>
      </x:c>
      <x:c r="BC69" s="14" t="str">
        <x:v>nm3671126</x:v>
      </x:c>
      <x:c r="BD69" s="14" t="str">
        <x:v>Peter Mitchell</x:v>
      </x:c>
      <x:c r="BE69" s="14" t="str">
        <x:v>Wheelchair user | Physical disability</x:v>
      </x:c>
      <x:c r="BF69" s="14" t="str">
        <x:v>Yes</x:v>
      </x:c>
      <x:c r="BG69" s="14" t="str">
        <x:v>Wheelchair user | Physical disability</x:v>
      </x:c>
      <x:c r="BH69" s="14" t="str">
        <x:v>No</x:v>
      </x:c>
      <x:c r="BI69" s="14" t="str">
        <x:v>User-supplied established classification</x:v>
      </x:c>
      <x:c r="BJ69" s="14" t="str">
        <x:v>03_Wheelchair_user.csv | 04_Physical_disability.csv</x:v>
      </x:c>
      <x:c r="BK69" s="14"/>
      <x:c r="BL69" s="14" t="str">
        <x:v>Matched</x:v>
      </x:c>
      <x:c r="BM69" s="14" t="str">
        <x:v>Final supplied register</x:v>
      </x:c>
      <x:c r="BN69" s="14"/>
      <x:c r="BO69" s="14" t="n">
        <x:v>19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</x:v>
      </x:c>
      <x:c r="BS69" s="16" t="n">
        <x:v>0.05263157894736842</x:v>
      </x:c>
      <x:c r="BT69" s="14" t="str">
        <x:v>One episode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tt14466018|nm3296429|pete maginn</x:v>
      </x:c>
      <x:c r="B70" s="14" t="str">
        <x:v>01</x:v>
      </x:c>
      <x:c r="C70" s="14" t="str">
        <x:v>2023_IMDb_Cast_Lists_Batch_01(2).xlsx</x:v>
      </x:c>
      <x:c r="D70" s="14" t="str">
        <x:v>Blue Lights</x:v>
      </x:c>
      <x:c r="E70" s="14" t="n">
        <x:v>105</x:v>
      </x:c>
      <x:c r="F70" s="14" t="str">
        <x:v>Blue Lights</x:v>
      </x:c>
      <x:c r="G70" s="14" t="str">
        <x:v>tt14466018</x:v>
      </x:c>
      <x:c r="H70" s="14" t="n">
        <x:v>2023</x:v>
      </x:c>
      <x:c r="I70" s="14" t="n">
        <x:v>2023</x:v>
      </x:c>
      <x:c r="J70" s="14" t="str">
        <x:v>Future Carry-Forward Cohort</x:v>
      </x:c>
      <x:c r="K70" s="14"/>
      <x:c r="L70" s="14" t="str">
        <x:v>Not inherited</x:v>
      </x:c>
      <x:c r="M70" s="15" t="n">
        <x:v>98</x:v>
      </x:c>
      <x:c r="N70" s="14" t="str">
        <x:v>Stephen Kelly</x:v>
      </x:c>
      <x:c r="O70" s="14" t="str">
        <x:v>nm3296429</x:v>
      </x:c>
      <x:c r="P70" s="14" t="str">
        <x:v>Pete Maginn</x:v>
      </x:c>
      <x:c r="Q70" s="15" t="n">
        <x:v>1</x:v>
      </x:c>
      <x:c r="R70" s="14" t="str">
        <x:v>2025</x:v>
      </x:c>
      <x:c r="S70" s="14" t="n">
        <x:v>2025</x:v>
      </x:c>
      <x:c r="T70" s="14" t="n">
        <x:v>2025</x:v>
      </x:c>
      <x:c r="U70" s="14" t="str">
        <x:v>Explicit source first year retained</x:v>
      </x:c>
      <x:c r="V70" s="14" t="str">
        <x:v>Earliest supplied year is 2025.</x:v>
      </x:c>
      <x:c r="W70" s="14"/>
      <x:c r="X70" s="14" t="str">
        <x:v>Carried forward to 2025</x:v>
      </x:c>
      <x:c r="Y70" s="14"/>
      <x:c r="Z70" s="14" t="str">
        <x:v>Blue Lights.docx</x:v>
      </x:c>
      <x:c r="AA7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BBC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HYPERLINK("https://en.wikipedia.org/wiki/Blue_Light","Open source")</x:f>
        <x:v>HYPERLINK is not implemented. linkLocation=https://en.wikipedia.org/wiki/Blue_Light, friendlyName=Open source</x:v>
      </x:c>
      <x:c r="AN70" s="14" t="str">
        <x:v>BBC public-service commission</x:v>
      </x:c>
      <x:c r="AO70" s="14" t="str">
        <x:v>Yes</x:v>
      </x:c>
      <x:c r="AP70" s="14" t="str">
        <x:v>Direct BBC public-service scope</x:v>
      </x:c>
      <x:c r="AQ70" s="14" t="str">
        <x:v>Yes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19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1</x:v>
      </x:c>
      <x:c r="BS70" s="16" t="n">
        <x:v>0.05263157894736842</x:v>
      </x:c>
      <x:c r="BT70" s="14" t="str">
        <x:v>One episode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tt14466018|nm14809577|kenny</x:v>
      </x:c>
      <x:c r="B71" s="14" t="str">
        <x:v>01</x:v>
      </x:c>
      <x:c r="C71" s="14" t="str">
        <x:v>2023_IMDb_Cast_Lists_Batch_01(2).xlsx</x:v>
      </x:c>
      <x:c r="D71" s="14" t="str">
        <x:v>Blue Lights</x:v>
      </x:c>
      <x:c r="E71" s="14" t="n">
        <x:v>107</x:v>
      </x:c>
      <x:c r="F71" s="14" t="str">
        <x:v>Blue Lights</x:v>
      </x:c>
      <x:c r="G71" s="14" t="str">
        <x:v>tt14466018</x:v>
      </x:c>
      <x:c r="H71" s="14" t="n">
        <x:v>2023</x:v>
      </x:c>
      <x:c r="I71" s="14" t="n">
        <x:v>2023</x:v>
      </x:c>
      <x:c r="J71" s="14" t="str">
        <x:v>Future Carry-Forward Cohort</x:v>
      </x:c>
      <x:c r="K71" s="14"/>
      <x:c r="L71" s="14" t="str">
        <x:v>Not inherited</x:v>
      </x:c>
      <x:c r="M71" s="15" t="n">
        <x:v>100</x:v>
      </x:c>
      <x:c r="N71" s="14" t="str">
        <x:v>Adam Murphy</x:v>
      </x:c>
      <x:c r="O71" s="14" t="str">
        <x:v>nm14809577</x:v>
      </x:c>
      <x:c r="P71" s="14" t="str">
        <x:v>Kenny</x:v>
      </x:c>
      <x:c r="Q71" s="15" t="n">
        <x:v>1</x:v>
      </x:c>
      <x:c r="R71" s="14" t="str">
        <x:v>2025</x:v>
      </x:c>
      <x:c r="S71" s="14" t="n">
        <x:v>2025</x:v>
      </x:c>
      <x:c r="T71" s="14" t="n">
        <x:v>2025</x:v>
      </x:c>
      <x:c r="U71" s="14" t="str">
        <x:v>Explicit source first year retained</x:v>
      </x:c>
      <x:c r="V71" s="14" t="str">
        <x:v>Earliest supplied year is 2025.</x:v>
      </x:c>
      <x:c r="W71" s="14"/>
      <x:c r="X71" s="14" t="str">
        <x:v>Carried forward to 2025</x:v>
      </x:c>
      <x:c r="Y71" s="14"/>
      <x:c r="Z71" s="14" t="str">
        <x:v>Blue Lights.docx</x:v>
      </x:c>
      <x:c r="AA7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BBC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HYPERLINK("https://en.wikipedia.org/wiki/Blue_Light","Open source")</x:f>
        <x:v>HYPERLINK is not implemented. linkLocation=https://en.wikipedia.org/wiki/Blue_Light, friendlyName=Open source</x:v>
      </x:c>
      <x:c r="AN71" s="14" t="str">
        <x:v>BBC public-service commission</x:v>
      </x:c>
      <x:c r="AO71" s="14" t="str">
        <x:v>Yes</x:v>
      </x:c>
      <x:c r="AP71" s="14" t="str">
        <x:v>Direct BBC public-service scope</x:v>
      </x:c>
      <x:c r="AQ71" s="14" t="str">
        <x:v>Yes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19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1</x:v>
      </x:c>
      <x:c r="BS71" s="16" t="n">
        <x:v>0.05263157894736842</x:v>
      </x:c>
      <x:c r="BT71" s="14" t="str">
        <x:v>One episode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tt14466018|nm7965844|sammi bei</x:v>
      </x:c>
      <x:c r="B72" s="14" t="str">
        <x:v>01</x:v>
      </x:c>
      <x:c r="C72" s="14" t="str">
        <x:v>2023_IMDb_Cast_Lists_Batch_01(2).xlsx</x:v>
      </x:c>
      <x:c r="D72" s="14" t="str">
        <x:v>Blue Lights</x:v>
      </x:c>
      <x:c r="E72" s="14" t="n">
        <x:v>116</x:v>
      </x:c>
      <x:c r="F72" s="14" t="str">
        <x:v>Blue Lights</x:v>
      </x:c>
      <x:c r="G72" s="14" t="str">
        <x:v>tt14466018</x:v>
      </x:c>
      <x:c r="H72" s="14" t="n">
        <x:v>2023</x:v>
      </x:c>
      <x:c r="I72" s="14" t="n">
        <x:v>2023</x:v>
      </x:c>
      <x:c r="J72" s="14" t="str">
        <x:v>Future Carry-Forward Cohort</x:v>
      </x:c>
      <x:c r="K72" s="14"/>
      <x:c r="L72" s="14" t="str">
        <x:v>Not inherited</x:v>
      </x:c>
      <x:c r="M72" s="15" t="n">
        <x:v>109</x:v>
      </x:c>
      <x:c r="N72" s="14" t="str">
        <x:v>Mei Mac</x:v>
      </x:c>
      <x:c r="O72" s="14" t="str">
        <x:v>nm7965844</x:v>
      </x:c>
      <x:c r="P72" s="14" t="str">
        <x:v>Sammi Bei</x:v>
      </x:c>
      <x:c r="Q72" s="15" t="n">
        <x:v>1</x:v>
      </x:c>
      <x:c r="R72" s="14" t="str">
        <x:v>2025</x:v>
      </x:c>
      <x:c r="S72" s="14" t="n">
        <x:v>2025</x:v>
      </x:c>
      <x:c r="T72" s="14" t="n">
        <x:v>2025</x:v>
      </x:c>
      <x:c r="U72" s="14" t="str">
        <x:v>Explicit source first year retained</x:v>
      </x:c>
      <x:c r="V72" s="14" t="str">
        <x:v>Earliest supplied year is 2025.</x:v>
      </x:c>
      <x:c r="W72" s="14"/>
      <x:c r="X72" s="14" t="str">
        <x:v>Carried forward to 2025</x:v>
      </x:c>
      <x:c r="Y72" s="14"/>
      <x:c r="Z72" s="14" t="str">
        <x:v>Blue Lights.docx</x:v>
      </x:c>
      <x:c r="AA7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BBC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HYPERLINK("https://en.wikipedia.org/wiki/Blue_Light","Open source")</x:f>
        <x:v>HYPERLINK is not implemented. linkLocation=https://en.wikipedia.org/wiki/Blue_Light, friendlyName=Open source</x:v>
      </x:c>
      <x:c r="AN72" s="14" t="str">
        <x:v>BBC public-service commission</x:v>
      </x:c>
      <x:c r="AO72" s="14" t="str">
        <x:v>Yes</x:v>
      </x:c>
      <x:c r="AP72" s="14" t="str">
        <x:v>Direct BBC public-service scope</x:v>
      </x:c>
      <x:c r="AQ72" s="14" t="str">
        <x:v>Yes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19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1</x:v>
      </x:c>
      <x:c r="BS72" s="16" t="n">
        <x:v>0.05263157894736842</x:v>
      </x:c>
      <x:c r="BT72" s="14" t="str">
        <x:v>One episode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tt14466018|nm7220172|ro</x:v>
      </x:c>
      <x:c r="B73" s="14" t="str">
        <x:v>01</x:v>
      </x:c>
      <x:c r="C73" s="14" t="str">
        <x:v>2023_IMDb_Cast_Lists_Batch_01(2).xlsx</x:v>
      </x:c>
      <x:c r="D73" s="14" t="str">
        <x:v>Blue Lights</x:v>
      </x:c>
      <x:c r="E73" s="14" t="n">
        <x:v>117</x:v>
      </x:c>
      <x:c r="F73" s="14" t="str">
        <x:v>Blue Lights</x:v>
      </x:c>
      <x:c r="G73" s="14" t="str">
        <x:v>tt14466018</x:v>
      </x:c>
      <x:c r="H73" s="14" t="n">
        <x:v>2023</x:v>
      </x:c>
      <x:c r="I73" s="14" t="n">
        <x:v>2023</x:v>
      </x:c>
      <x:c r="J73" s="14" t="str">
        <x:v>Future Carry-Forward Cohort</x:v>
      </x:c>
      <x:c r="K73" s="14"/>
      <x:c r="L73" s="14" t="str">
        <x:v>Not inherited</x:v>
      </x:c>
      <x:c r="M73" s="15" t="n">
        <x:v>110</x:v>
      </x:c>
      <x:c r="N73" s="14" t="str">
        <x:v>Mary O'Loan</x:v>
      </x:c>
      <x:c r="O73" s="14" t="str">
        <x:v>nm7220172</x:v>
      </x:c>
      <x:c r="P73" s="14" t="str">
        <x:v>Ro</x:v>
      </x:c>
      <x:c r="Q73" s="15" t="n">
        <x:v>1</x:v>
      </x:c>
      <x:c r="R73" s="14" t="str">
        <x:v>2025</x:v>
      </x:c>
      <x:c r="S73" s="14" t="n">
        <x:v>2025</x:v>
      </x:c>
      <x:c r="T73" s="14" t="n">
        <x:v>2025</x:v>
      </x:c>
      <x:c r="U73" s="14" t="str">
        <x:v>Explicit source first year retained</x:v>
      </x:c>
      <x:c r="V73" s="14" t="str">
        <x:v>Earliest supplied year is 2025.</x:v>
      </x:c>
      <x:c r="W73" s="14"/>
      <x:c r="X73" s="14" t="str">
        <x:v>Carried forward to 2025</x:v>
      </x:c>
      <x:c r="Y73" s="14"/>
      <x:c r="Z73" s="14" t="str">
        <x:v>Blue Lights.docx</x:v>
      </x:c>
      <x:c r="AA7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BBC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HYPERLINK("https://en.wikipedia.org/wiki/Blue_Light","Open source")</x:f>
        <x:v>HYPERLINK is not implemented. linkLocation=https://en.wikipedia.org/wiki/Blue_Light, friendlyName=Open source</x:v>
      </x:c>
      <x:c r="AN73" s="14" t="str">
        <x:v>BBC public-service commission</x:v>
      </x:c>
      <x:c r="AO73" s="14" t="str">
        <x:v>Yes</x:v>
      </x:c>
      <x:c r="AP73" s="14" t="str">
        <x:v>Direct BBC public-service scope</x:v>
      </x:c>
      <x:c r="AQ73" s="14" t="str">
        <x:v>Yes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19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1</x:v>
      </x:c>
      <x:c r="BS73" s="16" t="n">
        <x:v>0.05263157894736842</x:v>
      </x:c>
      <x:c r="BT73" s="14" t="str">
        <x:v>One episode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tt14466018|nm0510180|raymie</x:v>
      </x:c>
      <x:c r="B74" s="14" t="str">
        <x:v>01</x:v>
      </x:c>
      <x:c r="C74" s="14" t="str">
        <x:v>2023_IMDb_Cast_Lists_Batch_01(2).xlsx</x:v>
      </x:c>
      <x:c r="D74" s="14" t="str">
        <x:v>Blue Lights</x:v>
      </x:c>
      <x:c r="E74" s="14" t="n">
        <x:v>122</x:v>
      </x:c>
      <x:c r="F74" s="14" t="str">
        <x:v>Blue Lights</x:v>
      </x:c>
      <x:c r="G74" s="14" t="str">
        <x:v>tt14466018</x:v>
      </x:c>
      <x:c r="H74" s="14" t="n">
        <x:v>2023</x:v>
      </x:c>
      <x:c r="I74" s="14" t="n">
        <x:v>2023</x:v>
      </x:c>
      <x:c r="J74" s="14" t="str">
        <x:v>Future Carry-Forward Cohort</x:v>
      </x:c>
      <x:c r="K74" s="14"/>
      <x:c r="L74" s="14" t="str">
        <x:v>Not inherited</x:v>
      </x:c>
      <x:c r="M74" s="15" t="n">
        <x:v>115</x:v>
      </x:c>
      <x:c r="N74" s="14" t="str">
        <x:v>Gary Lilburn</x:v>
      </x:c>
      <x:c r="O74" s="14" t="str">
        <x:v>nm0510180</x:v>
      </x:c>
      <x:c r="P74" s="14" t="str">
        <x:v>Raymie</x:v>
      </x:c>
      <x:c r="Q74" s="15" t="n">
        <x:v>1</x:v>
      </x:c>
      <x:c r="R74" s="14" t="str">
        <x:v>2025</x:v>
      </x:c>
      <x:c r="S74" s="14" t="n">
        <x:v>2025</x:v>
      </x:c>
      <x:c r="T74" s="14" t="n">
        <x:v>2025</x:v>
      </x:c>
      <x:c r="U74" s="14" t="str">
        <x:v>Explicit source first year retained</x:v>
      </x:c>
      <x:c r="V74" s="14" t="str">
        <x:v>Earliest supplied year is 2025.</x:v>
      </x:c>
      <x:c r="W74" s="14"/>
      <x:c r="X74" s="14" t="str">
        <x:v>Carried forward to 2025</x:v>
      </x:c>
      <x:c r="Y74" s="14"/>
      <x:c r="Z74" s="14" t="str">
        <x:v>Blue Lights.docx</x:v>
      </x:c>
      <x:c r="AA7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BBC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HYPERLINK("https://en.wikipedia.org/wiki/Blue_Light","Open source")</x:f>
        <x:v>HYPERLINK is not implemented. linkLocation=https://en.wikipedia.org/wiki/Blue_Light, friendlyName=Open source</x:v>
      </x:c>
      <x:c r="AN74" s="14" t="str">
        <x:v>BBC public-service commission</x:v>
      </x:c>
      <x:c r="AO74" s="14" t="str">
        <x:v>Yes</x:v>
      </x:c>
      <x:c r="AP74" s="14" t="str">
        <x:v>Direct BBC public-service scope</x:v>
      </x:c>
      <x:c r="AQ74" s="14" t="str">
        <x:v>Yes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19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0.05263157894736842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tt14466018|nm1944242|gavin bunting</x:v>
      </x:c>
      <x:c r="B75" s="14" t="str">
        <x:v>01</x:v>
      </x:c>
      <x:c r="C75" s="14" t="str">
        <x:v>2023_IMDb_Cast_Lists_Batch_01(2).xlsx</x:v>
      </x:c>
      <x:c r="D75" s="14" t="str">
        <x:v>Blue Lights</x:v>
      </x:c>
      <x:c r="E75" s="14" t="n">
        <x:v>123</x:v>
      </x:c>
      <x:c r="F75" s="14" t="str">
        <x:v>Blue Lights</x:v>
      </x:c>
      <x:c r="G75" s="14" t="str">
        <x:v>tt14466018</x:v>
      </x:c>
      <x:c r="H75" s="14" t="n">
        <x:v>2023</x:v>
      </x:c>
      <x:c r="I75" s="14" t="n">
        <x:v>2023</x:v>
      </x:c>
      <x:c r="J75" s="14" t="str">
        <x:v>Future Carry-Forward Cohort</x:v>
      </x:c>
      <x:c r="K75" s="14"/>
      <x:c r="L75" s="14" t="str">
        <x:v>Not inherited</x:v>
      </x:c>
      <x:c r="M75" s="15" t="n">
        <x:v>116</x:v>
      </x:c>
      <x:c r="N75" s="14" t="str">
        <x:v>Patrick Buchanan</x:v>
      </x:c>
      <x:c r="O75" s="14" t="str">
        <x:v>nm1944242</x:v>
      </x:c>
      <x:c r="P75" s="14" t="str">
        <x:v>Gavin Bunting</x:v>
      </x:c>
      <x:c r="Q75" s="15" t="n">
        <x:v>1</x:v>
      </x:c>
      <x:c r="R75" s="14" t="str">
        <x:v>2025</x:v>
      </x:c>
      <x:c r="S75" s="14" t="n">
        <x:v>2025</x:v>
      </x:c>
      <x:c r="T75" s="14" t="n">
        <x:v>2025</x:v>
      </x:c>
      <x:c r="U75" s="14" t="str">
        <x:v>Explicit source first year retained</x:v>
      </x:c>
      <x:c r="V75" s="14" t="str">
        <x:v>Earliest supplied year is 2025.</x:v>
      </x:c>
      <x:c r="W75" s="14"/>
      <x:c r="X75" s="14" t="str">
        <x:v>Carried forward to 2025</x:v>
      </x:c>
      <x:c r="Y75" s="14"/>
      <x:c r="Z75" s="14" t="str">
        <x:v>Blue Lights.docx</x:v>
      </x:c>
      <x:c r="AA7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BBC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HYPERLINK("https://en.wikipedia.org/wiki/Blue_Light","Open source")</x:f>
        <x:v>HYPERLINK is not implemented. linkLocation=https://en.wikipedia.org/wiki/Blue_Light, friendlyName=Open source</x:v>
      </x:c>
      <x:c r="AN75" s="14" t="str">
        <x:v>BBC public-service commission</x:v>
      </x:c>
      <x:c r="AO75" s="14" t="str">
        <x:v>Yes</x:v>
      </x:c>
      <x:c r="AP75" s="14" t="str">
        <x:v>Direct BBC public-service scope</x:v>
      </x:c>
      <x:c r="AQ75" s="14" t="str">
        <x:v>Yes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19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0.05263157894736842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tt14466018|nm10725242|dj at party</x:v>
      </x:c>
      <x:c r="B76" s="14" t="str">
        <x:v>01</x:v>
      </x:c>
      <x:c r="C76" s="14" t="str">
        <x:v>2023_IMDb_Cast_Lists_Batch_01(2).xlsx</x:v>
      </x:c>
      <x:c r="D76" s="14" t="str">
        <x:v>Blue Lights</x:v>
      </x:c>
      <x:c r="E76" s="14" t="n">
        <x:v>124</x:v>
      </x:c>
      <x:c r="F76" s="14" t="str">
        <x:v>Blue Lights</x:v>
      </x:c>
      <x:c r="G76" s="14" t="str">
        <x:v>tt14466018</x:v>
      </x:c>
      <x:c r="H76" s="14" t="n">
        <x:v>2023</x:v>
      </x:c>
      <x:c r="I76" s="14" t="n">
        <x:v>2023</x:v>
      </x:c>
      <x:c r="J76" s="14" t="str">
        <x:v>Future Carry-Forward Cohort</x:v>
      </x:c>
      <x:c r="K76" s="14"/>
      <x:c r="L76" s="14" t="str">
        <x:v>Not inherited</x:v>
      </x:c>
      <x:c r="M76" s="15" t="n">
        <x:v>117</x:v>
      </x:c>
      <x:c r="N76" s="14" t="str">
        <x:v>Adam Patterson</x:v>
      </x:c>
      <x:c r="O76" s="14" t="str">
        <x:v>nm10725242</x:v>
      </x:c>
      <x:c r="P76" s="14" t="str">
        <x:v>DJ at Party</x:v>
      </x:c>
      <x:c r="Q76" s="15" t="n">
        <x:v>1</x:v>
      </x:c>
      <x:c r="R76" s="14" t="str">
        <x:v>2025</x:v>
      </x:c>
      <x:c r="S76" s="14" t="n">
        <x:v>2025</x:v>
      </x:c>
      <x:c r="T76" s="14" t="n">
        <x:v>2025</x:v>
      </x:c>
      <x:c r="U76" s="14" t="str">
        <x:v>Explicit source first year retained</x:v>
      </x:c>
      <x:c r="V76" s="14" t="str">
        <x:v>Earliest supplied year is 2025.</x:v>
      </x:c>
      <x:c r="W76" s="14"/>
      <x:c r="X76" s="14" t="str">
        <x:v>Carried forward to 2025</x:v>
      </x:c>
      <x:c r="Y76" s="14"/>
      <x:c r="Z76" s="14" t="str">
        <x:v>Blue Lights.docx</x:v>
      </x:c>
      <x:c r="AA7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BBC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HYPERLINK("https://en.wikipedia.org/wiki/Blue_Light","Open source")</x:f>
        <x:v>HYPERLINK is not implemented. linkLocation=https://en.wikipedia.org/wiki/Blue_Light, friendlyName=Open source</x:v>
      </x:c>
      <x:c r="AN76" s="14" t="str">
        <x:v>BBC public-service commission</x:v>
      </x:c>
      <x:c r="AO76" s="14" t="str">
        <x:v>Yes</x:v>
      </x:c>
      <x:c r="AP76" s="14" t="str">
        <x:v>Direct BBC public-service scope</x:v>
      </x:c>
      <x:c r="AQ76" s="14" t="str">
        <x:v>Yes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19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0.05263157894736842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tt14466018|nm17727318|olivia bunting</x:v>
      </x:c>
      <x:c r="B77" s="14" t="str">
        <x:v>01</x:v>
      </x:c>
      <x:c r="C77" s="14" t="str">
        <x:v>2023_IMDb_Cast_Lists_Batch_01(2).xlsx</x:v>
      </x:c>
      <x:c r="D77" s="14" t="str">
        <x:v>Blue Lights</x:v>
      </x:c>
      <x:c r="E77" s="14" t="n">
        <x:v>127</x:v>
      </x:c>
      <x:c r="F77" s="14" t="str">
        <x:v>Blue Lights</x:v>
      </x:c>
      <x:c r="G77" s="14" t="str">
        <x:v>tt14466018</x:v>
      </x:c>
      <x:c r="H77" s="14" t="n">
        <x:v>2023</x:v>
      </x:c>
      <x:c r="I77" s="14" t="n">
        <x:v>2023</x:v>
      </x:c>
      <x:c r="J77" s="14" t="str">
        <x:v>Future Carry-Forward Cohort</x:v>
      </x:c>
      <x:c r="K77" s="14"/>
      <x:c r="L77" s="14" t="str">
        <x:v>Not inherited</x:v>
      </x:c>
      <x:c r="M77" s="15" t="n">
        <x:v>120</x:v>
      </x:c>
      <x:c r="N77" s="14" t="str">
        <x:v>Charlotte Prentice</x:v>
      </x:c>
      <x:c r="O77" s="14" t="str">
        <x:v>nm17727318</x:v>
      </x:c>
      <x:c r="P77" s="14" t="str">
        <x:v>Olivia Bunting</x:v>
      </x:c>
      <x:c r="Q77" s="15" t="n">
        <x:v>1</x:v>
      </x:c>
      <x:c r="R77" s="14" t="str">
        <x:v>2025</x:v>
      </x:c>
      <x:c r="S77" s="14" t="n">
        <x:v>2025</x:v>
      </x:c>
      <x:c r="T77" s="14" t="n">
        <x:v>2025</x:v>
      </x:c>
      <x:c r="U77" s="14" t="str">
        <x:v>Explicit source first year retained</x:v>
      </x:c>
      <x:c r="V77" s="14" t="str">
        <x:v>Earliest supplied year is 2025.</x:v>
      </x:c>
      <x:c r="W77" s="14"/>
      <x:c r="X77" s="14" t="str">
        <x:v>Carried forward to 2025</x:v>
      </x:c>
      <x:c r="Y77" s="14"/>
      <x:c r="Z77" s="14" t="str">
        <x:v>Blue Lights.docx</x:v>
      </x:c>
      <x:c r="AA7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BBC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HYPERLINK("https://en.wikipedia.org/wiki/Blue_Light","Open source")</x:f>
        <x:v>HYPERLINK is not implemented. linkLocation=https://en.wikipedia.org/wiki/Blue_Light, friendlyName=Open source</x:v>
      </x:c>
      <x:c r="AN77" s="14" t="str">
        <x:v>BBC public-service commission</x:v>
      </x:c>
      <x:c r="AO77" s="14" t="str">
        <x:v>Yes</x:v>
      </x:c>
      <x:c r="AP77" s="14" t="str">
        <x:v>Direct BBC public-service scope</x:v>
      </x:c>
      <x:c r="AQ77" s="14" t="str">
        <x:v>Yes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19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0.05263157894736842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tt14466018|nm2703591|andrea bunting</x:v>
      </x:c>
      <x:c r="B78" s="14" t="str">
        <x:v>01</x:v>
      </x:c>
      <x:c r="C78" s="14" t="str">
        <x:v>2023_IMDb_Cast_Lists_Batch_01(2).xlsx</x:v>
      </x:c>
      <x:c r="D78" s="14" t="str">
        <x:v>Blue Lights</x:v>
      </x:c>
      <x:c r="E78" s="14" t="n">
        <x:v>129</x:v>
      </x:c>
      <x:c r="F78" s="14" t="str">
        <x:v>Blue Lights</x:v>
      </x:c>
      <x:c r="G78" s="14" t="str">
        <x:v>tt14466018</x:v>
      </x:c>
      <x:c r="H78" s="14" t="n">
        <x:v>2023</x:v>
      </x:c>
      <x:c r="I78" s="14" t="n">
        <x:v>2023</x:v>
      </x:c>
      <x:c r="J78" s="14" t="str">
        <x:v>Future Carry-Forward Cohort</x:v>
      </x:c>
      <x:c r="K78" s="14"/>
      <x:c r="L78" s="14" t="str">
        <x:v>Not inherited</x:v>
      </x:c>
      <x:c r="M78" s="15" t="n">
        <x:v>122</x:v>
      </x:c>
      <x:c r="N78" s="14" t="str">
        <x:v>Karen Hassan</x:v>
      </x:c>
      <x:c r="O78" s="14" t="str">
        <x:v>nm2703591</x:v>
      </x:c>
      <x:c r="P78" s="14" t="str">
        <x:v>Andrea Bunting</x:v>
      </x:c>
      <x:c r="Q78" s="15" t="n">
        <x:v>1</x:v>
      </x:c>
      <x:c r="R78" s="14" t="str">
        <x:v>2025</x:v>
      </x:c>
      <x:c r="S78" s="14" t="n">
        <x:v>2025</x:v>
      </x:c>
      <x:c r="T78" s="14" t="n">
        <x:v>2025</x:v>
      </x:c>
      <x:c r="U78" s="14" t="str">
        <x:v>Explicit source first year retained</x:v>
      </x:c>
      <x:c r="V78" s="14" t="str">
        <x:v>Earliest supplied year is 2025.</x:v>
      </x:c>
      <x:c r="W78" s="14"/>
      <x:c r="X78" s="14" t="str">
        <x:v>Carried forward to 2025</x:v>
      </x:c>
      <x:c r="Y78" s="14"/>
      <x:c r="Z78" s="14" t="str">
        <x:v>Blue Lights.docx</x:v>
      </x:c>
      <x:c r="AA7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BBC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HYPERLINK("https://en.wikipedia.org/wiki/Blue_Light","Open source")</x:f>
        <x:v>HYPERLINK is not implemented. linkLocation=https://en.wikipedia.org/wiki/Blue_Light, friendlyName=Open source</x:v>
      </x:c>
      <x:c r="AN78" s="14" t="str">
        <x:v>BBC public-service commission</x:v>
      </x:c>
      <x:c r="AO78" s="14" t="str">
        <x:v>Yes</x:v>
      </x:c>
      <x:c r="AP78" s="14" t="str">
        <x:v>Direct BBC public-service scope</x:v>
      </x:c>
      <x:c r="AQ78" s="14" t="str">
        <x:v>Yes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19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0.05263157894736842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tt14466018|nm7939682|cecilia</x:v>
      </x:c>
      <x:c r="B79" s="14" t="str">
        <x:v>01</x:v>
      </x:c>
      <x:c r="C79" s="14" t="str">
        <x:v>2023_IMDb_Cast_Lists_Batch_01(2).xlsx</x:v>
      </x:c>
      <x:c r="D79" s="14" t="str">
        <x:v>Blue Lights</x:v>
      </x:c>
      <x:c r="E79" s="14" t="n">
        <x:v>130</x:v>
      </x:c>
      <x:c r="F79" s="14" t="str">
        <x:v>Blue Lights</x:v>
      </x:c>
      <x:c r="G79" s="14" t="str">
        <x:v>tt14466018</x:v>
      </x:c>
      <x:c r="H79" s="14" t="n">
        <x:v>2023</x:v>
      </x:c>
      <x:c r="I79" s="14" t="n">
        <x:v>2023</x:v>
      </x:c>
      <x:c r="J79" s="14" t="str">
        <x:v>Future Carry-Forward Cohort</x:v>
      </x:c>
      <x:c r="K79" s="14"/>
      <x:c r="L79" s="14" t="str">
        <x:v>Not inherited</x:v>
      </x:c>
      <x:c r="M79" s="15" t="n">
        <x:v>123</x:v>
      </x:c>
      <x:c r="N79" s="14" t="str">
        <x:v>Caoimhe Farren</x:v>
      </x:c>
      <x:c r="O79" s="14" t="str">
        <x:v>nm7939682</x:v>
      </x:c>
      <x:c r="P79" s="14" t="str">
        <x:v>Cecilia</x:v>
      </x:c>
      <x:c r="Q79" s="15" t="n">
        <x:v>1</x:v>
      </x:c>
      <x:c r="R79" s="14" t="str">
        <x:v>2025</x:v>
      </x:c>
      <x:c r="S79" s="14" t="n">
        <x:v>2025</x:v>
      </x:c>
      <x:c r="T79" s="14" t="n">
        <x:v>2025</x:v>
      </x:c>
      <x:c r="U79" s="14" t="str">
        <x:v>Explicit source first year retained</x:v>
      </x:c>
      <x:c r="V79" s="14" t="str">
        <x:v>Earliest supplied year is 2025.</x:v>
      </x:c>
      <x:c r="W79" s="14"/>
      <x:c r="X79" s="14" t="str">
        <x:v>Carried forward to 2025</x:v>
      </x:c>
      <x:c r="Y79" s="14"/>
      <x:c r="Z79" s="14" t="str">
        <x:v>Blue Lights.docx</x:v>
      </x:c>
      <x:c r="AA7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BBC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HYPERLINK("https://en.wikipedia.org/wiki/Blue_Light","Open source")</x:f>
        <x:v>HYPERLINK is not implemented. linkLocation=https://en.wikipedia.org/wiki/Blue_Light, friendlyName=Open source</x:v>
      </x:c>
      <x:c r="AN79" s="14" t="str">
        <x:v>BBC public-service commission</x:v>
      </x:c>
      <x:c r="AO79" s="14" t="str">
        <x:v>Yes</x:v>
      </x:c>
      <x:c r="AP79" s="14" t="str">
        <x:v>Direct BBC public-service scope</x:v>
      </x:c>
      <x:c r="AQ79" s="14" t="str">
        <x:v>Yes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19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0.05263157894736842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tt14466018|nm4667139|kerry</x:v>
      </x:c>
      <x:c r="B80" s="14" t="str">
        <x:v>01</x:v>
      </x:c>
      <x:c r="C80" s="14" t="str">
        <x:v>2023_IMDb_Cast_Lists_Batch_01(2).xlsx</x:v>
      </x:c>
      <x:c r="D80" s="14" t="str">
        <x:v>Blue Lights</x:v>
      </x:c>
      <x:c r="E80" s="14" t="n">
        <x:v>131</x:v>
      </x:c>
      <x:c r="F80" s="14" t="str">
        <x:v>Blue Lights</x:v>
      </x:c>
      <x:c r="G80" s="14" t="str">
        <x:v>tt14466018</x:v>
      </x:c>
      <x:c r="H80" s="14" t="n">
        <x:v>2023</x:v>
      </x:c>
      <x:c r="I80" s="14" t="n">
        <x:v>2023</x:v>
      </x:c>
      <x:c r="J80" s="14" t="str">
        <x:v>Future Carry-Forward Cohort</x:v>
      </x:c>
      <x:c r="K80" s="14"/>
      <x:c r="L80" s="14" t="str">
        <x:v>Not inherited</x:v>
      </x:c>
      <x:c r="M80" s="15" t="n">
        <x:v>124</x:v>
      </x:c>
      <x:c r="N80" s="14" t="str">
        <x:v>Joyce Greenaway</x:v>
      </x:c>
      <x:c r="O80" s="14" t="str">
        <x:v>nm4667139</x:v>
      </x:c>
      <x:c r="P80" s="14" t="str">
        <x:v>Kerry</x:v>
      </x:c>
      <x:c r="Q80" s="15" t="n">
        <x:v>1</x:v>
      </x:c>
      <x:c r="R80" s="14" t="str">
        <x:v>2025</x:v>
      </x:c>
      <x:c r="S80" s="14" t="n">
        <x:v>2025</x:v>
      </x:c>
      <x:c r="T80" s="14" t="n">
        <x:v>2025</x:v>
      </x:c>
      <x:c r="U80" s="14" t="str">
        <x:v>Explicit source first year retained</x:v>
      </x:c>
      <x:c r="V80" s="14" t="str">
        <x:v>Earliest supplied year is 2025.</x:v>
      </x:c>
      <x:c r="W80" s="14"/>
      <x:c r="X80" s="14" t="str">
        <x:v>Carried forward to 2025</x:v>
      </x:c>
      <x:c r="Y80" s="14"/>
      <x:c r="Z80" s="14" t="str">
        <x:v>Blue Lights.docx</x:v>
      </x:c>
      <x:c r="AA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BBC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HYPERLINK("https://en.wikipedia.org/wiki/Blue_Light","Open source")</x:f>
        <x:v>HYPERLINK is not implemented. linkLocation=https://en.wikipedia.org/wiki/Blue_Light, friendlyName=Open source</x:v>
      </x:c>
      <x:c r="AN80" s="14" t="str">
        <x:v>BBC public-service commission</x:v>
      </x:c>
      <x:c r="AO80" s="14" t="str">
        <x:v>Yes</x:v>
      </x:c>
      <x:c r="AP80" s="14" t="str">
        <x:v>Direct BBC public-service scope</x:v>
      </x:c>
      <x:c r="AQ80" s="14" t="str">
        <x:v>Yes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19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0.05263157894736842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tt14466018|nm2376004|william street preacher</x:v>
      </x:c>
      <x:c r="B81" s="14" t="str">
        <x:v>01</x:v>
      </x:c>
      <x:c r="C81" s="14" t="str">
        <x:v>2023_IMDb_Cast_Lists_Batch_01(2).xlsx</x:v>
      </x:c>
      <x:c r="D81" s="14" t="str">
        <x:v>Blue Lights</x:v>
      </x:c>
      <x:c r="E81" s="14" t="n">
        <x:v>132</x:v>
      </x:c>
      <x:c r="F81" s="14" t="str">
        <x:v>Blue Lights</x:v>
      </x:c>
      <x:c r="G81" s="14" t="str">
        <x:v>tt14466018</x:v>
      </x:c>
      <x:c r="H81" s="14" t="n">
        <x:v>2023</x:v>
      </x:c>
      <x:c r="I81" s="14" t="n">
        <x:v>2023</x:v>
      </x:c>
      <x:c r="J81" s="14" t="str">
        <x:v>Future Carry-Forward Cohort</x:v>
      </x:c>
      <x:c r="K81" s="14"/>
      <x:c r="L81" s="14" t="str">
        <x:v>Not inherited</x:v>
      </x:c>
      <x:c r="M81" s="15" t="n">
        <x:v>125</x:v>
      </x:c>
      <x:c r="N81" s="14" t="str">
        <x:v>Thomas Lappin</x:v>
      </x:c>
      <x:c r="O81" s="14" t="str">
        <x:v>nm2376004</x:v>
      </x:c>
      <x:c r="P81" s="14" t="str">
        <x:v>William Street Preacher</x:v>
      </x:c>
      <x:c r="Q81" s="15" t="n">
        <x:v>1</x:v>
      </x:c>
      <x:c r="R81" s="14" t="str">
        <x:v>2025</x:v>
      </x:c>
      <x:c r="S81" s="14" t="n">
        <x:v>2025</x:v>
      </x:c>
      <x:c r="T81" s="14" t="n">
        <x:v>2025</x:v>
      </x:c>
      <x:c r="U81" s="14" t="str">
        <x:v>Explicit source first year retained</x:v>
      </x:c>
      <x:c r="V81" s="14" t="str">
        <x:v>Earliest supplied year is 2025.</x:v>
      </x:c>
      <x:c r="W81" s="14"/>
      <x:c r="X81" s="14" t="str">
        <x:v>Carried forward to 2025</x:v>
      </x:c>
      <x:c r="Y81" s="14"/>
      <x:c r="Z81" s="14" t="str">
        <x:v>Blue Lights.docx</x:v>
      </x:c>
      <x:c r="AA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BBC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HYPERLINK("https://en.wikipedia.org/wiki/Blue_Light","Open source")</x:f>
        <x:v>HYPERLINK is not implemented. linkLocation=https://en.wikipedia.org/wiki/Blue_Light, friendlyName=Open source</x:v>
      </x:c>
      <x:c r="AN81" s="14" t="str">
        <x:v>BBC public-service commission</x:v>
      </x:c>
      <x:c r="AO81" s="14" t="str">
        <x:v>Yes</x:v>
      </x:c>
      <x:c r="AP81" s="14" t="str">
        <x:v>Direct BBC public-service scope</x:v>
      </x:c>
      <x:c r="AQ81" s="14" t="str">
        <x:v>Yes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19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1</x:v>
      </x:c>
      <x:c r="BS81" s="16" t="n">
        <x:v>0.05263157894736842</x:v>
      </x:c>
      <x:c r="BT81" s="14" t="str">
        <x:v>One episode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tt14466018|nm10404992|mary</x:v>
      </x:c>
      <x:c r="B82" s="14" t="str">
        <x:v>01</x:v>
      </x:c>
      <x:c r="C82" s="14" t="str">
        <x:v>2023_IMDb_Cast_Lists_Batch_01(2).xlsx</x:v>
      </x:c>
      <x:c r="D82" s="14" t="str">
        <x:v>Blue Lights</x:v>
      </x:c>
      <x:c r="E82" s="14" t="n">
        <x:v>134</x:v>
      </x:c>
      <x:c r="F82" s="14" t="str">
        <x:v>Blue Lights</x:v>
      </x:c>
      <x:c r="G82" s="14" t="str">
        <x:v>tt14466018</x:v>
      </x:c>
      <x:c r="H82" s="14" t="n">
        <x:v>2023</x:v>
      </x:c>
      <x:c r="I82" s="14" t="n">
        <x:v>2023</x:v>
      </x:c>
      <x:c r="J82" s="14" t="str">
        <x:v>Future Carry-Forward Cohort</x:v>
      </x:c>
      <x:c r="K82" s="14"/>
      <x:c r="L82" s="14" t="str">
        <x:v>Not inherited</x:v>
      </x:c>
      <x:c r="M82" s="15" t="n">
        <x:v>127</x:v>
      </x:c>
      <x:c r="N82" s="14" t="str">
        <x:v>Marty Breen</x:v>
      </x:c>
      <x:c r="O82" s="14" t="str">
        <x:v>nm10404992</x:v>
      </x:c>
      <x:c r="P82" s="14" t="str">
        <x:v>Mary</x:v>
      </x:c>
      <x:c r="Q82" s="15" t="n">
        <x:v>1</x:v>
      </x:c>
      <x:c r="R82" s="14" t="str">
        <x:v>2025</x:v>
      </x:c>
      <x:c r="S82" s="14" t="n">
        <x:v>2025</x:v>
      </x:c>
      <x:c r="T82" s="14" t="n">
        <x:v>2025</x:v>
      </x:c>
      <x:c r="U82" s="14" t="str">
        <x:v>Explicit source first year retained</x:v>
      </x:c>
      <x:c r="V82" s="14" t="str">
        <x:v>Earliest supplied year is 2025.</x:v>
      </x:c>
      <x:c r="W82" s="14"/>
      <x:c r="X82" s="14" t="str">
        <x:v>Carried forward to 2025</x:v>
      </x:c>
      <x:c r="Y82" s="14"/>
      <x:c r="Z82" s="14" t="str">
        <x:v>Blue Lights.docx</x:v>
      </x:c>
      <x:c r="AA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BBC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HYPERLINK("https://en.wikipedia.org/wiki/Blue_Light","Open source")</x:f>
        <x:v>HYPERLINK is not implemented. linkLocation=https://en.wikipedia.org/wiki/Blue_Light, friendlyName=Open source</x:v>
      </x:c>
      <x:c r="AN82" s="14" t="str">
        <x:v>BBC public-service commission</x:v>
      </x:c>
      <x:c r="AO82" s="14" t="str">
        <x:v>Yes</x:v>
      </x:c>
      <x:c r="AP82" s="14" t="str">
        <x:v>Direct BBC public-service scope</x:v>
      </x:c>
      <x:c r="AQ82" s="14" t="str">
        <x:v>Yes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19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1</x:v>
      </x:c>
      <x:c r="BS82" s="16" t="n">
        <x:v>0.05263157894736842</x:v>
      </x:c>
      <x:c r="BT82" s="14" t="str">
        <x:v>One episode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tt14466018|nm11901159|megan</x:v>
      </x:c>
      <x:c r="B83" s="14" t="str">
        <x:v>01</x:v>
      </x:c>
      <x:c r="C83" s="14" t="str">
        <x:v>2023_IMDb_Cast_Lists_Batch_01(2).xlsx</x:v>
      </x:c>
      <x:c r="D83" s="14" t="str">
        <x:v>Blue Lights</x:v>
      </x:c>
      <x:c r="E83" s="14" t="n">
        <x:v>135</x:v>
      </x:c>
      <x:c r="F83" s="14" t="str">
        <x:v>Blue Lights</x:v>
      </x:c>
      <x:c r="G83" s="14" t="str">
        <x:v>tt14466018</x:v>
      </x:c>
      <x:c r="H83" s="14" t="n">
        <x:v>2023</x:v>
      </x:c>
      <x:c r="I83" s="14" t="n">
        <x:v>2023</x:v>
      </x:c>
      <x:c r="J83" s="14" t="str">
        <x:v>Future Carry-Forward Cohort</x:v>
      </x:c>
      <x:c r="K83" s="14"/>
      <x:c r="L83" s="14" t="str">
        <x:v>Not inherited</x:v>
      </x:c>
      <x:c r="M83" s="15" t="n">
        <x:v>128</x:v>
      </x:c>
      <x:c r="N83" s="14" t="str">
        <x:v>Shane Convery</x:v>
      </x:c>
      <x:c r="O83" s="14" t="str">
        <x:v>nm11901159</x:v>
      </x:c>
      <x:c r="P83" s="14" t="str">
        <x:v>Megan</x:v>
      </x:c>
      <x:c r="Q83" s="15" t="n">
        <x:v>1</x:v>
      </x:c>
      <x:c r="R83" s="14" t="str">
        <x:v>2025</x:v>
      </x:c>
      <x:c r="S83" s="14" t="n">
        <x:v>2025</x:v>
      </x:c>
      <x:c r="T83" s="14" t="n">
        <x:v>2025</x:v>
      </x:c>
      <x:c r="U83" s="14" t="str">
        <x:v>Explicit source first year retained</x:v>
      </x:c>
      <x:c r="V83" s="14" t="str">
        <x:v>Earliest supplied year is 2025.</x:v>
      </x:c>
      <x:c r="W83" s="14"/>
      <x:c r="X83" s="14" t="str">
        <x:v>Carried forward to 2025</x:v>
      </x:c>
      <x:c r="Y83" s="14"/>
      <x:c r="Z83" s="14" t="str">
        <x:v>Blue Lights.docx</x:v>
      </x:c>
      <x:c r="AA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BBC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HYPERLINK("https://en.wikipedia.org/wiki/Blue_Light","Open source")</x:f>
        <x:v>HYPERLINK is not implemented. linkLocation=https://en.wikipedia.org/wiki/Blue_Light, friendlyName=Open source</x:v>
      </x:c>
      <x:c r="AN83" s="14" t="str">
        <x:v>BBC public-service commission</x:v>
      </x:c>
      <x:c r="AO83" s="14" t="str">
        <x:v>Yes</x:v>
      </x:c>
      <x:c r="AP83" s="14" t="str">
        <x:v>Direct BBC public-service scope</x:v>
      </x:c>
      <x:c r="AQ83" s="14" t="str">
        <x:v>Yes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19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1</x:v>
      </x:c>
      <x:c r="BS83" s="16" t="n">
        <x:v>0.05263157894736842</x:v>
      </x:c>
      <x:c r="BT83" s="14" t="str">
        <x:v>One episode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tt14466018|nm2589753|jason</x:v>
      </x:c>
      <x:c r="B84" s="14" t="str">
        <x:v>01</x:v>
      </x:c>
      <x:c r="C84" s="14" t="str">
        <x:v>2023_IMDb_Cast_Lists_Batch_01(2).xlsx</x:v>
      </x:c>
      <x:c r="D84" s="14" t="str">
        <x:v>Blue Lights</x:v>
      </x:c>
      <x:c r="E84" s="14" t="n">
        <x:v>139</x:v>
      </x:c>
      <x:c r="F84" s="14" t="str">
        <x:v>Blue Lights</x:v>
      </x:c>
      <x:c r="G84" s="14" t="str">
        <x:v>tt14466018</x:v>
      </x:c>
      <x:c r="H84" s="14" t="n">
        <x:v>2023</x:v>
      </x:c>
      <x:c r="I84" s="14" t="n">
        <x:v>2023</x:v>
      </x:c>
      <x:c r="J84" s="14" t="str">
        <x:v>Future Carry-Forward Cohort</x:v>
      </x:c>
      <x:c r="K84" s="14"/>
      <x:c r="L84" s="14" t="str">
        <x:v>Not inherited</x:v>
      </x:c>
      <x:c r="M84" s="15" t="n">
        <x:v>132</x:v>
      </x:c>
      <x:c r="N84" s="14" t="str">
        <x:v>Paul Livingstone</x:v>
      </x:c>
      <x:c r="O84" s="14" t="str">
        <x:v>nm2589753</x:v>
      </x:c>
      <x:c r="P84" s="14" t="str">
        <x:v>Jason</x:v>
      </x:c>
      <x:c r="Q84" s="15" t="n">
        <x:v>1</x:v>
      </x:c>
      <x:c r="R84" s="14" t="str">
        <x:v>2025</x:v>
      </x:c>
      <x:c r="S84" s="14" t="n">
        <x:v>2025</x:v>
      </x:c>
      <x:c r="T84" s="14" t="n">
        <x:v>2025</x:v>
      </x:c>
      <x:c r="U84" s="14" t="str">
        <x:v>Explicit source first year retained</x:v>
      </x:c>
      <x:c r="V84" s="14" t="str">
        <x:v>Earliest supplied year is 2025.</x:v>
      </x:c>
      <x:c r="W84" s="14"/>
      <x:c r="X84" s="14" t="str">
        <x:v>Carried forward to 2025</x:v>
      </x:c>
      <x:c r="Y84" s="14"/>
      <x:c r="Z84" s="14" t="str">
        <x:v>Blue Lights.docx</x:v>
      </x:c>
      <x:c r="AA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BBC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HYPERLINK("https://en.wikipedia.org/wiki/Blue_Light","Open source")</x:f>
        <x:v>HYPERLINK is not implemented. linkLocation=https://en.wikipedia.org/wiki/Blue_Light, friendlyName=Open source</x:v>
      </x:c>
      <x:c r="AN84" s="14" t="str">
        <x:v>BBC public-service commission</x:v>
      </x:c>
      <x:c r="AO84" s="14" t="str">
        <x:v>Yes</x:v>
      </x:c>
      <x:c r="AP84" s="14" t="str">
        <x:v>Direct BBC public-service scope</x:v>
      </x:c>
      <x:c r="AQ84" s="14" t="str">
        <x:v>Yes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19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1</x:v>
      </x:c>
      <x:c r="BS84" s="16" t="n">
        <x:v>0.05263157894736842</x:v>
      </x:c>
      <x:c r="BT84" s="14" t="str">
        <x:v>One episode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tt14488438|nm5098614|alexandros</x:v>
      </x:c>
      <x:c r="B85" s="14" t="str">
        <x:v>02</x:v>
      </x:c>
      <x:c r="C85" s="14" t="str">
        <x:v>2023_IMDb_Cast_Lists_Batch_02(2).xlsx</x:v>
      </x:c>
      <x:c r="D85" s="14" t="str">
        <x:v>Dreaming Whilst Black</x:v>
      </x:c>
      <x:c r="E85" s="14" t="n">
        <x:v>23</x:v>
      </x:c>
      <x:c r="F85" s="14" t="str">
        <x:v>Dreaming Whilst Black</x:v>
      </x:c>
      <x:c r="G85" s="14" t="str">
        <x:v>tt14488438</x:v>
      </x:c>
      <x:c r="H85" s="14" t="n">
        <x:v>2023</x:v>
      </x:c>
      <x:c r="I85" s="14" t="n">
        <x:v>2023</x:v>
      </x:c>
      <x:c r="J85" s="14" t="str">
        <x:v>Future Carry-Forward Cohort</x:v>
      </x:c>
      <x:c r="K85" s="14"/>
      <x:c r="L85" s="14" t="str">
        <x:v>Not inherited</x:v>
      </x:c>
      <x:c r="M85" s="15" t="n">
        <x:v>16</x:v>
      </x:c>
      <x:c r="N85" s="14" t="str">
        <x:v>Alexander Theo</x:v>
      </x:c>
      <x:c r="O85" s="14" t="str">
        <x:v>nm5098614</x:v>
      </x:c>
      <x:c r="P85" s="14" t="str">
        <x:v>Alexandros</x:v>
      </x:c>
      <x:c r="Q85" s="15" t="n">
        <x:v>6</x:v>
      </x:c>
      <x:c r="R85" s="14" t="str">
        <x:v>2025</x:v>
      </x:c>
      <x:c r="S85" s="14" t="n">
        <x:v>2025</x:v>
      </x:c>
      <x:c r="T85" s="14" t="n">
        <x:v>2025</x:v>
      </x:c>
      <x:c r="U85" s="14" t="str">
        <x:v>Explicit source first year retained</x:v>
      </x:c>
      <x:c r="V85" s="14" t="str">
        <x:v>Earliest supplied year is 2025.</x:v>
      </x:c>
      <x:c r="W85" s="14"/>
      <x:c r="X85" s="14" t="str">
        <x:v>Carried forward to 2025</x:v>
      </x:c>
      <x:c r="Y85" s="14"/>
      <x:c r="Z85" s="14" t="str">
        <x:v>Dreaming Whilst Black.docx</x:v>
      </x:c>
      <x:c r="AA8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BBC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85" s="14" t="str">
        <x:v>BBC public-service commission</x:v>
      </x:c>
      <x:c r="AO85" s="14" t="str">
        <x:v>Yes</x:v>
      </x:c>
      <x:c r="AP85" s="14" t="str">
        <x:v>Direct BBC public-service scope</x:v>
      </x:c>
      <x:c r="AQ85" s="14" t="str">
        <x:v>Yes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12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6</x:v>
      </x:c>
      <x:c r="BS85" s="16" t="n">
        <x:v>0.5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tt14488438|nm0010837|bridgette</x:v>
      </x:c>
      <x:c r="B86" s="14" t="str">
        <x:v>02</x:v>
      </x:c>
      <x:c r="C86" s="14" t="str">
        <x:v>2023_IMDb_Cast_Lists_Batch_02(2).xlsx</x:v>
      </x:c>
      <x:c r="D86" s="14" t="str">
        <x:v>Dreaming Whilst Black</x:v>
      </x:c>
      <x:c r="E86" s="14" t="n">
        <x:v>24</x:v>
      </x:c>
      <x:c r="F86" s="14" t="str">
        <x:v>Dreaming Whilst Black</x:v>
      </x:c>
      <x:c r="G86" s="14" t="str">
        <x:v>tt14488438</x:v>
      </x:c>
      <x:c r="H86" s="14" t="n">
        <x:v>2023</x:v>
      </x:c>
      <x:c r="I86" s="14" t="n">
        <x:v>2023</x:v>
      </x:c>
      <x:c r="J86" s="14" t="str">
        <x:v>Future Carry-Forward Cohort</x:v>
      </x:c>
      <x:c r="K86" s="14"/>
      <x:c r="L86" s="14" t="str">
        <x:v>Not inherited</x:v>
      </x:c>
      <x:c r="M86" s="15" t="n">
        <x:v>17</x:v>
      </x:c>
      <x:c r="N86" s="14" t="str">
        <x:v>Christine Adams</x:v>
      </x:c>
      <x:c r="O86" s="14" t="str">
        <x:v>nm0010837</x:v>
      </x:c>
      <x:c r="P86" s="14" t="str">
        <x:v>Bridgette</x:v>
      </x:c>
      <x:c r="Q86" s="15" t="n">
        <x:v>5</x:v>
      </x:c>
      <x:c r="R86" s="14" t="str">
        <x:v>2025</x:v>
      </x:c>
      <x:c r="S86" s="14" t="n">
        <x:v>2025</x:v>
      </x:c>
      <x:c r="T86" s="14" t="n">
        <x:v>2025</x:v>
      </x:c>
      <x:c r="U86" s="14" t="str">
        <x:v>Explicit source first year retained</x:v>
      </x:c>
      <x:c r="V86" s="14" t="str">
        <x:v>Earliest supplied year is 2025.</x:v>
      </x:c>
      <x:c r="W86" s="14"/>
      <x:c r="X86" s="14" t="str">
        <x:v>Carried forward to 2025</x:v>
      </x:c>
      <x:c r="Y86" s="14"/>
      <x:c r="Z86" s="14" t="str">
        <x:v>Dreaming Whilst Black.docx</x:v>
      </x:c>
      <x:c r="AA8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BBC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86" s="14" t="str">
        <x:v>BBC public-service commission</x:v>
      </x:c>
      <x:c r="AO86" s="14" t="str">
        <x:v>Yes</x:v>
      </x:c>
      <x:c r="AP86" s="14" t="str">
        <x:v>Direct BBC public-service scope</x:v>
      </x:c>
      <x:c r="AQ86" s="14" t="str">
        <x:v>Yes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12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5</x:v>
      </x:c>
      <x:c r="BS86" s="16" t="n">
        <x:v>0.4166666666666667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tt14488438|nm0249876|simon</x:v>
      </x:c>
      <x:c r="B87" s="14" t="str">
        <x:v>02</x:v>
      </x:c>
      <x:c r="C87" s="14" t="str">
        <x:v>2023_IMDb_Cast_Lists_Batch_02(2).xlsx</x:v>
      </x:c>
      <x:c r="D87" s="14" t="str">
        <x:v>Dreaming Whilst Black</x:v>
      </x:c>
      <x:c r="E87" s="14" t="n">
        <x:v>25</x:v>
      </x:c>
      <x:c r="F87" s="14" t="str">
        <x:v>Dreaming Whilst Black</x:v>
      </x:c>
      <x:c r="G87" s="14" t="str">
        <x:v>tt14488438</x:v>
      </x:c>
      <x:c r="H87" s="14" t="n">
        <x:v>2023</x:v>
      </x:c>
      <x:c r="I87" s="14" t="n">
        <x:v>2023</x:v>
      </x:c>
      <x:c r="J87" s="14" t="str">
        <x:v>Future Carry-Forward Cohort</x:v>
      </x:c>
      <x:c r="K87" s="14"/>
      <x:c r="L87" s="14" t="str">
        <x:v>Not inherited</x:v>
      </x:c>
      <x:c r="M87" s="15" t="n">
        <x:v>18</x:v>
      </x:c>
      <x:c r="N87" s="14" t="str">
        <x:v>Charles Edwards</x:v>
      </x:c>
      <x:c r="O87" s="14" t="str">
        <x:v>nm0249876</x:v>
      </x:c>
      <x:c r="P87" s="14" t="str">
        <x:v>Simon</x:v>
      </x:c>
      <x:c r="Q87" s="15" t="n">
        <x:v>5</x:v>
      </x:c>
      <x:c r="R87" s="14" t="str">
        <x:v>2025</x:v>
      </x:c>
      <x:c r="S87" s="14" t="n">
        <x:v>2025</x:v>
      </x:c>
      <x:c r="T87" s="14" t="n">
        <x:v>2025</x:v>
      </x:c>
      <x:c r="U87" s="14" t="str">
        <x:v>Explicit source first year retained</x:v>
      </x:c>
      <x:c r="V87" s="14" t="str">
        <x:v>Earliest supplied year is 2025.</x:v>
      </x:c>
      <x:c r="W87" s="14"/>
      <x:c r="X87" s="14" t="str">
        <x:v>Carried forward to 2025</x:v>
      </x:c>
      <x:c r="Y87" s="14"/>
      <x:c r="Z87" s="14" t="str">
        <x:v>Dreaming Whilst Black.docx</x:v>
      </x:c>
      <x:c r="AA8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BBC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87" s="14" t="str">
        <x:v>BBC public-service commission</x:v>
      </x:c>
      <x:c r="AO87" s="14" t="str">
        <x:v>Yes</x:v>
      </x:c>
      <x:c r="AP87" s="14" t="str">
        <x:v>Direct BBC public-service scope</x:v>
      </x:c>
      <x:c r="AQ87" s="14" t="str">
        <x:v>Yes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12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5</x:v>
      </x:c>
      <x:c r="BS87" s="16" t="n">
        <x:v>0.4166666666666667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tt14488438|nm1506183|rudolph</x:v>
      </x:c>
      <x:c r="B88" s="14" t="str">
        <x:v>02</x:v>
      </x:c>
      <x:c r="C88" s="14" t="str">
        <x:v>2023_IMDb_Cast_Lists_Batch_02(2).xlsx</x:v>
      </x:c>
      <x:c r="D88" s="14" t="str">
        <x:v>Dreaming Whilst Black</x:v>
      </x:c>
      <x:c r="E88" s="14" t="n">
        <x:v>32</x:v>
      </x:c>
      <x:c r="F88" s="14" t="str">
        <x:v>Dreaming Whilst Black</x:v>
      </x:c>
      <x:c r="G88" s="14" t="str">
        <x:v>tt14488438</x:v>
      </x:c>
      <x:c r="H88" s="14" t="n">
        <x:v>2023</x:v>
      </x:c>
      <x:c r="I88" s="14" t="n">
        <x:v>2023</x:v>
      </x:c>
      <x:c r="J88" s="14" t="str">
        <x:v>Future Carry-Forward Cohort</x:v>
      </x:c>
      <x:c r="K88" s="14"/>
      <x:c r="L88" s="14" t="str">
        <x:v>Not inherited</x:v>
      </x:c>
      <x:c r="M88" s="15" t="n">
        <x:v>25</x:v>
      </x:c>
      <x:c r="N88" s="14" t="str">
        <x:v>Kobna Holdbrook-Smith</x:v>
      </x:c>
      <x:c r="O88" s="14" t="str">
        <x:v>nm1506183</x:v>
      </x:c>
      <x:c r="P88" s="14" t="str">
        <x:v>Rudolph</x:v>
      </x:c>
      <x:c r="Q88" s="15" t="n">
        <x:v>3</x:v>
      </x:c>
      <x:c r="R88" s="14" t="str">
        <x:v>2025</x:v>
      </x:c>
      <x:c r="S88" s="14" t="n">
        <x:v>2025</x:v>
      </x:c>
      <x:c r="T88" s="14" t="n">
        <x:v>2025</x:v>
      </x:c>
      <x:c r="U88" s="14" t="str">
        <x:v>Explicit source first year retained</x:v>
      </x:c>
      <x:c r="V88" s="14" t="str">
        <x:v>Earliest supplied year is 2025.</x:v>
      </x:c>
      <x:c r="W88" s="14"/>
      <x:c r="X88" s="14" t="str">
        <x:v>Carried forward to 2025</x:v>
      </x:c>
      <x:c r="Y88" s="14"/>
      <x:c r="Z88" s="14" t="str">
        <x:v>Dreaming Whilst Black.docx</x:v>
      </x:c>
      <x:c r="AA8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BBC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88" s="14" t="str">
        <x:v>BBC public-service commission</x:v>
      </x:c>
      <x:c r="AO88" s="14" t="str">
        <x:v>Yes</x:v>
      </x:c>
      <x:c r="AP88" s="14" t="str">
        <x:v>Direct BBC public-service scope</x:v>
      </x:c>
      <x:c r="AQ88" s="14" t="str">
        <x:v>Yes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12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3</x:v>
      </x:c>
      <x:c r="BS88" s="16" t="n">
        <x:v>0.25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tt14488438|nm0941211|carol</x:v>
      </x:c>
      <x:c r="B89" s="14" t="str">
        <x:v>02</x:v>
      </x:c>
      <x:c r="C89" s="14" t="str">
        <x:v>2023_IMDb_Cast_Lists_Batch_02(2).xlsx</x:v>
      </x:c>
      <x:c r="D89" s="14" t="str">
        <x:v>Dreaming Whilst Black</x:v>
      </x:c>
      <x:c r="E89" s="14" t="n">
        <x:v>33</x:v>
      </x:c>
      <x:c r="F89" s="14" t="str">
        <x:v>Dreaming Whilst Black</x:v>
      </x:c>
      <x:c r="G89" s="14" t="str">
        <x:v>tt14488438</x:v>
      </x:c>
      <x:c r="H89" s="14" t="n">
        <x:v>2023</x:v>
      </x:c>
      <x:c r="I89" s="14" t="n">
        <x:v>2023</x:v>
      </x:c>
      <x:c r="J89" s="14" t="str">
        <x:v>Future Carry-Forward Cohort</x:v>
      </x:c>
      <x:c r="K89" s="14"/>
      <x:c r="L89" s="14" t="str">
        <x:v>Not inherited</x:v>
      </x:c>
      <x:c r="M89" s="15" t="n">
        <x:v>26</x:v>
      </x:c>
      <x:c r="N89" s="14" t="str">
        <x:v>Fenella Woolgar</x:v>
      </x:c>
      <x:c r="O89" s="14" t="str">
        <x:v>nm0941211</x:v>
      </x:c>
      <x:c r="P89" s="14" t="str">
        <x:v>Carol</x:v>
      </x:c>
      <x:c r="Q89" s="15" t="n">
        <x:v>3</x:v>
      </x:c>
      <x:c r="R89" s="14" t="str">
        <x:v>2025</x:v>
      </x:c>
      <x:c r="S89" s="14" t="n">
        <x:v>2025</x:v>
      </x:c>
      <x:c r="T89" s="14" t="n">
        <x:v>2025</x:v>
      </x:c>
      <x:c r="U89" s="14" t="str">
        <x:v>Explicit source first year retained</x:v>
      </x:c>
      <x:c r="V89" s="14" t="str">
        <x:v>Earliest supplied year is 2025.</x:v>
      </x:c>
      <x:c r="W89" s="14"/>
      <x:c r="X89" s="14" t="str">
        <x:v>Carried forward to 2025</x:v>
      </x:c>
      <x:c r="Y89" s="14"/>
      <x:c r="Z89" s="14" t="str">
        <x:v>Dreaming Whilst Black.docx</x:v>
      </x:c>
      <x:c r="AA8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BBC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89" s="14" t="str">
        <x:v>BBC public-service commission</x:v>
      </x:c>
      <x:c r="AO89" s="14" t="str">
        <x:v>Yes</x:v>
      </x:c>
      <x:c r="AP89" s="14" t="str">
        <x:v>Direct BBC public-service scope</x:v>
      </x:c>
      <x:c r="AQ89" s="14" t="str">
        <x:v>Yes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12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3</x:v>
      </x:c>
      <x:c r="BS89" s="16" t="n">
        <x:v>0.25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tt14488438|nm8598128|roxie</x:v>
      </x:c>
      <x:c r="B90" s="14" t="str">
        <x:v>02</x:v>
      </x:c>
      <x:c r="C90" s="14" t="str">
        <x:v>2023_IMDb_Cast_Lists_Batch_02(2).xlsx</x:v>
      </x:c>
      <x:c r="D90" s="14" t="str">
        <x:v>Dreaming Whilst Black</x:v>
      </x:c>
      <x:c r="E90" s="14" t="n">
        <x:v>34</x:v>
      </x:c>
      <x:c r="F90" s="14" t="str">
        <x:v>Dreaming Whilst Black</x:v>
      </x:c>
      <x:c r="G90" s="14" t="str">
        <x:v>tt14488438</x:v>
      </x:c>
      <x:c r="H90" s="14" t="n">
        <x:v>2023</x:v>
      </x:c>
      <x:c r="I90" s="14" t="n">
        <x:v>2023</x:v>
      </x:c>
      <x:c r="J90" s="14" t="str">
        <x:v>Future Carry-Forward Cohort</x:v>
      </x:c>
      <x:c r="K90" s="14"/>
      <x:c r="L90" s="14" t="str">
        <x:v>Not inherited</x:v>
      </x:c>
      <x:c r="M90" s="15" t="n">
        <x:v>27</x:v>
      </x:c>
      <x:c r="N90" s="14" t="str">
        <x:v>Lizzy Connolly</x:v>
      </x:c>
      <x:c r="O90" s="14" t="str">
        <x:v>nm8598128</x:v>
      </x:c>
      <x:c r="P90" s="14" t="str">
        <x:v>Roxie</x:v>
      </x:c>
      <x:c r="Q90" s="15" t="n">
        <x:v>3</x:v>
      </x:c>
      <x:c r="R90" s="14" t="str">
        <x:v>2025</x:v>
      </x:c>
      <x:c r="S90" s="14" t="n">
        <x:v>2025</x:v>
      </x:c>
      <x:c r="T90" s="14" t="n">
        <x:v>2025</x:v>
      </x:c>
      <x:c r="U90" s="14" t="str">
        <x:v>Explicit source first year retained</x:v>
      </x:c>
      <x:c r="V90" s="14" t="str">
        <x:v>Earliest supplied year is 2025.</x:v>
      </x:c>
      <x:c r="W90" s="14"/>
      <x:c r="X90" s="14" t="str">
        <x:v>Carried forward to 2025</x:v>
      </x:c>
      <x:c r="Y90" s="14"/>
      <x:c r="Z90" s="14" t="str">
        <x:v>Dreaming Whilst Black.docx</x:v>
      </x:c>
      <x:c r="AA9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BBC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0" s="14" t="str">
        <x:v>BBC public-service commission</x:v>
      </x:c>
      <x:c r="AO90" s="14" t="str">
        <x:v>Yes</x:v>
      </x:c>
      <x:c r="AP90" s="14" t="str">
        <x:v>Direct BBC public-service scope</x:v>
      </x:c>
      <x:c r="AQ90" s="14" t="str">
        <x:v>Yes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12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3</x:v>
      </x:c>
      <x:c r="BS90" s="16" t="n">
        <x:v>0.25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tt14488438|nm3971488|nia hays</x:v>
      </x:c>
      <x:c r="B91" s="14" t="str">
        <x:v>02</x:v>
      </x:c>
      <x:c r="C91" s="14" t="str">
        <x:v>2023_IMDb_Cast_Lists_Batch_02(2).xlsx</x:v>
      </x:c>
      <x:c r="D91" s="14" t="str">
        <x:v>Dreaming Whilst Black</x:v>
      </x:c>
      <x:c r="E91" s="14" t="n">
        <x:v>41</x:v>
      </x:c>
      <x:c r="F91" s="14" t="str">
        <x:v>Dreaming Whilst Black</x:v>
      </x:c>
      <x:c r="G91" s="14" t="str">
        <x:v>tt14488438</x:v>
      </x:c>
      <x:c r="H91" s="14" t="n">
        <x:v>2023</x:v>
      </x:c>
      <x:c r="I91" s="14" t="n">
        <x:v>2023</x:v>
      </x:c>
      <x:c r="J91" s="14" t="str">
        <x:v>Future Carry-Forward Cohort</x:v>
      </x:c>
      <x:c r="K91" s="14"/>
      <x:c r="L91" s="14" t="str">
        <x:v>Not inherited</x:v>
      </x:c>
      <x:c r="M91" s="15" t="n">
        <x:v>34</x:v>
      </x:c>
      <x:c r="N91" s="14" t="str">
        <x:v>Nadia Albina</x:v>
      </x:c>
      <x:c r="O91" s="14" t="str">
        <x:v>nm3971488</x:v>
      </x:c>
      <x:c r="P91" s="14" t="str">
        <x:v>Nia Hays</x:v>
      </x:c>
      <x:c r="Q91" s="15" t="n">
        <x:v>2</x:v>
      </x:c>
      <x:c r="R91" s="14" t="str">
        <x:v>2025</x:v>
      </x:c>
      <x:c r="S91" s="14" t="n">
        <x:v>2025</x:v>
      </x:c>
      <x:c r="T91" s="14" t="n">
        <x:v>2025</x:v>
      </x:c>
      <x:c r="U91" s="14" t="str">
        <x:v>Explicit source first year retained</x:v>
      </x:c>
      <x:c r="V91" s="14" t="str">
        <x:v>Earliest supplied year is 2025.</x:v>
      </x:c>
      <x:c r="W91" s="14"/>
      <x:c r="X91" s="14" t="str">
        <x:v>Carried forward to 2025</x:v>
      </x:c>
      <x:c r="Y91" s="14"/>
      <x:c r="Z91" s="14" t="str">
        <x:v>Dreaming Whilst Black.docx</x:v>
      </x:c>
      <x:c r="AA9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1" s="14" t="str">
        <x:v>Existing established-register match</x:v>
      </x:c>
      <x:c r="AC91" s="14" t="str">
        <x:v>Physical disability</x:v>
      </x:c>
      <x:c r="AD91" s="14" t="str">
        <x:v>Existing register classification: Physical disability</x:v>
      </x:c>
      <x:c r="AE91" s="14" t="str">
        <x:v>Established_Disability_Category_Register V1.2.xlsx</x:v>
      </x:c>
      <x:c r="AF91" s="14"/>
      <x:c r="AG91" s="14" t="str">
        <x:v>Established user-supplied classification retained for deduplication; evidence was not re-researched in this batch.</x:v>
      </x:c>
      <x:c r="AH91" s="14" t="str">
        <x:v>BBC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1" s="14" t="str">
        <x:v>BBC public-service commission</x:v>
      </x:c>
      <x:c r="AO91" s="14" t="str">
        <x:v>Yes</x:v>
      </x:c>
      <x:c r="AP91" s="14" t="str">
        <x:v>Direct BBC public-service scope</x:v>
      </x:c>
      <x:c r="AQ91" s="14" t="str">
        <x:v>Yes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Exact IMDb performer ID match</x:v>
      </x:c>
      <x:c r="BC91" s="14" t="str">
        <x:v>nm3971488</x:v>
      </x:c>
      <x:c r="BD91" s="14" t="str">
        <x:v>Nadia Albina</x:v>
      </x:c>
      <x:c r="BE91" s="14" t="str">
        <x:v>Physical disability</x:v>
      </x:c>
      <x:c r="BF91" s="14" t="str">
        <x:v>Yes</x:v>
      </x:c>
      <x:c r="BG91" s="14" t="str">
        <x:v>Physical disability</x:v>
      </x:c>
      <x:c r="BH91" s="14" t="str">
        <x:v>No</x:v>
      </x:c>
      <x:c r="BI91" s="14" t="str">
        <x:v>User-supplied established classification</x:v>
      </x:c>
      <x:c r="BJ91" s="14" t="str">
        <x:v>04_Physical_disability.csv</x:v>
      </x:c>
      <x:c r="BK91" s="14"/>
      <x:c r="BL91" s="14" t="str">
        <x:v>Matched</x:v>
      </x:c>
      <x:c r="BM91" s="14" t="str">
        <x:v>Final supplied register</x:v>
      </x:c>
      <x:c r="BN91" s="14"/>
      <x:c r="BO91" s="14" t="n">
        <x:v>12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2</x:v>
      </x:c>
      <x:c r="BS91" s="16" t="n">
        <x:v>0.16666666666666666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tt14488438|nm6074112|charles</x:v>
      </x:c>
      <x:c r="B92" s="14" t="str">
        <x:v>02</x:v>
      </x:c>
      <x:c r="C92" s="14" t="str">
        <x:v>2023_IMDb_Cast_Lists_Batch_02(2).xlsx</x:v>
      </x:c>
      <x:c r="D92" s="14" t="str">
        <x:v>Dreaming Whilst Black</x:v>
      </x:c>
      <x:c r="E92" s="14" t="n">
        <x:v>42</x:v>
      </x:c>
      <x:c r="F92" s="14" t="str">
        <x:v>Dreaming Whilst Black</x:v>
      </x:c>
      <x:c r="G92" s="14" t="str">
        <x:v>tt14488438</x:v>
      </x:c>
      <x:c r="H92" s="14" t="n">
        <x:v>2023</x:v>
      </x:c>
      <x:c r="I92" s="14" t="n">
        <x:v>2023</x:v>
      </x:c>
      <x:c r="J92" s="14" t="str">
        <x:v>Future Carry-Forward Cohort</x:v>
      </x:c>
      <x:c r="K92" s="14"/>
      <x:c r="L92" s="14" t="str">
        <x:v>Not inherited</x:v>
      </x:c>
      <x:c r="M92" s="15" t="n">
        <x:v>35</x:v>
      </x:c>
      <x:c r="N92" s="14" t="str">
        <x:v>Ola Christian</x:v>
      </x:c>
      <x:c r="O92" s="14" t="str">
        <x:v>nm6074112</x:v>
      </x:c>
      <x:c r="P92" s="14" t="str">
        <x:v>Charles</x:v>
      </x:c>
      <x:c r="Q92" s="15" t="n">
        <x:v>2</x:v>
      </x:c>
      <x:c r="R92" s="14" t="str">
        <x:v>2025</x:v>
      </x:c>
      <x:c r="S92" s="14" t="n">
        <x:v>2025</x:v>
      </x:c>
      <x:c r="T92" s="14" t="n">
        <x:v>2025</x:v>
      </x:c>
      <x:c r="U92" s="14" t="str">
        <x:v>Explicit source first year retained</x:v>
      </x:c>
      <x:c r="V92" s="14" t="str">
        <x:v>Earliest supplied year is 2025.</x:v>
      </x:c>
      <x:c r="W92" s="14"/>
      <x:c r="X92" s="14" t="str">
        <x:v>Carried forward to 2025</x:v>
      </x:c>
      <x:c r="Y92" s="14"/>
      <x:c r="Z92" s="14" t="str">
        <x:v>Dreaming Whilst Black.docx</x:v>
      </x:c>
      <x:c r="AA9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BBC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2" s="14" t="str">
        <x:v>BBC public-service commission</x:v>
      </x:c>
      <x:c r="AO92" s="14" t="str">
        <x:v>Yes</x:v>
      </x:c>
      <x:c r="AP92" s="14" t="str">
        <x:v>Direct BBC public-service scope</x:v>
      </x:c>
      <x:c r="AQ92" s="14" t="str">
        <x:v>Yes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12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2</x:v>
      </x:c>
      <x:c r="BS92" s="16" t="n">
        <x:v>0.16666666666666666</x:v>
      </x:c>
      <x:c r="BT92" s="14" t="str">
        <x:v>Minority of episodes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tt14488438|nm4319468|yemi</x:v>
      </x:c>
      <x:c r="B93" s="14" t="str">
        <x:v>02</x:v>
      </x:c>
      <x:c r="C93" s="14" t="str">
        <x:v>2023_IMDb_Cast_Lists_Batch_02(2).xlsx</x:v>
      </x:c>
      <x:c r="D93" s="14" t="str">
        <x:v>Dreaming Whilst Black</x:v>
      </x:c>
      <x:c r="E93" s="14" t="n">
        <x:v>43</x:v>
      </x:c>
      <x:c r="F93" s="14" t="str">
        <x:v>Dreaming Whilst Black</x:v>
      </x:c>
      <x:c r="G93" s="14" t="str">
        <x:v>tt14488438</x:v>
      </x:c>
      <x:c r="H93" s="14" t="n">
        <x:v>2023</x:v>
      </x:c>
      <x:c r="I93" s="14" t="n">
        <x:v>2023</x:v>
      </x:c>
      <x:c r="J93" s="14" t="str">
        <x:v>Future Carry-Forward Cohort</x:v>
      </x:c>
      <x:c r="K93" s="14"/>
      <x:c r="L93" s="14" t="str">
        <x:v>Not inherited</x:v>
      </x:c>
      <x:c r="M93" s="15" t="n">
        <x:v>36</x:v>
      </x:c>
      <x:c r="N93" s="14" t="str">
        <x:v>Joan Stephens</x:v>
      </x:c>
      <x:c r="O93" s="14" t="str">
        <x:v>nm4319468</x:v>
      </x:c>
      <x:c r="P93" s="14" t="str">
        <x:v>Yemi</x:v>
      </x:c>
      <x:c r="Q93" s="15" t="n">
        <x:v>2</x:v>
      </x:c>
      <x:c r="R93" s="14" t="str">
        <x:v>2025</x:v>
      </x:c>
      <x:c r="S93" s="14" t="n">
        <x:v>2025</x:v>
      </x:c>
      <x:c r="T93" s="14" t="n">
        <x:v>2025</x:v>
      </x:c>
      <x:c r="U93" s="14" t="str">
        <x:v>Explicit source first year retained</x:v>
      </x:c>
      <x:c r="V93" s="14" t="str">
        <x:v>Earliest supplied year is 2025.</x:v>
      </x:c>
      <x:c r="W93" s="14"/>
      <x:c r="X93" s="14" t="str">
        <x:v>Carried forward to 2025</x:v>
      </x:c>
      <x:c r="Y93" s="14"/>
      <x:c r="Z93" s="14" t="str">
        <x:v>Dreaming Whilst Black.docx</x:v>
      </x:c>
      <x:c r="AA9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BBC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3" s="14" t="str">
        <x:v>BBC public-service commission</x:v>
      </x:c>
      <x:c r="AO93" s="14" t="str">
        <x:v>Yes</x:v>
      </x:c>
      <x:c r="AP93" s="14" t="str">
        <x:v>Direct BBC public-service scope</x:v>
      </x:c>
      <x:c r="AQ93" s="14" t="str">
        <x:v>Yes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12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2</x:v>
      </x:c>
      <x:c r="BS93" s="16" t="n">
        <x:v>0.16666666666666666</x:v>
      </x:c>
      <x:c r="BT93" s="14" t="str">
        <x:v>Minority of episodes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tt14488438|nm1264521|winston</x:v>
      </x:c>
      <x:c r="B94" s="14" t="str">
        <x:v>02</x:v>
      </x:c>
      <x:c r="C94" s="14" t="str">
        <x:v>2023_IMDb_Cast_Lists_Batch_02(2).xlsx</x:v>
      </x:c>
      <x:c r="D94" s="14" t="str">
        <x:v>Dreaming Whilst Black</x:v>
      </x:c>
      <x:c r="E94" s="14" t="n">
        <x:v>85</x:v>
      </x:c>
      <x:c r="F94" s="14" t="str">
        <x:v>Dreaming Whilst Black</x:v>
      </x:c>
      <x:c r="G94" s="14" t="str">
        <x:v>tt14488438</x:v>
      </x:c>
      <x:c r="H94" s="14" t="n">
        <x:v>2023</x:v>
      </x:c>
      <x:c r="I94" s="14" t="n">
        <x:v>2023</x:v>
      </x:c>
      <x:c r="J94" s="14" t="str">
        <x:v>Future Carry-Forward Cohort</x:v>
      </x:c>
      <x:c r="K94" s="14"/>
      <x:c r="L94" s="14" t="str">
        <x:v>Not inherited</x:v>
      </x:c>
      <x:c r="M94" s="15" t="n">
        <x:v>78</x:v>
      </x:c>
      <x:c r="N94" s="14" t="str">
        <x:v>Aidan McArdle</x:v>
      </x:c>
      <x:c r="O94" s="14" t="str">
        <x:v>nm1264521</x:v>
      </x:c>
      <x:c r="P94" s="14" t="str">
        <x:v>Winston</x:v>
      </x:c>
      <x:c r="Q94" s="15" t="n">
        <x:v>1</x:v>
      </x:c>
      <x:c r="R94" s="14" t="str">
        <x:v>2025</x:v>
      </x:c>
      <x:c r="S94" s="14" t="n">
        <x:v>2025</x:v>
      </x:c>
      <x:c r="T94" s="14" t="n">
        <x:v>2025</x:v>
      </x:c>
      <x:c r="U94" s="14" t="str">
        <x:v>Explicit source first year retained</x:v>
      </x:c>
      <x:c r="V94" s="14" t="str">
        <x:v>Earliest supplied year is 2025.</x:v>
      </x:c>
      <x:c r="W94" s="14"/>
      <x:c r="X94" s="14" t="str">
        <x:v>Carried forward to 2025</x:v>
      </x:c>
      <x:c r="Y94" s="14"/>
      <x:c r="Z94" s="14" t="str">
        <x:v>Dreaming Whilst Black.docx</x:v>
      </x:c>
      <x:c r="AA9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BBC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4" s="14" t="str">
        <x:v>BBC public-service commission</x:v>
      </x:c>
      <x:c r="AO94" s="14" t="str">
        <x:v>Yes</x:v>
      </x:c>
      <x:c r="AP94" s="14" t="str">
        <x:v>Direct BBC public-service scope</x:v>
      </x:c>
      <x:c r="AQ94" s="14" t="str">
        <x:v>Yes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12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0.08333333333333333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tt14488438|nm0533489|pippa</x:v>
      </x:c>
      <x:c r="B95" s="14" t="str">
        <x:v>02</x:v>
      </x:c>
      <x:c r="C95" s="14" t="str">
        <x:v>2023_IMDb_Cast_Lists_Batch_02(2).xlsx</x:v>
      </x:c>
      <x:c r="D95" s="14" t="str">
        <x:v>Dreaming Whilst Black</x:v>
      </x:c>
      <x:c r="E95" s="14" t="n">
        <x:v>86</x:v>
      </x:c>
      <x:c r="F95" s="14" t="str">
        <x:v>Dreaming Whilst Black</x:v>
      </x:c>
      <x:c r="G95" s="14" t="str">
        <x:v>tt14488438</x:v>
      </x:c>
      <x:c r="H95" s="14" t="n">
        <x:v>2023</x:v>
      </x:c>
      <x:c r="I95" s="14" t="n">
        <x:v>2023</x:v>
      </x:c>
      <x:c r="J95" s="14" t="str">
        <x:v>Future Carry-Forward Cohort</x:v>
      </x:c>
      <x:c r="K95" s="14"/>
      <x:c r="L95" s="14" t="str">
        <x:v>Not inherited</x:v>
      </x:c>
      <x:c r="M95" s="15" t="n">
        <x:v>79</x:v>
      </x:c>
      <x:c r="N95" s="14" t="str">
        <x:v>Doon Mackichan</x:v>
      </x:c>
      <x:c r="O95" s="14" t="str">
        <x:v>nm0533489</x:v>
      </x:c>
      <x:c r="P95" s="14" t="str">
        <x:v>Pippa</x:v>
      </x:c>
      <x:c r="Q95" s="15" t="n">
        <x:v>1</x:v>
      </x:c>
      <x:c r="R95" s="14" t="str">
        <x:v>2025</x:v>
      </x:c>
      <x:c r="S95" s="14" t="n">
        <x:v>2025</x:v>
      </x:c>
      <x:c r="T95" s="14" t="n">
        <x:v>2025</x:v>
      </x:c>
      <x:c r="U95" s="14" t="str">
        <x:v>Explicit source first year retained</x:v>
      </x:c>
      <x:c r="V95" s="14" t="str">
        <x:v>Earliest supplied year is 2025.</x:v>
      </x:c>
      <x:c r="W95" s="14"/>
      <x:c r="X95" s="14" t="str">
        <x:v>Carried forward to 2025</x:v>
      </x:c>
      <x:c r="Y95" s="14"/>
      <x:c r="Z95" s="14" t="str">
        <x:v>Dreaming Whilst Black.docx</x:v>
      </x:c>
      <x:c r="AA9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BBC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5" s="14" t="str">
        <x:v>BBC public-service commission</x:v>
      </x:c>
      <x:c r="AO95" s="14" t="str">
        <x:v>Yes</x:v>
      </x:c>
      <x:c r="AP95" s="14" t="str">
        <x:v>Direct BBC public-service scope</x:v>
      </x:c>
      <x:c r="AQ95" s="14" t="str">
        <x:v>Yes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12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0.08333333333333333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tt14488438|nm1835936|heather</x:v>
      </x:c>
      <x:c r="B96" s="14" t="str">
        <x:v>02</x:v>
      </x:c>
      <x:c r="C96" s="14" t="str">
        <x:v>2023_IMDb_Cast_Lists_Batch_02(2).xlsx</x:v>
      </x:c>
      <x:c r="D96" s="14" t="str">
        <x:v>Dreaming Whilst Black</x:v>
      </x:c>
      <x:c r="E96" s="14" t="n">
        <x:v>87</x:v>
      </x:c>
      <x:c r="F96" s="14" t="str">
        <x:v>Dreaming Whilst Black</x:v>
      </x:c>
      <x:c r="G96" s="14" t="str">
        <x:v>tt14488438</x:v>
      </x:c>
      <x:c r="H96" s="14" t="n">
        <x:v>2023</x:v>
      </x:c>
      <x:c r="I96" s="14" t="n">
        <x:v>2023</x:v>
      </x:c>
      <x:c r="J96" s="14" t="str">
        <x:v>Future Carry-Forward Cohort</x:v>
      </x:c>
      <x:c r="K96" s="14"/>
      <x:c r="L96" s="14" t="str">
        <x:v>Not inherited</x:v>
      </x:c>
      <x:c r="M96" s="15" t="n">
        <x:v>80</x:v>
      </x:c>
      <x:c r="N96" s="14" t="str">
        <x:v>Lucy Montgomery</x:v>
      </x:c>
      <x:c r="O96" s="14" t="str">
        <x:v>nm1835936</x:v>
      </x:c>
      <x:c r="P96" s="14" t="str">
        <x:v>Heather</x:v>
      </x:c>
      <x:c r="Q96" s="15" t="n">
        <x:v>1</x:v>
      </x:c>
      <x:c r="R96" s="14" t="str">
        <x:v>2025</x:v>
      </x:c>
      <x:c r="S96" s="14" t="n">
        <x:v>2025</x:v>
      </x:c>
      <x:c r="T96" s="14" t="n">
        <x:v>2025</x:v>
      </x:c>
      <x:c r="U96" s="14" t="str">
        <x:v>Explicit source first year retained</x:v>
      </x:c>
      <x:c r="V96" s="14" t="str">
        <x:v>Earliest supplied year is 2025.</x:v>
      </x:c>
      <x:c r="W96" s="14"/>
      <x:c r="X96" s="14" t="str">
        <x:v>Carried forward to 2025</x:v>
      </x:c>
      <x:c r="Y96" s="14"/>
      <x:c r="Z96" s="14" t="str">
        <x:v>Dreaming Whilst Black.docx</x:v>
      </x:c>
      <x:c r="AA9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BBC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6" s="14" t="str">
        <x:v>BBC public-service commission</x:v>
      </x:c>
      <x:c r="AO96" s="14" t="str">
        <x:v>Yes</x:v>
      </x:c>
      <x:c r="AP96" s="14" t="str">
        <x:v>Direct BBC public-service scope</x:v>
      </x:c>
      <x:c r="AQ96" s="14" t="str">
        <x:v>Yes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12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0.08333333333333333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tt14488438|nm10862576|abdul</x:v>
      </x:c>
      <x:c r="B97" s="14" t="str">
        <x:v>02</x:v>
      </x:c>
      <x:c r="C97" s="14" t="str">
        <x:v>2023_IMDb_Cast_Lists_Batch_02(2).xlsx</x:v>
      </x:c>
      <x:c r="D97" s="14" t="str">
        <x:v>Dreaming Whilst Black</x:v>
      </x:c>
      <x:c r="E97" s="14" t="n">
        <x:v>88</x:v>
      </x:c>
      <x:c r="F97" s="14" t="str">
        <x:v>Dreaming Whilst Black</x:v>
      </x:c>
      <x:c r="G97" s="14" t="str">
        <x:v>tt14488438</x:v>
      </x:c>
      <x:c r="H97" s="14" t="n">
        <x:v>2023</x:v>
      </x:c>
      <x:c r="I97" s="14" t="n">
        <x:v>2023</x:v>
      </x:c>
      <x:c r="J97" s="14" t="str">
        <x:v>Future Carry-Forward Cohort</x:v>
      </x:c>
      <x:c r="K97" s="14"/>
      <x:c r="L97" s="14" t="str">
        <x:v>Not inherited</x:v>
      </x:c>
      <x:c r="M97" s="15" t="n">
        <x:v>81</x:v>
      </x:c>
      <x:c r="N97" s="14" t="str">
        <x:v>Michael Workeye</x:v>
      </x:c>
      <x:c r="O97" s="14" t="str">
        <x:v>nm10862576</x:v>
      </x:c>
      <x:c r="P97" s="14" t="str">
        <x:v>Abdul</x:v>
      </x:c>
      <x:c r="Q97" s="15" t="n">
        <x:v>1</x:v>
      </x:c>
      <x:c r="R97" s="14" t="str">
        <x:v>2025</x:v>
      </x:c>
      <x:c r="S97" s="14" t="n">
        <x:v>2025</x:v>
      </x:c>
      <x:c r="T97" s="14" t="n">
        <x:v>2025</x:v>
      </x:c>
      <x:c r="U97" s="14" t="str">
        <x:v>Explicit source first year retained</x:v>
      </x:c>
      <x:c r="V97" s="14" t="str">
        <x:v>Earliest supplied year is 2025.</x:v>
      </x:c>
      <x:c r="W97" s="14"/>
      <x:c r="X97" s="14" t="str">
        <x:v>Carried forward to 2025</x:v>
      </x:c>
      <x:c r="Y97" s="14"/>
      <x:c r="Z97" s="14" t="str">
        <x:v>Dreaming Whilst Black.docx</x:v>
      </x:c>
      <x:c r="AA9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BBC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7" s="14" t="str">
        <x:v>BBC public-service commission</x:v>
      </x:c>
      <x:c r="AO97" s="14" t="str">
        <x:v>Yes</x:v>
      </x:c>
      <x:c r="AP97" s="14" t="str">
        <x:v>Direct BBC public-service scope</x:v>
      </x:c>
      <x:c r="AQ97" s="14" t="str">
        <x:v>Yes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12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0.08333333333333333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tt14488438|nm5728367|producer 2</x:v>
      </x:c>
      <x:c r="B98" s="14" t="str">
        <x:v>02</x:v>
      </x:c>
      <x:c r="C98" s="14" t="str">
        <x:v>2023_IMDb_Cast_Lists_Batch_02(2).xlsx</x:v>
      </x:c>
      <x:c r="D98" s="14" t="str">
        <x:v>Dreaming Whilst Black</x:v>
      </x:c>
      <x:c r="E98" s="14" t="n">
        <x:v>89</x:v>
      </x:c>
      <x:c r="F98" s="14" t="str">
        <x:v>Dreaming Whilst Black</x:v>
      </x:c>
      <x:c r="G98" s="14" t="str">
        <x:v>tt14488438</x:v>
      </x:c>
      <x:c r="H98" s="14" t="n">
        <x:v>2023</x:v>
      </x:c>
      <x:c r="I98" s="14" t="n">
        <x:v>2023</x:v>
      </x:c>
      <x:c r="J98" s="14" t="str">
        <x:v>Future Carry-Forward Cohort</x:v>
      </x:c>
      <x:c r="K98" s="14"/>
      <x:c r="L98" s="14" t="str">
        <x:v>Not inherited</x:v>
      </x:c>
      <x:c r="M98" s="15" t="n">
        <x:v>82</x:v>
      </x:c>
      <x:c r="N98" s="14" t="str">
        <x:v>Paul G. Raymond</x:v>
      </x:c>
      <x:c r="O98" s="14" t="str">
        <x:v>nm5728367</x:v>
      </x:c>
      <x:c r="P98" s="14" t="str">
        <x:v>Producer 2</x:v>
      </x:c>
      <x:c r="Q98" s="15" t="n">
        <x:v>1</x:v>
      </x:c>
      <x:c r="R98" s="14" t="str">
        <x:v>2025</x:v>
      </x:c>
      <x:c r="S98" s="14" t="n">
        <x:v>2025</x:v>
      </x:c>
      <x:c r="T98" s="14" t="n">
        <x:v>2025</x:v>
      </x:c>
      <x:c r="U98" s="14" t="str">
        <x:v>Explicit source first year retained</x:v>
      </x:c>
      <x:c r="V98" s="14" t="str">
        <x:v>Earliest supplied year is 2025.</x:v>
      </x:c>
      <x:c r="W98" s="14"/>
      <x:c r="X98" s="14" t="str">
        <x:v>Carried forward to 2025</x:v>
      </x:c>
      <x:c r="Y98" s="14"/>
      <x:c r="Z98" s="14" t="str">
        <x:v>Dreaming Whilst Black.docx</x:v>
      </x:c>
      <x:c r="AA9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BBC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8" s="14" t="str">
        <x:v>BBC public-service commission</x:v>
      </x:c>
      <x:c r="AO98" s="14" t="str">
        <x:v>Yes</x:v>
      </x:c>
      <x:c r="AP98" s="14" t="str">
        <x:v>Direct BBC public-service scope</x:v>
      </x:c>
      <x:c r="AQ98" s="14" t="str">
        <x:v>Yes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12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0.08333333333333333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tt14488438|nm9378323|jamie</x:v>
      </x:c>
      <x:c r="B99" s="14" t="str">
        <x:v>02</x:v>
      </x:c>
      <x:c r="C99" s="14" t="str">
        <x:v>2023_IMDb_Cast_Lists_Batch_02(2).xlsx</x:v>
      </x:c>
      <x:c r="D99" s="14" t="str">
        <x:v>Dreaming Whilst Black</x:v>
      </x:c>
      <x:c r="E99" s="14" t="n">
        <x:v>90</x:v>
      </x:c>
      <x:c r="F99" s="14" t="str">
        <x:v>Dreaming Whilst Black</x:v>
      </x:c>
      <x:c r="G99" s="14" t="str">
        <x:v>tt14488438</x:v>
      </x:c>
      <x:c r="H99" s="14" t="n">
        <x:v>2023</x:v>
      </x:c>
      <x:c r="I99" s="14" t="n">
        <x:v>2023</x:v>
      </x:c>
      <x:c r="J99" s="14" t="str">
        <x:v>Future Carry-Forward Cohort</x:v>
      </x:c>
      <x:c r="K99" s="14"/>
      <x:c r="L99" s="14" t="str">
        <x:v>Not inherited</x:v>
      </x:c>
      <x:c r="M99" s="15" t="n">
        <x:v>83</x:v>
      </x:c>
      <x:c r="N99" s="14" t="str">
        <x:v>Alfredo Tavares</x:v>
      </x:c>
      <x:c r="O99" s="14" t="str">
        <x:v>nm9378323</x:v>
      </x:c>
      <x:c r="P99" s="14" t="str">
        <x:v>Jamie</x:v>
      </x:c>
      <x:c r="Q99" s="15" t="n">
        <x:v>1</x:v>
      </x:c>
      <x:c r="R99" s="14" t="str">
        <x:v>2025</x:v>
      </x:c>
      <x:c r="S99" s="14" t="n">
        <x:v>2025</x:v>
      </x:c>
      <x:c r="T99" s="14" t="n">
        <x:v>2025</x:v>
      </x:c>
      <x:c r="U99" s="14" t="str">
        <x:v>Explicit source first year retained</x:v>
      </x:c>
      <x:c r="V99" s="14" t="str">
        <x:v>Earliest supplied year is 2025.</x:v>
      </x:c>
      <x:c r="W99" s="14"/>
      <x:c r="X99" s="14" t="str">
        <x:v>Carried forward to 2025</x:v>
      </x:c>
      <x:c r="Y99" s="14"/>
      <x:c r="Z99" s="14" t="str">
        <x:v>Dreaming Whilst Black.docx</x:v>
      </x:c>
      <x:c r="AA9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BBC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99" s="14" t="str">
        <x:v>BBC public-service commission</x:v>
      </x:c>
      <x:c r="AO99" s="14" t="str">
        <x:v>Yes</x:v>
      </x:c>
      <x:c r="AP99" s="14" t="str">
        <x:v>Direct BBC public-service scope</x:v>
      </x:c>
      <x:c r="AQ99" s="14" t="str">
        <x:v>Yes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12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0.08333333333333333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tt14488438|nm0871548|producer</x:v>
      </x:c>
      <x:c r="B100" s="14" t="str">
        <x:v>02</x:v>
      </x:c>
      <x:c r="C100" s="14" t="str">
        <x:v>2023_IMDb_Cast_Lists_Batch_02(2).xlsx</x:v>
      </x:c>
      <x:c r="D100" s="14" t="str">
        <x:v>Dreaming Whilst Black</x:v>
      </x:c>
      <x:c r="E100" s="14" t="n">
        <x:v>91</x:v>
      </x:c>
      <x:c r="F100" s="14" t="str">
        <x:v>Dreaming Whilst Black</x:v>
      </x:c>
      <x:c r="G100" s="14" t="str">
        <x:v>tt14488438</x:v>
      </x:c>
      <x:c r="H100" s="14" t="n">
        <x:v>2023</x:v>
      </x:c>
      <x:c r="I100" s="14" t="n">
        <x:v>2023</x:v>
      </x:c>
      <x:c r="J100" s="14" t="str">
        <x:v>Future Carry-Forward Cohort</x:v>
      </x:c>
      <x:c r="K100" s="14"/>
      <x:c r="L100" s="14" t="str">
        <x:v>Not inherited</x:v>
      </x:c>
      <x:c r="M100" s="15" t="n">
        <x:v>84</x:v>
      </x:c>
      <x:c r="N100" s="14" t="str">
        <x:v>Jamie Treacher</x:v>
      </x:c>
      <x:c r="O100" s="14" t="str">
        <x:v>nm0871548</x:v>
      </x:c>
      <x:c r="P100" s="14" t="str">
        <x:v>Producer</x:v>
      </x:c>
      <x:c r="Q100" s="15" t="n">
        <x:v>1</x:v>
      </x:c>
      <x:c r="R100" s="14" t="str">
        <x:v>2025</x:v>
      </x:c>
      <x:c r="S100" s="14" t="n">
        <x:v>2025</x:v>
      </x:c>
      <x:c r="T100" s="14" t="n">
        <x:v>2025</x:v>
      </x:c>
      <x:c r="U100" s="14" t="str">
        <x:v>Explicit source first year retained</x:v>
      </x:c>
      <x:c r="V100" s="14" t="str">
        <x:v>Earliest supplied year is 2025.</x:v>
      </x:c>
      <x:c r="W100" s="14"/>
      <x:c r="X100" s="14" t="str">
        <x:v>Carried forward to 2025</x:v>
      </x:c>
      <x:c r="Y100" s="14"/>
      <x:c r="Z100" s="14" t="str">
        <x:v>Dreaming Whilst Black.docx</x:v>
      </x:c>
      <x:c r="AA10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BBC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0" s="14" t="str">
        <x:v>BBC public-service commission</x:v>
      </x:c>
      <x:c r="AO100" s="14" t="str">
        <x:v>Yes</x:v>
      </x:c>
      <x:c r="AP100" s="14" t="str">
        <x:v>Direct BBC public-service scope</x:v>
      </x:c>
      <x:c r="AQ100" s="14" t="str">
        <x:v>Yes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12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0.08333333333333333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tt14488438|nm12577601|patron 1</x:v>
      </x:c>
      <x:c r="B101" s="14" t="str">
        <x:v>02</x:v>
      </x:c>
      <x:c r="C101" s="14" t="str">
        <x:v>2023_IMDb_Cast_Lists_Batch_02(2).xlsx</x:v>
      </x:c>
      <x:c r="D101" s="14" t="str">
        <x:v>Dreaming Whilst Black</x:v>
      </x:c>
      <x:c r="E101" s="14" t="n">
        <x:v>92</x:v>
      </x:c>
      <x:c r="F101" s="14" t="str">
        <x:v>Dreaming Whilst Black</x:v>
      </x:c>
      <x:c r="G101" s="14" t="str">
        <x:v>tt14488438</x:v>
      </x:c>
      <x:c r="H101" s="14" t="n">
        <x:v>2023</x:v>
      </x:c>
      <x:c r="I101" s="14" t="n">
        <x:v>2023</x:v>
      </x:c>
      <x:c r="J101" s="14" t="str">
        <x:v>Future Carry-Forward Cohort</x:v>
      </x:c>
      <x:c r="K101" s="14"/>
      <x:c r="L101" s="14" t="str">
        <x:v>Not inherited</x:v>
      </x:c>
      <x:c r="M101" s="15" t="n">
        <x:v>85</x:v>
      </x:c>
      <x:c r="N101" s="14" t="str">
        <x:v>Cal-I Jonel</x:v>
      </x:c>
      <x:c r="O101" s="14" t="str">
        <x:v>nm12577601</x:v>
      </x:c>
      <x:c r="P101" s="14" t="str">
        <x:v>Patron 1</x:v>
      </x:c>
      <x:c r="Q101" s="15" t="n">
        <x:v>1</x:v>
      </x:c>
      <x:c r="R101" s="14" t="str">
        <x:v>2025</x:v>
      </x:c>
      <x:c r="S101" s="14" t="n">
        <x:v>2025</x:v>
      </x:c>
      <x:c r="T101" s="14" t="n">
        <x:v>2025</x:v>
      </x:c>
      <x:c r="U101" s="14" t="str">
        <x:v>Explicit source first year retained</x:v>
      </x:c>
      <x:c r="V101" s="14" t="str">
        <x:v>Earliest supplied year is 2025.</x:v>
      </x:c>
      <x:c r="W101" s="14"/>
      <x:c r="X101" s="14" t="str">
        <x:v>Carried forward to 2025</x:v>
      </x:c>
      <x:c r="Y101" s="14"/>
      <x:c r="Z101" s="14" t="str">
        <x:v>Dreaming Whilst Black.docx</x:v>
      </x:c>
      <x:c r="AA10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BBC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1" s="14" t="str">
        <x:v>BBC public-service commission</x:v>
      </x:c>
      <x:c r="AO101" s="14" t="str">
        <x:v>Yes</x:v>
      </x:c>
      <x:c r="AP101" s="14" t="str">
        <x:v>Direct BBC public-service scope</x:v>
      </x:c>
      <x:c r="AQ101" s="14" t="str">
        <x:v>Yes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12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0.08333333333333333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tt14488438|nm13316152|caricaturist</x:v>
      </x:c>
      <x:c r="B102" s="14" t="str">
        <x:v>02</x:v>
      </x:c>
      <x:c r="C102" s="14" t="str">
        <x:v>2023_IMDb_Cast_Lists_Batch_02(2).xlsx</x:v>
      </x:c>
      <x:c r="D102" s="14" t="str">
        <x:v>Dreaming Whilst Black</x:v>
      </x:c>
      <x:c r="E102" s="14" t="n">
        <x:v>93</x:v>
      </x:c>
      <x:c r="F102" s="14" t="str">
        <x:v>Dreaming Whilst Black</x:v>
      </x:c>
      <x:c r="G102" s="14" t="str">
        <x:v>tt14488438</x:v>
      </x:c>
      <x:c r="H102" s="14" t="n">
        <x:v>2023</x:v>
      </x:c>
      <x:c r="I102" s="14" t="n">
        <x:v>2023</x:v>
      </x:c>
      <x:c r="J102" s="14" t="str">
        <x:v>Future Carry-Forward Cohort</x:v>
      </x:c>
      <x:c r="K102" s="14"/>
      <x:c r="L102" s="14" t="str">
        <x:v>Not inherited</x:v>
      </x:c>
      <x:c r="M102" s="15" t="n">
        <x:v>86</x:v>
      </x:c>
      <x:c r="N102" s="14" t="str">
        <x:v>Constantine Andronikou</x:v>
      </x:c>
      <x:c r="O102" s="14" t="str">
        <x:v>nm13316152</x:v>
      </x:c>
      <x:c r="P102" s="14" t="str">
        <x:v>Caricaturist</x:v>
      </x:c>
      <x:c r="Q102" s="15" t="n">
        <x:v>1</x:v>
      </x:c>
      <x:c r="R102" s="14" t="str">
        <x:v>2025</x:v>
      </x:c>
      <x:c r="S102" s="14" t="n">
        <x:v>2025</x:v>
      </x:c>
      <x:c r="T102" s="14" t="n">
        <x:v>2025</x:v>
      </x:c>
      <x:c r="U102" s="14" t="str">
        <x:v>Explicit source first year retained</x:v>
      </x:c>
      <x:c r="V102" s="14" t="str">
        <x:v>Earliest supplied year is 2025.</x:v>
      </x:c>
      <x:c r="W102" s="14"/>
      <x:c r="X102" s="14" t="str">
        <x:v>Carried forward to 2025</x:v>
      </x:c>
      <x:c r="Y102" s="14"/>
      <x:c r="Z102" s="14" t="str">
        <x:v>Dreaming Whilst Black.docx</x:v>
      </x:c>
      <x:c r="AA10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BBC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2" s="14" t="str">
        <x:v>BBC public-service commission</x:v>
      </x:c>
      <x:c r="AO102" s="14" t="str">
        <x:v>Yes</x:v>
      </x:c>
      <x:c r="AP102" s="14" t="str">
        <x:v>Direct BBC public-service scope</x:v>
      </x:c>
      <x:c r="AQ102" s="14" t="str">
        <x:v>Yes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12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0.08333333333333333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tt14488438|nm4820932|security guard</x:v>
      </x:c>
      <x:c r="B103" s="14" t="str">
        <x:v>02</x:v>
      </x:c>
      <x:c r="C103" s="14" t="str">
        <x:v>2023_IMDb_Cast_Lists_Batch_02(2).xlsx</x:v>
      </x:c>
      <x:c r="D103" s="14" t="str">
        <x:v>Dreaming Whilst Black</x:v>
      </x:c>
      <x:c r="E103" s="14" t="n">
        <x:v>94</x:v>
      </x:c>
      <x:c r="F103" s="14" t="str">
        <x:v>Dreaming Whilst Black</x:v>
      </x:c>
      <x:c r="G103" s="14" t="str">
        <x:v>tt14488438</x:v>
      </x:c>
      <x:c r="H103" s="14" t="n">
        <x:v>2023</x:v>
      </x:c>
      <x:c r="I103" s="14" t="n">
        <x:v>2023</x:v>
      </x:c>
      <x:c r="J103" s="14" t="str">
        <x:v>Future Carry-Forward Cohort</x:v>
      </x:c>
      <x:c r="K103" s="14"/>
      <x:c r="L103" s="14" t="str">
        <x:v>Not inherited</x:v>
      </x:c>
      <x:c r="M103" s="15" t="n">
        <x:v>87</x:v>
      </x:c>
      <x:c r="N103" s="14" t="str">
        <x:v>Christine Dalby</x:v>
      </x:c>
      <x:c r="O103" s="14" t="str">
        <x:v>nm4820932</x:v>
      </x:c>
      <x:c r="P103" s="14" t="str">
        <x:v>Security Guard</x:v>
      </x:c>
      <x:c r="Q103" s="15" t="n">
        <x:v>1</x:v>
      </x:c>
      <x:c r="R103" s="14" t="str">
        <x:v>2025</x:v>
      </x:c>
      <x:c r="S103" s="14" t="n">
        <x:v>2025</x:v>
      </x:c>
      <x:c r="T103" s="14" t="n">
        <x:v>2025</x:v>
      </x:c>
      <x:c r="U103" s="14" t="str">
        <x:v>Explicit source first year retained</x:v>
      </x:c>
      <x:c r="V103" s="14" t="str">
        <x:v>Earliest supplied year is 2025.</x:v>
      </x:c>
      <x:c r="W103" s="14"/>
      <x:c r="X103" s="14" t="str">
        <x:v>Carried forward to 2025</x:v>
      </x:c>
      <x:c r="Y103" s="14"/>
      <x:c r="Z103" s="14" t="str">
        <x:v>Dreaming Whilst Black.docx</x:v>
      </x:c>
      <x:c r="AA10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12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0.08333333333333333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tt14488438|nm13412512|presenter</x:v>
      </x:c>
      <x:c r="B104" s="14" t="str">
        <x:v>02</x:v>
      </x:c>
      <x:c r="C104" s="14" t="str">
        <x:v>2023_IMDb_Cast_Lists_Batch_02(2).xlsx</x:v>
      </x:c>
      <x:c r="D104" s="14" t="str">
        <x:v>Dreaming Whilst Black</x:v>
      </x:c>
      <x:c r="E104" s="14" t="n">
        <x:v>95</x:v>
      </x:c>
      <x:c r="F104" s="14" t="str">
        <x:v>Dreaming Whilst Black</x:v>
      </x:c>
      <x:c r="G104" s="14" t="str">
        <x:v>tt14488438</x:v>
      </x:c>
      <x:c r="H104" s="14" t="n">
        <x:v>2023</x:v>
      </x:c>
      <x:c r="I104" s="14" t="n">
        <x:v>2023</x:v>
      </x:c>
      <x:c r="J104" s="14" t="str">
        <x:v>Future Carry-Forward Cohort</x:v>
      </x:c>
      <x:c r="K104" s="14"/>
      <x:c r="L104" s="14" t="str">
        <x:v>Not inherited</x:v>
      </x:c>
      <x:c r="M104" s="15" t="n">
        <x:v>88</x:v>
      </x:c>
      <x:c r="N104" s="14" t="str">
        <x:v>Victoria Duthie</x:v>
      </x:c>
      <x:c r="O104" s="14" t="str">
        <x:v>nm13412512</x:v>
      </x:c>
      <x:c r="P104" s="14" t="str">
        <x:v>Presenter</x:v>
      </x:c>
      <x:c r="Q104" s="15" t="n">
        <x:v>1</x:v>
      </x:c>
      <x:c r="R104" s="14" t="str">
        <x:v>2025</x:v>
      </x:c>
      <x:c r="S104" s="14" t="n">
        <x:v>2025</x:v>
      </x:c>
      <x:c r="T104" s="14" t="n">
        <x:v>2025</x:v>
      </x:c>
      <x:c r="U104" s="14" t="str">
        <x:v>Explicit source first year retained</x:v>
      </x:c>
      <x:c r="V104" s="14" t="str">
        <x:v>Earliest supplied year is 2025.</x:v>
      </x:c>
      <x:c r="W104" s="14"/>
      <x:c r="X104" s="14" t="str">
        <x:v>Carried forward to 2025</x:v>
      </x:c>
      <x:c r="Y104" s="14"/>
      <x:c r="Z104" s="14" t="str">
        <x:v>Dreaming Whilst Black.docx</x:v>
      </x:c>
      <x:c r="AA10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12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0.08333333333333333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tt14488438|nm9286296|katie</x:v>
      </x:c>
      <x:c r="B105" s="14" t="str">
        <x:v>02</x:v>
      </x:c>
      <x:c r="C105" s="14" t="str">
        <x:v>2023_IMDb_Cast_Lists_Batch_02(2).xlsx</x:v>
      </x:c>
      <x:c r="D105" s="14" t="str">
        <x:v>Dreaming Whilst Black</x:v>
      </x:c>
      <x:c r="E105" s="14" t="n">
        <x:v>96</x:v>
      </x:c>
      <x:c r="F105" s="14" t="str">
        <x:v>Dreaming Whilst Black</x:v>
      </x:c>
      <x:c r="G105" s="14" t="str">
        <x:v>tt14488438</x:v>
      </x:c>
      <x:c r="H105" s="14" t="n">
        <x:v>2023</x:v>
      </x:c>
      <x:c r="I105" s="14" t="n">
        <x:v>2023</x:v>
      </x:c>
      <x:c r="J105" s="14" t="str">
        <x:v>Future Carry-Forward Cohort</x:v>
      </x:c>
      <x:c r="K105" s="14"/>
      <x:c r="L105" s="14" t="str">
        <x:v>Not inherited</x:v>
      </x:c>
      <x:c r="M105" s="15" t="n">
        <x:v>89</x:v>
      </x:c>
      <x:c r="N105" s="14" t="str">
        <x:v>Emmy Stonelake</x:v>
      </x:c>
      <x:c r="O105" s="14" t="str">
        <x:v>nm9286296</x:v>
      </x:c>
      <x:c r="P105" s="14" t="str">
        <x:v>Katie</x:v>
      </x:c>
      <x:c r="Q105" s="15" t="n">
        <x:v>1</x:v>
      </x:c>
      <x:c r="R105" s="14" t="str">
        <x:v>2025</x:v>
      </x:c>
      <x:c r="S105" s="14" t="n">
        <x:v>2025</x:v>
      </x:c>
      <x:c r="T105" s="14" t="n">
        <x:v>2025</x:v>
      </x:c>
      <x:c r="U105" s="14" t="str">
        <x:v>Explicit source first year retained</x:v>
      </x:c>
      <x:c r="V105" s="14" t="str">
        <x:v>Earliest supplied year is 2025.</x:v>
      </x:c>
      <x:c r="W105" s="14"/>
      <x:c r="X105" s="14" t="str">
        <x:v>Carried forward to 2025</x:v>
      </x:c>
      <x:c r="Y105" s="14"/>
      <x:c r="Z105" s="14" t="str">
        <x:v>Dreaming Whilst Black.docx</x:v>
      </x:c>
      <x:c r="AA10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12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0.08333333333333333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tt14488438|nm7881890|french waiter</x:v>
      </x:c>
      <x:c r="B106" s="14" t="str">
        <x:v>02</x:v>
      </x:c>
      <x:c r="C106" s="14" t="str">
        <x:v>2023_IMDb_Cast_Lists_Batch_02(2).xlsx</x:v>
      </x:c>
      <x:c r="D106" s="14" t="str">
        <x:v>Dreaming Whilst Black</x:v>
      </x:c>
      <x:c r="E106" s="14" t="n">
        <x:v>97</x:v>
      </x:c>
      <x:c r="F106" s="14" t="str">
        <x:v>Dreaming Whilst Black</x:v>
      </x:c>
      <x:c r="G106" s="14" t="str">
        <x:v>tt14488438</x:v>
      </x:c>
      <x:c r="H106" s="14" t="n">
        <x:v>2023</x:v>
      </x:c>
      <x:c r="I106" s="14" t="n">
        <x:v>2023</x:v>
      </x:c>
      <x:c r="J106" s="14" t="str">
        <x:v>Future Carry-Forward Cohort</x:v>
      </x:c>
      <x:c r="K106" s="14"/>
      <x:c r="L106" s="14" t="str">
        <x:v>Not inherited</x:v>
      </x:c>
      <x:c r="M106" s="15" t="n">
        <x:v>90</x:v>
      </x:c>
      <x:c r="N106" s="14" t="str">
        <x:v>Alexis Larrue</x:v>
      </x:c>
      <x:c r="O106" s="14" t="str">
        <x:v>nm7881890</x:v>
      </x:c>
      <x:c r="P106" s="14" t="str">
        <x:v>French Waiter</x:v>
      </x:c>
      <x:c r="Q106" s="15" t="n">
        <x:v>1</x:v>
      </x:c>
      <x:c r="R106" s="14" t="str">
        <x:v>2025</x:v>
      </x:c>
      <x:c r="S106" s="14" t="n">
        <x:v>2025</x:v>
      </x:c>
      <x:c r="T106" s="14" t="n">
        <x:v>2025</x:v>
      </x:c>
      <x:c r="U106" s="14" t="str">
        <x:v>Explicit source first year retained</x:v>
      </x:c>
      <x:c r="V106" s="14" t="str">
        <x:v>Earliest supplied year is 2025.</x:v>
      </x:c>
      <x:c r="W106" s="14"/>
      <x:c r="X106" s="14" t="str">
        <x:v>Carried forward to 2025</x:v>
      </x:c>
      <x:c r="Y106" s="14"/>
      <x:c r="Z106" s="14" t="str">
        <x:v>Dreaming Whilst Black.docx</x:v>
      </x:c>
      <x:c r="AA10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12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0.08333333333333333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tt14488438|nm2120534|producer 3</x:v>
      </x:c>
      <x:c r="B107" s="14" t="str">
        <x:v>02</x:v>
      </x:c>
      <x:c r="C107" s="14" t="str">
        <x:v>2023_IMDb_Cast_Lists_Batch_02(2).xlsx</x:v>
      </x:c>
      <x:c r="D107" s="14" t="str">
        <x:v>Dreaming Whilst Black</x:v>
      </x:c>
      <x:c r="E107" s="14" t="n">
        <x:v>98</x:v>
      </x:c>
      <x:c r="F107" s="14" t="str">
        <x:v>Dreaming Whilst Black</x:v>
      </x:c>
      <x:c r="G107" s="14" t="str">
        <x:v>tt14488438</x:v>
      </x:c>
      <x:c r="H107" s="14" t="n">
        <x:v>2023</x:v>
      </x:c>
      <x:c r="I107" s="14" t="n">
        <x:v>2023</x:v>
      </x:c>
      <x:c r="J107" s="14" t="str">
        <x:v>Future Carry-Forward Cohort</x:v>
      </x:c>
      <x:c r="K107" s="14"/>
      <x:c r="L107" s="14" t="str">
        <x:v>Not inherited</x:v>
      </x:c>
      <x:c r="M107" s="15" t="n">
        <x:v>91</x:v>
      </x:c>
      <x:c r="N107" s="14" t="str">
        <x:v>Eleanor Brunsdon</x:v>
      </x:c>
      <x:c r="O107" s="14" t="str">
        <x:v>nm2120534</x:v>
      </x:c>
      <x:c r="P107" s="14" t="str">
        <x:v>Producer 3</x:v>
      </x:c>
      <x:c r="Q107" s="15" t="n">
        <x:v>1</x:v>
      </x:c>
      <x:c r="R107" s="14" t="str">
        <x:v>2025</x:v>
      </x:c>
      <x:c r="S107" s="14" t="n">
        <x:v>2025</x:v>
      </x:c>
      <x:c r="T107" s="14" t="n">
        <x:v>2025</x:v>
      </x:c>
      <x:c r="U107" s="14" t="str">
        <x:v>Explicit source first year retained</x:v>
      </x:c>
      <x:c r="V107" s="14" t="str">
        <x:v>Earliest supplied year is 2025.</x:v>
      </x:c>
      <x:c r="W107" s="14"/>
      <x:c r="X107" s="14" t="str">
        <x:v>Carried forward to 2025</x:v>
      </x:c>
      <x:c r="Y107" s="14"/>
      <x:c r="Z107" s="14" t="str">
        <x:v>Dreaming Whilst Black.docx</x:v>
      </x:c>
      <x:c r="AA10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12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0.08333333333333333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tt14488438|nm15867461|theatre manager</x:v>
      </x:c>
      <x:c r="B108" s="14" t="str">
        <x:v>02</x:v>
      </x:c>
      <x:c r="C108" s="14" t="str">
        <x:v>2023_IMDb_Cast_Lists_Batch_02(2).xlsx</x:v>
      </x:c>
      <x:c r="D108" s="14" t="str">
        <x:v>Dreaming Whilst Black</x:v>
      </x:c>
      <x:c r="E108" s="14" t="n">
        <x:v>99</x:v>
      </x:c>
      <x:c r="F108" s="14" t="str">
        <x:v>Dreaming Whilst Black</x:v>
      </x:c>
      <x:c r="G108" s="14" t="str">
        <x:v>tt14488438</x:v>
      </x:c>
      <x:c r="H108" s="14" t="n">
        <x:v>2023</x:v>
      </x:c>
      <x:c r="I108" s="14" t="n">
        <x:v>2023</x:v>
      </x:c>
      <x:c r="J108" s="14" t="str">
        <x:v>Future Carry-Forward Cohort</x:v>
      </x:c>
      <x:c r="K108" s="14"/>
      <x:c r="L108" s="14" t="str">
        <x:v>Not inherited</x:v>
      </x:c>
      <x:c r="M108" s="15" t="n">
        <x:v>92</x:v>
      </x:c>
      <x:c r="N108" s="14" t="str">
        <x:v>Joanne Gray</x:v>
      </x:c>
      <x:c r="O108" s="14" t="str">
        <x:v>nm15867461</x:v>
      </x:c>
      <x:c r="P108" s="14" t="str">
        <x:v>Theatre Manager</x:v>
      </x:c>
      <x:c r="Q108" s="15" t="n">
        <x:v>1</x:v>
      </x:c>
      <x:c r="R108" s="14" t="str">
        <x:v>2025</x:v>
      </x:c>
      <x:c r="S108" s="14" t="n">
        <x:v>2025</x:v>
      </x:c>
      <x:c r="T108" s="14" t="n">
        <x:v>2025</x:v>
      </x:c>
      <x:c r="U108" s="14" t="str">
        <x:v>Explicit source first year retained</x:v>
      </x:c>
      <x:c r="V108" s="14" t="str">
        <x:v>Earliest supplied year is 2025.</x:v>
      </x:c>
      <x:c r="W108" s="14"/>
      <x:c r="X108" s="14" t="str">
        <x:v>Carried forward to 2025</x:v>
      </x:c>
      <x:c r="Y108" s="14"/>
      <x:c r="Z108" s="14" t="str">
        <x:v>Dreaming Whilst Black.docx</x:v>
      </x:c>
      <x:c r="AA10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12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0.08333333333333333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tt14488438|nm17693857|jesse</x:v>
      </x:c>
      <x:c r="B109" s="14" t="str">
        <x:v>02</x:v>
      </x:c>
      <x:c r="C109" s="14" t="str">
        <x:v>2023_IMDb_Cast_Lists_Batch_02(2).xlsx</x:v>
      </x:c>
      <x:c r="D109" s="14" t="str">
        <x:v>Dreaming Whilst Black</x:v>
      </x:c>
      <x:c r="E109" s="14" t="n">
        <x:v>100</x:v>
      </x:c>
      <x:c r="F109" s="14" t="str">
        <x:v>Dreaming Whilst Black</x:v>
      </x:c>
      <x:c r="G109" s="14" t="str">
        <x:v>tt14488438</x:v>
      </x:c>
      <x:c r="H109" s="14" t="n">
        <x:v>2023</x:v>
      </x:c>
      <x:c r="I109" s="14" t="n">
        <x:v>2023</x:v>
      </x:c>
      <x:c r="J109" s="14" t="str">
        <x:v>Future Carry-Forward Cohort</x:v>
      </x:c>
      <x:c r="K109" s="14"/>
      <x:c r="L109" s="14" t="str">
        <x:v>Not inherited</x:v>
      </x:c>
      <x:c r="M109" s="15" t="n">
        <x:v>93</x:v>
      </x:c>
      <x:c r="N109" s="14" t="str">
        <x:v>Tyrone Forde</x:v>
      </x:c>
      <x:c r="O109" s="14" t="str">
        <x:v>nm17693857</x:v>
      </x:c>
      <x:c r="P109" s="14" t="str">
        <x:v>Jesse</x:v>
      </x:c>
      <x:c r="Q109" s="15" t="n">
        <x:v>1</x:v>
      </x:c>
      <x:c r="R109" s="14" t="str">
        <x:v>2025</x:v>
      </x:c>
      <x:c r="S109" s="14" t="n">
        <x:v>2025</x:v>
      </x:c>
      <x:c r="T109" s="14" t="n">
        <x:v>2025</x:v>
      </x:c>
      <x:c r="U109" s="14" t="str">
        <x:v>Explicit source first year retained</x:v>
      </x:c>
      <x:c r="V109" s="14" t="str">
        <x:v>Earliest supplied year is 2025.</x:v>
      </x:c>
      <x:c r="W109" s="14"/>
      <x:c r="X109" s="14" t="str">
        <x:v>Carried forward to 2025</x:v>
      </x:c>
      <x:c r="Y109" s="14"/>
      <x:c r="Z109" s="14" t="str">
        <x:v>Dreaming Whilst Black.docx</x:v>
      </x:c>
      <x:c r="AA10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12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0.08333333333333333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tt14488438|nm14045891|patron 2</x:v>
      </x:c>
      <x:c r="B110" s="14" t="str">
        <x:v>02</x:v>
      </x:c>
      <x:c r="C110" s="14" t="str">
        <x:v>2023_IMDb_Cast_Lists_Batch_02(2).xlsx</x:v>
      </x:c>
      <x:c r="D110" s="14" t="str">
        <x:v>Dreaming Whilst Black</x:v>
      </x:c>
      <x:c r="E110" s="14" t="n">
        <x:v>101</x:v>
      </x:c>
      <x:c r="F110" s="14" t="str">
        <x:v>Dreaming Whilst Black</x:v>
      </x:c>
      <x:c r="G110" s="14" t="str">
        <x:v>tt14488438</x:v>
      </x:c>
      <x:c r="H110" s="14" t="n">
        <x:v>2023</x:v>
      </x:c>
      <x:c r="I110" s="14" t="n">
        <x:v>2023</x:v>
      </x:c>
      <x:c r="J110" s="14" t="str">
        <x:v>Future Carry-Forward Cohort</x:v>
      </x:c>
      <x:c r="K110" s="14"/>
      <x:c r="L110" s="14" t="str">
        <x:v>Not inherited</x:v>
      </x:c>
      <x:c r="M110" s="15" t="n">
        <x:v>94</x:v>
      </x:c>
      <x:c r="N110" s="14" t="str">
        <x:v>Connor Going</x:v>
      </x:c>
      <x:c r="O110" s="14" t="str">
        <x:v>nm14045891</x:v>
      </x:c>
      <x:c r="P110" s="14" t="str">
        <x:v>Patron 2</x:v>
      </x:c>
      <x:c r="Q110" s="15" t="n">
        <x:v>1</x:v>
      </x:c>
      <x:c r="R110" s="14" t="str">
        <x:v>2025</x:v>
      </x:c>
      <x:c r="S110" s="14" t="n">
        <x:v>2025</x:v>
      </x:c>
      <x:c r="T110" s="14" t="n">
        <x:v>2025</x:v>
      </x:c>
      <x:c r="U110" s="14" t="str">
        <x:v>Explicit source first year retained</x:v>
      </x:c>
      <x:c r="V110" s="14" t="str">
        <x:v>Earliest supplied year is 2025.</x:v>
      </x:c>
      <x:c r="W110" s="14"/>
      <x:c r="X110" s="14" t="str">
        <x:v>Carried forward to 2025</x:v>
      </x:c>
      <x:c r="Y110" s="14"/>
      <x:c r="Z110" s="14" t="str">
        <x:v>Dreaming Whilst Black.docx</x:v>
      </x:c>
      <x:c r="AA11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12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0.08333333333333333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tt14488438|nm12206208|abu</x:v>
      </x:c>
      <x:c r="B111" s="14" t="str">
        <x:v>02</x:v>
      </x:c>
      <x:c r="C111" s="14" t="str">
        <x:v>2023_IMDb_Cast_Lists_Batch_02(2).xlsx</x:v>
      </x:c>
      <x:c r="D111" s="14" t="str">
        <x:v>Dreaming Whilst Black</x:v>
      </x:c>
      <x:c r="E111" s="14" t="n">
        <x:v>102</x:v>
      </x:c>
      <x:c r="F111" s="14" t="str">
        <x:v>Dreaming Whilst Black</x:v>
      </x:c>
      <x:c r="G111" s="14" t="str">
        <x:v>tt14488438</x:v>
      </x:c>
      <x:c r="H111" s="14" t="n">
        <x:v>2023</x:v>
      </x:c>
      <x:c r="I111" s="14" t="n">
        <x:v>2023</x:v>
      </x:c>
      <x:c r="J111" s="14" t="str">
        <x:v>Future Carry-Forward Cohort</x:v>
      </x:c>
      <x:c r="K111" s="14"/>
      <x:c r="L111" s="14" t="str">
        <x:v>Not inherited</x:v>
      </x:c>
      <x:c r="M111" s="15" t="n">
        <x:v>95</x:v>
      </x:c>
      <x:c r="N111" s="14" t="str">
        <x:v>Harel Glazer</x:v>
      </x:c>
      <x:c r="O111" s="14" t="str">
        <x:v>nm12206208</x:v>
      </x:c>
      <x:c r="P111" s="14" t="str">
        <x:v>Abu</x:v>
      </x:c>
      <x:c r="Q111" s="15" t="n">
        <x:v>1</x:v>
      </x:c>
      <x:c r="R111" s="14" t="str">
        <x:v>2025</x:v>
      </x:c>
      <x:c r="S111" s="14" t="n">
        <x:v>2025</x:v>
      </x:c>
      <x:c r="T111" s="14" t="n">
        <x:v>2025</x:v>
      </x:c>
      <x:c r="U111" s="14" t="str">
        <x:v>Explicit source first year retained</x:v>
      </x:c>
      <x:c r="V111" s="14" t="str">
        <x:v>Earliest supplied year is 2025.</x:v>
      </x:c>
      <x:c r="W111" s="14"/>
      <x:c r="X111" s="14" t="str">
        <x:v>Carried forward to 2025</x:v>
      </x:c>
      <x:c r="Y111" s="14"/>
      <x:c r="Z111" s="14" t="str">
        <x:v>Dreaming Whilst Black.docx</x:v>
      </x:c>
      <x:c r="AA11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12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0.08333333333333333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tt20918594|nm3433735|dr. james ford</x:v>
      </x:c>
      <x:c r="B112" s="14" t="str">
        <x:v>02</x:v>
      </x:c>
      <x:c r="C112" s="14" t="str">
        <x:v>2023_IMDb_Cast_Lists_Batch_02(2).xlsx</x:v>
      </x:c>
      <x:c r="D112" s="14" t="str">
        <x:v>Malpractice</x:v>
      </x:c>
      <x:c r="E112" s="14" t="n">
        <x:v>13</x:v>
      </x:c>
      <x:c r="F112" s="14" t="str">
        <x:v>Malpractice</x:v>
      </x:c>
      <x:c r="G112" s="14" t="str">
        <x:v>tt20918594</x:v>
      </x:c>
      <x:c r="H112" s="14" t="n">
        <x:v>2023</x:v>
      </x:c>
      <x:c r="I112" s="14" t="n">
        <x:v>2023</x:v>
      </x:c>
      <x:c r="J112" s="14" t="str">
        <x:v>Future Carry-Forward Cohort</x:v>
      </x:c>
      <x:c r="K112" s="14"/>
      <x:c r="L112" s="14" t="str">
        <x:v>Not inherited</x:v>
      </x:c>
      <x:c r="M112" s="15" t="n">
        <x:v>6</x:v>
      </x:c>
      <x:c r="N112" s="14" t="str">
        <x:v>Tom Hughes</x:v>
      </x:c>
      <x:c r="O112" s="14" t="str">
        <x:v>nm3433735</x:v>
      </x:c>
      <x:c r="P112" s="14" t="str">
        <x:v>Dr. James Ford</x:v>
      </x:c>
      <x:c r="Q112" s="15" t="n">
        <x:v>5</x:v>
      </x:c>
      <x:c r="R112" s="14" t="str">
        <x:v>2025</x:v>
      </x:c>
      <x:c r="S112" s="14" t="n">
        <x:v>2025</x:v>
      </x:c>
      <x:c r="T112" s="14" t="n">
        <x:v>2025</x:v>
      </x:c>
      <x:c r="U112" s="14" t="str">
        <x:v>Explicit source first year retained</x:v>
      </x:c>
      <x:c r="V112" s="14" t="str">
        <x:v>Earliest supplied year is 2025.</x:v>
      </x:c>
      <x:c r="W112" s="14"/>
      <x:c r="X112" s="14" t="str">
        <x:v>Carried forward to 2025</x:v>
      </x:c>
      <x:c r="Y112" s="14"/>
      <x:c r="Z112" s="14" t="str">
        <x:v>Malpractice.docx</x:v>
      </x:c>
      <x:c r="AA11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ITV / ITVX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HYPERLINK("https://en.wikipedia.org/wiki/Malpractice","Open source")</x:f>
        <x:v>HYPERLINK is not implemented. linkLocation=https://en.wikipedia.org/wiki/Malpractice, friendlyName=Open source</x:v>
      </x:c>
      <x:c r="AN112" s="14" t="str">
        <x:v>No qualifying BBC relationship</x:v>
      </x:c>
      <x:c r="AO112" s="14" t="str">
        <x:v>No</x:v>
      </x:c>
      <x:c r="AP112" s="14" t="str">
        <x:v>Out of scope</x:v>
      </x:c>
      <x:c r="AQ112" s="14" t="str">
        <x:v>No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10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5</x:v>
      </x:c>
      <x:c r="BS112" s="16" t="n">
        <x:v>0.5</x:v>
      </x:c>
      <x:c r="BT112" s="14" t="str">
        <x:v>Minority of episodes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tt20918594|nm4271607|dr. sophia hernandez</x:v>
      </x:c>
      <x:c r="B113" s="14" t="str">
        <x:v>02</x:v>
      </x:c>
      <x:c r="C113" s="14" t="str">
        <x:v>2023_IMDb_Cast_Lists_Batch_02(2).xlsx</x:v>
      </x:c>
      <x:c r="D113" s="14" t="str">
        <x:v>Malpractice</x:v>
      </x:c>
      <x:c r="E113" s="14" t="n">
        <x:v>14</x:v>
      </x:c>
      <x:c r="F113" s="14" t="str">
        <x:v>Malpractice</x:v>
      </x:c>
      <x:c r="G113" s="14" t="str">
        <x:v>tt20918594</x:v>
      </x:c>
      <x:c r="H113" s="14" t="n">
        <x:v>2023</x:v>
      </x:c>
      <x:c r="I113" s="14" t="n">
        <x:v>2023</x:v>
      </x:c>
      <x:c r="J113" s="14" t="str">
        <x:v>Future Carry-Forward Cohort</x:v>
      </x:c>
      <x:c r="K113" s="14"/>
      <x:c r="L113" s="14" t="str">
        <x:v>Not inherited</x:v>
      </x:c>
      <x:c r="M113" s="15" t="n">
        <x:v>7</x:v>
      </x:c>
      <x:c r="N113" s="14" t="str">
        <x:v>Selin Hizli</x:v>
      </x:c>
      <x:c r="O113" s="14" t="str">
        <x:v>nm4271607</x:v>
      </x:c>
      <x:c r="P113" s="14" t="str">
        <x:v>Dr. Sophia Hernandez</x:v>
      </x:c>
      <x:c r="Q113" s="15" t="n">
        <x:v>5</x:v>
      </x:c>
      <x:c r="R113" s="14" t="str">
        <x:v>2025</x:v>
      </x:c>
      <x:c r="S113" s="14" t="n">
        <x:v>2025</x:v>
      </x:c>
      <x:c r="T113" s="14" t="n">
        <x:v>2025</x:v>
      </x:c>
      <x:c r="U113" s="14" t="str">
        <x:v>Explicit source first year retained</x:v>
      </x:c>
      <x:c r="V113" s="14" t="str">
        <x:v>Earliest supplied year is 2025.</x:v>
      </x:c>
      <x:c r="W113" s="14"/>
      <x:c r="X113" s="14" t="str">
        <x:v>Carried forward to 2025</x:v>
      </x:c>
      <x:c r="Y113" s="14"/>
      <x:c r="Z113" s="14" t="str">
        <x:v>Malpractice.docx</x:v>
      </x:c>
      <x:c r="AA11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ITV / ITVX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HYPERLINK("https://en.wikipedia.org/wiki/Malpractice","Open source")</x:f>
        <x:v>HYPERLINK is not implemented. linkLocation=https://en.wikipedia.org/wiki/Malpractice, friendlyName=Open source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10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5</x:v>
      </x:c>
      <x:c r="BS113" s="16" t="n">
        <x:v>0.5</x:v>
      </x:c>
      <x:c r="BT113" s="14" t="str">
        <x:v>Minority of episodes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tt20918594|nm0854364|dr. kate mcallister</x:v>
      </x:c>
      <x:c r="B114" s="14" t="str">
        <x:v>02</x:v>
      </x:c>
      <x:c r="C114" s="14" t="str">
        <x:v>2023_IMDb_Cast_Lists_Batch_02(2).xlsx</x:v>
      </x:c>
      <x:c r="D114" s="14" t="str">
        <x:v>Malpractice</x:v>
      </x:c>
      <x:c r="E114" s="14" t="n">
        <x:v>15</x:v>
      </x:c>
      <x:c r="F114" s="14" t="str">
        <x:v>Malpractice</x:v>
      </x:c>
      <x:c r="G114" s="14" t="str">
        <x:v>tt20918594</x:v>
      </x:c>
      <x:c r="H114" s="14" t="n">
        <x:v>2023</x:v>
      </x:c>
      <x:c r="I114" s="14" t="n">
        <x:v>2023</x:v>
      </x:c>
      <x:c r="J114" s="14" t="str">
        <x:v>Future Carry-Forward Cohort</x:v>
      </x:c>
      <x:c r="K114" s="14"/>
      <x:c r="L114" s="14" t="str">
        <x:v>Not inherited</x:v>
      </x:c>
      <x:c r="M114" s="15" t="n">
        <x:v>8</x:v>
      </x:c>
      <x:c r="N114" s="14" t="str">
        <x:v>Zoe Telford</x:v>
      </x:c>
      <x:c r="O114" s="14" t="str">
        <x:v>nm0854364</x:v>
      </x:c>
      <x:c r="P114" s="14" t="str">
        <x:v>Dr. Kate McAllister</x:v>
      </x:c>
      <x:c r="Q114" s="15" t="n">
        <x:v>5</x:v>
      </x:c>
      <x:c r="R114" s="14" t="str">
        <x:v>2025</x:v>
      </x:c>
      <x:c r="S114" s="14" t="n">
        <x:v>2025</x:v>
      </x:c>
      <x:c r="T114" s="14" t="n">
        <x:v>2025</x:v>
      </x:c>
      <x:c r="U114" s="14" t="str">
        <x:v>Explicit source first year retained</x:v>
      </x:c>
      <x:c r="V114" s="14" t="str">
        <x:v>Earliest supplied year is 2025.</x:v>
      </x:c>
      <x:c r="W114" s="14"/>
      <x:c r="X114" s="14" t="str">
        <x:v>Carried forward to 2025</x:v>
      </x:c>
      <x:c r="Y114" s="14" t="str">
        <x:v>(as Zoë Telford)</x:v>
      </x:c>
      <x:c r="Z114" s="14" t="str">
        <x:v>Malpractice.docx</x:v>
      </x:c>
      <x:c r="AA11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ITV / ITVX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HYPERLINK("https://en.wikipedia.org/wiki/Malpractice","Open source")</x:f>
        <x:v>HYPERLINK is not implemented. linkLocation=https://en.wikipedia.org/wiki/Malpractice,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10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5</x:v>
      </x:c>
      <x:c r="BS114" s="16" t="n">
        <x:v>0.5</x:v>
      </x:c>
      <x:c r="BT114" s="14" t="str">
        <x:v>Minority of episodes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tt20918594|nm0090069|maria carter</x:v>
      </x:c>
      <x:c r="B115" s="14" t="str">
        <x:v>02</x:v>
      </x:c>
      <x:c r="C115" s="14" t="str">
        <x:v>2023_IMDb_Cast_Lists_Batch_02(2).xlsx</x:v>
      </x:c>
      <x:c r="D115" s="14" t="str">
        <x:v>Malpractice</x:v>
      </x:c>
      <x:c r="E115" s="14" t="n">
        <x:v>22</x:v>
      </x:c>
      <x:c r="F115" s="14" t="str">
        <x:v>Malpractice</x:v>
      </x:c>
      <x:c r="G115" s="14" t="str">
        <x:v>tt20918594</x:v>
      </x:c>
      <x:c r="H115" s="14" t="n">
        <x:v>2023</x:v>
      </x:c>
      <x:c r="I115" s="14" t="n">
        <x:v>2023</x:v>
      </x:c>
      <x:c r="J115" s="14" t="str">
        <x:v>Future Carry-Forward Cohort</x:v>
      </x:c>
      <x:c r="K115" s="14"/>
      <x:c r="L115" s="14" t="str">
        <x:v>Not inherited</x:v>
      </x:c>
      <x:c r="M115" s="15" t="n">
        <x:v>15</x:v>
      </x:c>
      <x:c r="N115" s="14" t="str">
        <x:v>Katherine Dow Blyton</x:v>
      </x:c>
      <x:c r="O115" s="14" t="str">
        <x:v>nm0090069</x:v>
      </x:c>
      <x:c r="P115" s="14" t="str">
        <x:v>Maria Carter</x:v>
      </x:c>
      <x:c r="Q115" s="15" t="n">
        <x:v>5</x:v>
      </x:c>
      <x:c r="R115" s="14" t="str">
        <x:v>2025</x:v>
      </x:c>
      <x:c r="S115" s="14" t="n">
        <x:v>2025</x:v>
      </x:c>
      <x:c r="T115" s="14" t="n">
        <x:v>2025</x:v>
      </x:c>
      <x:c r="U115" s="14" t="str">
        <x:v>Explicit source first year retained</x:v>
      </x:c>
      <x:c r="V115" s="14" t="str">
        <x:v>Earliest supplied year is 2025.</x:v>
      </x:c>
      <x:c r="W115" s="14"/>
      <x:c r="X115" s="14" t="str">
        <x:v>Carried forward to 2025</x:v>
      </x:c>
      <x:c r="Y115" s="14"/>
      <x:c r="Z115" s="14" t="str">
        <x:v>Malpractice.docx</x:v>
      </x:c>
      <x:c r="AA11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ITV / ITVX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HYPERLINK("https://en.wikipedia.org/wiki/Malpractice","Open source")</x:f>
        <x:v>HYPERLINK is not implemented. linkLocation=https://en.wikipedia.org/wiki/Malpractice,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10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5</x:v>
      </x:c>
      <x:c r="BS115" s="16" t="n">
        <x:v>0.5</x:v>
      </x:c>
      <x:c r="BT115" s="14" t="str">
        <x:v>Minority of episodes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tt20918594|nm0551349|aislene</x:v>
      </x:c>
      <x:c r="B116" s="14" t="str">
        <x:v>02</x:v>
      </x:c>
      <x:c r="C116" s="14" t="str">
        <x:v>2023_IMDb_Cast_Lists_Batch_02(2).xlsx</x:v>
      </x:c>
      <x:c r="D116" s="14" t="str">
        <x:v>Malpractice</x:v>
      </x:c>
      <x:c r="E116" s="14" t="n">
        <x:v>23</x:v>
      </x:c>
      <x:c r="F116" s="14" t="str">
        <x:v>Malpractice</x:v>
      </x:c>
      <x:c r="G116" s="14" t="str">
        <x:v>tt20918594</x:v>
      </x:c>
      <x:c r="H116" s="14" t="n">
        <x:v>2023</x:v>
      </x:c>
      <x:c r="I116" s="14" t="n">
        <x:v>2023</x:v>
      </x:c>
      <x:c r="J116" s="14" t="str">
        <x:v>Future Carry-Forward Cohort</x:v>
      </x:c>
      <x:c r="K116" s="14"/>
      <x:c r="L116" s="14" t="str">
        <x:v>Not inherited</x:v>
      </x:c>
      <x:c r="M116" s="15" t="n">
        <x:v>16</x:v>
      </x:c>
      <x:c r="N116" s="14" t="str">
        <x:v>Amy Marston</x:v>
      </x:c>
      <x:c r="O116" s="14" t="str">
        <x:v>nm0551349</x:v>
      </x:c>
      <x:c r="P116" s="14" t="str">
        <x:v>Aislene</x:v>
      </x:c>
      <x:c r="Q116" s="15" t="n">
        <x:v>5</x:v>
      </x:c>
      <x:c r="R116" s="14" t="str">
        <x:v>2025</x:v>
      </x:c>
      <x:c r="S116" s="14" t="n">
        <x:v>2025</x:v>
      </x:c>
      <x:c r="T116" s="14" t="n">
        <x:v>2025</x:v>
      </x:c>
      <x:c r="U116" s="14" t="str">
        <x:v>Explicit source first year retained</x:v>
      </x:c>
      <x:c r="V116" s="14" t="str">
        <x:v>Earliest supplied year is 2025.</x:v>
      </x:c>
      <x:c r="W116" s="14"/>
      <x:c r="X116" s="14" t="str">
        <x:v>Carried forward to 2025</x:v>
      </x:c>
      <x:c r="Y116" s="14"/>
      <x:c r="Z116" s="14" t="str">
        <x:v>Malpractice.docx</x:v>
      </x:c>
      <x:c r="AA11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ITV / ITVX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HYPERLINK("https://en.wikipedia.org/wiki/Malpractice","Open source")</x:f>
        <x:v>HYPERLINK is not implemented. linkLocation=https://en.wikipedia.org/wiki/Malpractice,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10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5</x:v>
      </x:c>
      <x:c r="BS116" s="16" t="n">
        <x:v>0.5</x:v>
      </x:c>
      <x:c r="BT116" s="14" t="str">
        <x:v>Minority of episodes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tt20918594|nm0080372|mr. arun mansoor</x:v>
      </x:c>
      <x:c r="B117" s="14" t="str">
        <x:v>02</x:v>
      </x:c>
      <x:c r="C117" s="14" t="str">
        <x:v>2023_IMDb_Cast_Lists_Batch_02(2).xlsx</x:v>
      </x:c>
      <x:c r="D117" s="14" t="str">
        <x:v>Malpractice</x:v>
      </x:c>
      <x:c r="E117" s="14" t="n">
        <x:v>24</x:v>
      </x:c>
      <x:c r="F117" s="14" t="str">
        <x:v>Malpractice</x:v>
      </x:c>
      <x:c r="G117" s="14" t="str">
        <x:v>tt20918594</x:v>
      </x:c>
      <x:c r="H117" s="14" t="n">
        <x:v>2023</x:v>
      </x:c>
      <x:c r="I117" s="14" t="n">
        <x:v>2023</x:v>
      </x:c>
      <x:c r="J117" s="14" t="str">
        <x:v>Future Carry-Forward Cohort</x:v>
      </x:c>
      <x:c r="K117" s="14"/>
      <x:c r="L117" s="14" t="str">
        <x:v>Not inherited</x:v>
      </x:c>
      <x:c r="M117" s="15" t="n">
        <x:v>17</x:v>
      </x:c>
      <x:c r="N117" s="14" t="str">
        <x:v>Ace Bhatti</x:v>
      </x:c>
      <x:c r="O117" s="14" t="str">
        <x:v>nm0080372</x:v>
      </x:c>
      <x:c r="P117" s="14" t="str">
        <x:v>Mr. Arun Mansoor</x:v>
      </x:c>
      <x:c r="Q117" s="15" t="n">
        <x:v>5</x:v>
      </x:c>
      <x:c r="R117" s="14" t="str">
        <x:v>2025</x:v>
      </x:c>
      <x:c r="S117" s="14" t="n">
        <x:v>2025</x:v>
      </x:c>
      <x:c r="T117" s="14" t="n">
        <x:v>2025</x:v>
      </x:c>
      <x:c r="U117" s="14" t="str">
        <x:v>Explicit source first year retained</x:v>
      </x:c>
      <x:c r="V117" s="14" t="str">
        <x:v>Earliest supplied year is 2025.</x:v>
      </x:c>
      <x:c r="W117" s="14"/>
      <x:c r="X117" s="14" t="str">
        <x:v>Carried forward to 2025</x:v>
      </x:c>
      <x:c r="Y117" s="14"/>
      <x:c r="Z117" s="14" t="str">
        <x:v>Malpractice.docx</x:v>
      </x:c>
      <x:c r="AA11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ITV / ITVX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HYPERLINK("https://en.wikipedia.org/wiki/Malpractice","Open source")</x:f>
        <x:v>HYPERLINK is not implemented. linkLocation=https://en.wikipedia.org/wiki/Malpractice,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10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5</x:v>
      </x:c>
      <x:c r="BS117" s="16" t="n">
        <x:v>0.5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tt20918594|nm2713033|kwame essiedu</x:v>
      </x:c>
      <x:c r="B118" s="14" t="str">
        <x:v>02</x:v>
      </x:c>
      <x:c r="C118" s="14" t="str">
        <x:v>2023_IMDb_Cast_Lists_Batch_02(2).xlsx</x:v>
      </x:c>
      <x:c r="D118" s="14" t="str">
        <x:v>Malpractice</x:v>
      </x:c>
      <x:c r="E118" s="14" t="n">
        <x:v>25</x:v>
      </x:c>
      <x:c r="F118" s="14" t="str">
        <x:v>Malpractice</x:v>
      </x:c>
      <x:c r="G118" s="14" t="str">
        <x:v>tt20918594</x:v>
      </x:c>
      <x:c r="H118" s="14" t="n">
        <x:v>2023</x:v>
      </x:c>
      <x:c r="I118" s="14" t="n">
        <x:v>2023</x:v>
      </x:c>
      <x:c r="J118" s="14" t="str">
        <x:v>Future Carry-Forward Cohort</x:v>
      </x:c>
      <x:c r="K118" s="14"/>
      <x:c r="L118" s="14" t="str">
        <x:v>Not inherited</x:v>
      </x:c>
      <x:c r="M118" s="15" t="n">
        <x:v>18</x:v>
      </x:c>
      <x:c r="N118" s="14" t="str">
        <x:v>Tobi Bakare</x:v>
      </x:c>
      <x:c r="O118" s="14" t="str">
        <x:v>nm2713033</x:v>
      </x:c>
      <x:c r="P118" s="14" t="str">
        <x:v>Kwame Essiedu</x:v>
      </x:c>
      <x:c r="Q118" s="15" t="n">
        <x:v>5</x:v>
      </x:c>
      <x:c r="R118" s="14" t="str">
        <x:v>2025</x:v>
      </x:c>
      <x:c r="S118" s="14" t="n">
        <x:v>2025</x:v>
      </x:c>
      <x:c r="T118" s="14" t="n">
        <x:v>2025</x:v>
      </x:c>
      <x:c r="U118" s="14" t="str">
        <x:v>Explicit source first year retained</x:v>
      </x:c>
      <x:c r="V118" s="14" t="str">
        <x:v>Earliest supplied year is 2025.</x:v>
      </x:c>
      <x:c r="W118" s="14"/>
      <x:c r="X118" s="14" t="str">
        <x:v>Carried forward to 2025</x:v>
      </x:c>
      <x:c r="Y118" s="14"/>
      <x:c r="Z118" s="14" t="str">
        <x:v>Malpractice.docx</x:v>
      </x:c>
      <x:c r="AA11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ITV / ITVX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HYPERLINK("https://en.wikipedia.org/wiki/Malpractice","Open source")</x:f>
        <x:v>HYPERLINK is not implemented. linkLocation=https://en.wikipedia.org/wiki/Malpractice,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10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5</x:v>
      </x:c>
      <x:c r="BS118" s="16" t="n">
        <x:v>0.5</x:v>
      </x:c>
      <x:c r="BT118" s="14" t="str">
        <x:v>Minority of episodes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tt20918594|nm3910615|precious danso</x:v>
      </x:c>
      <x:c r="B119" s="14" t="str">
        <x:v>02</x:v>
      </x:c>
      <x:c r="C119" s="14" t="str">
        <x:v>2023_IMDb_Cast_Lists_Batch_02(2).xlsx</x:v>
      </x:c>
      <x:c r="D119" s="14" t="str">
        <x:v>Malpractice</x:v>
      </x:c>
      <x:c r="E119" s="14" t="n">
        <x:v>26</x:v>
      </x:c>
      <x:c r="F119" s="14" t="str">
        <x:v>Malpractice</x:v>
      </x:c>
      <x:c r="G119" s="14" t="str">
        <x:v>tt20918594</x:v>
      </x:c>
      <x:c r="H119" s="14" t="n">
        <x:v>2023</x:v>
      </x:c>
      <x:c r="I119" s="14" t="n">
        <x:v>2023</x:v>
      </x:c>
      <x:c r="J119" s="14" t="str">
        <x:v>Future Carry-Forward Cohort</x:v>
      </x:c>
      <x:c r="K119" s="14"/>
      <x:c r="L119" s="14" t="str">
        <x:v>Not inherited</x:v>
      </x:c>
      <x:c r="M119" s="15" t="n">
        <x:v>19</x:v>
      </x:c>
      <x:c r="N119" s="14" t="str">
        <x:v>Naana Agyei Ampadu</x:v>
      </x:c>
      <x:c r="O119" s="14" t="str">
        <x:v>nm3910615</x:v>
      </x:c>
      <x:c r="P119" s="14" t="str">
        <x:v>Precious Danso</x:v>
      </x:c>
      <x:c r="Q119" s="15" t="n">
        <x:v>5</x:v>
      </x:c>
      <x:c r="R119" s="14" t="str">
        <x:v>2025</x:v>
      </x:c>
      <x:c r="S119" s="14" t="n">
        <x:v>2025</x:v>
      </x:c>
      <x:c r="T119" s="14" t="n">
        <x:v>2025</x:v>
      </x:c>
      <x:c r="U119" s="14" t="str">
        <x:v>Explicit source first year retained</x:v>
      </x:c>
      <x:c r="V119" s="14" t="str">
        <x:v>Earliest supplied year is 2025.</x:v>
      </x:c>
      <x:c r="W119" s="14"/>
      <x:c r="X119" s="14" t="str">
        <x:v>Carried forward to 2025</x:v>
      </x:c>
      <x:c r="Y119" s="14" t="str">
        <x:v>(as Naana Agyei-Ampadu)</x:v>
      </x:c>
      <x:c r="Z119" s="14" t="str">
        <x:v>Malpractice.docx</x:v>
      </x:c>
      <x:c r="AA11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ITV / ITVX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HYPERLINK("https://en.wikipedia.org/wiki/Malpractice","Open source")</x:f>
        <x:v>HYPERLINK is not implemented. linkLocation=https://en.wikipedia.org/wiki/Malpractice,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10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5</x:v>
      </x:c>
      <x:c r="BS119" s="16" t="n">
        <x:v>0.5</x:v>
      </x:c>
      <x:c r="BT119" s="14" t="str">
        <x:v>Minority of episodes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tt20918594|nm7306322|dr. bernadette asamoah</x:v>
      </x:c>
      <x:c r="B120" s="14" t="str">
        <x:v>02</x:v>
      </x:c>
      <x:c r="C120" s="14" t="str">
        <x:v>2023_IMDb_Cast_Lists_Batch_02(2).xlsx</x:v>
      </x:c>
      <x:c r="D120" s="14" t="str">
        <x:v>Malpractice</x:v>
      </x:c>
      <x:c r="E120" s="14" t="n">
        <x:v>27</x:v>
      </x:c>
      <x:c r="F120" s="14" t="str">
        <x:v>Malpractice</x:v>
      </x:c>
      <x:c r="G120" s="14" t="str">
        <x:v>tt20918594</x:v>
      </x:c>
      <x:c r="H120" s="14" t="n">
        <x:v>2023</x:v>
      </x:c>
      <x:c r="I120" s="14" t="n">
        <x:v>2023</x:v>
      </x:c>
      <x:c r="J120" s="14" t="str">
        <x:v>Future Carry-Forward Cohort</x:v>
      </x:c>
      <x:c r="K120" s="14"/>
      <x:c r="L120" s="14" t="str">
        <x:v>Not inherited</x:v>
      </x:c>
      <x:c r="M120" s="15" t="n">
        <x:v>20</x:v>
      </x:c>
      <x:c r="N120" s="14" t="str">
        <x:v>Jessica Layde</x:v>
      </x:c>
      <x:c r="O120" s="14" t="str">
        <x:v>nm7306322</x:v>
      </x:c>
      <x:c r="P120" s="14" t="str">
        <x:v>Dr. Bernadette Asamoah</x:v>
      </x:c>
      <x:c r="Q120" s="15" t="n">
        <x:v>5</x:v>
      </x:c>
      <x:c r="R120" s="14" t="str">
        <x:v>2025</x:v>
      </x:c>
      <x:c r="S120" s="14" t="n">
        <x:v>2025</x:v>
      </x:c>
      <x:c r="T120" s="14" t="n">
        <x:v>2025</x:v>
      </x:c>
      <x:c r="U120" s="14" t="str">
        <x:v>Explicit source first year retained</x:v>
      </x:c>
      <x:c r="V120" s="14" t="str">
        <x:v>Earliest supplied year is 2025.</x:v>
      </x:c>
      <x:c r="W120" s="14"/>
      <x:c r="X120" s="14" t="str">
        <x:v>Carried forward to 2025</x:v>
      </x:c>
      <x:c r="Y120" s="14"/>
      <x:c r="Z120" s="14" t="str">
        <x:v>Malpractice.docx</x:v>
      </x:c>
      <x:c r="AA12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ITV / ITVX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HYPERLINK("https://en.wikipedia.org/wiki/Malpractice","Open source")</x:f>
        <x:v>HYPERLINK is not implemented. linkLocation=https://en.wikipedia.org/wiki/Malpractice, friendlyName=Open source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10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5</x:v>
      </x:c>
      <x:c r="BS120" s="16" t="n">
        <x:v>0.5</x:v>
      </x:c>
      <x:c r="BT120" s="14" t="str">
        <x:v>Minority of episodes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tt20918594|nm0912012|eric sawers</x:v>
      </x:c>
      <x:c r="B121" s="14" t="str">
        <x:v>02</x:v>
      </x:c>
      <x:c r="C121" s="14" t="str">
        <x:v>2023_IMDb_Cast_Lists_Batch_02(2).xlsx</x:v>
      </x:c>
      <x:c r="D121" s="14" t="str">
        <x:v>Malpractice</x:v>
      </x:c>
      <x:c r="E121" s="14" t="n">
        <x:v>32</x:v>
      </x:c>
      <x:c r="F121" s="14" t="str">
        <x:v>Malpractice</x:v>
      </x:c>
      <x:c r="G121" s="14" t="str">
        <x:v>tt20918594</x:v>
      </x:c>
      <x:c r="H121" s="14" t="n">
        <x:v>2023</x:v>
      </x:c>
      <x:c r="I121" s="14" t="n">
        <x:v>2023</x:v>
      </x:c>
      <x:c r="J121" s="14" t="str">
        <x:v>Future Carry-Forward Cohort</x:v>
      </x:c>
      <x:c r="K121" s="14"/>
      <x:c r="L121" s="14" t="str">
        <x:v>Not inherited</x:v>
      </x:c>
      <x:c r="M121" s="15" t="n">
        <x:v>25</x:v>
      </x:c>
      <x:c r="N121" s="14" t="str">
        <x:v>Rick Warden</x:v>
      </x:c>
      <x:c r="O121" s="14" t="str">
        <x:v>nm0912012</x:v>
      </x:c>
      <x:c r="P121" s="14" t="str">
        <x:v>Eric Sawers</x:v>
      </x:c>
      <x:c r="Q121" s="15" t="n">
        <x:v>4</x:v>
      </x:c>
      <x:c r="R121" s="14" t="str">
        <x:v>2025</x:v>
      </x:c>
      <x:c r="S121" s="14" t="n">
        <x:v>2025</x:v>
      </x:c>
      <x:c r="T121" s="14" t="n">
        <x:v>2025</x:v>
      </x:c>
      <x:c r="U121" s="14" t="str">
        <x:v>Explicit source first year retained</x:v>
      </x:c>
      <x:c r="V121" s="14" t="str">
        <x:v>Earliest supplied year is 2025.</x:v>
      </x:c>
      <x:c r="W121" s="14"/>
      <x:c r="X121" s="14" t="str">
        <x:v>Carried forward to 2025</x:v>
      </x:c>
      <x:c r="Y121" s="14"/>
      <x:c r="Z121" s="14" t="str">
        <x:v>Malpractice.docx</x:v>
      </x:c>
      <x:c r="AA12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ITV / ITVX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HYPERLINK("https://en.wikipedia.org/wiki/Malpractice","Open source")</x:f>
        <x:v>HYPERLINK is not implemented. linkLocation=https://en.wikipedia.org/wiki/Malpractice, friendlyName=Open source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10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4</x:v>
      </x:c>
      <x:c r="BS121" s="16" t="n">
        <x:v>0.4</x:v>
      </x:c>
      <x:c r="BT121" s="14" t="str">
        <x:v>Minority of episodes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tt20918594|nm1918701|indira</x:v>
      </x:c>
      <x:c r="B122" s="14" t="str">
        <x:v>02</x:v>
      </x:c>
      <x:c r="C122" s="14" t="str">
        <x:v>2023_IMDb_Cast_Lists_Batch_02(2).xlsx</x:v>
      </x:c>
      <x:c r="D122" s="14" t="str">
        <x:v>Malpractice</x:v>
      </x:c>
      <x:c r="E122" s="14" t="n">
        <x:v>33</x:v>
      </x:c>
      <x:c r="F122" s="14" t="str">
        <x:v>Malpractice</x:v>
      </x:c>
      <x:c r="G122" s="14" t="str">
        <x:v>tt20918594</x:v>
      </x:c>
      <x:c r="H122" s="14" t="n">
        <x:v>2023</x:v>
      </x:c>
      <x:c r="I122" s="14" t="n">
        <x:v>2023</x:v>
      </x:c>
      <x:c r="J122" s="14" t="str">
        <x:v>Future Carry-Forward Cohort</x:v>
      </x:c>
      <x:c r="K122" s="14"/>
      <x:c r="L122" s="14" t="str">
        <x:v>Not inherited</x:v>
      </x:c>
      <x:c r="M122" s="15" t="n">
        <x:v>26</x:v>
      </x:c>
      <x:c r="N122" s="14" t="str">
        <x:v>Shereen Martin</x:v>
      </x:c>
      <x:c r="O122" s="14" t="str">
        <x:v>nm1918701</x:v>
      </x:c>
      <x:c r="P122" s="14" t="str">
        <x:v>Indira</x:v>
      </x:c>
      <x:c r="Q122" s="15" t="n">
        <x:v>4</x:v>
      </x:c>
      <x:c r="R122" s="14" t="str">
        <x:v>2025</x:v>
      </x:c>
      <x:c r="S122" s="14" t="n">
        <x:v>2025</x:v>
      </x:c>
      <x:c r="T122" s="14" t="n">
        <x:v>2025</x:v>
      </x:c>
      <x:c r="U122" s="14" t="str">
        <x:v>Explicit source first year retained</x:v>
      </x:c>
      <x:c r="V122" s="14" t="str">
        <x:v>Earliest supplied year is 2025.</x:v>
      </x:c>
      <x:c r="W122" s="14"/>
      <x:c r="X122" s="14" t="str">
        <x:v>Carried forward to 2025</x:v>
      </x:c>
      <x:c r="Y122" s="14"/>
      <x:c r="Z122" s="14" t="str">
        <x:v>Malpractice.docx</x:v>
      </x:c>
      <x:c r="AA12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ITV / ITVX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HYPERLINK("https://en.wikipedia.org/wiki/Malpractice","Open source")</x:f>
        <x:v>HYPERLINK is not implemented. linkLocation=https://en.wikipedia.org/wiki/Malpractice, friendlyName=Open source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10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4</x:v>
      </x:c>
      <x:c r="BS122" s="16" t="n">
        <x:v>0.4</x:v>
      </x:c>
      <x:c r="BT122" s="14" t="str">
        <x:v>Minority of episodes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tt20918594|nm6739323|toni campbell-brown</x:v>
      </x:c>
      <x:c r="B123" s="14" t="str">
        <x:v>02</x:v>
      </x:c>
      <x:c r="C123" s="14" t="str">
        <x:v>2023_IMDb_Cast_Lists_Batch_02(2).xlsx</x:v>
      </x:c>
      <x:c r="D123" s="14" t="str">
        <x:v>Malpractice</x:v>
      </x:c>
      <x:c r="E123" s="14" t="n">
        <x:v>34</x:v>
      </x:c>
      <x:c r="F123" s="14" t="str">
        <x:v>Malpractice</x:v>
      </x:c>
      <x:c r="G123" s="14" t="str">
        <x:v>tt20918594</x:v>
      </x:c>
      <x:c r="H123" s="14" t="n">
        <x:v>2023</x:v>
      </x:c>
      <x:c r="I123" s="14" t="n">
        <x:v>2023</x:v>
      </x:c>
      <x:c r="J123" s="14" t="str">
        <x:v>Future Carry-Forward Cohort</x:v>
      </x:c>
      <x:c r="K123" s="14"/>
      <x:c r="L123" s="14" t="str">
        <x:v>Not inherited</x:v>
      </x:c>
      <x:c r="M123" s="15" t="n">
        <x:v>27</x:v>
      </x:c>
      <x:c r="N123" s="14" t="str">
        <x:v>Seraphina Beh-Moore</x:v>
      </x:c>
      <x:c r="O123" s="14" t="str">
        <x:v>nm6739323</x:v>
      </x:c>
      <x:c r="P123" s="14" t="str">
        <x:v>Toni Campbell-Brown</x:v>
      </x:c>
      <x:c r="Q123" s="15" t="n">
        <x:v>4</x:v>
      </x:c>
      <x:c r="R123" s="14" t="str">
        <x:v>2025</x:v>
      </x:c>
      <x:c r="S123" s="14" t="n">
        <x:v>2025</x:v>
      </x:c>
      <x:c r="T123" s="14" t="n">
        <x:v>2025</x:v>
      </x:c>
      <x:c r="U123" s="14" t="str">
        <x:v>Explicit source first year retained</x:v>
      </x:c>
      <x:c r="V123" s="14" t="str">
        <x:v>Earliest supplied year is 2025.</x:v>
      </x:c>
      <x:c r="W123" s="14"/>
      <x:c r="X123" s="14" t="str">
        <x:v>Carried forward to 2025</x:v>
      </x:c>
      <x:c r="Y123" s="14" t="str">
        <x:v>(as Seraphina Beh)</x:v>
      </x:c>
      <x:c r="Z123" s="14" t="str">
        <x:v>Malpractice.docx</x:v>
      </x:c>
      <x:c r="AA12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ITV / ITVX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HYPERLINK("https://en.wikipedia.org/wiki/Malpractice","Open source")</x:f>
        <x:v>HYPERLINK is not implemented. linkLocation=https://en.wikipedia.org/wiki/Malpractice, friendlyName=Open source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10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4</x:v>
      </x:c>
      <x:c r="BS123" s="16" t="n">
        <x:v>0.4</x:v>
      </x:c>
      <x:c r="BT123" s="14" t="str">
        <x:v>Minority of episodes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tt20918594|nm7509509|will</x:v>
      </x:c>
      <x:c r="B124" s="14" t="str">
        <x:v>02</x:v>
      </x:c>
      <x:c r="C124" s="14" t="str">
        <x:v>2023_IMDb_Cast_Lists_Batch_02(2).xlsx</x:v>
      </x:c>
      <x:c r="D124" s="14" t="str">
        <x:v>Malpractice</x:v>
      </x:c>
      <x:c r="E124" s="14" t="n">
        <x:v>35</x:v>
      </x:c>
      <x:c r="F124" s="14" t="str">
        <x:v>Malpractice</x:v>
      </x:c>
      <x:c r="G124" s="14" t="str">
        <x:v>tt20918594</x:v>
      </x:c>
      <x:c r="H124" s="14" t="n">
        <x:v>2023</x:v>
      </x:c>
      <x:c r="I124" s="14" t="n">
        <x:v>2023</x:v>
      </x:c>
      <x:c r="J124" s="14" t="str">
        <x:v>Future Carry-Forward Cohort</x:v>
      </x:c>
      <x:c r="K124" s="14"/>
      <x:c r="L124" s="14" t="str">
        <x:v>Not inherited</x:v>
      </x:c>
      <x:c r="M124" s="15" t="n">
        <x:v>28</x:v>
      </x:c>
      <x:c r="N124" s="14" t="str">
        <x:v>Joshua Lacey</x:v>
      </x:c>
      <x:c r="O124" s="14" t="str">
        <x:v>nm7509509</x:v>
      </x:c>
      <x:c r="P124" s="14" t="str">
        <x:v>Will</x:v>
      </x:c>
      <x:c r="Q124" s="15" t="n">
        <x:v>4</x:v>
      </x:c>
      <x:c r="R124" s="14" t="str">
        <x:v>2025</x:v>
      </x:c>
      <x:c r="S124" s="14" t="n">
        <x:v>2025</x:v>
      </x:c>
      <x:c r="T124" s="14" t="n">
        <x:v>2025</x:v>
      </x:c>
      <x:c r="U124" s="14" t="str">
        <x:v>Explicit source first year retained</x:v>
      </x:c>
      <x:c r="V124" s="14" t="str">
        <x:v>Earliest supplied year is 2025.</x:v>
      </x:c>
      <x:c r="W124" s="14"/>
      <x:c r="X124" s="14" t="str">
        <x:v>Carried forward to 2025</x:v>
      </x:c>
      <x:c r="Y124" s="14"/>
      <x:c r="Z124" s="14" t="str">
        <x:v>Malpractice.docx</x:v>
      </x:c>
      <x:c r="AA12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ITV / ITVX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HYPERLINK("https://en.wikipedia.org/wiki/Malpractice","Open source")</x:f>
        <x:v>HYPERLINK is not implemented. linkLocation=https://en.wikipedia.org/wiki/Malpractice, friendlyName=Open source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10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4</x:v>
      </x:c>
      <x:c r="BS124" s="16" t="n">
        <x:v>0.4</x:v>
      </x:c>
      <x:c r="BT124" s="14" t="str">
        <x:v>Minority of episodes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tt20918594|nm4926812|samira</x:v>
      </x:c>
      <x:c r="B125" s="14" t="str">
        <x:v>02</x:v>
      </x:c>
      <x:c r="C125" s="14" t="str">
        <x:v>2023_IMDb_Cast_Lists_Batch_02(2).xlsx</x:v>
      </x:c>
      <x:c r="D125" s="14" t="str">
        <x:v>Malpractice</x:v>
      </x:c>
      <x:c r="E125" s="14" t="n">
        <x:v>36</x:v>
      </x:c>
      <x:c r="F125" s="14" t="str">
        <x:v>Malpractice</x:v>
      </x:c>
      <x:c r="G125" s="14" t="str">
        <x:v>tt20918594</x:v>
      </x:c>
      <x:c r="H125" s="14" t="n">
        <x:v>2023</x:v>
      </x:c>
      <x:c r="I125" s="14" t="n">
        <x:v>2023</x:v>
      </x:c>
      <x:c r="J125" s="14" t="str">
        <x:v>Future Carry-Forward Cohort</x:v>
      </x:c>
      <x:c r="K125" s="14"/>
      <x:c r="L125" s="14" t="str">
        <x:v>Not inherited</x:v>
      </x:c>
      <x:c r="M125" s="15" t="n">
        <x:v>29</x:v>
      </x:c>
      <x:c r="N125" s="14" t="str">
        <x:v>Romona Lewis-Malley</x:v>
      </x:c>
      <x:c r="O125" s="14" t="str">
        <x:v>nm4926812</x:v>
      </x:c>
      <x:c r="P125" s="14" t="str">
        <x:v>Samira</x:v>
      </x:c>
      <x:c r="Q125" s="15" t="n">
        <x:v>4</x:v>
      </x:c>
      <x:c r="R125" s="14" t="str">
        <x:v>2025</x:v>
      </x:c>
      <x:c r="S125" s="14" t="n">
        <x:v>2025</x:v>
      </x:c>
      <x:c r="T125" s="14" t="n">
        <x:v>2025</x:v>
      </x:c>
      <x:c r="U125" s="14" t="str">
        <x:v>Explicit source first year retained</x:v>
      </x:c>
      <x:c r="V125" s="14" t="str">
        <x:v>Earliest supplied year is 2025.</x:v>
      </x:c>
      <x:c r="W125" s="14"/>
      <x:c r="X125" s="14" t="str">
        <x:v>Carried forward to 2025</x:v>
      </x:c>
      <x:c r="Y125" s="14"/>
      <x:c r="Z125" s="14" t="str">
        <x:v>Malpractice.docx</x:v>
      </x:c>
      <x:c r="AA12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ITV / ITVX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HYPERLINK("https://en.wikipedia.org/wiki/Malpractice","Open source")</x:f>
        <x:v>HYPERLINK is not implemented. linkLocation=https://en.wikipedia.org/wiki/Malpractice, friendlyName=Open source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10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4</x:v>
      </x:c>
      <x:c r="BS125" s="16" t="n">
        <x:v>0.4</x:v>
      </x:c>
      <x:c r="BT125" s="14" t="str">
        <x:v>Minority of episodes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tt20918594|nm2469730|ed newman</x:v>
      </x:c>
      <x:c r="B126" s="14" t="str">
        <x:v>02</x:v>
      </x:c>
      <x:c r="C126" s="14" t="str">
        <x:v>2023_IMDb_Cast_Lists_Batch_02(2).xlsx</x:v>
      </x:c>
      <x:c r="D126" s="14" t="str">
        <x:v>Malpractice</x:v>
      </x:c>
      <x:c r="E126" s="14" t="n">
        <x:v>40</x:v>
      </x:c>
      <x:c r="F126" s="14" t="str">
        <x:v>Malpractice</x:v>
      </x:c>
      <x:c r="G126" s="14" t="str">
        <x:v>tt20918594</x:v>
      </x:c>
      <x:c r="H126" s="14" t="n">
        <x:v>2023</x:v>
      </x:c>
      <x:c r="I126" s="14" t="n">
        <x:v>2023</x:v>
      </x:c>
      <x:c r="J126" s="14" t="str">
        <x:v>Future Carry-Forward Cohort</x:v>
      </x:c>
      <x:c r="K126" s="14"/>
      <x:c r="L126" s="14" t="str">
        <x:v>Not inherited</x:v>
      </x:c>
      <x:c r="M126" s="15" t="n">
        <x:v>33</x:v>
      </x:c>
      <x:c r="N126" s="14" t="str">
        <x:v>Alex Price</x:v>
      </x:c>
      <x:c r="O126" s="14" t="str">
        <x:v>nm2469730</x:v>
      </x:c>
      <x:c r="P126" s="14" t="str">
        <x:v>Ed Newman</x:v>
      </x:c>
      <x:c r="Q126" s="15" t="n">
        <x:v>3</x:v>
      </x:c>
      <x:c r="R126" s="14" t="str">
        <x:v>2025</x:v>
      </x:c>
      <x:c r="S126" s="14" t="n">
        <x:v>2025</x:v>
      </x:c>
      <x:c r="T126" s="14" t="n">
        <x:v>2025</x:v>
      </x:c>
      <x:c r="U126" s="14" t="str">
        <x:v>Explicit source first year retained</x:v>
      </x:c>
      <x:c r="V126" s="14" t="str">
        <x:v>Earliest supplied year is 2025.</x:v>
      </x:c>
      <x:c r="W126" s="14"/>
      <x:c r="X126" s="14" t="str">
        <x:v>Carried forward to 2025</x:v>
      </x:c>
      <x:c r="Y126" s="14"/>
      <x:c r="Z126" s="14" t="str">
        <x:v>Malpractice.docx</x:v>
      </x:c>
      <x:c r="AA12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ITV / ITVX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HYPERLINK("https://en.wikipedia.org/wiki/Malpractice","Open source")</x:f>
        <x:v>HYPERLINK is not implemented. linkLocation=https://en.wikipedia.org/wiki/Malpractice, friendlyName=Open source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10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3</x:v>
      </x:c>
      <x:c r="BS126" s="16" t="n">
        <x:v>0.3</x:v>
      </x:c>
      <x:c r="BT126" s="14" t="str">
        <x:v>Minority of episodes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tt20918594|nm7658803|gina</x:v>
      </x:c>
      <x:c r="B127" s="14" t="str">
        <x:v>02</x:v>
      </x:c>
      <x:c r="C127" s="14" t="str">
        <x:v>2023_IMDb_Cast_Lists_Batch_02(2).xlsx</x:v>
      </x:c>
      <x:c r="D127" s="14" t="str">
        <x:v>Malpractice</x:v>
      </x:c>
      <x:c r="E127" s="14" t="n">
        <x:v>41</x:v>
      </x:c>
      <x:c r="F127" s="14" t="str">
        <x:v>Malpractice</x:v>
      </x:c>
      <x:c r="G127" s="14" t="str">
        <x:v>tt20918594</x:v>
      </x:c>
      <x:c r="H127" s="14" t="n">
        <x:v>2023</x:v>
      </x:c>
      <x:c r="I127" s="14" t="n">
        <x:v>2023</x:v>
      </x:c>
      <x:c r="J127" s="14" t="str">
        <x:v>Future Carry-Forward Cohort</x:v>
      </x:c>
      <x:c r="K127" s="14"/>
      <x:c r="L127" s="14" t="str">
        <x:v>Not inherited</x:v>
      </x:c>
      <x:c r="M127" s="15" t="n">
        <x:v>34</x:v>
      </x:c>
      <x:c r="N127" s="14" t="str">
        <x:v>Phoebe Sparrow</x:v>
      </x:c>
      <x:c r="O127" s="14" t="str">
        <x:v>nm7658803</x:v>
      </x:c>
      <x:c r="P127" s="14" t="str">
        <x:v>Gina</x:v>
      </x:c>
      <x:c r="Q127" s="15" t="n">
        <x:v>3</x:v>
      </x:c>
      <x:c r="R127" s="14" t="str">
        <x:v>2025</x:v>
      </x:c>
      <x:c r="S127" s="14" t="n">
        <x:v>2025</x:v>
      </x:c>
      <x:c r="T127" s="14" t="n">
        <x:v>2025</x:v>
      </x:c>
      <x:c r="U127" s="14" t="str">
        <x:v>Explicit source first year retained</x:v>
      </x:c>
      <x:c r="V127" s="14" t="str">
        <x:v>Earliest supplied year is 2025.</x:v>
      </x:c>
      <x:c r="W127" s="14"/>
      <x:c r="X127" s="14" t="str">
        <x:v>Carried forward to 2025</x:v>
      </x:c>
      <x:c r="Y127" s="14"/>
      <x:c r="Z127" s="14" t="str">
        <x:v>Malpractice.docx</x:v>
      </x:c>
      <x:c r="AA12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ITV / ITVX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HYPERLINK("https://en.wikipedia.org/wiki/Malpractice","Open source")</x:f>
        <x:v>HYPERLINK is not implemented. linkLocation=https://en.wikipedia.org/wiki/Malpractice, friendlyName=Open source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10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3</x:v>
      </x:c>
      <x:c r="BS127" s="16" t="n">
        <x:v>0.3</x:v>
      </x:c>
      <x:c r="BT127" s="14" t="str">
        <x:v>Minority of episodes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tt20918594|nm6247581|fizz</x:v>
      </x:c>
      <x:c r="B128" s="14" t="str">
        <x:v>02</x:v>
      </x:c>
      <x:c r="C128" s="14" t="str">
        <x:v>2023_IMDb_Cast_Lists_Batch_02(2).xlsx</x:v>
      </x:c>
      <x:c r="D128" s="14" t="str">
        <x:v>Malpractice</x:v>
      </x:c>
      <x:c r="E128" s="14" t="n">
        <x:v>42</x:v>
      </x:c>
      <x:c r="F128" s="14" t="str">
        <x:v>Malpractice</x:v>
      </x:c>
      <x:c r="G128" s="14" t="str">
        <x:v>tt20918594</x:v>
      </x:c>
      <x:c r="H128" s="14" t="n">
        <x:v>2023</x:v>
      </x:c>
      <x:c r="I128" s="14" t="n">
        <x:v>2023</x:v>
      </x:c>
      <x:c r="J128" s="14" t="str">
        <x:v>Future Carry-Forward Cohort</x:v>
      </x:c>
      <x:c r="K128" s="14"/>
      <x:c r="L128" s="14" t="str">
        <x:v>Not inherited</x:v>
      </x:c>
      <x:c r="M128" s="15" t="n">
        <x:v>35</x:v>
      </x:c>
      <x:c r="N128" s="14" t="str">
        <x:v>Hannah Chinn</x:v>
      </x:c>
      <x:c r="O128" s="14" t="str">
        <x:v>nm6247581</x:v>
      </x:c>
      <x:c r="P128" s="14" t="str">
        <x:v>Fizz</x:v>
      </x:c>
      <x:c r="Q128" s="15" t="n">
        <x:v>3</x:v>
      </x:c>
      <x:c r="R128" s="14" t="str">
        <x:v>2025</x:v>
      </x:c>
      <x:c r="S128" s="14" t="n">
        <x:v>2025</x:v>
      </x:c>
      <x:c r="T128" s="14" t="n">
        <x:v>2025</x:v>
      </x:c>
      <x:c r="U128" s="14" t="str">
        <x:v>Explicit source first year retained</x:v>
      </x:c>
      <x:c r="V128" s="14" t="str">
        <x:v>Earliest supplied year is 2025.</x:v>
      </x:c>
      <x:c r="W128" s="14"/>
      <x:c r="X128" s="14" t="str">
        <x:v>Carried forward to 2025</x:v>
      </x:c>
      <x:c r="Y128" s="14"/>
      <x:c r="Z128" s="14" t="str">
        <x:v>Malpractice.docx</x:v>
      </x:c>
      <x:c r="AA12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ITV / ITVX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HYPERLINK("https://en.wikipedia.org/wiki/Malpractice","Open source")</x:f>
        <x:v>HYPERLINK is not implemented. linkLocation=https://en.wikipedia.org/wiki/Malpractice, friendlyName=Open source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10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3</x:v>
      </x:c>
      <x:c r="BS128" s="16" t="n">
        <x:v>0.3</x:v>
      </x:c>
      <x:c r="BT128" s="14" t="str">
        <x:v>Minority of episodes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tt20918594|nm5344575|martha</x:v>
      </x:c>
      <x:c r="B129" s="14" t="str">
        <x:v>02</x:v>
      </x:c>
      <x:c r="C129" s="14" t="str">
        <x:v>2023_IMDb_Cast_Lists_Batch_02(2).xlsx</x:v>
      </x:c>
      <x:c r="D129" s="14" t="str">
        <x:v>Malpractice</x:v>
      </x:c>
      <x:c r="E129" s="14" t="n">
        <x:v>43</x:v>
      </x:c>
      <x:c r="F129" s="14" t="str">
        <x:v>Malpractice</x:v>
      </x:c>
      <x:c r="G129" s="14" t="str">
        <x:v>tt20918594</x:v>
      </x:c>
      <x:c r="H129" s="14" t="n">
        <x:v>2023</x:v>
      </x:c>
      <x:c r="I129" s="14" t="n">
        <x:v>2023</x:v>
      </x:c>
      <x:c r="J129" s="14" t="str">
        <x:v>Future Carry-Forward Cohort</x:v>
      </x:c>
      <x:c r="K129" s="14"/>
      <x:c r="L129" s="14" t="str">
        <x:v>Not inherited</x:v>
      </x:c>
      <x:c r="M129" s="15" t="n">
        <x:v>36</x:v>
      </x:c>
      <x:c r="N129" s="14" t="str">
        <x:v>Kirsty Averton</x:v>
      </x:c>
      <x:c r="O129" s="14" t="str">
        <x:v>nm5344575</x:v>
      </x:c>
      <x:c r="P129" s="14" t="str">
        <x:v>Martha</x:v>
      </x:c>
      <x:c r="Q129" s="15" t="n">
        <x:v>3</x:v>
      </x:c>
      <x:c r="R129" s="14" t="str">
        <x:v>2025</x:v>
      </x:c>
      <x:c r="S129" s="14" t="n">
        <x:v>2025</x:v>
      </x:c>
      <x:c r="T129" s="14" t="n">
        <x:v>2025</x:v>
      </x:c>
      <x:c r="U129" s="14" t="str">
        <x:v>Explicit source first year retained</x:v>
      </x:c>
      <x:c r="V129" s="14" t="str">
        <x:v>Earliest supplied year is 2025.</x:v>
      </x:c>
      <x:c r="W129" s="14"/>
      <x:c r="X129" s="14" t="str">
        <x:v>Carried forward to 2025</x:v>
      </x:c>
      <x:c r="Y129" s="14"/>
      <x:c r="Z129" s="14" t="str">
        <x:v>Malpractice.docx</x:v>
      </x:c>
      <x:c r="AA12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ITV / ITVX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HYPERLINK("https://en.wikipedia.org/wiki/Malpractice","Open source")</x:f>
        <x:v>HYPERLINK is not implemented. linkLocation=https://en.wikipedia.org/wiki/Malpractice, friendlyName=Open source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10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3</x:v>
      </x:c>
      <x:c r="BS129" s="16" t="n">
        <x:v>0.3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tt20918594|nm15713902|rubi</x:v>
      </x:c>
      <x:c r="B130" s="14" t="str">
        <x:v>02</x:v>
      </x:c>
      <x:c r="C130" s="14" t="str">
        <x:v>2023_IMDb_Cast_Lists_Batch_02(2).xlsx</x:v>
      </x:c>
      <x:c r="D130" s="14" t="str">
        <x:v>Malpractice</x:v>
      </x:c>
      <x:c r="E130" s="14" t="n">
        <x:v>44</x:v>
      </x:c>
      <x:c r="F130" s="14" t="str">
        <x:v>Malpractice</x:v>
      </x:c>
      <x:c r="G130" s="14" t="str">
        <x:v>tt20918594</x:v>
      </x:c>
      <x:c r="H130" s="14" t="n">
        <x:v>2023</x:v>
      </x:c>
      <x:c r="I130" s="14" t="n">
        <x:v>2023</x:v>
      </x:c>
      <x:c r="J130" s="14" t="str">
        <x:v>Future Carry-Forward Cohort</x:v>
      </x:c>
      <x:c r="K130" s="14"/>
      <x:c r="L130" s="14" t="str">
        <x:v>Not inherited</x:v>
      </x:c>
      <x:c r="M130" s="15" t="n">
        <x:v>37</x:v>
      </x:c>
      <x:c r="N130" s="14" t="str">
        <x:v>Imogen Sandhu</x:v>
      </x:c>
      <x:c r="O130" s="14" t="str">
        <x:v>nm15713902</x:v>
      </x:c>
      <x:c r="P130" s="14" t="str">
        <x:v>Rubi</x:v>
      </x:c>
      <x:c r="Q130" s="15" t="n">
        <x:v>3</x:v>
      </x:c>
      <x:c r="R130" s="14" t="str">
        <x:v>2025</x:v>
      </x:c>
      <x:c r="S130" s="14" t="n">
        <x:v>2025</x:v>
      </x:c>
      <x:c r="T130" s="14" t="n">
        <x:v>2025</x:v>
      </x:c>
      <x:c r="U130" s="14" t="str">
        <x:v>Explicit source first year retained</x:v>
      </x:c>
      <x:c r="V130" s="14" t="str">
        <x:v>Earliest supplied year is 2025.</x:v>
      </x:c>
      <x:c r="W130" s="14"/>
      <x:c r="X130" s="14" t="str">
        <x:v>Carried forward to 2025</x:v>
      </x:c>
      <x:c r="Y130" s="14"/>
      <x:c r="Z130" s="14" t="str">
        <x:v>Malpractice.docx</x:v>
      </x:c>
      <x:c r="AA13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ITV / ITVX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HYPERLINK("https://en.wikipedia.org/wiki/Malpractice","Open source")</x:f>
        <x:v>HYPERLINK is not implemented. linkLocation=https://en.wikipedia.org/wiki/Malpractice, friendlyName=Open source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10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3</x:v>
      </x:c>
      <x:c r="BS130" s="16" t="n">
        <x:v>0.3</x:v>
      </x:c>
      <x:c r="BT130" s="14" t="str">
        <x:v>Minority of episodes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tt20918594|nm9537585|ravi</x:v>
      </x:c>
      <x:c r="B131" s="14" t="str">
        <x:v>02</x:v>
      </x:c>
      <x:c r="C131" s="14" t="str">
        <x:v>2023_IMDb_Cast_Lists_Batch_02(2).xlsx</x:v>
      </x:c>
      <x:c r="D131" s="14" t="str">
        <x:v>Malpractice</x:v>
      </x:c>
      <x:c r="E131" s="14" t="n">
        <x:v>51</x:v>
      </x:c>
      <x:c r="F131" s="14" t="str">
        <x:v>Malpractice</x:v>
      </x:c>
      <x:c r="G131" s="14" t="str">
        <x:v>tt20918594</x:v>
      </x:c>
      <x:c r="H131" s="14" t="n">
        <x:v>2023</x:v>
      </x:c>
      <x:c r="I131" s="14" t="n">
        <x:v>2023</x:v>
      </x:c>
      <x:c r="J131" s="14" t="str">
        <x:v>Future Carry-Forward Cohort</x:v>
      </x:c>
      <x:c r="K131" s="14"/>
      <x:c r="L131" s="14" t="str">
        <x:v>Not inherited</x:v>
      </x:c>
      <x:c r="M131" s="15" t="n">
        <x:v>44</x:v>
      </x:c>
      <x:c r="N131" s="14" t="str">
        <x:v>Bhav Joshi</x:v>
      </x:c>
      <x:c r="O131" s="14" t="str">
        <x:v>nm9537585</x:v>
      </x:c>
      <x:c r="P131" s="14" t="str">
        <x:v>Ravi</x:v>
      </x:c>
      <x:c r="Q131" s="15" t="n">
        <x:v>2</x:v>
      </x:c>
      <x:c r="R131" s="14" t="str">
        <x:v>2025</x:v>
      </x:c>
      <x:c r="S131" s="14" t="n">
        <x:v>2025</x:v>
      </x:c>
      <x:c r="T131" s="14" t="n">
        <x:v>2025</x:v>
      </x:c>
      <x:c r="U131" s="14" t="str">
        <x:v>Explicit source first year retained</x:v>
      </x:c>
      <x:c r="V131" s="14" t="str">
        <x:v>Earliest supplied year is 2025.</x:v>
      </x:c>
      <x:c r="W131" s="14"/>
      <x:c r="X131" s="14" t="str">
        <x:v>Carried forward to 2025</x:v>
      </x:c>
      <x:c r="Y131" s="14"/>
      <x:c r="Z131" s="14" t="str">
        <x:v>Malpractice.docx</x:v>
      </x:c>
      <x:c r="AA13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ITV / ITVX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HYPERLINK("https://en.wikipedia.org/wiki/Malpractice","Open source")</x:f>
        <x:v>HYPERLINK is not implemented. linkLocation=https://en.wikipedia.org/wiki/Malpractice, friendlyName=Open source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10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2</x:v>
      </x:c>
      <x:c r="BS131" s="16" t="n">
        <x:v>0.2</x:v>
      </x:c>
      <x:c r="BT131" s="14" t="str">
        <x:v>Minority of episodes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tt20918594|nm6007345|rosie newman</x:v>
      </x:c>
      <x:c r="B132" s="14" t="str">
        <x:v>02</x:v>
      </x:c>
      <x:c r="C132" s="14" t="str">
        <x:v>2023_IMDb_Cast_Lists_Batch_02(2).xlsx</x:v>
      </x:c>
      <x:c r="D132" s="14" t="str">
        <x:v>Malpractice</x:v>
      </x:c>
      <x:c r="E132" s="14" t="n">
        <x:v>52</x:v>
      </x:c>
      <x:c r="F132" s="14" t="str">
        <x:v>Malpractice</x:v>
      </x:c>
      <x:c r="G132" s="14" t="str">
        <x:v>tt20918594</x:v>
      </x:c>
      <x:c r="H132" s="14" t="n">
        <x:v>2023</x:v>
      </x:c>
      <x:c r="I132" s="14" t="n">
        <x:v>2023</x:v>
      </x:c>
      <x:c r="J132" s="14" t="str">
        <x:v>Future Carry-Forward Cohort</x:v>
      </x:c>
      <x:c r="K132" s="14"/>
      <x:c r="L132" s="14" t="str">
        <x:v>Not inherited</x:v>
      </x:c>
      <x:c r="M132" s="15" t="n">
        <x:v>45</x:v>
      </x:c>
      <x:c r="N132" s="14" t="str">
        <x:v>Hannah McClean</x:v>
      </x:c>
      <x:c r="O132" s="14" t="str">
        <x:v>nm6007345</x:v>
      </x:c>
      <x:c r="P132" s="14" t="str">
        <x:v>Rosie Newman</x:v>
      </x:c>
      <x:c r="Q132" s="15" t="n">
        <x:v>2</x:v>
      </x:c>
      <x:c r="R132" s="14" t="str">
        <x:v>2025</x:v>
      </x:c>
      <x:c r="S132" s="14" t="n">
        <x:v>2025</x:v>
      </x:c>
      <x:c r="T132" s="14" t="n">
        <x:v>2025</x:v>
      </x:c>
      <x:c r="U132" s="14" t="str">
        <x:v>Explicit source first year retained</x:v>
      </x:c>
      <x:c r="V132" s="14" t="str">
        <x:v>Earliest supplied year is 2025.</x:v>
      </x:c>
      <x:c r="W132" s="14"/>
      <x:c r="X132" s="14" t="str">
        <x:v>Carried forward to 2025</x:v>
      </x:c>
      <x:c r="Y132" s="14"/>
      <x:c r="Z132" s="14" t="str">
        <x:v>Malpractice.docx</x:v>
      </x:c>
      <x:c r="AA13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ITV / ITVX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HYPERLINK("https://en.wikipedia.org/wiki/Malpractice","Open source")</x:f>
        <x:v>HYPERLINK is not implemented. linkLocation=https://en.wikipedia.org/wiki/Malpractice, friendlyName=Open source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10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2</x:v>
      </x:c>
      <x:c r="BS132" s="16" t="n">
        <x:v>0.2</x:v>
      </x:c>
      <x:c r="BT132" s="14" t="str">
        <x:v>Minority of episodes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tt20918594|nm10067328|freya</x:v>
      </x:c>
      <x:c r="B133" s="14" t="str">
        <x:v>02</x:v>
      </x:c>
      <x:c r="C133" s="14" t="str">
        <x:v>2023_IMDb_Cast_Lists_Batch_02(2).xlsx</x:v>
      </x:c>
      <x:c r="D133" s="14" t="str">
        <x:v>Malpractice</x:v>
      </x:c>
      <x:c r="E133" s="14" t="n">
        <x:v>53</x:v>
      </x:c>
      <x:c r="F133" s="14" t="str">
        <x:v>Malpractice</x:v>
      </x:c>
      <x:c r="G133" s="14" t="str">
        <x:v>tt20918594</x:v>
      </x:c>
      <x:c r="H133" s="14" t="n">
        <x:v>2023</x:v>
      </x:c>
      <x:c r="I133" s="14" t="n">
        <x:v>2023</x:v>
      </x:c>
      <x:c r="J133" s="14" t="str">
        <x:v>Future Carry-Forward Cohort</x:v>
      </x:c>
      <x:c r="K133" s="14"/>
      <x:c r="L133" s="14" t="str">
        <x:v>Not inherited</x:v>
      </x:c>
      <x:c r="M133" s="15" t="n">
        <x:v>46</x:v>
      </x:c>
      <x:c r="N133" s="14" t="str">
        <x:v>Jessica Temple</x:v>
      </x:c>
      <x:c r="O133" s="14" t="str">
        <x:v>nm10067328</x:v>
      </x:c>
      <x:c r="P133" s="14" t="str">
        <x:v>Freya</x:v>
      </x:c>
      <x:c r="Q133" s="15" t="n">
        <x:v>2</x:v>
      </x:c>
      <x:c r="R133" s="14" t="str">
        <x:v>2025</x:v>
      </x:c>
      <x:c r="S133" s="14" t="n">
        <x:v>2025</x:v>
      </x:c>
      <x:c r="T133" s="14" t="n">
        <x:v>2025</x:v>
      </x:c>
      <x:c r="U133" s="14" t="str">
        <x:v>Explicit source first year retained</x:v>
      </x:c>
      <x:c r="V133" s="14" t="str">
        <x:v>Earliest supplied year is 2025.</x:v>
      </x:c>
      <x:c r="W133" s="14"/>
      <x:c r="X133" s="14" t="str">
        <x:v>Carried forward to 2025</x:v>
      </x:c>
      <x:c r="Y133" s="14"/>
      <x:c r="Z133" s="14" t="str">
        <x:v>Malpractice.docx</x:v>
      </x:c>
      <x:c r="AA13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ITV / ITVX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HYPERLINK("https://en.wikipedia.org/wiki/Malpractice","Open source")</x:f>
        <x:v>HYPERLINK is not implemented. linkLocation=https://en.wikipedia.org/wiki/Malpractice, friendlyName=Open source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10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2</x:v>
      </x:c>
      <x:c r="BS133" s="16" t="n">
        <x:v>0.2</x:v>
      </x:c>
      <x:c r="BT133" s="14" t="str">
        <x:v>Minority of episodes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tt20918594|nm8269025|ben munro</x:v>
      </x:c>
      <x:c r="B134" s="14" t="str">
        <x:v>02</x:v>
      </x:c>
      <x:c r="C134" s="14" t="str">
        <x:v>2023_IMDb_Cast_Lists_Batch_02(2).xlsx</x:v>
      </x:c>
      <x:c r="D134" s="14" t="str">
        <x:v>Malpractice</x:v>
      </x:c>
      <x:c r="E134" s="14" t="n">
        <x:v>54</x:v>
      </x:c>
      <x:c r="F134" s="14" t="str">
        <x:v>Malpractice</x:v>
      </x:c>
      <x:c r="G134" s="14" t="str">
        <x:v>tt20918594</x:v>
      </x:c>
      <x:c r="H134" s="14" t="n">
        <x:v>2023</x:v>
      </x:c>
      <x:c r="I134" s="14" t="n">
        <x:v>2023</x:v>
      </x:c>
      <x:c r="J134" s="14" t="str">
        <x:v>Future Carry-Forward Cohort</x:v>
      </x:c>
      <x:c r="K134" s="14"/>
      <x:c r="L134" s="14" t="str">
        <x:v>Not inherited</x:v>
      </x:c>
      <x:c r="M134" s="15" t="n">
        <x:v>47</x:v>
      </x:c>
      <x:c r="N134" s="14" t="str">
        <x:v>Neil Pendleton</x:v>
      </x:c>
      <x:c r="O134" s="14" t="str">
        <x:v>nm8269025</x:v>
      </x:c>
      <x:c r="P134" s="14" t="str">
        <x:v>Ben Munro</x:v>
      </x:c>
      <x:c r="Q134" s="15" t="n">
        <x:v>2</x:v>
      </x:c>
      <x:c r="R134" s="14" t="str">
        <x:v>2025</x:v>
      </x:c>
      <x:c r="S134" s="14" t="n">
        <x:v>2025</x:v>
      </x:c>
      <x:c r="T134" s="14" t="n">
        <x:v>2025</x:v>
      </x:c>
      <x:c r="U134" s="14" t="str">
        <x:v>Explicit source first year retained</x:v>
      </x:c>
      <x:c r="V134" s="14" t="str">
        <x:v>Earliest supplied year is 2025.</x:v>
      </x:c>
      <x:c r="W134" s="14"/>
      <x:c r="X134" s="14" t="str">
        <x:v>Carried forward to 2025</x:v>
      </x:c>
      <x:c r="Y134" s="14"/>
      <x:c r="Z134" s="14" t="str">
        <x:v>Malpractice.docx</x:v>
      </x:c>
      <x:c r="AA13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ITV / ITVX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HYPERLINK("https://en.wikipedia.org/wiki/Malpractice","Open source")</x:f>
        <x:v>HYPERLINK is not implemented. linkLocation=https://en.wikipedia.org/wiki/Malpractice, friendlyName=Open source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10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2</x:v>
      </x:c>
      <x:c r="BS134" s="16" t="n">
        <x:v>0.2</x:v>
      </x:c>
      <x:c r="BT134" s="14" t="str">
        <x:v>Minority of episodes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tt20918594|nm7787239|dr. amit shafi</x:v>
      </x:c>
      <x:c r="B135" s="14" t="str">
        <x:v>02</x:v>
      </x:c>
      <x:c r="C135" s="14" t="str">
        <x:v>2023_IMDb_Cast_Lists_Batch_02(2).xlsx</x:v>
      </x:c>
      <x:c r="D135" s="14" t="str">
        <x:v>Malpractice</x:v>
      </x:c>
      <x:c r="E135" s="14" t="n">
        <x:v>55</x:v>
      </x:c>
      <x:c r="F135" s="14" t="str">
        <x:v>Malpractice</x:v>
      </x:c>
      <x:c r="G135" s="14" t="str">
        <x:v>tt20918594</x:v>
      </x:c>
      <x:c r="H135" s="14" t="n">
        <x:v>2023</x:v>
      </x:c>
      <x:c r="I135" s="14" t="n">
        <x:v>2023</x:v>
      </x:c>
      <x:c r="J135" s="14" t="str">
        <x:v>Future Carry-Forward Cohort</x:v>
      </x:c>
      <x:c r="K135" s="14"/>
      <x:c r="L135" s="14" t="str">
        <x:v>Not inherited</x:v>
      </x:c>
      <x:c r="M135" s="15" t="n">
        <x:v>48</x:v>
      </x:c>
      <x:c r="N135" s="14" t="str">
        <x:v>Ash Rizi</x:v>
      </x:c>
      <x:c r="O135" s="14" t="str">
        <x:v>nm7787239</x:v>
      </x:c>
      <x:c r="P135" s="14" t="str">
        <x:v>Dr. Amit Shafi</x:v>
      </x:c>
      <x:c r="Q135" s="15" t="n">
        <x:v>2</x:v>
      </x:c>
      <x:c r="R135" s="14" t="str">
        <x:v>2025</x:v>
      </x:c>
      <x:c r="S135" s="14" t="n">
        <x:v>2025</x:v>
      </x:c>
      <x:c r="T135" s="14" t="n">
        <x:v>2025</x:v>
      </x:c>
      <x:c r="U135" s="14" t="str">
        <x:v>Explicit source first year retained</x:v>
      </x:c>
      <x:c r="V135" s="14" t="str">
        <x:v>Earliest supplied year is 2025.</x:v>
      </x:c>
      <x:c r="W135" s="14"/>
      <x:c r="X135" s="14" t="str">
        <x:v>Carried forward to 2025</x:v>
      </x:c>
      <x:c r="Y135" s="14"/>
      <x:c r="Z135" s="14" t="str">
        <x:v>Malpractice.docx</x:v>
      </x:c>
      <x:c r="AA13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ITV / ITVX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HYPERLINK("https://en.wikipedia.org/wiki/Malpractice","Open source")</x:f>
        <x:v>HYPERLINK is not implemented. linkLocation=https://en.wikipedia.org/wiki/Malpractice, friendlyName=Open source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10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2</x:v>
      </x:c>
      <x:c r="BS135" s="16" t="n">
        <x:v>0.2</x:v>
      </x:c>
      <x:c r="BT135" s="14" t="str">
        <x:v>Minority of episodes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tt20918594|nm7313350|michelle dornaway</x:v>
      </x:c>
      <x:c r="B136" s="14" t="str">
        <x:v>02</x:v>
      </x:c>
      <x:c r="C136" s="14" t="str">
        <x:v>2023_IMDb_Cast_Lists_Batch_02(2).xlsx</x:v>
      </x:c>
      <x:c r="D136" s="14" t="str">
        <x:v>Malpractice</x:v>
      </x:c>
      <x:c r="E136" s="14" t="n">
        <x:v>56</x:v>
      </x:c>
      <x:c r="F136" s="14" t="str">
        <x:v>Malpractice</x:v>
      </x:c>
      <x:c r="G136" s="14" t="str">
        <x:v>tt20918594</x:v>
      </x:c>
      <x:c r="H136" s="14" t="n">
        <x:v>2023</x:v>
      </x:c>
      <x:c r="I136" s="14" t="n">
        <x:v>2023</x:v>
      </x:c>
      <x:c r="J136" s="14" t="str">
        <x:v>Future Carry-Forward Cohort</x:v>
      </x:c>
      <x:c r="K136" s="14"/>
      <x:c r="L136" s="14" t="str">
        <x:v>Not inherited</x:v>
      </x:c>
      <x:c r="M136" s="15" t="n">
        <x:v>49</x:v>
      </x:c>
      <x:c r="N136" s="14" t="str">
        <x:v>Charlotte Mills</x:v>
      </x:c>
      <x:c r="O136" s="14" t="str">
        <x:v>nm7313350</x:v>
      </x:c>
      <x:c r="P136" s="14" t="str">
        <x:v>Michelle Dornaway</x:v>
      </x:c>
      <x:c r="Q136" s="15" t="n">
        <x:v>2</x:v>
      </x:c>
      <x:c r="R136" s="14" t="str">
        <x:v>2025</x:v>
      </x:c>
      <x:c r="S136" s="14" t="n">
        <x:v>2025</x:v>
      </x:c>
      <x:c r="T136" s="14" t="n">
        <x:v>2025</x:v>
      </x:c>
      <x:c r="U136" s="14" t="str">
        <x:v>Explicit source first year retained</x:v>
      </x:c>
      <x:c r="V136" s="14" t="str">
        <x:v>Earliest supplied year is 2025.</x:v>
      </x:c>
      <x:c r="W136" s="14"/>
      <x:c r="X136" s="14" t="str">
        <x:v>Carried forward to 2025</x:v>
      </x:c>
      <x:c r="Y136" s="14"/>
      <x:c r="Z136" s="14" t="str">
        <x:v>Malpractice.docx</x:v>
      </x:c>
      <x:c r="AA13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ITV / ITVX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HYPERLINK("https://en.wikipedia.org/wiki/Malpractice","Open source")</x:f>
        <x:v>HYPERLINK is not implemented. linkLocation=https://en.wikipedia.org/wiki/Malpractice, friendlyName=Open source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10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2</x:v>
      </x:c>
      <x:c r="BS136" s="16" t="n">
        <x:v>0.2</x:v>
      </x:c>
      <x:c r="BT136" s="14" t="str">
        <x:v>Minority of episodes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tt20918594|nm2265675|deepa mbu midwife / deepa bhatia</x:v>
      </x:c>
      <x:c r="B137" s="14" t="str">
        <x:v>02</x:v>
      </x:c>
      <x:c r="C137" s="14" t="str">
        <x:v>2023_IMDb_Cast_Lists_Batch_02(2).xlsx</x:v>
      </x:c>
      <x:c r="D137" s="14" t="str">
        <x:v>Malpractice</x:v>
      </x:c>
      <x:c r="E137" s="14" t="n">
        <x:v>57</x:v>
      </x:c>
      <x:c r="F137" s="14" t="str">
        <x:v>Malpractice</x:v>
      </x:c>
      <x:c r="G137" s="14" t="str">
        <x:v>tt20918594</x:v>
      </x:c>
      <x:c r="H137" s="14" t="n">
        <x:v>2023</x:v>
      </x:c>
      <x:c r="I137" s="14" t="n">
        <x:v>2023</x:v>
      </x:c>
      <x:c r="J137" s="14" t="str">
        <x:v>Future Carry-Forward Cohort</x:v>
      </x:c>
      <x:c r="K137" s="14"/>
      <x:c r="L137" s="14" t="str">
        <x:v>Not inherited</x:v>
      </x:c>
      <x:c r="M137" s="15" t="n">
        <x:v>50</x:v>
      </x:c>
      <x:c r="N137" s="14" t="str">
        <x:v>Sheena Bhattessa</x:v>
      </x:c>
      <x:c r="O137" s="14" t="str">
        <x:v>nm2265675</x:v>
      </x:c>
      <x:c r="P137" s="14" t="str">
        <x:v>Deepa MBU Midwife / Deepa Bhatia</x:v>
      </x:c>
      <x:c r="Q137" s="15" t="n">
        <x:v>2</x:v>
      </x:c>
      <x:c r="R137" s="14" t="str">
        <x:v>2025</x:v>
      </x:c>
      <x:c r="S137" s="14" t="n">
        <x:v>2025</x:v>
      </x:c>
      <x:c r="T137" s="14" t="n">
        <x:v>2025</x:v>
      </x:c>
      <x:c r="U137" s="14" t="str">
        <x:v>Explicit source first year retained</x:v>
      </x:c>
      <x:c r="V137" s="14" t="str">
        <x:v>Earliest supplied year is 2025.</x:v>
      </x:c>
      <x:c r="W137" s="14"/>
      <x:c r="X137" s="14" t="str">
        <x:v>Carried forward to 2025</x:v>
      </x:c>
      <x:c r="Y137" s="14"/>
      <x:c r="Z137" s="14" t="str">
        <x:v>Malpractice.docx</x:v>
      </x:c>
      <x:c r="AA13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ITV / ITVX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HYPERLINK("https://en.wikipedia.org/wiki/Malpractice","Open source")</x:f>
        <x:v>HYPERLINK is not implemented. linkLocation=https://en.wikipedia.org/wiki/Malpractice, friendlyName=Open source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10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2</x:v>
      </x:c>
      <x:c r="BS137" s="16" t="n">
        <x:v>0.2</x:v>
      </x:c>
      <x:c r="BT137" s="14" t="str">
        <x:v>Minority of episodes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tt20918594|nm0188780|senior midwife</x:v>
      </x:c>
      <x:c r="B138" s="14" t="str">
        <x:v>02</x:v>
      </x:c>
      <x:c r="C138" s="14" t="str">
        <x:v>2023_IMDb_Cast_Lists_Batch_02(2).xlsx</x:v>
      </x:c>
      <x:c r="D138" s="14" t="str">
        <x:v>Malpractice</x:v>
      </x:c>
      <x:c r="E138" s="14" t="n">
        <x:v>58</x:v>
      </x:c>
      <x:c r="F138" s="14" t="str">
        <x:v>Malpractice</x:v>
      </x:c>
      <x:c r="G138" s="14" t="str">
        <x:v>tt20918594</x:v>
      </x:c>
      <x:c r="H138" s="14" t="n">
        <x:v>2023</x:v>
      </x:c>
      <x:c r="I138" s="14" t="n">
        <x:v>2023</x:v>
      </x:c>
      <x:c r="J138" s="14" t="str">
        <x:v>Future Carry-Forward Cohort</x:v>
      </x:c>
      <x:c r="K138" s="14"/>
      <x:c r="L138" s="14" t="str">
        <x:v>Not inherited</x:v>
      </x:c>
      <x:c r="M138" s="15" t="n">
        <x:v>51</x:v>
      </x:c>
      <x:c r="N138" s="14" t="str">
        <x:v>Maggie Cronin</x:v>
      </x:c>
      <x:c r="O138" s="14" t="str">
        <x:v>nm0188780</x:v>
      </x:c>
      <x:c r="P138" s="14" t="str">
        <x:v>Senior Midwife</x:v>
      </x:c>
      <x:c r="Q138" s="15" t="n">
        <x:v>2</x:v>
      </x:c>
      <x:c r="R138" s="14" t="str">
        <x:v>2025</x:v>
      </x:c>
      <x:c r="S138" s="14" t="n">
        <x:v>2025</x:v>
      </x:c>
      <x:c r="T138" s="14" t="n">
        <x:v>2025</x:v>
      </x:c>
      <x:c r="U138" s="14" t="str">
        <x:v>Explicit source first year retained</x:v>
      </x:c>
      <x:c r="V138" s="14" t="str">
        <x:v>Earliest supplied year is 2025.</x:v>
      </x:c>
      <x:c r="W138" s="14"/>
      <x:c r="X138" s="14" t="str">
        <x:v>Carried forward to 2025</x:v>
      </x:c>
      <x:c r="Y138" s="14"/>
      <x:c r="Z138" s="14" t="str">
        <x:v>Malpractice.docx</x:v>
      </x:c>
      <x:c r="AA13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ITV / ITVX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HYPERLINK("https://en.wikipedia.org/wiki/Malpractice","Open source")</x:f>
        <x:v>HYPERLINK is not implemented. linkLocation=https://en.wikipedia.org/wiki/Malpractice, friendlyName=Open source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10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2</x:v>
      </x:c>
      <x:c r="BS138" s="16" t="n">
        <x:v>0.2</x:v>
      </x:c>
      <x:c r="BT138" s="14" t="str">
        <x:v>Minority of episodes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tt20918594|nm5098614|francis</x:v>
      </x:c>
      <x:c r="B139" s="14" t="str">
        <x:v>02</x:v>
      </x:c>
      <x:c r="C139" s="14" t="str">
        <x:v>2023_IMDb_Cast_Lists_Batch_02(2).xlsx</x:v>
      </x:c>
      <x:c r="D139" s="14" t="str">
        <x:v>Malpractice</x:v>
      </x:c>
      <x:c r="E139" s="14" t="n">
        <x:v>59</x:v>
      </x:c>
      <x:c r="F139" s="14" t="str">
        <x:v>Malpractice</x:v>
      </x:c>
      <x:c r="G139" s="14" t="str">
        <x:v>tt20918594</x:v>
      </x:c>
      <x:c r="H139" s="14" t="n">
        <x:v>2023</x:v>
      </x:c>
      <x:c r="I139" s="14" t="n">
        <x:v>2023</x:v>
      </x:c>
      <x:c r="J139" s="14" t="str">
        <x:v>Future Carry-Forward Cohort</x:v>
      </x:c>
      <x:c r="K139" s="14"/>
      <x:c r="L139" s="14" t="str">
        <x:v>Not inherited</x:v>
      </x:c>
      <x:c r="M139" s="15" t="n">
        <x:v>52</x:v>
      </x:c>
      <x:c r="N139" s="14" t="str">
        <x:v>Alexander Theo</x:v>
      </x:c>
      <x:c r="O139" s="14" t="str">
        <x:v>nm5098614</x:v>
      </x:c>
      <x:c r="P139" s="14" t="str">
        <x:v>Francis</x:v>
      </x:c>
      <x:c r="Q139" s="15" t="n">
        <x:v>2</x:v>
      </x:c>
      <x:c r="R139" s="14" t="str">
        <x:v>2025</x:v>
      </x:c>
      <x:c r="S139" s="14" t="n">
        <x:v>2025</x:v>
      </x:c>
      <x:c r="T139" s="14" t="n">
        <x:v>2025</x:v>
      </x:c>
      <x:c r="U139" s="14" t="str">
        <x:v>Explicit source first year retained</x:v>
      </x:c>
      <x:c r="V139" s="14" t="str">
        <x:v>Earliest supplied year is 2025.</x:v>
      </x:c>
      <x:c r="W139" s="14"/>
      <x:c r="X139" s="14" t="str">
        <x:v>Carried forward to 2025</x:v>
      </x:c>
      <x:c r="Y139" s="14"/>
      <x:c r="Z139" s="14" t="str">
        <x:v>Malpractice.docx</x:v>
      </x:c>
      <x:c r="AA13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ITV / ITVX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HYPERLINK("https://en.wikipedia.org/wiki/Malpractice","Open source")</x:f>
        <x:v>HYPERLINK is not implemented. linkLocation=https://en.wikipedia.org/wiki/Malpractice, friendlyName=Open source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10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2</x:v>
      </x:c>
      <x:c r="BS139" s="16" t="n">
        <x:v>0.2</x:v>
      </x:c>
      <x:c r="BT139" s="14" t="str">
        <x:v>Minority of episodes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tt20918594|nm17459018|imogen newman / imogen newman</x:v>
      </x:c>
      <x:c r="B140" s="14" t="str">
        <x:v>02</x:v>
      </x:c>
      <x:c r="C140" s="14" t="str">
        <x:v>2023_IMDb_Cast_Lists_Batch_02(2).xlsx</x:v>
      </x:c>
      <x:c r="D140" s="14" t="str">
        <x:v>Malpractice</x:v>
      </x:c>
      <x:c r="E140" s="14" t="n">
        <x:v>60</x:v>
      </x:c>
      <x:c r="F140" s="14" t="str">
        <x:v>Malpractice</x:v>
      </x:c>
      <x:c r="G140" s="14" t="str">
        <x:v>tt20918594</x:v>
      </x:c>
      <x:c r="H140" s="14" t="n">
        <x:v>2023</x:v>
      </x:c>
      <x:c r="I140" s="14" t="n">
        <x:v>2023</x:v>
      </x:c>
      <x:c r="J140" s="14" t="str">
        <x:v>Future Carry-Forward Cohort</x:v>
      </x:c>
      <x:c r="K140" s="14"/>
      <x:c r="L140" s="14" t="str">
        <x:v>Not inherited</x:v>
      </x:c>
      <x:c r="M140" s="15" t="n">
        <x:v>53</x:v>
      </x:c>
      <x:c r="N140" s="14" t="str">
        <x:v>Sophie Elizabeth Ann Shaw</x:v>
      </x:c>
      <x:c r="O140" s="14" t="str">
        <x:v>nm17459018</x:v>
      </x:c>
      <x:c r="P140" s="14" t="str">
        <x:v>Imogen Newman / Imogen newman</x:v>
      </x:c>
      <x:c r="Q140" s="15" t="n">
        <x:v>2</x:v>
      </x:c>
      <x:c r="R140" s="14" t="str">
        <x:v>2025</x:v>
      </x:c>
      <x:c r="S140" s="14" t="n">
        <x:v>2025</x:v>
      </x:c>
      <x:c r="T140" s="14" t="n">
        <x:v>2025</x:v>
      </x:c>
      <x:c r="U140" s="14" t="str">
        <x:v>Explicit source first year retained</x:v>
      </x:c>
      <x:c r="V140" s="14" t="str">
        <x:v>Earliest supplied year is 2025.</x:v>
      </x:c>
      <x:c r="W140" s="14"/>
      <x:c r="X140" s="14" t="str">
        <x:v>Carried forward to 2025</x:v>
      </x:c>
      <x:c r="Y140" s="14"/>
      <x:c r="Z140" s="14" t="str">
        <x:v>Malpractice.docx</x:v>
      </x:c>
      <x:c r="AA14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ITV / ITVX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HYPERLINK("https://en.wikipedia.org/wiki/Malpractice","Open source")</x:f>
        <x:v>HYPERLINK is not implemented. linkLocation=https://en.wikipedia.org/wiki/Malpractice, friendlyName=Open source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10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2</x:v>
      </x:c>
      <x:c r="BS140" s="16" t="n">
        <x:v>0.2</x:v>
      </x:c>
      <x:c r="BT140" s="14" t="str">
        <x:v>Minority of episodes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tt20918594|nm9130037|nurse (136 suite)</x:v>
      </x:c>
      <x:c r="B141" s="14" t="str">
        <x:v>02</x:v>
      </x:c>
      <x:c r="C141" s="14" t="str">
        <x:v>2023_IMDb_Cast_Lists_Batch_02(2).xlsx</x:v>
      </x:c>
      <x:c r="D141" s="14" t="str">
        <x:v>Malpractice</x:v>
      </x:c>
      <x:c r="E141" s="14" t="n">
        <x:v>89</x:v>
      </x:c>
      <x:c r="F141" s="14" t="str">
        <x:v>Malpractice</x:v>
      </x:c>
      <x:c r="G141" s="14" t="str">
        <x:v>tt20918594</x:v>
      </x:c>
      <x:c r="H141" s="14" t="n">
        <x:v>2023</x:v>
      </x:c>
      <x:c r="I141" s="14" t="n">
        <x:v>2023</x:v>
      </x:c>
      <x:c r="J141" s="14" t="str">
        <x:v>Future Carry-Forward Cohort</x:v>
      </x:c>
      <x:c r="K141" s="14"/>
      <x:c r="L141" s="14" t="str">
        <x:v>Not inherited</x:v>
      </x:c>
      <x:c r="M141" s="15" t="n">
        <x:v>82</x:v>
      </x:c>
      <x:c r="N141" s="14" t="str">
        <x:v>Dearbháile McKinney</x:v>
      </x:c>
      <x:c r="O141" s="14" t="str">
        <x:v>nm9130037</x:v>
      </x:c>
      <x:c r="P141" s="14" t="str">
        <x:v>Nurse (136 Suite)</x:v>
      </x:c>
      <x:c r="Q141" s="15" t="n">
        <x:v>1</x:v>
      </x:c>
      <x:c r="R141" s="14" t="str">
        <x:v>2025</x:v>
      </x:c>
      <x:c r="S141" s="14" t="n">
        <x:v>2025</x:v>
      </x:c>
      <x:c r="T141" s="14" t="n">
        <x:v>2025</x:v>
      </x:c>
      <x:c r="U141" s="14" t="str">
        <x:v>Explicit source first year retained</x:v>
      </x:c>
      <x:c r="V141" s="14" t="str">
        <x:v>Earliest supplied year is 2025.</x:v>
      </x:c>
      <x:c r="W141" s="14"/>
      <x:c r="X141" s="14" t="str">
        <x:v>Carried forward to 2025</x:v>
      </x:c>
      <x:c r="Y141" s="14"/>
      <x:c r="Z141" s="14" t="str">
        <x:v>Malpractice.docx</x:v>
      </x:c>
      <x:c r="AA14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ITV / ITVX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HYPERLINK("https://en.wikipedia.org/wiki/Malpractice","Open source")</x:f>
        <x:v>HYPERLINK is not implemented. linkLocation=https://en.wikipedia.org/wiki/Malpractice, friendlyName=Open source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10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0.1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tt20918594|nm0822697|amy</x:v>
      </x:c>
      <x:c r="B142" s="14" t="str">
        <x:v>02</x:v>
      </x:c>
      <x:c r="C142" s="14" t="str">
        <x:v>2023_IMDb_Cast_Lists_Batch_02(2).xlsx</x:v>
      </x:c>
      <x:c r="D142" s="14" t="str">
        <x:v>Malpractice</x:v>
      </x:c>
      <x:c r="E142" s="14" t="n">
        <x:v>90</x:v>
      </x:c>
      <x:c r="F142" s="14" t="str">
        <x:v>Malpractice</x:v>
      </x:c>
      <x:c r="G142" s="14" t="str">
        <x:v>tt20918594</x:v>
      </x:c>
      <x:c r="H142" s="14" t="n">
        <x:v>2023</x:v>
      </x:c>
      <x:c r="I142" s="14" t="n">
        <x:v>2023</x:v>
      </x:c>
      <x:c r="J142" s="14" t="str">
        <x:v>Future Carry-Forward Cohort</x:v>
      </x:c>
      <x:c r="K142" s="14"/>
      <x:c r="L142" s="14" t="str">
        <x:v>Not inherited</x:v>
      </x:c>
      <x:c r="M142" s="15" t="n">
        <x:v>83</x:v>
      </x:c>
      <x:c r="N142" s="14" t="str">
        <x:v>Emma Stansfield</x:v>
      </x:c>
      <x:c r="O142" s="14" t="str">
        <x:v>nm0822697</x:v>
      </x:c>
      <x:c r="P142" s="14" t="str">
        <x:v>Amy</x:v>
      </x:c>
      <x:c r="Q142" s="15" t="n">
        <x:v>1</x:v>
      </x:c>
      <x:c r="R142" s="14" t="str">
        <x:v>2025</x:v>
      </x:c>
      <x:c r="S142" s="14" t="n">
        <x:v>2025</x:v>
      </x:c>
      <x:c r="T142" s="14" t="n">
        <x:v>2025</x:v>
      </x:c>
      <x:c r="U142" s="14" t="str">
        <x:v>Explicit source first year retained</x:v>
      </x:c>
      <x:c r="V142" s="14" t="str">
        <x:v>Earliest supplied year is 2025.</x:v>
      </x:c>
      <x:c r="W142" s="14"/>
      <x:c r="X142" s="14" t="str">
        <x:v>Carried forward to 2025</x:v>
      </x:c>
      <x:c r="Y142" s="14"/>
      <x:c r="Z142" s="14" t="str">
        <x:v>Malpractice.docx</x:v>
      </x:c>
      <x:c r="AA14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ITV / ITVX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HYPERLINK("https://en.wikipedia.org/wiki/Malpractice","Open source")</x:f>
        <x:v>HYPERLINK is not implemented. linkLocation=https://en.wikipedia.org/wiki/Malpractice, friendlyName=Open source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10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0.1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tt20918594|nm4337810|pc john penwell</x:v>
      </x:c>
      <x:c r="B143" s="14" t="str">
        <x:v>02</x:v>
      </x:c>
      <x:c r="C143" s="14" t="str">
        <x:v>2023_IMDb_Cast_Lists_Batch_02(2).xlsx</x:v>
      </x:c>
      <x:c r="D143" s="14" t="str">
        <x:v>Malpractice</x:v>
      </x:c>
      <x:c r="E143" s="14" t="n">
        <x:v>91</x:v>
      </x:c>
      <x:c r="F143" s="14" t="str">
        <x:v>Malpractice</x:v>
      </x:c>
      <x:c r="G143" s="14" t="str">
        <x:v>tt20918594</x:v>
      </x:c>
      <x:c r="H143" s="14" t="n">
        <x:v>2023</x:v>
      </x:c>
      <x:c r="I143" s="14" t="n">
        <x:v>2023</x:v>
      </x:c>
      <x:c r="J143" s="14" t="str">
        <x:v>Future Carry-Forward Cohort</x:v>
      </x:c>
      <x:c r="K143" s="14"/>
      <x:c r="L143" s="14" t="str">
        <x:v>Not inherited</x:v>
      </x:c>
      <x:c r="M143" s="15" t="n">
        <x:v>84</x:v>
      </x:c>
      <x:c r="N143" s="14" t="str">
        <x:v>Alistair Brammer</x:v>
      </x:c>
      <x:c r="O143" s="14" t="str">
        <x:v>nm4337810</x:v>
      </x:c>
      <x:c r="P143" s="14" t="str">
        <x:v>PC John Penwell</x:v>
      </x:c>
      <x:c r="Q143" s="15" t="n">
        <x:v>1</x:v>
      </x:c>
      <x:c r="R143" s="14" t="str">
        <x:v>2025</x:v>
      </x:c>
      <x:c r="S143" s="14" t="n">
        <x:v>2025</x:v>
      </x:c>
      <x:c r="T143" s="14" t="n">
        <x:v>2025</x:v>
      </x:c>
      <x:c r="U143" s="14" t="str">
        <x:v>Explicit source first year retained</x:v>
      </x:c>
      <x:c r="V143" s="14" t="str">
        <x:v>Earliest supplied year is 2025.</x:v>
      </x:c>
      <x:c r="W143" s="14"/>
      <x:c r="X143" s="14" t="str">
        <x:v>Carried forward to 2025</x:v>
      </x:c>
      <x:c r="Y143" s="14"/>
      <x:c r="Z143" s="14" t="str">
        <x:v>Malpractice.docx</x:v>
      </x:c>
      <x:c r="AA14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ITV / ITVX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HYPERLINK("https://en.wikipedia.org/wiki/Malpractice","Open source")</x:f>
        <x:v>HYPERLINK is not implemented. linkLocation=https://en.wikipedia.org/wiki/Malpractice, friendlyName=Open source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10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0.1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tt20918594|nm13278985|ellie</x:v>
      </x:c>
      <x:c r="B144" s="14" t="str">
        <x:v>02</x:v>
      </x:c>
      <x:c r="C144" s="14" t="str">
        <x:v>2023_IMDb_Cast_Lists_Batch_02(2).xlsx</x:v>
      </x:c>
      <x:c r="D144" s="14" t="str">
        <x:v>Malpractice</x:v>
      </x:c>
      <x:c r="E144" s="14" t="n">
        <x:v>92</x:v>
      </x:c>
      <x:c r="F144" s="14" t="str">
        <x:v>Malpractice</x:v>
      </x:c>
      <x:c r="G144" s="14" t="str">
        <x:v>tt20918594</x:v>
      </x:c>
      <x:c r="H144" s="14" t="n">
        <x:v>2023</x:v>
      </x:c>
      <x:c r="I144" s="14" t="n">
        <x:v>2023</x:v>
      </x:c>
      <x:c r="J144" s="14" t="str">
        <x:v>Future Carry-Forward Cohort</x:v>
      </x:c>
      <x:c r="K144" s="14"/>
      <x:c r="L144" s="14" t="str">
        <x:v>Not inherited</x:v>
      </x:c>
      <x:c r="M144" s="15" t="n">
        <x:v>85</x:v>
      </x:c>
      <x:c r="N144" s="14" t="str">
        <x:v>Katie Eldred</x:v>
      </x:c>
      <x:c r="O144" s="14" t="str">
        <x:v>nm13278985</x:v>
      </x:c>
      <x:c r="P144" s="14" t="str">
        <x:v>Ellie</x:v>
      </x:c>
      <x:c r="Q144" s="15" t="n">
        <x:v>1</x:v>
      </x:c>
      <x:c r="R144" s="14" t="str">
        <x:v>2025</x:v>
      </x:c>
      <x:c r="S144" s="14" t="n">
        <x:v>2025</x:v>
      </x:c>
      <x:c r="T144" s="14" t="n">
        <x:v>2025</x:v>
      </x:c>
      <x:c r="U144" s="14" t="str">
        <x:v>Explicit source first year retained</x:v>
      </x:c>
      <x:c r="V144" s="14" t="str">
        <x:v>Earliest supplied year is 2025.</x:v>
      </x:c>
      <x:c r="W144" s="14"/>
      <x:c r="X144" s="14" t="str">
        <x:v>Carried forward to 2025</x:v>
      </x:c>
      <x:c r="Y144" s="14"/>
      <x:c r="Z144" s="14" t="str">
        <x:v>Malpractice.docx</x:v>
      </x:c>
      <x:c r="AA14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ITV / ITVX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HYPERLINK("https://en.wikipedia.org/wiki/Malpractice","Open source")</x:f>
        <x:v>HYPERLINK is not implemented. linkLocation=https://en.wikipedia.org/wiki/Malpractice, friendlyName=Open source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10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0.1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tt20918594|nm8490593|pc blakefield</x:v>
      </x:c>
      <x:c r="B145" s="14" t="str">
        <x:v>02</x:v>
      </x:c>
      <x:c r="C145" s="14" t="str">
        <x:v>2023_IMDb_Cast_Lists_Batch_02(2).xlsx</x:v>
      </x:c>
      <x:c r="D145" s="14" t="str">
        <x:v>Malpractice</x:v>
      </x:c>
      <x:c r="E145" s="14" t="n">
        <x:v>93</x:v>
      </x:c>
      <x:c r="F145" s="14" t="str">
        <x:v>Malpractice</x:v>
      </x:c>
      <x:c r="G145" s="14" t="str">
        <x:v>tt20918594</x:v>
      </x:c>
      <x:c r="H145" s="14" t="n">
        <x:v>2023</x:v>
      </x:c>
      <x:c r="I145" s="14" t="n">
        <x:v>2023</x:v>
      </x:c>
      <x:c r="J145" s="14" t="str">
        <x:v>Future Carry-Forward Cohort</x:v>
      </x:c>
      <x:c r="K145" s="14"/>
      <x:c r="L145" s="14" t="str">
        <x:v>Not inherited</x:v>
      </x:c>
      <x:c r="M145" s="15" t="n">
        <x:v>86</x:v>
      </x:c>
      <x:c r="N145" s="14" t="str">
        <x:v>Matthew Forsythe</x:v>
      </x:c>
      <x:c r="O145" s="14" t="str">
        <x:v>nm8490593</x:v>
      </x:c>
      <x:c r="P145" s="14" t="str">
        <x:v>PC Blakefield</x:v>
      </x:c>
      <x:c r="Q145" s="15" t="n">
        <x:v>1</x:v>
      </x:c>
      <x:c r="R145" s="14" t="str">
        <x:v>2025</x:v>
      </x:c>
      <x:c r="S145" s="14" t="n">
        <x:v>2025</x:v>
      </x:c>
      <x:c r="T145" s="14" t="n">
        <x:v>2025</x:v>
      </x:c>
      <x:c r="U145" s="14" t="str">
        <x:v>Explicit source first year retained</x:v>
      </x:c>
      <x:c r="V145" s="14" t="str">
        <x:v>Earliest supplied year is 2025.</x:v>
      </x:c>
      <x:c r="W145" s="14"/>
      <x:c r="X145" s="14" t="str">
        <x:v>Carried forward to 2025</x:v>
      </x:c>
      <x:c r="Y145" s="14"/>
      <x:c r="Z145" s="14" t="str">
        <x:v>Malpractice.docx</x:v>
      </x:c>
      <x:c r="AA14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ITV / ITVX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HYPERLINK("https://en.wikipedia.org/wiki/Malpractice","Open source")</x:f>
        <x:v>HYPERLINK is not implemented. linkLocation=https://en.wikipedia.org/wiki/Malpractice, friendlyName=Open source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10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0.1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tt20918594|nm0042001|mr. anwaar</x:v>
      </x:c>
      <x:c r="B146" s="14" t="str">
        <x:v>02</x:v>
      </x:c>
      <x:c r="C146" s="14" t="str">
        <x:v>2023_IMDb_Cast_Lists_Batch_02(2).xlsx</x:v>
      </x:c>
      <x:c r="D146" s="14" t="str">
        <x:v>Malpractice</x:v>
      </x:c>
      <x:c r="E146" s="14" t="n">
        <x:v>94</x:v>
      </x:c>
      <x:c r="F146" s="14" t="str">
        <x:v>Malpractice</x:v>
      </x:c>
      <x:c r="G146" s="14" t="str">
        <x:v>tt20918594</x:v>
      </x:c>
      <x:c r="H146" s="14" t="n">
        <x:v>2023</x:v>
      </x:c>
      <x:c r="I146" s="14" t="n">
        <x:v>2023</x:v>
      </x:c>
      <x:c r="J146" s="14" t="str">
        <x:v>Future Carry-Forward Cohort</x:v>
      </x:c>
      <x:c r="K146" s="14"/>
      <x:c r="L146" s="14" t="str">
        <x:v>Not inherited</x:v>
      </x:c>
      <x:c r="M146" s="15" t="n">
        <x:v>87</x:v>
      </x:c>
      <x:c r="N146" s="14" t="str">
        <x:v>Ravi Aujla</x:v>
      </x:c>
      <x:c r="O146" s="14" t="str">
        <x:v>nm0042001</x:v>
      </x:c>
      <x:c r="P146" s="14" t="str">
        <x:v>Mr. Anwaar</x:v>
      </x:c>
      <x:c r="Q146" s="15" t="n">
        <x:v>1</x:v>
      </x:c>
      <x:c r="R146" s="14" t="str">
        <x:v>2025</x:v>
      </x:c>
      <x:c r="S146" s="14" t="n">
        <x:v>2025</x:v>
      </x:c>
      <x:c r="T146" s="14" t="n">
        <x:v>2025</x:v>
      </x:c>
      <x:c r="U146" s="14" t="str">
        <x:v>Explicit source first year retained</x:v>
      </x:c>
      <x:c r="V146" s="14" t="str">
        <x:v>Earliest supplied year is 2025.</x:v>
      </x:c>
      <x:c r="W146" s="14"/>
      <x:c r="X146" s="14" t="str">
        <x:v>Carried forward to 2025</x:v>
      </x:c>
      <x:c r="Y146" s="14"/>
      <x:c r="Z146" s="14" t="str">
        <x:v>Malpractice.docx</x:v>
      </x:c>
      <x:c r="AA14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ITV / ITVX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HYPERLINK("https://en.wikipedia.org/wiki/Malpractice","Open source")</x:f>
        <x:v>HYPERLINK is not implemented. linkLocation=https://en.wikipedia.org/wiki/Malpractice, friendlyName=Open source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10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0.1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tt20918594|nm10029083|emma</x:v>
      </x:c>
      <x:c r="B147" s="14" t="str">
        <x:v>02</x:v>
      </x:c>
      <x:c r="C147" s="14" t="str">
        <x:v>2023_IMDb_Cast_Lists_Batch_02(2).xlsx</x:v>
      </x:c>
      <x:c r="D147" s="14" t="str">
        <x:v>Malpractice</x:v>
      </x:c>
      <x:c r="E147" s="14" t="n">
        <x:v>95</x:v>
      </x:c>
      <x:c r="F147" s="14" t="str">
        <x:v>Malpractice</x:v>
      </x:c>
      <x:c r="G147" s="14" t="str">
        <x:v>tt20918594</x:v>
      </x:c>
      <x:c r="H147" s="14" t="n">
        <x:v>2023</x:v>
      </x:c>
      <x:c r="I147" s="14" t="n">
        <x:v>2023</x:v>
      </x:c>
      <x:c r="J147" s="14" t="str">
        <x:v>Future Carry-Forward Cohort</x:v>
      </x:c>
      <x:c r="K147" s="14"/>
      <x:c r="L147" s="14" t="str">
        <x:v>Not inherited</x:v>
      </x:c>
      <x:c r="M147" s="15" t="n">
        <x:v>88</x:v>
      </x:c>
      <x:c r="N147" s="14" t="str">
        <x:v>Allison Harding</x:v>
      </x:c>
      <x:c r="O147" s="14" t="str">
        <x:v>nm10029083</x:v>
      </x:c>
      <x:c r="P147" s="14" t="str">
        <x:v>Emma</x:v>
      </x:c>
      <x:c r="Q147" s="15" t="n">
        <x:v>1</x:v>
      </x:c>
      <x:c r="R147" s="14" t="str">
        <x:v>2025</x:v>
      </x:c>
      <x:c r="S147" s="14" t="n">
        <x:v>2025</x:v>
      </x:c>
      <x:c r="T147" s="14" t="n">
        <x:v>2025</x:v>
      </x:c>
      <x:c r="U147" s="14" t="str">
        <x:v>Explicit source first year retained</x:v>
      </x:c>
      <x:c r="V147" s="14" t="str">
        <x:v>Earliest supplied year is 2025.</x:v>
      </x:c>
      <x:c r="W147" s="14"/>
      <x:c r="X147" s="14" t="str">
        <x:v>Carried forward to 2025</x:v>
      </x:c>
      <x:c r="Y147" s="14"/>
      <x:c r="Z147" s="14" t="str">
        <x:v>Malpractice.docx</x:v>
      </x:c>
      <x:c r="AA14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ITV / ITVX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HYPERLINK("https://en.wikipedia.org/wiki/Malpractice","Open source")</x:f>
        <x:v>HYPERLINK is not implemented. linkLocation=https://en.wikipedia.org/wiki/Malpractice, friendlyName=Open source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10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0.1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tt20918594|nm13782082|dr. hussain</x:v>
      </x:c>
      <x:c r="B148" s="14" t="str">
        <x:v>02</x:v>
      </x:c>
      <x:c r="C148" s="14" t="str">
        <x:v>2023_IMDb_Cast_Lists_Batch_02(2).xlsx</x:v>
      </x:c>
      <x:c r="D148" s="14" t="str">
        <x:v>Malpractice</x:v>
      </x:c>
      <x:c r="E148" s="14" t="n">
        <x:v>96</x:v>
      </x:c>
      <x:c r="F148" s="14" t="str">
        <x:v>Malpractice</x:v>
      </x:c>
      <x:c r="G148" s="14" t="str">
        <x:v>tt20918594</x:v>
      </x:c>
      <x:c r="H148" s="14" t="n">
        <x:v>2023</x:v>
      </x:c>
      <x:c r="I148" s="14" t="n">
        <x:v>2023</x:v>
      </x:c>
      <x:c r="J148" s="14" t="str">
        <x:v>Future Carry-Forward Cohort</x:v>
      </x:c>
      <x:c r="K148" s="14"/>
      <x:c r="L148" s="14" t="str">
        <x:v>Not inherited</x:v>
      </x:c>
      <x:c r="M148" s="15" t="n">
        <x:v>89</x:v>
      </x:c>
      <x:c r="N148" s="14" t="str">
        <x:v>Bairavi Manoharan</x:v>
      </x:c>
      <x:c r="O148" s="14" t="str">
        <x:v>nm13782082</x:v>
      </x:c>
      <x:c r="P148" s="14" t="str">
        <x:v>Dr. Hussain</x:v>
      </x:c>
      <x:c r="Q148" s="15" t="n">
        <x:v>1</x:v>
      </x:c>
      <x:c r="R148" s="14" t="str">
        <x:v>2025</x:v>
      </x:c>
      <x:c r="S148" s="14" t="n">
        <x:v>2025</x:v>
      </x:c>
      <x:c r="T148" s="14" t="n">
        <x:v>2025</x:v>
      </x:c>
      <x:c r="U148" s="14" t="str">
        <x:v>Explicit source first year retained</x:v>
      </x:c>
      <x:c r="V148" s="14" t="str">
        <x:v>Earliest supplied year is 2025.</x:v>
      </x:c>
      <x:c r="W148" s="14"/>
      <x:c r="X148" s="14" t="str">
        <x:v>Carried forward to 2025</x:v>
      </x:c>
      <x:c r="Y148" s="14"/>
      <x:c r="Z148" s="14" t="str">
        <x:v>Malpractice.docx</x:v>
      </x:c>
      <x:c r="AA14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ITV / ITVX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HYPERLINK("https://en.wikipedia.org/wiki/Malpractice","Open source")</x:f>
        <x:v>HYPERLINK is not implemented. linkLocation=https://en.wikipedia.org/wiki/Malpractice, friendlyName=Open source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10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0.1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tt20918594|nm0043293|dr. glyn armitage</x:v>
      </x:c>
      <x:c r="B149" s="14" t="str">
        <x:v>02</x:v>
      </x:c>
      <x:c r="C149" s="14" t="str">
        <x:v>2023_IMDb_Cast_Lists_Batch_02(2).xlsx</x:v>
      </x:c>
      <x:c r="D149" s="14" t="str">
        <x:v>Malpractice</x:v>
      </x:c>
      <x:c r="E149" s="14" t="n">
        <x:v>97</x:v>
      </x:c>
      <x:c r="F149" s="14" t="str">
        <x:v>Malpractice</x:v>
      </x:c>
      <x:c r="G149" s="14" t="str">
        <x:v>tt20918594</x:v>
      </x:c>
      <x:c r="H149" s="14" t="n">
        <x:v>2023</x:v>
      </x:c>
      <x:c r="I149" s="14" t="n">
        <x:v>2023</x:v>
      </x:c>
      <x:c r="J149" s="14" t="str">
        <x:v>Future Carry-Forward Cohort</x:v>
      </x:c>
      <x:c r="K149" s="14"/>
      <x:c r="L149" s="14" t="str">
        <x:v>Not inherited</x:v>
      </x:c>
      <x:c r="M149" s="15" t="n">
        <x:v>90</x:v>
      </x:c>
      <x:c r="N149" s="14" t="str">
        <x:v>Justin Avoth</x:v>
      </x:c>
      <x:c r="O149" s="14" t="str">
        <x:v>nm0043293</x:v>
      </x:c>
      <x:c r="P149" s="14" t="str">
        <x:v>Dr. Glyn Armitage</x:v>
      </x:c>
      <x:c r="Q149" s="15" t="n">
        <x:v>1</x:v>
      </x:c>
      <x:c r="R149" s="14" t="str">
        <x:v>2025</x:v>
      </x:c>
      <x:c r="S149" s="14" t="n">
        <x:v>2025</x:v>
      </x:c>
      <x:c r="T149" s="14" t="n">
        <x:v>2025</x:v>
      </x:c>
      <x:c r="U149" s="14" t="str">
        <x:v>Explicit source first year retained</x:v>
      </x:c>
      <x:c r="V149" s="14" t="str">
        <x:v>Earliest supplied year is 2025.</x:v>
      </x:c>
      <x:c r="W149" s="14"/>
      <x:c r="X149" s="14" t="str">
        <x:v>Carried forward to 2025</x:v>
      </x:c>
      <x:c r="Y149" s="14"/>
      <x:c r="Z149" s="14" t="str">
        <x:v>Malpractice.docx</x:v>
      </x:c>
      <x:c r="AA14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ITV / ITVX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HYPERLINK("https://en.wikipedia.org/wiki/Malpractice","Open source")</x:f>
        <x:v>HYPERLINK is not implemented. linkLocation=https://en.wikipedia.org/wiki/Malpractice, friendlyName=Open source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10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0.1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tt20918594|nm7750520|kirsty</x:v>
      </x:c>
      <x:c r="B150" s="14" t="str">
        <x:v>02</x:v>
      </x:c>
      <x:c r="C150" s="14" t="str">
        <x:v>2023_IMDb_Cast_Lists_Batch_02(2).xlsx</x:v>
      </x:c>
      <x:c r="D150" s="14" t="str">
        <x:v>Malpractice</x:v>
      </x:c>
      <x:c r="E150" s="14" t="n">
        <x:v>98</x:v>
      </x:c>
      <x:c r="F150" s="14" t="str">
        <x:v>Malpractice</x:v>
      </x:c>
      <x:c r="G150" s="14" t="str">
        <x:v>tt20918594</x:v>
      </x:c>
      <x:c r="H150" s="14" t="n">
        <x:v>2023</x:v>
      </x:c>
      <x:c r="I150" s="14" t="n">
        <x:v>2023</x:v>
      </x:c>
      <x:c r="J150" s="14" t="str">
        <x:v>Future Carry-Forward Cohort</x:v>
      </x:c>
      <x:c r="K150" s="14"/>
      <x:c r="L150" s="14" t="str">
        <x:v>Not inherited</x:v>
      </x:c>
      <x:c r="M150" s="15" t="n">
        <x:v>91</x:v>
      </x:c>
      <x:c r="N150" s="14" t="str">
        <x:v>Amy Drake</x:v>
      </x:c>
      <x:c r="O150" s="14" t="str">
        <x:v>nm7750520</x:v>
      </x:c>
      <x:c r="P150" s="14" t="str">
        <x:v>Kirsty</x:v>
      </x:c>
      <x:c r="Q150" s="15" t="n">
        <x:v>1</x:v>
      </x:c>
      <x:c r="R150" s="14" t="str">
        <x:v>2025</x:v>
      </x:c>
      <x:c r="S150" s="14" t="n">
        <x:v>2025</x:v>
      </x:c>
      <x:c r="T150" s="14" t="n">
        <x:v>2025</x:v>
      </x:c>
      <x:c r="U150" s="14" t="str">
        <x:v>Explicit source first year retained</x:v>
      </x:c>
      <x:c r="V150" s="14" t="str">
        <x:v>Earliest supplied year is 2025.</x:v>
      </x:c>
      <x:c r="W150" s="14"/>
      <x:c r="X150" s="14" t="str">
        <x:v>Carried forward to 2025</x:v>
      </x:c>
      <x:c r="Y150" s="14"/>
      <x:c r="Z150" s="14" t="str">
        <x:v>Malpractice.docx</x:v>
      </x:c>
      <x:c r="AA15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ITV / ITVX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HYPERLINK("https://en.wikipedia.org/wiki/Malpractice","Open source")</x:f>
        <x:v>HYPERLINK is not implemented. linkLocation=https://en.wikipedia.org/wiki/Malpractice, friendlyName=Open source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10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0.1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tt20918594|nm5937421|claire martin</x:v>
      </x:c>
      <x:c r="B151" s="14" t="str">
        <x:v>02</x:v>
      </x:c>
      <x:c r="C151" s="14" t="str">
        <x:v>2023_IMDb_Cast_Lists_Batch_02(2).xlsx</x:v>
      </x:c>
      <x:c r="D151" s="14" t="str">
        <x:v>Malpractice</x:v>
      </x:c>
      <x:c r="E151" s="14" t="n">
        <x:v>99</x:v>
      </x:c>
      <x:c r="F151" s="14" t="str">
        <x:v>Malpractice</x:v>
      </x:c>
      <x:c r="G151" s="14" t="str">
        <x:v>tt20918594</x:v>
      </x:c>
      <x:c r="H151" s="14" t="n">
        <x:v>2023</x:v>
      </x:c>
      <x:c r="I151" s="14" t="n">
        <x:v>2023</x:v>
      </x:c>
      <x:c r="J151" s="14" t="str">
        <x:v>Future Carry-Forward Cohort</x:v>
      </x:c>
      <x:c r="K151" s="14"/>
      <x:c r="L151" s="14" t="str">
        <x:v>Not inherited</x:v>
      </x:c>
      <x:c r="M151" s="15" t="n">
        <x:v>92</x:v>
      </x:c>
      <x:c r="N151" s="14" t="str">
        <x:v>Kristy Philipps</x:v>
      </x:c>
      <x:c r="O151" s="14" t="str">
        <x:v>nm5937421</x:v>
      </x:c>
      <x:c r="P151" s="14" t="str">
        <x:v>Claire Martin</x:v>
      </x:c>
      <x:c r="Q151" s="15" t="n">
        <x:v>1</x:v>
      </x:c>
      <x:c r="R151" s="14" t="str">
        <x:v>2025</x:v>
      </x:c>
      <x:c r="S151" s="14" t="n">
        <x:v>2025</x:v>
      </x:c>
      <x:c r="T151" s="14" t="n">
        <x:v>2025</x:v>
      </x:c>
      <x:c r="U151" s="14" t="str">
        <x:v>Explicit source first year retained</x:v>
      </x:c>
      <x:c r="V151" s="14" t="str">
        <x:v>Earliest supplied year is 2025.</x:v>
      </x:c>
      <x:c r="W151" s="14"/>
      <x:c r="X151" s="14" t="str">
        <x:v>Carried forward to 2025</x:v>
      </x:c>
      <x:c r="Y151" s="14"/>
      <x:c r="Z151" s="14" t="str">
        <x:v>Malpractice.docx</x:v>
      </x:c>
      <x:c r="AA15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ITV / ITVX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HYPERLINK("https://en.wikipedia.org/wiki/Malpractice","Open source")</x:f>
        <x:v>HYPERLINK is not implemented. linkLocation=https://en.wikipedia.org/wiki/Malpractice, friendlyName=Open source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10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0.1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tt20918594|nm2375611|mark</x:v>
      </x:c>
      <x:c r="B152" s="14" t="str">
        <x:v>02</x:v>
      </x:c>
      <x:c r="C152" s="14" t="str">
        <x:v>2023_IMDb_Cast_Lists_Batch_02(2).xlsx</x:v>
      </x:c>
      <x:c r="D152" s="14" t="str">
        <x:v>Malpractice</x:v>
      </x:c>
      <x:c r="E152" s="14" t="n">
        <x:v>100</x:v>
      </x:c>
      <x:c r="F152" s="14" t="str">
        <x:v>Malpractice</x:v>
      </x:c>
      <x:c r="G152" s="14" t="str">
        <x:v>tt20918594</x:v>
      </x:c>
      <x:c r="H152" s="14" t="n">
        <x:v>2023</x:v>
      </x:c>
      <x:c r="I152" s="14" t="n">
        <x:v>2023</x:v>
      </x:c>
      <x:c r="J152" s="14" t="str">
        <x:v>Future Carry-Forward Cohort</x:v>
      </x:c>
      <x:c r="K152" s="14"/>
      <x:c r="L152" s="14" t="str">
        <x:v>Not inherited</x:v>
      </x:c>
      <x:c r="M152" s="15" t="n">
        <x:v>93</x:v>
      </x:c>
      <x:c r="N152" s="14" t="str">
        <x:v>Tom Lorcan</x:v>
      </x:c>
      <x:c r="O152" s="14" t="str">
        <x:v>nm2375611</x:v>
      </x:c>
      <x:c r="P152" s="14" t="str">
        <x:v>Mark</x:v>
      </x:c>
      <x:c r="Q152" s="15" t="n">
        <x:v>1</x:v>
      </x:c>
      <x:c r="R152" s="14" t="str">
        <x:v>2025</x:v>
      </x:c>
      <x:c r="S152" s="14" t="n">
        <x:v>2025</x:v>
      </x:c>
      <x:c r="T152" s="14" t="n">
        <x:v>2025</x:v>
      </x:c>
      <x:c r="U152" s="14" t="str">
        <x:v>Explicit source first year retained</x:v>
      </x:c>
      <x:c r="V152" s="14" t="str">
        <x:v>Earliest supplied year is 2025.</x:v>
      </x:c>
      <x:c r="W152" s="14"/>
      <x:c r="X152" s="14" t="str">
        <x:v>Carried forward to 2025</x:v>
      </x:c>
      <x:c r="Y152" s="14"/>
      <x:c r="Z152" s="14" t="str">
        <x:v>Malpractice.docx</x:v>
      </x:c>
      <x:c r="AA15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ITV / ITVX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HYPERLINK("https://en.wikipedia.org/wiki/Malpractice","Open source")</x:f>
        <x:v>HYPERLINK is not implemented. linkLocation=https://en.wikipedia.org/wiki/Malpractice, friendlyName=Open source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10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0.1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tt20918594|nm7828260|dr. ava lawal</x:v>
      </x:c>
      <x:c r="B153" s="14" t="str">
        <x:v>02</x:v>
      </x:c>
      <x:c r="C153" s="14" t="str">
        <x:v>2023_IMDb_Cast_Lists_Batch_02(2).xlsx</x:v>
      </x:c>
      <x:c r="D153" s="14" t="str">
        <x:v>Malpractice</x:v>
      </x:c>
      <x:c r="E153" s="14" t="n">
        <x:v>101</x:v>
      </x:c>
      <x:c r="F153" s="14" t="str">
        <x:v>Malpractice</x:v>
      </x:c>
      <x:c r="G153" s="14" t="str">
        <x:v>tt20918594</x:v>
      </x:c>
      <x:c r="H153" s="14" t="n">
        <x:v>2023</x:v>
      </x:c>
      <x:c r="I153" s="14" t="n">
        <x:v>2023</x:v>
      </x:c>
      <x:c r="J153" s="14" t="str">
        <x:v>Future Carry-Forward Cohort</x:v>
      </x:c>
      <x:c r="K153" s="14"/>
      <x:c r="L153" s="14" t="str">
        <x:v>Not inherited</x:v>
      </x:c>
      <x:c r="M153" s="15" t="n">
        <x:v>94</x:v>
      </x:c>
      <x:c r="N153" s="14" t="str">
        <x:v>Charis Agbonlahor</x:v>
      </x:c>
      <x:c r="O153" s="14" t="str">
        <x:v>nm7828260</x:v>
      </x:c>
      <x:c r="P153" s="14" t="str">
        <x:v>Dr. Ava Lawal</x:v>
      </x:c>
      <x:c r="Q153" s="15" t="n">
        <x:v>1</x:v>
      </x:c>
      <x:c r="R153" s="14" t="str">
        <x:v>2025</x:v>
      </x:c>
      <x:c r="S153" s="14" t="n">
        <x:v>2025</x:v>
      </x:c>
      <x:c r="T153" s="14" t="n">
        <x:v>2025</x:v>
      </x:c>
      <x:c r="U153" s="14" t="str">
        <x:v>Explicit source first year retained</x:v>
      </x:c>
      <x:c r="V153" s="14" t="str">
        <x:v>Earliest supplied year is 2025.</x:v>
      </x:c>
      <x:c r="W153" s="14"/>
      <x:c r="X153" s="14" t="str">
        <x:v>Carried forward to 2025</x:v>
      </x:c>
      <x:c r="Y153" s="14"/>
      <x:c r="Z153" s="14" t="str">
        <x:v>Malpractice.docx</x:v>
      </x:c>
      <x:c r="AA15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ITV / ITVX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HYPERLINK("https://en.wikipedia.org/wiki/Malpractice","Open source")</x:f>
        <x:v>HYPERLINK is not implemented. linkLocation=https://en.wikipedia.org/wiki/Malpractice, friendlyName=Open source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10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0.1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tt20918594|nm1418006|fiona</x:v>
      </x:c>
      <x:c r="B154" s="14" t="str">
        <x:v>02</x:v>
      </x:c>
      <x:c r="C154" s="14" t="str">
        <x:v>2023_IMDb_Cast_Lists_Batch_02(2).xlsx</x:v>
      </x:c>
      <x:c r="D154" s="14" t="str">
        <x:v>Malpractice</x:v>
      </x:c>
      <x:c r="E154" s="14" t="n">
        <x:v>102</x:v>
      </x:c>
      <x:c r="F154" s="14" t="str">
        <x:v>Malpractice</x:v>
      </x:c>
      <x:c r="G154" s="14" t="str">
        <x:v>tt20918594</x:v>
      </x:c>
      <x:c r="H154" s="14" t="n">
        <x:v>2023</x:v>
      </x:c>
      <x:c r="I154" s="14" t="n">
        <x:v>2023</x:v>
      </x:c>
      <x:c r="J154" s="14" t="str">
        <x:v>Future Carry-Forward Cohort</x:v>
      </x:c>
      <x:c r="K154" s="14"/>
      <x:c r="L154" s="14" t="str">
        <x:v>Not inherited</x:v>
      </x:c>
      <x:c r="M154" s="15" t="n">
        <x:v>95</x:v>
      </x:c>
      <x:c r="N154" s="14" t="str">
        <x:v>Una Kavanagh</x:v>
      </x:c>
      <x:c r="O154" s="14" t="str">
        <x:v>nm1418006</x:v>
      </x:c>
      <x:c r="P154" s="14" t="str">
        <x:v>Fiona</x:v>
      </x:c>
      <x:c r="Q154" s="15" t="n">
        <x:v>1</x:v>
      </x:c>
      <x:c r="R154" s="14" t="str">
        <x:v>2025</x:v>
      </x:c>
      <x:c r="S154" s="14" t="n">
        <x:v>2025</x:v>
      </x:c>
      <x:c r="T154" s="14" t="n">
        <x:v>2025</x:v>
      </x:c>
      <x:c r="U154" s="14" t="str">
        <x:v>Explicit source first year retained</x:v>
      </x:c>
      <x:c r="V154" s="14" t="str">
        <x:v>Earliest supplied year is 2025.</x:v>
      </x:c>
      <x:c r="W154" s="14"/>
      <x:c r="X154" s="14" t="str">
        <x:v>Carried forward to 2025</x:v>
      </x:c>
      <x:c r="Y154" s="14" t="str">
        <x:v>(as Úna Kavanagh)</x:v>
      </x:c>
      <x:c r="Z154" s="14" t="str">
        <x:v>Malpractice.docx</x:v>
      </x:c>
      <x:c r="AA15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ITV / ITVX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HYPERLINK("https://en.wikipedia.org/wiki/Malpractice","Open source")</x:f>
        <x:v>HYPERLINK is not implemented. linkLocation=https://en.wikipedia.org/wiki/Malpractice, friendlyName=Open source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10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0.1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tt20918594|nm8719478|alison masters</x:v>
      </x:c>
      <x:c r="B155" s="14" t="str">
        <x:v>02</x:v>
      </x:c>
      <x:c r="C155" s="14" t="str">
        <x:v>2023_IMDb_Cast_Lists_Batch_02(2).xlsx</x:v>
      </x:c>
      <x:c r="D155" s="14" t="str">
        <x:v>Malpractice</x:v>
      </x:c>
      <x:c r="E155" s="14" t="n">
        <x:v>103</x:v>
      </x:c>
      <x:c r="F155" s="14" t="str">
        <x:v>Malpractice</x:v>
      </x:c>
      <x:c r="G155" s="14" t="str">
        <x:v>tt20918594</x:v>
      </x:c>
      <x:c r="H155" s="14" t="n">
        <x:v>2023</x:v>
      </x:c>
      <x:c r="I155" s="14" t="n">
        <x:v>2023</x:v>
      </x:c>
      <x:c r="J155" s="14" t="str">
        <x:v>Future Carry-Forward Cohort</x:v>
      </x:c>
      <x:c r="K155" s="14"/>
      <x:c r="L155" s="14" t="str">
        <x:v>Not inherited</x:v>
      </x:c>
      <x:c r="M155" s="15" t="n">
        <x:v>96</x:v>
      </x:c>
      <x:c r="N155" s="14" t="str">
        <x:v>Maeve Smyth</x:v>
      </x:c>
      <x:c r="O155" s="14" t="str">
        <x:v>nm8719478</x:v>
      </x:c>
      <x:c r="P155" s="14" t="str">
        <x:v>Alison Masters</x:v>
      </x:c>
      <x:c r="Q155" s="15" t="n">
        <x:v>1</x:v>
      </x:c>
      <x:c r="R155" s="14" t="str">
        <x:v>2025</x:v>
      </x:c>
      <x:c r="S155" s="14" t="n">
        <x:v>2025</x:v>
      </x:c>
      <x:c r="T155" s="14" t="n">
        <x:v>2025</x:v>
      </x:c>
      <x:c r="U155" s="14" t="str">
        <x:v>Explicit source first year retained</x:v>
      </x:c>
      <x:c r="V155" s="14" t="str">
        <x:v>Earliest supplied year is 2025.</x:v>
      </x:c>
      <x:c r="W155" s="14"/>
      <x:c r="X155" s="14" t="str">
        <x:v>Carried forward to 2025</x:v>
      </x:c>
      <x:c r="Y155" s="14"/>
      <x:c r="Z155" s="14" t="str">
        <x:v>Malpractice.docx</x:v>
      </x:c>
      <x:c r="AA15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ITV / ITVX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HYPERLINK("https://en.wikipedia.org/wiki/Malpractice","Open source")</x:f>
        <x:v>HYPERLINK is not implemented. linkLocation=https://en.wikipedia.org/wiki/Malpractice, friendlyName=Open source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10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0.1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tt20918594|nm3792905|johnny</x:v>
      </x:c>
      <x:c r="B156" s="14" t="str">
        <x:v>02</x:v>
      </x:c>
      <x:c r="C156" s="14" t="str">
        <x:v>2023_IMDb_Cast_Lists_Batch_02(2).xlsx</x:v>
      </x:c>
      <x:c r="D156" s="14" t="str">
        <x:v>Malpractice</x:v>
      </x:c>
      <x:c r="E156" s="14" t="n">
        <x:v>104</x:v>
      </x:c>
      <x:c r="F156" s="14" t="str">
        <x:v>Malpractice</x:v>
      </x:c>
      <x:c r="G156" s="14" t="str">
        <x:v>tt20918594</x:v>
      </x:c>
      <x:c r="H156" s="14" t="n">
        <x:v>2023</x:v>
      </x:c>
      <x:c r="I156" s="14" t="n">
        <x:v>2023</x:v>
      </x:c>
      <x:c r="J156" s="14" t="str">
        <x:v>Future Carry-Forward Cohort</x:v>
      </x:c>
      <x:c r="K156" s="14"/>
      <x:c r="L156" s="14" t="str">
        <x:v>Not inherited</x:v>
      </x:c>
      <x:c r="M156" s="15" t="n">
        <x:v>97</x:v>
      </x:c>
      <x:c r="N156" s="14" t="str">
        <x:v>Rob Witcomb</x:v>
      </x:c>
      <x:c r="O156" s="14" t="str">
        <x:v>nm3792905</x:v>
      </x:c>
      <x:c r="P156" s="14" t="str">
        <x:v>Johnny</x:v>
      </x:c>
      <x:c r="Q156" s="15" t="n">
        <x:v>1</x:v>
      </x:c>
      <x:c r="R156" s="14" t="str">
        <x:v>2025</x:v>
      </x:c>
      <x:c r="S156" s="14" t="n">
        <x:v>2025</x:v>
      </x:c>
      <x:c r="T156" s="14" t="n">
        <x:v>2025</x:v>
      </x:c>
      <x:c r="U156" s="14" t="str">
        <x:v>Explicit source first year retained</x:v>
      </x:c>
      <x:c r="V156" s="14" t="str">
        <x:v>Earliest supplied year is 2025.</x:v>
      </x:c>
      <x:c r="W156" s="14"/>
      <x:c r="X156" s="14" t="str">
        <x:v>Carried forward to 2025</x:v>
      </x:c>
      <x:c r="Y156" s="14"/>
      <x:c r="Z156" s="14" t="str">
        <x:v>Malpractice.docx</x:v>
      </x:c>
      <x:c r="AA15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ITV / ITVX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HYPERLINK("https://en.wikipedia.org/wiki/Malpractice","Open source")</x:f>
        <x:v>HYPERLINK is not implemented. linkLocation=https://en.wikipedia.org/wiki/Malpractice, friendlyName=Open source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10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0.1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tt20918594|nm7233931|security guard</x:v>
      </x:c>
      <x:c r="B157" s="14" t="str">
        <x:v>02</x:v>
      </x:c>
      <x:c r="C157" s="14" t="str">
        <x:v>2023_IMDb_Cast_Lists_Batch_02(2).xlsx</x:v>
      </x:c>
      <x:c r="D157" s="14" t="str">
        <x:v>Malpractice</x:v>
      </x:c>
      <x:c r="E157" s="14" t="n">
        <x:v>105</x:v>
      </x:c>
      <x:c r="F157" s="14" t="str">
        <x:v>Malpractice</x:v>
      </x:c>
      <x:c r="G157" s="14" t="str">
        <x:v>tt20918594</x:v>
      </x:c>
      <x:c r="H157" s="14" t="n">
        <x:v>2023</x:v>
      </x:c>
      <x:c r="I157" s="14" t="n">
        <x:v>2023</x:v>
      </x:c>
      <x:c r="J157" s="14" t="str">
        <x:v>Future Carry-Forward Cohort</x:v>
      </x:c>
      <x:c r="K157" s="14"/>
      <x:c r="L157" s="14" t="str">
        <x:v>Not inherited</x:v>
      </x:c>
      <x:c r="M157" s="15" t="n">
        <x:v>98</x:v>
      </x:c>
      <x:c r="N157" s="14" t="str">
        <x:v>Desmond Edwards</x:v>
      </x:c>
      <x:c r="O157" s="14" t="str">
        <x:v>nm7233931</x:v>
      </x:c>
      <x:c r="P157" s="14" t="str">
        <x:v>Security Guard</x:v>
      </x:c>
      <x:c r="Q157" s="15" t="n">
        <x:v>1</x:v>
      </x:c>
      <x:c r="R157" s="14" t="str">
        <x:v>2025</x:v>
      </x:c>
      <x:c r="S157" s="14" t="n">
        <x:v>2025</x:v>
      </x:c>
      <x:c r="T157" s="14" t="n">
        <x:v>2025</x:v>
      </x:c>
      <x:c r="U157" s="14" t="str">
        <x:v>Explicit source first year retained</x:v>
      </x:c>
      <x:c r="V157" s="14" t="str">
        <x:v>Earliest supplied year is 2025.</x:v>
      </x:c>
      <x:c r="W157" s="14"/>
      <x:c r="X157" s="14" t="str">
        <x:v>Carried forward to 2025</x:v>
      </x:c>
      <x:c r="Y157" s="14"/>
      <x:c r="Z157" s="14" t="str">
        <x:v>Malpractice.docx</x:v>
      </x:c>
      <x:c r="AA15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ITV / ITVX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HYPERLINK("https://en.wikipedia.org/wiki/Malpractice","Open source")</x:f>
        <x:v>HYPERLINK is not implemented. linkLocation=https://en.wikipedia.org/wiki/Malpractice, friendlyName=Open source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10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0.1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tt20918594|nm9286165|dean</x:v>
      </x:c>
      <x:c r="B158" s="14" t="str">
        <x:v>02</x:v>
      </x:c>
      <x:c r="C158" s="14" t="str">
        <x:v>2023_IMDb_Cast_Lists_Batch_02(2).xlsx</x:v>
      </x:c>
      <x:c r="D158" s="14" t="str">
        <x:v>Malpractice</x:v>
      </x:c>
      <x:c r="E158" s="14" t="n">
        <x:v>106</x:v>
      </x:c>
      <x:c r="F158" s="14" t="str">
        <x:v>Malpractice</x:v>
      </x:c>
      <x:c r="G158" s="14" t="str">
        <x:v>tt20918594</x:v>
      </x:c>
      <x:c r="H158" s="14" t="n">
        <x:v>2023</x:v>
      </x:c>
      <x:c r="I158" s="14" t="n">
        <x:v>2023</x:v>
      </x:c>
      <x:c r="J158" s="14" t="str">
        <x:v>Future Carry-Forward Cohort</x:v>
      </x:c>
      <x:c r="K158" s="14"/>
      <x:c r="L158" s="14" t="str">
        <x:v>Not inherited</x:v>
      </x:c>
      <x:c r="M158" s="15" t="n">
        <x:v>99</x:v>
      </x:c>
      <x:c r="N158" s="14" t="str">
        <x:v>Cailum Carragher</x:v>
      </x:c>
      <x:c r="O158" s="14" t="str">
        <x:v>nm9286165</x:v>
      </x:c>
      <x:c r="P158" s="14" t="str">
        <x:v>Dean</x:v>
      </x:c>
      <x:c r="Q158" s="15" t="n">
        <x:v>1</x:v>
      </x:c>
      <x:c r="R158" s="14" t="str">
        <x:v>2025</x:v>
      </x:c>
      <x:c r="S158" s="14" t="n">
        <x:v>2025</x:v>
      </x:c>
      <x:c r="T158" s="14" t="n">
        <x:v>2025</x:v>
      </x:c>
      <x:c r="U158" s="14" t="str">
        <x:v>Explicit source first year retained</x:v>
      </x:c>
      <x:c r="V158" s="14" t="str">
        <x:v>Earliest supplied year is 2025.</x:v>
      </x:c>
      <x:c r="W158" s="14"/>
      <x:c r="X158" s="14" t="str">
        <x:v>Carried forward to 2025</x:v>
      </x:c>
      <x:c r="Y158" s="14" t="str">
        <x:v>(as Cáilum Carragher)</x:v>
      </x:c>
      <x:c r="Z158" s="14" t="str">
        <x:v>Malpractice.docx</x:v>
      </x:c>
      <x:c r="AA15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ITV / ITVX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HYPERLINK("https://en.wikipedia.org/wiki/Malpractice","Open source")</x:f>
        <x:v>HYPERLINK is not implemented. linkLocation=https://en.wikipedia.org/wiki/Malpractice, friendlyName=Open source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10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0.1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tt20918594|nm0372293|a&amp;e staff nurse</x:v>
      </x:c>
      <x:c r="B159" s="14" t="str">
        <x:v>02</x:v>
      </x:c>
      <x:c r="C159" s="14" t="str">
        <x:v>2023_IMDb_Cast_Lists_Batch_02(2).xlsx</x:v>
      </x:c>
      <x:c r="D159" s="14" t="str">
        <x:v>Malpractice</x:v>
      </x:c>
      <x:c r="E159" s="14" t="n">
        <x:v>107</x:v>
      </x:c>
      <x:c r="F159" s="14" t="str">
        <x:v>Malpractice</x:v>
      </x:c>
      <x:c r="G159" s="14" t="str">
        <x:v>tt20918594</x:v>
      </x:c>
      <x:c r="H159" s="14" t="n">
        <x:v>2023</x:v>
      </x:c>
      <x:c r="I159" s="14" t="n">
        <x:v>2023</x:v>
      </x:c>
      <x:c r="J159" s="14" t="str">
        <x:v>Future Carry-Forward Cohort</x:v>
      </x:c>
      <x:c r="K159" s="14"/>
      <x:c r="L159" s="14" t="str">
        <x:v>Not inherited</x:v>
      </x:c>
      <x:c r="M159" s="15" t="n">
        <x:v>100</x:v>
      </x:c>
      <x:c r="N159" s="14" t="str">
        <x:v>Anna Healy</x:v>
      </x:c>
      <x:c r="O159" s="14" t="str">
        <x:v>nm0372293</x:v>
      </x:c>
      <x:c r="P159" s="14" t="str">
        <x:v>A&amp;E Staff Nurse</x:v>
      </x:c>
      <x:c r="Q159" s="15" t="n">
        <x:v>1</x:v>
      </x:c>
      <x:c r="R159" s="14" t="str">
        <x:v>2025</x:v>
      </x:c>
      <x:c r="S159" s="14" t="n">
        <x:v>2025</x:v>
      </x:c>
      <x:c r="T159" s="14" t="n">
        <x:v>2025</x:v>
      </x:c>
      <x:c r="U159" s="14" t="str">
        <x:v>Explicit source first year retained</x:v>
      </x:c>
      <x:c r="V159" s="14" t="str">
        <x:v>Earliest supplied year is 2025.</x:v>
      </x:c>
      <x:c r="W159" s="14"/>
      <x:c r="X159" s="14" t="str">
        <x:v>Carried forward to 2025</x:v>
      </x:c>
      <x:c r="Y159" s="14"/>
      <x:c r="Z159" s="14" t="str">
        <x:v>Malpractice.docx</x:v>
      </x:c>
      <x:c r="AA15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ITV / ITVX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HYPERLINK("https://en.wikipedia.org/wiki/Malpractice","Open source")</x:f>
        <x:v>HYPERLINK is not implemented. linkLocation=https://en.wikipedia.org/wiki/Malpractice, friendlyName=Open source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10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1</x:v>
      </x:c>
      <x:c r="BS159" s="16" t="n">
        <x:v>0.1</x:v>
      </x:c>
      <x:c r="BT159" s="14" t="str">
        <x:v>One episode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tt20918594|nm14466087|volunteer</x:v>
      </x:c>
      <x:c r="B160" s="14" t="str">
        <x:v>02</x:v>
      </x:c>
      <x:c r="C160" s="14" t="str">
        <x:v>2023_IMDb_Cast_Lists_Batch_02(2).xlsx</x:v>
      </x:c>
      <x:c r="D160" s="14" t="str">
        <x:v>Malpractice</x:v>
      </x:c>
      <x:c r="E160" s="14" t="n">
        <x:v>108</x:v>
      </x:c>
      <x:c r="F160" s="14" t="str">
        <x:v>Malpractice</x:v>
      </x:c>
      <x:c r="G160" s="14" t="str">
        <x:v>tt20918594</x:v>
      </x:c>
      <x:c r="H160" s="14" t="n">
        <x:v>2023</x:v>
      </x:c>
      <x:c r="I160" s="14" t="n">
        <x:v>2023</x:v>
      </x:c>
      <x:c r="J160" s="14" t="str">
        <x:v>Future Carry-Forward Cohort</x:v>
      </x:c>
      <x:c r="K160" s="14"/>
      <x:c r="L160" s="14" t="str">
        <x:v>Not inherited</x:v>
      </x:c>
      <x:c r="M160" s="15" t="n">
        <x:v>101</x:v>
      </x:c>
      <x:c r="N160" s="14" t="str">
        <x:v>Yvonne Jeffrey</x:v>
      </x:c>
      <x:c r="O160" s="14" t="str">
        <x:v>nm14466087</x:v>
      </x:c>
      <x:c r="P160" s="14" t="str">
        <x:v>Volunteer</x:v>
      </x:c>
      <x:c r="Q160" s="15" t="n">
        <x:v>1</x:v>
      </x:c>
      <x:c r="R160" s="14" t="str">
        <x:v>2025</x:v>
      </x:c>
      <x:c r="S160" s="14" t="n">
        <x:v>2025</x:v>
      </x:c>
      <x:c r="T160" s="14" t="n">
        <x:v>2025</x:v>
      </x:c>
      <x:c r="U160" s="14" t="str">
        <x:v>Explicit source first year retained</x:v>
      </x:c>
      <x:c r="V160" s="14" t="str">
        <x:v>Earliest supplied year is 2025.</x:v>
      </x:c>
      <x:c r="W160" s="14"/>
      <x:c r="X160" s="14" t="str">
        <x:v>Carried forward to 2025</x:v>
      </x:c>
      <x:c r="Y160" s="14"/>
      <x:c r="Z160" s="14" t="str">
        <x:v>Malpractice.docx</x:v>
      </x:c>
      <x:c r="AA16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ITV / ITVX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HYPERLINK("https://en.wikipedia.org/wiki/Malpractice","Open source")</x:f>
        <x:v>HYPERLINK is not implemented. linkLocation=https://en.wikipedia.org/wiki/Malpractice, friendlyName=Open source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10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1</x:v>
      </x:c>
      <x:c r="BS160" s="16" t="n">
        <x:v>0.1</x:v>
      </x:c>
      <x:c r="BT160" s="14" t="str">
        <x:v>One episode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tt20918594|nm2589753|police officer 3</x:v>
      </x:c>
      <x:c r="B161" s="14" t="str">
        <x:v>02</x:v>
      </x:c>
      <x:c r="C161" s="14" t="str">
        <x:v>2023_IMDb_Cast_Lists_Batch_02(2).xlsx</x:v>
      </x:c>
      <x:c r="D161" s="14" t="str">
        <x:v>Malpractice</x:v>
      </x:c>
      <x:c r="E161" s="14" t="n">
        <x:v>109</x:v>
      </x:c>
      <x:c r="F161" s="14" t="str">
        <x:v>Malpractice</x:v>
      </x:c>
      <x:c r="G161" s="14" t="str">
        <x:v>tt20918594</x:v>
      </x:c>
      <x:c r="H161" s="14" t="n">
        <x:v>2023</x:v>
      </x:c>
      <x:c r="I161" s="14" t="n">
        <x:v>2023</x:v>
      </x:c>
      <x:c r="J161" s="14" t="str">
        <x:v>Future Carry-Forward Cohort</x:v>
      </x:c>
      <x:c r="K161" s="14"/>
      <x:c r="L161" s="14" t="str">
        <x:v>Not inherited</x:v>
      </x:c>
      <x:c r="M161" s="15" t="n">
        <x:v>102</x:v>
      </x:c>
      <x:c r="N161" s="14" t="str">
        <x:v>Paul Livingstone</x:v>
      </x:c>
      <x:c r="O161" s="14" t="str">
        <x:v>nm2589753</x:v>
      </x:c>
      <x:c r="P161" s="14" t="str">
        <x:v>Police Officer 3</x:v>
      </x:c>
      <x:c r="Q161" s="15" t="n">
        <x:v>1</x:v>
      </x:c>
      <x:c r="R161" s="14" t="str">
        <x:v>2025</x:v>
      </x:c>
      <x:c r="S161" s="14" t="n">
        <x:v>2025</x:v>
      </x:c>
      <x:c r="T161" s="14" t="n">
        <x:v>2025</x:v>
      </x:c>
      <x:c r="U161" s="14" t="str">
        <x:v>Explicit source first year retained</x:v>
      </x:c>
      <x:c r="V161" s="14" t="str">
        <x:v>Earliest supplied year is 2025.</x:v>
      </x:c>
      <x:c r="W161" s="14"/>
      <x:c r="X161" s="14" t="str">
        <x:v>Carried forward to 2025</x:v>
      </x:c>
      <x:c r="Y161" s="14"/>
      <x:c r="Z161" s="14" t="str">
        <x:v>Malpractice.docx</x:v>
      </x:c>
      <x:c r="AA16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ITV / ITVX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HYPERLINK("https://en.wikipedia.org/wiki/Malpractice","Open source")</x:f>
        <x:v>HYPERLINK is not implemented. linkLocation=https://en.wikipedia.org/wiki/Malpractice, friendlyName=Open source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10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1</x:v>
      </x:c>
      <x:c r="BS161" s="16" t="n">
        <x:v>0.1</x:v>
      </x:c>
      <x:c r="BT161" s="14" t="str">
        <x:v>One episode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tt20918594|nm8773879|north yorkshire dr.</x:v>
      </x:c>
      <x:c r="B162" s="14" t="str">
        <x:v>02</x:v>
      </x:c>
      <x:c r="C162" s="14" t="str">
        <x:v>2023_IMDb_Cast_Lists_Batch_02(2).xlsx</x:v>
      </x:c>
      <x:c r="D162" s="14" t="str">
        <x:v>Malpractice</x:v>
      </x:c>
      <x:c r="E162" s="14" t="n">
        <x:v>110</x:v>
      </x:c>
      <x:c r="F162" s="14" t="str">
        <x:v>Malpractice</x:v>
      </x:c>
      <x:c r="G162" s="14" t="str">
        <x:v>tt20918594</x:v>
      </x:c>
      <x:c r="H162" s="14" t="n">
        <x:v>2023</x:v>
      </x:c>
      <x:c r="I162" s="14" t="n">
        <x:v>2023</x:v>
      </x:c>
      <x:c r="J162" s="14" t="str">
        <x:v>Future Carry-Forward Cohort</x:v>
      </x:c>
      <x:c r="K162" s="14"/>
      <x:c r="L162" s="14" t="str">
        <x:v>Not inherited</x:v>
      </x:c>
      <x:c r="M162" s="15" t="n">
        <x:v>103</x:v>
      </x:c>
      <x:c r="N162" s="14" t="str">
        <x:v>Rosie Barry</x:v>
      </x:c>
      <x:c r="O162" s="14" t="str">
        <x:v>nm8773879</x:v>
      </x:c>
      <x:c r="P162" s="14" t="str">
        <x:v>North Yorkshire Dr.</x:v>
      </x:c>
      <x:c r="Q162" s="15" t="n">
        <x:v>1</x:v>
      </x:c>
      <x:c r="R162" s="14" t="str">
        <x:v>2025</x:v>
      </x:c>
      <x:c r="S162" s="14" t="n">
        <x:v>2025</x:v>
      </x:c>
      <x:c r="T162" s="14" t="n">
        <x:v>2025</x:v>
      </x:c>
      <x:c r="U162" s="14" t="str">
        <x:v>Explicit source first year retained</x:v>
      </x:c>
      <x:c r="V162" s="14" t="str">
        <x:v>Earliest supplied year is 2025.</x:v>
      </x:c>
      <x:c r="W162" s="14"/>
      <x:c r="X162" s="14" t="str">
        <x:v>Carried forward to 2025</x:v>
      </x:c>
      <x:c r="Y162" s="14"/>
      <x:c r="Z162" s="14" t="str">
        <x:v>Malpractice.docx</x:v>
      </x:c>
      <x:c r="AA16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ITV / ITVX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HYPERLINK("https://en.wikipedia.org/wiki/Malpractice","Open source")</x:f>
        <x:v>HYPERLINK is not implemented. linkLocation=https://en.wikipedia.org/wiki/Malpractice, friendlyName=Open source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10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1</x:v>
      </x:c>
      <x:c r="BS162" s="16" t="n">
        <x:v>0.1</x:v>
      </x:c>
      <x:c r="BT162" s="14" t="str">
        <x:v>One episode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tt20918594|nm3666991|midwife (ruth)</x:v>
      </x:c>
      <x:c r="B163" s="14" t="str">
        <x:v>02</x:v>
      </x:c>
      <x:c r="C163" s="14" t="str">
        <x:v>2023_IMDb_Cast_Lists_Batch_02(2).xlsx</x:v>
      </x:c>
      <x:c r="D163" s="14" t="str">
        <x:v>Malpractice</x:v>
      </x:c>
      <x:c r="E163" s="14" t="n">
        <x:v>111</x:v>
      </x:c>
      <x:c r="F163" s="14" t="str">
        <x:v>Malpractice</x:v>
      </x:c>
      <x:c r="G163" s="14" t="str">
        <x:v>tt20918594</x:v>
      </x:c>
      <x:c r="H163" s="14" t="n">
        <x:v>2023</x:v>
      </x:c>
      <x:c r="I163" s="14" t="n">
        <x:v>2023</x:v>
      </x:c>
      <x:c r="J163" s="14" t="str">
        <x:v>Future Carry-Forward Cohort</x:v>
      </x:c>
      <x:c r="K163" s="14"/>
      <x:c r="L163" s="14" t="str">
        <x:v>Not inherited</x:v>
      </x:c>
      <x:c r="M163" s="15" t="n">
        <x:v>104</x:v>
      </x:c>
      <x:c r="N163" s="14" t="str">
        <x:v>Julie Kinsella</x:v>
      </x:c>
      <x:c r="O163" s="14" t="str">
        <x:v>nm3666991</x:v>
      </x:c>
      <x:c r="P163" s="14" t="str">
        <x:v>Midwife (Ruth)</x:v>
      </x:c>
      <x:c r="Q163" s="15" t="n">
        <x:v>1</x:v>
      </x:c>
      <x:c r="R163" s="14" t="str">
        <x:v>2025</x:v>
      </x:c>
      <x:c r="S163" s="14" t="n">
        <x:v>2025</x:v>
      </x:c>
      <x:c r="T163" s="14" t="n">
        <x:v>2025</x:v>
      </x:c>
      <x:c r="U163" s="14" t="str">
        <x:v>Explicit source first year retained</x:v>
      </x:c>
      <x:c r="V163" s="14" t="str">
        <x:v>Earliest supplied year is 2025.</x:v>
      </x:c>
      <x:c r="W163" s="14"/>
      <x:c r="X163" s="14" t="str">
        <x:v>Carried forward to 2025</x:v>
      </x:c>
      <x:c r="Y163" s="14"/>
      <x:c r="Z163" s="14" t="str">
        <x:v>Malpractice.docx</x:v>
      </x:c>
      <x:c r="AA16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ITV / ITVX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HYPERLINK("https://en.wikipedia.org/wiki/Malpractice","Open source")</x:f>
        <x:v>HYPERLINK is not implemented. linkLocation=https://en.wikipedia.org/wiki/Malpractice, friendlyName=Open source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10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1</x:v>
      </x:c>
      <x:c r="BS163" s="16" t="n">
        <x:v>0.1</x:v>
      </x:c>
      <x:c r="BT163" s="14" t="str">
        <x:v>One episode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tt20918594|nm17936081|imogen newman</x:v>
      </x:c>
      <x:c r="B164" s="14" t="str">
        <x:v>02</x:v>
      </x:c>
      <x:c r="C164" s="14" t="str">
        <x:v>2023_IMDb_Cast_Lists_Batch_02(2).xlsx</x:v>
      </x:c>
      <x:c r="D164" s="14" t="str">
        <x:v>Malpractice</x:v>
      </x:c>
      <x:c r="E164" s="14" t="n">
        <x:v>112</x:v>
      </x:c>
      <x:c r="F164" s="14" t="str">
        <x:v>Malpractice</x:v>
      </x:c>
      <x:c r="G164" s="14" t="str">
        <x:v>tt20918594</x:v>
      </x:c>
      <x:c r="H164" s="14" t="n">
        <x:v>2023</x:v>
      </x:c>
      <x:c r="I164" s="14" t="n">
        <x:v>2023</x:v>
      </x:c>
      <x:c r="J164" s="14" t="str">
        <x:v>Future Carry-Forward Cohort</x:v>
      </x:c>
      <x:c r="K164" s="14"/>
      <x:c r="L164" s="14" t="str">
        <x:v>Not inherited</x:v>
      </x:c>
      <x:c r="M164" s="15" t="n">
        <x:v>105</x:v>
      </x:c>
      <x:c r="N164" s="14" t="str">
        <x:v>Freya Shaw</x:v>
      </x:c>
      <x:c r="O164" s="14" t="str">
        <x:v>nm17936081</x:v>
      </x:c>
      <x:c r="P164" s="14" t="str">
        <x:v>Imogen Newman</x:v>
      </x:c>
      <x:c r="Q164" s="15" t="n">
        <x:v>1</x:v>
      </x:c>
      <x:c r="R164" s="14" t="str">
        <x:v>2025</x:v>
      </x:c>
      <x:c r="S164" s="14" t="n">
        <x:v>2025</x:v>
      </x:c>
      <x:c r="T164" s="14" t="n">
        <x:v>2025</x:v>
      </x:c>
      <x:c r="U164" s="14" t="str">
        <x:v>Explicit source first year retained</x:v>
      </x:c>
      <x:c r="V164" s="14" t="str">
        <x:v>Earliest supplied year is 2025.</x:v>
      </x:c>
      <x:c r="W164" s="14"/>
      <x:c r="X164" s="14" t="str">
        <x:v>Carried forward to 2025</x:v>
      </x:c>
      <x:c r="Y164" s="14"/>
      <x:c r="Z164" s="14" t="str">
        <x:v>Malpractice.docx</x:v>
      </x:c>
      <x:c r="AA16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ITV / ITVX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HYPERLINK("https://en.wikipedia.org/wiki/Malpractice","Open source")</x:f>
        <x:v>HYPERLINK is not implemented. linkLocation=https://en.wikipedia.org/wiki/Malpractice, friendlyName=Open source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10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1</x:v>
      </x:c>
      <x:c r="BS164" s="16" t="n">
        <x:v>0.1</x:v>
      </x:c>
      <x:c r="BT164" s="14" t="str">
        <x:v>One episode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tt20918594|nm1487512|lorraine hegarty</x:v>
      </x:c>
      <x:c r="B165" s="14" t="str">
        <x:v>02</x:v>
      </x:c>
      <x:c r="C165" s="14" t="str">
        <x:v>2023_IMDb_Cast_Lists_Batch_02(2).xlsx</x:v>
      </x:c>
      <x:c r="D165" s="14" t="str">
        <x:v>Malpractice</x:v>
      </x:c>
      <x:c r="E165" s="14" t="n">
        <x:v>113</x:v>
      </x:c>
      <x:c r="F165" s="14" t="str">
        <x:v>Malpractice</x:v>
      </x:c>
      <x:c r="G165" s="14" t="str">
        <x:v>tt20918594</x:v>
      </x:c>
      <x:c r="H165" s="14" t="n">
        <x:v>2023</x:v>
      </x:c>
      <x:c r="I165" s="14" t="n">
        <x:v>2023</x:v>
      </x:c>
      <x:c r="J165" s="14" t="str">
        <x:v>Future Carry-Forward Cohort</x:v>
      </x:c>
      <x:c r="K165" s="14"/>
      <x:c r="L165" s="14" t="str">
        <x:v>Not inherited</x:v>
      </x:c>
      <x:c r="M165" s="15" t="n">
        <x:v>106</x:v>
      </x:c>
      <x:c r="N165" s="14" t="str">
        <x:v>Judith McSpadden</x:v>
      </x:c>
      <x:c r="O165" s="14" t="str">
        <x:v>nm1487512</x:v>
      </x:c>
      <x:c r="P165" s="14" t="str">
        <x:v>Lorraine Hegarty</x:v>
      </x:c>
      <x:c r="Q165" s="15" t="n">
        <x:v>1</x:v>
      </x:c>
      <x:c r="R165" s="14" t="str">
        <x:v>2025</x:v>
      </x:c>
      <x:c r="S165" s="14" t="n">
        <x:v>2025</x:v>
      </x:c>
      <x:c r="T165" s="14" t="n">
        <x:v>2025</x:v>
      </x:c>
      <x:c r="U165" s="14" t="str">
        <x:v>Explicit source first year retained</x:v>
      </x:c>
      <x:c r="V165" s="14" t="str">
        <x:v>Earliest supplied year is 2025.</x:v>
      </x:c>
      <x:c r="W165" s="14"/>
      <x:c r="X165" s="14" t="str">
        <x:v>Carried forward to 2025</x:v>
      </x:c>
      <x:c r="Y165" s="14"/>
      <x:c r="Z165" s="14" t="str">
        <x:v>Malpractice.docx</x:v>
      </x:c>
      <x:c r="AA16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ITV / ITVX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HYPERLINK("https://en.wikipedia.org/wiki/Malpractice","Open source")</x:f>
        <x:v>HYPERLINK is not implemented. linkLocation=https://en.wikipedia.org/wiki/Malpractice, friendlyName=Open source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10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1</x:v>
      </x:c>
      <x:c r="BS165" s="16" t="n">
        <x:v>0.1</x:v>
      </x:c>
      <x:c r="BT165" s="14" t="str">
        <x:v>One episode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tt20918594|nm4377292|paramedic</x:v>
      </x:c>
      <x:c r="B166" s="14" t="str">
        <x:v>02</x:v>
      </x:c>
      <x:c r="C166" s="14" t="str">
        <x:v>2023_IMDb_Cast_Lists_Batch_02(2).xlsx</x:v>
      </x:c>
      <x:c r="D166" s="14" t="str">
        <x:v>Malpractice</x:v>
      </x:c>
      <x:c r="E166" s="14" t="n">
        <x:v>114</x:v>
      </x:c>
      <x:c r="F166" s="14" t="str">
        <x:v>Malpractice</x:v>
      </x:c>
      <x:c r="G166" s="14" t="str">
        <x:v>tt20918594</x:v>
      </x:c>
      <x:c r="H166" s="14" t="n">
        <x:v>2023</x:v>
      </x:c>
      <x:c r="I166" s="14" t="n">
        <x:v>2023</x:v>
      </x:c>
      <x:c r="J166" s="14" t="str">
        <x:v>Future Carry-Forward Cohort</x:v>
      </x:c>
      <x:c r="K166" s="14"/>
      <x:c r="L166" s="14" t="str">
        <x:v>Not inherited</x:v>
      </x:c>
      <x:c r="M166" s="15" t="n">
        <x:v>107</x:v>
      </x:c>
      <x:c r="N166" s="14" t="str">
        <x:v>Cat Barter</x:v>
      </x:c>
      <x:c r="O166" s="14" t="str">
        <x:v>nm4377292</x:v>
      </x:c>
      <x:c r="P166" s="14" t="str">
        <x:v>Paramedic</x:v>
      </x:c>
      <x:c r="Q166" s="15" t="n">
        <x:v>1</x:v>
      </x:c>
      <x:c r="R166" s="14" t="str">
        <x:v>2025</x:v>
      </x:c>
      <x:c r="S166" s="14" t="n">
        <x:v>2025</x:v>
      </x:c>
      <x:c r="T166" s="14" t="n">
        <x:v>2025</x:v>
      </x:c>
      <x:c r="U166" s="14" t="str">
        <x:v>Explicit source first year retained</x:v>
      </x:c>
      <x:c r="V166" s="14" t="str">
        <x:v>Earliest supplied year is 2025.</x:v>
      </x:c>
      <x:c r="W166" s="14"/>
      <x:c r="X166" s="14" t="str">
        <x:v>Carried forward to 2025</x:v>
      </x:c>
      <x:c r="Y166" s="14"/>
      <x:c r="Z166" s="14" t="str">
        <x:v>Malpractice.docx</x:v>
      </x:c>
      <x:c r="AA16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ITV / ITVX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HYPERLINK("https://en.wikipedia.org/wiki/Malpractice","Open source")</x:f>
        <x:v>HYPERLINK is not implemented. linkLocation=https://en.wikipedia.org/wiki/Malpractice, friendlyName=Open source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10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1</x:v>
      </x:c>
      <x:c r="BS166" s="16" t="n">
        <x:v>0.1</x:v>
      </x:c>
      <x:c r="BT166" s="14" t="str">
        <x:v>One episode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tt20918594|nm17666868|anaesthetist</x:v>
      </x:c>
      <x:c r="B167" s="14" t="str">
        <x:v>02</x:v>
      </x:c>
      <x:c r="C167" s="14" t="str">
        <x:v>2023_IMDb_Cast_Lists_Batch_02(2).xlsx</x:v>
      </x:c>
      <x:c r="D167" s="14" t="str">
        <x:v>Malpractice</x:v>
      </x:c>
      <x:c r="E167" s="14" t="n">
        <x:v>115</x:v>
      </x:c>
      <x:c r="F167" s="14" t="str">
        <x:v>Malpractice</x:v>
      </x:c>
      <x:c r="G167" s="14" t="str">
        <x:v>tt20918594</x:v>
      </x:c>
      <x:c r="H167" s="14" t="n">
        <x:v>2023</x:v>
      </x:c>
      <x:c r="I167" s="14" t="n">
        <x:v>2023</x:v>
      </x:c>
      <x:c r="J167" s="14" t="str">
        <x:v>Future Carry-Forward Cohort</x:v>
      </x:c>
      <x:c r="K167" s="14"/>
      <x:c r="L167" s="14" t="str">
        <x:v>Not inherited</x:v>
      </x:c>
      <x:c r="M167" s="15" t="n">
        <x:v>108</x:v>
      </x:c>
      <x:c r="N167" s="14" t="str">
        <x:v>Alice O'Neill</x:v>
      </x:c>
      <x:c r="O167" s="14" t="str">
        <x:v>nm17666868</x:v>
      </x:c>
      <x:c r="P167" s="14" t="str">
        <x:v>Anaesthetist</x:v>
      </x:c>
      <x:c r="Q167" s="15" t="n">
        <x:v>1</x:v>
      </x:c>
      <x:c r="R167" s="14" t="str">
        <x:v>2025</x:v>
      </x:c>
      <x:c r="S167" s="14" t="n">
        <x:v>2025</x:v>
      </x:c>
      <x:c r="T167" s="14" t="n">
        <x:v>2025</x:v>
      </x:c>
      <x:c r="U167" s="14" t="str">
        <x:v>Explicit source first year retained</x:v>
      </x:c>
      <x:c r="V167" s="14" t="str">
        <x:v>Earliest supplied year is 2025.</x:v>
      </x:c>
      <x:c r="W167" s="14"/>
      <x:c r="X167" s="14" t="str">
        <x:v>Carried forward to 2025</x:v>
      </x:c>
      <x:c r="Y167" s="14" t="str">
        <x:v>(as Dr Alice O'Neill)</x:v>
      </x:c>
      <x:c r="Z167" s="14" t="str">
        <x:v>Malpractice.docx</x:v>
      </x:c>
      <x:c r="AA16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ITV / ITVX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HYPERLINK("https://en.wikipedia.org/wiki/Malpractice","Open source")</x:f>
        <x:v>HYPERLINK is not implemented. linkLocation=https://en.wikipedia.org/wiki/Malpractice, friendlyName=Open source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10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0.1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tt26115810|nm2131821|theresa</x:v>
      </x:c>
      <x:c r="B168" s="14" t="str">
        <x:v>04</x:v>
      </x:c>
      <x:c r="C168" s="14" t="str">
        <x:v>2023_IMDb_Cast_Lists_Batch_04(2).xlsx</x:v>
      </x:c>
      <x:c r="D168" s="14" t="str">
        <x:v>The Change</x:v>
      </x:c>
      <x:c r="E168" s="14" t="n">
        <x:v>18</x:v>
      </x:c>
      <x:c r="F168" s="14" t="str">
        <x:v>The Change</x:v>
      </x:c>
      <x:c r="G168" s="14" t="str">
        <x:v>tt26115810</x:v>
      </x:c>
      <x:c r="H168" s="14" t="n">
        <x:v>2023</x:v>
      </x:c>
      <x:c r="I168" s="14" t="n">
        <x:v>2023</x:v>
      </x:c>
      <x:c r="J168" s="14" t="str">
        <x:v>Future Carry-Forward Cohort</x:v>
      </x:c>
      <x:c r="K168" s="14"/>
      <x:c r="L168" s="14" t="str">
        <x:v>Not inherited</x:v>
      </x:c>
      <x:c r="M168" s="15" t="n">
        <x:v>11</x:v>
      </x:c>
      <x:c r="N168" s="14" t="str">
        <x:v>Laura Checkley</x:v>
      </x:c>
      <x:c r="O168" s="14" t="str">
        <x:v>nm2131821</x:v>
      </x:c>
      <x:c r="P168" s="14" t="str">
        <x:v>Theresa</x:v>
      </x:c>
      <x:c r="Q168" s="15" t="n">
        <x:v>6</x:v>
      </x:c>
      <x:c r="R168" s="14" t="str">
        <x:v>2025</x:v>
      </x:c>
      <x:c r="S168" s="14" t="n">
        <x:v>2025</x:v>
      </x:c>
      <x:c r="T168" s="14" t="n">
        <x:v>2025</x:v>
      </x:c>
      <x:c r="U168" s="14" t="str">
        <x:v>Explicit source first year retained</x:v>
      </x:c>
      <x:c r="V168" s="14" t="str">
        <x:v>Earliest supplied year is 2025.</x:v>
      </x:c>
      <x:c r="W168" s="14"/>
      <x:c r="X168" s="14" t="str">
        <x:v>Carried forward to 2025</x:v>
      </x:c>
      <x:c r="Y168" s="14"/>
      <x:c r="Z168" s="14" t="str">
        <x:v>The Change.docx</x:v>
      </x:c>
      <x:c r="AA168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Channel 4 / E4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HYPERLINK("https://en.wikipedia.org/wiki/Change","Open source")</x:f>
        <x:v>HYPERLINK is not implemented. linkLocation=https://en.wikipedia.org/wiki/Change, friendlyName=Open source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12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6</x:v>
      </x:c>
      <x:c r="BS168" s="16" t="n">
        <x:v>0.5</x:v>
      </x:c>
      <x:c r="BT168" s="14" t="str">
        <x:v>Minority of episodes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tt26115810|nm13640091|forest fm cafe wheelchair user</x:v>
      </x:c>
      <x:c r="B169" s="14" t="str">
        <x:v>04</x:v>
      </x:c>
      <x:c r="C169" s="14" t="str">
        <x:v>2023_IMDb_Cast_Lists_Batch_04(2).xlsx</x:v>
      </x:c>
      <x:c r="D169" s="14" t="str">
        <x:v>The Change</x:v>
      </x:c>
      <x:c r="E169" s="14" t="n">
        <x:v>19</x:v>
      </x:c>
      <x:c r="F169" s="14" t="str">
        <x:v>The Change</x:v>
      </x:c>
      <x:c r="G169" s="14" t="str">
        <x:v>tt26115810</x:v>
      </x:c>
      <x:c r="H169" s="14" t="n">
        <x:v>2023</x:v>
      </x:c>
      <x:c r="I169" s="14" t="n">
        <x:v>2023</x:v>
      </x:c>
      <x:c r="J169" s="14" t="str">
        <x:v>Future Carry-Forward Cohort</x:v>
      </x:c>
      <x:c r="K169" s="14"/>
      <x:c r="L169" s="14" t="str">
        <x:v>Not inherited</x:v>
      </x:c>
      <x:c r="M169" s="15" t="n">
        <x:v>12</x:v>
      </x:c>
      <x:c r="N169" s="14" t="str">
        <x:v>Malcolm J K Baker</x:v>
      </x:c>
      <x:c r="O169" s="14" t="str">
        <x:v>nm13640091</x:v>
      </x:c>
      <x:c r="P169" s="14" t="str">
        <x:v>Forest FM cafe wheelchair user</x:v>
      </x:c>
      <x:c r="Q169" s="15" t="n">
        <x:v>6</x:v>
      </x:c>
      <x:c r="R169" s="14" t="str">
        <x:v>2025</x:v>
      </x:c>
      <x:c r="S169" s="14" t="n">
        <x:v>2025</x:v>
      </x:c>
      <x:c r="T169" s="14" t="n">
        <x:v>2025</x:v>
      </x:c>
      <x:c r="U169" s="14" t="str">
        <x:v>Explicit source first year retained</x:v>
      </x:c>
      <x:c r="V169" s="14" t="str">
        <x:v>Earliest supplied year is 2025.</x:v>
      </x:c>
      <x:c r="W169" s="14"/>
      <x:c r="X169" s="14" t="str">
        <x:v>Carried forward to 2025</x:v>
      </x:c>
      <x:c r="Y169" s="14"/>
      <x:c r="Z169" s="14" t="str">
        <x:v>The Change.docx</x:v>
      </x:c>
      <x:c r="AA169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Channel 4 / E4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HYPERLINK("https://en.wikipedia.org/wiki/Change","Open source")</x:f>
        <x:v>HYPERLINK is not implemented. linkLocation=https://en.wikipedia.org/wiki/Change, friendlyName=Open source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12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6</x:v>
      </x:c>
      <x:c r="BS169" s="16" t="n">
        <x:v>0.5</x:v>
      </x:c>
      <x:c r="BT169" s="14" t="str">
        <x:v>Minority of episodes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tt26115810|nm17164561|young siobhain</x:v>
      </x:c>
      <x:c r="B170" s="14" t="str">
        <x:v>04</x:v>
      </x:c>
      <x:c r="C170" s="14" t="str">
        <x:v>2023_IMDb_Cast_Lists_Batch_04(2).xlsx</x:v>
      </x:c>
      <x:c r="D170" s="14" t="str">
        <x:v>The Change</x:v>
      </x:c>
      <x:c r="E170" s="14" t="n">
        <x:v>24</x:v>
      </x:c>
      <x:c r="F170" s="14" t="str">
        <x:v>The Change</x:v>
      </x:c>
      <x:c r="G170" s="14" t="str">
        <x:v>tt26115810</x:v>
      </x:c>
      <x:c r="H170" s="14" t="n">
        <x:v>2023</x:v>
      </x:c>
      <x:c r="I170" s="14" t="n">
        <x:v>2023</x:v>
      </x:c>
      <x:c r="J170" s="14" t="str">
        <x:v>Future Carry-Forward Cohort</x:v>
      </x:c>
      <x:c r="K170" s="14"/>
      <x:c r="L170" s="14" t="str">
        <x:v>Not inherited</x:v>
      </x:c>
      <x:c r="M170" s="15" t="n">
        <x:v>17</x:v>
      </x:c>
      <x:c r="N170" s="14" t="str">
        <x:v>Orla Neill</x:v>
      </x:c>
      <x:c r="O170" s="14" t="str">
        <x:v>nm17164561</x:v>
      </x:c>
      <x:c r="P170" s="14" t="str">
        <x:v>Young Siobhain</x:v>
      </x:c>
      <x:c r="Q170" s="15" t="n">
        <x:v>3</x:v>
      </x:c>
      <x:c r="R170" s="14" t="str">
        <x:v>2025</x:v>
      </x:c>
      <x:c r="S170" s="14" t="n">
        <x:v>2025</x:v>
      </x:c>
      <x:c r="T170" s="14" t="n">
        <x:v>2025</x:v>
      </x:c>
      <x:c r="U170" s="14" t="str">
        <x:v>Explicit source first year retained</x:v>
      </x:c>
      <x:c r="V170" s="14" t="str">
        <x:v>Earliest supplied year is 2025.</x:v>
      </x:c>
      <x:c r="W170" s="14"/>
      <x:c r="X170" s="14" t="str">
        <x:v>Carried forward to 2025</x:v>
      </x:c>
      <x:c r="Y170" s="14" t="str">
        <x:v>(as Orla Neil)</x:v>
      </x:c>
      <x:c r="Z170" s="14" t="str">
        <x:v>The Change.docx</x:v>
      </x:c>
      <x:c r="AA170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Channel 4 / E4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HYPERLINK("https://en.wikipedia.org/wiki/Change","Open source")</x:f>
        <x:v>HYPERLINK is not implemented. linkLocation=https://en.wikipedia.org/wiki/Change, friendlyName=Open source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12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3</x:v>
      </x:c>
      <x:c r="BS170" s="16" t="n">
        <x:v>0.25</x:v>
      </x:c>
      <x:c r="BT170" s="14" t="str">
        <x:v>Minority of episodes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tt26115810|nm14430582|young linda</x:v>
      </x:c>
      <x:c r="B171" s="14" t="str">
        <x:v>04</x:v>
      </x:c>
      <x:c r="C171" s="14" t="str">
        <x:v>2023_IMDb_Cast_Lists_Batch_04(2).xlsx</x:v>
      </x:c>
      <x:c r="D171" s="14" t="str">
        <x:v>The Change</x:v>
      </x:c>
      <x:c r="E171" s="14" t="n">
        <x:v>25</x:v>
      </x:c>
      <x:c r="F171" s="14" t="str">
        <x:v>The Change</x:v>
      </x:c>
      <x:c r="G171" s="14" t="str">
        <x:v>tt26115810</x:v>
      </x:c>
      <x:c r="H171" s="14" t="n">
        <x:v>2023</x:v>
      </x:c>
      <x:c r="I171" s="14" t="n">
        <x:v>2023</x:v>
      </x:c>
      <x:c r="J171" s="14" t="str">
        <x:v>Future Carry-Forward Cohort</x:v>
      </x:c>
      <x:c r="K171" s="14"/>
      <x:c r="L171" s="14" t="str">
        <x:v>Not inherited</x:v>
      </x:c>
      <x:c r="M171" s="15" t="n">
        <x:v>18</x:v>
      </x:c>
      <x:c r="N171" s="14" t="str">
        <x:v>Bonnie Stott</x:v>
      </x:c>
      <x:c r="O171" s="14" t="str">
        <x:v>nm14430582</x:v>
      </x:c>
      <x:c r="P171" s="14" t="str">
        <x:v>Young Linda</x:v>
      </x:c>
      <x:c r="Q171" s="15" t="n">
        <x:v>3</x:v>
      </x:c>
      <x:c r="R171" s="14" t="str">
        <x:v>2025</x:v>
      </x:c>
      <x:c r="S171" s="14" t="n">
        <x:v>2025</x:v>
      </x:c>
      <x:c r="T171" s="14" t="n">
        <x:v>2025</x:v>
      </x:c>
      <x:c r="U171" s="14" t="str">
        <x:v>Explicit source first year retained</x:v>
      </x:c>
      <x:c r="V171" s="14" t="str">
        <x:v>Earliest supplied year is 2025.</x:v>
      </x:c>
      <x:c r="W171" s="14"/>
      <x:c r="X171" s="14" t="str">
        <x:v>Carried forward to 2025</x:v>
      </x:c>
      <x:c r="Y171" s="14"/>
      <x:c r="Z171" s="14" t="str">
        <x:v>The Change.docx</x:v>
      </x:c>
      <x:c r="AA171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Channel 4 / E4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HYPERLINK("https://en.wikipedia.org/wiki/Change","Open source")</x:f>
        <x:v>HYPERLINK is not implemented. linkLocation=https://en.wikipedia.org/wiki/Change, friendlyName=Open source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12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3</x:v>
      </x:c>
      <x:c r="BS171" s="16" t="n">
        <x:v>0.25</x:v>
      </x:c>
      <x:c r="BT171" s="14" t="str">
        <x:v>Minority of episodes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tt26115810|nm6410424|ian</x:v>
      </x:c>
      <x:c r="B172" s="14" t="str">
        <x:v>04</x:v>
      </x:c>
      <x:c r="C172" s="14" t="str">
        <x:v>2023_IMDb_Cast_Lists_Batch_04(2).xlsx</x:v>
      </x:c>
      <x:c r="D172" s="14" t="str">
        <x:v>The Change</x:v>
      </x:c>
      <x:c r="E172" s="14" t="n">
        <x:v>27</x:v>
      </x:c>
      <x:c r="F172" s="14" t="str">
        <x:v>The Change</x:v>
      </x:c>
      <x:c r="G172" s="14" t="str">
        <x:v>tt26115810</x:v>
      </x:c>
      <x:c r="H172" s="14" t="n">
        <x:v>2023</x:v>
      </x:c>
      <x:c r="I172" s="14" t="n">
        <x:v>2023</x:v>
      </x:c>
      <x:c r="J172" s="14" t="str">
        <x:v>Future Carry-Forward Cohort</x:v>
      </x:c>
      <x:c r="K172" s="14"/>
      <x:c r="L172" s="14" t="str">
        <x:v>Not inherited</x:v>
      </x:c>
      <x:c r="M172" s="15" t="n">
        <x:v>20</x:v>
      </x:c>
      <x:c r="N172" s="14" t="str">
        <x:v>Danny Flack</x:v>
      </x:c>
      <x:c r="O172" s="14" t="str">
        <x:v>nm6410424</x:v>
      </x:c>
      <x:c r="P172" s="14" t="str">
        <x:v>Ian</x:v>
      </x:c>
      <x:c r="Q172" s="15" t="n">
        <x:v>2</x:v>
      </x:c>
      <x:c r="R172" s="14" t="str">
        <x:v>2025</x:v>
      </x:c>
      <x:c r="S172" s="14" t="n">
        <x:v>2025</x:v>
      </x:c>
      <x:c r="T172" s="14" t="n">
        <x:v>2025</x:v>
      </x:c>
      <x:c r="U172" s="14" t="str">
        <x:v>Explicit source first year retained</x:v>
      </x:c>
      <x:c r="V172" s="14" t="str">
        <x:v>Earliest supplied year is 2025.</x:v>
      </x:c>
      <x:c r="W172" s="14"/>
      <x:c r="X172" s="14" t="str">
        <x:v>Carried forward to 2025</x:v>
      </x:c>
      <x:c r="Y172" s="14"/>
      <x:c r="Z172" s="14" t="str">
        <x:v>The Change.docx</x:v>
      </x:c>
      <x:c r="AA172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Channel 4 / E4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HYPERLINK("https://en.wikipedia.org/wiki/Change","Open source")</x:f>
        <x:v>HYPERLINK is not implemented. linkLocation=https://en.wikipedia.org/wiki/Change, friendlyName=Open source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12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2</x:v>
      </x:c>
      <x:c r="BS172" s="16" t="n">
        <x:v>0.16666666666666666</x:v>
      </x:c>
      <x:c r="BT172" s="14" t="str">
        <x:v>Minority of episodes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tt26115810|nm15484293|verderer's man</x:v>
      </x:c>
      <x:c r="B173" s="14" t="str">
        <x:v>04</x:v>
      </x:c>
      <x:c r="C173" s="14" t="str">
        <x:v>2023_IMDb_Cast_Lists_Batch_04(2).xlsx</x:v>
      </x:c>
      <x:c r="D173" s="14" t="str">
        <x:v>The Change</x:v>
      </x:c>
      <x:c r="E173" s="14" t="n">
        <x:v>33</x:v>
      </x:c>
      <x:c r="F173" s="14" t="str">
        <x:v>The Change</x:v>
      </x:c>
      <x:c r="G173" s="14" t="str">
        <x:v>tt26115810</x:v>
      </x:c>
      <x:c r="H173" s="14" t="n">
        <x:v>2023</x:v>
      </x:c>
      <x:c r="I173" s="14" t="n">
        <x:v>2023</x:v>
      </x:c>
      <x:c r="J173" s="14" t="str">
        <x:v>Future Carry-Forward Cohort</x:v>
      </x:c>
      <x:c r="K173" s="14"/>
      <x:c r="L173" s="14" t="str">
        <x:v>Not inherited</x:v>
      </x:c>
      <x:c r="M173" s="15" t="n">
        <x:v>26</x:v>
      </x:c>
      <x:c r="N173" s="14" t="str">
        <x:v>Arnold Baksi</x:v>
      </x:c>
      <x:c r="O173" s="14" t="str">
        <x:v>nm15484293</x:v>
      </x:c>
      <x:c r="P173" s="14" t="str">
        <x:v>Verderer's man</x:v>
      </x:c>
      <x:c r="Q173" s="15" t="n">
        <x:v>2</x:v>
      </x:c>
      <x:c r="R173" s="14" t="str">
        <x:v>2025</x:v>
      </x:c>
      <x:c r="S173" s="14" t="n">
        <x:v>2025</x:v>
      </x:c>
      <x:c r="T173" s="14" t="n">
        <x:v>2025</x:v>
      </x:c>
      <x:c r="U173" s="14" t="str">
        <x:v>Explicit source first year retained</x:v>
      </x:c>
      <x:c r="V173" s="14" t="str">
        <x:v>Earliest supplied year is 2025.</x:v>
      </x:c>
      <x:c r="W173" s="14"/>
      <x:c r="X173" s="14" t="str">
        <x:v>Carried forward to 2025</x:v>
      </x:c>
      <x:c r="Y173" s="14"/>
      <x:c r="Z173" s="14" t="str">
        <x:v>The Change.docx</x:v>
      </x:c>
      <x:c r="AA173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Channel 4 / E4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HYPERLINK("https://en.wikipedia.org/wiki/Change","Open source")</x:f>
        <x:v>HYPERLINK is not implemented. linkLocation=https://en.wikipedia.org/wiki/Change, friendlyName=Open source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12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2</x:v>
      </x:c>
      <x:c r="BS173" s="16" t="n">
        <x:v>0.16666666666666666</x:v>
      </x:c>
      <x:c r="BT173" s="14" t="str">
        <x:v>Minority of episodes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tt26115810|nm0332817|shirley</x:v>
      </x:c>
      <x:c r="B174" s="14" t="str">
        <x:v>04</x:v>
      </x:c>
      <x:c r="C174" s="14" t="str">
        <x:v>2023_IMDb_Cast_Lists_Batch_04(2).xlsx</x:v>
      </x:c>
      <x:c r="D174" s="14" t="str">
        <x:v>The Change</x:v>
      </x:c>
      <x:c r="E174" s="14" t="n">
        <x:v>37</x:v>
      </x:c>
      <x:c r="F174" s="14" t="str">
        <x:v>The Change</x:v>
      </x:c>
      <x:c r="G174" s="14" t="str">
        <x:v>tt26115810</x:v>
      </x:c>
      <x:c r="H174" s="14" t="n">
        <x:v>2023</x:v>
      </x:c>
      <x:c r="I174" s="14" t="n">
        <x:v>2023</x:v>
      </x:c>
      <x:c r="J174" s="14" t="str">
        <x:v>Future Carry-Forward Cohort</x:v>
      </x:c>
      <x:c r="K174" s="14"/>
      <x:c r="L174" s="14" t="str">
        <x:v>Not inherited</x:v>
      </x:c>
      <x:c r="M174" s="15" t="n">
        <x:v>30</x:v>
      </x:c>
      <x:c r="N174" s="14" t="str">
        <x:v>Shenagh Govan</x:v>
      </x:c>
      <x:c r="O174" s="14" t="str">
        <x:v>nm0332817</x:v>
      </x:c>
      <x:c r="P174" s="14" t="str">
        <x:v>Shirley</x:v>
      </x:c>
      <x:c r="Q174" s="15" t="n">
        <x:v>1</x:v>
      </x:c>
      <x:c r="R174" s="14" t="str">
        <x:v>2025</x:v>
      </x:c>
      <x:c r="S174" s="14" t="n">
        <x:v>2025</x:v>
      </x:c>
      <x:c r="T174" s="14" t="n">
        <x:v>2025</x:v>
      </x:c>
      <x:c r="U174" s="14" t="str">
        <x:v>Explicit source first year retained</x:v>
      </x:c>
      <x:c r="V174" s="14" t="str">
        <x:v>Earliest supplied year is 2025.</x:v>
      </x:c>
      <x:c r="W174" s="14"/>
      <x:c r="X174" s="14" t="str">
        <x:v>Carried forward to 2025</x:v>
      </x:c>
      <x:c r="Y174" s="14"/>
      <x:c r="Z174" s="14" t="str">
        <x:v>The Change.docx</x:v>
      </x:c>
      <x:c r="AA174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Channel 4 / E4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HYPERLINK("https://en.wikipedia.org/wiki/Change","Open source")</x:f>
        <x:v>HYPERLINK is not implemented. linkLocation=https://en.wikipedia.org/wiki/Change, friendlyName=Open source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12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0.08333333333333333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tt26115810|nm3540491|paul</x:v>
      </x:c>
      <x:c r="B175" s="14" t="str">
        <x:v>04</x:v>
      </x:c>
      <x:c r="C175" s="14" t="str">
        <x:v>2023_IMDb_Cast_Lists_Batch_04(2).xlsx</x:v>
      </x:c>
      <x:c r="D175" s="14" t="str">
        <x:v>The Change</x:v>
      </x:c>
      <x:c r="E175" s="14" t="n">
        <x:v>39</x:v>
      </x:c>
      <x:c r="F175" s="14" t="str">
        <x:v>The Change</x:v>
      </x:c>
      <x:c r="G175" s="14" t="str">
        <x:v>tt26115810</x:v>
      </x:c>
      <x:c r="H175" s="14" t="n">
        <x:v>2023</x:v>
      </x:c>
      <x:c r="I175" s="14" t="n">
        <x:v>2023</x:v>
      </x:c>
      <x:c r="J175" s="14" t="str">
        <x:v>Future Carry-Forward Cohort</x:v>
      </x:c>
      <x:c r="K175" s="14"/>
      <x:c r="L175" s="14" t="str">
        <x:v>Not inherited</x:v>
      </x:c>
      <x:c r="M175" s="15" t="n">
        <x:v>32</x:v>
      </x:c>
      <x:c r="N175" s="14" t="str">
        <x:v>Adam Howden</x:v>
      </x:c>
      <x:c r="O175" s="14" t="str">
        <x:v>nm3540491</x:v>
      </x:c>
      <x:c r="P175" s="14" t="str">
        <x:v>Paul</x:v>
      </x:c>
      <x:c r="Q175" s="15" t="n">
        <x:v>1</x:v>
      </x:c>
      <x:c r="R175" s="14" t="str">
        <x:v>2025</x:v>
      </x:c>
      <x:c r="S175" s="14" t="n">
        <x:v>2025</x:v>
      </x:c>
      <x:c r="T175" s="14" t="n">
        <x:v>2025</x:v>
      </x:c>
      <x:c r="U175" s="14" t="str">
        <x:v>Explicit source first year retained</x:v>
      </x:c>
      <x:c r="V175" s="14" t="str">
        <x:v>Earliest supplied year is 2025.</x:v>
      </x:c>
      <x:c r="W175" s="14"/>
      <x:c r="X175" s="14" t="str">
        <x:v>Carried forward to 2025</x:v>
      </x:c>
      <x:c r="Y175" s="14"/>
      <x:c r="Z175" s="14" t="str">
        <x:v>The Change.docx</x:v>
      </x:c>
      <x:c r="AA175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Channel 4 / E4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HYPERLINK("https://en.wikipedia.org/wiki/Change","Open source")</x:f>
        <x:v>HYPERLINK is not implemented. linkLocation=https://en.wikipedia.org/wiki/Change, friendlyName=Open source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12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0.08333333333333333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tt26115810|nm8015845|tattooist</x:v>
      </x:c>
      <x:c r="B176" s="14" t="str">
        <x:v>04</x:v>
      </x:c>
      <x:c r="C176" s="14" t="str">
        <x:v>2023_IMDb_Cast_Lists_Batch_04(2).xlsx</x:v>
      </x:c>
      <x:c r="D176" s="14" t="str">
        <x:v>The Change</x:v>
      </x:c>
      <x:c r="E176" s="14" t="n">
        <x:v>40</x:v>
      </x:c>
      <x:c r="F176" s="14" t="str">
        <x:v>The Change</x:v>
      </x:c>
      <x:c r="G176" s="14" t="str">
        <x:v>tt26115810</x:v>
      </x:c>
      <x:c r="H176" s="14" t="n">
        <x:v>2023</x:v>
      </x:c>
      <x:c r="I176" s="14" t="n">
        <x:v>2023</x:v>
      </x:c>
      <x:c r="J176" s="14" t="str">
        <x:v>Future Carry-Forward Cohort</x:v>
      </x:c>
      <x:c r="K176" s="14"/>
      <x:c r="L176" s="14" t="str">
        <x:v>Not inherited</x:v>
      </x:c>
      <x:c r="M176" s="15" t="n">
        <x:v>33</x:v>
      </x:c>
      <x:c r="N176" s="14" t="str">
        <x:v>Rob Auton</x:v>
      </x:c>
      <x:c r="O176" s="14" t="str">
        <x:v>nm8015845</x:v>
      </x:c>
      <x:c r="P176" s="14" t="str">
        <x:v>Tattooist</x:v>
      </x:c>
      <x:c r="Q176" s="15" t="n">
        <x:v>1</x:v>
      </x:c>
      <x:c r="R176" s="14" t="str">
        <x:v>2025</x:v>
      </x:c>
      <x:c r="S176" s="14" t="n">
        <x:v>2025</x:v>
      </x:c>
      <x:c r="T176" s="14" t="n">
        <x:v>2025</x:v>
      </x:c>
      <x:c r="U176" s="14" t="str">
        <x:v>Explicit source first year retained</x:v>
      </x:c>
      <x:c r="V176" s="14" t="str">
        <x:v>Earliest supplied year is 2025.</x:v>
      </x:c>
      <x:c r="W176" s="14"/>
      <x:c r="X176" s="14" t="str">
        <x:v>Carried forward to 2025</x:v>
      </x:c>
      <x:c r="Y176" s="14"/>
      <x:c r="Z176" s="14" t="str">
        <x:v>The Change.docx</x:v>
      </x:c>
      <x:c r="AA176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Channel 4 / E4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HYPERLINK("https://en.wikipedia.org/wiki/Change","Open source")</x:f>
        <x:v>HYPERLINK is not implemented. linkLocation=https://en.wikipedia.org/wiki/Change, friendlyName=Open source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12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0.08333333333333333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tt26115810|nm5655989|sally</x:v>
      </x:c>
      <x:c r="B177" s="14" t="str">
        <x:v>04</x:v>
      </x:c>
      <x:c r="C177" s="14" t="str">
        <x:v>2023_IMDb_Cast_Lists_Batch_04(2).xlsx</x:v>
      </x:c>
      <x:c r="D177" s="14" t="str">
        <x:v>The Change</x:v>
      </x:c>
      <x:c r="E177" s="14" t="n">
        <x:v>42</x:v>
      </x:c>
      <x:c r="F177" s="14" t="str">
        <x:v>The Change</x:v>
      </x:c>
      <x:c r="G177" s="14" t="str">
        <x:v>tt26115810</x:v>
      </x:c>
      <x:c r="H177" s="14" t="n">
        <x:v>2023</x:v>
      </x:c>
      <x:c r="I177" s="14" t="n">
        <x:v>2023</x:v>
      </x:c>
      <x:c r="J177" s="14" t="str">
        <x:v>Future Carry-Forward Cohort</x:v>
      </x:c>
      <x:c r="K177" s="14"/>
      <x:c r="L177" s="14" t="str">
        <x:v>Not inherited</x:v>
      </x:c>
      <x:c r="M177" s="15" t="n">
        <x:v>35</x:v>
      </x:c>
      <x:c r="N177" s="14" t="str">
        <x:v>Philippa Cole</x:v>
      </x:c>
      <x:c r="O177" s="14" t="str">
        <x:v>nm5655989</x:v>
      </x:c>
      <x:c r="P177" s="14" t="str">
        <x:v>Sally</x:v>
      </x:c>
      <x:c r="Q177" s="15" t="n">
        <x:v>1</x:v>
      </x:c>
      <x:c r="R177" s="14" t="str">
        <x:v>2025</x:v>
      </x:c>
      <x:c r="S177" s="14" t="n">
        <x:v>2025</x:v>
      </x:c>
      <x:c r="T177" s="14" t="n">
        <x:v>2025</x:v>
      </x:c>
      <x:c r="U177" s="14" t="str">
        <x:v>Explicit source first year retained</x:v>
      </x:c>
      <x:c r="V177" s="14" t="str">
        <x:v>Earliest supplied year is 2025.</x:v>
      </x:c>
      <x:c r="W177" s="14"/>
      <x:c r="X177" s="14" t="str">
        <x:v>Carried forward to 2025</x:v>
      </x:c>
      <x:c r="Y177" s="14"/>
      <x:c r="Z177" s="14" t="str">
        <x:v>The Change.docx</x:v>
      </x:c>
      <x:c r="AA177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Channel 4 / E4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HYPERLINK("https://en.wikipedia.org/wiki/Change","Open source")</x:f>
        <x:v>HYPERLINK is not implemented. linkLocation=https://en.wikipedia.org/wiki/Change, friendlyName=Open source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12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0.08333333333333333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tt26115810|nm18532051|daughter</x:v>
      </x:c>
      <x:c r="B178" s="14" t="str">
        <x:v>04</x:v>
      </x:c>
      <x:c r="C178" s="14" t="str">
        <x:v>2023_IMDb_Cast_Lists_Batch_04(2).xlsx</x:v>
      </x:c>
      <x:c r="D178" s="14" t="str">
        <x:v>The Change</x:v>
      </x:c>
      <x:c r="E178" s="14" t="n">
        <x:v>46</x:v>
      </x:c>
      <x:c r="F178" s="14" t="str">
        <x:v>The Change</x:v>
      </x:c>
      <x:c r="G178" s="14" t="str">
        <x:v>tt26115810</x:v>
      </x:c>
      <x:c r="H178" s="14" t="n">
        <x:v>2023</x:v>
      </x:c>
      <x:c r="I178" s="14" t="n">
        <x:v>2023</x:v>
      </x:c>
      <x:c r="J178" s="14" t="str">
        <x:v>Future Carry-Forward Cohort</x:v>
      </x:c>
      <x:c r="K178" s="14"/>
      <x:c r="L178" s="14" t="str">
        <x:v>Not inherited</x:v>
      </x:c>
      <x:c r="M178" s="15" t="n">
        <x:v>39</x:v>
      </x:c>
      <x:c r="N178" s="14" t="str">
        <x:v>Freya Milne-Brown</x:v>
      </x:c>
      <x:c r="O178" s="14" t="str">
        <x:v>nm18532051</x:v>
      </x:c>
      <x:c r="P178" s="14" t="str">
        <x:v>Daughter</x:v>
      </x:c>
      <x:c r="Q178" s="15" t="n">
        <x:v>1</x:v>
      </x:c>
      <x:c r="R178" s="14" t="str">
        <x:v>2025</x:v>
      </x:c>
      <x:c r="S178" s="14" t="n">
        <x:v>2025</x:v>
      </x:c>
      <x:c r="T178" s="14" t="n">
        <x:v>2025</x:v>
      </x:c>
      <x:c r="U178" s="14" t="str">
        <x:v>Explicit source first year retained</x:v>
      </x:c>
      <x:c r="V178" s="14" t="str">
        <x:v>Earliest supplied year is 2025.</x:v>
      </x:c>
      <x:c r="W178" s="14"/>
      <x:c r="X178" s="14" t="str">
        <x:v>Carried forward to 2025</x:v>
      </x:c>
      <x:c r="Y178" s="14"/>
      <x:c r="Z178" s="14" t="str">
        <x:v>The Change.docx</x:v>
      </x:c>
      <x:c r="AA178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Channel 4 / E4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HYPERLINK("https://en.wikipedia.org/wiki/Change","Open source")</x:f>
        <x:v>HYPERLINK is not implemented. linkLocation=https://en.wikipedia.org/wiki/Change, friendlyName=Open source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12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0.08333333333333333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tt27369122|nm4112253|jacob</x:v>
      </x:c>
      <x:c r="B179" s="14" t="str">
        <x:v>04</x:v>
      </x:c>
      <x:c r="C179" s="14" t="str">
        <x:v>2023_IMDb_Cast_Lists_Batch_04(2).xlsx</x:v>
      </x:c>
      <x:c r="D179" s="14" t="str">
        <x:v>The Couple Next Door</x:v>
      </x:c>
      <x:c r="E179" s="14" t="n">
        <x:v>11</x:v>
      </x:c>
      <x:c r="F179" s="14" t="str">
        <x:v>The Couple Next Door</x:v>
      </x:c>
      <x:c r="G179" s="14" t="str">
        <x:v>tt27369122</x:v>
      </x:c>
      <x:c r="H179" s="14" t="n">
        <x:v>2023</x:v>
      </x:c>
      <x:c r="I179" s="14" t="n">
        <x:v>2023</x:v>
      </x:c>
      <x:c r="J179" s="14" t="str">
        <x:v>Future Carry-Forward Cohort</x:v>
      </x:c>
      <x:c r="K179" s="14"/>
      <x:c r="L179" s="14" t="str">
        <x:v>Not inherited</x:v>
      </x:c>
      <x:c r="M179" s="15" t="n">
        <x:v>4</x:v>
      </x:c>
      <x:c r="N179" s="14" t="str">
        <x:v>Sam Palladio</x:v>
      </x:c>
      <x:c r="O179" s="14" t="str">
        <x:v>nm4112253</x:v>
      </x:c>
      <x:c r="P179" s="14" t="str">
        <x:v>Jacob</x:v>
      </x:c>
      <x:c r="Q179" s="15" t="n">
        <x:v>6</x:v>
      </x:c>
      <x:c r="R179" s="14" t="str">
        <x:v>2025</x:v>
      </x:c>
      <x:c r="S179" s="14" t="n">
        <x:v>2025</x:v>
      </x:c>
      <x:c r="T179" s="14" t="n">
        <x:v>2025</x:v>
      </x:c>
      <x:c r="U179" s="14" t="str">
        <x:v>Explicit source first year retained</x:v>
      </x:c>
      <x:c r="V179" s="14" t="str">
        <x:v>Earliest supplied year is 2025.</x:v>
      </x:c>
      <x:c r="W179" s="14"/>
      <x:c r="X179" s="14" t="str">
        <x:v>Carried forward to 2025</x:v>
      </x:c>
      <x:c r="Y179" s="14"/>
      <x:c r="Z179" s="14" t="str">
        <x:v>The Couple Next Door.docx</x:v>
      </x:c>
      <x:c r="AA17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Channel 4 / E4</x:v>
      </x:c>
      <x:c r="AI179" s="14" t="str">
        <x:v>Qualifying UK co-commission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qualifying uk co-commission.</x:v>
      </x:c>
      <x:c r="AM17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12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6</x:v>
      </x:c>
      <x:c r="BS179" s="16" t="n">
        <x:v>0.5</x:v>
      </x:c>
      <x:c r="BT179" s="14" t="str">
        <x:v>Minority of episodes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tt27369122|nm4890759|mia</x:v>
      </x:c>
      <x:c r="B180" s="14" t="str">
        <x:v>04</x:v>
      </x:c>
      <x:c r="C180" s="14" t="str">
        <x:v>2023_IMDb_Cast_Lists_Batch_04(2).xlsx</x:v>
      </x:c>
      <x:c r="D180" s="14" t="str">
        <x:v>The Couple Next Door</x:v>
      </x:c>
      <x:c r="E180" s="14" t="n">
        <x:v>12</x:v>
      </x:c>
      <x:c r="F180" s="14" t="str">
        <x:v>The Couple Next Door</x:v>
      </x:c>
      <x:c r="G180" s="14" t="str">
        <x:v>tt27369122</x:v>
      </x:c>
      <x:c r="H180" s="14" t="n">
        <x:v>2023</x:v>
      </x:c>
      <x:c r="I180" s="14" t="n">
        <x:v>2023</x:v>
      </x:c>
      <x:c r="J180" s="14" t="str">
        <x:v>Future Carry-Forward Cohort</x:v>
      </x:c>
      <x:c r="K180" s="14"/>
      <x:c r="L180" s="14" t="str">
        <x:v>Not inherited</x:v>
      </x:c>
      <x:c r="M180" s="15" t="n">
        <x:v>5</x:v>
      </x:c>
      <x:c r="N180" s="14" t="str">
        <x:v>Aggy K. Adams</x:v>
      </x:c>
      <x:c r="O180" s="14" t="str">
        <x:v>nm4890759</x:v>
      </x:c>
      <x:c r="P180" s="14" t="str">
        <x:v>Mia</x:v>
      </x:c>
      <x:c r="Q180" s="15" t="n">
        <x:v>6</x:v>
      </x:c>
      <x:c r="R180" s="14" t="str">
        <x:v>2025</x:v>
      </x:c>
      <x:c r="S180" s="14" t="n">
        <x:v>2025</x:v>
      </x:c>
      <x:c r="T180" s="14" t="n">
        <x:v>2025</x:v>
      </x:c>
      <x:c r="U180" s="14" t="str">
        <x:v>Explicit source first year retained</x:v>
      </x:c>
      <x:c r="V180" s="14" t="str">
        <x:v>Earliest supplied year is 2025.</x:v>
      </x:c>
      <x:c r="W180" s="14"/>
      <x:c r="X180" s="14" t="str">
        <x:v>Carried forward to 2025</x:v>
      </x:c>
      <x:c r="Y180" s="14"/>
      <x:c r="Z180" s="14" t="str">
        <x:v>The Couple Next Door.docx</x:v>
      </x:c>
      <x:c r="AA18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Channel 4 / E4</x:v>
      </x:c>
      <x:c r="AI180" s="14" t="str">
        <x:v>Qualifying UK co-commission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qualifying uk co-commission.</x:v>
      </x:c>
      <x:c r="AM18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12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6</x:v>
      </x:c>
      <x:c r="BS180" s="16" t="n">
        <x:v>0.5</x:v>
      </x:c>
      <x:c r="BT180" s="14" t="str">
        <x:v>Minority of episodes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tt27369122|nm2118257|charlotte</x:v>
      </x:c>
      <x:c r="B181" s="14" t="str">
        <x:v>04</x:v>
      </x:c>
      <x:c r="C181" s="14" t="str">
        <x:v>2023_IMDb_Cast_Lists_Batch_04(2).xlsx</x:v>
      </x:c>
      <x:c r="D181" s="14" t="str">
        <x:v>The Couple Next Door</x:v>
      </x:c>
      <x:c r="E181" s="14" t="n">
        <x:v>14</x:v>
      </x:c>
      <x:c r="F181" s="14" t="str">
        <x:v>The Couple Next Door</x:v>
      </x:c>
      <x:c r="G181" s="14" t="str">
        <x:v>tt27369122</x:v>
      </x:c>
      <x:c r="H181" s="14" t="n">
        <x:v>2023</x:v>
      </x:c>
      <x:c r="I181" s="14" t="n">
        <x:v>2023</x:v>
      </x:c>
      <x:c r="J181" s="14" t="str">
        <x:v>Future Carry-Forward Cohort</x:v>
      </x:c>
      <x:c r="K181" s="14"/>
      <x:c r="L181" s="14" t="str">
        <x:v>Not inherited</x:v>
      </x:c>
      <x:c r="M181" s="15" t="n">
        <x:v>7</x:v>
      </x:c>
      <x:c r="N181" s="14" t="str">
        <x:v>Annabel Scholey</x:v>
      </x:c>
      <x:c r="O181" s="14" t="str">
        <x:v>nm2118257</x:v>
      </x:c>
      <x:c r="P181" s="14" t="str">
        <x:v>Charlotte</x:v>
      </x:c>
      <x:c r="Q181" s="15" t="n">
        <x:v>6</x:v>
      </x:c>
      <x:c r="R181" s="14" t="str">
        <x:v>2025</x:v>
      </x:c>
      <x:c r="S181" s="14" t="n">
        <x:v>2025</x:v>
      </x:c>
      <x:c r="T181" s="14" t="n">
        <x:v>2025</x:v>
      </x:c>
      <x:c r="U181" s="14" t="str">
        <x:v>Explicit source first year retained</x:v>
      </x:c>
      <x:c r="V181" s="14" t="str">
        <x:v>Earliest supplied year is 2025.</x:v>
      </x:c>
      <x:c r="W181" s="14"/>
      <x:c r="X181" s="14" t="str">
        <x:v>Carried forward to 2025</x:v>
      </x:c>
      <x:c r="Y181" s="14"/>
      <x:c r="Z181" s="14" t="str">
        <x:v>The Couple Next Door.docx</x:v>
      </x:c>
      <x:c r="AA18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Channel 4 / E4</x:v>
      </x:c>
      <x:c r="AI181" s="14" t="str">
        <x:v>Qualifying UK co-commission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qualifying uk co-commission.</x:v>
      </x:c>
      <x:c r="AM18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12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6</x:v>
      </x:c>
      <x:c r="BS181" s="16" t="n">
        <x:v>0.5</x:v>
      </x:c>
      <x:c r="BT181" s="14" t="str">
        <x:v>Minority of episodes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tt27369122|nm0707983|leo</x:v>
      </x:c>
      <x:c r="B182" s="14" t="str">
        <x:v>04</x:v>
      </x:c>
      <x:c r="C182" s="14" t="str">
        <x:v>2023_IMDb_Cast_Lists_Batch_04(2).xlsx</x:v>
      </x:c>
      <x:c r="D182" s="14" t="str">
        <x:v>The Couple Next Door</x:v>
      </x:c>
      <x:c r="E182" s="14" t="n">
        <x:v>17</x:v>
      </x:c>
      <x:c r="F182" s="14" t="str">
        <x:v>The Couple Next Door</x:v>
      </x:c>
      <x:c r="G182" s="14" t="str">
        <x:v>tt27369122</x:v>
      </x:c>
      <x:c r="H182" s="14" t="n">
        <x:v>2023</x:v>
      </x:c>
      <x:c r="I182" s="14" t="n">
        <x:v>2023</x:v>
      </x:c>
      <x:c r="J182" s="14" t="str">
        <x:v>Future Carry-Forward Cohort</x:v>
      </x:c>
      <x:c r="K182" s="14"/>
      <x:c r="L182" s="14" t="str">
        <x:v>Not inherited</x:v>
      </x:c>
      <x:c r="M182" s="15" t="n">
        <x:v>10</x:v>
      </x:c>
      <x:c r="N182" s="14" t="str">
        <x:v>Sendhil Ramamurthy</x:v>
      </x:c>
      <x:c r="O182" s="14" t="str">
        <x:v>nm0707983</x:v>
      </x:c>
      <x:c r="P182" s="14" t="str">
        <x:v>Leo</x:v>
      </x:c>
      <x:c r="Q182" s="15" t="n">
        <x:v>6</x:v>
      </x:c>
      <x:c r="R182" s="14" t="str">
        <x:v>2025</x:v>
      </x:c>
      <x:c r="S182" s="14" t="n">
        <x:v>2025</x:v>
      </x:c>
      <x:c r="T182" s="14" t="n">
        <x:v>2025</x:v>
      </x:c>
      <x:c r="U182" s="14" t="str">
        <x:v>Explicit source first year retained</x:v>
      </x:c>
      <x:c r="V182" s="14" t="str">
        <x:v>Earliest supplied year is 2025.</x:v>
      </x:c>
      <x:c r="W182" s="14"/>
      <x:c r="X182" s="14" t="str">
        <x:v>Carried forward to 2025</x:v>
      </x:c>
      <x:c r="Y182" s="14"/>
      <x:c r="Z182" s="14" t="str">
        <x:v>The Couple Next Door.docx</x:v>
      </x:c>
      <x:c r="AA18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Channel 4 / E4</x:v>
      </x:c>
      <x:c r="AI182" s="14" t="str">
        <x:v>Qualifying UK co-commission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qualifying uk co-commission.</x:v>
      </x:c>
      <x:c r="AM18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12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6</x:v>
      </x:c>
      <x:c r="BS182" s="16" t="n">
        <x:v>0.5</x:v>
      </x:c>
      <x:c r="BT182" s="14" t="str">
        <x:v>Minority of episodes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tt27369122|nm0416253|ben</x:v>
      </x:c>
      <x:c r="B183" s="14" t="str">
        <x:v>04</x:v>
      </x:c>
      <x:c r="C183" s="14" t="str">
        <x:v>2023_IMDb_Cast_Lists_Batch_04(2).xlsx</x:v>
      </x:c>
      <x:c r="D183" s="14" t="str">
        <x:v>The Couple Next Door</x:v>
      </x:c>
      <x:c r="E183" s="14" t="n">
        <x:v>19</x:v>
      </x:c>
      <x:c r="F183" s="14" t="str">
        <x:v>The Couple Next Door</x:v>
      </x:c>
      <x:c r="G183" s="14" t="str">
        <x:v>tt27369122</x:v>
      </x:c>
      <x:c r="H183" s="14" t="n">
        <x:v>2023</x:v>
      </x:c>
      <x:c r="I183" s="14" t="n">
        <x:v>2023</x:v>
      </x:c>
      <x:c r="J183" s="14" t="str">
        <x:v>Future Carry-Forward Cohort</x:v>
      </x:c>
      <x:c r="K183" s="14"/>
      <x:c r="L183" s="14" t="str">
        <x:v>Not inherited</x:v>
      </x:c>
      <x:c r="M183" s="15" t="n">
        <x:v>12</x:v>
      </x:c>
      <x:c r="N183" s="14" t="str">
        <x:v>Adam James</x:v>
      </x:c>
      <x:c r="O183" s="14" t="str">
        <x:v>nm0416253</x:v>
      </x:c>
      <x:c r="P183" s="14" t="str">
        <x:v>Ben</x:v>
      </x:c>
      <x:c r="Q183" s="15" t="n">
        <x:v>6</x:v>
      </x:c>
      <x:c r="R183" s="14" t="str">
        <x:v>2025</x:v>
      </x:c>
      <x:c r="S183" s="14" t="n">
        <x:v>2025</x:v>
      </x:c>
      <x:c r="T183" s="14" t="n">
        <x:v>2025</x:v>
      </x:c>
      <x:c r="U183" s="14" t="str">
        <x:v>Explicit source first year retained</x:v>
      </x:c>
      <x:c r="V183" s="14" t="str">
        <x:v>Earliest supplied year is 2025.</x:v>
      </x:c>
      <x:c r="W183" s="14"/>
      <x:c r="X183" s="14" t="str">
        <x:v>Carried forward to 2025</x:v>
      </x:c>
      <x:c r="Y183" s="14"/>
      <x:c r="Z183" s="14" t="str">
        <x:v>The Couple Next Door.docx</x:v>
      </x:c>
      <x:c r="AA18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Channel 4 / E4</x:v>
      </x:c>
      <x:c r="AI183" s="14" t="str">
        <x:v>Qualifying UK co-commission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qualifying uk co-commission.</x:v>
      </x:c>
      <x:c r="AM18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12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6</x:v>
      </x:c>
      <x:c r="BS183" s="16" t="n">
        <x:v>0.5</x:v>
      </x:c>
      <x:c r="BT183" s="14" t="str">
        <x:v>Minority of episodes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tt27369122|nm1676622|gemma</x:v>
      </x:c>
      <x:c r="B184" s="14" t="str">
        <x:v>04</x:v>
      </x:c>
      <x:c r="C184" s="14" t="str">
        <x:v>2023_IMDb_Cast_Lists_Batch_04(2).xlsx</x:v>
      </x:c>
      <x:c r="D184" s="14" t="str">
        <x:v>The Couple Next Door</x:v>
      </x:c>
      <x:c r="E184" s="14" t="n">
        <x:v>21</x:v>
      </x:c>
      <x:c r="F184" s="14" t="str">
        <x:v>The Couple Next Door</x:v>
      </x:c>
      <x:c r="G184" s="14" t="str">
        <x:v>tt27369122</x:v>
      </x:c>
      <x:c r="H184" s="14" t="n">
        <x:v>2023</x:v>
      </x:c>
      <x:c r="I184" s="14" t="n">
        <x:v>2023</x:v>
      </x:c>
      <x:c r="J184" s="14" t="str">
        <x:v>Future Carry-Forward Cohort</x:v>
      </x:c>
      <x:c r="K184" s="14"/>
      <x:c r="L184" s="14" t="str">
        <x:v>Not inherited</x:v>
      </x:c>
      <x:c r="M184" s="15" t="n">
        <x:v>14</x:v>
      </x:c>
      <x:c r="N184" s="14" t="str">
        <x:v>Maimie McCoy</x:v>
      </x:c>
      <x:c r="O184" s="14" t="str">
        <x:v>nm1676622</x:v>
      </x:c>
      <x:c r="P184" s="14" t="str">
        <x:v>Gemma</x:v>
      </x:c>
      <x:c r="Q184" s="15" t="n">
        <x:v>6</x:v>
      </x:c>
      <x:c r="R184" s="14" t="str">
        <x:v>2025</x:v>
      </x:c>
      <x:c r="S184" s="14" t="n">
        <x:v>2025</x:v>
      </x:c>
      <x:c r="T184" s="14" t="n">
        <x:v>2025</x:v>
      </x:c>
      <x:c r="U184" s="14" t="str">
        <x:v>Explicit source first year retained</x:v>
      </x:c>
      <x:c r="V184" s="14" t="str">
        <x:v>Earliest supplied year is 2025.</x:v>
      </x:c>
      <x:c r="W184" s="14"/>
      <x:c r="X184" s="14" t="str">
        <x:v>Carried forward to 2025</x:v>
      </x:c>
      <x:c r="Y184" s="14"/>
      <x:c r="Z184" s="14" t="str">
        <x:v>The Couple Next Door.docx</x:v>
      </x:c>
      <x:c r="AA18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Channel 4 / E4</x:v>
      </x:c>
      <x:c r="AI184" s="14" t="str">
        <x:v>Qualifying UK co-commission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qualifying uk co-commission.</x:v>
      </x:c>
      <x:c r="AM18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12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6</x:v>
      </x:c>
      <x:c r="BS184" s="16" t="n">
        <x:v>0.5</x:v>
      </x:c>
      <x:c r="BT184" s="14" t="str">
        <x:v>Minority of episodes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tt27369122|nm0167334|annette</x:v>
      </x:c>
      <x:c r="B185" s="14" t="str">
        <x:v>04</x:v>
      </x:c>
      <x:c r="C185" s="14" t="str">
        <x:v>2023_IMDb_Cast_Lists_Batch_04(2).xlsx</x:v>
      </x:c>
      <x:c r="D185" s="14" t="str">
        <x:v>The Couple Next Door</x:v>
      </x:c>
      <x:c r="E185" s="14" t="n">
        <x:v>22</x:v>
      </x:c>
      <x:c r="F185" s="14" t="str">
        <x:v>The Couple Next Door</x:v>
      </x:c>
      <x:c r="G185" s="14" t="str">
        <x:v>tt27369122</x:v>
      </x:c>
      <x:c r="H185" s="14" t="n">
        <x:v>2023</x:v>
      </x:c>
      <x:c r="I185" s="14" t="n">
        <x:v>2023</x:v>
      </x:c>
      <x:c r="J185" s="14" t="str">
        <x:v>Future Carry-Forward Cohort</x:v>
      </x:c>
      <x:c r="K185" s="14"/>
      <x:c r="L185" s="14" t="str">
        <x:v>Not inherited</x:v>
      </x:c>
      <x:c r="M185" s="15" t="n">
        <x:v>15</x:v>
      </x:c>
      <x:c r="N185" s="14" t="str">
        <x:v>Jackie Clune</x:v>
      </x:c>
      <x:c r="O185" s="14" t="str">
        <x:v>nm0167334</x:v>
      </x:c>
      <x:c r="P185" s="14" t="str">
        <x:v>Annette</x:v>
      </x:c>
      <x:c r="Q185" s="15" t="n">
        <x:v>6</x:v>
      </x:c>
      <x:c r="R185" s="14" t="str">
        <x:v>2025</x:v>
      </x:c>
      <x:c r="S185" s="14" t="n">
        <x:v>2025</x:v>
      </x:c>
      <x:c r="T185" s="14" t="n">
        <x:v>2025</x:v>
      </x:c>
      <x:c r="U185" s="14" t="str">
        <x:v>Explicit source first year retained</x:v>
      </x:c>
      <x:c r="V185" s="14" t="str">
        <x:v>Earliest supplied year is 2025.</x:v>
      </x:c>
      <x:c r="W185" s="14"/>
      <x:c r="X185" s="14" t="str">
        <x:v>Carried forward to 2025</x:v>
      </x:c>
      <x:c r="Y185" s="14"/>
      <x:c r="Z185" s="14" t="str">
        <x:v>The Couple Next Door.docx</x:v>
      </x:c>
      <x:c r="AA18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Channel 4 / E4</x:v>
      </x:c>
      <x:c r="AI185" s="14" t="str">
        <x:v>Qualifying UK co-commission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qualifying uk co-commission.</x:v>
      </x:c>
      <x:c r="AM18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12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6</x:v>
      </x:c>
      <x:c r="BS185" s="16" t="n">
        <x:v>0.5</x:v>
      </x:c>
      <x:c r="BT185" s="14" t="str">
        <x:v>Minority of episodes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tt27369122|nm1914298|isak</x:v>
      </x:c>
      <x:c r="B186" s="14" t="str">
        <x:v>04</x:v>
      </x:c>
      <x:c r="C186" s="14" t="str">
        <x:v>2023_IMDb_Cast_Lists_Batch_04(2).xlsx</x:v>
      </x:c>
      <x:c r="D186" s="14" t="str">
        <x:v>The Couple Next Door</x:v>
      </x:c>
      <x:c r="E186" s="14" t="n">
        <x:v>23</x:v>
      </x:c>
      <x:c r="F186" s="14" t="str">
        <x:v>The Couple Next Door</x:v>
      </x:c>
      <x:c r="G186" s="14" t="str">
        <x:v>tt27369122</x:v>
      </x:c>
      <x:c r="H186" s="14" t="n">
        <x:v>2023</x:v>
      </x:c>
      <x:c r="I186" s="14" t="n">
        <x:v>2023</x:v>
      </x:c>
      <x:c r="J186" s="14" t="str">
        <x:v>Future Carry-Forward Cohort</x:v>
      </x:c>
      <x:c r="K186" s="14"/>
      <x:c r="L186" s="14" t="str">
        <x:v>Not inherited</x:v>
      </x:c>
      <x:c r="M186" s="15" t="n">
        <x:v>16</x:v>
      </x:c>
      <x:c r="N186" s="14" t="str">
        <x:v>Pål Sverre Hagen</x:v>
      </x:c>
      <x:c r="O186" s="14" t="str">
        <x:v>nm1914298</x:v>
      </x:c>
      <x:c r="P186" s="14" t="str">
        <x:v>Isak</x:v>
      </x:c>
      <x:c r="Q186" s="15" t="n">
        <x:v>5</x:v>
      </x:c>
      <x:c r="R186" s="14" t="str">
        <x:v>2025</x:v>
      </x:c>
      <x:c r="S186" s="14" t="n">
        <x:v>2025</x:v>
      </x:c>
      <x:c r="T186" s="14" t="n">
        <x:v>2025</x:v>
      </x:c>
      <x:c r="U186" s="14" t="str">
        <x:v>Explicit source first year retained</x:v>
      </x:c>
      <x:c r="V186" s="14" t="str">
        <x:v>Earliest supplied year is 2025.</x:v>
      </x:c>
      <x:c r="W186" s="14"/>
      <x:c r="X186" s="14" t="str">
        <x:v>Carried forward to 2025</x:v>
      </x:c>
      <x:c r="Y186" s="14"/>
      <x:c r="Z186" s="14" t="str">
        <x:v>The Couple Next Door.docx</x:v>
      </x:c>
      <x:c r="AA18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Channel 4 / E4</x:v>
      </x:c>
      <x:c r="AI186" s="14" t="str">
        <x:v>Qualifying UK co-commission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qualifying uk co-commission.</x:v>
      </x:c>
      <x:c r="AM18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12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5</x:v>
      </x:c>
      <x:c r="BS186" s="16" t="n">
        <x:v>0.4166666666666667</x:v>
      </x:c>
      <x:c r="BT186" s="14" t="str">
        <x:v>Minority of episodes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tt27369122|nm1600132|hari</x:v>
      </x:c>
      <x:c r="B187" s="14" t="str">
        <x:v>04</x:v>
      </x:c>
      <x:c r="C187" s="14" t="str">
        <x:v>2023_IMDb_Cast_Lists_Batch_04(2).xlsx</x:v>
      </x:c>
      <x:c r="D187" s="14" t="str">
        <x:v>The Couple Next Door</x:v>
      </x:c>
      <x:c r="E187" s="14" t="n">
        <x:v>26</x:v>
      </x:c>
      <x:c r="F187" s="14" t="str">
        <x:v>The Couple Next Door</x:v>
      </x:c>
      <x:c r="G187" s="14" t="str">
        <x:v>tt27369122</x:v>
      </x:c>
      <x:c r="H187" s="14" t="n">
        <x:v>2023</x:v>
      </x:c>
      <x:c r="I187" s="14" t="n">
        <x:v>2023</x:v>
      </x:c>
      <x:c r="J187" s="14" t="str">
        <x:v>Future Carry-Forward Cohort</x:v>
      </x:c>
      <x:c r="K187" s="14"/>
      <x:c r="L187" s="14" t="str">
        <x:v>Not inherited</x:v>
      </x:c>
      <x:c r="M187" s="15" t="n">
        <x:v>19</x:v>
      </x:c>
      <x:c r="N187" s="14" t="str">
        <x:v>Shane Zaza</x:v>
      </x:c>
      <x:c r="O187" s="14" t="str">
        <x:v>nm1600132</x:v>
      </x:c>
      <x:c r="P187" s="14" t="str">
        <x:v>Hari</x:v>
      </x:c>
      <x:c r="Q187" s="15" t="n">
        <x:v>5</x:v>
      </x:c>
      <x:c r="R187" s="14" t="str">
        <x:v>2025</x:v>
      </x:c>
      <x:c r="S187" s="14" t="n">
        <x:v>2025</x:v>
      </x:c>
      <x:c r="T187" s="14" t="n">
        <x:v>2025</x:v>
      </x:c>
      <x:c r="U187" s="14" t="str">
        <x:v>Explicit source first year retained</x:v>
      </x:c>
      <x:c r="V187" s="14" t="str">
        <x:v>Earliest supplied year is 2025.</x:v>
      </x:c>
      <x:c r="W187" s="14"/>
      <x:c r="X187" s="14" t="str">
        <x:v>Carried forward to 2025</x:v>
      </x:c>
      <x:c r="Y187" s="14"/>
      <x:c r="Z187" s="14" t="str">
        <x:v>The Couple Next Door.docx</x:v>
      </x:c>
      <x:c r="AA18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Channel 4 / E4</x:v>
      </x:c>
      <x:c r="AI187" s="14" t="str">
        <x:v>Qualifying UK co-commission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qualifying uk co-commission.</x:v>
      </x:c>
      <x:c r="AM18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12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5</x:v>
      </x:c>
      <x:c r="BS187" s="16" t="n">
        <x:v>0.4166666666666667</x:v>
      </x:c>
      <x:c r="BT187" s="14" t="str">
        <x:v>Minority of episodes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tt27369122|nm11922182|jaden</x:v>
      </x:c>
      <x:c r="B188" s="14" t="str">
        <x:v>04</x:v>
      </x:c>
      <x:c r="C188" s="14" t="str">
        <x:v>2023_IMDb_Cast_Lists_Batch_04(2).xlsx</x:v>
      </x:c>
      <x:c r="D188" s="14" t="str">
        <x:v>The Couple Next Door</x:v>
      </x:c>
      <x:c r="E188" s="14" t="n">
        <x:v>27</x:v>
      </x:c>
      <x:c r="F188" s="14" t="str">
        <x:v>The Couple Next Door</x:v>
      </x:c>
      <x:c r="G188" s="14" t="str">
        <x:v>tt27369122</x:v>
      </x:c>
      <x:c r="H188" s="14" t="n">
        <x:v>2023</x:v>
      </x:c>
      <x:c r="I188" s="14" t="n">
        <x:v>2023</x:v>
      </x:c>
      <x:c r="J188" s="14" t="str">
        <x:v>Future Carry-Forward Cohort</x:v>
      </x:c>
      <x:c r="K188" s="14"/>
      <x:c r="L188" s="14" t="str">
        <x:v>Not inherited</x:v>
      </x:c>
      <x:c r="M188" s="15" t="n">
        <x:v>20</x:v>
      </x:c>
      <x:c r="N188" s="14" t="str">
        <x:v>Anthony Rickman</x:v>
      </x:c>
      <x:c r="O188" s="14" t="str">
        <x:v>nm11922182</x:v>
      </x:c>
      <x:c r="P188" s="14" t="str">
        <x:v>Jaden</x:v>
      </x:c>
      <x:c r="Q188" s="15" t="n">
        <x:v>5</x:v>
      </x:c>
      <x:c r="R188" s="14" t="str">
        <x:v>2025</x:v>
      </x:c>
      <x:c r="S188" s="14" t="n">
        <x:v>2025</x:v>
      </x:c>
      <x:c r="T188" s="14" t="n">
        <x:v>2025</x:v>
      </x:c>
      <x:c r="U188" s="14" t="str">
        <x:v>Explicit source first year retained</x:v>
      </x:c>
      <x:c r="V188" s="14" t="str">
        <x:v>Earliest supplied year is 2025.</x:v>
      </x:c>
      <x:c r="W188" s="14"/>
      <x:c r="X188" s="14" t="str">
        <x:v>Carried forward to 2025</x:v>
      </x:c>
      <x:c r="Y188" s="14"/>
      <x:c r="Z188" s="14" t="str">
        <x:v>The Couple Next Door.docx</x:v>
      </x:c>
      <x:c r="AA18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Channel 4 / E4</x:v>
      </x:c>
      <x:c r="AI188" s="14" t="str">
        <x:v>Qualifying UK co-commission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qualifying uk co-commission.</x:v>
      </x:c>
      <x:c r="AM18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12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5</x:v>
      </x:c>
      <x:c r="BS188" s="16" t="n">
        <x:v>0.4166666666666667</x:v>
      </x:c>
      <x:c r="BT188" s="14" t="str">
        <x:v>Minority of episodes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tt27369122|nm0600439|yvonne</x:v>
      </x:c>
      <x:c r="B189" s="14" t="str">
        <x:v>04</x:v>
      </x:c>
      <x:c r="C189" s="14" t="str">
        <x:v>2023_IMDb_Cast_Lists_Batch_04(2).xlsx</x:v>
      </x:c>
      <x:c r="D189" s="14" t="str">
        <x:v>The Couple Next Door</x:v>
      </x:c>
      <x:c r="E189" s="14" t="n">
        <x:v>28</x:v>
      </x:c>
      <x:c r="F189" s="14" t="str">
        <x:v>The Couple Next Door</x:v>
      </x:c>
      <x:c r="G189" s="14" t="str">
        <x:v>tt27369122</x:v>
      </x:c>
      <x:c r="H189" s="14" t="n">
        <x:v>2023</x:v>
      </x:c>
      <x:c r="I189" s="14" t="n">
        <x:v>2023</x:v>
      </x:c>
      <x:c r="J189" s="14" t="str">
        <x:v>Future Carry-Forward Cohort</x:v>
      </x:c>
      <x:c r="K189" s="14"/>
      <x:c r="L189" s="14" t="str">
        <x:v>Not inherited</x:v>
      </x:c>
      <x:c r="M189" s="15" t="n">
        <x:v>21</x:v>
      </x:c>
      <x:c r="N189" s="14" t="str">
        <x:v>Tanya Moodie</x:v>
      </x:c>
      <x:c r="O189" s="14" t="str">
        <x:v>nm0600439</x:v>
      </x:c>
      <x:c r="P189" s="14" t="str">
        <x:v>Yvonne</x:v>
      </x:c>
      <x:c r="Q189" s="15" t="n">
        <x:v>5</x:v>
      </x:c>
      <x:c r="R189" s="14" t="str">
        <x:v>2025</x:v>
      </x:c>
      <x:c r="S189" s="14" t="n">
        <x:v>2025</x:v>
      </x:c>
      <x:c r="T189" s="14" t="n">
        <x:v>2025</x:v>
      </x:c>
      <x:c r="U189" s="14" t="str">
        <x:v>Explicit source first year retained</x:v>
      </x:c>
      <x:c r="V189" s="14" t="str">
        <x:v>Earliest supplied year is 2025.</x:v>
      </x:c>
      <x:c r="W189" s="14"/>
      <x:c r="X189" s="14" t="str">
        <x:v>Carried forward to 2025</x:v>
      </x:c>
      <x:c r="Y189" s="14"/>
      <x:c r="Z189" s="14" t="str">
        <x:v>The Couple Next Door.docx</x:v>
      </x:c>
      <x:c r="AA18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Channel 4 / E4</x:v>
      </x:c>
      <x:c r="AI189" s="14" t="str">
        <x:v>Qualifying UK co-commission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qualifying uk co-commission.</x:v>
      </x:c>
      <x:c r="AM18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12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5</x:v>
      </x:c>
      <x:c r="BS189" s="16" t="n">
        <x:v>0.4166666666666667</x:v>
      </x:c>
      <x:c r="BT189" s="14" t="str">
        <x:v>Minority of episodes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tt27369122|nm0788884|viraj</x:v>
      </x:c>
      <x:c r="B190" s="14" t="str">
        <x:v>04</x:v>
      </x:c>
      <x:c r="C190" s="14" t="str">
        <x:v>2023_IMDb_Cast_Lists_Batch_04(2).xlsx</x:v>
      </x:c>
      <x:c r="D190" s="14" t="str">
        <x:v>The Couple Next Door</x:v>
      </x:c>
      <x:c r="E190" s="14" t="n">
        <x:v>30</x:v>
      </x:c>
      <x:c r="F190" s="14" t="str">
        <x:v>The Couple Next Door</x:v>
      </x:c>
      <x:c r="G190" s="14" t="str">
        <x:v>tt27369122</x:v>
      </x:c>
      <x:c r="H190" s="14" t="n">
        <x:v>2023</x:v>
      </x:c>
      <x:c r="I190" s="14" t="n">
        <x:v>2023</x:v>
      </x:c>
      <x:c r="J190" s="14" t="str">
        <x:v>Future Carry-Forward Cohort</x:v>
      </x:c>
      <x:c r="K190" s="14"/>
      <x:c r="L190" s="14" t="str">
        <x:v>Not inherited</x:v>
      </x:c>
      <x:c r="M190" s="15" t="n">
        <x:v>23</x:v>
      </x:c>
      <x:c r="N190" s="14" t="str">
        <x:v>Madhav Sharma</x:v>
      </x:c>
      <x:c r="O190" s="14" t="str">
        <x:v>nm0788884</x:v>
      </x:c>
      <x:c r="P190" s="14" t="str">
        <x:v>Viraj</x:v>
      </x:c>
      <x:c r="Q190" s="15" t="n">
        <x:v>4</x:v>
      </x:c>
      <x:c r="R190" s="14" t="str">
        <x:v>2025</x:v>
      </x:c>
      <x:c r="S190" s="14" t="n">
        <x:v>2025</x:v>
      </x:c>
      <x:c r="T190" s="14" t="n">
        <x:v>2025</x:v>
      </x:c>
      <x:c r="U190" s="14" t="str">
        <x:v>Explicit source first year retained</x:v>
      </x:c>
      <x:c r="V190" s="14" t="str">
        <x:v>Earliest supplied year is 2025.</x:v>
      </x:c>
      <x:c r="W190" s="14"/>
      <x:c r="X190" s="14" t="str">
        <x:v>Carried forward to 2025</x:v>
      </x:c>
      <x:c r="Y190" s="14"/>
      <x:c r="Z190" s="14" t="str">
        <x:v>The Couple Next Door.docx</x:v>
      </x:c>
      <x:c r="AA19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Channel 4 / E4</x:v>
      </x:c>
      <x:c r="AI190" s="14" t="str">
        <x:v>Qualifying UK co-commission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qualifying uk co-commission.</x:v>
      </x:c>
      <x:c r="AM19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12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4</x:v>
      </x:c>
      <x:c r="BS190" s="16" t="n">
        <x:v>0.3333333333333333</x:v>
      </x:c>
      <x:c r="BT190" s="14" t="str">
        <x:v>Minority of episodes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tt27369122|nm6657090|brandon</x:v>
      </x:c>
      <x:c r="B191" s="14" t="str">
        <x:v>04</x:v>
      </x:c>
      <x:c r="C191" s="14" t="str">
        <x:v>2023_IMDb_Cast_Lists_Batch_04(2).xlsx</x:v>
      </x:c>
      <x:c r="D191" s="14" t="str">
        <x:v>The Couple Next Door</x:v>
      </x:c>
      <x:c r="E191" s="14" t="n">
        <x:v>31</x:v>
      </x:c>
      <x:c r="F191" s="14" t="str">
        <x:v>The Couple Next Door</x:v>
      </x:c>
      <x:c r="G191" s="14" t="str">
        <x:v>tt27369122</x:v>
      </x:c>
      <x:c r="H191" s="14" t="n">
        <x:v>2023</x:v>
      </x:c>
      <x:c r="I191" s="14" t="n">
        <x:v>2023</x:v>
      </x:c>
      <x:c r="J191" s="14" t="str">
        <x:v>Future Carry-Forward Cohort</x:v>
      </x:c>
      <x:c r="K191" s="14"/>
      <x:c r="L191" s="14" t="str">
        <x:v>Not inherited</x:v>
      </x:c>
      <x:c r="M191" s="15" t="n">
        <x:v>24</x:v>
      </x:c>
      <x:c r="N191" s="14" t="str">
        <x:v>Barney White</x:v>
      </x:c>
      <x:c r="O191" s="14" t="str">
        <x:v>nm6657090</x:v>
      </x:c>
      <x:c r="P191" s="14" t="str">
        <x:v>Brandon</x:v>
      </x:c>
      <x:c r="Q191" s="15" t="n">
        <x:v>4</x:v>
      </x:c>
      <x:c r="R191" s="14" t="str">
        <x:v>2025</x:v>
      </x:c>
      <x:c r="S191" s="14" t="n">
        <x:v>2025</x:v>
      </x:c>
      <x:c r="T191" s="14" t="n">
        <x:v>2025</x:v>
      </x:c>
      <x:c r="U191" s="14" t="str">
        <x:v>Explicit source first year retained</x:v>
      </x:c>
      <x:c r="V191" s="14" t="str">
        <x:v>Earliest supplied year is 2025.</x:v>
      </x:c>
      <x:c r="W191" s="14"/>
      <x:c r="X191" s="14" t="str">
        <x:v>Carried forward to 2025</x:v>
      </x:c>
      <x:c r="Y191" s="14"/>
      <x:c r="Z191" s="14" t="str">
        <x:v>The Couple Next Door.docx</x:v>
      </x:c>
      <x:c r="AA19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Channel 4 / E4</x:v>
      </x:c>
      <x:c r="AI191" s="14" t="str">
        <x:v>Qualifying UK co-commission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qualifying uk co-commission.</x:v>
      </x:c>
      <x:c r="AM19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12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4</x:v>
      </x:c>
      <x:c r="BS191" s="16" t="n">
        <x:v>0.3333333333333333</x:v>
      </x:c>
      <x:c r="BT191" s="14" t="str">
        <x:v>Minority of episodes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tt27369122|nm7478688|amber</x:v>
      </x:c>
      <x:c r="B192" s="14" t="str">
        <x:v>04</x:v>
      </x:c>
      <x:c r="C192" s="14" t="str">
        <x:v>2023_IMDb_Cast_Lists_Batch_04(2).xlsx</x:v>
      </x:c>
      <x:c r="D192" s="14" t="str">
        <x:v>The Couple Next Door</x:v>
      </x:c>
      <x:c r="E192" s="14" t="n">
        <x:v>33</x:v>
      </x:c>
      <x:c r="F192" s="14" t="str">
        <x:v>The Couple Next Door</x:v>
      </x:c>
      <x:c r="G192" s="14" t="str">
        <x:v>tt27369122</x:v>
      </x:c>
      <x:c r="H192" s="14" t="n">
        <x:v>2023</x:v>
      </x:c>
      <x:c r="I192" s="14" t="n">
        <x:v>2023</x:v>
      </x:c>
      <x:c r="J192" s="14" t="str">
        <x:v>Future Carry-Forward Cohort</x:v>
      </x:c>
      <x:c r="K192" s="14"/>
      <x:c r="L192" s="14" t="str">
        <x:v>Not inherited</x:v>
      </x:c>
      <x:c r="M192" s="15" t="n">
        <x:v>26</x:v>
      </x:c>
      <x:c r="N192" s="14" t="str">
        <x:v>Amy Trigg</x:v>
      </x:c>
      <x:c r="O192" s="14" t="str">
        <x:v>nm7478688</x:v>
      </x:c>
      <x:c r="P192" s="14" t="str">
        <x:v>Amber</x:v>
      </x:c>
      <x:c r="Q192" s="15" t="n">
        <x:v>4</x:v>
      </x:c>
      <x:c r="R192" s="14" t="str">
        <x:v>2025</x:v>
      </x:c>
      <x:c r="S192" s="14" t="n">
        <x:v>2025</x:v>
      </x:c>
      <x:c r="T192" s="14" t="n">
        <x:v>2025</x:v>
      </x:c>
      <x:c r="U192" s="14" t="str">
        <x:v>Explicit source first year retained</x:v>
      </x:c>
      <x:c r="V192" s="14" t="str">
        <x:v>Earliest supplied year is 2025.</x:v>
      </x:c>
      <x:c r="W192" s="14"/>
      <x:c r="X192" s="14" t="str">
        <x:v>Carried forward to 2025</x:v>
      </x:c>
      <x:c r="Y192" s="14"/>
      <x:c r="Z192" s="14" t="str">
        <x:v>The Couple Next Door.docx</x:v>
      </x:c>
      <x:c r="AA19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2" s="14" t="str">
        <x:v>Existing established-register match</x:v>
      </x:c>
      <x:c r="AC192" s="14" t="str">
        <x:v>Wheelchair user | Physical disability</x:v>
      </x:c>
      <x:c r="AD192" s="14" t="str">
        <x:v>Existing register classification: Wheelchair user | Physical disability</x:v>
      </x:c>
      <x:c r="AE192" s="14" t="str">
        <x:v>Established_Disability_Category_Register V1.2.xlsx</x:v>
      </x:c>
      <x:c r="AF192" s="14"/>
      <x:c r="AG192" s="14" t="str">
        <x:v>Established user-supplied classification retained for deduplication; evidence was not re-researched in this batch.</x:v>
      </x:c>
      <x:c r="AH192" s="14" t="str">
        <x:v>Channel 4 / E4</x:v>
      </x:c>
      <x:c r="AI192" s="14" t="str">
        <x:v>Qualifying UK co-commission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qualifying uk co-commission.</x:v>
      </x:c>
      <x:c r="AM19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Exact IMDb performer ID match</x:v>
      </x:c>
      <x:c r="BC192" s="14" t="str">
        <x:v>nm7478688</x:v>
      </x:c>
      <x:c r="BD192" s="14" t="str">
        <x:v>Amy Trigg</x:v>
      </x:c>
      <x:c r="BE192" s="14" t="str">
        <x:v>Wheelchair user | Physical disability</x:v>
      </x:c>
      <x:c r="BF192" s="14" t="str">
        <x:v>Yes</x:v>
      </x:c>
      <x:c r="BG192" s="14" t="str">
        <x:v>Wheelchair user | Physical disability</x:v>
      </x:c>
      <x:c r="BH192" s="14" t="str">
        <x:v>No</x:v>
      </x:c>
      <x:c r="BI192" s="14" t="str">
        <x:v>User-supplied established classification</x:v>
      </x:c>
      <x:c r="BJ192" s="14" t="str">
        <x:v>03_Wheelchair_user.csv | 04_Physical_disability.csv</x:v>
      </x:c>
      <x:c r="BK192" s="14"/>
      <x:c r="BL192" s="14" t="str">
        <x:v>Matched</x:v>
      </x:c>
      <x:c r="BM192" s="14" t="str">
        <x:v>Final supplied register</x:v>
      </x:c>
      <x:c r="BN192" s="14"/>
      <x:c r="BO192" s="14" t="n">
        <x:v>12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4</x:v>
      </x:c>
      <x:c r="BS192" s="16" t="n">
        <x:v>0.3333333333333333</x:v>
      </x:c>
      <x:c r="BT192" s="14" t="str">
        <x:v>Minority of episodes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tt27369122|nm5937421|alyssa</x:v>
      </x:c>
      <x:c r="B193" s="14" t="str">
        <x:v>04</x:v>
      </x:c>
      <x:c r="C193" s="14" t="str">
        <x:v>2023_IMDb_Cast_Lists_Batch_04(2).xlsx</x:v>
      </x:c>
      <x:c r="D193" s="14" t="str">
        <x:v>The Couple Next Door</x:v>
      </x:c>
      <x:c r="E193" s="14" t="n">
        <x:v>34</x:v>
      </x:c>
      <x:c r="F193" s="14" t="str">
        <x:v>The Couple Next Door</x:v>
      </x:c>
      <x:c r="G193" s="14" t="str">
        <x:v>tt27369122</x:v>
      </x:c>
      <x:c r="H193" s="14" t="n">
        <x:v>2023</x:v>
      </x:c>
      <x:c r="I193" s="14" t="n">
        <x:v>2023</x:v>
      </x:c>
      <x:c r="J193" s="14" t="str">
        <x:v>Future Carry-Forward Cohort</x:v>
      </x:c>
      <x:c r="K193" s="14"/>
      <x:c r="L193" s="14" t="str">
        <x:v>Not inherited</x:v>
      </x:c>
      <x:c r="M193" s="15" t="n">
        <x:v>27</x:v>
      </x:c>
      <x:c r="N193" s="14" t="str">
        <x:v>Kristy Philipps</x:v>
      </x:c>
      <x:c r="O193" s="14" t="str">
        <x:v>nm5937421</x:v>
      </x:c>
      <x:c r="P193" s="14" t="str">
        <x:v>Alyssa</x:v>
      </x:c>
      <x:c r="Q193" s="15" t="n">
        <x:v>4</x:v>
      </x:c>
      <x:c r="R193" s="14" t="str">
        <x:v>2025</x:v>
      </x:c>
      <x:c r="S193" s="14" t="n">
        <x:v>2025</x:v>
      </x:c>
      <x:c r="T193" s="14" t="n">
        <x:v>2025</x:v>
      </x:c>
      <x:c r="U193" s="14" t="str">
        <x:v>Explicit source first year retained</x:v>
      </x:c>
      <x:c r="V193" s="14" t="str">
        <x:v>Earliest supplied year is 2025.</x:v>
      </x:c>
      <x:c r="W193" s="14"/>
      <x:c r="X193" s="14" t="str">
        <x:v>Carried forward to 2025</x:v>
      </x:c>
      <x:c r="Y193" s="14"/>
      <x:c r="Z193" s="14" t="str">
        <x:v>The Couple Next Door.docx</x:v>
      </x:c>
      <x:c r="AA19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Channel 4 / E4</x:v>
      </x:c>
      <x:c r="AI193" s="14" t="str">
        <x:v>Qualifying UK co-commission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qualifying uk co-commission.</x:v>
      </x:c>
      <x:c r="AM19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12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4</x:v>
      </x:c>
      <x:c r="BS193" s="16" t="n">
        <x:v>0.3333333333333333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tt27369122|nm0712575|henry</x:v>
      </x:c>
      <x:c r="B194" s="14" t="str">
        <x:v>04</x:v>
      </x:c>
      <x:c r="C194" s="14" t="str">
        <x:v>2023_IMDb_Cast_Lists_Batch_04(2).xlsx</x:v>
      </x:c>
      <x:c r="D194" s="14" t="str">
        <x:v>The Couple Next Door</x:v>
      </x:c>
      <x:c r="E194" s="14" t="n">
        <x:v>35</x:v>
      </x:c>
      <x:c r="F194" s="14" t="str">
        <x:v>The Couple Next Door</x:v>
      </x:c>
      <x:c r="G194" s="14" t="str">
        <x:v>tt27369122</x:v>
      </x:c>
      <x:c r="H194" s="14" t="n">
        <x:v>2023</x:v>
      </x:c>
      <x:c r="I194" s="14" t="n">
        <x:v>2023</x:v>
      </x:c>
      <x:c r="J194" s="14" t="str">
        <x:v>Future Carry-Forward Cohort</x:v>
      </x:c>
      <x:c r="K194" s="14"/>
      <x:c r="L194" s="14" t="str">
        <x:v>Not inherited</x:v>
      </x:c>
      <x:c r="M194" s="15" t="n">
        <x:v>28</x:v>
      </x:c>
      <x:c r="N194" s="14" t="str">
        <x:v>Jeff Rawle</x:v>
      </x:c>
      <x:c r="O194" s="14" t="str">
        <x:v>nm0712575</x:v>
      </x:c>
      <x:c r="P194" s="14" t="str">
        <x:v>Henry</x:v>
      </x:c>
      <x:c r="Q194" s="15" t="n">
        <x:v>4</x:v>
      </x:c>
      <x:c r="R194" s="14" t="str">
        <x:v>2025</x:v>
      </x:c>
      <x:c r="S194" s="14" t="n">
        <x:v>2025</x:v>
      </x:c>
      <x:c r="T194" s="14" t="n">
        <x:v>2025</x:v>
      </x:c>
      <x:c r="U194" s="14" t="str">
        <x:v>Explicit source first year retained</x:v>
      </x:c>
      <x:c r="V194" s="14" t="str">
        <x:v>Earliest supplied year is 2025.</x:v>
      </x:c>
      <x:c r="W194" s="14"/>
      <x:c r="X194" s="14" t="str">
        <x:v>Carried forward to 2025</x:v>
      </x:c>
      <x:c r="Y194" s="14"/>
      <x:c r="Z194" s="14" t="str">
        <x:v>The Couple Next Door.docx</x:v>
      </x:c>
      <x:c r="AA19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Channel 4 / E4</x:v>
      </x:c>
      <x:c r="AI194" s="14" t="str">
        <x:v>Qualifying UK co-commission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qualifying uk co-commission.</x:v>
      </x:c>
      <x:c r="AM19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12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4</x:v>
      </x:c>
      <x:c r="BS194" s="16" t="n">
        <x:v>0.3333333333333333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tt27369122|nm6704097|kali</x:v>
      </x:c>
      <x:c r="B195" s="14" t="str">
        <x:v>04</x:v>
      </x:c>
      <x:c r="C195" s="14" t="str">
        <x:v>2023_IMDb_Cast_Lists_Batch_04(2).xlsx</x:v>
      </x:c>
      <x:c r="D195" s="14" t="str">
        <x:v>The Couple Next Door</x:v>
      </x:c>
      <x:c r="E195" s="14" t="n">
        <x:v>37</x:v>
      </x:c>
      <x:c r="F195" s="14" t="str">
        <x:v>The Couple Next Door</x:v>
      </x:c>
      <x:c r="G195" s="14" t="str">
        <x:v>tt27369122</x:v>
      </x:c>
      <x:c r="H195" s="14" t="n">
        <x:v>2023</x:v>
      </x:c>
      <x:c r="I195" s="14" t="n">
        <x:v>2023</x:v>
      </x:c>
      <x:c r="J195" s="14" t="str">
        <x:v>Future Carry-Forward Cohort</x:v>
      </x:c>
      <x:c r="K195" s="14"/>
      <x:c r="L195" s="14" t="str">
        <x:v>Not inherited</x:v>
      </x:c>
      <x:c r="M195" s="15" t="n">
        <x:v>30</x:v>
      </x:c>
      <x:c r="N195" s="14" t="str">
        <x:v>Saskia Rose</x:v>
      </x:c>
      <x:c r="O195" s="14" t="str">
        <x:v>nm6704097</x:v>
      </x:c>
      <x:c r="P195" s="14" t="str">
        <x:v>Kali</x:v>
      </x:c>
      <x:c r="Q195" s="15" t="n">
        <x:v>3</x:v>
      </x:c>
      <x:c r="R195" s="14" t="str">
        <x:v>2025</x:v>
      </x:c>
      <x:c r="S195" s="14" t="n">
        <x:v>2025</x:v>
      </x:c>
      <x:c r="T195" s="14" t="n">
        <x:v>2025</x:v>
      </x:c>
      <x:c r="U195" s="14" t="str">
        <x:v>Explicit source first year retained</x:v>
      </x:c>
      <x:c r="V195" s="14" t="str">
        <x:v>Earliest supplied year is 2025.</x:v>
      </x:c>
      <x:c r="W195" s="14"/>
      <x:c r="X195" s="14" t="str">
        <x:v>Carried forward to 2025</x:v>
      </x:c>
      <x:c r="Y195" s="14"/>
      <x:c r="Z195" s="14" t="str">
        <x:v>The Couple Next Door.docx</x:v>
      </x:c>
      <x:c r="AA19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Channel 4 / E4</x:v>
      </x:c>
      <x:c r="AI195" s="14" t="str">
        <x:v>Qualifying UK co-commission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qualifying uk co-commission.</x:v>
      </x:c>
      <x:c r="AM19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12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3</x:v>
      </x:c>
      <x:c r="BS195" s="16" t="n">
        <x:v>0.25</x:v>
      </x:c>
      <x:c r="BT195" s="14" t="str">
        <x:v>Minority of episodes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tt27369122|nm14908775|care home manager</x:v>
      </x:c>
      <x:c r="B196" s="14" t="str">
        <x:v>04</x:v>
      </x:c>
      <x:c r="C196" s="14" t="str">
        <x:v>2023_IMDb_Cast_Lists_Batch_04(2).xlsx</x:v>
      </x:c>
      <x:c r="D196" s="14" t="str">
        <x:v>The Couple Next Door</x:v>
      </x:c>
      <x:c r="E196" s="14" t="n">
        <x:v>51</x:v>
      </x:c>
      <x:c r="F196" s="14" t="str">
        <x:v>The Couple Next Door</x:v>
      </x:c>
      <x:c r="G196" s="14" t="str">
        <x:v>tt27369122</x:v>
      </x:c>
      <x:c r="H196" s="14" t="n">
        <x:v>2023</x:v>
      </x:c>
      <x:c r="I196" s="14" t="n">
        <x:v>2023</x:v>
      </x:c>
      <x:c r="J196" s="14" t="str">
        <x:v>Future Carry-Forward Cohort</x:v>
      </x:c>
      <x:c r="K196" s="14"/>
      <x:c r="L196" s="14" t="str">
        <x:v>Not inherited</x:v>
      </x:c>
      <x:c r="M196" s="15" t="n">
        <x:v>44</x:v>
      </x:c>
      <x:c r="N196" s="14" t="str">
        <x:v>Bonnie Milnes</x:v>
      </x:c>
      <x:c r="O196" s="14" t="str">
        <x:v>nm14908775</x:v>
      </x:c>
      <x:c r="P196" s="14" t="str">
        <x:v>Care Home Manager</x:v>
      </x:c>
      <x:c r="Q196" s="15" t="n">
        <x:v>2</x:v>
      </x:c>
      <x:c r="R196" s="14" t="str">
        <x:v>2025</x:v>
      </x:c>
      <x:c r="S196" s="14" t="n">
        <x:v>2025</x:v>
      </x:c>
      <x:c r="T196" s="14" t="n">
        <x:v>2025</x:v>
      </x:c>
      <x:c r="U196" s="14" t="str">
        <x:v>Explicit source first year retained</x:v>
      </x:c>
      <x:c r="V196" s="14" t="str">
        <x:v>Earliest supplied year is 2025.</x:v>
      </x:c>
      <x:c r="W196" s="14"/>
      <x:c r="X196" s="14" t="str">
        <x:v>Carried forward to 2025</x:v>
      </x:c>
      <x:c r="Y196" s="14"/>
      <x:c r="Z196" s="14" t="str">
        <x:v>The Couple Next Door.docx</x:v>
      </x:c>
      <x:c r="AA19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Channel 4 / E4</x:v>
      </x:c>
      <x:c r="AI196" s="14" t="str">
        <x:v>Qualifying UK co-commission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qualifying uk co-commission.</x:v>
      </x:c>
      <x:c r="AM19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12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2</x:v>
      </x:c>
      <x:c r="BS196" s="16" t="n">
        <x:v>0.16666666666666666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tt27369122|nm1800937|anka</x:v>
      </x:c>
      <x:c r="B197" s="14" t="str">
        <x:v>04</x:v>
      </x:c>
      <x:c r="C197" s="14" t="str">
        <x:v>2023_IMDb_Cast_Lists_Batch_04(2).xlsx</x:v>
      </x:c>
      <x:c r="D197" s="14" t="str">
        <x:v>The Couple Next Door</x:v>
      </x:c>
      <x:c r="E197" s="14" t="n">
        <x:v>57</x:v>
      </x:c>
      <x:c r="F197" s="14" t="str">
        <x:v>The Couple Next Door</x:v>
      </x:c>
      <x:c r="G197" s="14" t="str">
        <x:v>tt27369122</x:v>
      </x:c>
      <x:c r="H197" s="14" t="n">
        <x:v>2023</x:v>
      </x:c>
      <x:c r="I197" s="14" t="n">
        <x:v>2023</x:v>
      </x:c>
      <x:c r="J197" s="14" t="str">
        <x:v>Future Carry-Forward Cohort</x:v>
      </x:c>
      <x:c r="K197" s="14"/>
      <x:c r="L197" s="14" t="str">
        <x:v>Not inherited</x:v>
      </x:c>
      <x:c r="M197" s="15" t="n">
        <x:v>50</x:v>
      </x:c>
      <x:c r="N197" s="14" t="str">
        <x:v>Dagmar Operskalski</x:v>
      </x:c>
      <x:c r="O197" s="14" t="str">
        <x:v>nm1800937</x:v>
      </x:c>
      <x:c r="P197" s="14" t="str">
        <x:v>Anka</x:v>
      </x:c>
      <x:c r="Q197" s="15" t="n">
        <x:v>1</x:v>
      </x:c>
      <x:c r="R197" s="14" t="str">
        <x:v>2025</x:v>
      </x:c>
      <x:c r="S197" s="14" t="n">
        <x:v>2025</x:v>
      </x:c>
      <x:c r="T197" s="14" t="n">
        <x:v>2025</x:v>
      </x:c>
      <x:c r="U197" s="14" t="str">
        <x:v>Explicit source first year retained</x:v>
      </x:c>
      <x:c r="V197" s="14" t="str">
        <x:v>Earliest supplied year is 2025.</x:v>
      </x:c>
      <x:c r="W197" s="14"/>
      <x:c r="X197" s="14" t="str">
        <x:v>Carried forward to 2025</x:v>
      </x:c>
      <x:c r="Y197" s="14"/>
      <x:c r="Z197" s="14" t="str">
        <x:v>The Couple Next Door.docx</x:v>
      </x:c>
      <x:c r="AA19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Channel 4 / E4</x:v>
      </x:c>
      <x:c r="AI197" s="14" t="str">
        <x:v>Qualifying UK co-commission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qualifying uk co-commission.</x:v>
      </x:c>
      <x:c r="AM19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12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1</x:v>
      </x:c>
      <x:c r="BS197" s="16" t="n">
        <x:v>0.08333333333333333</x:v>
      </x:c>
      <x:c r="BT197" s="14" t="str">
        <x:v>One episode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tt27369122|nm17449475|case worker</x:v>
      </x:c>
      <x:c r="B198" s="14" t="str">
        <x:v>04</x:v>
      </x:c>
      <x:c r="C198" s="14" t="str">
        <x:v>2023_IMDb_Cast_Lists_Batch_04(2).xlsx</x:v>
      </x:c>
      <x:c r="D198" s="14" t="str">
        <x:v>The Couple Next Door</x:v>
      </x:c>
      <x:c r="E198" s="14" t="n">
        <x:v>58</x:v>
      </x:c>
      <x:c r="F198" s="14" t="str">
        <x:v>The Couple Next Door</x:v>
      </x:c>
      <x:c r="G198" s="14" t="str">
        <x:v>tt27369122</x:v>
      </x:c>
      <x:c r="H198" s="14" t="n">
        <x:v>2023</x:v>
      </x:c>
      <x:c r="I198" s="14" t="n">
        <x:v>2023</x:v>
      </x:c>
      <x:c r="J198" s="14" t="str">
        <x:v>Future Carry-Forward Cohort</x:v>
      </x:c>
      <x:c r="K198" s="14"/>
      <x:c r="L198" s="14" t="str">
        <x:v>Not inherited</x:v>
      </x:c>
      <x:c r="M198" s="15" t="n">
        <x:v>51</x:v>
      </x:c>
      <x:c r="N198" s="14" t="str">
        <x:v>Esthel Davidsen</x:v>
      </x:c>
      <x:c r="O198" s="14" t="str">
        <x:v>nm17449475</x:v>
      </x:c>
      <x:c r="P198" s="14" t="str">
        <x:v>Case Worker</x:v>
      </x:c>
      <x:c r="Q198" s="15" t="n">
        <x:v>1</x:v>
      </x:c>
      <x:c r="R198" s="14" t="str">
        <x:v>2025</x:v>
      </x:c>
      <x:c r="S198" s="14" t="n">
        <x:v>2025</x:v>
      </x:c>
      <x:c r="T198" s="14" t="n">
        <x:v>2025</x:v>
      </x:c>
      <x:c r="U198" s="14" t="str">
        <x:v>Explicit source first year retained</x:v>
      </x:c>
      <x:c r="V198" s="14" t="str">
        <x:v>Earliest supplied year is 2025.</x:v>
      </x:c>
      <x:c r="W198" s="14"/>
      <x:c r="X198" s="14" t="str">
        <x:v>Carried forward to 2025</x:v>
      </x:c>
      <x:c r="Y198" s="14"/>
      <x:c r="Z198" s="14" t="str">
        <x:v>The Couple Next Door.docx</x:v>
      </x:c>
      <x:c r="AA19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Channel 4 / E4</x:v>
      </x:c>
      <x:c r="AI198" s="14" t="str">
        <x:v>Qualifying UK co-commission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qualifying uk co-commission.</x:v>
      </x:c>
      <x:c r="AM19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12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1</x:v>
      </x:c>
      <x:c r="BS198" s="16" t="n">
        <x:v>0.08333333333333333</x:v>
      </x:c>
      <x:c r="BT198" s="14" t="str">
        <x:v>One episode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tt27369122|nm3412606|receptionist</x:v>
      </x:c>
      <x:c r="B199" s="14" t="str">
        <x:v>04</x:v>
      </x:c>
      <x:c r="C199" s="14" t="str">
        <x:v>2023_IMDb_Cast_Lists_Batch_04(2).xlsx</x:v>
      </x:c>
      <x:c r="D199" s="14" t="str">
        <x:v>The Couple Next Door</x:v>
      </x:c>
      <x:c r="E199" s="14" t="n">
        <x:v>59</x:v>
      </x:c>
      <x:c r="F199" s="14" t="str">
        <x:v>The Couple Next Door</x:v>
      </x:c>
      <x:c r="G199" s="14" t="str">
        <x:v>tt27369122</x:v>
      </x:c>
      <x:c r="H199" s="14" t="n">
        <x:v>2023</x:v>
      </x:c>
      <x:c r="I199" s="14" t="n">
        <x:v>2023</x:v>
      </x:c>
      <x:c r="J199" s="14" t="str">
        <x:v>Future Carry-Forward Cohort</x:v>
      </x:c>
      <x:c r="K199" s="14"/>
      <x:c r="L199" s="14" t="str">
        <x:v>Not inherited</x:v>
      </x:c>
      <x:c r="M199" s="15" t="n">
        <x:v>52</x:v>
      </x:c>
      <x:c r="N199" s="14" t="str">
        <x:v>Marit Stocker</x:v>
      </x:c>
      <x:c r="O199" s="14" t="str">
        <x:v>nm3412606</x:v>
      </x:c>
      <x:c r="P199" s="14" t="str">
        <x:v>Receptionist</x:v>
      </x:c>
      <x:c r="Q199" s="15" t="n">
        <x:v>1</x:v>
      </x:c>
      <x:c r="R199" s="14" t="str">
        <x:v>2025</x:v>
      </x:c>
      <x:c r="S199" s="14" t="n">
        <x:v>2025</x:v>
      </x:c>
      <x:c r="T199" s="14" t="n">
        <x:v>2025</x:v>
      </x:c>
      <x:c r="U199" s="14" t="str">
        <x:v>Explicit source first year retained</x:v>
      </x:c>
      <x:c r="V199" s="14" t="str">
        <x:v>Earliest supplied year is 2025.</x:v>
      </x:c>
      <x:c r="W199" s="14"/>
      <x:c r="X199" s="14" t="str">
        <x:v>Carried forward to 2025</x:v>
      </x:c>
      <x:c r="Y199" s="14"/>
      <x:c r="Z199" s="14" t="str">
        <x:v>The Couple Next Door.docx</x:v>
      </x:c>
      <x:c r="AA19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Channel 4 / E4</x:v>
      </x:c>
      <x:c r="AI199" s="14" t="str">
        <x:v>Qualifying UK co-commission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qualifying uk co-commission.</x:v>
      </x:c>
      <x:c r="AM19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12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1</x:v>
      </x:c>
      <x:c r="BS199" s="16" t="n">
        <x:v>0.08333333333333333</x:v>
      </x:c>
      <x:c r="BT199" s="14" t="str">
        <x:v>One episode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tt27369122|nm0708436|alfie</x:v>
      </x:c>
      <x:c r="B200" s="14" t="str">
        <x:v>04</x:v>
      </x:c>
      <x:c r="C200" s="14" t="str">
        <x:v>2023_IMDb_Cast_Lists_Batch_04(2).xlsx</x:v>
      </x:c>
      <x:c r="D200" s="14" t="str">
        <x:v>The Couple Next Door</x:v>
      </x:c>
      <x:c r="E200" s="14" t="n">
        <x:v>61</x:v>
      </x:c>
      <x:c r="F200" s="14" t="str">
        <x:v>The Couple Next Door</x:v>
      </x:c>
      <x:c r="G200" s="14" t="str">
        <x:v>tt27369122</x:v>
      </x:c>
      <x:c r="H200" s="14" t="n">
        <x:v>2023</x:v>
      </x:c>
      <x:c r="I200" s="14" t="n">
        <x:v>2023</x:v>
      </x:c>
      <x:c r="J200" s="14" t="str">
        <x:v>Future Carry-Forward Cohort</x:v>
      </x:c>
      <x:c r="K200" s="14"/>
      <x:c r="L200" s="14" t="str">
        <x:v>Not inherited</x:v>
      </x:c>
      <x:c r="M200" s="15" t="n">
        <x:v>54</x:v>
      </x:c>
      <x:c r="N200" s="14" t="str">
        <x:v>John Ramm</x:v>
      </x:c>
      <x:c r="O200" s="14" t="str">
        <x:v>nm0708436</x:v>
      </x:c>
      <x:c r="P200" s="14" t="str">
        <x:v>Alfie</x:v>
      </x:c>
      <x:c r="Q200" s="15" t="n">
        <x:v>1</x:v>
      </x:c>
      <x:c r="R200" s="14" t="str">
        <x:v>2025</x:v>
      </x:c>
      <x:c r="S200" s="14" t="n">
        <x:v>2025</x:v>
      </x:c>
      <x:c r="T200" s="14" t="n">
        <x:v>2025</x:v>
      </x:c>
      <x:c r="U200" s="14" t="str">
        <x:v>Explicit source first year retained</x:v>
      </x:c>
      <x:c r="V200" s="14" t="str">
        <x:v>Earliest supplied year is 2025.</x:v>
      </x:c>
      <x:c r="W200" s="14"/>
      <x:c r="X200" s="14" t="str">
        <x:v>Carried forward to 2025</x:v>
      </x:c>
      <x:c r="Y200" s="14"/>
      <x:c r="Z200" s="14" t="str">
        <x:v>The Couple Next Door.docx</x:v>
      </x:c>
      <x:c r="AA20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Channel 4 / E4</x:v>
      </x:c>
      <x:c r="AI200" s="14" t="str">
        <x:v>Qualifying UK co-commission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qualifying uk co-commission.</x:v>
      </x:c>
      <x:c r="AM20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12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1</x:v>
      </x:c>
      <x:c r="BS200" s="16" t="n">
        <x:v>0.08333333333333333</x:v>
      </x:c>
      <x:c r="BT200" s="14" t="str">
        <x:v>One episode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tt27369122|nm2456166|tour guide</x:v>
      </x:c>
      <x:c r="B201" s="14" t="str">
        <x:v>04</x:v>
      </x:c>
      <x:c r="C201" s="14" t="str">
        <x:v>2023_IMDb_Cast_Lists_Batch_04(2).xlsx</x:v>
      </x:c>
      <x:c r="D201" s="14" t="str">
        <x:v>The Couple Next Door</x:v>
      </x:c>
      <x:c r="E201" s="14" t="n">
        <x:v>62</x:v>
      </x:c>
      <x:c r="F201" s="14" t="str">
        <x:v>The Couple Next Door</x:v>
      </x:c>
      <x:c r="G201" s="14" t="str">
        <x:v>tt27369122</x:v>
      </x:c>
      <x:c r="H201" s="14" t="n">
        <x:v>2023</x:v>
      </x:c>
      <x:c r="I201" s="14" t="n">
        <x:v>2023</x:v>
      </x:c>
      <x:c r="J201" s="14" t="str">
        <x:v>Future Carry-Forward Cohort</x:v>
      </x:c>
      <x:c r="K201" s="14"/>
      <x:c r="L201" s="14" t="str">
        <x:v>Not inherited</x:v>
      </x:c>
      <x:c r="M201" s="15" t="n">
        <x:v>55</x:v>
      </x:c>
      <x:c r="N201" s="14" t="str">
        <x:v>Tanguy Ottomer</x:v>
      </x:c>
      <x:c r="O201" s="14" t="str">
        <x:v>nm2456166</x:v>
      </x:c>
      <x:c r="P201" s="14" t="str">
        <x:v>Tour Guide</x:v>
      </x:c>
      <x:c r="Q201" s="15" t="n">
        <x:v>1</x:v>
      </x:c>
      <x:c r="R201" s="14" t="str">
        <x:v>2025</x:v>
      </x:c>
      <x:c r="S201" s="14" t="n">
        <x:v>2025</x:v>
      </x:c>
      <x:c r="T201" s="14" t="n">
        <x:v>2025</x:v>
      </x:c>
      <x:c r="U201" s="14" t="str">
        <x:v>Explicit source first year retained</x:v>
      </x:c>
      <x:c r="V201" s="14" t="str">
        <x:v>Earliest supplied year is 2025.</x:v>
      </x:c>
      <x:c r="W201" s="14"/>
      <x:c r="X201" s="14" t="str">
        <x:v>Carried forward to 2025</x:v>
      </x:c>
      <x:c r="Y201" s="14"/>
      <x:c r="Z201" s="14" t="str">
        <x:v>The Couple Next Door.docx</x:v>
      </x:c>
      <x:c r="AA20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Channel 4 / E4</x:v>
      </x:c>
      <x:c r="AI201" s="14" t="str">
        <x:v>Qualifying UK co-commission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qualifying uk co-commission.</x:v>
      </x:c>
      <x:c r="AM20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12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1</x:v>
      </x:c>
      <x:c r="BS201" s="16" t="n">
        <x:v>0.08333333333333333</x:v>
      </x:c>
      <x:c r="BT201" s="14" t="str">
        <x:v>One episode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tt27369122|nm17025886|waiter</x:v>
      </x:c>
      <x:c r="B202" s="14" t="str">
        <x:v>04</x:v>
      </x:c>
      <x:c r="C202" s="14" t="str">
        <x:v>2023_IMDb_Cast_Lists_Batch_04(2).xlsx</x:v>
      </x:c>
      <x:c r="D202" s="14" t="str">
        <x:v>The Couple Next Door</x:v>
      </x:c>
      <x:c r="E202" s="14" t="n">
        <x:v>67</x:v>
      </x:c>
      <x:c r="F202" s="14" t="str">
        <x:v>The Couple Next Door</x:v>
      </x:c>
      <x:c r="G202" s="14" t="str">
        <x:v>tt27369122</x:v>
      </x:c>
      <x:c r="H202" s="14" t="n">
        <x:v>2023</x:v>
      </x:c>
      <x:c r="I202" s="14" t="n">
        <x:v>2023</x:v>
      </x:c>
      <x:c r="J202" s="14" t="str">
        <x:v>Future Carry-Forward Cohort</x:v>
      </x:c>
      <x:c r="K202" s="14"/>
      <x:c r="L202" s="14" t="str">
        <x:v>Not inherited</x:v>
      </x:c>
      <x:c r="M202" s="15" t="n">
        <x:v>60</x:v>
      </x:c>
      <x:c r="N202" s="14" t="str">
        <x:v>Andreas Claushuis</x:v>
      </x:c>
      <x:c r="O202" s="14" t="str">
        <x:v>nm17025886</x:v>
      </x:c>
      <x:c r="P202" s="14" t="str">
        <x:v>Waiter</x:v>
      </x:c>
      <x:c r="Q202" s="15" t="n">
        <x:v>1</x:v>
      </x:c>
      <x:c r="R202" s="14" t="str">
        <x:v>2025</x:v>
      </x:c>
      <x:c r="S202" s="14" t="n">
        <x:v>2025</x:v>
      </x:c>
      <x:c r="T202" s="14" t="n">
        <x:v>2025</x:v>
      </x:c>
      <x:c r="U202" s="14" t="str">
        <x:v>Explicit source first year retained</x:v>
      </x:c>
      <x:c r="V202" s="14" t="str">
        <x:v>Earliest supplied year is 2025.</x:v>
      </x:c>
      <x:c r="W202" s="14"/>
      <x:c r="X202" s="14" t="str">
        <x:v>Carried forward to 2025</x:v>
      </x:c>
      <x:c r="Y202" s="14"/>
      <x:c r="Z202" s="14" t="str">
        <x:v>The Couple Next Door.docx</x:v>
      </x:c>
      <x:c r="AA20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Channel 4 / E4</x:v>
      </x:c>
      <x:c r="AI202" s="14" t="str">
        <x:v>Qualifying UK co-commission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qualifying uk co-commission.</x:v>
      </x:c>
      <x:c r="AM20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12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1</x:v>
      </x:c>
      <x:c r="BS202" s="16" t="n">
        <x:v>0.08333333333333333</x:v>
      </x:c>
      <x:c r="BT202" s="14" t="str">
        <x:v>One episode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tt27369122|nm1469299|business woman</x:v>
      </x:c>
      <x:c r="B203" s="14" t="str">
        <x:v>04</x:v>
      </x:c>
      <x:c r="C203" s="14" t="str">
        <x:v>2023_IMDb_Cast_Lists_Batch_04(2).xlsx</x:v>
      </x:c>
      <x:c r="D203" s="14" t="str">
        <x:v>The Couple Next Door</x:v>
      </x:c>
      <x:c r="E203" s="14" t="n">
        <x:v>68</x:v>
      </x:c>
      <x:c r="F203" s="14" t="str">
        <x:v>The Couple Next Door</x:v>
      </x:c>
      <x:c r="G203" s="14" t="str">
        <x:v>tt27369122</x:v>
      </x:c>
      <x:c r="H203" s="14" t="n">
        <x:v>2023</x:v>
      </x:c>
      <x:c r="I203" s="14" t="n">
        <x:v>2023</x:v>
      </x:c>
      <x:c r="J203" s="14" t="str">
        <x:v>Future Carry-Forward Cohort</x:v>
      </x:c>
      <x:c r="K203" s="14"/>
      <x:c r="L203" s="14" t="str">
        <x:v>Not inherited</x:v>
      </x:c>
      <x:c r="M203" s="15" t="n">
        <x:v>61</x:v>
      </x:c>
      <x:c r="N203" s="14" t="str">
        <x:v>Dianne Weller</x:v>
      </x:c>
      <x:c r="O203" s="14" t="str">
        <x:v>nm1469299</x:v>
      </x:c>
      <x:c r="P203" s="14" t="str">
        <x:v>Business Woman</x:v>
      </x:c>
      <x:c r="Q203" s="15" t="n">
        <x:v>1</x:v>
      </x:c>
      <x:c r="R203" s="14" t="str">
        <x:v>2025</x:v>
      </x:c>
      <x:c r="S203" s="14" t="n">
        <x:v>2025</x:v>
      </x:c>
      <x:c r="T203" s="14" t="n">
        <x:v>2025</x:v>
      </x:c>
      <x:c r="U203" s="14" t="str">
        <x:v>Explicit source first year retained</x:v>
      </x:c>
      <x:c r="V203" s="14" t="str">
        <x:v>Earliest supplied year is 2025.</x:v>
      </x:c>
      <x:c r="W203" s="14"/>
      <x:c r="X203" s="14" t="str">
        <x:v>Carried forward to 2025</x:v>
      </x:c>
      <x:c r="Y203" s="14"/>
      <x:c r="Z203" s="14" t="str">
        <x:v>The Couple Next Door.docx</x:v>
      </x:c>
      <x:c r="AA20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Channel 4 / E4</x:v>
      </x:c>
      <x:c r="AI203" s="14" t="str">
        <x:v>Qualifying UK co-commission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qualifying uk co-commission.</x:v>
      </x:c>
      <x:c r="AM20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12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1</x:v>
      </x:c>
      <x:c r="BS203" s="16" t="n">
        <x:v>0.08333333333333333</x:v>
      </x:c>
      <x:c r="BT203" s="14" t="str">
        <x:v>One episode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tt27369122|nm15274674|norman</x:v>
      </x:c>
      <x:c r="B204" s="14" t="str">
        <x:v>04</x:v>
      </x:c>
      <x:c r="C204" s="14" t="str">
        <x:v>2023_IMDb_Cast_Lists_Batch_04(2).xlsx</x:v>
      </x:c>
      <x:c r="D204" s="14" t="str">
        <x:v>The Couple Next Door</x:v>
      </x:c>
      <x:c r="E204" s="14" t="n">
        <x:v>73</x:v>
      </x:c>
      <x:c r="F204" s="14" t="str">
        <x:v>The Couple Next Door</x:v>
      </x:c>
      <x:c r="G204" s="14" t="str">
        <x:v>tt27369122</x:v>
      </x:c>
      <x:c r="H204" s="14" t="n">
        <x:v>2023</x:v>
      </x:c>
      <x:c r="I204" s="14" t="n">
        <x:v>2023</x:v>
      </x:c>
      <x:c r="J204" s="14" t="str">
        <x:v>Future Carry-Forward Cohort</x:v>
      </x:c>
      <x:c r="K204" s="14"/>
      <x:c r="L204" s="14" t="str">
        <x:v>Not inherited</x:v>
      </x:c>
      <x:c r="M204" s="15" t="n">
        <x:v>66</x:v>
      </x:c>
      <x:c r="N204" s="14" t="str">
        <x:v>Chris Brooker</x:v>
      </x:c>
      <x:c r="O204" s="14" t="str">
        <x:v>nm15274674</x:v>
      </x:c>
      <x:c r="P204" s="14" t="str">
        <x:v>Norman</x:v>
      </x:c>
      <x:c r="Q204" s="15" t="n">
        <x:v>1</x:v>
      </x:c>
      <x:c r="R204" s="14" t="str">
        <x:v>2025</x:v>
      </x:c>
      <x:c r="S204" s="14" t="n">
        <x:v>2025</x:v>
      </x:c>
      <x:c r="T204" s="14" t="n">
        <x:v>2025</x:v>
      </x:c>
      <x:c r="U204" s="14" t="str">
        <x:v>Explicit source first year retained</x:v>
      </x:c>
      <x:c r="V204" s="14" t="str">
        <x:v>Earliest supplied year is 2025.</x:v>
      </x:c>
      <x:c r="W204" s="14"/>
      <x:c r="X204" s="14" t="str">
        <x:v>Carried forward to 2025</x:v>
      </x:c>
      <x:c r="Y204" s="14"/>
      <x:c r="Z204" s="14" t="str">
        <x:v>The Couple Next Door.docx</x:v>
      </x:c>
      <x:c r="AA20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Channel 4 / E4</x:v>
      </x:c>
      <x:c r="AI204" s="14" t="str">
        <x:v>Qualifying UK co-commission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qualifying uk co-commission.</x:v>
      </x:c>
      <x:c r="AM20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12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1</x:v>
      </x:c>
      <x:c r="BS204" s="16" t="n">
        <x:v>0.08333333333333333</x:v>
      </x:c>
      <x:c r="BT204" s="14" t="str">
        <x:v>One episode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tt27369122|nm0898377|malcolm</x:v>
      </x:c>
      <x:c r="B205" s="14" t="str">
        <x:v>04</x:v>
      </x:c>
      <x:c r="C205" s="14" t="str">
        <x:v>2023_IMDb_Cast_Lists_Batch_04(2).xlsx</x:v>
      </x:c>
      <x:c r="D205" s="14" t="str">
        <x:v>The Couple Next Door</x:v>
      </x:c>
      <x:c r="E205" s="14" t="n">
        <x:v>76</x:v>
      </x:c>
      <x:c r="F205" s="14" t="str">
        <x:v>The Couple Next Door</x:v>
      </x:c>
      <x:c r="G205" s="14" t="str">
        <x:v>tt27369122</x:v>
      </x:c>
      <x:c r="H205" s="14" t="n">
        <x:v>2023</x:v>
      </x:c>
      <x:c r="I205" s="14" t="n">
        <x:v>2023</x:v>
      </x:c>
      <x:c r="J205" s="14" t="str">
        <x:v>Future Carry-Forward Cohort</x:v>
      </x:c>
      <x:c r="K205" s="14"/>
      <x:c r="L205" s="14" t="str">
        <x:v>Not inherited</x:v>
      </x:c>
      <x:c r="M205" s="15" t="n">
        <x:v>69</x:v>
      </x:c>
      <x:c r="N205" s="14" t="str">
        <x:v>Jay Villiers</x:v>
      </x:c>
      <x:c r="O205" s="14" t="str">
        <x:v>nm0898377</x:v>
      </x:c>
      <x:c r="P205" s="14" t="str">
        <x:v>Malcolm</x:v>
      </x:c>
      <x:c r="Q205" s="15" t="n">
        <x:v>1</x:v>
      </x:c>
      <x:c r="R205" s="14" t="str">
        <x:v>2025</x:v>
      </x:c>
      <x:c r="S205" s="14" t="n">
        <x:v>2025</x:v>
      </x:c>
      <x:c r="T205" s="14" t="n">
        <x:v>2025</x:v>
      </x:c>
      <x:c r="U205" s="14" t="str">
        <x:v>Explicit source first year retained</x:v>
      </x:c>
      <x:c r="V205" s="14" t="str">
        <x:v>Earliest supplied year is 2025.</x:v>
      </x:c>
      <x:c r="W205" s="14"/>
      <x:c r="X205" s="14" t="str">
        <x:v>Carried forward to 2025</x:v>
      </x:c>
      <x:c r="Y205" s="14"/>
      <x:c r="Z205" s="14" t="str">
        <x:v>The Couple Next Door.docx</x:v>
      </x:c>
      <x:c r="AA20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Channel 4 / E4</x:v>
      </x:c>
      <x:c r="AI205" s="14" t="str">
        <x:v>Qualifying UK co-commission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qualifying uk co-commission.</x:v>
      </x:c>
      <x:c r="AM20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12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0.08333333333333333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tt27369122|nm17449476|community supervisor</x:v>
      </x:c>
      <x:c r="B206" s="14" t="str">
        <x:v>04</x:v>
      </x:c>
      <x:c r="C206" s="14" t="str">
        <x:v>2023_IMDb_Cast_Lists_Batch_04(2).xlsx</x:v>
      </x:c>
      <x:c r="D206" s="14" t="str">
        <x:v>The Couple Next Door</x:v>
      </x:c>
      <x:c r="E206" s="14" t="n">
        <x:v>81</x:v>
      </x:c>
      <x:c r="F206" s="14" t="str">
        <x:v>The Couple Next Door</x:v>
      </x:c>
      <x:c r="G206" s="14" t="str">
        <x:v>tt27369122</x:v>
      </x:c>
      <x:c r="H206" s="14" t="n">
        <x:v>2023</x:v>
      </x:c>
      <x:c r="I206" s="14" t="n">
        <x:v>2023</x:v>
      </x:c>
      <x:c r="J206" s="14" t="str">
        <x:v>Future Carry-Forward Cohort</x:v>
      </x:c>
      <x:c r="K206" s="14"/>
      <x:c r="L206" s="14" t="str">
        <x:v>Not inherited</x:v>
      </x:c>
      <x:c r="M206" s="15" t="n">
        <x:v>74</x:v>
      </x:c>
      <x:c r="N206" s="14" t="str">
        <x:v>Simon Turner</x:v>
      </x:c>
      <x:c r="O206" s="14" t="str">
        <x:v>nm17449476</x:v>
      </x:c>
      <x:c r="P206" s="14" t="str">
        <x:v>Community Supervisor</x:v>
      </x:c>
      <x:c r="Q206" s="15" t="n">
        <x:v>1</x:v>
      </x:c>
      <x:c r="R206" s="14" t="str">
        <x:v>2025</x:v>
      </x:c>
      <x:c r="S206" s="14" t="n">
        <x:v>2025</x:v>
      </x:c>
      <x:c r="T206" s="14" t="n">
        <x:v>2025</x:v>
      </x:c>
      <x:c r="U206" s="14" t="str">
        <x:v>Explicit source first year retained</x:v>
      </x:c>
      <x:c r="V206" s="14" t="str">
        <x:v>Earliest supplied year is 2025.</x:v>
      </x:c>
      <x:c r="W206" s="14"/>
      <x:c r="X206" s="14" t="str">
        <x:v>Carried forward to 2025</x:v>
      </x:c>
      <x:c r="Y206" s="14"/>
      <x:c r="Z206" s="14" t="str">
        <x:v>The Couple Next Door.docx</x:v>
      </x:c>
      <x:c r="AA20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Channel 4 / E4</x:v>
      </x:c>
      <x:c r="AI206" s="14" t="str">
        <x:v>Qualifying UK co-commission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qualifying uk co-commission.</x:v>
      </x:c>
      <x:c r="AM20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12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0.08333333333333333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tt27369122|nm6932252|norwegian journalist</x:v>
      </x:c>
      <x:c r="B207" s="14" t="str">
        <x:v>04</x:v>
      </x:c>
      <x:c r="C207" s="14" t="str">
        <x:v>2023_IMDb_Cast_Lists_Batch_04(2).xlsx</x:v>
      </x:c>
      <x:c r="D207" s="14" t="str">
        <x:v>The Couple Next Door</x:v>
      </x:c>
      <x:c r="E207" s="14" t="n">
        <x:v>85</x:v>
      </x:c>
      <x:c r="F207" s="14" t="str">
        <x:v>The Couple Next Door</x:v>
      </x:c>
      <x:c r="G207" s="14" t="str">
        <x:v>tt27369122</x:v>
      </x:c>
      <x:c r="H207" s="14" t="n">
        <x:v>2023</x:v>
      </x:c>
      <x:c r="I207" s="14" t="n">
        <x:v>2023</x:v>
      </x:c>
      <x:c r="J207" s="14" t="str">
        <x:v>Future Carry-Forward Cohort</x:v>
      </x:c>
      <x:c r="K207" s="14"/>
      <x:c r="L207" s="14" t="str">
        <x:v>Not inherited</x:v>
      </x:c>
      <x:c r="M207" s="15" t="n">
        <x:v>78</x:v>
      </x:c>
      <x:c r="N207" s="14" t="str">
        <x:v>Nicholas Snyder</x:v>
      </x:c>
      <x:c r="O207" s="14" t="str">
        <x:v>nm6932252</x:v>
      </x:c>
      <x:c r="P207" s="14" t="str">
        <x:v>Norwegian Journalist</x:v>
      </x:c>
      <x:c r="Q207" s="15" t="n">
        <x:v>1</x:v>
      </x:c>
      <x:c r="R207" s="14" t="str">
        <x:v>2025</x:v>
      </x:c>
      <x:c r="S207" s="14" t="n">
        <x:v>2025</x:v>
      </x:c>
      <x:c r="T207" s="14" t="n">
        <x:v>2025</x:v>
      </x:c>
      <x:c r="U207" s="14" t="str">
        <x:v>Explicit source first year retained</x:v>
      </x:c>
      <x:c r="V207" s="14" t="str">
        <x:v>Earliest supplied year is 2025.</x:v>
      </x:c>
      <x:c r="W207" s="14"/>
      <x:c r="X207" s="14" t="str">
        <x:v>Carried forward to 2025</x:v>
      </x:c>
      <x:c r="Y207" s="14"/>
      <x:c r="Z207" s="14" t="str">
        <x:v>The Couple Next Door.docx</x:v>
      </x:c>
      <x:c r="AA20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Channel 4 / E4</x:v>
      </x:c>
      <x:c r="AI207" s="14" t="str">
        <x:v>Qualifying UK co-commission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qualifying uk co-commission.</x:v>
      </x:c>
      <x:c r="AM20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12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0.08333333333333333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tt14063678|nm1304386|tony lundy</x:v>
      </x:c>
      <x:c r="B208" s="14" t="str">
        <x:v>04</x:v>
      </x:c>
      <x:c r="C208" s="14" t="str">
        <x:v>2023_IMDb_Cast_Lists_Batch_04(2).xlsx</x:v>
      </x:c>
      <x:c r="D208" s="14" t="str">
        <x:v>The Gold</x:v>
      </x:c>
      <x:c r="E208" s="14" t="n">
        <x:v>19</x:v>
      </x:c>
      <x:c r="F208" s="14" t="str">
        <x:v>The Gold</x:v>
      </x:c>
      <x:c r="G208" s="14" t="str">
        <x:v>tt14063678</x:v>
      </x:c>
      <x:c r="H208" s="14" t="n">
        <x:v>2023</x:v>
      </x:c>
      <x:c r="I208" s="14" t="n">
        <x:v>2023</x:v>
      </x:c>
      <x:c r="J208" s="14" t="str">
        <x:v>Future Carry-Forward Cohort</x:v>
      </x:c>
      <x:c r="K208" s="14"/>
      <x:c r="L208" s="14" t="str">
        <x:v>Not inherited</x:v>
      </x:c>
      <x:c r="M208" s="15" t="n">
        <x:v>12</x:v>
      </x:c>
      <x:c r="N208" s="14" t="str">
        <x:v>Stephen Campbell Moore</x:v>
      </x:c>
      <x:c r="O208" s="14" t="str">
        <x:v>nm1304386</x:v>
      </x:c>
      <x:c r="P208" s="14" t="str">
        <x:v>Tony Lundy</x:v>
      </x:c>
      <x:c r="Q208" s="15" t="n">
        <x:v>6</x:v>
      </x:c>
      <x:c r="R208" s="14" t="str">
        <x:v>2025</x:v>
      </x:c>
      <x:c r="S208" s="14" t="n">
        <x:v>2025</x:v>
      </x:c>
      <x:c r="T208" s="14" t="n">
        <x:v>2025</x:v>
      </x:c>
      <x:c r="U208" s="14" t="str">
        <x:v>Explicit source first year retained</x:v>
      </x:c>
      <x:c r="V208" s="14" t="str">
        <x:v>Earliest supplied year is 2025.</x:v>
      </x:c>
      <x:c r="W208" s="14"/>
      <x:c r="X208" s="14" t="str">
        <x:v>Carried forward to 2025</x:v>
      </x:c>
      <x:c r="Y208" s="14"/>
      <x:c r="Z208" s="14" t="str">
        <x:v>The Gold.docx</x:v>
      </x:c>
      <x:c r="AA20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12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6</x:v>
      </x:c>
      <x:c r="BS208" s="16" t="n">
        <x:v>0.5</x:v>
      </x:c>
      <x:c r="BT208" s="14" t="str">
        <x:v>Minority of episodes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tt14063678|nm3992182|douglas baxter</x:v>
      </x:c>
      <x:c r="B209" s="14" t="str">
        <x:v>04</x:v>
      </x:c>
      <x:c r="C209" s="14" t="str">
        <x:v>2023_IMDb_Cast_Lists_Batch_04(2).xlsx</x:v>
      </x:c>
      <x:c r="D209" s="14" t="str">
        <x:v>The Gold</x:v>
      </x:c>
      <x:c r="E209" s="14" t="n">
        <x:v>25</x:v>
      </x:c>
      <x:c r="F209" s="14" t="str">
        <x:v>The Gold</x:v>
      </x:c>
      <x:c r="G209" s="14" t="str">
        <x:v>tt14063678</x:v>
      </x:c>
      <x:c r="H209" s="14" t="n">
        <x:v>2023</x:v>
      </x:c>
      <x:c r="I209" s="14" t="n">
        <x:v>2023</x:v>
      </x:c>
      <x:c r="J209" s="14" t="str">
        <x:v>Future Carry-Forward Cohort</x:v>
      </x:c>
      <x:c r="K209" s="14"/>
      <x:c r="L209" s="14" t="str">
        <x:v>Not inherited</x:v>
      </x:c>
      <x:c r="M209" s="15" t="n">
        <x:v>18</x:v>
      </x:c>
      <x:c r="N209" s="14" t="str">
        <x:v>Joshua McGuire</x:v>
      </x:c>
      <x:c r="O209" s="14" t="str">
        <x:v>nm3992182</x:v>
      </x:c>
      <x:c r="P209" s="14" t="str">
        <x:v>Douglas Baxter</x:v>
      </x:c>
      <x:c r="Q209" s="15" t="n">
        <x:v>5</x:v>
      </x:c>
      <x:c r="R209" s="14" t="str">
        <x:v>2025</x:v>
      </x:c>
      <x:c r="S209" s="14" t="n">
        <x:v>2025</x:v>
      </x:c>
      <x:c r="T209" s="14" t="n">
        <x:v>2025</x:v>
      </x:c>
      <x:c r="U209" s="14" t="str">
        <x:v>Explicit source first year retained</x:v>
      </x:c>
      <x:c r="V209" s="14" t="str">
        <x:v>Earliest supplied year is 2025.</x:v>
      </x:c>
      <x:c r="W209" s="14"/>
      <x:c r="X209" s="14" t="str">
        <x:v>Carried forward to 2025</x:v>
      </x:c>
      <x:c r="Y209" s="14"/>
      <x:c r="Z209" s="14" t="str">
        <x:v>The Gold.docx</x:v>
      </x:c>
      <x:c r="AA20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12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5</x:v>
      </x:c>
      <x:c r="BS209" s="16" t="n">
        <x:v>0.4166666666666667</x:v>
      </x:c>
      <x:c r="BT209" s="14" t="str">
        <x:v>Minority of episodes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tt14063678|nm4148614|enriqué</x:v>
      </x:c>
      <x:c r="B210" s="14" t="str">
        <x:v>04</x:v>
      </x:c>
      <x:c r="C210" s="14" t="str">
        <x:v>2023_IMDb_Cast_Lists_Batch_04(2).xlsx</x:v>
      </x:c>
      <x:c r="D210" s="14" t="str">
        <x:v>The Gold</x:v>
      </x:c>
      <x:c r="E210" s="14" t="n">
        <x:v>27</x:v>
      </x:c>
      <x:c r="F210" s="14" t="str">
        <x:v>The Gold</x:v>
      </x:c>
      <x:c r="G210" s="14" t="str">
        <x:v>tt14063678</x:v>
      </x:c>
      <x:c r="H210" s="14" t="n">
        <x:v>2023</x:v>
      </x:c>
      <x:c r="I210" s="14" t="n">
        <x:v>2023</x:v>
      </x:c>
      <x:c r="J210" s="14" t="str">
        <x:v>Future Carry-Forward Cohort</x:v>
      </x:c>
      <x:c r="K210" s="14"/>
      <x:c r="L210" s="14" t="str">
        <x:v>Not inherited</x:v>
      </x:c>
      <x:c r="M210" s="15" t="n">
        <x:v>20</x:v>
      </x:c>
      <x:c r="N210" s="14" t="str">
        <x:v>Sean Teale</x:v>
      </x:c>
      <x:c r="O210" s="14" t="str">
        <x:v>nm4148614</x:v>
      </x:c>
      <x:c r="P210" s="14" t="str">
        <x:v>Enriqué</x:v>
      </x:c>
      <x:c r="Q210" s="15" t="n">
        <x:v>5</x:v>
      </x:c>
      <x:c r="R210" s="14" t="str">
        <x:v>2025</x:v>
      </x:c>
      <x:c r="S210" s="14" t="n">
        <x:v>2025</x:v>
      </x:c>
      <x:c r="T210" s="14" t="n">
        <x:v>2025</x:v>
      </x:c>
      <x:c r="U210" s="14" t="str">
        <x:v>Explicit source first year retained</x:v>
      </x:c>
      <x:c r="V210" s="14" t="str">
        <x:v>Earliest supplied year is 2025.</x:v>
      </x:c>
      <x:c r="W210" s="14"/>
      <x:c r="X210" s="14" t="str">
        <x:v>Carried forward to 2025</x:v>
      </x:c>
      <x:c r="Y210" s="14"/>
      <x:c r="Z210" s="14" t="str">
        <x:v>The Gold.docx</x:v>
      </x:c>
      <x:c r="AA21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12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5</x:v>
      </x:c>
      <x:c r="BS210" s="16" t="n">
        <x:v>0.4166666666666667</x:v>
      </x:c>
      <x:c r="BT210" s="14" t="str">
        <x:v>Minority of episodes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tt14063678|nm3433735|logan campbell</x:v>
      </x:c>
      <x:c r="B211" s="14" t="str">
        <x:v>04</x:v>
      </x:c>
      <x:c r="C211" s="14" t="str">
        <x:v>2023_IMDb_Cast_Lists_Batch_04(2).xlsx</x:v>
      </x:c>
      <x:c r="D211" s="14" t="str">
        <x:v>The Gold</x:v>
      </x:c>
      <x:c r="E211" s="14" t="n">
        <x:v>31</x:v>
      </x:c>
      <x:c r="F211" s="14" t="str">
        <x:v>The Gold</x:v>
      </x:c>
      <x:c r="G211" s="14" t="str">
        <x:v>tt14063678</x:v>
      </x:c>
      <x:c r="H211" s="14" t="n">
        <x:v>2023</x:v>
      </x:c>
      <x:c r="I211" s="14" t="n">
        <x:v>2023</x:v>
      </x:c>
      <x:c r="J211" s="14" t="str">
        <x:v>Future Carry-Forward Cohort</x:v>
      </x:c>
      <x:c r="K211" s="14"/>
      <x:c r="L211" s="14" t="str">
        <x:v>Not inherited</x:v>
      </x:c>
      <x:c r="M211" s="15" t="n">
        <x:v>24</x:v>
      </x:c>
      <x:c r="N211" s="14" t="str">
        <x:v>Tom Hughes</x:v>
      </x:c>
      <x:c r="O211" s="14" t="str">
        <x:v>nm3433735</x:v>
      </x:c>
      <x:c r="P211" s="14" t="str">
        <x:v>Logan Campbell</x:v>
      </x:c>
      <x:c r="Q211" s="15" t="n">
        <x:v>4</x:v>
      </x:c>
      <x:c r="R211" s="14" t="str">
        <x:v>2025</x:v>
      </x:c>
      <x:c r="S211" s="14" t="n">
        <x:v>2025</x:v>
      </x:c>
      <x:c r="T211" s="14" t="n">
        <x:v>2025</x:v>
      </x:c>
      <x:c r="U211" s="14" t="str">
        <x:v>Explicit source first year retained</x:v>
      </x:c>
      <x:c r="V211" s="14" t="str">
        <x:v>Earliest supplied year is 2025.</x:v>
      </x:c>
      <x:c r="W211" s="14"/>
      <x:c r="X211" s="14" t="str">
        <x:v>Carried forward to 2025</x:v>
      </x:c>
      <x:c r="Y211" s="14"/>
      <x:c r="Z211" s="14" t="str">
        <x:v>The Gold.docx</x:v>
      </x:c>
      <x:c r="AA21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12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4</x:v>
      </x:c>
      <x:c r="BS211" s="16" t="n">
        <x:v>0.3333333333333333</x:v>
      </x:c>
      <x:c r="BT211" s="14" t="str">
        <x:v>Minority of episodes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tt14063678|nm1202600|gabriella lunez</x:v>
      </x:c>
      <x:c r="B212" s="14" t="str">
        <x:v>04</x:v>
      </x:c>
      <x:c r="C212" s="14" t="str">
        <x:v>2023_IMDb_Cast_Lists_Batch_04(2).xlsx</x:v>
      </x:c>
      <x:c r="D212" s="14" t="str">
        <x:v>The Gold</x:v>
      </x:c>
      <x:c r="E212" s="14" t="n">
        <x:v>32</x:v>
      </x:c>
      <x:c r="F212" s="14" t="str">
        <x:v>The Gold</x:v>
      </x:c>
      <x:c r="G212" s="14" t="str">
        <x:v>tt14063678</x:v>
      </x:c>
      <x:c r="H212" s="14" t="n">
        <x:v>2023</x:v>
      </x:c>
      <x:c r="I212" s="14" t="n">
        <x:v>2023</x:v>
      </x:c>
      <x:c r="J212" s="14" t="str">
        <x:v>Future Carry-Forward Cohort</x:v>
      </x:c>
      <x:c r="K212" s="14"/>
      <x:c r="L212" s="14" t="str">
        <x:v>Not inherited</x:v>
      </x:c>
      <x:c r="M212" s="15" t="n">
        <x:v>25</x:v>
      </x:c>
      <x:c r="N212" s="14" t="str">
        <x:v>Madalena Alberto</x:v>
      </x:c>
      <x:c r="O212" s="14" t="str">
        <x:v>nm1202600</x:v>
      </x:c>
      <x:c r="P212" s="14" t="str">
        <x:v>Gabriella Lunez</x:v>
      </x:c>
      <x:c r="Q212" s="15" t="n">
        <x:v>4</x:v>
      </x:c>
      <x:c r="R212" s="14" t="str">
        <x:v>2025</x:v>
      </x:c>
      <x:c r="S212" s="14" t="n">
        <x:v>2025</x:v>
      </x:c>
      <x:c r="T212" s="14" t="n">
        <x:v>2025</x:v>
      </x:c>
      <x:c r="U212" s="14" t="str">
        <x:v>Explicit source first year retained</x:v>
      </x:c>
      <x:c r="V212" s="14" t="str">
        <x:v>Earliest supplied year is 2025.</x:v>
      </x:c>
      <x:c r="W212" s="14"/>
      <x:c r="X212" s="14" t="str">
        <x:v>Carried forward to 2025</x:v>
      </x:c>
      <x:c r="Y212" s="14"/>
      <x:c r="Z212" s="14" t="str">
        <x:v>The Gold.docx</x:v>
      </x:c>
      <x:c r="AA21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BBC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2" s="14" t="str">
        <x:v>BBC public-service commission</x:v>
      </x:c>
      <x:c r="AO212" s="14" t="str">
        <x:v>Yes</x:v>
      </x:c>
      <x:c r="AP212" s="14" t="str">
        <x:v>Direct BBC public-service scope</x:v>
      </x:c>
      <x:c r="AQ212" s="14" t="str">
        <x:v>Yes</x:v>
      </x:c>
      <x:c r="AR212" s="14" t="str">
        <x:v>Resolved from master register</x:v>
      </x:c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12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4</x:v>
      </x:c>
      <x:c r="BS212" s="16" t="n">
        <x:v>0.3333333333333333</x:v>
      </x:c>
      <x:c r="BT212" s="14" t="str">
        <x:v>Minority of episodes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tt14063678|nm2446898|léna</x:v>
      </x:c>
      <x:c r="B213" s="14" t="str">
        <x:v>04</x:v>
      </x:c>
      <x:c r="C213" s="14" t="str">
        <x:v>2023_IMDb_Cast_Lists_Batch_04(2).xlsx</x:v>
      </x:c>
      <x:c r="D213" s="14" t="str">
        <x:v>The Gold</x:v>
      </x:c>
      <x:c r="E213" s="14" t="n">
        <x:v>36</x:v>
      </x:c>
      <x:c r="F213" s="14" t="str">
        <x:v>The Gold</x:v>
      </x:c>
      <x:c r="G213" s="14" t="str">
        <x:v>tt14063678</x:v>
      </x:c>
      <x:c r="H213" s="14" t="n">
        <x:v>2023</x:v>
      </x:c>
      <x:c r="I213" s="14" t="n">
        <x:v>2023</x:v>
      </x:c>
      <x:c r="J213" s="14" t="str">
        <x:v>Future Carry-Forward Cohort</x:v>
      </x:c>
      <x:c r="K213" s="14"/>
      <x:c r="L213" s="14" t="str">
        <x:v>Not inherited</x:v>
      </x:c>
      <x:c r="M213" s="15" t="n">
        <x:v>29</x:v>
      </x:c>
      <x:c r="N213" s="14" t="str">
        <x:v>Antonia Desplat</x:v>
      </x:c>
      <x:c r="O213" s="14" t="str">
        <x:v>nm2446898</x:v>
      </x:c>
      <x:c r="P213" s="14" t="str">
        <x:v>Léna</x:v>
      </x:c>
      <x:c r="Q213" s="15" t="n">
        <x:v>4</x:v>
      </x:c>
      <x:c r="R213" s="14" t="str">
        <x:v>2025</x:v>
      </x:c>
      <x:c r="S213" s="14" t="n">
        <x:v>2025</x:v>
      </x:c>
      <x:c r="T213" s="14" t="n">
        <x:v>2025</x:v>
      </x:c>
      <x:c r="U213" s="14" t="str">
        <x:v>Explicit source first year retained</x:v>
      </x:c>
      <x:c r="V213" s="14" t="str">
        <x:v>Earliest supplied year is 2025.</x:v>
      </x:c>
      <x:c r="W213" s="14"/>
      <x:c r="X213" s="14" t="str">
        <x:v>Carried forward to 2025</x:v>
      </x:c>
      <x:c r="Y213" s="14"/>
      <x:c r="Z213" s="14" t="str">
        <x:v>The Gold.docx</x:v>
      </x:c>
      <x:c r="AA21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BBC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3" s="14" t="str">
        <x:v>BBC public-service commission</x:v>
      </x:c>
      <x:c r="AO213" s="14" t="str">
        <x:v>Yes</x:v>
      </x:c>
      <x:c r="AP213" s="14" t="str">
        <x:v>Direct BBC public-service scope</x:v>
      </x:c>
      <x:c r="AQ213" s="14" t="str">
        <x:v>Yes</x:v>
      </x:c>
      <x:c r="AR213" s="14" t="str">
        <x:v>Resolved from master register</x:v>
      </x:c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12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4</x:v>
      </x:c>
      <x:c r="BS213" s="16" t="n">
        <x:v>0.3333333333333333</x:v>
      </x:c>
      <x:c r="BT213" s="14" t="str">
        <x:v>Minority of episodes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tt14063678|nm0431235|ivan</x:v>
      </x:c>
      <x:c r="B214" s="14" t="str">
        <x:v>04</x:v>
      </x:c>
      <x:c r="C214" s="14" t="str">
        <x:v>2023_IMDb_Cast_Lists_Batch_04(2).xlsx</x:v>
      </x:c>
      <x:c r="D214" s="14" t="str">
        <x:v>The Gold</x:v>
      </x:c>
      <x:c r="E214" s="14" t="n">
        <x:v>37</x:v>
      </x:c>
      <x:c r="F214" s="14" t="str">
        <x:v>The Gold</x:v>
      </x:c>
      <x:c r="G214" s="14" t="str">
        <x:v>tt14063678</x:v>
      </x:c>
      <x:c r="H214" s="14" t="n">
        <x:v>2023</x:v>
      </x:c>
      <x:c r="I214" s="14" t="n">
        <x:v>2023</x:v>
      </x:c>
      <x:c r="J214" s="14" t="str">
        <x:v>Future Carry-Forward Cohort</x:v>
      </x:c>
      <x:c r="K214" s="14"/>
      <x:c r="L214" s="14" t="str">
        <x:v>Not inherited</x:v>
      </x:c>
      <x:c r="M214" s="15" t="n">
        <x:v>30</x:v>
      </x:c>
      <x:c r="N214" s="14" t="str">
        <x:v>Aleksandar Jovanovic</x:v>
      </x:c>
      <x:c r="O214" s="14" t="str">
        <x:v>nm0431235</x:v>
      </x:c>
      <x:c r="P214" s="14" t="str">
        <x:v>Ivan</x:v>
      </x:c>
      <x:c r="Q214" s="15" t="n">
        <x:v>4</x:v>
      </x:c>
      <x:c r="R214" s="14" t="str">
        <x:v>2025</x:v>
      </x:c>
      <x:c r="S214" s="14" t="n">
        <x:v>2025</x:v>
      </x:c>
      <x:c r="T214" s="14" t="n">
        <x:v>2025</x:v>
      </x:c>
      <x:c r="U214" s="14" t="str">
        <x:v>Explicit source first year retained</x:v>
      </x:c>
      <x:c r="V214" s="14" t="str">
        <x:v>Earliest supplied year is 2025.</x:v>
      </x:c>
      <x:c r="W214" s="14"/>
      <x:c r="X214" s="14" t="str">
        <x:v>Carried forward to 2025</x:v>
      </x:c>
      <x:c r="Y214" s="14"/>
      <x:c r="Z214" s="14" t="str">
        <x:v>The Gold.docx</x:v>
      </x:c>
      <x:c r="AA21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BBC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4" s="14" t="str">
        <x:v>BBC public-service commission</x:v>
      </x:c>
      <x:c r="AO214" s="14" t="str">
        <x:v>Yes</x:v>
      </x:c>
      <x:c r="AP214" s="14" t="str">
        <x:v>Direct BBC public-service scope</x:v>
      </x:c>
      <x:c r="AQ214" s="14" t="str">
        <x:v>Yes</x:v>
      </x:c>
      <x:c r="AR214" s="14" t="str">
        <x:v>Resolved from master register</x:v>
      </x:c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12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4</x:v>
      </x:c>
      <x:c r="BS214" s="16" t="n">
        <x:v>0.3333333333333333</x:v>
      </x:c>
      <x:c r="BT214" s="14" t="str">
        <x:v>Minority of episodes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tt14063678|nm2406518|kadene</x:v>
      </x:c>
      <x:c r="B215" s="14" t="str">
        <x:v>04</x:v>
      </x:c>
      <x:c r="C215" s="14" t="str">
        <x:v>2023_IMDb_Cast_Lists_Batch_04(2).xlsx</x:v>
      </x:c>
      <x:c r="D215" s="14" t="str">
        <x:v>The Gold</x:v>
      </x:c>
      <x:c r="E215" s="14" t="n">
        <x:v>39</x:v>
      </x:c>
      <x:c r="F215" s="14" t="str">
        <x:v>The Gold</x:v>
      </x:c>
      <x:c r="G215" s="14" t="str">
        <x:v>tt14063678</x:v>
      </x:c>
      <x:c r="H215" s="14" t="n">
        <x:v>2023</x:v>
      </x:c>
      <x:c r="I215" s="14" t="n">
        <x:v>2023</x:v>
      </x:c>
      <x:c r="J215" s="14" t="str">
        <x:v>Future Carry-Forward Cohort</x:v>
      </x:c>
      <x:c r="K215" s="14"/>
      <x:c r="L215" s="14" t="str">
        <x:v>Not inherited</x:v>
      </x:c>
      <x:c r="M215" s="15" t="n">
        <x:v>32</x:v>
      </x:c>
      <x:c r="N215" s="14" t="str">
        <x:v>Rochelle Neil</x:v>
      </x:c>
      <x:c r="O215" s="14" t="str">
        <x:v>nm2406518</x:v>
      </x:c>
      <x:c r="P215" s="14" t="str">
        <x:v>Kadene</x:v>
      </x:c>
      <x:c r="Q215" s="15" t="n">
        <x:v>4</x:v>
      </x:c>
      <x:c r="R215" s="14" t="str">
        <x:v>2025</x:v>
      </x:c>
      <x:c r="S215" s="14" t="n">
        <x:v>2025</x:v>
      </x:c>
      <x:c r="T215" s="14" t="n">
        <x:v>2025</x:v>
      </x:c>
      <x:c r="U215" s="14" t="str">
        <x:v>Explicit source first year retained</x:v>
      </x:c>
      <x:c r="V215" s="14" t="str">
        <x:v>Earliest supplied year is 2025.</x:v>
      </x:c>
      <x:c r="W215" s="14"/>
      <x:c r="X215" s="14" t="str">
        <x:v>Carried forward to 2025</x:v>
      </x:c>
      <x:c r="Y215" s="14"/>
      <x:c r="Z215" s="14" t="str">
        <x:v>The Gold.docx</x:v>
      </x:c>
      <x:c r="AA21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BBC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5" s="14" t="str">
        <x:v>BBC public-service commission</x:v>
      </x:c>
      <x:c r="AO215" s="14" t="str">
        <x:v>Yes</x:v>
      </x:c>
      <x:c r="AP215" s="14" t="str">
        <x:v>Direct BBC public-service scope</x:v>
      </x:c>
      <x:c r="AQ215" s="14" t="str">
        <x:v>Yes</x:v>
      </x:c>
      <x:c r="AR215" s="14" t="str">
        <x:v>Resolved from master register</x:v>
      </x:c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12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4</x:v>
      </x:c>
      <x:c r="BS215" s="16" t="n">
        <x:v>0.3333333333333333</x:v>
      </x:c>
      <x:c r="BT215" s="14" t="str">
        <x:v>Minority of episodes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tt14063678|nm9870367|jerren</x:v>
      </x:c>
      <x:c r="B216" s="14" t="str">
        <x:v>04</x:v>
      </x:c>
      <x:c r="C216" s="14" t="str">
        <x:v>2023_IMDb_Cast_Lists_Batch_04(2).xlsx</x:v>
      </x:c>
      <x:c r="D216" s="14" t="str">
        <x:v>The Gold</x:v>
      </x:c>
      <x:c r="E216" s="14" t="n">
        <x:v>42</x:v>
      </x:c>
      <x:c r="F216" s="14" t="str">
        <x:v>The Gold</x:v>
      </x:c>
      <x:c r="G216" s="14" t="str">
        <x:v>tt14063678</x:v>
      </x:c>
      <x:c r="H216" s="14" t="n">
        <x:v>2023</x:v>
      </x:c>
      <x:c r="I216" s="14" t="n">
        <x:v>2023</x:v>
      </x:c>
      <x:c r="J216" s="14" t="str">
        <x:v>Future Carry-Forward Cohort</x:v>
      </x:c>
      <x:c r="K216" s="14"/>
      <x:c r="L216" s="14" t="str">
        <x:v>Not inherited</x:v>
      </x:c>
      <x:c r="M216" s="15" t="n">
        <x:v>35</x:v>
      </x:c>
      <x:c r="N216" s="14" t="str">
        <x:v>Joshua Samuels</x:v>
      </x:c>
      <x:c r="O216" s="14" t="str">
        <x:v>nm9870367</x:v>
      </x:c>
      <x:c r="P216" s="14" t="str">
        <x:v>Jerren</x:v>
      </x:c>
      <x:c r="Q216" s="15" t="n">
        <x:v>4</x:v>
      </x:c>
      <x:c r="R216" s="14" t="str">
        <x:v>2025</x:v>
      </x:c>
      <x:c r="S216" s="14" t="n">
        <x:v>2025</x:v>
      </x:c>
      <x:c r="T216" s="14" t="n">
        <x:v>2025</x:v>
      </x:c>
      <x:c r="U216" s="14" t="str">
        <x:v>Explicit source first year retained</x:v>
      </x:c>
      <x:c r="V216" s="14" t="str">
        <x:v>Earliest supplied year is 2025.</x:v>
      </x:c>
      <x:c r="W216" s="14"/>
      <x:c r="X216" s="14" t="str">
        <x:v>Carried forward to 2025</x:v>
      </x:c>
      <x:c r="Y216" s="14"/>
      <x:c r="Z216" s="14" t="str">
        <x:v>The Gold.docx</x:v>
      </x:c>
      <x:c r="AA21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BBC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6" s="14" t="str">
        <x:v>BBC public-service commission</x:v>
      </x:c>
      <x:c r="AO216" s="14" t="str">
        <x:v>Yes</x:v>
      </x:c>
      <x:c r="AP216" s="14" t="str">
        <x:v>Direct BBC public-service scope</x:v>
      </x:c>
      <x:c r="AQ216" s="14" t="str">
        <x:v>Yes</x:v>
      </x:c>
      <x:c r="AR216" s="14" t="str">
        <x:v>Resolved from master register</x:v>
      </x:c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12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4</x:v>
      </x:c>
      <x:c r="BS216" s="16" t="n">
        <x:v>0.3333333333333333</x:v>
      </x:c>
      <x:c r="BT216" s="14" t="str">
        <x:v>Minority of episodes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tt14063678|nm0114132|lauretta</x:v>
      </x:c>
      <x:c r="B217" s="14" t="str">
        <x:v>04</x:v>
      </x:c>
      <x:c r="C217" s="14" t="str">
        <x:v>2023_IMDb_Cast_Lists_Batch_04(2).xlsx</x:v>
      </x:c>
      <x:c r="D217" s="14" t="str">
        <x:v>The Gold</x:v>
      </x:c>
      <x:c r="E217" s="14" t="n">
        <x:v>43</x:v>
      </x:c>
      <x:c r="F217" s="14" t="str">
        <x:v>The Gold</x:v>
      </x:c>
      <x:c r="G217" s="14" t="str">
        <x:v>tt14063678</x:v>
      </x:c>
      <x:c r="H217" s="14" t="n">
        <x:v>2023</x:v>
      </x:c>
      <x:c r="I217" s="14" t="n">
        <x:v>2023</x:v>
      </x:c>
      <x:c r="J217" s="14" t="str">
        <x:v>Future Carry-Forward Cohort</x:v>
      </x:c>
      <x:c r="K217" s="14"/>
      <x:c r="L217" s="14" t="str">
        <x:v>Not inherited</x:v>
      </x:c>
      <x:c r="M217" s="15" t="n">
        <x:v>36</x:v>
      </x:c>
      <x:c r="N217" s="14" t="str">
        <x:v>Lorna Brown</x:v>
      </x:c>
      <x:c r="O217" s="14" t="str">
        <x:v>nm0114132</x:v>
      </x:c>
      <x:c r="P217" s="14" t="str">
        <x:v>Lauretta</x:v>
      </x:c>
      <x:c r="Q217" s="15" t="n">
        <x:v>3</x:v>
      </x:c>
      <x:c r="R217" s="14" t="str">
        <x:v>2025</x:v>
      </x:c>
      <x:c r="S217" s="14" t="n">
        <x:v>2025</x:v>
      </x:c>
      <x:c r="T217" s="14" t="n">
        <x:v>2025</x:v>
      </x:c>
      <x:c r="U217" s="14" t="str">
        <x:v>Explicit source first year retained</x:v>
      </x:c>
      <x:c r="V217" s="14" t="str">
        <x:v>Earliest supplied year is 2025.</x:v>
      </x:c>
      <x:c r="W217" s="14"/>
      <x:c r="X217" s="14" t="str">
        <x:v>Carried forward to 2025</x:v>
      </x:c>
      <x:c r="Y217" s="14"/>
      <x:c r="Z217" s="14" t="str">
        <x:v>The Gold.docx</x:v>
      </x:c>
      <x:c r="AA21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BBC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7" s="14" t="str">
        <x:v>BBC public-service commission</x:v>
      </x:c>
      <x:c r="AO217" s="14" t="str">
        <x:v>Yes</x:v>
      </x:c>
      <x:c r="AP217" s="14" t="str">
        <x:v>Direct BBC public-service scope</x:v>
      </x:c>
      <x:c r="AQ217" s="14" t="str">
        <x:v>Yes</x:v>
      </x:c>
      <x:c r="AR217" s="14" t="str">
        <x:v>Resolved from master register</x:v>
      </x:c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12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3</x:v>
      </x:c>
      <x:c r="BS217" s="16" t="n">
        <x:v>0.25</x:v>
      </x:c>
      <x:c r="BT217" s="14" t="str">
        <x:v>Minority of episodes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tt14063678|nm0323764|shirley</x:v>
      </x:c>
      <x:c r="B218" s="14" t="str">
        <x:v>04</x:v>
      </x:c>
      <x:c r="C218" s="14" t="str">
        <x:v>2023_IMDb_Cast_Lists_Batch_04(2).xlsx</x:v>
      </x:c>
      <x:c r="D218" s="14" t="str">
        <x:v>The Gold</x:v>
      </x:c>
      <x:c r="E218" s="14" t="n">
        <x:v>44</x:v>
      </x:c>
      <x:c r="F218" s="14" t="str">
        <x:v>The Gold</x:v>
      </x:c>
      <x:c r="G218" s="14" t="str">
        <x:v>tt14063678</x:v>
      </x:c>
      <x:c r="H218" s="14" t="n">
        <x:v>2023</x:v>
      </x:c>
      <x:c r="I218" s="14" t="n">
        <x:v>2023</x:v>
      </x:c>
      <x:c r="J218" s="14" t="str">
        <x:v>Future Carry-Forward Cohort</x:v>
      </x:c>
      <x:c r="K218" s="14"/>
      <x:c r="L218" s="14" t="str">
        <x:v>Not inherited</x:v>
      </x:c>
      <x:c r="M218" s="15" t="n">
        <x:v>37</x:v>
      </x:c>
      <x:c r="N218" s="14" t="str">
        <x:v>Beth Goddard</x:v>
      </x:c>
      <x:c r="O218" s="14" t="str">
        <x:v>nm0323764</x:v>
      </x:c>
      <x:c r="P218" s="14" t="str">
        <x:v>Shirley</x:v>
      </x:c>
      <x:c r="Q218" s="15" t="n">
        <x:v>3</x:v>
      </x:c>
      <x:c r="R218" s="14" t="str">
        <x:v>2025</x:v>
      </x:c>
      <x:c r="S218" s="14" t="n">
        <x:v>2025</x:v>
      </x:c>
      <x:c r="T218" s="14" t="n">
        <x:v>2025</x:v>
      </x:c>
      <x:c r="U218" s="14" t="str">
        <x:v>Explicit source first year retained</x:v>
      </x:c>
      <x:c r="V218" s="14" t="str">
        <x:v>Earliest supplied year is 2025.</x:v>
      </x:c>
      <x:c r="W218" s="14"/>
      <x:c r="X218" s="14" t="str">
        <x:v>Carried forward to 2025</x:v>
      </x:c>
      <x:c r="Y218" s="14"/>
      <x:c r="Z218" s="14" t="str">
        <x:v>The Gold.docx</x:v>
      </x:c>
      <x:c r="AA21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BBC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8" s="14" t="str">
        <x:v>BBC public-service commission</x:v>
      </x:c>
      <x:c r="AO218" s="14" t="str">
        <x:v>Yes</x:v>
      </x:c>
      <x:c r="AP218" s="14" t="str">
        <x:v>Direct BBC public-service scope</x:v>
      </x:c>
      <x:c r="AQ218" s="14" t="str">
        <x:v>Yes</x:v>
      </x:c>
      <x:c r="AR218" s="14" t="str">
        <x:v>Resolved from master register</x:v>
      </x:c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12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3</x:v>
      </x:c>
      <x:c r="BS218" s="16" t="n">
        <x:v>0.25</x:v>
      </x:c>
      <x:c r="BT218" s="14" t="str">
        <x:v>Minority of episodes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tt14063678|nm12549107|linda</x:v>
      </x:c>
      <x:c r="B219" s="14" t="str">
        <x:v>04</x:v>
      </x:c>
      <x:c r="C219" s="14" t="str">
        <x:v>2023_IMDb_Cast_Lists_Batch_04(2).xlsx</x:v>
      </x:c>
      <x:c r="D219" s="14" t="str">
        <x:v>The Gold</x:v>
      </x:c>
      <x:c r="E219" s="14" t="n">
        <x:v>47</x:v>
      </x:c>
      <x:c r="F219" s="14" t="str">
        <x:v>The Gold</x:v>
      </x:c>
      <x:c r="G219" s="14" t="str">
        <x:v>tt14063678</x:v>
      </x:c>
      <x:c r="H219" s="14" t="n">
        <x:v>2023</x:v>
      </x:c>
      <x:c r="I219" s="14" t="n">
        <x:v>2023</x:v>
      </x:c>
      <x:c r="J219" s="14" t="str">
        <x:v>Future Carry-Forward Cohort</x:v>
      </x:c>
      <x:c r="K219" s="14"/>
      <x:c r="L219" s="14" t="str">
        <x:v>Not inherited</x:v>
      </x:c>
      <x:c r="M219" s="15" t="n">
        <x:v>40</x:v>
      </x:c>
      <x:c r="N219" s="14" t="str">
        <x:v>Amelia Isaac Jones</x:v>
      </x:c>
      <x:c r="O219" s="14" t="str">
        <x:v>nm12549107</x:v>
      </x:c>
      <x:c r="P219" s="14" t="str">
        <x:v>Linda</x:v>
      </x:c>
      <x:c r="Q219" s="15" t="n">
        <x:v>3</x:v>
      </x:c>
      <x:c r="R219" s="14" t="str">
        <x:v>2025</x:v>
      </x:c>
      <x:c r="S219" s="14" t="n">
        <x:v>2025</x:v>
      </x:c>
      <x:c r="T219" s="14" t="n">
        <x:v>2025</x:v>
      </x:c>
      <x:c r="U219" s="14" t="str">
        <x:v>Explicit source first year retained</x:v>
      </x:c>
      <x:c r="V219" s="14" t="str">
        <x:v>Earliest supplied year is 2025.</x:v>
      </x:c>
      <x:c r="W219" s="14"/>
      <x:c r="X219" s="14" t="str">
        <x:v>Carried forward to 2025</x:v>
      </x:c>
      <x:c r="Y219" s="14"/>
      <x:c r="Z219" s="14" t="str">
        <x:v>The Gold.docx</x:v>
      </x:c>
      <x:c r="AA21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BBC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19" s="14" t="str">
        <x:v>BBC public-service commission</x:v>
      </x:c>
      <x:c r="AO219" s="14" t="str">
        <x:v>Yes</x:v>
      </x:c>
      <x:c r="AP219" s="14" t="str">
        <x:v>Direct BBC public-service scope</x:v>
      </x:c>
      <x:c r="AQ219" s="14" t="str">
        <x:v>Yes</x:v>
      </x:c>
      <x:c r="AR219" s="14" t="str">
        <x:v>Resolved from master register</x:v>
      </x:c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12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3</x:v>
      </x:c>
      <x:c r="BS219" s="16" t="n">
        <x:v>0.25</x:v>
      </x:c>
      <x:c r="BT219" s="14" t="str">
        <x:v>Minority of episodes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tt14063678|nm3948996|sergio / postman</x:v>
      </x:c>
      <x:c r="B220" s="14" t="str">
        <x:v>04</x:v>
      </x:c>
      <x:c r="C220" s="14" t="str">
        <x:v>2023_IMDb_Cast_Lists_Batch_04(2).xlsx</x:v>
      </x:c>
      <x:c r="D220" s="14" t="str">
        <x:v>The Gold</x:v>
      </x:c>
      <x:c r="E220" s="14" t="n">
        <x:v>50</x:v>
      </x:c>
      <x:c r="F220" s="14" t="str">
        <x:v>The Gold</x:v>
      </x:c>
      <x:c r="G220" s="14" t="str">
        <x:v>tt14063678</x:v>
      </x:c>
      <x:c r="H220" s="14" t="n">
        <x:v>2023</x:v>
      </x:c>
      <x:c r="I220" s="14" t="n">
        <x:v>2023</x:v>
      </x:c>
      <x:c r="J220" s="14" t="str">
        <x:v>Future Carry-Forward Cohort</x:v>
      </x:c>
      <x:c r="K220" s="14"/>
      <x:c r="L220" s="14" t="str">
        <x:v>Not inherited</x:v>
      </x:c>
      <x:c r="M220" s="15" t="n">
        <x:v>43</x:v>
      </x:c>
      <x:c r="N220" s="14" t="str">
        <x:v>Eduardo Ferrés</x:v>
      </x:c>
      <x:c r="O220" s="14" t="str">
        <x:v>nm3948996</x:v>
      </x:c>
      <x:c r="P220" s="14" t="str">
        <x:v>Sergio / Postman</x:v>
      </x:c>
      <x:c r="Q220" s="15" t="n">
        <x:v>3</x:v>
      </x:c>
      <x:c r="R220" s="14" t="str">
        <x:v>2025</x:v>
      </x:c>
      <x:c r="S220" s="14" t="n">
        <x:v>2025</x:v>
      </x:c>
      <x:c r="T220" s="14" t="n">
        <x:v>2025</x:v>
      </x:c>
      <x:c r="U220" s="14" t="str">
        <x:v>Explicit source first year retained</x:v>
      </x:c>
      <x:c r="V220" s="14" t="str">
        <x:v>Earliest supplied year is 2025.</x:v>
      </x:c>
      <x:c r="W220" s="14"/>
      <x:c r="X220" s="14" t="str">
        <x:v>Carried forward to 2025</x:v>
      </x:c>
      <x:c r="Y220" s="14"/>
      <x:c r="Z220" s="14" t="str">
        <x:v>The Gold.docx</x:v>
      </x:c>
      <x:c r="AA22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BBC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0" s="14" t="str">
        <x:v>BBC public-service commission</x:v>
      </x:c>
      <x:c r="AO220" s="14" t="str">
        <x:v>Yes</x:v>
      </x:c>
      <x:c r="AP220" s="14" t="str">
        <x:v>Direct BBC public-service scope</x:v>
      </x:c>
      <x:c r="AQ220" s="14" t="str">
        <x:v>Yes</x:v>
      </x:c>
      <x:c r="AR220" s="14" t="str">
        <x:v>Resolved from master register</x:v>
      </x:c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12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3</x:v>
      </x:c>
      <x:c r="BS220" s="16" t="n">
        <x:v>0.25</x:v>
      </x:c>
      <x:c r="BT220" s="14" t="str">
        <x:v>Minority of episodes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tt14063678|nm6466535|alice harper</x:v>
      </x:c>
      <x:c r="B221" s="14" t="str">
        <x:v>04</x:v>
      </x:c>
      <x:c r="C221" s="14" t="str">
        <x:v>2023_IMDb_Cast_Lists_Batch_04(2).xlsx</x:v>
      </x:c>
      <x:c r="D221" s="14" t="str">
        <x:v>The Gold</x:v>
      </x:c>
      <x:c r="E221" s="14" t="n">
        <x:v>52</x:v>
      </x:c>
      <x:c r="F221" s="14" t="str">
        <x:v>The Gold</x:v>
      </x:c>
      <x:c r="G221" s="14" t="str">
        <x:v>tt14063678</x:v>
      </x:c>
      <x:c r="H221" s="14" t="n">
        <x:v>2023</x:v>
      </x:c>
      <x:c r="I221" s="14" t="n">
        <x:v>2023</x:v>
      </x:c>
      <x:c r="J221" s="14" t="str">
        <x:v>Future Carry-Forward Cohort</x:v>
      </x:c>
      <x:c r="K221" s="14"/>
      <x:c r="L221" s="14" t="str">
        <x:v>Not inherited</x:v>
      </x:c>
      <x:c r="M221" s="15" t="n">
        <x:v>45</x:v>
      </x:c>
      <x:c r="N221" s="14" t="str">
        <x:v>Tamsin Topolski</x:v>
      </x:c>
      <x:c r="O221" s="14" t="str">
        <x:v>nm6466535</x:v>
      </x:c>
      <x:c r="P221" s="14" t="str">
        <x:v>Alice Harper</x:v>
      </x:c>
      <x:c r="Q221" s="15" t="n">
        <x:v>3</x:v>
      </x:c>
      <x:c r="R221" s="14" t="str">
        <x:v>2025</x:v>
      </x:c>
      <x:c r="S221" s="14" t="n">
        <x:v>2025</x:v>
      </x:c>
      <x:c r="T221" s="14" t="n">
        <x:v>2025</x:v>
      </x:c>
      <x:c r="U221" s="14" t="str">
        <x:v>Explicit source first year retained</x:v>
      </x:c>
      <x:c r="V221" s="14" t="str">
        <x:v>Earliest supplied year is 2025.</x:v>
      </x:c>
      <x:c r="W221" s="14"/>
      <x:c r="X221" s="14" t="str">
        <x:v>Carried forward to 2025</x:v>
      </x:c>
      <x:c r="Y221" s="14"/>
      <x:c r="Z221" s="14" t="str">
        <x:v>The Gold.docx</x:v>
      </x:c>
      <x:c r="AA22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BBC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1" s="14" t="str">
        <x:v>BBC public-service commission</x:v>
      </x:c>
      <x:c r="AO221" s="14" t="str">
        <x:v>Yes</x:v>
      </x:c>
      <x:c r="AP221" s="14" t="str">
        <x:v>Direct BBC public-service scope</x:v>
      </x:c>
      <x:c r="AQ221" s="14" t="str">
        <x:v>Yes</x:v>
      </x:c>
      <x:c r="AR221" s="14" t="str">
        <x:v>Resolved from master register</x:v>
      </x:c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12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3</x:v>
      </x:c>
      <x:c r="BS221" s="16" t="n">
        <x:v>0.25</x:v>
      </x:c>
      <x:c r="BT221" s="14" t="str">
        <x:v>Minority of episodes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tt14063678|nm5640405|sarah</x:v>
      </x:c>
      <x:c r="B222" s="14" t="str">
        <x:v>04</x:v>
      </x:c>
      <x:c r="C222" s="14" t="str">
        <x:v>2023_IMDb_Cast_Lists_Batch_04(2).xlsx</x:v>
      </x:c>
      <x:c r="D222" s="14" t="str">
        <x:v>The Gold</x:v>
      </x:c>
      <x:c r="E222" s="14" t="n">
        <x:v>54</x:v>
      </x:c>
      <x:c r="F222" s="14" t="str">
        <x:v>The Gold</x:v>
      </x:c>
      <x:c r="G222" s="14" t="str">
        <x:v>tt14063678</x:v>
      </x:c>
      <x:c r="H222" s="14" t="n">
        <x:v>2023</x:v>
      </x:c>
      <x:c r="I222" s="14" t="n">
        <x:v>2023</x:v>
      </x:c>
      <x:c r="J222" s="14" t="str">
        <x:v>Future Carry-Forward Cohort</x:v>
      </x:c>
      <x:c r="K222" s="14"/>
      <x:c r="L222" s="14" t="str">
        <x:v>Not inherited</x:v>
      </x:c>
      <x:c r="M222" s="15" t="n">
        <x:v>47</x:v>
      </x:c>
      <x:c r="N222" s="14" t="str">
        <x:v>Jennifer Kirby</x:v>
      </x:c>
      <x:c r="O222" s="14" t="str">
        <x:v>nm5640405</x:v>
      </x:c>
      <x:c r="P222" s="14" t="str">
        <x:v>Sarah</x:v>
      </x:c>
      <x:c r="Q222" s="15" t="n">
        <x:v>3</x:v>
      </x:c>
      <x:c r="R222" s="14" t="str">
        <x:v>2025</x:v>
      </x:c>
      <x:c r="S222" s="14" t="n">
        <x:v>2025</x:v>
      </x:c>
      <x:c r="T222" s="14" t="n">
        <x:v>2025</x:v>
      </x:c>
      <x:c r="U222" s="14" t="str">
        <x:v>Explicit source first year retained</x:v>
      </x:c>
      <x:c r="V222" s="14" t="str">
        <x:v>Earliest supplied year is 2025.</x:v>
      </x:c>
      <x:c r="W222" s="14"/>
      <x:c r="X222" s="14" t="str">
        <x:v>Carried forward to 2025</x:v>
      </x:c>
      <x:c r="Y222" s="14"/>
      <x:c r="Z222" s="14" t="str">
        <x:v>The Gold.docx</x:v>
      </x:c>
      <x:c r="AA22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BBC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2" s="14" t="str">
        <x:v>BBC public-service commission</x:v>
      </x:c>
      <x:c r="AO222" s="14" t="str">
        <x:v>Yes</x:v>
      </x:c>
      <x:c r="AP222" s="14" t="str">
        <x:v>Direct BBC public-service scope</x:v>
      </x:c>
      <x:c r="AQ222" s="14" t="str">
        <x:v>Yes</x:v>
      </x:c>
      <x:c r="AR222" s="14" t="str">
        <x:v>Resolved from master register</x:v>
      </x:c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12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3</x:v>
      </x:c>
      <x:c r="BS222" s="16" t="n">
        <x:v>0.25</x:v>
      </x:c>
      <x:c r="BT222" s="14" t="str">
        <x:v>Minority of episodes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tt14063678|nm7858011|scott errico</x:v>
      </x:c>
      <x:c r="B223" s="14" t="str">
        <x:v>04</x:v>
      </x:c>
      <x:c r="C223" s="14" t="str">
        <x:v>2023_IMDb_Cast_Lists_Batch_04(2).xlsx</x:v>
      </x:c>
      <x:c r="D223" s="14" t="str">
        <x:v>The Gold</x:v>
      </x:c>
      <x:c r="E223" s="14" t="n">
        <x:v>56</x:v>
      </x:c>
      <x:c r="F223" s="14" t="str">
        <x:v>The Gold</x:v>
      </x:c>
      <x:c r="G223" s="14" t="str">
        <x:v>tt14063678</x:v>
      </x:c>
      <x:c r="H223" s="14" t="n">
        <x:v>2023</x:v>
      </x:c>
      <x:c r="I223" s="14" t="n">
        <x:v>2023</x:v>
      </x:c>
      <x:c r="J223" s="14" t="str">
        <x:v>Future Carry-Forward Cohort</x:v>
      </x:c>
      <x:c r="K223" s="14"/>
      <x:c r="L223" s="14" t="str">
        <x:v>Not inherited</x:v>
      </x:c>
      <x:c r="M223" s="15" t="n">
        <x:v>49</x:v>
      </x:c>
      <x:c r="N223" s="14" t="str">
        <x:v>Jack Bandeira</x:v>
      </x:c>
      <x:c r="O223" s="14" t="str">
        <x:v>nm7858011</x:v>
      </x:c>
      <x:c r="P223" s="14" t="str">
        <x:v>Scott Errico</x:v>
      </x:c>
      <x:c r="Q223" s="15" t="n">
        <x:v>2</x:v>
      </x:c>
      <x:c r="R223" s="14" t="str">
        <x:v>2025</x:v>
      </x:c>
      <x:c r="S223" s="14" t="n">
        <x:v>2025</x:v>
      </x:c>
      <x:c r="T223" s="14" t="n">
        <x:v>2025</x:v>
      </x:c>
      <x:c r="U223" s="14" t="str">
        <x:v>Explicit source first year retained</x:v>
      </x:c>
      <x:c r="V223" s="14" t="str">
        <x:v>Earliest supplied year is 2025.</x:v>
      </x:c>
      <x:c r="W223" s="14"/>
      <x:c r="X223" s="14" t="str">
        <x:v>Carried forward to 2025</x:v>
      </x:c>
      <x:c r="Y223" s="14"/>
      <x:c r="Z223" s="14" t="str">
        <x:v>The Gold.docx</x:v>
      </x:c>
      <x:c r="AA22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BBC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3" s="14" t="str">
        <x:v>BBC public-service commission</x:v>
      </x:c>
      <x:c r="AO223" s="14" t="str">
        <x:v>Yes</x:v>
      </x:c>
      <x:c r="AP223" s="14" t="str">
        <x:v>Direct BBC public-service scope</x:v>
      </x:c>
      <x:c r="AQ223" s="14" t="str">
        <x:v>Yes</x:v>
      </x:c>
      <x:c r="AR223" s="14" t="str">
        <x:v>Resolved from master register</x:v>
      </x:c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12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2</x:v>
      </x:c>
      <x:c r="BS223" s="16" t="n">
        <x:v>0.16666666666666666</x:v>
      </x:c>
      <x:c r="BT223" s="14" t="str">
        <x:v>Minority of episodes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tt14063678|nm2466976|palmer's secretary</x:v>
      </x:c>
      <x:c r="B224" s="14" t="str">
        <x:v>04</x:v>
      </x:c>
      <x:c r="C224" s="14" t="str">
        <x:v>2023_IMDb_Cast_Lists_Batch_04(2).xlsx</x:v>
      </x:c>
      <x:c r="D224" s="14" t="str">
        <x:v>The Gold</x:v>
      </x:c>
      <x:c r="E224" s="14" t="n">
        <x:v>58</x:v>
      </x:c>
      <x:c r="F224" s="14" t="str">
        <x:v>The Gold</x:v>
      </x:c>
      <x:c r="G224" s="14" t="str">
        <x:v>tt14063678</x:v>
      </x:c>
      <x:c r="H224" s="14" t="n">
        <x:v>2023</x:v>
      </x:c>
      <x:c r="I224" s="14" t="n">
        <x:v>2023</x:v>
      </x:c>
      <x:c r="J224" s="14" t="str">
        <x:v>Future Carry-Forward Cohort</x:v>
      </x:c>
      <x:c r="K224" s="14"/>
      <x:c r="L224" s="14" t="str">
        <x:v>Not inherited</x:v>
      </x:c>
      <x:c r="M224" s="15" t="n">
        <x:v>51</x:v>
      </x:c>
      <x:c r="N224" s="14" t="str">
        <x:v>Anna Coll Miller</x:v>
      </x:c>
      <x:c r="O224" s="14" t="str">
        <x:v>nm2466976</x:v>
      </x:c>
      <x:c r="P224" s="14" t="str">
        <x:v>Palmer's Secretary</x:v>
      </x:c>
      <x:c r="Q224" s="15" t="n">
        <x:v>2</x:v>
      </x:c>
      <x:c r="R224" s="14" t="str">
        <x:v>2025</x:v>
      </x:c>
      <x:c r="S224" s="14" t="n">
        <x:v>2025</x:v>
      </x:c>
      <x:c r="T224" s="14" t="n">
        <x:v>2025</x:v>
      </x:c>
      <x:c r="U224" s="14" t="str">
        <x:v>Explicit source first year retained</x:v>
      </x:c>
      <x:c r="V224" s="14" t="str">
        <x:v>Earliest supplied year is 2025.</x:v>
      </x:c>
      <x:c r="W224" s="14"/>
      <x:c r="X224" s="14" t="str">
        <x:v>Carried forward to 2025</x:v>
      </x:c>
      <x:c r="Y224" s="14" t="str">
        <x:v>(as Anna Coll)</x:v>
      </x:c>
      <x:c r="Z224" s="14" t="str">
        <x:v>The Gold.docx</x:v>
      </x:c>
      <x:c r="AA22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BBC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4" s="14" t="str">
        <x:v>BBC public-service commission</x:v>
      </x:c>
      <x:c r="AO224" s="14" t="str">
        <x:v>Yes</x:v>
      </x:c>
      <x:c r="AP224" s="14" t="str">
        <x:v>Direct BBC public-service scope</x:v>
      </x:c>
      <x:c r="AQ224" s="14" t="str">
        <x:v>Yes</x:v>
      </x:c>
      <x:c r="AR224" s="14" t="str">
        <x:v>Resolved from master register</x:v>
      </x:c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12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2</x:v>
      </x:c>
      <x:c r="BS224" s="16" t="n">
        <x:v>0.16666666666666666</x:v>
      </x:c>
      <x:c r="BT224" s="14" t="str">
        <x:v>Minority of episodes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tt14063678|nm0230577|nick biddiss</x:v>
      </x:c>
      <x:c r="B225" s="14" t="str">
        <x:v>04</x:v>
      </x:c>
      <x:c r="C225" s="14" t="str">
        <x:v>2023_IMDb_Cast_Lists_Batch_04(2).xlsx</x:v>
      </x:c>
      <x:c r="D225" s="14" t="str">
        <x:v>The Gold</x:v>
      </x:c>
      <x:c r="E225" s="14" t="n">
        <x:v>60</x:v>
      </x:c>
      <x:c r="F225" s="14" t="str">
        <x:v>The Gold</x:v>
      </x:c>
      <x:c r="G225" s="14" t="str">
        <x:v>tt14063678</x:v>
      </x:c>
      <x:c r="H225" s="14" t="n">
        <x:v>2023</x:v>
      </x:c>
      <x:c r="I225" s="14" t="n">
        <x:v>2023</x:v>
      </x:c>
      <x:c r="J225" s="14" t="str">
        <x:v>Future Carry-Forward Cohort</x:v>
      </x:c>
      <x:c r="K225" s="14"/>
      <x:c r="L225" s="14" t="str">
        <x:v>Not inherited</x:v>
      </x:c>
      <x:c r="M225" s="15" t="n">
        <x:v>53</x:v>
      </x:c>
      <x:c r="N225" s="14" t="str">
        <x:v>James Doherty</x:v>
      </x:c>
      <x:c r="O225" s="14" t="str">
        <x:v>nm0230577</x:v>
      </x:c>
      <x:c r="P225" s="14" t="str">
        <x:v>Nick Biddiss</x:v>
      </x:c>
      <x:c r="Q225" s="15" t="n">
        <x:v>2</x:v>
      </x:c>
      <x:c r="R225" s="14" t="str">
        <x:v>2025</x:v>
      </x:c>
      <x:c r="S225" s="14" t="n">
        <x:v>2025</x:v>
      </x:c>
      <x:c r="T225" s="14" t="n">
        <x:v>2025</x:v>
      </x:c>
      <x:c r="U225" s="14" t="str">
        <x:v>Explicit source first year retained</x:v>
      </x:c>
      <x:c r="V225" s="14" t="str">
        <x:v>Earliest supplied year is 2025.</x:v>
      </x:c>
      <x:c r="W225" s="14"/>
      <x:c r="X225" s="14" t="str">
        <x:v>Carried forward to 2025</x:v>
      </x:c>
      <x:c r="Y225" s="14"/>
      <x:c r="Z225" s="14" t="str">
        <x:v>The Gold.docx</x:v>
      </x:c>
      <x:c r="AA22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BBC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5" s="14" t="str">
        <x:v>BBC public-service commission</x:v>
      </x:c>
      <x:c r="AO225" s="14" t="str">
        <x:v>Yes</x:v>
      </x:c>
      <x:c r="AP225" s="14" t="str">
        <x:v>Direct BBC public-service scope</x:v>
      </x:c>
      <x:c r="AQ225" s="14" t="str">
        <x:v>Yes</x:v>
      </x:c>
      <x:c r="AR225" s="14" t="str">
        <x:v>Resolved from master register</x:v>
      </x:c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12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2</x:v>
      </x:c>
      <x:c r="BS225" s="16" t="n">
        <x:v>0.16666666666666666</x:v>
      </x:c>
      <x:c r="BT225" s="14" t="str">
        <x:v>Minority of episodes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tt14063678|nm0885847|gloria dominguez</x:v>
      </x:c>
      <x:c r="B226" s="14" t="str">
        <x:v>04</x:v>
      </x:c>
      <x:c r="C226" s="14" t="str">
        <x:v>2023_IMDb_Cast_Lists_Batch_04(2).xlsx</x:v>
      </x:c>
      <x:c r="D226" s="14" t="str">
        <x:v>The Gold</x:v>
      </x:c>
      <x:c r="E226" s="14" t="n">
        <x:v>64</x:v>
      </x:c>
      <x:c r="F226" s="14" t="str">
        <x:v>The Gold</x:v>
      </x:c>
      <x:c r="G226" s="14" t="str">
        <x:v>tt14063678</x:v>
      </x:c>
      <x:c r="H226" s="14" t="n">
        <x:v>2023</x:v>
      </x:c>
      <x:c r="I226" s="14" t="n">
        <x:v>2023</x:v>
      </x:c>
      <x:c r="J226" s="14" t="str">
        <x:v>Future Carry-Forward Cohort</x:v>
      </x:c>
      <x:c r="K226" s="14"/>
      <x:c r="L226" s="14" t="str">
        <x:v>Not inherited</x:v>
      </x:c>
      <x:c r="M226" s="15" t="n">
        <x:v>57</x:v>
      </x:c>
      <x:c r="N226" s="14" t="str">
        <x:v>Mònica Van Campen</x:v>
      </x:c>
      <x:c r="O226" s="14" t="str">
        <x:v>nm0885847</x:v>
      </x:c>
      <x:c r="P226" s="14" t="str">
        <x:v>Gloria Dominguez</x:v>
      </x:c>
      <x:c r="Q226" s="15" t="n">
        <x:v>2</x:v>
      </x:c>
      <x:c r="R226" s="14" t="str">
        <x:v>2025</x:v>
      </x:c>
      <x:c r="S226" s="14" t="n">
        <x:v>2025</x:v>
      </x:c>
      <x:c r="T226" s="14" t="n">
        <x:v>2025</x:v>
      </x:c>
      <x:c r="U226" s="14" t="str">
        <x:v>Explicit source first year retained</x:v>
      </x:c>
      <x:c r="V226" s="14" t="str">
        <x:v>Earliest supplied year is 2025.</x:v>
      </x:c>
      <x:c r="W226" s="14"/>
      <x:c r="X226" s="14" t="str">
        <x:v>Carried forward to 2025</x:v>
      </x:c>
      <x:c r="Y226" s="14"/>
      <x:c r="Z226" s="14" t="str">
        <x:v>The Gold.docx</x:v>
      </x:c>
      <x:c r="AA22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BBC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6" s="14" t="str">
        <x:v>BBC public-service commission</x:v>
      </x:c>
      <x:c r="AO226" s="14" t="str">
        <x:v>Yes</x:v>
      </x:c>
      <x:c r="AP226" s="14" t="str">
        <x:v>Direct BBC public-service scope</x:v>
      </x:c>
      <x:c r="AQ226" s="14" t="str">
        <x:v>Yes</x:v>
      </x:c>
      <x:c r="AR226" s="14" t="str">
        <x:v>Resolved from master register</x:v>
      </x:c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12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2</x:v>
      </x:c>
      <x:c r="BS226" s="16" t="n">
        <x:v>0.16666666666666666</x:v>
      </x:c>
      <x:c r="BT226" s="14" t="str">
        <x:v>Minority of episodes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tt14063678|nm0917347|tina keyes</x:v>
      </x:c>
      <x:c r="B227" s="14" t="str">
        <x:v>04</x:v>
      </x:c>
      <x:c r="C227" s="14" t="str">
        <x:v>2023_IMDb_Cast_Lists_Batch_04(2).xlsx</x:v>
      </x:c>
      <x:c r="D227" s="14" t="str">
        <x:v>The Gold</x:v>
      </x:c>
      <x:c r="E227" s="14" t="n">
        <x:v>67</x:v>
      </x:c>
      <x:c r="F227" s="14" t="str">
        <x:v>The Gold</x:v>
      </x:c>
      <x:c r="G227" s="14" t="str">
        <x:v>tt14063678</x:v>
      </x:c>
      <x:c r="H227" s="14" t="n">
        <x:v>2023</x:v>
      </x:c>
      <x:c r="I227" s="14" t="n">
        <x:v>2023</x:v>
      </x:c>
      <x:c r="J227" s="14" t="str">
        <x:v>Future Carry-Forward Cohort</x:v>
      </x:c>
      <x:c r="K227" s="14"/>
      <x:c r="L227" s="14" t="str">
        <x:v>Not inherited</x:v>
      </x:c>
      <x:c r="M227" s="15" t="n">
        <x:v>60</x:v>
      </x:c>
      <x:c r="N227" s="14" t="str">
        <x:v>Perdita Weeks</x:v>
      </x:c>
      <x:c r="O227" s="14" t="str">
        <x:v>nm0917347</x:v>
      </x:c>
      <x:c r="P227" s="14" t="str">
        <x:v>Tina Keyes</x:v>
      </x:c>
      <x:c r="Q227" s="15" t="n">
        <x:v>2</x:v>
      </x:c>
      <x:c r="R227" s="14" t="str">
        <x:v>2025</x:v>
      </x:c>
      <x:c r="S227" s="14" t="n">
        <x:v>2025</x:v>
      </x:c>
      <x:c r="T227" s="14" t="n">
        <x:v>2025</x:v>
      </x:c>
      <x:c r="U227" s="14" t="str">
        <x:v>Explicit source first year retained</x:v>
      </x:c>
      <x:c r="V227" s="14" t="str">
        <x:v>Earliest supplied year is 2025.</x:v>
      </x:c>
      <x:c r="W227" s="14"/>
      <x:c r="X227" s="14" t="str">
        <x:v>Carried forward to 2025</x:v>
      </x:c>
      <x:c r="Y227" s="14"/>
      <x:c r="Z227" s="14" t="str">
        <x:v>The Gold.docx</x:v>
      </x:c>
      <x:c r="AA22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BBC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7" s="14" t="str">
        <x:v>BBC public-service commission</x:v>
      </x:c>
      <x:c r="AO227" s="14" t="str">
        <x:v>Yes</x:v>
      </x:c>
      <x:c r="AP227" s="14" t="str">
        <x:v>Direct BBC public-service scope</x:v>
      </x:c>
      <x:c r="AQ227" s="14" t="str">
        <x:v>Yes</x:v>
      </x:c>
      <x:c r="AR227" s="14" t="str">
        <x:v>Resolved from master register</x:v>
      </x:c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12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2</x:v>
      </x:c>
      <x:c r="BS227" s="16" t="n">
        <x:v>0.16666666666666666</x:v>
      </x:c>
      <x:c r="BT227" s="14" t="str">
        <x:v>Minority of episodes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tt14063678|nm2372275|alyssa / alyssa banks</x:v>
      </x:c>
      <x:c r="B228" s="14" t="str">
        <x:v>04</x:v>
      </x:c>
      <x:c r="C228" s="14" t="str">
        <x:v>2023_IMDb_Cast_Lists_Batch_04(2).xlsx</x:v>
      </x:c>
      <x:c r="D228" s="14" t="str">
        <x:v>The Gold</x:v>
      </x:c>
      <x:c r="E228" s="14" t="n">
        <x:v>70</x:v>
      </x:c>
      <x:c r="F228" s="14" t="str">
        <x:v>The Gold</x:v>
      </x:c>
      <x:c r="G228" s="14" t="str">
        <x:v>tt14063678</x:v>
      </x:c>
      <x:c r="H228" s="14" t="n">
        <x:v>2023</x:v>
      </x:c>
      <x:c r="I228" s="14" t="n">
        <x:v>2023</x:v>
      </x:c>
      <x:c r="J228" s="14" t="str">
        <x:v>Future Carry-Forward Cohort</x:v>
      </x:c>
      <x:c r="K228" s="14"/>
      <x:c r="L228" s="14" t="str">
        <x:v>Not inherited</x:v>
      </x:c>
      <x:c r="M228" s="15" t="n">
        <x:v>63</x:v>
      </x:c>
      <x:c r="N228" s="14" t="str">
        <x:v>Olivia Grant</x:v>
      </x:c>
      <x:c r="O228" s="14" t="str">
        <x:v>nm2372275</x:v>
      </x:c>
      <x:c r="P228" s="14" t="str">
        <x:v>Alyssa / Alyssa Banks</x:v>
      </x:c>
      <x:c r="Q228" s="15" t="n">
        <x:v>2</x:v>
      </x:c>
      <x:c r="R228" s="14" t="str">
        <x:v>2025</x:v>
      </x:c>
      <x:c r="S228" s="14" t="n">
        <x:v>2025</x:v>
      </x:c>
      <x:c r="T228" s="14" t="n">
        <x:v>2025</x:v>
      </x:c>
      <x:c r="U228" s="14" t="str">
        <x:v>Explicit source first year retained</x:v>
      </x:c>
      <x:c r="V228" s="14" t="str">
        <x:v>Earliest supplied year is 2025.</x:v>
      </x:c>
      <x:c r="W228" s="14"/>
      <x:c r="X228" s="14" t="str">
        <x:v>Carried forward to 2025</x:v>
      </x:c>
      <x:c r="Y228" s="14"/>
      <x:c r="Z228" s="14" t="str">
        <x:v>The Gold.docx</x:v>
      </x:c>
      <x:c r="AA22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BBC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8" s="14" t="str">
        <x:v>BBC public-service commission</x:v>
      </x:c>
      <x:c r="AO228" s="14" t="str">
        <x:v>Yes</x:v>
      </x:c>
      <x:c r="AP228" s="14" t="str">
        <x:v>Direct BBC public-service scope</x:v>
      </x:c>
      <x:c r="AQ228" s="14" t="str">
        <x:v>Yes</x:v>
      </x:c>
      <x:c r="AR228" s="14" t="str">
        <x:v>Resolved from master register</x:v>
      </x:c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12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2</x:v>
      </x:c>
      <x:c r="BS228" s="16" t="n">
        <x:v>0.16666666666666666</x:v>
      </x:c>
      <x:c r="BT228" s="14" t="str">
        <x:v>Minority of episodes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tt14063678|nm6343650|pam</x:v>
      </x:c>
      <x:c r="B229" s="14" t="str">
        <x:v>04</x:v>
      </x:c>
      <x:c r="C229" s="14" t="str">
        <x:v>2023_IMDb_Cast_Lists_Batch_04(2).xlsx</x:v>
      </x:c>
      <x:c r="D229" s="14" t="str">
        <x:v>The Gold</x:v>
      </x:c>
      <x:c r="E229" s="14" t="n">
        <x:v>71</x:v>
      </x:c>
      <x:c r="F229" s="14" t="str">
        <x:v>The Gold</x:v>
      </x:c>
      <x:c r="G229" s="14" t="str">
        <x:v>tt14063678</x:v>
      </x:c>
      <x:c r="H229" s="14" t="n">
        <x:v>2023</x:v>
      </x:c>
      <x:c r="I229" s="14" t="n">
        <x:v>2023</x:v>
      </x:c>
      <x:c r="J229" s="14" t="str">
        <x:v>Future Carry-Forward Cohort</x:v>
      </x:c>
      <x:c r="K229" s="14"/>
      <x:c r="L229" s="14" t="str">
        <x:v>Not inherited</x:v>
      </x:c>
      <x:c r="M229" s="15" t="n">
        <x:v>64</x:v>
      </x:c>
      <x:c r="N229" s="14" t="str">
        <x:v>Julie Nash</x:v>
      </x:c>
      <x:c r="O229" s="14" t="str">
        <x:v>nm6343650</x:v>
      </x:c>
      <x:c r="P229" s="14" t="str">
        <x:v>Pam</x:v>
      </x:c>
      <x:c r="Q229" s="15" t="n">
        <x:v>2</x:v>
      </x:c>
      <x:c r="R229" s="14" t="str">
        <x:v>2025</x:v>
      </x:c>
      <x:c r="S229" s="14" t="n">
        <x:v>2025</x:v>
      </x:c>
      <x:c r="T229" s="14" t="n">
        <x:v>2025</x:v>
      </x:c>
      <x:c r="U229" s="14" t="str">
        <x:v>Explicit source first year retained</x:v>
      </x:c>
      <x:c r="V229" s="14" t="str">
        <x:v>Earliest supplied year is 2025.</x:v>
      </x:c>
      <x:c r="W229" s="14"/>
      <x:c r="X229" s="14" t="str">
        <x:v>Carried forward to 2025</x:v>
      </x:c>
      <x:c r="Y229" s="14"/>
      <x:c r="Z229" s="14" t="str">
        <x:v>The Gold.docx</x:v>
      </x:c>
      <x:c r="AA22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BBC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29" s="14" t="str">
        <x:v>BBC public-service commission</x:v>
      </x:c>
      <x:c r="AO229" s="14" t="str">
        <x:v>Yes</x:v>
      </x:c>
      <x:c r="AP229" s="14" t="str">
        <x:v>Direct BBC public-service scope</x:v>
      </x:c>
      <x:c r="AQ229" s="14" t="str">
        <x:v>Yes</x:v>
      </x:c>
      <x:c r="AR229" s="14" t="str">
        <x:v>Resolved from master register</x:v>
      </x:c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12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2</x:v>
      </x:c>
      <x:c r="BS229" s="16" t="n">
        <x:v>0.16666666666666666</x:v>
      </x:c>
      <x:c r="BT229" s="14" t="str">
        <x:v>Minority of episodes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tt14063678|nm0205289|joey wilkins</x:v>
      </x:c>
      <x:c r="B230" s="14" t="str">
        <x:v>04</x:v>
      </x:c>
      <x:c r="C230" s="14" t="str">
        <x:v>2023_IMDb_Cast_Lists_Batch_04(2).xlsx</x:v>
      </x:c>
      <x:c r="D230" s="14" t="str">
        <x:v>The Gold</x:v>
      </x:c>
      <x:c r="E230" s="14" t="n">
        <x:v>72</x:v>
      </x:c>
      <x:c r="F230" s="14" t="str">
        <x:v>The Gold</x:v>
      </x:c>
      <x:c r="G230" s="14" t="str">
        <x:v>tt14063678</x:v>
      </x:c>
      <x:c r="H230" s="14" t="n">
        <x:v>2023</x:v>
      </x:c>
      <x:c r="I230" s="14" t="n">
        <x:v>2023</x:v>
      </x:c>
      <x:c r="J230" s="14" t="str">
        <x:v>Future Carry-Forward Cohort</x:v>
      </x:c>
      <x:c r="K230" s="14"/>
      <x:c r="L230" s="14" t="str">
        <x:v>Not inherited</x:v>
      </x:c>
      <x:c r="M230" s="15" t="n">
        <x:v>65</x:v>
      </x:c>
      <x:c r="N230" s="14" t="str">
        <x:v>Phil Davis</x:v>
      </x:c>
      <x:c r="O230" s="14" t="str">
        <x:v>nm0205289</x:v>
      </x:c>
      <x:c r="P230" s="14" t="str">
        <x:v>Joey Wilkins</x:v>
      </x:c>
      <x:c r="Q230" s="15" t="n">
        <x:v>1</x:v>
      </x:c>
      <x:c r="R230" s="14" t="str">
        <x:v>2025</x:v>
      </x:c>
      <x:c r="S230" s="14" t="n">
        <x:v>2025</x:v>
      </x:c>
      <x:c r="T230" s="14" t="n">
        <x:v>2025</x:v>
      </x:c>
      <x:c r="U230" s="14" t="str">
        <x:v>Explicit source first year retained</x:v>
      </x:c>
      <x:c r="V230" s="14" t="str">
        <x:v>Earliest supplied year is 2025.</x:v>
      </x:c>
      <x:c r="W230" s="14"/>
      <x:c r="X230" s="14" t="str">
        <x:v>Carried forward to 2025</x:v>
      </x:c>
      <x:c r="Y230" s="14"/>
      <x:c r="Z230" s="14" t="str">
        <x:v>The Gold.docx</x:v>
      </x:c>
      <x:c r="AA23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BBC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0" s="14" t="str">
        <x:v>BBC public-service commission</x:v>
      </x:c>
      <x:c r="AO230" s="14" t="str">
        <x:v>Yes</x:v>
      </x:c>
      <x:c r="AP230" s="14" t="str">
        <x:v>Direct BBC public-service scope</x:v>
      </x:c>
      <x:c r="AQ230" s="14" t="str">
        <x:v>Yes</x:v>
      </x:c>
      <x:c r="AR230" s="14" t="str">
        <x:v>Resolved from master register</x:v>
      </x:c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12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1</x:v>
      </x:c>
      <x:c r="BS230" s="16" t="n">
        <x:v>0.08333333333333333</x:v>
      </x:c>
      <x:c r="BT230" s="14" t="str">
        <x:v>One episode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tt14063678|nm2668439|ethel</x:v>
      </x:c>
      <x:c r="B231" s="14" t="str">
        <x:v>04</x:v>
      </x:c>
      <x:c r="C231" s="14" t="str">
        <x:v>2023_IMDb_Cast_Lists_Batch_04(2).xlsx</x:v>
      </x:c>
      <x:c r="D231" s="14" t="str">
        <x:v>The Gold</x:v>
      </x:c>
      <x:c r="E231" s="14" t="n">
        <x:v>76</x:v>
      </x:c>
      <x:c r="F231" s="14" t="str">
        <x:v>The Gold</x:v>
      </x:c>
      <x:c r="G231" s="14" t="str">
        <x:v>tt14063678</x:v>
      </x:c>
      <x:c r="H231" s="14" t="n">
        <x:v>2023</x:v>
      </x:c>
      <x:c r="I231" s="14" t="n">
        <x:v>2023</x:v>
      </x:c>
      <x:c r="J231" s="14" t="str">
        <x:v>Future Carry-Forward Cohort</x:v>
      </x:c>
      <x:c r="K231" s="14"/>
      <x:c r="L231" s="14" t="str">
        <x:v>Not inherited</x:v>
      </x:c>
      <x:c r="M231" s="15" t="n">
        <x:v>69</x:v>
      </x:c>
      <x:c r="N231" s="14" t="str">
        <x:v>Annie Aldington</x:v>
      </x:c>
      <x:c r="O231" s="14" t="str">
        <x:v>nm2668439</x:v>
      </x:c>
      <x:c r="P231" s="14" t="str">
        <x:v>Ethel</x:v>
      </x:c>
      <x:c r="Q231" s="15" t="n">
        <x:v>1</x:v>
      </x:c>
      <x:c r="R231" s="14" t="str">
        <x:v>2025</x:v>
      </x:c>
      <x:c r="S231" s="14" t="n">
        <x:v>2025</x:v>
      </x:c>
      <x:c r="T231" s="14" t="n">
        <x:v>2025</x:v>
      </x:c>
      <x:c r="U231" s="14" t="str">
        <x:v>Explicit source first year retained</x:v>
      </x:c>
      <x:c r="V231" s="14" t="str">
        <x:v>Earliest supplied year is 2025.</x:v>
      </x:c>
      <x:c r="W231" s="14"/>
      <x:c r="X231" s="14" t="str">
        <x:v>Carried forward to 2025</x:v>
      </x:c>
      <x:c r="Y231" s="14"/>
      <x:c r="Z231" s="14" t="str">
        <x:v>The Gold.docx</x:v>
      </x:c>
      <x:c r="AA23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BBC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1" s="14" t="str">
        <x:v>BBC public-service commission</x:v>
      </x:c>
      <x:c r="AO231" s="14" t="str">
        <x:v>Yes</x:v>
      </x:c>
      <x:c r="AP231" s="14" t="str">
        <x:v>Direct BBC public-service scope</x:v>
      </x:c>
      <x:c r="AQ231" s="14" t="str">
        <x:v>Yes</x:v>
      </x:c>
      <x:c r="AR231" s="14" t="str">
        <x:v>Resolved from master register</x:v>
      </x:c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12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1</x:v>
      </x:c>
      <x:c r="BS231" s="16" t="n">
        <x:v>0.08333333333333333</x:v>
      </x:c>
      <x:c r="BT231" s="14" t="str">
        <x:v>One episode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tt14063678|nm5004033|danny</x:v>
      </x:c>
      <x:c r="B232" s="14" t="str">
        <x:v>04</x:v>
      </x:c>
      <x:c r="C232" s="14" t="str">
        <x:v>2023_IMDb_Cast_Lists_Batch_04(2).xlsx</x:v>
      </x:c>
      <x:c r="D232" s="14" t="str">
        <x:v>The Gold</x:v>
      </x:c>
      <x:c r="E232" s="14" t="n">
        <x:v>79</x:v>
      </x:c>
      <x:c r="F232" s="14" t="str">
        <x:v>The Gold</x:v>
      </x:c>
      <x:c r="G232" s="14" t="str">
        <x:v>tt14063678</x:v>
      </x:c>
      <x:c r="H232" s="14" t="n">
        <x:v>2023</x:v>
      </x:c>
      <x:c r="I232" s="14" t="n">
        <x:v>2023</x:v>
      </x:c>
      <x:c r="J232" s="14" t="str">
        <x:v>Future Carry-Forward Cohort</x:v>
      </x:c>
      <x:c r="K232" s="14"/>
      <x:c r="L232" s="14" t="str">
        <x:v>Not inherited</x:v>
      </x:c>
      <x:c r="M232" s="15" t="n">
        <x:v>72</x:v>
      </x:c>
      <x:c r="N232" s="14" t="str">
        <x:v>Dickie Beau</x:v>
      </x:c>
      <x:c r="O232" s="14" t="str">
        <x:v>nm5004033</x:v>
      </x:c>
      <x:c r="P232" s="14" t="str">
        <x:v>Danny</x:v>
      </x:c>
      <x:c r="Q232" s="15" t="n">
        <x:v>1</x:v>
      </x:c>
      <x:c r="R232" s="14" t="str">
        <x:v>2025</x:v>
      </x:c>
      <x:c r="S232" s="14" t="n">
        <x:v>2025</x:v>
      </x:c>
      <x:c r="T232" s="14" t="n">
        <x:v>2025</x:v>
      </x:c>
      <x:c r="U232" s="14" t="str">
        <x:v>Explicit source first year retained</x:v>
      </x:c>
      <x:c r="V232" s="14" t="str">
        <x:v>Earliest supplied year is 2025.</x:v>
      </x:c>
      <x:c r="W232" s="14"/>
      <x:c r="X232" s="14" t="str">
        <x:v>Carried forward to 2025</x:v>
      </x:c>
      <x:c r="Y232" s="14"/>
      <x:c r="Z232" s="14" t="str">
        <x:v>The Gold.docx</x:v>
      </x:c>
      <x:c r="AA23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BBC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2" s="14" t="str">
        <x:v>BBC public-service commission</x:v>
      </x:c>
      <x:c r="AO232" s="14" t="str">
        <x:v>Yes</x:v>
      </x:c>
      <x:c r="AP232" s="14" t="str">
        <x:v>Direct BBC public-service scope</x:v>
      </x:c>
      <x:c r="AQ232" s="14" t="str">
        <x:v>Yes</x:v>
      </x:c>
      <x:c r="AR232" s="14" t="str">
        <x:v>Resolved from master register</x:v>
      </x:c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12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1</x:v>
      </x:c>
      <x:c r="BS232" s="16" t="n">
        <x:v>0.08333333333333333</x:v>
      </x:c>
      <x:c r="BT232" s="14" t="str">
        <x:v>One episode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tt14063678|nm1510027|dave</x:v>
      </x:c>
      <x:c r="B233" s="14" t="str">
        <x:v>04</x:v>
      </x:c>
      <x:c r="C233" s="14" t="str">
        <x:v>2023_IMDb_Cast_Lists_Batch_04(2).xlsx</x:v>
      </x:c>
      <x:c r="D233" s="14" t="str">
        <x:v>The Gold</x:v>
      </x:c>
      <x:c r="E233" s="14" t="n">
        <x:v>82</x:v>
      </x:c>
      <x:c r="F233" s="14" t="str">
        <x:v>The Gold</x:v>
      </x:c>
      <x:c r="G233" s="14" t="str">
        <x:v>tt14063678</x:v>
      </x:c>
      <x:c r="H233" s="14" t="n">
        <x:v>2023</x:v>
      </x:c>
      <x:c r="I233" s="14" t="n">
        <x:v>2023</x:v>
      </x:c>
      <x:c r="J233" s="14" t="str">
        <x:v>Future Carry-Forward Cohort</x:v>
      </x:c>
      <x:c r="K233" s="14"/>
      <x:c r="L233" s="14" t="str">
        <x:v>Not inherited</x:v>
      </x:c>
      <x:c r="M233" s="15" t="n">
        <x:v>75</x:v>
      </x:c>
      <x:c r="N233" s="14" t="str">
        <x:v>Paul Albertson</x:v>
      </x:c>
      <x:c r="O233" s="14" t="str">
        <x:v>nm1510027</x:v>
      </x:c>
      <x:c r="P233" s="14" t="str">
        <x:v>Dave</x:v>
      </x:c>
      <x:c r="Q233" s="15" t="n">
        <x:v>1</x:v>
      </x:c>
      <x:c r="R233" s="14" t="str">
        <x:v>2025</x:v>
      </x:c>
      <x:c r="S233" s="14" t="n">
        <x:v>2025</x:v>
      </x:c>
      <x:c r="T233" s="14" t="n">
        <x:v>2025</x:v>
      </x:c>
      <x:c r="U233" s="14" t="str">
        <x:v>Explicit source first year retained</x:v>
      </x:c>
      <x:c r="V233" s="14" t="str">
        <x:v>Earliest supplied year is 2025.</x:v>
      </x:c>
      <x:c r="W233" s="14"/>
      <x:c r="X233" s="14" t="str">
        <x:v>Carried forward to 2025</x:v>
      </x:c>
      <x:c r="Y233" s="14"/>
      <x:c r="Z233" s="14" t="str">
        <x:v>The Gold.docx</x:v>
      </x:c>
      <x:c r="AA23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BBC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3" s="14" t="str">
        <x:v>BBC public-service commission</x:v>
      </x:c>
      <x:c r="AO233" s="14" t="str">
        <x:v>Yes</x:v>
      </x:c>
      <x:c r="AP233" s="14" t="str">
        <x:v>Direct BBC public-service scope</x:v>
      </x:c>
      <x:c r="AQ233" s="14" t="str">
        <x:v>Yes</x:v>
      </x:c>
      <x:c r="AR233" s="14" t="str">
        <x:v>Resolved from master register</x:v>
      </x:c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12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1</x:v>
      </x:c>
      <x:c r="BS233" s="16" t="n">
        <x:v>0.08333333333333333</x:v>
      </x:c>
      <x:c r="BT233" s="14" t="str">
        <x:v>One episode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tt14063678|nm7933276|francisca</x:v>
      </x:c>
      <x:c r="B234" s="14" t="str">
        <x:v>04</x:v>
      </x:c>
      <x:c r="C234" s="14" t="str">
        <x:v>2023_IMDb_Cast_Lists_Batch_04(2).xlsx</x:v>
      </x:c>
      <x:c r="D234" s="14" t="str">
        <x:v>The Gold</x:v>
      </x:c>
      <x:c r="E234" s="14" t="n">
        <x:v>83</x:v>
      </x:c>
      <x:c r="F234" s="14" t="str">
        <x:v>The Gold</x:v>
      </x:c>
      <x:c r="G234" s="14" t="str">
        <x:v>tt14063678</x:v>
      </x:c>
      <x:c r="H234" s="14" t="n">
        <x:v>2023</x:v>
      </x:c>
      <x:c r="I234" s="14" t="n">
        <x:v>2023</x:v>
      </x:c>
      <x:c r="J234" s="14" t="str">
        <x:v>Future Carry-Forward Cohort</x:v>
      </x:c>
      <x:c r="K234" s="14"/>
      <x:c r="L234" s="14" t="str">
        <x:v>Not inherited</x:v>
      </x:c>
      <x:c r="M234" s="15" t="n">
        <x:v>76</x:v>
      </x:c>
      <x:c r="N234" s="14" t="str">
        <x:v>Adriana Segurado</x:v>
      </x:c>
      <x:c r="O234" s="14" t="str">
        <x:v>nm7933276</x:v>
      </x:c>
      <x:c r="P234" s="14" t="str">
        <x:v>Francisca</x:v>
      </x:c>
      <x:c r="Q234" s="15" t="n">
        <x:v>1</x:v>
      </x:c>
      <x:c r="R234" s="14" t="str">
        <x:v>2025</x:v>
      </x:c>
      <x:c r="S234" s="14" t="n">
        <x:v>2025</x:v>
      </x:c>
      <x:c r="T234" s="14" t="n">
        <x:v>2025</x:v>
      </x:c>
      <x:c r="U234" s="14" t="str">
        <x:v>Explicit source first year retained</x:v>
      </x:c>
      <x:c r="V234" s="14" t="str">
        <x:v>Earliest supplied year is 2025.</x:v>
      </x:c>
      <x:c r="W234" s="14"/>
      <x:c r="X234" s="14" t="str">
        <x:v>Carried forward to 2025</x:v>
      </x:c>
      <x:c r="Y234" s="14"/>
      <x:c r="Z234" s="14" t="str">
        <x:v>The Gold.docx</x:v>
      </x:c>
      <x:c r="AA23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BBC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4" s="14" t="str">
        <x:v>BBC public-service commission</x:v>
      </x:c>
      <x:c r="AO234" s="14" t="str">
        <x:v>Yes</x:v>
      </x:c>
      <x:c r="AP234" s="14" t="str">
        <x:v>Direct BBC public-service scope</x:v>
      </x:c>
      <x:c r="AQ234" s="14" t="str">
        <x:v>Yes</x:v>
      </x:c>
      <x:c r="AR234" s="14" t="str">
        <x:v>Resolved from master register</x:v>
      </x:c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12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1</x:v>
      </x:c>
      <x:c r="BS234" s="16" t="n">
        <x:v>0.08333333333333333</x:v>
      </x:c>
      <x:c r="BT234" s="14" t="str">
        <x:v>One episode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tt14063678|nm4662005|angie</x:v>
      </x:c>
      <x:c r="B235" s="14" t="str">
        <x:v>04</x:v>
      </x:c>
      <x:c r="C235" s="14" t="str">
        <x:v>2023_IMDb_Cast_Lists_Batch_04(2).xlsx</x:v>
      </x:c>
      <x:c r="D235" s="14" t="str">
        <x:v>The Gold</x:v>
      </x:c>
      <x:c r="E235" s="14" t="n">
        <x:v>84</x:v>
      </x:c>
      <x:c r="F235" s="14" t="str">
        <x:v>The Gold</x:v>
      </x:c>
      <x:c r="G235" s="14" t="str">
        <x:v>tt14063678</x:v>
      </x:c>
      <x:c r="H235" s="14" t="n">
        <x:v>2023</x:v>
      </x:c>
      <x:c r="I235" s="14" t="n">
        <x:v>2023</x:v>
      </x:c>
      <x:c r="J235" s="14" t="str">
        <x:v>Future Carry-Forward Cohort</x:v>
      </x:c>
      <x:c r="K235" s="14"/>
      <x:c r="L235" s="14" t="str">
        <x:v>Not inherited</x:v>
      </x:c>
      <x:c r="M235" s="15" t="n">
        <x:v>77</x:v>
      </x:c>
      <x:c r="N235" s="14" t="str">
        <x:v>Gennifer Becouarn</x:v>
      </x:c>
      <x:c r="O235" s="14" t="str">
        <x:v>nm4662005</x:v>
      </x:c>
      <x:c r="P235" s="14" t="str">
        <x:v>Angie</x:v>
      </x:c>
      <x:c r="Q235" s="15" t="n">
        <x:v>1</x:v>
      </x:c>
      <x:c r="R235" s="14" t="str">
        <x:v>2025</x:v>
      </x:c>
      <x:c r="S235" s="14" t="n">
        <x:v>2025</x:v>
      </x:c>
      <x:c r="T235" s="14" t="n">
        <x:v>2025</x:v>
      </x:c>
      <x:c r="U235" s="14" t="str">
        <x:v>Explicit source first year retained</x:v>
      </x:c>
      <x:c r="V235" s="14" t="str">
        <x:v>Earliest supplied year is 2025.</x:v>
      </x:c>
      <x:c r="W235" s="14"/>
      <x:c r="X235" s="14" t="str">
        <x:v>Carried forward to 2025</x:v>
      </x:c>
      <x:c r="Y235" s="14"/>
      <x:c r="Z235" s="14" t="str">
        <x:v>The Gold.docx</x:v>
      </x:c>
      <x:c r="AA23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BBC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5" s="14" t="str">
        <x:v>BBC public-service commission</x:v>
      </x:c>
      <x:c r="AO235" s="14" t="str">
        <x:v>Yes</x:v>
      </x:c>
      <x:c r="AP235" s="14" t="str">
        <x:v>Direct BBC public-service scope</x:v>
      </x:c>
      <x:c r="AQ235" s="14" t="str">
        <x:v>Yes</x:v>
      </x:c>
      <x:c r="AR235" s="14" t="str">
        <x:v>Resolved from master register</x:v>
      </x:c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12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1</x:v>
      </x:c>
      <x:c r="BS235" s="16" t="n">
        <x:v>0.08333333333333333</x:v>
      </x:c>
      <x:c r="BT235" s="14" t="str">
        <x:v>One episode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tt14063678|nm0033691|judge goodwin</x:v>
      </x:c>
      <x:c r="B236" s="14" t="str">
        <x:v>04</x:v>
      </x:c>
      <x:c r="C236" s="14" t="str">
        <x:v>2023_IMDb_Cast_Lists_Batch_04(2).xlsx</x:v>
      </x:c>
      <x:c r="D236" s="14" t="str">
        <x:v>The Gold</x:v>
      </x:c>
      <x:c r="E236" s="14" t="n">
        <x:v>87</x:v>
      </x:c>
      <x:c r="F236" s="14" t="str">
        <x:v>The Gold</x:v>
      </x:c>
      <x:c r="G236" s="14" t="str">
        <x:v>tt14063678</x:v>
      </x:c>
      <x:c r="H236" s="14" t="n">
        <x:v>2023</x:v>
      </x:c>
      <x:c r="I236" s="14" t="n">
        <x:v>2023</x:v>
      </x:c>
      <x:c r="J236" s="14" t="str">
        <x:v>Future Carry-Forward Cohort</x:v>
      </x:c>
      <x:c r="K236" s="14"/>
      <x:c r="L236" s="14" t="str">
        <x:v>Not inherited</x:v>
      </x:c>
      <x:c r="M236" s="15" t="n">
        <x:v>80</x:v>
      </x:c>
      <x:c r="N236" s="14" t="str">
        <x:v>Karen Archer</x:v>
      </x:c>
      <x:c r="O236" s="14" t="str">
        <x:v>nm0033691</x:v>
      </x:c>
      <x:c r="P236" s="14" t="str">
        <x:v>Judge Goodwin</x:v>
      </x:c>
      <x:c r="Q236" s="15" t="n">
        <x:v>1</x:v>
      </x:c>
      <x:c r="R236" s="14" t="str">
        <x:v>2025</x:v>
      </x:c>
      <x:c r="S236" s="14" t="n">
        <x:v>2025</x:v>
      </x:c>
      <x:c r="T236" s="14" t="n">
        <x:v>2025</x:v>
      </x:c>
      <x:c r="U236" s="14" t="str">
        <x:v>Explicit source first year retained</x:v>
      </x:c>
      <x:c r="V236" s="14" t="str">
        <x:v>Earliest supplied year is 2025.</x:v>
      </x:c>
      <x:c r="W236" s="14"/>
      <x:c r="X236" s="14" t="str">
        <x:v>Carried forward to 2025</x:v>
      </x:c>
      <x:c r="Y236" s="14"/>
      <x:c r="Z236" s="14" t="str">
        <x:v>The Gold.docx</x:v>
      </x:c>
      <x:c r="AA23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BBC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6" s="14" t="str">
        <x:v>BBC public-service commission</x:v>
      </x:c>
      <x:c r="AO236" s="14" t="str">
        <x:v>Yes</x:v>
      </x:c>
      <x:c r="AP236" s="14" t="str">
        <x:v>Direct BBC public-service scope</x:v>
      </x:c>
      <x:c r="AQ236" s="14" t="str">
        <x:v>Yes</x:v>
      </x:c>
      <x:c r="AR236" s="14" t="str">
        <x:v>Resolved from master register</x:v>
      </x:c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12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1</x:v>
      </x:c>
      <x:c r="BS236" s="16" t="n">
        <x:v>0.08333333333333333</x:v>
      </x:c>
      <x:c r="BT236" s="14" t="str">
        <x:v>One episode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tt14063678|nm8395657|spanish policeman</x:v>
      </x:c>
      <x:c r="B237" s="14" t="str">
        <x:v>04</x:v>
      </x:c>
      <x:c r="C237" s="14" t="str">
        <x:v>2023_IMDb_Cast_Lists_Batch_04(2).xlsx</x:v>
      </x:c>
      <x:c r="D237" s="14" t="str">
        <x:v>The Gold</x:v>
      </x:c>
      <x:c r="E237" s="14" t="n">
        <x:v>88</x:v>
      </x:c>
      <x:c r="F237" s="14" t="str">
        <x:v>The Gold</x:v>
      </x:c>
      <x:c r="G237" s="14" t="str">
        <x:v>tt14063678</x:v>
      </x:c>
      <x:c r="H237" s="14" t="n">
        <x:v>2023</x:v>
      </x:c>
      <x:c r="I237" s="14" t="n">
        <x:v>2023</x:v>
      </x:c>
      <x:c r="J237" s="14" t="str">
        <x:v>Future Carry-Forward Cohort</x:v>
      </x:c>
      <x:c r="K237" s="14"/>
      <x:c r="L237" s="14" t="str">
        <x:v>Not inherited</x:v>
      </x:c>
      <x:c r="M237" s="15" t="n">
        <x:v>81</x:v>
      </x:c>
      <x:c r="N237" s="14" t="str">
        <x:v>Nestor Barreto</x:v>
      </x:c>
      <x:c r="O237" s="14" t="str">
        <x:v>nm8395657</x:v>
      </x:c>
      <x:c r="P237" s="14" t="str">
        <x:v>Spanish Policeman</x:v>
      </x:c>
      <x:c r="Q237" s="15" t="n">
        <x:v>1</x:v>
      </x:c>
      <x:c r="R237" s="14" t="str">
        <x:v>2025</x:v>
      </x:c>
      <x:c r="S237" s="14" t="n">
        <x:v>2025</x:v>
      </x:c>
      <x:c r="T237" s="14" t="n">
        <x:v>2025</x:v>
      </x:c>
      <x:c r="U237" s="14" t="str">
        <x:v>Explicit source first year retained</x:v>
      </x:c>
      <x:c r="V237" s="14" t="str">
        <x:v>Earliest supplied year is 2025.</x:v>
      </x:c>
      <x:c r="W237" s="14"/>
      <x:c r="X237" s="14" t="str">
        <x:v>Carried forward to 2025</x:v>
      </x:c>
      <x:c r="Y237" s="14"/>
      <x:c r="Z237" s="14" t="str">
        <x:v>The Gold.docx</x:v>
      </x:c>
      <x:c r="AA23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BBC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7" s="14" t="str">
        <x:v>BBC public-service commission</x:v>
      </x:c>
      <x:c r="AO237" s="14" t="str">
        <x:v>Yes</x:v>
      </x:c>
      <x:c r="AP237" s="14" t="str">
        <x:v>Direct BBC public-service scope</x:v>
      </x:c>
      <x:c r="AQ237" s="14" t="str">
        <x:v>Yes</x:v>
      </x:c>
      <x:c r="AR237" s="14" t="str">
        <x:v>Resolved from master register</x:v>
      </x:c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12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1</x:v>
      </x:c>
      <x:c r="BS237" s="16" t="n">
        <x:v>0.08333333333333333</x:v>
      </x:c>
      <x:c r="BT237" s="14" t="str">
        <x:v>One episode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tt14063678|nm1565422|walter</x:v>
      </x:c>
      <x:c r="B238" s="14" t="str">
        <x:v>04</x:v>
      </x:c>
      <x:c r="C238" s="14" t="str">
        <x:v>2023_IMDb_Cast_Lists_Batch_04(2).xlsx</x:v>
      </x:c>
      <x:c r="D238" s="14" t="str">
        <x:v>The Gold</x:v>
      </x:c>
      <x:c r="E238" s="14" t="n">
        <x:v>90</x:v>
      </x:c>
      <x:c r="F238" s="14" t="str">
        <x:v>The Gold</x:v>
      </x:c>
      <x:c r="G238" s="14" t="str">
        <x:v>tt14063678</x:v>
      </x:c>
      <x:c r="H238" s="14" t="n">
        <x:v>2023</x:v>
      </x:c>
      <x:c r="I238" s="14" t="n">
        <x:v>2023</x:v>
      </x:c>
      <x:c r="J238" s="14" t="str">
        <x:v>Future Carry-Forward Cohort</x:v>
      </x:c>
      <x:c r="K238" s="14"/>
      <x:c r="L238" s="14" t="str">
        <x:v>Not inherited</x:v>
      </x:c>
      <x:c r="M238" s="15" t="n">
        <x:v>83</x:v>
      </x:c>
      <x:c r="N238" s="14" t="str">
        <x:v>Phillip Browne</x:v>
      </x:c>
      <x:c r="O238" s="14" t="str">
        <x:v>nm1565422</x:v>
      </x:c>
      <x:c r="P238" s="14" t="str">
        <x:v>Walter</x:v>
      </x:c>
      <x:c r="Q238" s="15" t="n">
        <x:v>1</x:v>
      </x:c>
      <x:c r="R238" s="14" t="str">
        <x:v>2025</x:v>
      </x:c>
      <x:c r="S238" s="14" t="n">
        <x:v>2025</x:v>
      </x:c>
      <x:c r="T238" s="14" t="n">
        <x:v>2025</x:v>
      </x:c>
      <x:c r="U238" s="14" t="str">
        <x:v>Explicit source first year retained</x:v>
      </x:c>
      <x:c r="V238" s="14" t="str">
        <x:v>Earliest supplied year is 2025.</x:v>
      </x:c>
      <x:c r="W238" s="14"/>
      <x:c r="X238" s="14" t="str">
        <x:v>Carried forward to 2025</x:v>
      </x:c>
      <x:c r="Y238" s="14"/>
      <x:c r="Z238" s="14" t="str">
        <x:v>The Gold.docx</x:v>
      </x:c>
      <x:c r="AA23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BBC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8" s="14" t="str">
        <x:v>BBC public-service commission</x:v>
      </x:c>
      <x:c r="AO238" s="14" t="str">
        <x:v>Yes</x:v>
      </x:c>
      <x:c r="AP238" s="14" t="str">
        <x:v>Direct BBC public-service scope</x:v>
      </x:c>
      <x:c r="AQ238" s="14" t="str">
        <x:v>Yes</x:v>
      </x:c>
      <x:c r="AR238" s="14" t="str">
        <x:v>Resolved from master register</x:v>
      </x:c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12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1</x:v>
      </x:c>
      <x:c r="BS238" s="16" t="n">
        <x:v>0.08333333333333333</x:v>
      </x:c>
      <x:c r="BT238" s="14" t="str">
        <x:v>One episode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tt14063678|nm10195260|waiter</x:v>
      </x:c>
      <x:c r="B239" s="14" t="str">
        <x:v>04</x:v>
      </x:c>
      <x:c r="C239" s="14" t="str">
        <x:v>2023_IMDb_Cast_Lists_Batch_04(2).xlsx</x:v>
      </x:c>
      <x:c r="D239" s="14" t="str">
        <x:v>The Gold</x:v>
      </x:c>
      <x:c r="E239" s="14" t="n">
        <x:v>91</x:v>
      </x:c>
      <x:c r="F239" s="14" t="str">
        <x:v>The Gold</x:v>
      </x:c>
      <x:c r="G239" s="14" t="str">
        <x:v>tt14063678</x:v>
      </x:c>
      <x:c r="H239" s="14" t="n">
        <x:v>2023</x:v>
      </x:c>
      <x:c r="I239" s="14" t="n">
        <x:v>2023</x:v>
      </x:c>
      <x:c r="J239" s="14" t="str">
        <x:v>Future Carry-Forward Cohort</x:v>
      </x:c>
      <x:c r="K239" s="14"/>
      <x:c r="L239" s="14" t="str">
        <x:v>Not inherited</x:v>
      </x:c>
      <x:c r="M239" s="15" t="n">
        <x:v>84</x:v>
      </x:c>
      <x:c r="N239" s="14" t="str">
        <x:v>Toni Báez</x:v>
      </x:c>
      <x:c r="O239" s="14" t="str">
        <x:v>nm10195260</x:v>
      </x:c>
      <x:c r="P239" s="14" t="str">
        <x:v>Waiter</x:v>
      </x:c>
      <x:c r="Q239" s="15" t="n">
        <x:v>1</x:v>
      </x:c>
      <x:c r="R239" s="14" t="str">
        <x:v>2025</x:v>
      </x:c>
      <x:c r="S239" s="14" t="n">
        <x:v>2025</x:v>
      </x:c>
      <x:c r="T239" s="14" t="n">
        <x:v>2025</x:v>
      </x:c>
      <x:c r="U239" s="14" t="str">
        <x:v>Explicit source first year retained</x:v>
      </x:c>
      <x:c r="V239" s="14" t="str">
        <x:v>Earliest supplied year is 2025.</x:v>
      </x:c>
      <x:c r="W239" s="14"/>
      <x:c r="X239" s="14" t="str">
        <x:v>Carried forward to 2025</x:v>
      </x:c>
      <x:c r="Y239" s="14"/>
      <x:c r="Z239" s="14" t="str">
        <x:v>The Gold.docx</x:v>
      </x:c>
      <x:c r="AA23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BBC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39" s="14" t="str">
        <x:v>BBC public-service commission</x:v>
      </x:c>
      <x:c r="AO239" s="14" t="str">
        <x:v>Yes</x:v>
      </x:c>
      <x:c r="AP239" s="14" t="str">
        <x:v>Direct BBC public-service scope</x:v>
      </x:c>
      <x:c r="AQ239" s="14" t="str">
        <x:v>Yes</x:v>
      </x:c>
      <x:c r="AR239" s="14" t="str">
        <x:v>Resolved from master register</x:v>
      </x:c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12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1</x:v>
      </x:c>
      <x:c r="BS239" s="16" t="n">
        <x:v>0.08333333333333333</x:v>
      </x:c>
      <x:c r="BT239" s="14" t="str">
        <x:v>One episode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tt14063678|nm9567905|woman in spain</x:v>
      </x:c>
      <x:c r="B240" s="14" t="str">
        <x:v>04</x:v>
      </x:c>
      <x:c r="C240" s="14" t="str">
        <x:v>2023_IMDb_Cast_Lists_Batch_04(2).xlsx</x:v>
      </x:c>
      <x:c r="D240" s="14" t="str">
        <x:v>The Gold</x:v>
      </x:c>
      <x:c r="E240" s="14" t="n">
        <x:v>94</x:v>
      </x:c>
      <x:c r="F240" s="14" t="str">
        <x:v>The Gold</x:v>
      </x:c>
      <x:c r="G240" s="14" t="str">
        <x:v>tt14063678</x:v>
      </x:c>
      <x:c r="H240" s="14" t="n">
        <x:v>2023</x:v>
      </x:c>
      <x:c r="I240" s="14" t="n">
        <x:v>2023</x:v>
      </x:c>
      <x:c r="J240" s="14" t="str">
        <x:v>Future Carry-Forward Cohort</x:v>
      </x:c>
      <x:c r="K240" s="14"/>
      <x:c r="L240" s="14" t="str">
        <x:v>Not inherited</x:v>
      </x:c>
      <x:c r="M240" s="15" t="n">
        <x:v>87</x:v>
      </x:c>
      <x:c r="N240" s="14" t="str">
        <x:v>Federica Basile</x:v>
      </x:c>
      <x:c r="O240" s="14" t="str">
        <x:v>nm9567905</x:v>
      </x:c>
      <x:c r="P240" s="14" t="str">
        <x:v>Woman in Spain</x:v>
      </x:c>
      <x:c r="Q240" s="15" t="n">
        <x:v>1</x:v>
      </x:c>
      <x:c r="R240" s="14" t="str">
        <x:v>2025</x:v>
      </x:c>
      <x:c r="S240" s="14" t="n">
        <x:v>2025</x:v>
      </x:c>
      <x:c r="T240" s="14" t="n">
        <x:v>2025</x:v>
      </x:c>
      <x:c r="U240" s="14" t="str">
        <x:v>Explicit source first year retained</x:v>
      </x:c>
      <x:c r="V240" s="14" t="str">
        <x:v>Earliest supplied year is 2025.</x:v>
      </x:c>
      <x:c r="W240" s="14"/>
      <x:c r="X240" s="14" t="str">
        <x:v>Carried forward to 2025</x:v>
      </x:c>
      <x:c r="Y240" s="14"/>
      <x:c r="Z240" s="14" t="str">
        <x:v>The Gold.docx</x:v>
      </x:c>
      <x:c r="AA24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BBC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0" s="14" t="str">
        <x:v>BBC public-service commission</x:v>
      </x:c>
      <x:c r="AO240" s="14" t="str">
        <x:v>Yes</x:v>
      </x:c>
      <x:c r="AP240" s="14" t="str">
        <x:v>Direct BBC public-service scope</x:v>
      </x:c>
      <x:c r="AQ240" s="14" t="str">
        <x:v>Yes</x:v>
      </x:c>
      <x:c r="AR240" s="14" t="str">
        <x:v>Resolved from master register</x:v>
      </x:c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12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1</x:v>
      </x:c>
      <x:c r="BS240" s="16" t="n">
        <x:v>0.08333333333333333</x:v>
      </x:c>
      <x:c r="BT240" s="14" t="str">
        <x:v>One episode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tt14063678|nm6398011|jay</x:v>
      </x:c>
      <x:c r="B241" s="14" t="str">
        <x:v>04</x:v>
      </x:c>
      <x:c r="C241" s="14" t="str">
        <x:v>2023_IMDb_Cast_Lists_Batch_04(2).xlsx</x:v>
      </x:c>
      <x:c r="D241" s="14" t="str">
        <x:v>The Gold</x:v>
      </x:c>
      <x:c r="E241" s="14" t="n">
        <x:v>95</x:v>
      </x:c>
      <x:c r="F241" s="14" t="str">
        <x:v>The Gold</x:v>
      </x:c>
      <x:c r="G241" s="14" t="str">
        <x:v>tt14063678</x:v>
      </x:c>
      <x:c r="H241" s="14" t="n">
        <x:v>2023</x:v>
      </x:c>
      <x:c r="I241" s="14" t="n">
        <x:v>2023</x:v>
      </x:c>
      <x:c r="J241" s="14" t="str">
        <x:v>Future Carry-Forward Cohort</x:v>
      </x:c>
      <x:c r="K241" s="14"/>
      <x:c r="L241" s="14" t="str">
        <x:v>Not inherited</x:v>
      </x:c>
      <x:c r="M241" s="15" t="n">
        <x:v>88</x:v>
      </x:c>
      <x:c r="N241" s="14" t="str">
        <x:v>Niall Bishop</x:v>
      </x:c>
      <x:c r="O241" s="14" t="str">
        <x:v>nm6398011</x:v>
      </x:c>
      <x:c r="P241" s="14" t="str">
        <x:v>Jay</x:v>
      </x:c>
      <x:c r="Q241" s="15" t="n">
        <x:v>1</x:v>
      </x:c>
      <x:c r="R241" s="14" t="str">
        <x:v>2025</x:v>
      </x:c>
      <x:c r="S241" s="14" t="n">
        <x:v>2025</x:v>
      </x:c>
      <x:c r="T241" s="14" t="n">
        <x:v>2025</x:v>
      </x:c>
      <x:c r="U241" s="14" t="str">
        <x:v>Explicit source first year retained</x:v>
      </x:c>
      <x:c r="V241" s="14" t="str">
        <x:v>Earliest supplied year is 2025.</x:v>
      </x:c>
      <x:c r="W241" s="14"/>
      <x:c r="X241" s="14" t="str">
        <x:v>Carried forward to 2025</x:v>
      </x:c>
      <x:c r="Y241" s="14"/>
      <x:c r="Z241" s="14" t="str">
        <x:v>The Gold.docx</x:v>
      </x:c>
      <x:c r="AA24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BBC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1" s="14" t="str">
        <x:v>BBC public-service commission</x:v>
      </x:c>
      <x:c r="AO241" s="14" t="str">
        <x:v>Yes</x:v>
      </x:c>
      <x:c r="AP241" s="14" t="str">
        <x:v>Direct BBC public-service scope</x:v>
      </x:c>
      <x:c r="AQ241" s="14" t="str">
        <x:v>Yes</x:v>
      </x:c>
      <x:c r="AR241" s="14" t="str">
        <x:v>Resolved from master register</x:v>
      </x:c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12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1</x:v>
      </x:c>
      <x:c r="BS241" s="16" t="n">
        <x:v>0.08333333333333333</x:v>
      </x:c>
      <x:c r="BT241" s="14" t="str">
        <x:v>One episode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tt14063678|nm1467587|toby williams</x:v>
      </x:c>
      <x:c r="B242" s="14" t="str">
        <x:v>04</x:v>
      </x:c>
      <x:c r="C242" s="14" t="str">
        <x:v>2023_IMDb_Cast_Lists_Batch_04(2).xlsx</x:v>
      </x:c>
      <x:c r="D242" s="14" t="str">
        <x:v>The Gold</x:v>
      </x:c>
      <x:c r="E242" s="14" t="n">
        <x:v>96</x:v>
      </x:c>
      <x:c r="F242" s="14" t="str">
        <x:v>The Gold</x:v>
      </x:c>
      <x:c r="G242" s="14" t="str">
        <x:v>tt14063678</x:v>
      </x:c>
      <x:c r="H242" s="14" t="n">
        <x:v>2023</x:v>
      </x:c>
      <x:c r="I242" s="14" t="n">
        <x:v>2023</x:v>
      </x:c>
      <x:c r="J242" s="14" t="str">
        <x:v>Future Carry-Forward Cohort</x:v>
      </x:c>
      <x:c r="K242" s="14"/>
      <x:c r="L242" s="14" t="str">
        <x:v>Not inherited</x:v>
      </x:c>
      <x:c r="M242" s="15" t="n">
        <x:v>89</x:v>
      </x:c>
      <x:c r="N242" s="14" t="str">
        <x:v>Martin Bell</x:v>
      </x:c>
      <x:c r="O242" s="14" t="str">
        <x:v>nm1467587</x:v>
      </x:c>
      <x:c r="P242" s="14" t="str">
        <x:v>Toby Williams</x:v>
      </x:c>
      <x:c r="Q242" s="15" t="n">
        <x:v>1</x:v>
      </x:c>
      <x:c r="R242" s="14" t="str">
        <x:v>2025</x:v>
      </x:c>
      <x:c r="S242" s="14" t="n">
        <x:v>2025</x:v>
      </x:c>
      <x:c r="T242" s="14" t="n">
        <x:v>2025</x:v>
      </x:c>
      <x:c r="U242" s="14" t="str">
        <x:v>Explicit source first year retained</x:v>
      </x:c>
      <x:c r="V242" s="14" t="str">
        <x:v>Earliest supplied year is 2025.</x:v>
      </x:c>
      <x:c r="W242" s="14"/>
      <x:c r="X242" s="14" t="str">
        <x:v>Carried forward to 2025</x:v>
      </x:c>
      <x:c r="Y242" s="14"/>
      <x:c r="Z242" s="14" t="str">
        <x:v>The Gold.docx</x:v>
      </x:c>
      <x:c r="AA24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2" s="14" t="str">
        <x:v>BBC public-service commission</x:v>
      </x:c>
      <x:c r="AO242" s="14" t="str">
        <x:v>Yes</x:v>
      </x:c>
      <x:c r="AP242" s="14" t="str">
        <x:v>Direct BBC public-service scope</x:v>
      </x:c>
      <x:c r="AQ242" s="14" t="str">
        <x:v>Yes</x:v>
      </x:c>
      <x:c r="AR242" s="14" t="str">
        <x:v>Resolved from master register</x:v>
      </x:c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12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1</x:v>
      </x:c>
      <x:c r="BS242" s="16" t="n">
        <x:v>0.08333333333333333</x:v>
      </x:c>
      <x:c r="BT242" s="14" t="str">
        <x:v>One episode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tt14063678|nm0184893|henry</x:v>
      </x:c>
      <x:c r="B243" s="14" t="str">
        <x:v>04</x:v>
      </x:c>
      <x:c r="C243" s="14" t="str">
        <x:v>2023_IMDb_Cast_Lists_Batch_04(2).xlsx</x:v>
      </x:c>
      <x:c r="D243" s="14" t="str">
        <x:v>The Gold</x:v>
      </x:c>
      <x:c r="E243" s="14" t="n">
        <x:v>100</x:v>
      </x:c>
      <x:c r="F243" s="14" t="str">
        <x:v>The Gold</x:v>
      </x:c>
      <x:c r="G243" s="14" t="str">
        <x:v>tt14063678</x:v>
      </x:c>
      <x:c r="H243" s="14" t="n">
        <x:v>2023</x:v>
      </x:c>
      <x:c r="I243" s="14" t="n">
        <x:v>2023</x:v>
      </x:c>
      <x:c r="J243" s="14" t="str">
        <x:v>Future Carry-Forward Cohort</x:v>
      </x:c>
      <x:c r="K243" s="14"/>
      <x:c r="L243" s="14" t="str">
        <x:v>Not inherited</x:v>
      </x:c>
      <x:c r="M243" s="15" t="n">
        <x:v>93</x:v>
      </x:c>
      <x:c r="N243" s="14" t="str">
        <x:v>Alan Cox</x:v>
      </x:c>
      <x:c r="O243" s="14" t="str">
        <x:v>nm0184893</x:v>
      </x:c>
      <x:c r="P243" s="14" t="str">
        <x:v>Henry</x:v>
      </x:c>
      <x:c r="Q243" s="15" t="n">
        <x:v>1</x:v>
      </x:c>
      <x:c r="R243" s="14" t="str">
        <x:v>2025</x:v>
      </x:c>
      <x:c r="S243" s="14" t="n">
        <x:v>2025</x:v>
      </x:c>
      <x:c r="T243" s="14" t="n">
        <x:v>2025</x:v>
      </x:c>
      <x:c r="U243" s="14" t="str">
        <x:v>Explicit source first year retained</x:v>
      </x:c>
      <x:c r="V243" s="14" t="str">
        <x:v>Earliest supplied year is 2025.</x:v>
      </x:c>
      <x:c r="W243" s="14"/>
      <x:c r="X243" s="14" t="str">
        <x:v>Carried forward to 2025</x:v>
      </x:c>
      <x:c r="Y243" s="14"/>
      <x:c r="Z243" s="14" t="str">
        <x:v>The Gold.docx</x:v>
      </x:c>
      <x:c r="AA24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3" s="14" t="str">
        <x:v>BBC public-service commission</x:v>
      </x:c>
      <x:c r="AO243" s="14" t="str">
        <x:v>Yes</x:v>
      </x:c>
      <x:c r="AP243" s="14" t="str">
        <x:v>Direct BBC public-service scope</x:v>
      </x:c>
      <x:c r="AQ243" s="14" t="str">
        <x:v>Yes</x:v>
      </x:c>
      <x:c r="AR243" s="14" t="str">
        <x:v>Resolved from master register</x:v>
      </x:c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12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1</x:v>
      </x:c>
      <x:c r="BS243" s="16" t="n">
        <x:v>0.08333333333333333</x:v>
      </x:c>
      <x:c r="BT243" s="14" t="str">
        <x:v>One episode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tt14063678|nm0077401|judge instrell</x:v>
      </x:c>
      <x:c r="B244" s="14" t="str">
        <x:v>04</x:v>
      </x:c>
      <x:c r="C244" s="14" t="str">
        <x:v>2023_IMDb_Cast_Lists_Batch_04(2).xlsx</x:v>
      </x:c>
      <x:c r="D244" s="14" t="str">
        <x:v>The Gold</x:v>
      </x:c>
      <x:c r="E244" s="14" t="n">
        <x:v>101</x:v>
      </x:c>
      <x:c r="F244" s="14" t="str">
        <x:v>The Gold</x:v>
      </x:c>
      <x:c r="G244" s="14" t="str">
        <x:v>tt14063678</x:v>
      </x:c>
      <x:c r="H244" s="14" t="n">
        <x:v>2023</x:v>
      </x:c>
      <x:c r="I244" s="14" t="n">
        <x:v>2023</x:v>
      </x:c>
      <x:c r="J244" s="14" t="str">
        <x:v>Future Carry-Forward Cohort</x:v>
      </x:c>
      <x:c r="K244" s="14"/>
      <x:c r="L244" s="14" t="str">
        <x:v>Not inherited</x:v>
      </x:c>
      <x:c r="M244" s="15" t="n">
        <x:v>94</x:v>
      </x:c>
      <x:c r="N244" s="14" t="str">
        <x:v>Tim Berrington</x:v>
      </x:c>
      <x:c r="O244" s="14" t="str">
        <x:v>nm0077401</x:v>
      </x:c>
      <x:c r="P244" s="14" t="str">
        <x:v>Judge Instrell</x:v>
      </x:c>
      <x:c r="Q244" s="15" t="n">
        <x:v>1</x:v>
      </x:c>
      <x:c r="R244" s="14" t="str">
        <x:v>2025</x:v>
      </x:c>
      <x:c r="S244" s="14" t="n">
        <x:v>2025</x:v>
      </x:c>
      <x:c r="T244" s="14" t="n">
        <x:v>2025</x:v>
      </x:c>
      <x:c r="U244" s="14" t="str">
        <x:v>Explicit source first year retained</x:v>
      </x:c>
      <x:c r="V244" s="14" t="str">
        <x:v>Earliest supplied year is 2025.</x:v>
      </x:c>
      <x:c r="W244" s="14"/>
      <x:c r="X244" s="14" t="str">
        <x:v>Carried forward to 2025</x:v>
      </x:c>
      <x:c r="Y244" s="14"/>
      <x:c r="Z244" s="14" t="str">
        <x:v>The Gold.docx</x:v>
      </x:c>
      <x:c r="AA24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4" s="14" t="str">
        <x:v>BBC public-service commission</x:v>
      </x:c>
      <x:c r="AO244" s="14" t="str">
        <x:v>Yes</x:v>
      </x:c>
      <x:c r="AP244" s="14" t="str">
        <x:v>Direct BBC public-service scope</x:v>
      </x:c>
      <x:c r="AQ244" s="14" t="str">
        <x:v>Yes</x:v>
      </x:c>
      <x:c r="AR244" s="14" t="str">
        <x:v>Resolved from master register</x:v>
      </x:c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12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1</x:v>
      </x:c>
      <x:c r="BS244" s="16" t="n">
        <x:v>0.08333333333333333</x:v>
      </x:c>
      <x:c r="BT244" s="14" t="str">
        <x:v>One episode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tt14063678|nm3912429|sunday times journalist</x:v>
      </x:c>
      <x:c r="B245" s="14" t="str">
        <x:v>04</x:v>
      </x:c>
      <x:c r="C245" s="14" t="str">
        <x:v>2023_IMDb_Cast_Lists_Batch_04(2).xlsx</x:v>
      </x:c>
      <x:c r="D245" s="14" t="str">
        <x:v>The Gold</x:v>
      </x:c>
      <x:c r="E245" s="14" t="n">
        <x:v>102</x:v>
      </x:c>
      <x:c r="F245" s="14" t="str">
        <x:v>The Gold</x:v>
      </x:c>
      <x:c r="G245" s="14" t="str">
        <x:v>tt14063678</x:v>
      </x:c>
      <x:c r="H245" s="14" t="n">
        <x:v>2023</x:v>
      </x:c>
      <x:c r="I245" s="14" t="n">
        <x:v>2023</x:v>
      </x:c>
      <x:c r="J245" s="14" t="str">
        <x:v>Future Carry-Forward Cohort</x:v>
      </x:c>
      <x:c r="K245" s="14"/>
      <x:c r="L245" s="14" t="str">
        <x:v>Not inherited</x:v>
      </x:c>
      <x:c r="M245" s="15" t="n">
        <x:v>95</x:v>
      </x:c>
      <x:c r="N245" s="14" t="str">
        <x:v>Simon Brading</x:v>
      </x:c>
      <x:c r="O245" s="14" t="str">
        <x:v>nm3912429</x:v>
      </x:c>
      <x:c r="P245" s="14" t="str">
        <x:v>Sunday Times Journalist</x:v>
      </x:c>
      <x:c r="Q245" s="15" t="n">
        <x:v>1</x:v>
      </x:c>
      <x:c r="R245" s="14" t="str">
        <x:v>2025</x:v>
      </x:c>
      <x:c r="S245" s="14" t="n">
        <x:v>2025</x:v>
      </x:c>
      <x:c r="T245" s="14" t="n">
        <x:v>2025</x:v>
      </x:c>
      <x:c r="U245" s="14" t="str">
        <x:v>Explicit source first year retained</x:v>
      </x:c>
      <x:c r="V245" s="14" t="str">
        <x:v>Earliest supplied year is 2025.</x:v>
      </x:c>
      <x:c r="W245" s="14"/>
      <x:c r="X245" s="14" t="str">
        <x:v>Carried forward to 2025</x:v>
      </x:c>
      <x:c r="Y245" s="14"/>
      <x:c r="Z245" s="14" t="str">
        <x:v>The Gold.docx</x:v>
      </x:c>
      <x:c r="AA24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5" s="14" t="str">
        <x:v>BBC public-service commission</x:v>
      </x:c>
      <x:c r="AO245" s="14" t="str">
        <x:v>Yes</x:v>
      </x:c>
      <x:c r="AP245" s="14" t="str">
        <x:v>Direct BBC public-service scope</x:v>
      </x:c>
      <x:c r="AQ245" s="14" t="str">
        <x:v>Yes</x:v>
      </x:c>
      <x:c r="AR245" s="14" t="str">
        <x:v>Resolved from master register</x:v>
      </x:c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12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1</x:v>
      </x:c>
      <x:c r="BS245" s="16" t="n">
        <x:v>0.08333333333333333</x:v>
      </x:c>
      <x:c r="BT245" s="14" t="str">
        <x:v>One episode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tt14063678|nm0137278|judge cook</x:v>
      </x:c>
      <x:c r="B246" s="14" t="str">
        <x:v>04</x:v>
      </x:c>
      <x:c r="C246" s="14" t="str">
        <x:v>2023_IMDb_Cast_Lists_Batch_04(2).xlsx</x:v>
      </x:c>
      <x:c r="D246" s="14" t="str">
        <x:v>The Gold</x:v>
      </x:c>
      <x:c r="E246" s="14" t="n">
        <x:v>106</x:v>
      </x:c>
      <x:c r="F246" s="14" t="str">
        <x:v>The Gold</x:v>
      </x:c>
      <x:c r="G246" s="14" t="str">
        <x:v>tt14063678</x:v>
      </x:c>
      <x:c r="H246" s="14" t="n">
        <x:v>2023</x:v>
      </x:c>
      <x:c r="I246" s="14" t="n">
        <x:v>2023</x:v>
      </x:c>
      <x:c r="J246" s="14" t="str">
        <x:v>Future Carry-Forward Cohort</x:v>
      </x:c>
      <x:c r="K246" s="14"/>
      <x:c r="L246" s="14" t="str">
        <x:v>Not inherited</x:v>
      </x:c>
      <x:c r="M246" s="15" t="n">
        <x:v>99</x:v>
      </x:c>
      <x:c r="N246" s="14" t="str">
        <x:v>Lachele Carl</x:v>
      </x:c>
      <x:c r="O246" s="14" t="str">
        <x:v>nm0137278</x:v>
      </x:c>
      <x:c r="P246" s="14" t="str">
        <x:v>Judge Cook</x:v>
      </x:c>
      <x:c r="Q246" s="15" t="n">
        <x:v>1</x:v>
      </x:c>
      <x:c r="R246" s="14" t="str">
        <x:v>2025</x:v>
      </x:c>
      <x:c r="S246" s="14" t="n">
        <x:v>2025</x:v>
      </x:c>
      <x:c r="T246" s="14" t="n">
        <x:v>2025</x:v>
      </x:c>
      <x:c r="U246" s="14" t="str">
        <x:v>Explicit source first year retained</x:v>
      </x:c>
      <x:c r="V246" s="14" t="str">
        <x:v>Earliest supplied year is 2025.</x:v>
      </x:c>
      <x:c r="W246" s="14"/>
      <x:c r="X246" s="14" t="str">
        <x:v>Carried forward to 2025</x:v>
      </x:c>
      <x:c r="Y246" s="14"/>
      <x:c r="Z246" s="14" t="str">
        <x:v>The Gold.docx</x:v>
      </x:c>
      <x:c r="AA24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6" s="14" t="str">
        <x:v>BBC public-service commission</x:v>
      </x:c>
      <x:c r="AO246" s="14" t="str">
        <x:v>Yes</x:v>
      </x:c>
      <x:c r="AP246" s="14" t="str">
        <x:v>Direct BBC public-service scope</x:v>
      </x:c>
      <x:c r="AQ246" s="14" t="str">
        <x:v>Yes</x:v>
      </x:c>
      <x:c r="AR246" s="14" t="str">
        <x:v>Resolved from master register</x:v>
      </x:c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12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1</x:v>
      </x:c>
      <x:c r="BS246" s="16" t="n">
        <x:v>0.08333333333333333</x:v>
      </x:c>
      <x:c r="BT246" s="14" t="str">
        <x:v>One episode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tt14063678|nm0274574|javier</x:v>
      </x:c>
      <x:c r="B247" s="14" t="str">
        <x:v>04</x:v>
      </x:c>
      <x:c r="C247" s="14" t="str">
        <x:v>2023_IMDb_Cast_Lists_Batch_04(2).xlsx</x:v>
      </x:c>
      <x:c r="D247" s="14" t="str">
        <x:v>The Gold</x:v>
      </x:c>
      <x:c r="E247" s="14" t="n">
        <x:v>107</x:v>
      </x:c>
      <x:c r="F247" s="14" t="str">
        <x:v>The Gold</x:v>
      </x:c>
      <x:c r="G247" s="14" t="str">
        <x:v>tt14063678</x:v>
      </x:c>
      <x:c r="H247" s="14" t="n">
        <x:v>2023</x:v>
      </x:c>
      <x:c r="I247" s="14" t="n">
        <x:v>2023</x:v>
      </x:c>
      <x:c r="J247" s="14" t="str">
        <x:v>Future Carry-Forward Cohort</x:v>
      </x:c>
      <x:c r="K247" s="14"/>
      <x:c r="L247" s="14" t="str">
        <x:v>Not inherited</x:v>
      </x:c>
      <x:c r="M247" s="15" t="n">
        <x:v>100</x:v>
      </x:c>
      <x:c r="N247" s="14" t="str">
        <x:v>José Luis Ferrer</x:v>
      </x:c>
      <x:c r="O247" s="14" t="str">
        <x:v>nm0274574</x:v>
      </x:c>
      <x:c r="P247" s="14" t="str">
        <x:v>Javier</x:v>
      </x:c>
      <x:c r="Q247" s="15" t="n">
        <x:v>1</x:v>
      </x:c>
      <x:c r="R247" s="14" t="str">
        <x:v>2025</x:v>
      </x:c>
      <x:c r="S247" s="14" t="n">
        <x:v>2025</x:v>
      </x:c>
      <x:c r="T247" s="14" t="n">
        <x:v>2025</x:v>
      </x:c>
      <x:c r="U247" s="14" t="str">
        <x:v>Explicit source first year retained</x:v>
      </x:c>
      <x:c r="V247" s="14" t="str">
        <x:v>Earliest supplied year is 2025.</x:v>
      </x:c>
      <x:c r="W247" s="14"/>
      <x:c r="X247" s="14" t="str">
        <x:v>Carried forward to 2025</x:v>
      </x:c>
      <x:c r="Y247" s="14"/>
      <x:c r="Z247" s="14" t="str">
        <x:v>The Gold.docx</x:v>
      </x:c>
      <x:c r="AA24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7" s="14" t="str">
        <x:v>BBC public-service commission</x:v>
      </x:c>
      <x:c r="AO247" s="14" t="str">
        <x:v>Yes</x:v>
      </x:c>
      <x:c r="AP247" s="14" t="str">
        <x:v>Direct BBC public-service scope</x:v>
      </x:c>
      <x:c r="AQ247" s="14" t="str">
        <x:v>Yes</x:v>
      </x:c>
      <x:c r="AR247" s="14" t="str">
        <x:v>Resolved from master register</x:v>
      </x:c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12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1</x:v>
      </x:c>
      <x:c r="BS247" s="16" t="n">
        <x:v>0.08333333333333333</x:v>
      </x:c>
      <x:c r="BT247" s="14" t="str">
        <x:v>One episode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tt14063678|nm3238734|jed nixon</x:v>
      </x:c>
      <x:c r="B248" s="14" t="str">
        <x:v>04</x:v>
      </x:c>
      <x:c r="C248" s="14" t="str">
        <x:v>2023_IMDb_Cast_Lists_Batch_04(2).xlsx</x:v>
      </x:c>
      <x:c r="D248" s="14" t="str">
        <x:v>The Gold</x:v>
      </x:c>
      <x:c r="E248" s="14" t="n">
        <x:v>109</x:v>
      </x:c>
      <x:c r="F248" s="14" t="str">
        <x:v>The Gold</x:v>
      </x:c>
      <x:c r="G248" s="14" t="str">
        <x:v>tt14063678</x:v>
      </x:c>
      <x:c r="H248" s="14" t="n">
        <x:v>2023</x:v>
      </x:c>
      <x:c r="I248" s="14" t="n">
        <x:v>2023</x:v>
      </x:c>
      <x:c r="J248" s="14" t="str">
        <x:v>Future Carry-Forward Cohort</x:v>
      </x:c>
      <x:c r="K248" s="14"/>
      <x:c r="L248" s="14" t="str">
        <x:v>Not inherited</x:v>
      </x:c>
      <x:c r="M248" s="15" t="n">
        <x:v>102</x:v>
      </x:c>
      <x:c r="N248" s="14" t="str">
        <x:v>Thomas Coombes</x:v>
      </x:c>
      <x:c r="O248" s="14" t="str">
        <x:v>nm3238734</x:v>
      </x:c>
      <x:c r="P248" s="14" t="str">
        <x:v>Jed Nixon</x:v>
      </x:c>
      <x:c r="Q248" s="15" t="n">
        <x:v>1</x:v>
      </x:c>
      <x:c r="R248" s="14" t="str">
        <x:v>2025</x:v>
      </x:c>
      <x:c r="S248" s="14" t="n">
        <x:v>2025</x:v>
      </x:c>
      <x:c r="T248" s="14" t="n">
        <x:v>2025</x:v>
      </x:c>
      <x:c r="U248" s="14" t="str">
        <x:v>Explicit source first year retained</x:v>
      </x:c>
      <x:c r="V248" s="14" t="str">
        <x:v>Earliest supplied year is 2025.</x:v>
      </x:c>
      <x:c r="W248" s="14"/>
      <x:c r="X248" s="14" t="str">
        <x:v>Carried forward to 2025</x:v>
      </x:c>
      <x:c r="Y248" s="14"/>
      <x:c r="Z248" s="14" t="str">
        <x:v>The Gold.docx</x:v>
      </x:c>
      <x:c r="AA24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8" s="14" t="str">
        <x:v>BBC public-service commission</x:v>
      </x:c>
      <x:c r="AO248" s="14" t="str">
        <x:v>Yes</x:v>
      </x:c>
      <x:c r="AP248" s="14" t="str">
        <x:v>Direct BBC public-service scope</x:v>
      </x:c>
      <x:c r="AQ248" s="14" t="str">
        <x:v>Yes</x:v>
      </x:c>
      <x:c r="AR248" s="14" t="str">
        <x:v>Resolved from master register</x:v>
      </x:c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12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1</x:v>
      </x:c>
      <x:c r="BS248" s="16" t="n">
        <x:v>0.08333333333333333</x:v>
      </x:c>
      <x:c r="BT248" s="14" t="str">
        <x:v>One episode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tt14063678|nm10523429|tortola policeman</x:v>
      </x:c>
      <x:c r="B249" s="14" t="str">
        <x:v>04</x:v>
      </x:c>
      <x:c r="C249" s="14" t="str">
        <x:v>2023_IMDb_Cast_Lists_Batch_04(2).xlsx</x:v>
      </x:c>
      <x:c r="D249" s="14" t="str">
        <x:v>The Gold</x:v>
      </x:c>
      <x:c r="E249" s="14" t="n">
        <x:v>113</x:v>
      </x:c>
      <x:c r="F249" s="14" t="str">
        <x:v>The Gold</x:v>
      </x:c>
      <x:c r="G249" s="14" t="str">
        <x:v>tt14063678</x:v>
      </x:c>
      <x:c r="H249" s="14" t="n">
        <x:v>2023</x:v>
      </x:c>
      <x:c r="I249" s="14" t="n">
        <x:v>2023</x:v>
      </x:c>
      <x:c r="J249" s="14" t="str">
        <x:v>Future Carry-Forward Cohort</x:v>
      </x:c>
      <x:c r="K249" s="14"/>
      <x:c r="L249" s="14" t="str">
        <x:v>Not inherited</x:v>
      </x:c>
      <x:c r="M249" s="15" t="n">
        <x:v>106</x:v>
      </x:c>
      <x:c r="N249" s="14" t="str">
        <x:v>Toni Engonga</x:v>
      </x:c>
      <x:c r="O249" s="14" t="str">
        <x:v>nm10523429</x:v>
      </x:c>
      <x:c r="P249" s="14" t="str">
        <x:v>Tortola Policeman</x:v>
      </x:c>
      <x:c r="Q249" s="15" t="n">
        <x:v>1</x:v>
      </x:c>
      <x:c r="R249" s="14" t="str">
        <x:v>2025</x:v>
      </x:c>
      <x:c r="S249" s="14" t="n">
        <x:v>2025</x:v>
      </x:c>
      <x:c r="T249" s="14" t="n">
        <x:v>2025</x:v>
      </x:c>
      <x:c r="U249" s="14" t="str">
        <x:v>Explicit source first year retained</x:v>
      </x:c>
      <x:c r="V249" s="14" t="str">
        <x:v>Earliest supplied year is 2025.</x:v>
      </x:c>
      <x:c r="W249" s="14"/>
      <x:c r="X249" s="14" t="str">
        <x:v>Carried forward to 2025</x:v>
      </x:c>
      <x:c r="Y249" s="14"/>
      <x:c r="Z249" s="14" t="str">
        <x:v>The Gold.docx</x:v>
      </x:c>
      <x:c r="AA24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49" s="14" t="str">
        <x:v>BBC public-service commission</x:v>
      </x:c>
      <x:c r="AO249" s="14" t="str">
        <x:v>Yes</x:v>
      </x:c>
      <x:c r="AP249" s="14" t="str">
        <x:v>Direct BBC public-service scope</x:v>
      </x:c>
      <x:c r="AQ249" s="14" t="str">
        <x:v>Yes</x:v>
      </x:c>
      <x:c r="AR249" s="14" t="str">
        <x:v>Resolved from master register</x:v>
      </x:c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12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1</x:v>
      </x:c>
      <x:c r="BS249" s="16" t="n">
        <x:v>0.08333333333333333</x:v>
      </x:c>
      <x:c r="BT249" s="14" t="str">
        <x:v>One episode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tt14063678|nm1257280|owen dailly</x:v>
      </x:c>
      <x:c r="B250" s="14" t="str">
        <x:v>04</x:v>
      </x:c>
      <x:c r="C250" s="14" t="str">
        <x:v>2023_IMDb_Cast_Lists_Batch_04(2).xlsx</x:v>
      </x:c>
      <x:c r="D250" s="14" t="str">
        <x:v>The Gold</x:v>
      </x:c>
      <x:c r="E250" s="14" t="n">
        <x:v>116</x:v>
      </x:c>
      <x:c r="F250" s="14" t="str">
        <x:v>The Gold</x:v>
      </x:c>
      <x:c r="G250" s="14" t="str">
        <x:v>tt14063678</x:v>
      </x:c>
      <x:c r="H250" s="14" t="n">
        <x:v>2023</x:v>
      </x:c>
      <x:c r="I250" s="14" t="n">
        <x:v>2023</x:v>
      </x:c>
      <x:c r="J250" s="14" t="str">
        <x:v>Future Carry-Forward Cohort</x:v>
      </x:c>
      <x:c r="K250" s="14"/>
      <x:c r="L250" s="14" t="str">
        <x:v>Not inherited</x:v>
      </x:c>
      <x:c r="M250" s="15" t="n">
        <x:v>109</x:v>
      </x:c>
      <x:c r="N250" s="14" t="str">
        <x:v>Matthew Gravelle</x:v>
      </x:c>
      <x:c r="O250" s="14" t="str">
        <x:v>nm1257280</x:v>
      </x:c>
      <x:c r="P250" s="14" t="str">
        <x:v>Owen Dailly</x:v>
      </x:c>
      <x:c r="Q250" s="15" t="n">
        <x:v>1</x:v>
      </x:c>
      <x:c r="R250" s="14" t="str">
        <x:v>2025</x:v>
      </x:c>
      <x:c r="S250" s="14" t="n">
        <x:v>2025</x:v>
      </x:c>
      <x:c r="T250" s="14" t="n">
        <x:v>2025</x:v>
      </x:c>
      <x:c r="U250" s="14" t="str">
        <x:v>Explicit source first year retained</x:v>
      </x:c>
      <x:c r="V250" s="14" t="str">
        <x:v>Earliest supplied year is 2025.</x:v>
      </x:c>
      <x:c r="W250" s="14"/>
      <x:c r="X250" s="14" t="str">
        <x:v>Carried forward to 2025</x:v>
      </x:c>
      <x:c r="Y250" s="14"/>
      <x:c r="Z250" s="14" t="str">
        <x:v>The Gold.docx</x:v>
      </x:c>
      <x:c r="AA25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0" s="14" t="str">
        <x:v>BBC public-service commission</x:v>
      </x:c>
      <x:c r="AO250" s="14" t="str">
        <x:v>Yes</x:v>
      </x:c>
      <x:c r="AP250" s="14" t="str">
        <x:v>Direct BBC public-service scope</x:v>
      </x:c>
      <x:c r="AQ250" s="14" t="str">
        <x:v>Yes</x:v>
      </x:c>
      <x:c r="AR250" s="14" t="str">
        <x:v>Resolved from master register</x:v>
      </x:c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12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1</x:v>
      </x:c>
      <x:c r="BS250" s="16" t="n">
        <x:v>0.08333333333333333</x:v>
      </x:c>
      <x:c r="BT250" s="14" t="str">
        <x:v>One episode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tt14063678|nm0445787|sid</x:v>
      </x:c>
      <x:c r="B251" s="14" t="str">
        <x:v>04</x:v>
      </x:c>
      <x:c r="C251" s="14" t="str">
        <x:v>2023_IMDb_Cast_Lists_Batch_04(2).xlsx</x:v>
      </x:c>
      <x:c r="D251" s="14" t="str">
        <x:v>The Gold</x:v>
      </x:c>
      <x:c r="E251" s="14" t="n">
        <x:v>117</x:v>
      </x:c>
      <x:c r="F251" s="14" t="str">
        <x:v>The Gold</x:v>
      </x:c>
      <x:c r="G251" s="14" t="str">
        <x:v>tt14063678</x:v>
      </x:c>
      <x:c r="H251" s="14" t="n">
        <x:v>2023</x:v>
      </x:c>
      <x:c r="I251" s="14" t="n">
        <x:v>2023</x:v>
      </x:c>
      <x:c r="J251" s="14" t="str">
        <x:v>Future Carry-Forward Cohort</x:v>
      </x:c>
      <x:c r="K251" s="14"/>
      <x:c r="L251" s="14" t="str">
        <x:v>Not inherited</x:v>
      </x:c>
      <x:c r="M251" s="15" t="n">
        <x:v>110</x:v>
      </x:c>
      <x:c r="N251" s="14" t="str">
        <x:v>Tom Keller</x:v>
      </x:c>
      <x:c r="O251" s="14" t="str">
        <x:v>nm0445787</x:v>
      </x:c>
      <x:c r="P251" s="14" t="str">
        <x:v>Sid</x:v>
      </x:c>
      <x:c r="Q251" s="15" t="n">
        <x:v>1</x:v>
      </x:c>
      <x:c r="R251" s="14" t="str">
        <x:v>2025</x:v>
      </x:c>
      <x:c r="S251" s="14" t="n">
        <x:v>2025</x:v>
      </x:c>
      <x:c r="T251" s="14" t="n">
        <x:v>2025</x:v>
      </x:c>
      <x:c r="U251" s="14" t="str">
        <x:v>Explicit source first year retained</x:v>
      </x:c>
      <x:c r="V251" s="14" t="str">
        <x:v>Earliest supplied year is 2025.</x:v>
      </x:c>
      <x:c r="W251" s="14"/>
      <x:c r="X251" s="14" t="str">
        <x:v>Carried forward to 2025</x:v>
      </x:c>
      <x:c r="Y251" s="14"/>
      <x:c r="Z251" s="14" t="str">
        <x:v>The Gold.docx</x:v>
      </x:c>
      <x:c r="AA25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1" s="14" t="str">
        <x:v>BBC public-service commission</x:v>
      </x:c>
      <x:c r="AO251" s="14" t="str">
        <x:v>Yes</x:v>
      </x:c>
      <x:c r="AP251" s="14" t="str">
        <x:v>Direct BBC public-service scope</x:v>
      </x:c>
      <x:c r="AQ251" s="14" t="str">
        <x:v>Yes</x:v>
      </x:c>
      <x:c r="AR251" s="14" t="str">
        <x:v>Resolved from master register</x:v>
      </x:c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12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1</x:v>
      </x:c>
      <x:c r="BS251" s="16" t="n">
        <x:v>0.08333333333333333</x:v>
      </x:c>
      <x:c r="BT251" s="14" t="str">
        <x:v>One episode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tt14063678|nm1535207|magistrate</x:v>
      </x:c>
      <x:c r="B252" s="14" t="str">
        <x:v>04</x:v>
      </x:c>
      <x:c r="C252" s="14" t="str">
        <x:v>2023_IMDb_Cast_Lists_Batch_04(2).xlsx</x:v>
      </x:c>
      <x:c r="D252" s="14" t="str">
        <x:v>The Gold</x:v>
      </x:c>
      <x:c r="E252" s="14" t="n">
        <x:v>118</x:v>
      </x:c>
      <x:c r="F252" s="14" t="str">
        <x:v>The Gold</x:v>
      </x:c>
      <x:c r="G252" s="14" t="str">
        <x:v>tt14063678</x:v>
      </x:c>
      <x:c r="H252" s="14" t="n">
        <x:v>2023</x:v>
      </x:c>
      <x:c r="I252" s="14" t="n">
        <x:v>2023</x:v>
      </x:c>
      <x:c r="J252" s="14" t="str">
        <x:v>Future Carry-Forward Cohort</x:v>
      </x:c>
      <x:c r="K252" s="14"/>
      <x:c r="L252" s="14" t="str">
        <x:v>Not inherited</x:v>
      </x:c>
      <x:c r="M252" s="15" t="n">
        <x:v>111</x:v>
      </x:c>
      <x:c r="N252" s="14" t="str">
        <x:v>Russell Layton</x:v>
      </x:c>
      <x:c r="O252" s="14" t="str">
        <x:v>nm1535207</x:v>
      </x:c>
      <x:c r="P252" s="14" t="str">
        <x:v>Magistrate</x:v>
      </x:c>
      <x:c r="Q252" s="15" t="n">
        <x:v>1</x:v>
      </x:c>
      <x:c r="R252" s="14" t="str">
        <x:v>2025</x:v>
      </x:c>
      <x:c r="S252" s="14" t="n">
        <x:v>2025</x:v>
      </x:c>
      <x:c r="T252" s="14" t="n">
        <x:v>2025</x:v>
      </x:c>
      <x:c r="U252" s="14" t="str">
        <x:v>Explicit source first year retained</x:v>
      </x:c>
      <x:c r="V252" s="14" t="str">
        <x:v>Earliest supplied year is 2025.</x:v>
      </x:c>
      <x:c r="W252" s="14"/>
      <x:c r="X252" s="14" t="str">
        <x:v>Carried forward to 2025</x:v>
      </x:c>
      <x:c r="Y252" s="14"/>
      <x:c r="Z252" s="14" t="str">
        <x:v>The Gold.docx</x:v>
      </x:c>
      <x:c r="AA25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2" s="14" t="str">
        <x:v>BBC public-service commission</x:v>
      </x:c>
      <x:c r="AO252" s="14" t="str">
        <x:v>Yes</x:v>
      </x:c>
      <x:c r="AP252" s="14" t="str">
        <x:v>Direct BBC public-service scope</x:v>
      </x:c>
      <x:c r="AQ252" s="14" t="str">
        <x:v>Yes</x:v>
      </x:c>
      <x:c r="AR252" s="14" t="str">
        <x:v>Resolved from master register</x:v>
      </x:c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12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0.08333333333333333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tt14063678|nm12353903|elaine hunter</x:v>
      </x:c>
      <x:c r="B253" s="14" t="str">
        <x:v>04</x:v>
      </x:c>
      <x:c r="C253" s="14" t="str">
        <x:v>2023_IMDb_Cast_Lists_Batch_04(2).xlsx</x:v>
      </x:c>
      <x:c r="D253" s="14" t="str">
        <x:v>The Gold</x:v>
      </x:c>
      <x:c r="E253" s="14" t="n">
        <x:v>123</x:v>
      </x:c>
      <x:c r="F253" s="14" t="str">
        <x:v>The Gold</x:v>
      </x:c>
      <x:c r="G253" s="14" t="str">
        <x:v>tt14063678</x:v>
      </x:c>
      <x:c r="H253" s="14" t="n">
        <x:v>2023</x:v>
      </x:c>
      <x:c r="I253" s="14" t="n">
        <x:v>2023</x:v>
      </x:c>
      <x:c r="J253" s="14" t="str">
        <x:v>Future Carry-Forward Cohort</x:v>
      </x:c>
      <x:c r="K253" s="14"/>
      <x:c r="L253" s="14" t="str">
        <x:v>Not inherited</x:v>
      </x:c>
      <x:c r="M253" s="15" t="n">
        <x:v>116</x:v>
      </x:c>
      <x:c r="N253" s="14" t="str">
        <x:v>Fiona Marr</x:v>
      </x:c>
      <x:c r="O253" s="14" t="str">
        <x:v>nm12353903</x:v>
      </x:c>
      <x:c r="P253" s="14" t="str">
        <x:v>Elaine Hunter</x:v>
      </x:c>
      <x:c r="Q253" s="15" t="n">
        <x:v>1</x:v>
      </x:c>
      <x:c r="R253" s="14" t="str">
        <x:v>2025</x:v>
      </x:c>
      <x:c r="S253" s="14" t="n">
        <x:v>2025</x:v>
      </x:c>
      <x:c r="T253" s="14" t="n">
        <x:v>2025</x:v>
      </x:c>
      <x:c r="U253" s="14" t="str">
        <x:v>Explicit source first year retained</x:v>
      </x:c>
      <x:c r="V253" s="14" t="str">
        <x:v>Earliest supplied year is 2025.</x:v>
      </x:c>
      <x:c r="W253" s="14"/>
      <x:c r="X253" s="14" t="str">
        <x:v>Carried forward to 2025</x:v>
      </x:c>
      <x:c r="Y253" s="14"/>
      <x:c r="Z253" s="14" t="str">
        <x:v>The Gold.docx</x:v>
      </x:c>
      <x:c r="AA25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3" s="14" t="str">
        <x:v>BBC public-service commission</x:v>
      </x:c>
      <x:c r="AO253" s="14" t="str">
        <x:v>Yes</x:v>
      </x:c>
      <x:c r="AP253" s="14" t="str">
        <x:v>Direct BBC public-service scope</x:v>
      </x:c>
      <x:c r="AQ253" s="14" t="str">
        <x:v>Yes</x:v>
      </x:c>
      <x:c r="AR253" s="14" t="str">
        <x:v>Resolved from master register</x:v>
      </x:c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12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0.08333333333333333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tt14063678|nm16949557|ted</x:v>
      </x:c>
      <x:c r="B254" s="14" t="str">
        <x:v>04</x:v>
      </x:c>
      <x:c r="C254" s="14" t="str">
        <x:v>2023_IMDb_Cast_Lists_Batch_04(2).xlsx</x:v>
      </x:c>
      <x:c r="D254" s="14" t="str">
        <x:v>The Gold</x:v>
      </x:c>
      <x:c r="E254" s="14" t="n">
        <x:v>124</x:v>
      </x:c>
      <x:c r="F254" s="14" t="str">
        <x:v>The Gold</x:v>
      </x:c>
      <x:c r="G254" s="14" t="str">
        <x:v>tt14063678</x:v>
      </x:c>
      <x:c r="H254" s="14" t="n">
        <x:v>2023</x:v>
      </x:c>
      <x:c r="I254" s="14" t="n">
        <x:v>2023</x:v>
      </x:c>
      <x:c r="J254" s="14" t="str">
        <x:v>Future Carry-Forward Cohort</x:v>
      </x:c>
      <x:c r="K254" s="14"/>
      <x:c r="L254" s="14" t="str">
        <x:v>Not inherited</x:v>
      </x:c>
      <x:c r="M254" s="15" t="n">
        <x:v>117</x:v>
      </x:c>
      <x:c r="N254" s="14" t="str">
        <x:v>Caspar Jones</x:v>
      </x:c>
      <x:c r="O254" s="14" t="str">
        <x:v>nm16949557</x:v>
      </x:c>
      <x:c r="P254" s="14" t="str">
        <x:v>Ted</x:v>
      </x:c>
      <x:c r="Q254" s="15" t="n">
        <x:v>1</x:v>
      </x:c>
      <x:c r="R254" s="14" t="str">
        <x:v>2025</x:v>
      </x:c>
      <x:c r="S254" s="14" t="n">
        <x:v>2025</x:v>
      </x:c>
      <x:c r="T254" s="14" t="n">
        <x:v>2025</x:v>
      </x:c>
      <x:c r="U254" s="14" t="str">
        <x:v>Explicit source first year retained</x:v>
      </x:c>
      <x:c r="V254" s="14" t="str">
        <x:v>Earliest supplied year is 2025.</x:v>
      </x:c>
      <x:c r="W254" s="14"/>
      <x:c r="X254" s="14" t="str">
        <x:v>Carried forward to 2025</x:v>
      </x:c>
      <x:c r="Y254" s="14"/>
      <x:c r="Z254" s="14" t="str">
        <x:v>The Gold.docx</x:v>
      </x:c>
      <x:c r="AA25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4" s="14" t="str">
        <x:v>BBC public-service commission</x:v>
      </x:c>
      <x:c r="AO254" s="14" t="str">
        <x:v>Yes</x:v>
      </x:c>
      <x:c r="AP254" s="14" t="str">
        <x:v>Direct BBC public-service scope</x:v>
      </x:c>
      <x:c r="AQ254" s="14" t="str">
        <x:v>Yes</x:v>
      </x:c>
      <x:c r="AR254" s="14" t="str">
        <x:v>Resolved from master register</x:v>
      </x:c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12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0.08333333333333333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tt14063678|nm2171908|véronique</x:v>
      </x:c>
      <x:c r="B255" s="14" t="str">
        <x:v>04</x:v>
      </x:c>
      <x:c r="C255" s="14" t="str">
        <x:v>2023_IMDb_Cast_Lists_Batch_04(2).xlsx</x:v>
      </x:c>
      <x:c r="D255" s="14" t="str">
        <x:v>The Gold</x:v>
      </x:c>
      <x:c r="E255" s="14" t="n">
        <x:v>126</x:v>
      </x:c>
      <x:c r="F255" s="14" t="str">
        <x:v>The Gold</x:v>
      </x:c>
      <x:c r="G255" s="14" t="str">
        <x:v>tt14063678</x:v>
      </x:c>
      <x:c r="H255" s="14" t="n">
        <x:v>2023</x:v>
      </x:c>
      <x:c r="I255" s="14" t="n">
        <x:v>2023</x:v>
      </x:c>
      <x:c r="J255" s="14" t="str">
        <x:v>Future Carry-Forward Cohort</x:v>
      </x:c>
      <x:c r="K255" s="14"/>
      <x:c r="L255" s="14" t="str">
        <x:v>Not inherited</x:v>
      </x:c>
      <x:c r="M255" s="15" t="n">
        <x:v>119</x:v>
      </x:c>
      <x:c r="N255" s="14" t="str">
        <x:v>Ramona Von Pusch</x:v>
      </x:c>
      <x:c r="O255" s="14" t="str">
        <x:v>nm2171908</x:v>
      </x:c>
      <x:c r="P255" s="14" t="str">
        <x:v>Véronique</x:v>
      </x:c>
      <x:c r="Q255" s="15" t="n">
        <x:v>1</x:v>
      </x:c>
      <x:c r="R255" s="14" t="str">
        <x:v>2025</x:v>
      </x:c>
      <x:c r="S255" s="14" t="n">
        <x:v>2025</x:v>
      </x:c>
      <x:c r="T255" s="14" t="n">
        <x:v>2025</x:v>
      </x:c>
      <x:c r="U255" s="14" t="str">
        <x:v>Explicit source first year retained</x:v>
      </x:c>
      <x:c r="V255" s="14" t="str">
        <x:v>Earliest supplied year is 2025.</x:v>
      </x:c>
      <x:c r="W255" s="14"/>
      <x:c r="X255" s="14" t="str">
        <x:v>Carried forward to 2025</x:v>
      </x:c>
      <x:c r="Y255" s="14"/>
      <x:c r="Z255" s="14" t="str">
        <x:v>The Gold.docx</x:v>
      </x:c>
      <x:c r="AA25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5" s="14" t="str">
        <x:v>BBC public-service commission</x:v>
      </x:c>
      <x:c r="AO255" s="14" t="str">
        <x:v>Yes</x:v>
      </x:c>
      <x:c r="AP255" s="14" t="str">
        <x:v>Direct BBC public-service scope</x:v>
      </x:c>
      <x:c r="AQ255" s="14" t="str">
        <x:v>Yes</x:v>
      </x:c>
      <x:c r="AR255" s="14" t="str">
        <x:v>Resolved from master register</x:v>
      </x:c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12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0.08333333333333333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tt14063678|nm3474917|forewoman isla</x:v>
      </x:c>
      <x:c r="B256" s="14" t="str">
        <x:v>04</x:v>
      </x:c>
      <x:c r="C256" s="14" t="str">
        <x:v>2023_IMDb_Cast_Lists_Batch_04(2).xlsx</x:v>
      </x:c>
      <x:c r="D256" s="14" t="str">
        <x:v>The Gold</x:v>
      </x:c>
      <x:c r="E256" s="14" t="n">
        <x:v>127</x:v>
      </x:c>
      <x:c r="F256" s="14" t="str">
        <x:v>The Gold</x:v>
      </x:c>
      <x:c r="G256" s="14" t="str">
        <x:v>tt14063678</x:v>
      </x:c>
      <x:c r="H256" s="14" t="n">
        <x:v>2023</x:v>
      </x:c>
      <x:c r="I256" s="14" t="n">
        <x:v>2023</x:v>
      </x:c>
      <x:c r="J256" s="14" t="str">
        <x:v>Future Carry-Forward Cohort</x:v>
      </x:c>
      <x:c r="K256" s="14"/>
      <x:c r="L256" s="14" t="str">
        <x:v>Not inherited</x:v>
      </x:c>
      <x:c r="M256" s="15" t="n">
        <x:v>120</x:v>
      </x:c>
      <x:c r="N256" s="14" t="str">
        <x:v>Soraya Radford</x:v>
      </x:c>
      <x:c r="O256" s="14" t="str">
        <x:v>nm3474917</x:v>
      </x:c>
      <x:c r="P256" s="14" t="str">
        <x:v>Forewoman Isla</x:v>
      </x:c>
      <x:c r="Q256" s="15" t="n">
        <x:v>1</x:v>
      </x:c>
      <x:c r="R256" s="14" t="str">
        <x:v>2025</x:v>
      </x:c>
      <x:c r="S256" s="14" t="n">
        <x:v>2025</x:v>
      </x:c>
      <x:c r="T256" s="14" t="n">
        <x:v>2025</x:v>
      </x:c>
      <x:c r="U256" s="14" t="str">
        <x:v>Explicit source first year retained</x:v>
      </x:c>
      <x:c r="V256" s="14" t="str">
        <x:v>Earliest supplied year is 2025.</x:v>
      </x:c>
      <x:c r="W256" s="14"/>
      <x:c r="X256" s="14" t="str">
        <x:v>Carried forward to 2025</x:v>
      </x:c>
      <x:c r="Y256" s="14"/>
      <x:c r="Z256" s="14" t="str">
        <x:v>The Gold.docx</x:v>
      </x:c>
      <x:c r="AA25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BBC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6" s="14" t="str">
        <x:v>BBC public-service commission</x:v>
      </x:c>
      <x:c r="AO256" s="14" t="str">
        <x:v>Yes</x:v>
      </x:c>
      <x:c r="AP256" s="14" t="str">
        <x:v>Direct BBC public-service scope</x:v>
      </x:c>
      <x:c r="AQ256" s="14" t="str">
        <x:v>Yes</x:v>
      </x:c>
      <x:c r="AR256" s="14" t="str">
        <x:v>Resolved from master register</x:v>
      </x:c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12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1</x:v>
      </x:c>
      <x:c r="BS256" s="16" t="n">
        <x:v>0.08333333333333333</x:v>
      </x:c>
      <x:c r="BT256" s="14" t="str">
        <x:v>One episode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tt14063678|nm0659373|han-so</x:v>
      </x:c>
      <x:c r="B257" s="14" t="str">
        <x:v>04</x:v>
      </x:c>
      <x:c r="C257" s="14" t="str">
        <x:v>2023_IMDb_Cast_Lists_Batch_04(2).xlsx</x:v>
      </x:c>
      <x:c r="D257" s="14" t="str">
        <x:v>The Gold</x:v>
      </x:c>
      <x:c r="E257" s="14" t="n">
        <x:v>128</x:v>
      </x:c>
      <x:c r="F257" s="14" t="str">
        <x:v>The Gold</x:v>
      </x:c>
      <x:c r="G257" s="14" t="str">
        <x:v>tt14063678</x:v>
      </x:c>
      <x:c r="H257" s="14" t="n">
        <x:v>2023</x:v>
      </x:c>
      <x:c r="I257" s="14" t="n">
        <x:v>2023</x:v>
      </x:c>
      <x:c r="J257" s="14" t="str">
        <x:v>Future Carry-Forward Cohort</x:v>
      </x:c>
      <x:c r="K257" s="14"/>
      <x:c r="L257" s="14" t="str">
        <x:v>Not inherited</x:v>
      </x:c>
      <x:c r="M257" s="15" t="n">
        <x:v>121</x:v>
      </x:c>
      <x:c r="N257" s="14" t="str">
        <x:v>Adrian Pang</x:v>
      </x:c>
      <x:c r="O257" s="14" t="str">
        <x:v>nm0659373</x:v>
      </x:c>
      <x:c r="P257" s="14" t="str">
        <x:v>Han-So</x:v>
      </x:c>
      <x:c r="Q257" s="15" t="n">
        <x:v>1</x:v>
      </x:c>
      <x:c r="R257" s="14" t="str">
        <x:v>2025</x:v>
      </x:c>
      <x:c r="S257" s="14" t="n">
        <x:v>2025</x:v>
      </x:c>
      <x:c r="T257" s="14" t="n">
        <x:v>2025</x:v>
      </x:c>
      <x:c r="U257" s="14" t="str">
        <x:v>Explicit source first year retained</x:v>
      </x:c>
      <x:c r="V257" s="14" t="str">
        <x:v>Earliest supplied year is 2025.</x:v>
      </x:c>
      <x:c r="W257" s="14"/>
      <x:c r="X257" s="14" t="str">
        <x:v>Carried forward to 2025</x:v>
      </x:c>
      <x:c r="Y257" s="14"/>
      <x:c r="Z257" s="14" t="str">
        <x:v>The Gold.docx</x:v>
      </x:c>
      <x:c r="AA25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BBC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7" s="14" t="str">
        <x:v>BBC public-service commission</x:v>
      </x:c>
      <x:c r="AO257" s="14" t="str">
        <x:v>Yes</x:v>
      </x:c>
      <x:c r="AP257" s="14" t="str">
        <x:v>Direct BBC public-service scope</x:v>
      </x:c>
      <x:c r="AQ257" s="14" t="str">
        <x:v>Yes</x:v>
      </x:c>
      <x:c r="AR257" s="14" t="str">
        <x:v>Resolved from master register</x:v>
      </x:c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12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1</x:v>
      </x:c>
      <x:c r="BS257" s="16" t="n">
        <x:v>0.08333333333333333</x:v>
      </x:c>
      <x:c r="BT257" s="14" t="str">
        <x:v>One episode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tt14063678|nm8449814|rosa</x:v>
      </x:c>
      <x:c r="B258" s="14" t="str">
        <x:v>04</x:v>
      </x:c>
      <x:c r="C258" s="14" t="str">
        <x:v>2023_IMDb_Cast_Lists_Batch_04(2).xlsx</x:v>
      </x:c>
      <x:c r="D258" s="14" t="str">
        <x:v>The Gold</x:v>
      </x:c>
      <x:c r="E258" s="14" t="n">
        <x:v>130</x:v>
      </x:c>
      <x:c r="F258" s="14" t="str">
        <x:v>The Gold</x:v>
      </x:c>
      <x:c r="G258" s="14" t="str">
        <x:v>tt14063678</x:v>
      </x:c>
      <x:c r="H258" s="14" t="n">
        <x:v>2023</x:v>
      </x:c>
      <x:c r="I258" s="14" t="n">
        <x:v>2023</x:v>
      </x:c>
      <x:c r="J258" s="14" t="str">
        <x:v>Future Carry-Forward Cohort</x:v>
      </x:c>
      <x:c r="K258" s="14"/>
      <x:c r="L258" s="14" t="str">
        <x:v>Not inherited</x:v>
      </x:c>
      <x:c r="M258" s="15" t="n">
        <x:v>123</x:v>
      </x:c>
      <x:c r="N258" s="14" t="str">
        <x:v>Savannah Steyn</x:v>
      </x:c>
      <x:c r="O258" s="14" t="str">
        <x:v>nm8449814</x:v>
      </x:c>
      <x:c r="P258" s="14" t="str">
        <x:v>Rosa</x:v>
      </x:c>
      <x:c r="Q258" s="15" t="n">
        <x:v>1</x:v>
      </x:c>
      <x:c r="R258" s="14" t="str">
        <x:v>2025</x:v>
      </x:c>
      <x:c r="S258" s="14" t="n">
        <x:v>2025</x:v>
      </x:c>
      <x:c r="T258" s="14" t="n">
        <x:v>2025</x:v>
      </x:c>
      <x:c r="U258" s="14" t="str">
        <x:v>Explicit source first year retained</x:v>
      </x:c>
      <x:c r="V258" s="14" t="str">
        <x:v>Earliest supplied year is 2025.</x:v>
      </x:c>
      <x:c r="W258" s="14"/>
      <x:c r="X258" s="14" t="str">
        <x:v>Carried forward to 2025</x:v>
      </x:c>
      <x:c r="Y258" s="14"/>
      <x:c r="Z258" s="14" t="str">
        <x:v>The Gold.docx</x:v>
      </x:c>
      <x:c r="AA25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BBC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8" s="14" t="str">
        <x:v>BBC public-service commission</x:v>
      </x:c>
      <x:c r="AO258" s="14" t="str">
        <x:v>Yes</x:v>
      </x:c>
      <x:c r="AP258" s="14" t="str">
        <x:v>Direct BBC public-service scope</x:v>
      </x:c>
      <x:c r="AQ258" s="14" t="str">
        <x:v>Yes</x:v>
      </x:c>
      <x:c r="AR258" s="14" t="str">
        <x:v>Resolved from master register</x:v>
      </x:c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12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1</x:v>
      </x:c>
      <x:c r="BS258" s="16" t="n">
        <x:v>0.08333333333333333</x:v>
      </x:c>
      <x:c r="BT258" s="14" t="str">
        <x:v>One episode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tt14063678|nm1518695|superintendent johnston</x:v>
      </x:c>
      <x:c r="B259" s="14" t="str">
        <x:v>04</x:v>
      </x:c>
      <x:c r="C259" s="14" t="str">
        <x:v>2023_IMDb_Cast_Lists_Batch_04(2).xlsx</x:v>
      </x:c>
      <x:c r="D259" s="14" t="str">
        <x:v>The Gold</x:v>
      </x:c>
      <x:c r="E259" s="14" t="n">
        <x:v>131</x:v>
      </x:c>
      <x:c r="F259" s="14" t="str">
        <x:v>The Gold</x:v>
      </x:c>
      <x:c r="G259" s="14" t="str">
        <x:v>tt14063678</x:v>
      </x:c>
      <x:c r="H259" s="14" t="n">
        <x:v>2023</x:v>
      </x:c>
      <x:c r="I259" s="14" t="n">
        <x:v>2023</x:v>
      </x:c>
      <x:c r="J259" s="14" t="str">
        <x:v>Future Carry-Forward Cohort</x:v>
      </x:c>
      <x:c r="K259" s="14"/>
      <x:c r="L259" s="14" t="str">
        <x:v>Not inherited</x:v>
      </x:c>
      <x:c r="M259" s="15" t="n">
        <x:v>124</x:v>
      </x:c>
      <x:c r="N259" s="14" t="str">
        <x:v>Tracy Wiles</x:v>
      </x:c>
      <x:c r="O259" s="14" t="str">
        <x:v>nm1518695</x:v>
      </x:c>
      <x:c r="P259" s="14" t="str">
        <x:v>Superintendent Johnston</x:v>
      </x:c>
      <x:c r="Q259" s="15" t="n">
        <x:v>1</x:v>
      </x:c>
      <x:c r="R259" s="14" t="str">
        <x:v>2025</x:v>
      </x:c>
      <x:c r="S259" s="14" t="n">
        <x:v>2025</x:v>
      </x:c>
      <x:c r="T259" s="14" t="n">
        <x:v>2025</x:v>
      </x:c>
      <x:c r="U259" s="14" t="str">
        <x:v>Explicit source first year retained</x:v>
      </x:c>
      <x:c r="V259" s="14" t="str">
        <x:v>Earliest supplied year is 2025.</x:v>
      </x:c>
      <x:c r="W259" s="14"/>
      <x:c r="X259" s="14" t="str">
        <x:v>Carried forward to 2025</x:v>
      </x:c>
      <x:c r="Y259" s="14"/>
      <x:c r="Z259" s="14" t="str">
        <x:v>The Gold.docx</x:v>
      </x:c>
      <x:c r="AA25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BBC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59" s="14" t="str">
        <x:v>BBC public-service commission</x:v>
      </x:c>
      <x:c r="AO259" s="14" t="str">
        <x:v>Yes</x:v>
      </x:c>
      <x:c r="AP259" s="14" t="str">
        <x:v>Direct BBC public-service scope</x:v>
      </x:c>
      <x:c r="AQ259" s="14" t="str">
        <x:v>Yes</x:v>
      </x:c>
      <x:c r="AR259" s="14" t="str">
        <x:v>Resolved from master register</x:v>
      </x:c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12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1</x:v>
      </x:c>
      <x:c r="BS259" s="16" t="n">
        <x:v>0.08333333333333333</x:v>
      </x:c>
      <x:c r="BT259" s="14" t="str">
        <x:v>One episode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tt14063678|nm0532067|tel</x:v>
      </x:c>
      <x:c r="B260" s="14" t="str">
        <x:v>04</x:v>
      </x:c>
      <x:c r="C260" s="14" t="str">
        <x:v>2023_IMDb_Cast_Lists_Batch_04(2).xlsx</x:v>
      </x:c>
      <x:c r="D260" s="14" t="str">
        <x:v>The Gold</x:v>
      </x:c>
      <x:c r="E260" s="14" t="n">
        <x:v>132</x:v>
      </x:c>
      <x:c r="F260" s="14" t="str">
        <x:v>The Gold</x:v>
      </x:c>
      <x:c r="G260" s="14" t="str">
        <x:v>tt14063678</x:v>
      </x:c>
      <x:c r="H260" s="14" t="n">
        <x:v>2023</x:v>
      </x:c>
      <x:c r="I260" s="14" t="n">
        <x:v>2023</x:v>
      </x:c>
      <x:c r="J260" s="14" t="str">
        <x:v>Future Carry-Forward Cohort</x:v>
      </x:c>
      <x:c r="K260" s="14"/>
      <x:c r="L260" s="14" t="str">
        <x:v>Not inherited</x:v>
      </x:c>
      <x:c r="M260" s="15" t="n">
        <x:v>125</x:v>
      </x:c>
      <x:c r="N260" s="14" t="str">
        <x:v>Colin Mace</x:v>
      </x:c>
      <x:c r="O260" s="14" t="str">
        <x:v>nm0532067</x:v>
      </x:c>
      <x:c r="P260" s="14" t="str">
        <x:v>Tel</x:v>
      </x:c>
      <x:c r="Q260" s="15" t="n">
        <x:v>1</x:v>
      </x:c>
      <x:c r="R260" s="14" t="str">
        <x:v>2025</x:v>
      </x:c>
      <x:c r="S260" s="14" t="n">
        <x:v>2025</x:v>
      </x:c>
      <x:c r="T260" s="14" t="n">
        <x:v>2025</x:v>
      </x:c>
      <x:c r="U260" s="14" t="str">
        <x:v>Explicit source first year retained</x:v>
      </x:c>
      <x:c r="V260" s="14" t="str">
        <x:v>Earliest supplied year is 2025.</x:v>
      </x:c>
      <x:c r="W260" s="14"/>
      <x:c r="X260" s="14" t="str">
        <x:v>Carried forward to 2025</x:v>
      </x:c>
      <x:c r="Y260" s="14"/>
      <x:c r="Z260" s="14" t="str">
        <x:v>The Gold.docx</x:v>
      </x:c>
      <x:c r="AA26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BBC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0" s="14" t="str">
        <x:v>BBC public-service commission</x:v>
      </x:c>
      <x:c r="AO260" s="14" t="str">
        <x:v>Yes</x:v>
      </x:c>
      <x:c r="AP260" s="14" t="str">
        <x:v>Direct BBC public-service scope</x:v>
      </x:c>
      <x:c r="AQ260" s="14" t="str">
        <x:v>Yes</x:v>
      </x:c>
      <x:c r="AR260" s="14" t="str">
        <x:v>Resolved from master register</x:v>
      </x:c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12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1</x:v>
      </x:c>
      <x:c r="BS260" s="16" t="n">
        <x:v>0.08333333333333333</x:v>
      </x:c>
      <x:c r="BT260" s="14" t="str">
        <x:v>One episode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tt14063678|nm4506767|wendy</x:v>
      </x:c>
      <x:c r="B261" s="14" t="str">
        <x:v>04</x:v>
      </x:c>
      <x:c r="C261" s="14" t="str">
        <x:v>2023_IMDb_Cast_Lists_Batch_04(2).xlsx</x:v>
      </x:c>
      <x:c r="D261" s="14" t="str">
        <x:v>The Gold</x:v>
      </x:c>
      <x:c r="E261" s="14" t="n">
        <x:v>137</x:v>
      </x:c>
      <x:c r="F261" s="14" t="str">
        <x:v>The Gold</x:v>
      </x:c>
      <x:c r="G261" s="14" t="str">
        <x:v>tt14063678</x:v>
      </x:c>
      <x:c r="H261" s="14" t="n">
        <x:v>2023</x:v>
      </x:c>
      <x:c r="I261" s="14" t="n">
        <x:v>2023</x:v>
      </x:c>
      <x:c r="J261" s="14" t="str">
        <x:v>Future Carry-Forward Cohort</x:v>
      </x:c>
      <x:c r="K261" s="14"/>
      <x:c r="L261" s="14" t="str">
        <x:v>Not inherited</x:v>
      </x:c>
      <x:c r="M261" s="15" t="n">
        <x:v>130</x:v>
      </x:c>
      <x:c r="N261" s="14" t="str">
        <x:v>Phoebe Pryce</x:v>
      </x:c>
      <x:c r="O261" s="14" t="str">
        <x:v>nm4506767</x:v>
      </x:c>
      <x:c r="P261" s="14" t="str">
        <x:v>Wendy</x:v>
      </x:c>
      <x:c r="Q261" s="15" t="n">
        <x:v>1</x:v>
      </x:c>
      <x:c r="R261" s="14" t="str">
        <x:v>2025</x:v>
      </x:c>
      <x:c r="S261" s="14" t="n">
        <x:v>2025</x:v>
      </x:c>
      <x:c r="T261" s="14" t="n">
        <x:v>2025</x:v>
      </x:c>
      <x:c r="U261" s="14" t="str">
        <x:v>Explicit source first year retained</x:v>
      </x:c>
      <x:c r="V261" s="14" t="str">
        <x:v>Earliest supplied year is 2025.</x:v>
      </x:c>
      <x:c r="W261" s="14"/>
      <x:c r="X261" s="14" t="str">
        <x:v>Carried forward to 2025</x:v>
      </x:c>
      <x:c r="Y261" s="14"/>
      <x:c r="Z261" s="14" t="str">
        <x:v>The Gold.docx</x:v>
      </x:c>
      <x:c r="AA26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BBC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1" s="14" t="str">
        <x:v>BBC public-service commission</x:v>
      </x:c>
      <x:c r="AO261" s="14" t="str">
        <x:v>Yes</x:v>
      </x:c>
      <x:c r="AP261" s="14" t="str">
        <x:v>Direct BBC public-service scope</x:v>
      </x:c>
      <x:c r="AQ261" s="14" t="str">
        <x:v>Yes</x:v>
      </x:c>
      <x:c r="AR261" s="14" t="str">
        <x:v>Resolved from master register</x:v>
      </x:c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12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1</x:v>
      </x:c>
      <x:c r="BS261" s="16" t="n">
        <x:v>0.08333333333333333</x:v>
      </x:c>
      <x:c r="BT261" s="14" t="str">
        <x:v>One episode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tt14063678|nm2715484|bank manager</x:v>
      </x:c>
      <x:c r="B262" s="14" t="str">
        <x:v>04</x:v>
      </x:c>
      <x:c r="C262" s="14" t="str">
        <x:v>2023_IMDb_Cast_Lists_Batch_04(2).xlsx</x:v>
      </x:c>
      <x:c r="D262" s="14" t="str">
        <x:v>The Gold</x:v>
      </x:c>
      <x:c r="E262" s="14" t="n">
        <x:v>147</x:v>
      </x:c>
      <x:c r="F262" s="14" t="str">
        <x:v>The Gold</x:v>
      </x:c>
      <x:c r="G262" s="14" t="str">
        <x:v>tt14063678</x:v>
      </x:c>
      <x:c r="H262" s="14" t="n">
        <x:v>2023</x:v>
      </x:c>
      <x:c r="I262" s="14" t="n">
        <x:v>2023</x:v>
      </x:c>
      <x:c r="J262" s="14" t="str">
        <x:v>Future Carry-Forward Cohort</x:v>
      </x:c>
      <x:c r="K262" s="14"/>
      <x:c r="L262" s="14" t="str">
        <x:v>Not inherited</x:v>
      </x:c>
      <x:c r="M262" s="15" t="n">
        <x:v>140</x:v>
      </x:c>
      <x:c r="N262" s="14" t="str">
        <x:v>Diego Santos</x:v>
      </x:c>
      <x:c r="O262" s="14" t="str">
        <x:v>nm2715484</x:v>
      </x:c>
      <x:c r="P262" s="14" t="str">
        <x:v>Bank Manager</x:v>
      </x:c>
      <x:c r="Q262" s="15" t="n">
        <x:v>1</x:v>
      </x:c>
      <x:c r="R262" s="14" t="str">
        <x:v>2025</x:v>
      </x:c>
      <x:c r="S262" s="14" t="n">
        <x:v>2025</x:v>
      </x:c>
      <x:c r="T262" s="14" t="n">
        <x:v>2025</x:v>
      </x:c>
      <x:c r="U262" s="14" t="str">
        <x:v>Explicit source first year retained</x:v>
      </x:c>
      <x:c r="V262" s="14" t="str">
        <x:v>Earliest supplied year is 2025.</x:v>
      </x:c>
      <x:c r="W262" s="14"/>
      <x:c r="X262" s="14" t="str">
        <x:v>Carried forward to 2025</x:v>
      </x:c>
      <x:c r="Y262" s="14"/>
      <x:c r="Z262" s="14" t="str">
        <x:v>The Gold.docx</x:v>
      </x:c>
      <x:c r="AA26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BBC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2" s="14" t="str">
        <x:v>BBC public-service commission</x:v>
      </x:c>
      <x:c r="AO262" s="14" t="str">
        <x:v>Yes</x:v>
      </x:c>
      <x:c r="AP262" s="14" t="str">
        <x:v>Direct BBC public-service scope</x:v>
      </x:c>
      <x:c r="AQ262" s="14" t="str">
        <x:v>Yes</x:v>
      </x:c>
      <x:c r="AR262" s="14" t="str">
        <x:v>Resolved from master register</x:v>
      </x:c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12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1</x:v>
      </x:c>
      <x:c r="BS262" s="16" t="n">
        <x:v>0.08333333333333333</x:v>
      </x:c>
      <x:c r="BT262" s="14" t="str">
        <x:v>One episode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tt14063678|nm1186094|clive</x:v>
      </x:c>
      <x:c r="B263" s="14" t="str">
        <x:v>04</x:v>
      </x:c>
      <x:c r="C263" s="14" t="str">
        <x:v>2023_IMDb_Cast_Lists_Batch_04(2).xlsx</x:v>
      </x:c>
      <x:c r="D263" s="14" t="str">
        <x:v>The Gold</x:v>
      </x:c>
      <x:c r="E263" s="14" t="n">
        <x:v>157</x:v>
      </x:c>
      <x:c r="F263" s="14" t="str">
        <x:v>The Gold</x:v>
      </x:c>
      <x:c r="G263" s="14" t="str">
        <x:v>tt14063678</x:v>
      </x:c>
      <x:c r="H263" s="14" t="n">
        <x:v>2023</x:v>
      </x:c>
      <x:c r="I263" s="14" t="n">
        <x:v>2023</x:v>
      </x:c>
      <x:c r="J263" s="14" t="str">
        <x:v>Future Carry-Forward Cohort</x:v>
      </x:c>
      <x:c r="K263" s="14"/>
      <x:c r="L263" s="14" t="str">
        <x:v>Not inherited</x:v>
      </x:c>
      <x:c r="M263" s="15" t="n">
        <x:v>150</x:v>
      </x:c>
      <x:c r="N263" s="14" t="str">
        <x:v>Jonathan Rhodes</x:v>
      </x:c>
      <x:c r="O263" s="14" t="str">
        <x:v>nm1186094</x:v>
      </x:c>
      <x:c r="P263" s="14" t="str">
        <x:v>Clive</x:v>
      </x:c>
      <x:c r="Q263" s="15" t="n">
        <x:v>1</x:v>
      </x:c>
      <x:c r="R263" s="14" t="str">
        <x:v>2025</x:v>
      </x:c>
      <x:c r="S263" s="14" t="n">
        <x:v>2025</x:v>
      </x:c>
      <x:c r="T263" s="14" t="n">
        <x:v>2025</x:v>
      </x:c>
      <x:c r="U263" s="14" t="str">
        <x:v>Explicit source first year retained</x:v>
      </x:c>
      <x:c r="V263" s="14" t="str">
        <x:v>Earliest supplied year is 2025.</x:v>
      </x:c>
      <x:c r="W263" s="14"/>
      <x:c r="X263" s="14" t="str">
        <x:v>Carried forward to 2025</x:v>
      </x:c>
      <x:c r="Y263" s="14"/>
      <x:c r="Z263" s="14" t="str">
        <x:v>The Gold.docx</x:v>
      </x:c>
      <x:c r="AA26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BBC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3" s="14" t="str">
        <x:v>BBC public-service commission</x:v>
      </x:c>
      <x:c r="AO263" s="14" t="str">
        <x:v>Yes</x:v>
      </x:c>
      <x:c r="AP263" s="14" t="str">
        <x:v>Direct BBC public-service scope</x:v>
      </x:c>
      <x:c r="AQ263" s="14" t="str">
        <x:v>Yes</x:v>
      </x:c>
      <x:c r="AR263" s="14" t="str">
        <x:v>Resolved from master register</x:v>
      </x:c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12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1</x:v>
      </x:c>
      <x:c r="BS263" s="16" t="n">
        <x:v>0.08333333333333333</x:v>
      </x:c>
      <x:c r="BT263" s="14" t="str">
        <x:v>One episode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tt14063678|nm9794343|armed police officer #1</x:v>
      </x:c>
      <x:c r="B264" s="14" t="str">
        <x:v>04</x:v>
      </x:c>
      <x:c r="C264" s="14" t="str">
        <x:v>2023_IMDb_Cast_Lists_Batch_04(2).xlsx</x:v>
      </x:c>
      <x:c r="D264" s="14" t="str">
        <x:v>The Gold</x:v>
      </x:c>
      <x:c r="E264" s="14" t="n">
        <x:v>158</x:v>
      </x:c>
      <x:c r="F264" s="14" t="str">
        <x:v>The Gold</x:v>
      </x:c>
      <x:c r="G264" s="14" t="str">
        <x:v>tt14063678</x:v>
      </x:c>
      <x:c r="H264" s="14" t="n">
        <x:v>2023</x:v>
      </x:c>
      <x:c r="I264" s="14" t="n">
        <x:v>2023</x:v>
      </x:c>
      <x:c r="J264" s="14" t="str">
        <x:v>Future Carry-Forward Cohort</x:v>
      </x:c>
      <x:c r="K264" s="14"/>
      <x:c r="L264" s="14" t="str">
        <x:v>Not inherited</x:v>
      </x:c>
      <x:c r="M264" s="15" t="n">
        <x:v>151</x:v>
      </x:c>
      <x:c r="N264" s="14" t="str">
        <x:v>Alex Mason</x:v>
      </x:c>
      <x:c r="O264" s="14" t="str">
        <x:v>nm9794343</x:v>
      </x:c>
      <x:c r="P264" s="14" t="str">
        <x:v>Armed Police Officer #1</x:v>
      </x:c>
      <x:c r="Q264" s="15" t="n">
        <x:v>1</x:v>
      </x:c>
      <x:c r="R264" s="14" t="str">
        <x:v>2025</x:v>
      </x:c>
      <x:c r="S264" s="14" t="n">
        <x:v>2025</x:v>
      </x:c>
      <x:c r="T264" s="14" t="n">
        <x:v>2025</x:v>
      </x:c>
      <x:c r="U264" s="14" t="str">
        <x:v>Explicit source first year retained</x:v>
      </x:c>
      <x:c r="V264" s="14" t="str">
        <x:v>Earliest supplied year is 2025.</x:v>
      </x:c>
      <x:c r="W264" s="14"/>
      <x:c r="X264" s="14" t="str">
        <x:v>Carried forward to 2025</x:v>
      </x:c>
      <x:c r="Y264" s="14"/>
      <x:c r="Z264" s="14" t="str">
        <x:v>The Gold.docx</x:v>
      </x:c>
      <x:c r="AA26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BBC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4" s="14" t="str">
        <x:v>BBC public-service commission</x:v>
      </x:c>
      <x:c r="AO264" s="14" t="str">
        <x:v>Yes</x:v>
      </x:c>
      <x:c r="AP264" s="14" t="str">
        <x:v>Direct BBC public-service scope</x:v>
      </x:c>
      <x:c r="AQ264" s="14" t="str">
        <x:v>Yes</x:v>
      </x:c>
      <x:c r="AR264" s="14" t="str">
        <x:v>Resolved from master register</x:v>
      </x:c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12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1</x:v>
      </x:c>
      <x:c r="BS264" s="16" t="n">
        <x:v>0.08333333333333333</x:v>
      </x:c>
      <x:c r="BT264" s="14" t="str">
        <x:v>One episode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tt14063678|nm7659324|ritz customer</x:v>
      </x:c>
      <x:c r="B265" s="14" t="str">
        <x:v>04</x:v>
      </x:c>
      <x:c r="C265" s="14" t="str">
        <x:v>2023_IMDb_Cast_Lists_Batch_04(2).xlsx</x:v>
      </x:c>
      <x:c r="D265" s="14" t="str">
        <x:v>The Gold</x:v>
      </x:c>
      <x:c r="E265" s="14" t="n">
        <x:v>159</x:v>
      </x:c>
      <x:c r="F265" s="14" t="str">
        <x:v>The Gold</x:v>
      </x:c>
      <x:c r="G265" s="14" t="str">
        <x:v>tt14063678</x:v>
      </x:c>
      <x:c r="H265" s="14" t="n">
        <x:v>2023</x:v>
      </x:c>
      <x:c r="I265" s="14" t="n">
        <x:v>2023</x:v>
      </x:c>
      <x:c r="J265" s="14" t="str">
        <x:v>Future Carry-Forward Cohort</x:v>
      </x:c>
      <x:c r="K265" s="14"/>
      <x:c r="L265" s="14" t="str">
        <x:v>Not inherited</x:v>
      </x:c>
      <x:c r="M265" s="15" t="n">
        <x:v>152</x:v>
      </x:c>
      <x:c r="N265" s="14" t="str">
        <x:v>Matt Beauman-Jones</x:v>
      </x:c>
      <x:c r="O265" s="14" t="str">
        <x:v>nm7659324</x:v>
      </x:c>
      <x:c r="P265" s="14" t="str">
        <x:v>Ritz Customer</x:v>
      </x:c>
      <x:c r="Q265" s="15" t="n">
        <x:v>1</x:v>
      </x:c>
      <x:c r="R265" s="14" t="str">
        <x:v>2025</x:v>
      </x:c>
      <x:c r="S265" s="14" t="n">
        <x:v>2025</x:v>
      </x:c>
      <x:c r="T265" s="14" t="n">
        <x:v>2025</x:v>
      </x:c>
      <x:c r="U265" s="14" t="str">
        <x:v>Explicit source first year retained</x:v>
      </x:c>
      <x:c r="V265" s="14" t="str">
        <x:v>Earliest supplied year is 2025.</x:v>
      </x:c>
      <x:c r="W265" s="14"/>
      <x:c r="X265" s="14" t="str">
        <x:v>Carried forward to 2025</x:v>
      </x:c>
      <x:c r="Y265" s="14"/>
      <x:c r="Z265" s="14" t="str">
        <x:v>The Gold.docx</x:v>
      </x:c>
      <x:c r="AA26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BBC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5" s="14" t="str">
        <x:v>BBC public-service commission</x:v>
      </x:c>
      <x:c r="AO265" s="14" t="str">
        <x:v>Yes</x:v>
      </x:c>
      <x:c r="AP265" s="14" t="str">
        <x:v>Direct BBC public-service scope</x:v>
      </x:c>
      <x:c r="AQ265" s="14" t="str">
        <x:v>Yes</x:v>
      </x:c>
      <x:c r="AR265" s="14" t="str">
        <x:v>Resolved from master register</x:v>
      </x:c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12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1</x:v>
      </x:c>
      <x:c r="BS265" s="16" t="n">
        <x:v>0.08333333333333333</x:v>
      </x:c>
      <x:c r="BT265" s="14" t="str">
        <x:v>One episode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tt14063678|nm0578485|tourist</x:v>
      </x:c>
      <x:c r="B266" s="14" t="str">
        <x:v>04</x:v>
      </x:c>
      <x:c r="C266" s="14" t="str">
        <x:v>2023_IMDb_Cast_Lists_Batch_04(2).xlsx</x:v>
      </x:c>
      <x:c r="D266" s="14" t="str">
        <x:v>The Gold</x:v>
      </x:c>
      <x:c r="E266" s="14" t="n">
        <x:v>160</x:v>
      </x:c>
      <x:c r="F266" s="14" t="str">
        <x:v>The Gold</x:v>
      </x:c>
      <x:c r="G266" s="14" t="str">
        <x:v>tt14063678</x:v>
      </x:c>
      <x:c r="H266" s="14" t="n">
        <x:v>2023</x:v>
      </x:c>
      <x:c r="I266" s="14" t="n">
        <x:v>2023</x:v>
      </x:c>
      <x:c r="J266" s="14" t="str">
        <x:v>Future Carry-Forward Cohort</x:v>
      </x:c>
      <x:c r="K266" s="14"/>
      <x:c r="L266" s="14" t="str">
        <x:v>Not inherited</x:v>
      </x:c>
      <x:c r="M266" s="15" t="n">
        <x:v>153</x:v>
      </x:c>
      <x:c r="N266" s="14" t="str">
        <x:v>Johnny Melville</x:v>
      </x:c>
      <x:c r="O266" s="14" t="str">
        <x:v>nm0578485</x:v>
      </x:c>
      <x:c r="P266" s="14" t="str">
        <x:v>Tourist</x:v>
      </x:c>
      <x:c r="Q266" s="15" t="n">
        <x:v>1</x:v>
      </x:c>
      <x:c r="R266" s="14" t="str">
        <x:v>2025</x:v>
      </x:c>
      <x:c r="S266" s="14" t="n">
        <x:v>2025</x:v>
      </x:c>
      <x:c r="T266" s="14" t="n">
        <x:v>2025</x:v>
      </x:c>
      <x:c r="U266" s="14" t="str">
        <x:v>Explicit source first year retained</x:v>
      </x:c>
      <x:c r="V266" s="14" t="str">
        <x:v>Earliest supplied year is 2025.</x:v>
      </x:c>
      <x:c r="W266" s="14"/>
      <x:c r="X266" s="14" t="str">
        <x:v>Carried forward to 2025</x:v>
      </x:c>
      <x:c r="Y266" s="14"/>
      <x:c r="Z266" s="14" t="str">
        <x:v>The Gold.docx</x:v>
      </x:c>
      <x:c r="AA26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BBC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266" s="14" t="str">
        <x:v>BBC public-service commission</x:v>
      </x:c>
      <x:c r="AO266" s="14" t="str">
        <x:v>Yes</x:v>
      </x:c>
      <x:c r="AP266" s="14" t="str">
        <x:v>Direct BBC public-service scope</x:v>
      </x:c>
      <x:c r="AQ266" s="14" t="str">
        <x:v>Yes</x:v>
      </x:c>
      <x:c r="AR266" s="14" t="str">
        <x:v>Resolved from master register</x:v>
      </x:c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12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0.08333333333333333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tt26346233|nm2656091|colin smallwood</x:v>
      </x:c>
      <x:c r="B267" s="14" t="str">
        <x:v>04</x:v>
      </x:c>
      <x:c r="C267" s="14" t="str">
        <x:v>2023_IMDb_Cast_Lists_Batch_04(2).xlsx</x:v>
      </x:c>
      <x:c r="D267" s="14" t="str">
        <x:v>The Good Ship Murder</x:v>
      </x:c>
      <x:c r="E267" s="14" t="n">
        <x:v>13</x:v>
      </x:c>
      <x:c r="F267" s="14" t="str">
        <x:v>The Good Ship Murder</x:v>
      </x:c>
      <x:c r="G267" s="14" t="str">
        <x:v>tt26346233</x:v>
      </x:c>
      <x:c r="H267" s="14" t="n">
        <x:v>2023</x:v>
      </x:c>
      <x:c r="I267" s="14" t="n">
        <x:v>2023</x:v>
      </x:c>
      <x:c r="J267" s="14" t="str">
        <x:v>Future Carry-Forward Cohort</x:v>
      </x:c>
      <x:c r="K267" s="14"/>
      <x:c r="L267" s="14" t="str">
        <x:v>Not inherited</x:v>
      </x:c>
      <x:c r="M267" s="15" t="n">
        <x:v>6</x:v>
      </x:c>
      <x:c r="N267" s="14" t="str">
        <x:v>Ross Adams</x:v>
      </x:c>
      <x:c r="O267" s="14" t="str">
        <x:v>nm2656091</x:v>
      </x:c>
      <x:c r="P267" s="14" t="str">
        <x:v>Colin Smallwood</x:v>
      </x:c>
      <x:c r="Q267" s="15" t="n">
        <x:v>15</x:v>
      </x:c>
      <x:c r="R267" s="14" t="str">
        <x:v>2025–2026</x:v>
      </x:c>
      <x:c r="S267" s="14" t="n">
        <x:v>2025</x:v>
      </x:c>
      <x:c r="T267" s="14" t="n">
        <x:v>2025</x:v>
      </x:c>
      <x:c r="U267" s="14" t="str">
        <x:v>Explicit source first year retained</x:v>
      </x:c>
      <x:c r="V267" s="14" t="str">
        <x:v>Earliest supplied year is 2025.</x:v>
      </x:c>
      <x:c r="W267" s="14"/>
      <x:c r="X267" s="14" t="str">
        <x:v>Carried forward to 2025</x:v>
      </x:c>
      <x:c r="Y267" s="14"/>
      <x:c r="Z267" s="14" t="str">
        <x:v>The Good Ship Murder.docx</x:v>
      </x:c>
      <x:c r="AA26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Channel 5 / 5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24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15</x:v>
      </x:c>
      <x:c r="BS267" s="16" t="n">
        <x:v>0.625</x:v>
      </x:c>
      <x:c r="BT267" s="14" t="str">
        <x:v>Majority of episodes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tt26346233|nm10090359|cassie grainger</x:v>
      </x:c>
      <x:c r="B268" s="14" t="str">
        <x:v>04</x:v>
      </x:c>
      <x:c r="C268" s="14" t="str">
        <x:v>2023_IMDb_Cast_Lists_Batch_04(2).xlsx</x:v>
      </x:c>
      <x:c r="D268" s="14" t="str">
        <x:v>The Good Ship Murder</x:v>
      </x:c>
      <x:c r="E268" s="14" t="n">
        <x:v>18</x:v>
      </x:c>
      <x:c r="F268" s="14" t="str">
        <x:v>The Good Ship Murder</x:v>
      </x:c>
      <x:c r="G268" s="14" t="str">
        <x:v>tt26346233</x:v>
      </x:c>
      <x:c r="H268" s="14" t="n">
        <x:v>2023</x:v>
      </x:c>
      <x:c r="I268" s="14" t="n">
        <x:v>2023</x:v>
      </x:c>
      <x:c r="J268" s="14" t="str">
        <x:v>Future Carry-Forward Cohort</x:v>
      </x:c>
      <x:c r="K268" s="14"/>
      <x:c r="L268" s="14" t="str">
        <x:v>Not inherited</x:v>
      </x:c>
      <x:c r="M268" s="15" t="n">
        <x:v>11</x:v>
      </x:c>
      <x:c r="N268" s="14" t="str">
        <x:v>Bex Smith</x:v>
      </x:c>
      <x:c r="O268" s="14" t="str">
        <x:v>nm10090359</x:v>
      </x:c>
      <x:c r="P268" s="14" t="str">
        <x:v>Cassie Grainger</x:v>
      </x:c>
      <x:c r="Q268" s="15" t="n">
        <x:v>7</x:v>
      </x:c>
      <x:c r="R268" s="14" t="str">
        <x:v>2025</x:v>
      </x:c>
      <x:c r="S268" s="14" t="n">
        <x:v>2025</x:v>
      </x:c>
      <x:c r="T268" s="14" t="n">
        <x:v>2025</x:v>
      </x:c>
      <x:c r="U268" s="14" t="str">
        <x:v>Explicit source first year retained</x:v>
      </x:c>
      <x:c r="V268" s="14" t="str">
        <x:v>Earliest supplied year is 2025.</x:v>
      </x:c>
      <x:c r="W268" s="14"/>
      <x:c r="X268" s="14" t="str">
        <x:v>Carried forward to 2025</x:v>
      </x:c>
      <x:c r="Y268" s="14"/>
      <x:c r="Z268" s="14" t="str">
        <x:v>The Good Ship Murder.docx</x:v>
      </x:c>
      <x:c r="AA26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Channel 5 / 5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24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7</x:v>
      </x:c>
      <x:c r="BS268" s="16" t="n">
        <x:v>0.2916666666666667</x:v>
      </x:c>
      <x:c r="BT268" s="14" t="str">
        <x:v>Minority of episodes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tt26346233|nm17369856|extra</x:v>
      </x:c>
      <x:c r="B269" s="14" t="str">
        <x:v>04</x:v>
      </x:c>
      <x:c r="C269" s="14" t="str">
        <x:v>2023_IMDb_Cast_Lists_Batch_04(2).xlsx</x:v>
      </x:c>
      <x:c r="D269" s="14" t="str">
        <x:v>The Good Ship Murder</x:v>
      </x:c>
      <x:c r="E269" s="14" t="n">
        <x:v>24</x:v>
      </x:c>
      <x:c r="F269" s="14" t="str">
        <x:v>The Good Ship Murder</x:v>
      </x:c>
      <x:c r="G269" s="14" t="str">
        <x:v>tt26346233</x:v>
      </x:c>
      <x:c r="H269" s="14" t="n">
        <x:v>2023</x:v>
      </x:c>
      <x:c r="I269" s="14" t="n">
        <x:v>2023</x:v>
      </x:c>
      <x:c r="J269" s="14" t="str">
        <x:v>Future Carry-Forward Cohort</x:v>
      </x:c>
      <x:c r="K269" s="14"/>
      <x:c r="L269" s="14" t="str">
        <x:v>Not inherited</x:v>
      </x:c>
      <x:c r="M269" s="15" t="n">
        <x:v>17</x:v>
      </x:c>
      <x:c r="N269" s="14" t="str">
        <x:v>Suga Abbey</x:v>
      </x:c>
      <x:c r="O269" s="14" t="str">
        <x:v>nm17369856</x:v>
      </x:c>
      <x:c r="P269" s="14" t="str">
        <x:v>Extra</x:v>
      </x:c>
      <x:c r="Q269" s="15" t="n">
        <x:v>2</x:v>
      </x:c>
      <x:c r="R269" s="14" t="str">
        <x:v>2025</x:v>
      </x:c>
      <x:c r="S269" s="14" t="n">
        <x:v>2025</x:v>
      </x:c>
      <x:c r="T269" s="14" t="n">
        <x:v>2025</x:v>
      </x:c>
      <x:c r="U269" s="14" t="str">
        <x:v>Explicit source first year retained</x:v>
      </x:c>
      <x:c r="V269" s="14" t="str">
        <x:v>Earliest supplied year is 2025.</x:v>
      </x:c>
      <x:c r="W269" s="14"/>
      <x:c r="X269" s="14" t="str">
        <x:v>Carried forward to 2025</x:v>
      </x:c>
      <x:c r="Y269" s="14"/>
      <x:c r="Z269" s="14" t="str">
        <x:v>The Good Ship Murder.docx</x:v>
      </x:c>
      <x:c r="AA26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Channel 5 / 5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24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2</x:v>
      </x:c>
      <x:c r="BS269" s="16" t="n">
        <x:v>0.08333333333333333</x:v>
      </x:c>
      <x:c r="BT269" s="14" t="str">
        <x:v>Minority of episodes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tt26346233|nm2657033|alessandro bartoli</x:v>
      </x:c>
      <x:c r="B270" s="14" t="str">
        <x:v>04</x:v>
      </x:c>
      <x:c r="C270" s="14" t="str">
        <x:v>2023_IMDb_Cast_Lists_Batch_04(2).xlsx</x:v>
      </x:c>
      <x:c r="D270" s="14" t="str">
        <x:v>The Good Ship Murder</x:v>
      </x:c>
      <x:c r="E270" s="14" t="n">
        <x:v>41</x:v>
      </x:c>
      <x:c r="F270" s="14" t="str">
        <x:v>The Good Ship Murder</x:v>
      </x:c>
      <x:c r="G270" s="14" t="str">
        <x:v>tt26346233</x:v>
      </x:c>
      <x:c r="H270" s="14" t="n">
        <x:v>2023</x:v>
      </x:c>
      <x:c r="I270" s="14" t="n">
        <x:v>2023</x:v>
      </x:c>
      <x:c r="J270" s="14" t="str">
        <x:v>Future Carry-Forward Cohort</x:v>
      </x:c>
      <x:c r="K270" s="14"/>
      <x:c r="L270" s="14" t="str">
        <x:v>Not inherited</x:v>
      </x:c>
      <x:c r="M270" s="15" t="n">
        <x:v>34</x:v>
      </x:c>
      <x:c r="N270" s="14" t="str">
        <x:v>Greg Canestrari</x:v>
      </x:c>
      <x:c r="O270" s="14" t="str">
        <x:v>nm2657033</x:v>
      </x:c>
      <x:c r="P270" s="14" t="str">
        <x:v>Alessandro Bartoli</x:v>
      </x:c>
      <x:c r="Q270" s="15" t="n">
        <x:v>1</x:v>
      </x:c>
      <x:c r="R270" s="14" t="str">
        <x:v>2025</x:v>
      </x:c>
      <x:c r="S270" s="14" t="n">
        <x:v>2025</x:v>
      </x:c>
      <x:c r="T270" s="14" t="n">
        <x:v>2025</x:v>
      </x:c>
      <x:c r="U270" s="14" t="str">
        <x:v>Explicit source first year retained</x:v>
      </x:c>
      <x:c r="V270" s="14" t="str">
        <x:v>Earliest supplied year is 2025.</x:v>
      </x:c>
      <x:c r="W270" s="14"/>
      <x:c r="X270" s="14" t="str">
        <x:v>Carried forward to 2025</x:v>
      </x:c>
      <x:c r="Y270" s="14" t="str">
        <x:v>(as a different name)</x:v>
      </x:c>
      <x:c r="Z270" s="14" t="str">
        <x:v>The Good Ship Murder.docx</x:v>
      </x:c>
      <x:c r="AA27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Channel 5 / 5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24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0.041666666666666664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tt26346233|nm4505609|maria southall</x:v>
      </x:c>
      <x:c r="B271" s="14" t="str">
        <x:v>04</x:v>
      </x:c>
      <x:c r="C271" s="14" t="str">
        <x:v>2023_IMDb_Cast_Lists_Batch_04(2).xlsx</x:v>
      </x:c>
      <x:c r="D271" s="14" t="str">
        <x:v>The Good Ship Murder</x:v>
      </x:c>
      <x:c r="E271" s="14" t="n">
        <x:v>42</x:v>
      </x:c>
      <x:c r="F271" s="14" t="str">
        <x:v>The Good Ship Murder</x:v>
      </x:c>
      <x:c r="G271" s="14" t="str">
        <x:v>tt26346233</x:v>
      </x:c>
      <x:c r="H271" s="14" t="n">
        <x:v>2023</x:v>
      </x:c>
      <x:c r="I271" s="14" t="n">
        <x:v>2023</x:v>
      </x:c>
      <x:c r="J271" s="14" t="str">
        <x:v>Future Carry-Forward Cohort</x:v>
      </x:c>
      <x:c r="K271" s="14"/>
      <x:c r="L271" s="14" t="str">
        <x:v>Not inherited</x:v>
      </x:c>
      <x:c r="M271" s="15" t="n">
        <x:v>35</x:v>
      </x:c>
      <x:c r="N271" s="14" t="str">
        <x:v>Lainy Boyle</x:v>
      </x:c>
      <x:c r="O271" s="14" t="str">
        <x:v>nm4505609</x:v>
      </x:c>
      <x:c r="P271" s="14" t="str">
        <x:v>Maria Southall</x:v>
      </x:c>
      <x:c r="Q271" s="15" t="n">
        <x:v>1</x:v>
      </x:c>
      <x:c r="R271" s="14" t="str">
        <x:v>2025</x:v>
      </x:c>
      <x:c r="S271" s="14" t="n">
        <x:v>2025</x:v>
      </x:c>
      <x:c r="T271" s="14" t="n">
        <x:v>2025</x:v>
      </x:c>
      <x:c r="U271" s="14" t="str">
        <x:v>Explicit source first year retained</x:v>
      </x:c>
      <x:c r="V271" s="14" t="str">
        <x:v>Earliest supplied year is 2025.</x:v>
      </x:c>
      <x:c r="W271" s="14"/>
      <x:c r="X271" s="14" t="str">
        <x:v>Carried forward to 2025</x:v>
      </x:c>
      <x:c r="Y271" s="14"/>
      <x:c r="Z271" s="14" t="str">
        <x:v>The Good Ship Murder.docx</x:v>
      </x:c>
      <x:c r="AA27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Channel 5 / 5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24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0.041666666666666664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tt26346233|nm7651674|peaches</x:v>
      </x:c>
      <x:c r="B272" s="14" t="str">
        <x:v>04</x:v>
      </x:c>
      <x:c r="C272" s="14" t="str">
        <x:v>2023_IMDb_Cast_Lists_Batch_04(2).xlsx</x:v>
      </x:c>
      <x:c r="D272" s="14" t="str">
        <x:v>The Good Ship Murder</x:v>
      </x:c>
      <x:c r="E272" s="14" t="n">
        <x:v>43</x:v>
      </x:c>
      <x:c r="F272" s="14" t="str">
        <x:v>The Good Ship Murder</x:v>
      </x:c>
      <x:c r="G272" s="14" t="str">
        <x:v>tt26346233</x:v>
      </x:c>
      <x:c r="H272" s="14" t="n">
        <x:v>2023</x:v>
      </x:c>
      <x:c r="I272" s="14" t="n">
        <x:v>2023</x:v>
      </x:c>
      <x:c r="J272" s="14" t="str">
        <x:v>Future Carry-Forward Cohort</x:v>
      </x:c>
      <x:c r="K272" s="14"/>
      <x:c r="L272" s="14" t="str">
        <x:v>Not inherited</x:v>
      </x:c>
      <x:c r="M272" s="15" t="n">
        <x:v>36</x:v>
      </x:c>
      <x:c r="N272" s="14" t="str">
        <x:v>Maisey Bawden</x:v>
      </x:c>
      <x:c r="O272" s="14" t="str">
        <x:v>nm7651674</x:v>
      </x:c>
      <x:c r="P272" s="14" t="str">
        <x:v>Peaches</x:v>
      </x:c>
      <x:c r="Q272" s="15" t="n">
        <x:v>1</x:v>
      </x:c>
      <x:c r="R272" s="14" t="str">
        <x:v>2025</x:v>
      </x:c>
      <x:c r="S272" s="14" t="n">
        <x:v>2025</x:v>
      </x:c>
      <x:c r="T272" s="14" t="n">
        <x:v>2025</x:v>
      </x:c>
      <x:c r="U272" s="14" t="str">
        <x:v>Explicit source first year retained</x:v>
      </x:c>
      <x:c r="V272" s="14" t="str">
        <x:v>Earliest supplied year is 2025.</x:v>
      </x:c>
      <x:c r="W272" s="14"/>
      <x:c r="X272" s="14" t="str">
        <x:v>Carried forward to 2025</x:v>
      </x:c>
      <x:c r="Y272" s="14"/>
      <x:c r="Z272" s="14" t="str">
        <x:v>The Good Ship Murder.docx</x:v>
      </x:c>
      <x:c r="AA27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Channel 5 / 5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24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1</x:v>
      </x:c>
      <x:c r="BS272" s="16" t="n">
        <x:v>0.041666666666666664</x:v>
      </x:c>
      <x:c r="BT272" s="14" t="str">
        <x:v>One episode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tt26346233|nm4140694|luke stone</x:v>
      </x:c>
      <x:c r="B273" s="14" t="str">
        <x:v>04</x:v>
      </x:c>
      <x:c r="C273" s="14" t="str">
        <x:v>2023_IMDb_Cast_Lists_Batch_04(2).xlsx</x:v>
      </x:c>
      <x:c r="D273" s="14" t="str">
        <x:v>The Good Ship Murder</x:v>
      </x:c>
      <x:c r="E273" s="14" t="n">
        <x:v>44</x:v>
      </x:c>
      <x:c r="F273" s="14" t="str">
        <x:v>The Good Ship Murder</x:v>
      </x:c>
      <x:c r="G273" s="14" t="str">
        <x:v>tt26346233</x:v>
      </x:c>
      <x:c r="H273" s="14" t="n">
        <x:v>2023</x:v>
      </x:c>
      <x:c r="I273" s="14" t="n">
        <x:v>2023</x:v>
      </x:c>
      <x:c r="J273" s="14" t="str">
        <x:v>Future Carry-Forward Cohort</x:v>
      </x:c>
      <x:c r="K273" s="14"/>
      <x:c r="L273" s="14" t="str">
        <x:v>Not inherited</x:v>
      </x:c>
      <x:c r="M273" s="15" t="n">
        <x:v>37</x:v>
      </x:c>
      <x:c r="N273" s="14" t="str">
        <x:v>Eddy Brimson</x:v>
      </x:c>
      <x:c r="O273" s="14" t="str">
        <x:v>nm4140694</x:v>
      </x:c>
      <x:c r="P273" s="14" t="str">
        <x:v>Luke Stone</x:v>
      </x:c>
      <x:c r="Q273" s="15" t="n">
        <x:v>1</x:v>
      </x:c>
      <x:c r="R273" s="14" t="str">
        <x:v>2025</x:v>
      </x:c>
      <x:c r="S273" s="14" t="n">
        <x:v>2025</x:v>
      </x:c>
      <x:c r="T273" s="14" t="n">
        <x:v>2025</x:v>
      </x:c>
      <x:c r="U273" s="14" t="str">
        <x:v>Explicit source first year retained</x:v>
      </x:c>
      <x:c r="V273" s="14" t="str">
        <x:v>Earliest supplied year is 2025.</x:v>
      </x:c>
      <x:c r="W273" s="14"/>
      <x:c r="X273" s="14" t="str">
        <x:v>Carried forward to 2025</x:v>
      </x:c>
      <x:c r="Y273" s="14"/>
      <x:c r="Z273" s="14" t="str">
        <x:v>The Good Ship Murder.docx</x:v>
      </x:c>
      <x:c r="AA27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Channel 5 / 5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24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1</x:v>
      </x:c>
      <x:c r="BS273" s="16" t="n">
        <x:v>0.041666666666666664</x:v>
      </x:c>
      <x:c r="BT273" s="14" t="str">
        <x:v>One episode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tt26346233|nm10005463|lateef</x:v>
      </x:c>
      <x:c r="B274" s="14" t="str">
        <x:v>04</x:v>
      </x:c>
      <x:c r="C274" s="14" t="str">
        <x:v>2023_IMDb_Cast_Lists_Batch_04(2).xlsx</x:v>
      </x:c>
      <x:c r="D274" s="14" t="str">
        <x:v>The Good Ship Murder</x:v>
      </x:c>
      <x:c r="E274" s="14" t="n">
        <x:v>57</x:v>
      </x:c>
      <x:c r="F274" s="14" t="str">
        <x:v>The Good Ship Murder</x:v>
      </x:c>
      <x:c r="G274" s="14" t="str">
        <x:v>tt26346233</x:v>
      </x:c>
      <x:c r="H274" s="14" t="n">
        <x:v>2023</x:v>
      </x:c>
      <x:c r="I274" s="14" t="n">
        <x:v>2023</x:v>
      </x:c>
      <x:c r="J274" s="14" t="str">
        <x:v>Future Carry-Forward Cohort</x:v>
      </x:c>
      <x:c r="K274" s="14"/>
      <x:c r="L274" s="14" t="str">
        <x:v>Not inherited</x:v>
      </x:c>
      <x:c r="M274" s="15" t="n">
        <x:v>50</x:v>
      </x:c>
      <x:c r="N274" s="14" t="str">
        <x:v>Sharif Afifi</x:v>
      </x:c>
      <x:c r="O274" s="14" t="str">
        <x:v>nm10005463</x:v>
      </x:c>
      <x:c r="P274" s="14" t="str">
        <x:v>Lateef</x:v>
      </x:c>
      <x:c r="Q274" s="15" t="n">
        <x:v>1</x:v>
      </x:c>
      <x:c r="R274" s="14" t="str">
        <x:v>2025</x:v>
      </x:c>
      <x:c r="S274" s="14" t="n">
        <x:v>2025</x:v>
      </x:c>
      <x:c r="T274" s="14" t="n">
        <x:v>2025</x:v>
      </x:c>
      <x:c r="U274" s="14" t="str">
        <x:v>Explicit source first year retained</x:v>
      </x:c>
      <x:c r="V274" s="14" t="str">
        <x:v>Earliest supplied year is 2025.</x:v>
      </x:c>
      <x:c r="W274" s="14"/>
      <x:c r="X274" s="14" t="str">
        <x:v>Carried forward to 2025</x:v>
      </x:c>
      <x:c r="Y274" s="14"/>
      <x:c r="Z274" s="14" t="str">
        <x:v>The Good Ship Murder.docx</x:v>
      </x:c>
      <x:c r="AA27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Channel 5 / 5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24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0.041666666666666664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tt26346233|nm1513235|captain miguel sanchez</x:v>
      </x:c>
      <x:c r="B275" s="14" t="str">
        <x:v>04</x:v>
      </x:c>
      <x:c r="C275" s="14" t="str">
        <x:v>2023_IMDb_Cast_Lists_Batch_04(2).xlsx</x:v>
      </x:c>
      <x:c r="D275" s="14" t="str">
        <x:v>The Good Ship Murder</x:v>
      </x:c>
      <x:c r="E275" s="14" t="n">
        <x:v>58</x:v>
      </x:c>
      <x:c r="F275" s="14" t="str">
        <x:v>The Good Ship Murder</x:v>
      </x:c>
      <x:c r="G275" s="14" t="str">
        <x:v>tt26346233</x:v>
      </x:c>
      <x:c r="H275" s="14" t="n">
        <x:v>2023</x:v>
      </x:c>
      <x:c r="I275" s="14" t="n">
        <x:v>2023</x:v>
      </x:c>
      <x:c r="J275" s="14" t="str">
        <x:v>Future Carry-Forward Cohort</x:v>
      </x:c>
      <x:c r="K275" s="14"/>
      <x:c r="L275" s="14" t="str">
        <x:v>Not inherited</x:v>
      </x:c>
      <x:c r="M275" s="15" t="n">
        <x:v>51</x:v>
      </x:c>
      <x:c r="N275" s="14" t="str">
        <x:v>Mikhail Basmadjian</x:v>
      </x:c>
      <x:c r="O275" s="14" t="str">
        <x:v>nm1513235</x:v>
      </x:c>
      <x:c r="P275" s="14" t="str">
        <x:v>Captain Miguel Sanchez</x:v>
      </x:c>
      <x:c r="Q275" s="15" t="n">
        <x:v>1</x:v>
      </x:c>
      <x:c r="R275" s="14" t="str">
        <x:v>2025</x:v>
      </x:c>
      <x:c r="S275" s="14" t="n">
        <x:v>2025</x:v>
      </x:c>
      <x:c r="T275" s="14" t="n">
        <x:v>2025</x:v>
      </x:c>
      <x:c r="U275" s="14" t="str">
        <x:v>Explicit source first year retained</x:v>
      </x:c>
      <x:c r="V275" s="14" t="str">
        <x:v>Earliest supplied year is 2025.</x:v>
      </x:c>
      <x:c r="W275" s="14"/>
      <x:c r="X275" s="14" t="str">
        <x:v>Carried forward to 2025</x:v>
      </x:c>
      <x:c r="Y275" s="14"/>
      <x:c r="Z275" s="14" t="str">
        <x:v>The Good Ship Murder.docx</x:v>
      </x:c>
      <x:c r="AA27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Channel 5 / 5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24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0.041666666666666664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tt26346233|nm9612466|donna branning</x:v>
      </x:c>
      <x:c r="B276" s="14" t="str">
        <x:v>04</x:v>
      </x:c>
      <x:c r="C276" s="14" t="str">
        <x:v>2023_IMDb_Cast_Lists_Batch_04(2).xlsx</x:v>
      </x:c>
      <x:c r="D276" s="14" t="str">
        <x:v>The Good Ship Murder</x:v>
      </x:c>
      <x:c r="E276" s="14" t="n">
        <x:v>59</x:v>
      </x:c>
      <x:c r="F276" s="14" t="str">
        <x:v>The Good Ship Murder</x:v>
      </x:c>
      <x:c r="G276" s="14" t="str">
        <x:v>tt26346233</x:v>
      </x:c>
      <x:c r="H276" s="14" t="n">
        <x:v>2023</x:v>
      </x:c>
      <x:c r="I276" s="14" t="n">
        <x:v>2023</x:v>
      </x:c>
      <x:c r="J276" s="14" t="str">
        <x:v>Future Carry-Forward Cohort</x:v>
      </x:c>
      <x:c r="K276" s="14"/>
      <x:c r="L276" s="14" t="str">
        <x:v>Not inherited</x:v>
      </x:c>
      <x:c r="M276" s="15" t="n">
        <x:v>52</x:v>
      </x:c>
      <x:c r="N276" s="14" t="str">
        <x:v>Joelle Dyson</x:v>
      </x:c>
      <x:c r="O276" s="14" t="str">
        <x:v>nm9612466</x:v>
      </x:c>
      <x:c r="P276" s="14" t="str">
        <x:v>Donna Branning</x:v>
      </x:c>
      <x:c r="Q276" s="15" t="n">
        <x:v>1</x:v>
      </x:c>
      <x:c r="R276" s="14" t="str">
        <x:v>2025</x:v>
      </x:c>
      <x:c r="S276" s="14" t="n">
        <x:v>2025</x:v>
      </x:c>
      <x:c r="T276" s="14" t="n">
        <x:v>2025</x:v>
      </x:c>
      <x:c r="U276" s="14" t="str">
        <x:v>Explicit source first year retained</x:v>
      </x:c>
      <x:c r="V276" s="14" t="str">
        <x:v>Earliest supplied year is 2025.</x:v>
      </x:c>
      <x:c r="W276" s="14"/>
      <x:c r="X276" s="14" t="str">
        <x:v>Carried forward to 2025</x:v>
      </x:c>
      <x:c r="Y276" s="14"/>
      <x:c r="Z276" s="14" t="str">
        <x:v>The Good Ship Murder.docx</x:v>
      </x:c>
      <x:c r="AA27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Channel 5 / 5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24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0.041666666666666664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tt26346233|nm0140996|bella bertoli</x:v>
      </x:c>
      <x:c r="B277" s="14" t="str">
        <x:v>04</x:v>
      </x:c>
      <x:c r="C277" s="14" t="str">
        <x:v>2023_IMDb_Cast_Lists_Batch_04(2).xlsx</x:v>
      </x:c>
      <x:c r="D277" s="14" t="str">
        <x:v>The Good Ship Murder</x:v>
      </x:c>
      <x:c r="E277" s="14" t="n">
        <x:v>60</x:v>
      </x:c>
      <x:c r="F277" s="14" t="str">
        <x:v>The Good Ship Murder</x:v>
      </x:c>
      <x:c r="G277" s="14" t="str">
        <x:v>tt26346233</x:v>
      </x:c>
      <x:c r="H277" s="14" t="n">
        <x:v>2023</x:v>
      </x:c>
      <x:c r="I277" s="14" t="n">
        <x:v>2023</x:v>
      </x:c>
      <x:c r="J277" s="14" t="str">
        <x:v>Future Carry-Forward Cohort</x:v>
      </x:c>
      <x:c r="K277" s="14"/>
      <x:c r="L277" s="14" t="str">
        <x:v>Not inherited</x:v>
      </x:c>
      <x:c r="M277" s="15" t="n">
        <x:v>53</x:v>
      </x:c>
      <x:c r="N277" s="14" t="str">
        <x:v>Tamsin Carroll</x:v>
      </x:c>
      <x:c r="O277" s="14" t="str">
        <x:v>nm0140996</x:v>
      </x:c>
      <x:c r="P277" s="14" t="str">
        <x:v>Bella Bertoli</x:v>
      </x:c>
      <x:c r="Q277" s="15" t="n">
        <x:v>1</x:v>
      </x:c>
      <x:c r="R277" s="14" t="str">
        <x:v>2025</x:v>
      </x:c>
      <x:c r="S277" s="14" t="n">
        <x:v>2025</x:v>
      </x:c>
      <x:c r="T277" s="14" t="n">
        <x:v>2025</x:v>
      </x:c>
      <x:c r="U277" s="14" t="str">
        <x:v>Explicit source first year retained</x:v>
      </x:c>
      <x:c r="V277" s="14" t="str">
        <x:v>Earliest supplied year is 2025.</x:v>
      </x:c>
      <x:c r="W277" s="14"/>
      <x:c r="X277" s="14" t="str">
        <x:v>Carried forward to 2025</x:v>
      </x:c>
      <x:c r="Y277" s="14"/>
      <x:c r="Z277" s="14" t="str">
        <x:v>The Good Ship Murder.docx</x:v>
      </x:c>
      <x:c r="AA27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Channel 5 / 5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24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0.041666666666666664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tt26346233|nm11431097|gina valente</x:v>
      </x:c>
      <x:c r="B278" s="14" t="str">
        <x:v>04</x:v>
      </x:c>
      <x:c r="C278" s="14" t="str">
        <x:v>2023_IMDb_Cast_Lists_Batch_04(2).xlsx</x:v>
      </x:c>
      <x:c r="D278" s="14" t="str">
        <x:v>The Good Ship Murder</x:v>
      </x:c>
      <x:c r="E278" s="14" t="n">
        <x:v>61</x:v>
      </x:c>
      <x:c r="F278" s="14" t="str">
        <x:v>The Good Ship Murder</x:v>
      </x:c>
      <x:c r="G278" s="14" t="str">
        <x:v>tt26346233</x:v>
      </x:c>
      <x:c r="H278" s="14" t="n">
        <x:v>2023</x:v>
      </x:c>
      <x:c r="I278" s="14" t="n">
        <x:v>2023</x:v>
      </x:c>
      <x:c r="J278" s="14" t="str">
        <x:v>Future Carry-Forward Cohort</x:v>
      </x:c>
      <x:c r="K278" s="14"/>
      <x:c r="L278" s="14" t="str">
        <x:v>Not inherited</x:v>
      </x:c>
      <x:c r="M278" s="15" t="n">
        <x:v>54</x:v>
      </x:c>
      <x:c r="N278" s="14" t="str">
        <x:v>Carlota Crespo</x:v>
      </x:c>
      <x:c r="O278" s="14" t="str">
        <x:v>nm11431097</x:v>
      </x:c>
      <x:c r="P278" s="14" t="str">
        <x:v>Gina Valente</x:v>
      </x:c>
      <x:c r="Q278" s="15" t="n">
        <x:v>1</x:v>
      </x:c>
      <x:c r="R278" s="14" t="str">
        <x:v>2025</x:v>
      </x:c>
      <x:c r="S278" s="14" t="n">
        <x:v>2025</x:v>
      </x:c>
      <x:c r="T278" s="14" t="n">
        <x:v>2025</x:v>
      </x:c>
      <x:c r="U278" s="14" t="str">
        <x:v>Explicit source first year retained</x:v>
      </x:c>
      <x:c r="V278" s="14" t="str">
        <x:v>Earliest supplied year is 2025.</x:v>
      </x:c>
      <x:c r="W278" s="14"/>
      <x:c r="X278" s="14" t="str">
        <x:v>Carried forward to 2025</x:v>
      </x:c>
      <x:c r="Y278" s="14"/>
      <x:c r="Z278" s="14" t="str">
        <x:v>The Good Ship Murder.docx</x:v>
      </x:c>
      <x:c r="AA27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Channel 5 / 5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24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0.041666666666666664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tt26346233|nm17073005|barry lawson</x:v>
      </x:c>
      <x:c r="B279" s="14" t="str">
        <x:v>04</x:v>
      </x:c>
      <x:c r="C279" s="14" t="str">
        <x:v>2023_IMDb_Cast_Lists_Batch_04(2).xlsx</x:v>
      </x:c>
      <x:c r="D279" s="14" t="str">
        <x:v>The Good Ship Murder</x:v>
      </x:c>
      <x:c r="E279" s="14" t="n">
        <x:v>62</x:v>
      </x:c>
      <x:c r="F279" s="14" t="str">
        <x:v>The Good Ship Murder</x:v>
      </x:c>
      <x:c r="G279" s="14" t="str">
        <x:v>tt26346233</x:v>
      </x:c>
      <x:c r="H279" s="14" t="n">
        <x:v>2023</x:v>
      </x:c>
      <x:c r="I279" s="14" t="n">
        <x:v>2023</x:v>
      </x:c>
      <x:c r="J279" s="14" t="str">
        <x:v>Future Carry-Forward Cohort</x:v>
      </x:c>
      <x:c r="K279" s="14"/>
      <x:c r="L279" s="14" t="str">
        <x:v>Not inherited</x:v>
      </x:c>
      <x:c r="M279" s="15" t="n">
        <x:v>55</x:v>
      </x:c>
      <x:c r="N279" s="14" t="str">
        <x:v>Ross Grey</x:v>
      </x:c>
      <x:c r="O279" s="14" t="str">
        <x:v>nm17073005</x:v>
      </x:c>
      <x:c r="P279" s="14" t="str">
        <x:v>Barry Lawson</x:v>
      </x:c>
      <x:c r="Q279" s="15" t="n">
        <x:v>1</x:v>
      </x:c>
      <x:c r="R279" s="14" t="str">
        <x:v>2025</x:v>
      </x:c>
      <x:c r="S279" s="14" t="n">
        <x:v>2025</x:v>
      </x:c>
      <x:c r="T279" s="14" t="n">
        <x:v>2025</x:v>
      </x:c>
      <x:c r="U279" s="14" t="str">
        <x:v>Explicit source first year retained</x:v>
      </x:c>
      <x:c r="V279" s="14" t="str">
        <x:v>Earliest supplied year is 2025.</x:v>
      </x:c>
      <x:c r="W279" s="14"/>
      <x:c r="X279" s="14" t="str">
        <x:v>Carried forward to 2025</x:v>
      </x:c>
      <x:c r="Y279" s="14"/>
      <x:c r="Z279" s="14" t="str">
        <x:v>The Good Ship Murder.docx</x:v>
      </x:c>
      <x:c r="AA27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Channel 5 / 5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24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1</x:v>
      </x:c>
      <x:c r="BS279" s="16" t="n">
        <x:v>0.041666666666666664</x:v>
      </x:c>
      <x:c r="BT279" s="14" t="str">
        <x:v>One episode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tt26346233|nm9200092|melissa makris</x:v>
      </x:c>
      <x:c r="B280" s="14" t="str">
        <x:v>04</x:v>
      </x:c>
      <x:c r="C280" s="14" t="str">
        <x:v>2023_IMDb_Cast_Lists_Batch_04(2).xlsx</x:v>
      </x:c>
      <x:c r="D280" s="14" t="str">
        <x:v>The Good Ship Murder</x:v>
      </x:c>
      <x:c r="E280" s="14" t="n">
        <x:v>63</x:v>
      </x:c>
      <x:c r="F280" s="14" t="str">
        <x:v>The Good Ship Murder</x:v>
      </x:c>
      <x:c r="G280" s="14" t="str">
        <x:v>tt26346233</x:v>
      </x:c>
      <x:c r="H280" s="14" t="n">
        <x:v>2023</x:v>
      </x:c>
      <x:c r="I280" s="14" t="n">
        <x:v>2023</x:v>
      </x:c>
      <x:c r="J280" s="14" t="str">
        <x:v>Future Carry-Forward Cohort</x:v>
      </x:c>
      <x:c r="K280" s="14"/>
      <x:c r="L280" s="14" t="str">
        <x:v>Not inherited</x:v>
      </x:c>
      <x:c r="M280" s="15" t="n">
        <x:v>56</x:v>
      </x:c>
      <x:c r="N280" s="14" t="str">
        <x:v>Yulie Archontaki</x:v>
      </x:c>
      <x:c r="O280" s="14" t="str">
        <x:v>nm9200092</x:v>
      </x:c>
      <x:c r="P280" s="14" t="str">
        <x:v>Melissa Makris</x:v>
      </x:c>
      <x:c r="Q280" s="15" t="n">
        <x:v>1</x:v>
      </x:c>
      <x:c r="R280" s="14" t="str">
        <x:v>2025</x:v>
      </x:c>
      <x:c r="S280" s="14" t="n">
        <x:v>2025</x:v>
      </x:c>
      <x:c r="T280" s="14" t="n">
        <x:v>2025</x:v>
      </x:c>
      <x:c r="U280" s="14" t="str">
        <x:v>Explicit source first year retained</x:v>
      </x:c>
      <x:c r="V280" s="14" t="str">
        <x:v>Earliest supplied year is 2025.</x:v>
      </x:c>
      <x:c r="W280" s="14"/>
      <x:c r="X280" s="14" t="str">
        <x:v>Carried forward to 2025</x:v>
      </x:c>
      <x:c r="Y280" s="14"/>
      <x:c r="Z280" s="14" t="str">
        <x:v>The Good Ship Murder.docx</x:v>
      </x:c>
      <x:c r="AA28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Channel 5 / 5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24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1</x:v>
      </x:c>
      <x:c r="BS280" s="16" t="n">
        <x:v>0.041666666666666664</x:v>
      </x:c>
      <x:c r="BT280" s="14" t="str">
        <x:v>One episode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tt26346233|nm4041866|lorenzo bonucci</x:v>
      </x:c>
      <x:c r="B281" s="14" t="str">
        <x:v>04</x:v>
      </x:c>
      <x:c r="C281" s="14" t="str">
        <x:v>2023_IMDb_Cast_Lists_Batch_04(2).xlsx</x:v>
      </x:c>
      <x:c r="D281" s="14" t="str">
        <x:v>The Good Ship Murder</x:v>
      </x:c>
      <x:c r="E281" s="14" t="n">
        <x:v>64</x:v>
      </x:c>
      <x:c r="F281" s="14" t="str">
        <x:v>The Good Ship Murder</x:v>
      </x:c>
      <x:c r="G281" s="14" t="str">
        <x:v>tt26346233</x:v>
      </x:c>
      <x:c r="H281" s="14" t="n">
        <x:v>2023</x:v>
      </x:c>
      <x:c r="I281" s="14" t="n">
        <x:v>2023</x:v>
      </x:c>
      <x:c r="J281" s="14" t="str">
        <x:v>Future Carry-Forward Cohort</x:v>
      </x:c>
      <x:c r="K281" s="14"/>
      <x:c r="L281" s="14" t="str">
        <x:v>Not inherited</x:v>
      </x:c>
      <x:c r="M281" s="15" t="n">
        <x:v>57</x:v>
      </x:c>
      <x:c r="N281" s="14" t="str">
        <x:v>Stephen Buhagiar</x:v>
      </x:c>
      <x:c r="O281" s="14" t="str">
        <x:v>nm4041866</x:v>
      </x:c>
      <x:c r="P281" s="14" t="str">
        <x:v>Lorenzo Bonucci</x:v>
      </x:c>
      <x:c r="Q281" s="15" t="n">
        <x:v>1</x:v>
      </x:c>
      <x:c r="R281" s="14" t="str">
        <x:v>2025</x:v>
      </x:c>
      <x:c r="S281" s="14" t="n">
        <x:v>2025</x:v>
      </x:c>
      <x:c r="T281" s="14" t="n">
        <x:v>2025</x:v>
      </x:c>
      <x:c r="U281" s="14" t="str">
        <x:v>Explicit source first year retained</x:v>
      </x:c>
      <x:c r="V281" s="14" t="str">
        <x:v>Earliest supplied year is 2025.</x:v>
      </x:c>
      <x:c r="W281" s="14"/>
      <x:c r="X281" s="14" t="str">
        <x:v>Carried forward to 2025</x:v>
      </x:c>
      <x:c r="Y281" s="14"/>
      <x:c r="Z281" s="14" t="str">
        <x:v>The Good Ship Murder.docx</x:v>
      </x:c>
      <x:c r="AA28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Channel 5 / 5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24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1</x:v>
      </x:c>
      <x:c r="BS281" s="16" t="n">
        <x:v>0.041666666666666664</x:v>
      </x:c>
      <x:c r="BT281" s="14" t="str">
        <x:v>One episode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tt26346233|nm0420979|bree albright</x:v>
      </x:c>
      <x:c r="B282" s="14" t="str">
        <x:v>04</x:v>
      </x:c>
      <x:c r="C282" s="14" t="str">
        <x:v>2023_IMDb_Cast_Lists_Batch_04(2).xlsx</x:v>
      </x:c>
      <x:c r="D282" s="14" t="str">
        <x:v>The Good Ship Murder</x:v>
      </x:c>
      <x:c r="E282" s="14" t="n">
        <x:v>76</x:v>
      </x:c>
      <x:c r="F282" s="14" t="str">
        <x:v>The Good Ship Murder</x:v>
      </x:c>
      <x:c r="G282" s="14" t="str">
        <x:v>tt26346233</x:v>
      </x:c>
      <x:c r="H282" s="14" t="n">
        <x:v>2023</x:v>
      </x:c>
      <x:c r="I282" s="14" t="n">
        <x:v>2023</x:v>
      </x:c>
      <x:c r="J282" s="14" t="str">
        <x:v>Future Carry-Forward Cohort</x:v>
      </x:c>
      <x:c r="K282" s="14"/>
      <x:c r="L282" s="14" t="str">
        <x:v>Not inherited</x:v>
      </x:c>
      <x:c r="M282" s="15" t="n">
        <x:v>69</x:v>
      </x:c>
      <x:c r="N282" s="14" t="str">
        <x:v>Sue Jenkins</x:v>
      </x:c>
      <x:c r="O282" s="14" t="str">
        <x:v>nm0420979</x:v>
      </x:c>
      <x:c r="P282" s="14" t="str">
        <x:v>Bree Albright</x:v>
      </x:c>
      <x:c r="Q282" s="15" t="n">
        <x:v>1</x:v>
      </x:c>
      <x:c r="R282" s="14" t="str">
        <x:v>2025</x:v>
      </x:c>
      <x:c r="S282" s="14" t="n">
        <x:v>2025</x:v>
      </x:c>
      <x:c r="T282" s="14" t="n">
        <x:v>2025</x:v>
      </x:c>
      <x:c r="U282" s="14" t="str">
        <x:v>Explicit source first year retained</x:v>
      </x:c>
      <x:c r="V282" s="14" t="str">
        <x:v>Earliest supplied year is 2025.</x:v>
      </x:c>
      <x:c r="W282" s="14"/>
      <x:c r="X282" s="14" t="str">
        <x:v>Carried forward to 2025</x:v>
      </x:c>
      <x:c r="Y282" s="14"/>
      <x:c r="Z282" s="14" t="str">
        <x:v>The Good Ship Murder.docx</x:v>
      </x:c>
      <x:c r="AA28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Channel 5 / 5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24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1</x:v>
      </x:c>
      <x:c r="BS282" s="16" t="n">
        <x:v>0.041666666666666664</x:v>
      </x:c>
      <x:c r="BT282" s="14" t="str">
        <x:v>One episode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tt26346233|nm0292744|max king</x:v>
      </x:c>
      <x:c r="B283" s="14" t="str">
        <x:v>04</x:v>
      </x:c>
      <x:c r="C283" s="14" t="str">
        <x:v>2023_IMDb_Cast_Lists_Batch_04(2).xlsx</x:v>
      </x:c>
      <x:c r="D283" s="14" t="str">
        <x:v>The Good Ship Murder</x:v>
      </x:c>
      <x:c r="E283" s="14" t="n">
        <x:v>77</x:v>
      </x:c>
      <x:c r="F283" s="14" t="str">
        <x:v>The Good Ship Murder</x:v>
      </x:c>
      <x:c r="G283" s="14" t="str">
        <x:v>tt26346233</x:v>
      </x:c>
      <x:c r="H283" s="14" t="n">
        <x:v>2023</x:v>
      </x:c>
      <x:c r="I283" s="14" t="n">
        <x:v>2023</x:v>
      </x:c>
      <x:c r="J283" s="14" t="str">
        <x:v>Future Carry-Forward Cohort</x:v>
      </x:c>
      <x:c r="K283" s="14"/>
      <x:c r="L283" s="14" t="str">
        <x:v>Not inherited</x:v>
      </x:c>
      <x:c r="M283" s="15" t="n">
        <x:v>70</x:v>
      </x:c>
      <x:c r="N283" s="14" t="str">
        <x:v>Dan Fredenburgh</x:v>
      </x:c>
      <x:c r="O283" s="14" t="str">
        <x:v>nm0292744</x:v>
      </x:c>
      <x:c r="P283" s="14" t="str">
        <x:v>Max King</x:v>
      </x:c>
      <x:c r="Q283" s="15" t="n">
        <x:v>1</x:v>
      </x:c>
      <x:c r="R283" s="14" t="str">
        <x:v>2025</x:v>
      </x:c>
      <x:c r="S283" s="14" t="n">
        <x:v>2025</x:v>
      </x:c>
      <x:c r="T283" s="14" t="n">
        <x:v>2025</x:v>
      </x:c>
      <x:c r="U283" s="14" t="str">
        <x:v>Explicit source first year retained</x:v>
      </x:c>
      <x:c r="V283" s="14" t="str">
        <x:v>Earliest supplied year is 2025.</x:v>
      </x:c>
      <x:c r="W283" s="14"/>
      <x:c r="X283" s="14" t="str">
        <x:v>Carried forward to 2025</x:v>
      </x:c>
      <x:c r="Y283" s="14"/>
      <x:c r="Z283" s="14" t="str">
        <x:v>The Good Ship Murder.docx</x:v>
      </x:c>
      <x:c r="AA28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Channel 5 / 5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24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1</x:v>
      </x:c>
      <x:c r="BS283" s="16" t="n">
        <x:v>0.041666666666666664</x:v>
      </x:c>
      <x:c r="BT283" s="14" t="str">
        <x:v>One episode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tt26346233|nm1567174|melanie metcalfe</x:v>
      </x:c>
      <x:c r="B284" s="14" t="str">
        <x:v>04</x:v>
      </x:c>
      <x:c r="C284" s="14" t="str">
        <x:v>2023_IMDb_Cast_Lists_Batch_04(2).xlsx</x:v>
      </x:c>
      <x:c r="D284" s="14" t="str">
        <x:v>The Good Ship Murder</x:v>
      </x:c>
      <x:c r="E284" s="14" t="n">
        <x:v>78</x:v>
      </x:c>
      <x:c r="F284" s="14" t="str">
        <x:v>The Good Ship Murder</x:v>
      </x:c>
      <x:c r="G284" s="14" t="str">
        <x:v>tt26346233</x:v>
      </x:c>
      <x:c r="H284" s="14" t="n">
        <x:v>2023</x:v>
      </x:c>
      <x:c r="I284" s="14" t="n">
        <x:v>2023</x:v>
      </x:c>
      <x:c r="J284" s="14" t="str">
        <x:v>Future Carry-Forward Cohort</x:v>
      </x:c>
      <x:c r="K284" s="14"/>
      <x:c r="L284" s="14" t="str">
        <x:v>Not inherited</x:v>
      </x:c>
      <x:c r="M284" s="15" t="n">
        <x:v>71</x:v>
      </x:c>
      <x:c r="N284" s="14" t="str">
        <x:v>Chelsea Halfpenny</x:v>
      </x:c>
      <x:c r="O284" s="14" t="str">
        <x:v>nm1567174</x:v>
      </x:c>
      <x:c r="P284" s="14" t="str">
        <x:v>Melanie Metcalfe</x:v>
      </x:c>
      <x:c r="Q284" s="15" t="n">
        <x:v>1</x:v>
      </x:c>
      <x:c r="R284" s="14" t="str">
        <x:v>2025</x:v>
      </x:c>
      <x:c r="S284" s="14" t="n">
        <x:v>2025</x:v>
      </x:c>
      <x:c r="T284" s="14" t="n">
        <x:v>2025</x:v>
      </x:c>
      <x:c r="U284" s="14" t="str">
        <x:v>Explicit source first year retained</x:v>
      </x:c>
      <x:c r="V284" s="14" t="str">
        <x:v>Earliest supplied year is 2025.</x:v>
      </x:c>
      <x:c r="W284" s="14"/>
      <x:c r="X284" s="14" t="str">
        <x:v>Carried forward to 2025</x:v>
      </x:c>
      <x:c r="Y284" s="14"/>
      <x:c r="Z284" s="14" t="str">
        <x:v>The Good Ship Murder.docx</x:v>
      </x:c>
      <x:c r="AA28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Channel 5 / 5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24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1</x:v>
      </x:c>
      <x:c r="BS284" s="16" t="n">
        <x:v>0.041666666666666664</x:v>
      </x:c>
      <x:c r="BT284" s="14" t="str">
        <x:v>One episode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tt26346233|nm7023332|sofia romano</x:v>
      </x:c>
      <x:c r="B285" s="14" t="str">
        <x:v>04</x:v>
      </x:c>
      <x:c r="C285" s="14" t="str">
        <x:v>2023_IMDb_Cast_Lists_Batch_04(2).xlsx</x:v>
      </x:c>
      <x:c r="D285" s="14" t="str">
        <x:v>The Good Ship Murder</x:v>
      </x:c>
      <x:c r="E285" s="14" t="n">
        <x:v>79</x:v>
      </x:c>
      <x:c r="F285" s="14" t="str">
        <x:v>The Good Ship Murder</x:v>
      </x:c>
      <x:c r="G285" s="14" t="str">
        <x:v>tt26346233</x:v>
      </x:c>
      <x:c r="H285" s="14" t="n">
        <x:v>2023</x:v>
      </x:c>
      <x:c r="I285" s="14" t="n">
        <x:v>2023</x:v>
      </x:c>
      <x:c r="J285" s="14" t="str">
        <x:v>Future Carry-Forward Cohort</x:v>
      </x:c>
      <x:c r="K285" s="14"/>
      <x:c r="L285" s="14" t="str">
        <x:v>Not inherited</x:v>
      </x:c>
      <x:c r="M285" s="15" t="n">
        <x:v>72</x:v>
      </x:c>
      <x:c r="N285" s="14" t="str">
        <x:v>Elena Delia</x:v>
      </x:c>
      <x:c r="O285" s="14" t="str">
        <x:v>nm7023332</x:v>
      </x:c>
      <x:c r="P285" s="14" t="str">
        <x:v>Sofia Romano</x:v>
      </x:c>
      <x:c r="Q285" s="15" t="n">
        <x:v>1</x:v>
      </x:c>
      <x:c r="R285" s="14" t="str">
        <x:v>2025</x:v>
      </x:c>
      <x:c r="S285" s="14" t="n">
        <x:v>2025</x:v>
      </x:c>
      <x:c r="T285" s="14" t="n">
        <x:v>2025</x:v>
      </x:c>
      <x:c r="U285" s="14" t="str">
        <x:v>Explicit source first year retained</x:v>
      </x:c>
      <x:c r="V285" s="14" t="str">
        <x:v>Earliest supplied year is 2025.</x:v>
      </x:c>
      <x:c r="W285" s="14"/>
      <x:c r="X285" s="14" t="str">
        <x:v>Carried forward to 2025</x:v>
      </x:c>
      <x:c r="Y285" s="14"/>
      <x:c r="Z285" s="14" t="str">
        <x:v>The Good Ship Murder.docx</x:v>
      </x:c>
      <x:c r="AA28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Channel 5 / 5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24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0.041666666666666664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tt26346233|nm1225633|janice evans</x:v>
      </x:c>
      <x:c r="B286" s="14" t="str">
        <x:v>04</x:v>
      </x:c>
      <x:c r="C286" s="14" t="str">
        <x:v>2023_IMDb_Cast_Lists_Batch_04(2).xlsx</x:v>
      </x:c>
      <x:c r="D286" s="14" t="str">
        <x:v>The Good Ship Murder</x:v>
      </x:c>
      <x:c r="E286" s="14" t="n">
        <x:v>80</x:v>
      </x:c>
      <x:c r="F286" s="14" t="str">
        <x:v>The Good Ship Murder</x:v>
      </x:c>
      <x:c r="G286" s="14" t="str">
        <x:v>tt26346233</x:v>
      </x:c>
      <x:c r="H286" s="14" t="n">
        <x:v>2023</x:v>
      </x:c>
      <x:c r="I286" s="14" t="n">
        <x:v>2023</x:v>
      </x:c>
      <x:c r="J286" s="14" t="str">
        <x:v>Future Carry-Forward Cohort</x:v>
      </x:c>
      <x:c r="K286" s="14"/>
      <x:c r="L286" s="14" t="str">
        <x:v>Not inherited</x:v>
      </x:c>
      <x:c r="M286" s="15" t="n">
        <x:v>73</x:v>
      </x:c>
      <x:c r="N286" s="14" t="str">
        <x:v>Janice Connolly</x:v>
      </x:c>
      <x:c r="O286" s="14" t="str">
        <x:v>nm1225633</x:v>
      </x:c>
      <x:c r="P286" s="14" t="str">
        <x:v>Janice Evans</x:v>
      </x:c>
      <x:c r="Q286" s="15" t="n">
        <x:v>1</x:v>
      </x:c>
      <x:c r="R286" s="14" t="str">
        <x:v>2025</x:v>
      </x:c>
      <x:c r="S286" s="14" t="n">
        <x:v>2025</x:v>
      </x:c>
      <x:c r="T286" s="14" t="n">
        <x:v>2025</x:v>
      </x:c>
      <x:c r="U286" s="14" t="str">
        <x:v>Explicit source first year retained</x:v>
      </x:c>
      <x:c r="V286" s="14" t="str">
        <x:v>Earliest supplied year is 2025.</x:v>
      </x:c>
      <x:c r="W286" s="14"/>
      <x:c r="X286" s="14" t="str">
        <x:v>Carried forward to 2025</x:v>
      </x:c>
      <x:c r="Y286" s="14"/>
      <x:c r="Z286" s="14" t="str">
        <x:v>The Good Ship Murder.docx</x:v>
      </x:c>
      <x:c r="AA28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Channel 5 / 5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24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1</x:v>
      </x:c>
      <x:c r="BS286" s="16" t="n">
        <x:v>0.041666666666666664</x:v>
      </x:c>
      <x:c r="BT286" s="14" t="str">
        <x:v>One episode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tt26346233|nm1356129|luna bonucci</x:v>
      </x:c>
      <x:c r="B287" s="14" t="str">
        <x:v>04</x:v>
      </x:c>
      <x:c r="C287" s="14" t="str">
        <x:v>2023_IMDb_Cast_Lists_Batch_04(2).xlsx</x:v>
      </x:c>
      <x:c r="D287" s="14" t="str">
        <x:v>The Good Ship Murder</x:v>
      </x:c>
      <x:c r="E287" s="14" t="n">
        <x:v>81</x:v>
      </x:c>
      <x:c r="F287" s="14" t="str">
        <x:v>The Good Ship Murder</x:v>
      </x:c>
      <x:c r="G287" s="14" t="str">
        <x:v>tt26346233</x:v>
      </x:c>
      <x:c r="H287" s="14" t="n">
        <x:v>2023</x:v>
      </x:c>
      <x:c r="I287" s="14" t="n">
        <x:v>2023</x:v>
      </x:c>
      <x:c r="J287" s="14" t="str">
        <x:v>Future Carry-Forward Cohort</x:v>
      </x:c>
      <x:c r="K287" s="14"/>
      <x:c r="L287" s="14" t="str">
        <x:v>Not inherited</x:v>
      </x:c>
      <x:c r="M287" s="15" t="n">
        <x:v>74</x:v>
      </x:c>
      <x:c r="N287" s="14" t="str">
        <x:v>Bettina Paris</x:v>
      </x:c>
      <x:c r="O287" s="14" t="str">
        <x:v>nm1356129</x:v>
      </x:c>
      <x:c r="P287" s="14" t="str">
        <x:v>Luna Bonucci</x:v>
      </x:c>
      <x:c r="Q287" s="15" t="n">
        <x:v>1</x:v>
      </x:c>
      <x:c r="R287" s="14" t="str">
        <x:v>2025</x:v>
      </x:c>
      <x:c r="S287" s="14" t="n">
        <x:v>2025</x:v>
      </x:c>
      <x:c r="T287" s="14" t="n">
        <x:v>2025</x:v>
      </x:c>
      <x:c r="U287" s="14" t="str">
        <x:v>Explicit source first year retained</x:v>
      </x:c>
      <x:c r="V287" s="14" t="str">
        <x:v>Earliest supplied year is 2025.</x:v>
      </x:c>
      <x:c r="W287" s="14"/>
      <x:c r="X287" s="14" t="str">
        <x:v>Carried forward to 2025</x:v>
      </x:c>
      <x:c r="Y287" s="14"/>
      <x:c r="Z287" s="14" t="str">
        <x:v>The Good Ship Murder.docx</x:v>
      </x:c>
      <x:c r="AA28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Channel 5 / 5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24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1</x:v>
      </x:c>
      <x:c r="BS287" s="16" t="n">
        <x:v>0.041666666666666664</x:v>
      </x:c>
      <x:c r="BT287" s="14" t="str">
        <x:v>One episode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tt26346233|nm14316388|bernie campbell</x:v>
      </x:c>
      <x:c r="B288" s="14" t="str">
        <x:v>04</x:v>
      </x:c>
      <x:c r="C288" s="14" t="str">
        <x:v>2023_IMDb_Cast_Lists_Batch_04(2).xlsx</x:v>
      </x:c>
      <x:c r="D288" s="14" t="str">
        <x:v>The Good Ship Murder</x:v>
      </x:c>
      <x:c r="E288" s="14" t="n">
        <x:v>82</x:v>
      </x:c>
      <x:c r="F288" s="14" t="str">
        <x:v>The Good Ship Murder</x:v>
      </x:c>
      <x:c r="G288" s="14" t="str">
        <x:v>tt26346233</x:v>
      </x:c>
      <x:c r="H288" s="14" t="n">
        <x:v>2023</x:v>
      </x:c>
      <x:c r="I288" s="14" t="n">
        <x:v>2023</x:v>
      </x:c>
      <x:c r="J288" s="14" t="str">
        <x:v>Future Carry-Forward Cohort</x:v>
      </x:c>
      <x:c r="K288" s="14"/>
      <x:c r="L288" s="14" t="str">
        <x:v>Not inherited</x:v>
      </x:c>
      <x:c r="M288" s="15" t="n">
        <x:v>75</x:v>
      </x:c>
      <x:c r="N288" s="14" t="str">
        <x:v>Rebecca Harland</x:v>
      </x:c>
      <x:c r="O288" s="14" t="str">
        <x:v>nm14316388</x:v>
      </x:c>
      <x:c r="P288" s="14" t="str">
        <x:v>Bernie Campbell</x:v>
      </x:c>
      <x:c r="Q288" s="15" t="n">
        <x:v>1</x:v>
      </x:c>
      <x:c r="R288" s="14" t="str">
        <x:v>2025</x:v>
      </x:c>
      <x:c r="S288" s="14" t="n">
        <x:v>2025</x:v>
      </x:c>
      <x:c r="T288" s="14" t="n">
        <x:v>2025</x:v>
      </x:c>
      <x:c r="U288" s="14" t="str">
        <x:v>Explicit source first year retained</x:v>
      </x:c>
      <x:c r="V288" s="14" t="str">
        <x:v>Earliest supplied year is 2025.</x:v>
      </x:c>
      <x:c r="W288" s="14"/>
      <x:c r="X288" s="14" t="str">
        <x:v>Carried forward to 2025</x:v>
      </x:c>
      <x:c r="Y288" s="14"/>
      <x:c r="Z288" s="14" t="str">
        <x:v>The Good Ship Murder.docx</x:v>
      </x:c>
      <x:c r="AA2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Channel 5 / 5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24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1</x:v>
      </x:c>
      <x:c r="BS288" s="16" t="n">
        <x:v>0.041666666666666664</x:v>
      </x:c>
      <x:c r="BT288" s="14" t="str">
        <x:v>One episode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tt26346233|nm5873574|lisa charnock</x:v>
      </x:c>
      <x:c r="B289" s="14" t="str">
        <x:v>04</x:v>
      </x:c>
      <x:c r="C289" s="14" t="str">
        <x:v>2023_IMDb_Cast_Lists_Batch_04(2).xlsx</x:v>
      </x:c>
      <x:c r="D289" s="14" t="str">
        <x:v>The Good Ship Murder</x:v>
      </x:c>
      <x:c r="E289" s="14" t="n">
        <x:v>83</x:v>
      </x:c>
      <x:c r="F289" s="14" t="str">
        <x:v>The Good Ship Murder</x:v>
      </x:c>
      <x:c r="G289" s="14" t="str">
        <x:v>tt26346233</x:v>
      </x:c>
      <x:c r="H289" s="14" t="n">
        <x:v>2023</x:v>
      </x:c>
      <x:c r="I289" s="14" t="n">
        <x:v>2023</x:v>
      </x:c>
      <x:c r="J289" s="14" t="str">
        <x:v>Future Carry-Forward Cohort</x:v>
      </x:c>
      <x:c r="K289" s="14"/>
      <x:c r="L289" s="14" t="str">
        <x:v>Not inherited</x:v>
      </x:c>
      <x:c r="M289" s="15" t="n">
        <x:v>76</x:v>
      </x:c>
      <x:c r="N289" s="14" t="str">
        <x:v>Siobhan Athwal</x:v>
      </x:c>
      <x:c r="O289" s="14" t="str">
        <x:v>nm5873574</x:v>
      </x:c>
      <x:c r="P289" s="14" t="str">
        <x:v>Lisa Charnock</x:v>
      </x:c>
      <x:c r="Q289" s="15" t="n">
        <x:v>1</x:v>
      </x:c>
      <x:c r="R289" s="14" t="str">
        <x:v>2025</x:v>
      </x:c>
      <x:c r="S289" s="14" t="n">
        <x:v>2025</x:v>
      </x:c>
      <x:c r="T289" s="14" t="n">
        <x:v>2025</x:v>
      </x:c>
      <x:c r="U289" s="14" t="str">
        <x:v>Explicit source first year retained</x:v>
      </x:c>
      <x:c r="V289" s="14" t="str">
        <x:v>Earliest supplied year is 2025.</x:v>
      </x:c>
      <x:c r="W289" s="14"/>
      <x:c r="X289" s="14" t="str">
        <x:v>Carried forward to 2025</x:v>
      </x:c>
      <x:c r="Y289" s="14"/>
      <x:c r="Z289" s="14" t="str">
        <x:v>The Good Ship Murder.docx</x:v>
      </x:c>
      <x:c r="AA2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5 / 5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24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1</x:v>
      </x:c>
      <x:c r="BS289" s="16" t="n">
        <x:v>0.041666666666666664</x:v>
      </x:c>
      <x:c r="BT289" s="14" t="str">
        <x:v>One episode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tt26346233|nm6360097|layla mahmood</x:v>
      </x:c>
      <x:c r="B290" s="14" t="str">
        <x:v>04</x:v>
      </x:c>
      <x:c r="C290" s="14" t="str">
        <x:v>2023_IMDb_Cast_Lists_Batch_04(2).xlsx</x:v>
      </x:c>
      <x:c r="D290" s="14" t="str">
        <x:v>The Good Ship Murder</x:v>
      </x:c>
      <x:c r="E290" s="14" t="n">
        <x:v>99</x:v>
      </x:c>
      <x:c r="F290" s="14" t="str">
        <x:v>The Good Ship Murder</x:v>
      </x:c>
      <x:c r="G290" s="14" t="str">
        <x:v>tt26346233</x:v>
      </x:c>
      <x:c r="H290" s="14" t="n">
        <x:v>2023</x:v>
      </x:c>
      <x:c r="I290" s="14" t="n">
        <x:v>2023</x:v>
      </x:c>
      <x:c r="J290" s="14" t="str">
        <x:v>Future Carry-Forward Cohort</x:v>
      </x:c>
      <x:c r="K290" s="14"/>
      <x:c r="L290" s="14" t="str">
        <x:v>Not inherited</x:v>
      </x:c>
      <x:c r="M290" s="15" t="n">
        <x:v>92</x:v>
      </x:c>
      <x:c r="N290" s="14" t="str">
        <x:v>Hayat Kamille</x:v>
      </x:c>
      <x:c r="O290" s="14" t="str">
        <x:v>nm6360097</x:v>
      </x:c>
      <x:c r="P290" s="14" t="str">
        <x:v>Layla Mahmood</x:v>
      </x:c>
      <x:c r="Q290" s="15" t="n">
        <x:v>1</x:v>
      </x:c>
      <x:c r="R290" s="14" t="str">
        <x:v>2025</x:v>
      </x:c>
      <x:c r="S290" s="14" t="n">
        <x:v>2025</x:v>
      </x:c>
      <x:c r="T290" s="14" t="n">
        <x:v>2025</x:v>
      </x:c>
      <x:c r="U290" s="14" t="str">
        <x:v>Explicit source first year retained</x:v>
      </x:c>
      <x:c r="V290" s="14" t="str">
        <x:v>Earliest supplied year is 2025.</x:v>
      </x:c>
      <x:c r="W290" s="14"/>
      <x:c r="X290" s="14" t="str">
        <x:v>Carried forward to 2025</x:v>
      </x:c>
      <x:c r="Y290" s="14"/>
      <x:c r="Z290" s="14" t="str">
        <x:v>The Good Ship Murder.docx</x:v>
      </x:c>
      <x:c r="AA2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5 / 5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24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1</x:v>
      </x:c>
      <x:c r="BS290" s="16" t="n">
        <x:v>0.041666666666666664</x:v>
      </x:c>
      <x:c r="BT290" s="14" t="str">
        <x:v>One episode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tt26346233|nm0519552|eva king</x:v>
      </x:c>
      <x:c r="B291" s="14" t="str">
        <x:v>04</x:v>
      </x:c>
      <x:c r="C291" s="14" t="str">
        <x:v>2023_IMDb_Cast_Lists_Batch_04(2).xlsx</x:v>
      </x:c>
      <x:c r="D291" s="14" t="str">
        <x:v>The Good Ship Murder</x:v>
      </x:c>
      <x:c r="E291" s="14" t="n">
        <x:v>100</x:v>
      </x:c>
      <x:c r="F291" s="14" t="str">
        <x:v>The Good Ship Murder</x:v>
      </x:c>
      <x:c r="G291" s="14" t="str">
        <x:v>tt26346233</x:v>
      </x:c>
      <x:c r="H291" s="14" t="n">
        <x:v>2023</x:v>
      </x:c>
      <x:c r="I291" s="14" t="n">
        <x:v>2023</x:v>
      </x:c>
      <x:c r="J291" s="14" t="str">
        <x:v>Future Carry-Forward Cohort</x:v>
      </x:c>
      <x:c r="K291" s="14"/>
      <x:c r="L291" s="14" t="str">
        <x:v>Not inherited</x:v>
      </x:c>
      <x:c r="M291" s="15" t="n">
        <x:v>93</x:v>
      </x:c>
      <x:c r="N291" s="14" t="str">
        <x:v>Angela Lonsdale</x:v>
      </x:c>
      <x:c r="O291" s="14" t="str">
        <x:v>nm0519552</x:v>
      </x:c>
      <x:c r="P291" s="14" t="str">
        <x:v>Eva King</x:v>
      </x:c>
      <x:c r="Q291" s="15" t="n">
        <x:v>1</x:v>
      </x:c>
      <x:c r="R291" s="14" t="str">
        <x:v>2025</x:v>
      </x:c>
      <x:c r="S291" s="14" t="n">
        <x:v>2025</x:v>
      </x:c>
      <x:c r="T291" s="14" t="n">
        <x:v>2025</x:v>
      </x:c>
      <x:c r="U291" s="14" t="str">
        <x:v>Explicit source first year retained</x:v>
      </x:c>
      <x:c r="V291" s="14" t="str">
        <x:v>Earliest supplied year is 2025.</x:v>
      </x:c>
      <x:c r="W291" s="14"/>
      <x:c r="X291" s="14" t="str">
        <x:v>Carried forward to 2025</x:v>
      </x:c>
      <x:c r="Y291" s="14"/>
      <x:c r="Z291" s="14" t="str">
        <x:v>The Good Ship Murder.docx</x:v>
      </x:c>
      <x:c r="AA2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5 / 5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24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1</x:v>
      </x:c>
      <x:c r="BS291" s="16" t="n">
        <x:v>0.041666666666666664</x:v>
      </x:c>
      <x:c r="BT291" s="14" t="str">
        <x:v>One episode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tt26346233|nm0681146|nikos pepi</x:v>
      </x:c>
      <x:c r="B292" s="14" t="str">
        <x:v>04</x:v>
      </x:c>
      <x:c r="C292" s="14" t="str">
        <x:v>2023_IMDb_Cast_Lists_Batch_04(2).xlsx</x:v>
      </x:c>
      <x:c r="D292" s="14" t="str">
        <x:v>The Good Ship Murder</x:v>
      </x:c>
      <x:c r="E292" s="14" t="n">
        <x:v>101</x:v>
      </x:c>
      <x:c r="F292" s="14" t="str">
        <x:v>The Good Ship Murder</x:v>
      </x:c>
      <x:c r="G292" s="14" t="str">
        <x:v>tt26346233</x:v>
      </x:c>
      <x:c r="H292" s="14" t="n">
        <x:v>2023</x:v>
      </x:c>
      <x:c r="I292" s="14" t="n">
        <x:v>2023</x:v>
      </x:c>
      <x:c r="J292" s="14" t="str">
        <x:v>Future Carry-Forward Cohort</x:v>
      </x:c>
      <x:c r="K292" s="14"/>
      <x:c r="L292" s="14" t="str">
        <x:v>Not inherited</x:v>
      </x:c>
      <x:c r="M292" s="15" t="n">
        <x:v>94</x:v>
      </x:c>
      <x:c r="N292" s="14" t="str">
        <x:v>Andreas Karras</x:v>
      </x:c>
      <x:c r="O292" s="14" t="str">
        <x:v>nm0681146</x:v>
      </x:c>
      <x:c r="P292" s="14" t="str">
        <x:v>Nikos Pepi</x:v>
      </x:c>
      <x:c r="Q292" s="15" t="n">
        <x:v>1</x:v>
      </x:c>
      <x:c r="R292" s="14" t="str">
        <x:v>2025</x:v>
      </x:c>
      <x:c r="S292" s="14" t="n">
        <x:v>2025</x:v>
      </x:c>
      <x:c r="T292" s="14" t="n">
        <x:v>2025</x:v>
      </x:c>
      <x:c r="U292" s="14" t="str">
        <x:v>Explicit source first year retained</x:v>
      </x:c>
      <x:c r="V292" s="14" t="str">
        <x:v>Earliest supplied year is 2025.</x:v>
      </x:c>
      <x:c r="W292" s="14"/>
      <x:c r="X292" s="14" t="str">
        <x:v>Carried forward to 2025</x:v>
      </x:c>
      <x:c r="Y292" s="14"/>
      <x:c r="Z292" s="14" t="str">
        <x:v>The Good Ship Murder.docx</x:v>
      </x:c>
      <x:c r="AA2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5 / 5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24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1</x:v>
      </x:c>
      <x:c r="BS292" s="16" t="n">
        <x:v>0.041666666666666664</x:v>
      </x:c>
      <x:c r="BT292" s="14" t="str">
        <x:v>One episode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tt26346233|nm1615970|suzie carter</x:v>
      </x:c>
      <x:c r="B293" s="14" t="str">
        <x:v>04</x:v>
      </x:c>
      <x:c r="C293" s="14" t="str">
        <x:v>2023_IMDb_Cast_Lists_Batch_04(2).xlsx</x:v>
      </x:c>
      <x:c r="D293" s="14" t="str">
        <x:v>The Good Ship Murder</x:v>
      </x:c>
      <x:c r="E293" s="14" t="n">
        <x:v>102</x:v>
      </x:c>
      <x:c r="F293" s="14" t="str">
        <x:v>The Good Ship Murder</x:v>
      </x:c>
      <x:c r="G293" s="14" t="str">
        <x:v>tt26346233</x:v>
      </x:c>
      <x:c r="H293" s="14" t="n">
        <x:v>2023</x:v>
      </x:c>
      <x:c r="I293" s="14" t="n">
        <x:v>2023</x:v>
      </x:c>
      <x:c r="J293" s="14" t="str">
        <x:v>Future Carry-Forward Cohort</x:v>
      </x:c>
      <x:c r="K293" s="14"/>
      <x:c r="L293" s="14" t="str">
        <x:v>Not inherited</x:v>
      </x:c>
      <x:c r="M293" s="15" t="n">
        <x:v>95</x:v>
      </x:c>
      <x:c r="N293" s="14" t="str">
        <x:v>Lorna Laidlaw</x:v>
      </x:c>
      <x:c r="O293" s="14" t="str">
        <x:v>nm1615970</x:v>
      </x:c>
      <x:c r="P293" s="14" t="str">
        <x:v>Suzie Carter</x:v>
      </x:c>
      <x:c r="Q293" s="15" t="n">
        <x:v>1</x:v>
      </x:c>
      <x:c r="R293" s="14" t="str">
        <x:v>2025</x:v>
      </x:c>
      <x:c r="S293" s="14" t="n">
        <x:v>2025</x:v>
      </x:c>
      <x:c r="T293" s="14" t="n">
        <x:v>2025</x:v>
      </x:c>
      <x:c r="U293" s="14" t="str">
        <x:v>Explicit source first year retained</x:v>
      </x:c>
      <x:c r="V293" s="14" t="str">
        <x:v>Earliest supplied year is 2025.</x:v>
      </x:c>
      <x:c r="W293" s="14"/>
      <x:c r="X293" s="14" t="str">
        <x:v>Carried forward to 2025</x:v>
      </x:c>
      <x:c r="Y293" s="14"/>
      <x:c r="Z293" s="14" t="str">
        <x:v>The Good Ship Murder.docx</x:v>
      </x:c>
      <x:c r="AA2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5 / 5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24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1</x:v>
      </x:c>
      <x:c r="BS293" s="16" t="n">
        <x:v>0.041666666666666664</x:v>
      </x:c>
      <x:c r="BT293" s="14" t="str">
        <x:v>One episode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tt26346233|nm1735111|lindsay eldergill</x:v>
      </x:c>
      <x:c r="B294" s="14" t="str">
        <x:v>04</x:v>
      </x:c>
      <x:c r="C294" s="14" t="str">
        <x:v>2023_IMDb_Cast_Lists_Batch_04(2).xlsx</x:v>
      </x:c>
      <x:c r="D294" s="14" t="str">
        <x:v>The Good Ship Murder</x:v>
      </x:c>
      <x:c r="E294" s="14" t="n">
        <x:v>103</x:v>
      </x:c>
      <x:c r="F294" s="14" t="str">
        <x:v>The Good Ship Murder</x:v>
      </x:c>
      <x:c r="G294" s="14" t="str">
        <x:v>tt26346233</x:v>
      </x:c>
      <x:c r="H294" s="14" t="n">
        <x:v>2023</x:v>
      </x:c>
      <x:c r="I294" s="14" t="n">
        <x:v>2023</x:v>
      </x:c>
      <x:c r="J294" s="14" t="str">
        <x:v>Future Carry-Forward Cohort</x:v>
      </x:c>
      <x:c r="K294" s="14"/>
      <x:c r="L294" s="14" t="str">
        <x:v>Not inherited</x:v>
      </x:c>
      <x:c r="M294" s="15" t="n">
        <x:v>96</x:v>
      </x:c>
      <x:c r="N294" s="14" t="str">
        <x:v>Danielle Henry</x:v>
      </x:c>
      <x:c r="O294" s="14" t="str">
        <x:v>nm1735111</x:v>
      </x:c>
      <x:c r="P294" s="14" t="str">
        <x:v>Lindsay Eldergill</x:v>
      </x:c>
      <x:c r="Q294" s="15" t="n">
        <x:v>1</x:v>
      </x:c>
      <x:c r="R294" s="14" t="str">
        <x:v>2025</x:v>
      </x:c>
      <x:c r="S294" s="14" t="n">
        <x:v>2025</x:v>
      </x:c>
      <x:c r="T294" s="14" t="n">
        <x:v>2025</x:v>
      </x:c>
      <x:c r="U294" s="14" t="str">
        <x:v>Explicit source first year retained</x:v>
      </x:c>
      <x:c r="V294" s="14" t="str">
        <x:v>Earliest supplied year is 2025.</x:v>
      </x:c>
      <x:c r="W294" s="14"/>
      <x:c r="X294" s="14" t="str">
        <x:v>Carried forward to 2025</x:v>
      </x:c>
      <x:c r="Y294" s="14"/>
      <x:c r="Z294" s="14" t="str">
        <x:v>The Good Ship Murder.docx</x:v>
      </x:c>
      <x:c r="AA2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5 / 5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24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1</x:v>
      </x:c>
      <x:c r="BS294" s="16" t="n">
        <x:v>0.041666666666666664</x:v>
      </x:c>
      <x:c r="BT294" s="14" t="str">
        <x:v>One episode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tt26346233|nm12235519|sister thomasina</x:v>
      </x:c>
      <x:c r="B295" s="14" t="str">
        <x:v>04</x:v>
      </x:c>
      <x:c r="C295" s="14" t="str">
        <x:v>2023_IMDb_Cast_Lists_Batch_04(2).xlsx</x:v>
      </x:c>
      <x:c r="D295" s="14" t="str">
        <x:v>The Good Ship Murder</x:v>
      </x:c>
      <x:c r="E295" s="14" t="n">
        <x:v>104</x:v>
      </x:c>
      <x:c r="F295" s="14" t="str">
        <x:v>The Good Ship Murder</x:v>
      </x:c>
      <x:c r="G295" s="14" t="str">
        <x:v>tt26346233</x:v>
      </x:c>
      <x:c r="H295" s="14" t="n">
        <x:v>2023</x:v>
      </x:c>
      <x:c r="I295" s="14" t="n">
        <x:v>2023</x:v>
      </x:c>
      <x:c r="J295" s="14" t="str">
        <x:v>Future Carry-Forward Cohort</x:v>
      </x:c>
      <x:c r="K295" s="14"/>
      <x:c r="L295" s="14" t="str">
        <x:v>Not inherited</x:v>
      </x:c>
      <x:c r="M295" s="15" t="n">
        <x:v>97</x:v>
      </x:c>
      <x:c r="N295" s="14" t="str">
        <x:v>Greta Holland</x:v>
      </x:c>
      <x:c r="O295" s="14" t="str">
        <x:v>nm12235519</x:v>
      </x:c>
      <x:c r="P295" s="14" t="str">
        <x:v>Sister Thomasina</x:v>
      </x:c>
      <x:c r="Q295" s="15" t="n">
        <x:v>1</x:v>
      </x:c>
      <x:c r="R295" s="14" t="str">
        <x:v>2025</x:v>
      </x:c>
      <x:c r="S295" s="14" t="n">
        <x:v>2025</x:v>
      </x:c>
      <x:c r="T295" s="14" t="n">
        <x:v>2025</x:v>
      </x:c>
      <x:c r="U295" s="14" t="str">
        <x:v>Explicit source first year retained</x:v>
      </x:c>
      <x:c r="V295" s="14" t="str">
        <x:v>Earliest supplied year is 2025.</x:v>
      </x:c>
      <x:c r="W295" s="14"/>
      <x:c r="X295" s="14" t="str">
        <x:v>Carried forward to 2025</x:v>
      </x:c>
      <x:c r="Y295" s="14"/>
      <x:c r="Z295" s="14" t="str">
        <x:v>The Good Ship Murder.docx</x:v>
      </x:c>
      <x:c r="AA2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5 / 5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24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1</x:v>
      </x:c>
      <x:c r="BS295" s="16" t="n">
        <x:v>0.041666666666666664</x:v>
      </x:c>
      <x:c r="BT295" s="14" t="str">
        <x:v>One episode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tt26346233|nm12651445|nick greenleigh</x:v>
      </x:c>
      <x:c r="B296" s="14" t="str">
        <x:v>04</x:v>
      </x:c>
      <x:c r="C296" s="14" t="str">
        <x:v>2023_IMDb_Cast_Lists_Batch_04(2).xlsx</x:v>
      </x:c>
      <x:c r="D296" s="14" t="str">
        <x:v>The Good Ship Murder</x:v>
      </x:c>
      <x:c r="E296" s="14" t="n">
        <x:v>105</x:v>
      </x:c>
      <x:c r="F296" s="14" t="str">
        <x:v>The Good Ship Murder</x:v>
      </x:c>
      <x:c r="G296" s="14" t="str">
        <x:v>tt26346233</x:v>
      </x:c>
      <x:c r="H296" s="14" t="n">
        <x:v>2023</x:v>
      </x:c>
      <x:c r="I296" s="14" t="n">
        <x:v>2023</x:v>
      </x:c>
      <x:c r="J296" s="14" t="str">
        <x:v>Future Carry-Forward Cohort</x:v>
      </x:c>
      <x:c r="K296" s="14"/>
      <x:c r="L296" s="14" t="str">
        <x:v>Not inherited</x:v>
      </x:c>
      <x:c r="M296" s="15" t="n">
        <x:v>98</x:v>
      </x:c>
      <x:c r="N296" s="14" t="str">
        <x:v>Harry Giubileo</x:v>
      </x:c>
      <x:c r="O296" s="14" t="str">
        <x:v>nm12651445</x:v>
      </x:c>
      <x:c r="P296" s="14" t="str">
        <x:v>Nick Greenleigh</x:v>
      </x:c>
      <x:c r="Q296" s="15" t="n">
        <x:v>1</x:v>
      </x:c>
      <x:c r="R296" s="14" t="str">
        <x:v>2025</x:v>
      </x:c>
      <x:c r="S296" s="14" t="n">
        <x:v>2025</x:v>
      </x:c>
      <x:c r="T296" s="14" t="n">
        <x:v>2025</x:v>
      </x:c>
      <x:c r="U296" s="14" t="str">
        <x:v>Explicit source first year retained</x:v>
      </x:c>
      <x:c r="V296" s="14" t="str">
        <x:v>Earliest supplied year is 2025.</x:v>
      </x:c>
      <x:c r="W296" s="14"/>
      <x:c r="X296" s="14" t="str">
        <x:v>Carried forward to 2025</x:v>
      </x:c>
      <x:c r="Y296" s="14"/>
      <x:c r="Z296" s="14" t="str">
        <x:v>The Good Ship Murder.docx</x:v>
      </x:c>
      <x:c r="AA2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5 / 5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24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1</x:v>
      </x:c>
      <x:c r="BS296" s="16" t="n">
        <x:v>0.041666666666666664</x:v>
      </x:c>
      <x:c r="BT296" s="14" t="str">
        <x:v>One episode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tt26346233|nm4561518|falzon</x:v>
      </x:c>
      <x:c r="B297" s="14" t="str">
        <x:v>04</x:v>
      </x:c>
      <x:c r="C297" s="14" t="str">
        <x:v>2023_IMDb_Cast_Lists_Batch_04(2).xlsx</x:v>
      </x:c>
      <x:c r="D297" s="14" t="str">
        <x:v>The Good Ship Murder</x:v>
      </x:c>
      <x:c r="E297" s="14" t="n">
        <x:v>106</x:v>
      </x:c>
      <x:c r="F297" s="14" t="str">
        <x:v>The Good Ship Murder</x:v>
      </x:c>
      <x:c r="G297" s="14" t="str">
        <x:v>tt26346233</x:v>
      </x:c>
      <x:c r="H297" s="14" t="n">
        <x:v>2023</x:v>
      </x:c>
      <x:c r="I297" s="14" t="n">
        <x:v>2023</x:v>
      </x:c>
      <x:c r="J297" s="14" t="str">
        <x:v>Future Carry-Forward Cohort</x:v>
      </x:c>
      <x:c r="K297" s="14"/>
      <x:c r="L297" s="14" t="str">
        <x:v>Not inherited</x:v>
      </x:c>
      <x:c r="M297" s="15" t="n">
        <x:v>99</x:v>
      </x:c>
      <x:c r="N297" s="14" t="str">
        <x:v>Marcelle Theuma</x:v>
      </x:c>
      <x:c r="O297" s="14" t="str">
        <x:v>nm4561518</x:v>
      </x:c>
      <x:c r="P297" s="14" t="str">
        <x:v>Falzon</x:v>
      </x:c>
      <x:c r="Q297" s="15" t="n">
        <x:v>1</x:v>
      </x:c>
      <x:c r="R297" s="14" t="str">
        <x:v>2025</x:v>
      </x:c>
      <x:c r="S297" s="14" t="n">
        <x:v>2025</x:v>
      </x:c>
      <x:c r="T297" s="14" t="n">
        <x:v>2025</x:v>
      </x:c>
      <x:c r="U297" s="14" t="str">
        <x:v>Explicit source first year retained</x:v>
      </x:c>
      <x:c r="V297" s="14" t="str">
        <x:v>Earliest supplied year is 2025.</x:v>
      </x:c>
      <x:c r="W297" s="14"/>
      <x:c r="X297" s="14" t="str">
        <x:v>Carried forward to 2025</x:v>
      </x:c>
      <x:c r="Y297" s="14" t="str">
        <x:v>(as Marcelle Teuma)</x:v>
      </x:c>
      <x:c r="Z297" s="14" t="str">
        <x:v>The Good Ship Murder.docx</x:v>
      </x:c>
      <x:c r="AA2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5 / 5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24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1</x:v>
      </x:c>
      <x:c r="BS297" s="16" t="n">
        <x:v>0.041666666666666664</x:v>
      </x:c>
      <x:c r="BT297" s="14" t="str">
        <x:v>One episode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tt26346233|nm0391969|eve fontaine</x:v>
      </x:c>
      <x:c r="B298" s="14" t="str">
        <x:v>04</x:v>
      </x:c>
      <x:c r="C298" s="14" t="str">
        <x:v>2023_IMDb_Cast_Lists_Batch_04(2).xlsx</x:v>
      </x:c>
      <x:c r="D298" s="14" t="str">
        <x:v>The Good Ship Murder</x:v>
      </x:c>
      <x:c r="E298" s="14" t="n">
        <x:v>120</x:v>
      </x:c>
      <x:c r="F298" s="14" t="str">
        <x:v>The Good Ship Murder</x:v>
      </x:c>
      <x:c r="G298" s="14" t="str">
        <x:v>tt26346233</x:v>
      </x:c>
      <x:c r="H298" s="14" t="n">
        <x:v>2023</x:v>
      </x:c>
      <x:c r="I298" s="14" t="n">
        <x:v>2023</x:v>
      </x:c>
      <x:c r="J298" s="14" t="str">
        <x:v>Future Carry-Forward Cohort</x:v>
      </x:c>
      <x:c r="K298" s="14"/>
      <x:c r="L298" s="14" t="str">
        <x:v>Not inherited</x:v>
      </x:c>
      <x:c r="M298" s="15" t="n">
        <x:v>113</x:v>
      </x:c>
      <x:c r="N298" s="14" t="str">
        <x:v>Michelle Holmes</x:v>
      </x:c>
      <x:c r="O298" s="14" t="str">
        <x:v>nm0391969</x:v>
      </x:c>
      <x:c r="P298" s="14" t="str">
        <x:v>Eve Fontaine</x:v>
      </x:c>
      <x:c r="Q298" s="15" t="n">
        <x:v>1</x:v>
      </x:c>
      <x:c r="R298" s="14" t="str">
        <x:v>2025</x:v>
      </x:c>
      <x:c r="S298" s="14" t="n">
        <x:v>2025</x:v>
      </x:c>
      <x:c r="T298" s="14" t="n">
        <x:v>2025</x:v>
      </x:c>
      <x:c r="U298" s="14" t="str">
        <x:v>Explicit source first year retained</x:v>
      </x:c>
      <x:c r="V298" s="14" t="str">
        <x:v>Earliest supplied year is 2025.</x:v>
      </x:c>
      <x:c r="W298" s="14"/>
      <x:c r="X298" s="14" t="str">
        <x:v>Carried forward to 2025</x:v>
      </x:c>
      <x:c r="Y298" s="14"/>
      <x:c r="Z298" s="14" t="str">
        <x:v>The Good Ship Murder.docx</x:v>
      </x:c>
      <x:c r="AA2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5 / 5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24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1</x:v>
      </x:c>
      <x:c r="BS298" s="16" t="n">
        <x:v>0.041666666666666664</x:v>
      </x:c>
      <x:c r="BT298" s="14" t="str">
        <x:v>One episode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tt26346233|nm0568907|derek dawes</x:v>
      </x:c>
      <x:c r="B299" s="14" t="str">
        <x:v>04</x:v>
      </x:c>
      <x:c r="C299" s="14" t="str">
        <x:v>2023_IMDb_Cast_Lists_Batch_04(2).xlsx</x:v>
      </x:c>
      <x:c r="D299" s="14" t="str">
        <x:v>The Good Ship Murder</x:v>
      </x:c>
      <x:c r="E299" s="14" t="n">
        <x:v>121</x:v>
      </x:c>
      <x:c r="F299" s="14" t="str">
        <x:v>The Good Ship Murder</x:v>
      </x:c>
      <x:c r="G299" s="14" t="str">
        <x:v>tt26346233</x:v>
      </x:c>
      <x:c r="H299" s="14" t="n">
        <x:v>2023</x:v>
      </x:c>
      <x:c r="I299" s="14" t="n">
        <x:v>2023</x:v>
      </x:c>
      <x:c r="J299" s="14" t="str">
        <x:v>Future Carry-Forward Cohort</x:v>
      </x:c>
      <x:c r="K299" s="14"/>
      <x:c r="L299" s="14" t="str">
        <x:v>Not inherited</x:v>
      </x:c>
      <x:c r="M299" s="15" t="n">
        <x:v>114</x:v>
      </x:c>
      <x:c r="N299" s="14" t="str">
        <x:v>Mark McGann</x:v>
      </x:c>
      <x:c r="O299" s="14" t="str">
        <x:v>nm0568907</x:v>
      </x:c>
      <x:c r="P299" s="14" t="str">
        <x:v>Derek Dawes</x:v>
      </x:c>
      <x:c r="Q299" s="15" t="n">
        <x:v>1</x:v>
      </x:c>
      <x:c r="R299" s="14" t="str">
        <x:v>2025</x:v>
      </x:c>
      <x:c r="S299" s="14" t="n">
        <x:v>2025</x:v>
      </x:c>
      <x:c r="T299" s="14" t="n">
        <x:v>2025</x:v>
      </x:c>
      <x:c r="U299" s="14" t="str">
        <x:v>Explicit source first year retained</x:v>
      </x:c>
      <x:c r="V299" s="14" t="str">
        <x:v>Earliest supplied year is 2025.</x:v>
      </x:c>
      <x:c r="W299" s="14"/>
      <x:c r="X299" s="14" t="str">
        <x:v>Carried forward to 2025</x:v>
      </x:c>
      <x:c r="Y299" s="14"/>
      <x:c r="Z299" s="14" t="str">
        <x:v>The Good Ship Murder.docx</x:v>
      </x:c>
      <x:c r="AA2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5 / 5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24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1</x:v>
      </x:c>
      <x:c r="BS299" s="16" t="n">
        <x:v>0.041666666666666664</x:v>
      </x:c>
      <x:c r="BT299" s="14" t="str">
        <x:v>One episode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tt26346233|nm10862578|mia grayling</x:v>
      </x:c>
      <x:c r="B300" s="14" t="str">
        <x:v>04</x:v>
      </x:c>
      <x:c r="C300" s="14" t="str">
        <x:v>2023_IMDb_Cast_Lists_Batch_04(2).xlsx</x:v>
      </x:c>
      <x:c r="D300" s="14" t="str">
        <x:v>The Good Ship Murder</x:v>
      </x:c>
      <x:c r="E300" s="14" t="n">
        <x:v>122</x:v>
      </x:c>
      <x:c r="F300" s="14" t="str">
        <x:v>The Good Ship Murder</x:v>
      </x:c>
      <x:c r="G300" s="14" t="str">
        <x:v>tt26346233</x:v>
      </x:c>
      <x:c r="H300" s="14" t="n">
        <x:v>2023</x:v>
      </x:c>
      <x:c r="I300" s="14" t="n">
        <x:v>2023</x:v>
      </x:c>
      <x:c r="J300" s="14" t="str">
        <x:v>Future Carry-Forward Cohort</x:v>
      </x:c>
      <x:c r="K300" s="14"/>
      <x:c r="L300" s="14" t="str">
        <x:v>Not inherited</x:v>
      </x:c>
      <x:c r="M300" s="15" t="n">
        <x:v>115</x:v>
      </x:c>
      <x:c r="N300" s="14" t="str">
        <x:v>Millie Kent</x:v>
      </x:c>
      <x:c r="O300" s="14" t="str">
        <x:v>nm10862578</x:v>
      </x:c>
      <x:c r="P300" s="14" t="str">
        <x:v>Mia Grayling</x:v>
      </x:c>
      <x:c r="Q300" s="15" t="n">
        <x:v>1</x:v>
      </x:c>
      <x:c r="R300" s="14" t="str">
        <x:v>2025</x:v>
      </x:c>
      <x:c r="S300" s="14" t="n">
        <x:v>2025</x:v>
      </x:c>
      <x:c r="T300" s="14" t="n">
        <x:v>2025</x:v>
      </x:c>
      <x:c r="U300" s="14" t="str">
        <x:v>Explicit source first year retained</x:v>
      </x:c>
      <x:c r="V300" s="14" t="str">
        <x:v>Earliest supplied year is 2025.</x:v>
      </x:c>
      <x:c r="W300" s="14"/>
      <x:c r="X300" s="14" t="str">
        <x:v>Carried forward to 2025</x:v>
      </x:c>
      <x:c r="Y300" s="14"/>
      <x:c r="Z300" s="14" t="str">
        <x:v>The Good Ship Murder.docx</x:v>
      </x:c>
      <x:c r="AA3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5 / 5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24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1</x:v>
      </x:c>
      <x:c r="BS300" s="16" t="n">
        <x:v>0.041666666666666664</x:v>
      </x:c>
      <x:c r="BT300" s="14" t="str">
        <x:v>One episode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tt26346233|nm2198515|dev metcalfe</x:v>
      </x:c>
      <x:c r="B301" s="14" t="str">
        <x:v>04</x:v>
      </x:c>
      <x:c r="C301" s="14" t="str">
        <x:v>2023_IMDb_Cast_Lists_Batch_04(2).xlsx</x:v>
      </x:c>
      <x:c r="D301" s="14" t="str">
        <x:v>The Good Ship Murder</x:v>
      </x:c>
      <x:c r="E301" s="14" t="n">
        <x:v>123</x:v>
      </x:c>
      <x:c r="F301" s="14" t="str">
        <x:v>The Good Ship Murder</x:v>
      </x:c>
      <x:c r="G301" s="14" t="str">
        <x:v>tt26346233</x:v>
      </x:c>
      <x:c r="H301" s="14" t="n">
        <x:v>2023</x:v>
      </x:c>
      <x:c r="I301" s="14" t="n">
        <x:v>2023</x:v>
      </x:c>
      <x:c r="J301" s="14" t="str">
        <x:v>Future Carry-Forward Cohort</x:v>
      </x:c>
      <x:c r="K301" s="14"/>
      <x:c r="L301" s="14" t="str">
        <x:v>Not inherited</x:v>
      </x:c>
      <x:c r="M301" s="15" t="n">
        <x:v>116</x:v>
      </x:c>
      <x:c r="N301" s="14" t="str">
        <x:v>Muzz Khan</x:v>
      </x:c>
      <x:c r="O301" s="14" t="str">
        <x:v>nm2198515</x:v>
      </x:c>
      <x:c r="P301" s="14" t="str">
        <x:v>Dev Metcalfe</x:v>
      </x:c>
      <x:c r="Q301" s="15" t="n">
        <x:v>1</x:v>
      </x:c>
      <x:c r="R301" s="14" t="str">
        <x:v>2025</x:v>
      </x:c>
      <x:c r="S301" s="14" t="n">
        <x:v>2025</x:v>
      </x:c>
      <x:c r="T301" s="14" t="n">
        <x:v>2025</x:v>
      </x:c>
      <x:c r="U301" s="14" t="str">
        <x:v>Explicit source first year retained</x:v>
      </x:c>
      <x:c r="V301" s="14" t="str">
        <x:v>Earliest supplied year is 2025.</x:v>
      </x:c>
      <x:c r="W301" s="14"/>
      <x:c r="X301" s="14" t="str">
        <x:v>Carried forward to 2025</x:v>
      </x:c>
      <x:c r="Y301" s="14"/>
      <x:c r="Z301" s="14" t="str">
        <x:v>The Good Ship Murder.docx</x:v>
      </x:c>
      <x:c r="AA3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5 / 5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24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1</x:v>
      </x:c>
      <x:c r="BS301" s="16" t="n">
        <x:v>0.041666666666666664</x:v>
      </x:c>
      <x:c r="BT301" s="14" t="str">
        <x:v>One episode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tt26346233|nm10421059|tony tong</x:v>
      </x:c>
      <x:c r="B302" s="14" t="str">
        <x:v>04</x:v>
      </x:c>
      <x:c r="C302" s="14" t="str">
        <x:v>2023_IMDb_Cast_Lists_Batch_04(2).xlsx</x:v>
      </x:c>
      <x:c r="D302" s="14" t="str">
        <x:v>The Good Ship Murder</x:v>
      </x:c>
      <x:c r="E302" s="14" t="n">
        <x:v>124</x:v>
      </x:c>
      <x:c r="F302" s="14" t="str">
        <x:v>The Good Ship Murder</x:v>
      </x:c>
      <x:c r="G302" s="14" t="str">
        <x:v>tt26346233</x:v>
      </x:c>
      <x:c r="H302" s="14" t="n">
        <x:v>2023</x:v>
      </x:c>
      <x:c r="I302" s="14" t="n">
        <x:v>2023</x:v>
      </x:c>
      <x:c r="J302" s="14" t="str">
        <x:v>Future Carry-Forward Cohort</x:v>
      </x:c>
      <x:c r="K302" s="14"/>
      <x:c r="L302" s="14" t="str">
        <x:v>Not inherited</x:v>
      </x:c>
      <x:c r="M302" s="15" t="n">
        <x:v>117</x:v>
      </x:c>
      <x:c r="N302" s="14" t="str">
        <x:v>Yin Wang</x:v>
      </x:c>
      <x:c r="O302" s="14" t="str">
        <x:v>nm10421059</x:v>
      </x:c>
      <x:c r="P302" s="14" t="str">
        <x:v>Tony Tong</x:v>
      </x:c>
      <x:c r="Q302" s="15" t="n">
        <x:v>1</x:v>
      </x:c>
      <x:c r="R302" s="14" t="str">
        <x:v>2025</x:v>
      </x:c>
      <x:c r="S302" s="14" t="n">
        <x:v>2025</x:v>
      </x:c>
      <x:c r="T302" s="14" t="n">
        <x:v>2025</x:v>
      </x:c>
      <x:c r="U302" s="14" t="str">
        <x:v>Explicit source first year retained</x:v>
      </x:c>
      <x:c r="V302" s="14" t="str">
        <x:v>Earliest supplied year is 2025.</x:v>
      </x:c>
      <x:c r="W302" s="14"/>
      <x:c r="X302" s="14" t="str">
        <x:v>Carried forward to 2025</x:v>
      </x:c>
      <x:c r="Y302" s="14"/>
      <x:c r="Z302" s="14" t="str">
        <x:v>The Good Ship Murder.docx</x:v>
      </x:c>
      <x:c r="AA3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5 / 5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24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1</x:v>
      </x:c>
      <x:c r="BS302" s="16" t="n">
        <x:v>0.041666666666666664</x:v>
      </x:c>
      <x:c r="BT302" s="14" t="str">
        <x:v>One episode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tt26346233|nm14088072|josh king</x:v>
      </x:c>
      <x:c r="B303" s="14" t="str">
        <x:v>04</x:v>
      </x:c>
      <x:c r="C303" s="14" t="str">
        <x:v>2023_IMDb_Cast_Lists_Batch_04(2).xlsx</x:v>
      </x:c>
      <x:c r="D303" s="14" t="str">
        <x:v>The Good Ship Murder</x:v>
      </x:c>
      <x:c r="E303" s="14" t="n">
        <x:v>125</x:v>
      </x:c>
      <x:c r="F303" s="14" t="str">
        <x:v>The Good Ship Murder</x:v>
      </x:c>
      <x:c r="G303" s="14" t="str">
        <x:v>tt26346233</x:v>
      </x:c>
      <x:c r="H303" s="14" t="n">
        <x:v>2023</x:v>
      </x:c>
      <x:c r="I303" s="14" t="n">
        <x:v>2023</x:v>
      </x:c>
      <x:c r="J303" s="14" t="str">
        <x:v>Future Carry-Forward Cohort</x:v>
      </x:c>
      <x:c r="K303" s="14"/>
      <x:c r="L303" s="14" t="str">
        <x:v>Not inherited</x:v>
      </x:c>
      <x:c r="M303" s="15" t="n">
        <x:v>118</x:v>
      </x:c>
      <x:c r="N303" s="14" t="str">
        <x:v>Jamie Myers</x:v>
      </x:c>
      <x:c r="O303" s="14" t="str">
        <x:v>nm14088072</x:v>
      </x:c>
      <x:c r="P303" s="14" t="str">
        <x:v>Josh King</x:v>
      </x:c>
      <x:c r="Q303" s="15" t="n">
        <x:v>1</x:v>
      </x:c>
      <x:c r="R303" s="14" t="str">
        <x:v>2025</x:v>
      </x:c>
      <x:c r="S303" s="14" t="n">
        <x:v>2025</x:v>
      </x:c>
      <x:c r="T303" s="14" t="n">
        <x:v>2025</x:v>
      </x:c>
      <x:c r="U303" s="14" t="str">
        <x:v>Explicit source first year retained</x:v>
      </x:c>
      <x:c r="V303" s="14" t="str">
        <x:v>Earliest supplied year is 2025.</x:v>
      </x:c>
      <x:c r="W303" s="14"/>
      <x:c r="X303" s="14" t="str">
        <x:v>Carried forward to 2025</x:v>
      </x:c>
      <x:c r="Y303" s="14"/>
      <x:c r="Z303" s="14" t="str">
        <x:v>The Good Ship Murder.docx</x:v>
      </x:c>
      <x:c r="AA3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Channel 5 / 5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24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1</x:v>
      </x:c>
      <x:c r="BS303" s="16" t="n">
        <x:v>0.041666666666666664</x:v>
      </x:c>
      <x:c r="BT303" s="14" t="str">
        <x:v>One episode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tt26346233|nm11344873|eddie bridges</x:v>
      </x:c>
      <x:c r="B304" s="14" t="str">
        <x:v>04</x:v>
      </x:c>
      <x:c r="C304" s="14" t="str">
        <x:v>2023_IMDb_Cast_Lists_Batch_04(2).xlsx</x:v>
      </x:c>
      <x:c r="D304" s="14" t="str">
        <x:v>The Good Ship Murder</x:v>
      </x:c>
      <x:c r="E304" s="14" t="n">
        <x:v>126</x:v>
      </x:c>
      <x:c r="F304" s="14" t="str">
        <x:v>The Good Ship Murder</x:v>
      </x:c>
      <x:c r="G304" s="14" t="str">
        <x:v>tt26346233</x:v>
      </x:c>
      <x:c r="H304" s="14" t="n">
        <x:v>2023</x:v>
      </x:c>
      <x:c r="I304" s="14" t="n">
        <x:v>2023</x:v>
      </x:c>
      <x:c r="J304" s="14" t="str">
        <x:v>Future Carry-Forward Cohort</x:v>
      </x:c>
      <x:c r="K304" s="14"/>
      <x:c r="L304" s="14" t="str">
        <x:v>Not inherited</x:v>
      </x:c>
      <x:c r="M304" s="15" t="n">
        <x:v>119</x:v>
      </x:c>
      <x:c r="N304" s="14" t="str">
        <x:v>Sam Newton</x:v>
      </x:c>
      <x:c r="O304" s="14" t="str">
        <x:v>nm11344873</x:v>
      </x:c>
      <x:c r="P304" s="14" t="str">
        <x:v>Eddie Bridges</x:v>
      </x:c>
      <x:c r="Q304" s="15" t="n">
        <x:v>1</x:v>
      </x:c>
      <x:c r="R304" s="14" t="str">
        <x:v>2025</x:v>
      </x:c>
      <x:c r="S304" s="14" t="n">
        <x:v>2025</x:v>
      </x:c>
      <x:c r="T304" s="14" t="n">
        <x:v>2025</x:v>
      </x:c>
      <x:c r="U304" s="14" t="str">
        <x:v>Explicit source first year retained</x:v>
      </x:c>
      <x:c r="V304" s="14" t="str">
        <x:v>Earliest supplied year is 2025.</x:v>
      </x:c>
      <x:c r="W304" s="14"/>
      <x:c r="X304" s="14" t="str">
        <x:v>Carried forward to 2025</x:v>
      </x:c>
      <x:c r="Y304" s="14"/>
      <x:c r="Z304" s="14" t="str">
        <x:v>The Good Ship Murder.docx</x:v>
      </x:c>
      <x:c r="AA3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5 / 5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24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1</x:v>
      </x:c>
      <x:c r="BS304" s="16" t="n">
        <x:v>0.041666666666666664</x:v>
      </x:c>
      <x:c r="BT304" s="14" t="str">
        <x:v>One episode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tt26346233|nm17231939|christos biros</x:v>
      </x:c>
      <x:c r="B305" s="14" t="str">
        <x:v>04</x:v>
      </x:c>
      <x:c r="C305" s="14" t="str">
        <x:v>2023_IMDb_Cast_Lists_Batch_04(2).xlsx</x:v>
      </x:c>
      <x:c r="D305" s="14" t="str">
        <x:v>The Good Ship Murder</x:v>
      </x:c>
      <x:c r="E305" s="14" t="n">
        <x:v>127</x:v>
      </x:c>
      <x:c r="F305" s="14" t="str">
        <x:v>The Good Ship Murder</x:v>
      </x:c>
      <x:c r="G305" s="14" t="str">
        <x:v>tt26346233</x:v>
      </x:c>
      <x:c r="H305" s="14" t="n">
        <x:v>2023</x:v>
      </x:c>
      <x:c r="I305" s="14" t="n">
        <x:v>2023</x:v>
      </x:c>
      <x:c r="J305" s="14" t="str">
        <x:v>Future Carry-Forward Cohort</x:v>
      </x:c>
      <x:c r="K305" s="14"/>
      <x:c r="L305" s="14" t="str">
        <x:v>Not inherited</x:v>
      </x:c>
      <x:c r="M305" s="15" t="n">
        <x:v>120</x:v>
      </x:c>
      <x:c r="N305" s="14" t="str">
        <x:v>Constantinos Pastronidis</x:v>
      </x:c>
      <x:c r="O305" s="14" t="str">
        <x:v>nm17231939</x:v>
      </x:c>
      <x:c r="P305" s="14" t="str">
        <x:v>Christos Biros</x:v>
      </x:c>
      <x:c r="Q305" s="15" t="n">
        <x:v>1</x:v>
      </x:c>
      <x:c r="R305" s="14" t="str">
        <x:v>2025</x:v>
      </x:c>
      <x:c r="S305" s="14" t="n">
        <x:v>2025</x:v>
      </x:c>
      <x:c r="T305" s="14" t="n">
        <x:v>2025</x:v>
      </x:c>
      <x:c r="U305" s="14" t="str">
        <x:v>Explicit source first year retained</x:v>
      </x:c>
      <x:c r="V305" s="14" t="str">
        <x:v>Earliest supplied year is 2025.</x:v>
      </x:c>
      <x:c r="W305" s="14"/>
      <x:c r="X305" s="14" t="str">
        <x:v>Carried forward to 2025</x:v>
      </x:c>
      <x:c r="Y305" s="14"/>
      <x:c r="Z305" s="14" t="str">
        <x:v>The Good Ship Murder.docx</x:v>
      </x:c>
      <x:c r="AA3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5 / 5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24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1</x:v>
      </x:c>
      <x:c r="BS305" s="16" t="n">
        <x:v>0.041666666666666664</x:v>
      </x:c>
      <x:c r="BT305" s="14" t="str">
        <x:v>One episode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tt26346233|nm0696410|hugo lawrence-batley</x:v>
      </x:c>
      <x:c r="B306" s="14" t="str">
        <x:v>04</x:v>
      </x:c>
      <x:c r="C306" s="14" t="str">
        <x:v>2023_IMDb_Cast_Lists_Batch_04(2).xlsx</x:v>
      </x:c>
      <x:c r="D306" s="14" t="str">
        <x:v>The Good Ship Murder</x:v>
      </x:c>
      <x:c r="E306" s="14" t="n">
        <x:v>136</x:v>
      </x:c>
      <x:c r="F306" s="14" t="str">
        <x:v>The Good Ship Murder</x:v>
      </x:c>
      <x:c r="G306" s="14" t="str">
        <x:v>tt26346233</x:v>
      </x:c>
      <x:c r="H306" s="14" t="n">
        <x:v>2023</x:v>
      </x:c>
      <x:c r="I306" s="14" t="n">
        <x:v>2023</x:v>
      </x:c>
      <x:c r="J306" s="14" t="str">
        <x:v>Future Carry-Forward Cohort</x:v>
      </x:c>
      <x:c r="K306" s="14"/>
      <x:c r="L306" s="14" t="str">
        <x:v>Not inherited</x:v>
      </x:c>
      <x:c r="M306" s="15" t="n">
        <x:v>129</x:v>
      </x:c>
      <x:c r="N306" s="14" t="str">
        <x:v>Duncan Preston</x:v>
      </x:c>
      <x:c r="O306" s="14" t="str">
        <x:v>nm0696410</x:v>
      </x:c>
      <x:c r="P306" s="14" t="str">
        <x:v>Hugo Lawrence-Batley</x:v>
      </x:c>
      <x:c r="Q306" s="15" t="n">
        <x:v>1</x:v>
      </x:c>
      <x:c r="R306" s="14" t="str">
        <x:v>2025</x:v>
      </x:c>
      <x:c r="S306" s="14" t="n">
        <x:v>2025</x:v>
      </x:c>
      <x:c r="T306" s="14" t="n">
        <x:v>2025</x:v>
      </x:c>
      <x:c r="U306" s="14" t="str">
        <x:v>Explicit source first year retained</x:v>
      </x:c>
      <x:c r="V306" s="14" t="str">
        <x:v>Earliest supplied year is 2025.</x:v>
      </x:c>
      <x:c r="W306" s="14"/>
      <x:c r="X306" s="14" t="str">
        <x:v>Carried forward to 2025</x:v>
      </x:c>
      <x:c r="Y306" s="14"/>
      <x:c r="Z306" s="14" t="str">
        <x:v>The Good Ship Murder.docx</x:v>
      </x:c>
      <x:c r="AA3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5 / 5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24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1</x:v>
      </x:c>
      <x:c r="BS306" s="16" t="n">
        <x:v>0.041666666666666664</x:v>
      </x:c>
      <x:c r="BT306" s="14" t="str">
        <x:v>One episode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tt26346233|nm0524804|jason agnew</x:v>
      </x:c>
      <x:c r="B307" s="14" t="str">
        <x:v>04</x:v>
      </x:c>
      <x:c r="C307" s="14" t="str">
        <x:v>2023_IMDb_Cast_Lists_Batch_04(2).xlsx</x:v>
      </x:c>
      <x:c r="D307" s="14" t="str">
        <x:v>The Good Ship Murder</x:v>
      </x:c>
      <x:c r="E307" s="14" t="n">
        <x:v>137</x:v>
      </x:c>
      <x:c r="F307" s="14" t="str">
        <x:v>The Good Ship Murder</x:v>
      </x:c>
      <x:c r="G307" s="14" t="str">
        <x:v>tt26346233</x:v>
      </x:c>
      <x:c r="H307" s="14" t="n">
        <x:v>2023</x:v>
      </x:c>
      <x:c r="I307" s="14" t="n">
        <x:v>2023</x:v>
      </x:c>
      <x:c r="J307" s="14" t="str">
        <x:v>Future Carry-Forward Cohort</x:v>
      </x:c>
      <x:c r="K307" s="14"/>
      <x:c r="L307" s="14" t="str">
        <x:v>Not inherited</x:v>
      </x:c>
      <x:c r="M307" s="15" t="n">
        <x:v>130</x:v>
      </x:c>
      <x:c r="N307" s="14" t="str">
        <x:v>Gary Lucy</x:v>
      </x:c>
      <x:c r="O307" s="14" t="str">
        <x:v>nm0524804</x:v>
      </x:c>
      <x:c r="P307" s="14" t="str">
        <x:v>Jason Agnew</x:v>
      </x:c>
      <x:c r="Q307" s="15" t="n">
        <x:v>1</x:v>
      </x:c>
      <x:c r="R307" s="14" t="str">
        <x:v>2025</x:v>
      </x:c>
      <x:c r="S307" s="14" t="n">
        <x:v>2025</x:v>
      </x:c>
      <x:c r="T307" s="14" t="n">
        <x:v>2025</x:v>
      </x:c>
      <x:c r="U307" s="14" t="str">
        <x:v>Explicit source first year retained</x:v>
      </x:c>
      <x:c r="V307" s="14" t="str">
        <x:v>Earliest supplied year is 2025.</x:v>
      </x:c>
      <x:c r="W307" s="14"/>
      <x:c r="X307" s="14" t="str">
        <x:v>Carried forward to 2025</x:v>
      </x:c>
      <x:c r="Y307" s="14"/>
      <x:c r="Z307" s="14" t="str">
        <x:v>The Good Ship Murder.docx</x:v>
      </x:c>
      <x:c r="AA3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5 / 5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24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1</x:v>
      </x:c>
      <x:c r="BS307" s="16" t="n">
        <x:v>0.041666666666666664</x:v>
      </x:c>
      <x:c r="BT307" s="14" t="str">
        <x:v>One episode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tt26346233|nm1769857|nathan dymond</x:v>
      </x:c>
      <x:c r="B308" s="14" t="str">
        <x:v>04</x:v>
      </x:c>
      <x:c r="C308" s="14" t="str">
        <x:v>2023_IMDb_Cast_Lists_Batch_04(2).xlsx</x:v>
      </x:c>
      <x:c r="D308" s="14" t="str">
        <x:v>The Good Ship Murder</x:v>
      </x:c>
      <x:c r="E308" s="14" t="n">
        <x:v>138</x:v>
      </x:c>
      <x:c r="F308" s="14" t="str">
        <x:v>The Good Ship Murder</x:v>
      </x:c>
      <x:c r="G308" s="14" t="str">
        <x:v>tt26346233</x:v>
      </x:c>
      <x:c r="H308" s="14" t="n">
        <x:v>2023</x:v>
      </x:c>
      <x:c r="I308" s="14" t="n">
        <x:v>2023</x:v>
      </x:c>
      <x:c r="J308" s="14" t="str">
        <x:v>Future Carry-Forward Cohort</x:v>
      </x:c>
      <x:c r="K308" s="14"/>
      <x:c r="L308" s="14" t="str">
        <x:v>Not inherited</x:v>
      </x:c>
      <x:c r="M308" s="15" t="n">
        <x:v>131</x:v>
      </x:c>
      <x:c r="N308" s="14" t="str">
        <x:v>Matthew Wolfenden</x:v>
      </x:c>
      <x:c r="O308" s="14" t="str">
        <x:v>nm1769857</x:v>
      </x:c>
      <x:c r="P308" s="14" t="str">
        <x:v>Nathan Dymond</x:v>
      </x:c>
      <x:c r="Q308" s="15" t="n">
        <x:v>1</x:v>
      </x:c>
      <x:c r="R308" s="14" t="str">
        <x:v>2025</x:v>
      </x:c>
      <x:c r="S308" s="14" t="n">
        <x:v>2025</x:v>
      </x:c>
      <x:c r="T308" s="14" t="n">
        <x:v>2025</x:v>
      </x:c>
      <x:c r="U308" s="14" t="str">
        <x:v>Explicit source first year retained</x:v>
      </x:c>
      <x:c r="V308" s="14" t="str">
        <x:v>Earliest supplied year is 2025.</x:v>
      </x:c>
      <x:c r="W308" s="14"/>
      <x:c r="X308" s="14" t="str">
        <x:v>Carried forward to 2025</x:v>
      </x:c>
      <x:c r="Y308" s="14"/>
      <x:c r="Z308" s="14" t="str">
        <x:v>The Good Ship Murder.docx</x:v>
      </x:c>
      <x:c r="AA3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5 / 5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24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1</x:v>
      </x:c>
      <x:c r="BS308" s="16" t="n">
        <x:v>0.041666666666666664</x:v>
      </x:c>
      <x:c r="BT308" s="14" t="str">
        <x:v>One episode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tt26346233|nm0695970|johnny taylor</x:v>
      </x:c>
      <x:c r="B309" s="14" t="str">
        <x:v>04</x:v>
      </x:c>
      <x:c r="C309" s="14" t="str">
        <x:v>2023_IMDb_Cast_Lists_Batch_04(2).xlsx</x:v>
      </x:c>
      <x:c r="D309" s="14" t="str">
        <x:v>The Good Ship Murder</x:v>
      </x:c>
      <x:c r="E309" s="14" t="n">
        <x:v>139</x:v>
      </x:c>
      <x:c r="F309" s="14" t="str">
        <x:v>The Good Ship Murder</x:v>
      </x:c>
      <x:c r="G309" s="14" t="str">
        <x:v>tt26346233</x:v>
      </x:c>
      <x:c r="H309" s="14" t="n">
        <x:v>2023</x:v>
      </x:c>
      <x:c r="I309" s="14" t="n">
        <x:v>2023</x:v>
      </x:c>
      <x:c r="J309" s="14" t="str">
        <x:v>Future Carry-Forward Cohort</x:v>
      </x:c>
      <x:c r="K309" s="14"/>
      <x:c r="L309" s="14" t="str">
        <x:v>Not inherited</x:v>
      </x:c>
      <x:c r="M309" s="15" t="n">
        <x:v>132</x:v>
      </x:c>
      <x:c r="N309" s="14" t="str">
        <x:v>Shaun Prendergast</x:v>
      </x:c>
      <x:c r="O309" s="14" t="str">
        <x:v>nm0695970</x:v>
      </x:c>
      <x:c r="P309" s="14" t="str">
        <x:v>Johnny Taylor</x:v>
      </x:c>
      <x:c r="Q309" s="15" t="n">
        <x:v>1</x:v>
      </x:c>
      <x:c r="R309" s="14" t="str">
        <x:v>2025</x:v>
      </x:c>
      <x:c r="S309" s="14" t="n">
        <x:v>2025</x:v>
      </x:c>
      <x:c r="T309" s="14" t="n">
        <x:v>2025</x:v>
      </x:c>
      <x:c r="U309" s="14" t="str">
        <x:v>Explicit source first year retained</x:v>
      </x:c>
      <x:c r="V309" s="14" t="str">
        <x:v>Earliest supplied year is 2025.</x:v>
      </x:c>
      <x:c r="W309" s="14"/>
      <x:c r="X309" s="14" t="str">
        <x:v>Carried forward to 2025</x:v>
      </x:c>
      <x:c r="Y309" s="14"/>
      <x:c r="Z309" s="14" t="str">
        <x:v>The Good Ship Murder.docx</x:v>
      </x:c>
      <x:c r="AA3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5 / 5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24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1</x:v>
      </x:c>
      <x:c r="BS309" s="16" t="n">
        <x:v>0.041666666666666664</x:v>
      </x:c>
      <x:c r="BT309" s="14" t="str">
        <x:v>One episode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tt26346233|nm0649101|inspector moretti</x:v>
      </x:c>
      <x:c r="B310" s="14" t="str">
        <x:v>04</x:v>
      </x:c>
      <x:c r="C310" s="14" t="str">
        <x:v>2023_IMDb_Cast_Lists_Batch_04(2).xlsx</x:v>
      </x:c>
      <x:c r="D310" s="14" t="str">
        <x:v>The Good Ship Murder</x:v>
      </x:c>
      <x:c r="E310" s="14" t="n">
        <x:v>140</x:v>
      </x:c>
      <x:c r="F310" s="14" t="str">
        <x:v>The Good Ship Murder</x:v>
      </x:c>
      <x:c r="G310" s="14" t="str">
        <x:v>tt26346233</x:v>
      </x:c>
      <x:c r="H310" s="14" t="n">
        <x:v>2023</x:v>
      </x:c>
      <x:c r="I310" s="14" t="n">
        <x:v>2023</x:v>
      </x:c>
      <x:c r="J310" s="14" t="str">
        <x:v>Future Carry-Forward Cohort</x:v>
      </x:c>
      <x:c r="K310" s="14"/>
      <x:c r="L310" s="14" t="str">
        <x:v>Not inherited</x:v>
      </x:c>
      <x:c r="M310" s="15" t="n">
        <x:v>133</x:v>
      </x:c>
      <x:c r="N310" s="14" t="str">
        <x:v>Mario Opinato</x:v>
      </x:c>
      <x:c r="O310" s="14" t="str">
        <x:v>nm0649101</x:v>
      </x:c>
      <x:c r="P310" s="14" t="str">
        <x:v>Inspector Moretti</x:v>
      </x:c>
      <x:c r="Q310" s="15" t="n">
        <x:v>1</x:v>
      </x:c>
      <x:c r="R310" s="14" t="str">
        <x:v>2025</x:v>
      </x:c>
      <x:c r="S310" s="14" t="n">
        <x:v>2025</x:v>
      </x:c>
      <x:c r="T310" s="14" t="n">
        <x:v>2025</x:v>
      </x:c>
      <x:c r="U310" s="14" t="str">
        <x:v>Explicit source first year retained</x:v>
      </x:c>
      <x:c r="V310" s="14" t="str">
        <x:v>Earliest supplied year is 2025.</x:v>
      </x:c>
      <x:c r="W310" s="14"/>
      <x:c r="X310" s="14" t="str">
        <x:v>Carried forward to 2025</x:v>
      </x:c>
      <x:c r="Y310" s="14"/>
      <x:c r="Z310" s="14" t="str">
        <x:v>The Good Ship Murder.docx</x:v>
      </x:c>
      <x:c r="AA3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5 / 5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24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1</x:v>
      </x:c>
      <x:c r="BS310" s="16" t="n">
        <x:v>0.041666666666666664</x:v>
      </x:c>
      <x:c r="BT310" s="14" t="str">
        <x:v>One episode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tt26346233|nm0778494|afonso valente</x:v>
      </x:c>
      <x:c r="B311" s="14" t="str">
        <x:v>04</x:v>
      </x:c>
      <x:c r="C311" s="14" t="str">
        <x:v>2023_IMDb_Cast_Lists_Batch_04(2).xlsx</x:v>
      </x:c>
      <x:c r="D311" s="14" t="str">
        <x:v>The Good Ship Murder</x:v>
      </x:c>
      <x:c r="E311" s="14" t="n">
        <x:v>141</x:v>
      </x:c>
      <x:c r="F311" s="14" t="str">
        <x:v>The Good Ship Murder</x:v>
      </x:c>
      <x:c r="G311" s="14" t="str">
        <x:v>tt26346233</x:v>
      </x:c>
      <x:c r="H311" s="14" t="n">
        <x:v>2023</x:v>
      </x:c>
      <x:c r="I311" s="14" t="n">
        <x:v>2023</x:v>
      </x:c>
      <x:c r="J311" s="14" t="str">
        <x:v>Future Carry-Forward Cohort</x:v>
      </x:c>
      <x:c r="K311" s="14"/>
      <x:c r="L311" s="14" t="str">
        <x:v>Not inherited</x:v>
      </x:c>
      <x:c r="M311" s="15" t="n">
        <x:v>134</x:v>
      </x:c>
      <x:c r="N311" s="14" t="str">
        <x:v>Michael Sciortino</x:v>
      </x:c>
      <x:c r="O311" s="14" t="str">
        <x:v>nm0778494</x:v>
      </x:c>
      <x:c r="P311" s="14" t="str">
        <x:v>Afonso Valente</x:v>
      </x:c>
      <x:c r="Q311" s="15" t="n">
        <x:v>1</x:v>
      </x:c>
      <x:c r="R311" s="14" t="str">
        <x:v>2025</x:v>
      </x:c>
      <x:c r="S311" s="14" t="n">
        <x:v>2025</x:v>
      </x:c>
      <x:c r="T311" s="14" t="n">
        <x:v>2025</x:v>
      </x:c>
      <x:c r="U311" s="14" t="str">
        <x:v>Explicit source first year retained</x:v>
      </x:c>
      <x:c r="V311" s="14" t="str">
        <x:v>Earliest supplied year is 2025.</x:v>
      </x:c>
      <x:c r="W311" s="14"/>
      <x:c r="X311" s="14" t="str">
        <x:v>Carried forward to 2025</x:v>
      </x:c>
      <x:c r="Y311" s="14"/>
      <x:c r="Z311" s="14" t="str">
        <x:v>The Good Ship Murder.docx</x:v>
      </x:c>
      <x:c r="AA3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5 / 5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24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1</x:v>
      </x:c>
      <x:c r="BS311" s="16" t="n">
        <x:v>0.041666666666666664</x:v>
      </x:c>
      <x:c r="BT311" s="14" t="str">
        <x:v>One episode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tt26346233|nm1596630|liam barnes</x:v>
      </x:c>
      <x:c r="B312" s="14" t="str">
        <x:v>04</x:v>
      </x:c>
      <x:c r="C312" s="14" t="str">
        <x:v>2023_IMDb_Cast_Lists_Batch_04(2).xlsx</x:v>
      </x:c>
      <x:c r="D312" s="14" t="str">
        <x:v>The Good Ship Murder</x:v>
      </x:c>
      <x:c r="E312" s="14" t="n">
        <x:v>147</x:v>
      </x:c>
      <x:c r="F312" s="14" t="str">
        <x:v>The Good Ship Murder</x:v>
      </x:c>
      <x:c r="G312" s="14" t="str">
        <x:v>tt26346233</x:v>
      </x:c>
      <x:c r="H312" s="14" t="n">
        <x:v>2023</x:v>
      </x:c>
      <x:c r="I312" s="14" t="n">
        <x:v>2023</x:v>
      </x:c>
      <x:c r="J312" s="14" t="str">
        <x:v>Future Carry-Forward Cohort</x:v>
      </x:c>
      <x:c r="K312" s="14"/>
      <x:c r="L312" s="14" t="str">
        <x:v>Not inherited</x:v>
      </x:c>
      <x:c r="M312" s="15" t="n">
        <x:v>140</x:v>
      </x:c>
      <x:c r="N312" s="14" t="str">
        <x:v>Nathan Sussex</x:v>
      </x:c>
      <x:c r="O312" s="14" t="str">
        <x:v>nm1596630</x:v>
      </x:c>
      <x:c r="P312" s="14" t="str">
        <x:v>Liam Barnes</x:v>
      </x:c>
      <x:c r="Q312" s="15" t="n">
        <x:v>1</x:v>
      </x:c>
      <x:c r="R312" s="14" t="str">
        <x:v>2025</x:v>
      </x:c>
      <x:c r="S312" s="14" t="n">
        <x:v>2025</x:v>
      </x:c>
      <x:c r="T312" s="14" t="n">
        <x:v>2025</x:v>
      </x:c>
      <x:c r="U312" s="14" t="str">
        <x:v>Explicit source first year retained</x:v>
      </x:c>
      <x:c r="V312" s="14" t="str">
        <x:v>Earliest supplied year is 2025.</x:v>
      </x:c>
      <x:c r="W312" s="14"/>
      <x:c r="X312" s="14" t="str">
        <x:v>Carried forward to 2025</x:v>
      </x:c>
      <x:c r="Y312" s="14"/>
      <x:c r="Z312" s="14" t="str">
        <x:v>The Good Ship Murder.docx</x:v>
      </x:c>
      <x:c r="AA3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5 / 5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24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1</x:v>
      </x:c>
      <x:c r="BS312" s="16" t="n">
        <x:v>0.041666666666666664</x:v>
      </x:c>
      <x:c r="BT312" s="14" t="str">
        <x:v>One episode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tt26346233|nm1259813|father rodriguez</x:v>
      </x:c>
      <x:c r="B313" s="14" t="str">
        <x:v>04</x:v>
      </x:c>
      <x:c r="C313" s="14" t="str">
        <x:v>2023_IMDb_Cast_Lists_Batch_04(2).xlsx</x:v>
      </x:c>
      <x:c r="D313" s="14" t="str">
        <x:v>The Good Ship Murder</x:v>
      </x:c>
      <x:c r="E313" s="14" t="n">
        <x:v>148</x:v>
      </x:c>
      <x:c r="F313" s="14" t="str">
        <x:v>The Good Ship Murder</x:v>
      </x:c>
      <x:c r="G313" s="14" t="str">
        <x:v>tt26346233</x:v>
      </x:c>
      <x:c r="H313" s="14" t="n">
        <x:v>2023</x:v>
      </x:c>
      <x:c r="I313" s="14" t="n">
        <x:v>2023</x:v>
      </x:c>
      <x:c r="J313" s="14" t="str">
        <x:v>Future Carry-Forward Cohort</x:v>
      </x:c>
      <x:c r="K313" s="14"/>
      <x:c r="L313" s="14" t="str">
        <x:v>Not inherited</x:v>
      </x:c>
      <x:c r="M313" s="15" t="n">
        <x:v>141</x:v>
      </x:c>
      <x:c r="N313" s="14" t="str">
        <x:v>Luis Soto</x:v>
      </x:c>
      <x:c r="O313" s="14" t="str">
        <x:v>nm1259813</x:v>
      </x:c>
      <x:c r="P313" s="14" t="str">
        <x:v>Father Rodriguez</x:v>
      </x:c>
      <x:c r="Q313" s="15" t="n">
        <x:v>1</x:v>
      </x:c>
      <x:c r="R313" s="14" t="str">
        <x:v>2025</x:v>
      </x:c>
      <x:c r="S313" s="14" t="n">
        <x:v>2025</x:v>
      </x:c>
      <x:c r="T313" s="14" t="n">
        <x:v>2025</x:v>
      </x:c>
      <x:c r="U313" s="14" t="str">
        <x:v>Explicit source first year retained</x:v>
      </x:c>
      <x:c r="V313" s="14" t="str">
        <x:v>Earliest supplied year is 2025.</x:v>
      </x:c>
      <x:c r="W313" s="14"/>
      <x:c r="X313" s="14" t="str">
        <x:v>Carried forward to 2025</x:v>
      </x:c>
      <x:c r="Y313" s="14"/>
      <x:c r="Z313" s="14" t="str">
        <x:v>The Good Ship Murder.docx</x:v>
      </x:c>
      <x:c r="AA3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5 / 5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24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1</x:v>
      </x:c>
      <x:c r="BS313" s="16" t="n">
        <x:v>0.041666666666666664</x:v>
      </x:c>
      <x:c r="BT313" s="14" t="str">
        <x:v>One episode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tt26346233|nm1501319|mickey eldergill</x:v>
      </x:c>
      <x:c r="B314" s="14" t="str">
        <x:v>04</x:v>
      </x:c>
      <x:c r="C314" s="14" t="str">
        <x:v>2023_IMDb_Cast_Lists_Batch_04(2).xlsx</x:v>
      </x:c>
      <x:c r="D314" s="14" t="str">
        <x:v>The Good Ship Murder</x:v>
      </x:c>
      <x:c r="E314" s="14" t="n">
        <x:v>151</x:v>
      </x:c>
      <x:c r="F314" s="14" t="str">
        <x:v>The Good Ship Murder</x:v>
      </x:c>
      <x:c r="G314" s="14" t="str">
        <x:v>tt26346233</x:v>
      </x:c>
      <x:c r="H314" s="14" t="n">
        <x:v>2023</x:v>
      </x:c>
      <x:c r="I314" s="14" t="n">
        <x:v>2023</x:v>
      </x:c>
      <x:c r="J314" s="14" t="str">
        <x:v>Future Carry-Forward Cohort</x:v>
      </x:c>
      <x:c r="K314" s="14"/>
      <x:c r="L314" s="14" t="str">
        <x:v>Not inherited</x:v>
      </x:c>
      <x:c r="M314" s="15" t="n">
        <x:v>144</x:v>
      </x:c>
      <x:c r="N314" s="14" t="str">
        <x:v>Greg Wood</x:v>
      </x:c>
      <x:c r="O314" s="14" t="str">
        <x:v>nm1501319</x:v>
      </x:c>
      <x:c r="P314" s="14" t="str">
        <x:v>Mickey Eldergill</x:v>
      </x:c>
      <x:c r="Q314" s="15" t="n">
        <x:v>1</x:v>
      </x:c>
      <x:c r="R314" s="14" t="str">
        <x:v>2025</x:v>
      </x:c>
      <x:c r="S314" s="14" t="n">
        <x:v>2025</x:v>
      </x:c>
      <x:c r="T314" s="14" t="n">
        <x:v>2025</x:v>
      </x:c>
      <x:c r="U314" s="14" t="str">
        <x:v>Explicit source first year retained</x:v>
      </x:c>
      <x:c r="V314" s="14" t="str">
        <x:v>Earliest supplied year is 2025.</x:v>
      </x:c>
      <x:c r="W314" s="14"/>
      <x:c r="X314" s="14" t="str">
        <x:v>Carried forward to 2025</x:v>
      </x:c>
      <x:c r="Y314" s="14"/>
      <x:c r="Z314" s="14" t="str">
        <x:v>The Good Ship Murder.docx</x:v>
      </x:c>
      <x:c r="AA3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5 / 5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24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1</x:v>
      </x:c>
      <x:c r="BS314" s="16" t="n">
        <x:v>0.041666666666666664</x:v>
      </x:c>
      <x:c r="BT314" s="14" t="str">
        <x:v>One episode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tt26346233|nm16905128|security guard pablo</x:v>
      </x:c>
      <x:c r="B315" s="14" t="str">
        <x:v>04</x:v>
      </x:c>
      <x:c r="C315" s="14" t="str">
        <x:v>2023_IMDb_Cast_Lists_Batch_04(2).xlsx</x:v>
      </x:c>
      <x:c r="D315" s="14" t="str">
        <x:v>The Good Ship Murder</x:v>
      </x:c>
      <x:c r="E315" s="14" t="n">
        <x:v>153</x:v>
      </x:c>
      <x:c r="F315" s="14" t="str">
        <x:v>The Good Ship Murder</x:v>
      </x:c>
      <x:c r="G315" s="14" t="str">
        <x:v>tt26346233</x:v>
      </x:c>
      <x:c r="H315" s="14" t="n">
        <x:v>2023</x:v>
      </x:c>
      <x:c r="I315" s="14" t="n">
        <x:v>2023</x:v>
      </x:c>
      <x:c r="J315" s="14" t="str">
        <x:v>Future Carry-Forward Cohort</x:v>
      </x:c>
      <x:c r="K315" s="14"/>
      <x:c r="L315" s="14" t="str">
        <x:v>Not inherited</x:v>
      </x:c>
      <x:c r="M315" s="15" t="n">
        <x:v>146</x:v>
      </x:c>
      <x:c r="N315" s="14" t="str">
        <x:v>Ryan Connell</x:v>
      </x:c>
      <x:c r="O315" s="14" t="str">
        <x:v>nm16905128</x:v>
      </x:c>
      <x:c r="P315" s="14" t="str">
        <x:v>Security Guard Pablo</x:v>
      </x:c>
      <x:c r="Q315" s="15" t="n">
        <x:v>1</x:v>
      </x:c>
      <x:c r="R315" s="14" t="str">
        <x:v>2025</x:v>
      </x:c>
      <x:c r="S315" s="14" t="n">
        <x:v>2025</x:v>
      </x:c>
      <x:c r="T315" s="14" t="n">
        <x:v>2025</x:v>
      </x:c>
      <x:c r="U315" s="14" t="str">
        <x:v>Explicit source first year retained</x:v>
      </x:c>
      <x:c r="V315" s="14" t="str">
        <x:v>Earliest supplied year is 2025.</x:v>
      </x:c>
      <x:c r="W315" s="14"/>
      <x:c r="X315" s="14" t="str">
        <x:v>Carried forward to 2025</x:v>
      </x:c>
      <x:c r="Y315" s="14"/>
      <x:c r="Z315" s="14" t="str">
        <x:v>The Good Ship Murder.docx</x:v>
      </x:c>
      <x:c r="AA3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5 / 5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24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1</x:v>
      </x:c>
      <x:c r="BS315" s="16" t="n">
        <x:v>0.041666666666666664</x:v>
      </x:c>
      <x:c r="BT315" s="14" t="str">
        <x:v>One episode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tt26627660|nm1854269|mic</x:v>
      </x:c>
      <x:c r="B316" s="14" t="str">
        <x:v>05</x:v>
      </x:c>
      <x:c r="C316" s="14" t="str">
        <x:v>2023_IMDb_Cast_Lists_Batch_05(2).xlsx</x:v>
      </x:c>
      <x:c r="D316" s="14" t="str">
        <x:v>The Power of Parker</x:v>
      </x:c>
      <x:c r="E316" s="14" t="n">
        <x:v>24</x:v>
      </x:c>
      <x:c r="F316" s="14" t="str">
        <x:v>The Power of Parker</x:v>
      </x:c>
      <x:c r="G316" s="14" t="str">
        <x:v>tt26627660</x:v>
      </x:c>
      <x:c r="H316" s="14" t="n">
        <x:v>2023</x:v>
      </x:c>
      <x:c r="I316" s="14" t="n">
        <x:v>2023</x:v>
      </x:c>
      <x:c r="J316" s="14" t="str">
        <x:v>Future Carry-Forward Cohort</x:v>
      </x:c>
      <x:c r="K316" s="14"/>
      <x:c r="L316" s="14" t="str">
        <x:v>Not inherited</x:v>
      </x:c>
      <x:c r="M316" s="15" t="n">
        <x:v>17</x:v>
      </x:c>
      <x:c r="N316" s="14" t="str">
        <x:v>Diane Morgan</x:v>
      </x:c>
      <x:c r="O316" s="14" t="str">
        <x:v>nm1854269</x:v>
      </x:c>
      <x:c r="P316" s="14" t="str">
        <x:v>Mic</x:v>
      </x:c>
      <x:c r="Q316" s="15" t="n">
        <x:v>3</x:v>
      </x:c>
      <x:c r="R316" s="14" t="str">
        <x:v>2025</x:v>
      </x:c>
      <x:c r="S316" s="14" t="n">
        <x:v>2025</x:v>
      </x:c>
      <x:c r="T316" s="14" t="n">
        <x:v>2025</x:v>
      </x:c>
      <x:c r="U316" s="14" t="str">
        <x:v>Explicit source first year retained</x:v>
      </x:c>
      <x:c r="V316" s="14" t="str">
        <x:v>Earliest supplied year is 2025.</x:v>
      </x:c>
      <x:c r="W316" s="14"/>
      <x:c r="X316" s="14" t="str">
        <x:v>Carried forward to 2025</x:v>
      </x:c>
      <x:c r="Y316" s="14"/>
      <x:c r="Z316" s="14" t="str">
        <x:v>The Power of Parker.docx</x:v>
      </x:c>
      <x:c r="AA316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BBC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16" s="14" t="str">
        <x:v>BBC public-service commission</x:v>
      </x:c>
      <x:c r="AO316" s="14" t="str">
        <x:v>Yes</x:v>
      </x:c>
      <x:c r="AP316" s="14" t="str">
        <x:v>Direct BBC public-service scope</x:v>
      </x:c>
      <x:c r="AQ316" s="14" t="str">
        <x:v>Yes</x:v>
      </x:c>
      <x:c r="AR316" s="14" t="str">
        <x:v>Resolved from master register</x:v>
      </x:c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3</x:v>
      </x:c>
      <x:c r="BS316" s="16" t="n">
        <x:v>0.25</x:v>
      </x:c>
      <x:c r="BT316" s="14" t="str">
        <x:v>Minority of episodes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tt26627660|nm0159527|ash</x:v>
      </x:c>
      <x:c r="B317" s="14" t="str">
        <x:v>05</x:v>
      </x:c>
      <x:c r="C317" s="14" t="str">
        <x:v>2023_IMDb_Cast_Lists_Batch_05(2).xlsx</x:v>
      </x:c>
      <x:c r="D317" s="14" t="str">
        <x:v>The Power of Parker</x:v>
      </x:c>
      <x:c r="E317" s="14" t="n">
        <x:v>25</x:v>
      </x:c>
      <x:c r="F317" s="14" t="str">
        <x:v>The Power of Parker</x:v>
      </x:c>
      <x:c r="G317" s="14" t="str">
        <x:v>tt26627660</x:v>
      </x:c>
      <x:c r="H317" s="14" t="n">
        <x:v>2023</x:v>
      </x:c>
      <x:c r="I317" s="14" t="n">
        <x:v>2023</x:v>
      </x:c>
      <x:c r="J317" s="14" t="str">
        <x:v>Future Carry-Forward Cohort</x:v>
      </x:c>
      <x:c r="K317" s="14"/>
      <x:c r="L317" s="14" t="str">
        <x:v>Not inherited</x:v>
      </x:c>
      <x:c r="M317" s="15" t="n">
        <x:v>18</x:v>
      </x:c>
      <x:c r="N317" s="14" t="str">
        <x:v>Navin Chowdhry</x:v>
      </x:c>
      <x:c r="O317" s="14" t="str">
        <x:v>nm0159527</x:v>
      </x:c>
      <x:c r="P317" s="14" t="str">
        <x:v>Ash</x:v>
      </x:c>
      <x:c r="Q317" s="15" t="n">
        <x:v>3</x:v>
      </x:c>
      <x:c r="R317" s="14" t="str">
        <x:v>2025</x:v>
      </x:c>
      <x:c r="S317" s="14" t="n">
        <x:v>2025</x:v>
      </x:c>
      <x:c r="T317" s="14" t="n">
        <x:v>2025</x:v>
      </x:c>
      <x:c r="U317" s="14" t="str">
        <x:v>Explicit source first year retained</x:v>
      </x:c>
      <x:c r="V317" s="14" t="str">
        <x:v>Earliest supplied year is 2025.</x:v>
      </x:c>
      <x:c r="W317" s="14"/>
      <x:c r="X317" s="14" t="str">
        <x:v>Carried forward to 2025</x:v>
      </x:c>
      <x:c r="Y317" s="14"/>
      <x:c r="Z317" s="14" t="str">
        <x:v>The Power of Parker.docx</x:v>
      </x:c>
      <x:c r="AA31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BBC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17" s="14" t="str">
        <x:v>BBC public-service commission</x:v>
      </x:c>
      <x:c r="AO317" s="14" t="str">
        <x:v>Yes</x:v>
      </x:c>
      <x:c r="AP317" s="14" t="str">
        <x:v>Direct BBC public-service scope</x:v>
      </x:c>
      <x:c r="AQ317" s="14" t="str">
        <x:v>Yes</x:v>
      </x:c>
      <x:c r="AR317" s="14" t="str">
        <x:v>Resolved from master register</x:v>
      </x:c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3</x:v>
      </x:c>
      <x:c r="BS317" s="16" t="n">
        <x:v>0.25</x:v>
      </x:c>
      <x:c r="BT317" s="14" t="str">
        <x:v>Minority of episodes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tt26627660|nm8046695|kim</x:v>
      </x:c>
      <x:c r="B318" s="14" t="str">
        <x:v>05</x:v>
      </x:c>
      <x:c r="C318" s="14" t="str">
        <x:v>2023_IMDb_Cast_Lists_Batch_05(2).xlsx</x:v>
      </x:c>
      <x:c r="D318" s="14" t="str">
        <x:v>The Power of Parker</x:v>
      </x:c>
      <x:c r="E318" s="14" t="n">
        <x:v>29</x:v>
      </x:c>
      <x:c r="F318" s="14" t="str">
        <x:v>The Power of Parker</x:v>
      </x:c>
      <x:c r="G318" s="14" t="str">
        <x:v>tt26627660</x:v>
      </x:c>
      <x:c r="H318" s="14" t="n">
        <x:v>2023</x:v>
      </x:c>
      <x:c r="I318" s="14" t="n">
        <x:v>2023</x:v>
      </x:c>
      <x:c r="J318" s="14" t="str">
        <x:v>Future Carry-Forward Cohort</x:v>
      </x:c>
      <x:c r="K318" s="14"/>
      <x:c r="L318" s="14" t="str">
        <x:v>Not inherited</x:v>
      </x:c>
      <x:c r="M318" s="15" t="n">
        <x:v>22</x:v>
      </x:c>
      <x:c r="N318" s="14" t="str">
        <x:v>Mia Foo</x:v>
      </x:c>
      <x:c r="O318" s="14" t="str">
        <x:v>nm8046695</x:v>
      </x:c>
      <x:c r="P318" s="14" t="str">
        <x:v>Kim</x:v>
      </x:c>
      <x:c r="Q318" s="15" t="n">
        <x:v>2</x:v>
      </x:c>
      <x:c r="R318" s="14" t="str">
        <x:v>2025</x:v>
      </x:c>
      <x:c r="S318" s="14" t="n">
        <x:v>2025</x:v>
      </x:c>
      <x:c r="T318" s="14" t="n">
        <x:v>2025</x:v>
      </x:c>
      <x:c r="U318" s="14" t="str">
        <x:v>Explicit source first year retained</x:v>
      </x:c>
      <x:c r="V318" s="14" t="str">
        <x:v>Earliest supplied year is 2025.</x:v>
      </x:c>
      <x:c r="W318" s="14"/>
      <x:c r="X318" s="14" t="str">
        <x:v>Carried forward to 2025</x:v>
      </x:c>
      <x:c r="Y318" s="14"/>
      <x:c r="Z318" s="14" t="str">
        <x:v>The Power of Parker.docx</x:v>
      </x:c>
      <x:c r="AA31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BBC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18" s="14" t="str">
        <x:v>BBC public-service commission</x:v>
      </x:c>
      <x:c r="AO318" s="14" t="str">
        <x:v>Yes</x:v>
      </x:c>
      <x:c r="AP318" s="14" t="str">
        <x:v>Direct BBC public-service scope</x:v>
      </x:c>
      <x:c r="AQ318" s="14" t="str">
        <x:v>Yes</x:v>
      </x:c>
      <x:c r="AR318" s="14" t="str">
        <x:v>Resolved from master register</x:v>
      </x:c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2</x:v>
      </x:c>
      <x:c r="BS318" s="16" t="n">
        <x:v>0.16666666666666666</x:v>
      </x:c>
      <x:c r="BT318" s="14" t="str">
        <x:v>Minority of episodes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tt26627660|nm15248429|matthew</x:v>
      </x:c>
      <x:c r="B319" s="14" t="str">
        <x:v>05</x:v>
      </x:c>
      <x:c r="C319" s="14" t="str">
        <x:v>2023_IMDb_Cast_Lists_Batch_05(2).xlsx</x:v>
      </x:c>
      <x:c r="D319" s="14" t="str">
        <x:v>The Power of Parker</x:v>
      </x:c>
      <x:c r="E319" s="14" t="n">
        <x:v>32</x:v>
      </x:c>
      <x:c r="F319" s="14" t="str">
        <x:v>The Power of Parker</x:v>
      </x:c>
      <x:c r="G319" s="14" t="str">
        <x:v>tt26627660</x:v>
      </x:c>
      <x:c r="H319" s="14" t="n">
        <x:v>2023</x:v>
      </x:c>
      <x:c r="I319" s="14" t="n">
        <x:v>2023</x:v>
      </x:c>
      <x:c r="J319" s="14" t="str">
        <x:v>Future Carry-Forward Cohort</x:v>
      </x:c>
      <x:c r="K319" s="14"/>
      <x:c r="L319" s="14" t="str">
        <x:v>Not inherited</x:v>
      </x:c>
      <x:c r="M319" s="15" t="n">
        <x:v>25</x:v>
      </x:c>
      <x:c r="N319" s="14" t="str">
        <x:v>Kate Butch</x:v>
      </x:c>
      <x:c r="O319" s="14" t="str">
        <x:v>nm15248429</x:v>
      </x:c>
      <x:c r="P319" s="14" t="str">
        <x:v>Matthew</x:v>
      </x:c>
      <x:c r="Q319" s="15" t="n">
        <x:v>2</x:v>
      </x:c>
      <x:c r="R319" s="14" t="str">
        <x:v>2025</x:v>
      </x:c>
      <x:c r="S319" s="14" t="n">
        <x:v>2025</x:v>
      </x:c>
      <x:c r="T319" s="14" t="n">
        <x:v>2025</x:v>
      </x:c>
      <x:c r="U319" s="14" t="str">
        <x:v>Explicit source first year retained</x:v>
      </x:c>
      <x:c r="V319" s="14" t="str">
        <x:v>Earliest supplied year is 2025.</x:v>
      </x:c>
      <x:c r="W319" s="14"/>
      <x:c r="X319" s="14" t="str">
        <x:v>Carried forward to 2025</x:v>
      </x:c>
      <x:c r="Y319" s="14"/>
      <x:c r="Z319" s="14" t="str">
        <x:v>The Power of Parker.docx</x:v>
      </x:c>
      <x:c r="AA31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BBC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19" s="14" t="str">
        <x:v>BBC public-service commission</x:v>
      </x:c>
      <x:c r="AO319" s="14" t="str">
        <x:v>Yes</x:v>
      </x:c>
      <x:c r="AP319" s="14" t="str">
        <x:v>Direct BBC public-service scope</x:v>
      </x:c>
      <x:c r="AQ319" s="14" t="str">
        <x:v>Yes</x:v>
      </x:c>
      <x:c r="AR319" s="14" t="str">
        <x:v>Resolved from master register</x:v>
      </x:c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2</x:v>
      </x:c>
      <x:c r="BS319" s="16" t="n">
        <x:v>0.16666666666666666</x:v>
      </x:c>
      <x:c r="BT319" s="14" t="str">
        <x:v>Minority of episodes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tt26627660|nm2641014|alice</x:v>
      </x:c>
      <x:c r="B320" s="14" t="str">
        <x:v>05</x:v>
      </x:c>
      <x:c r="C320" s="14" t="str">
        <x:v>2023_IMDb_Cast_Lists_Batch_05(2).xlsx</x:v>
      </x:c>
      <x:c r="D320" s="14" t="str">
        <x:v>The Power of Parker</x:v>
      </x:c>
      <x:c r="E320" s="14" t="n">
        <x:v>33</x:v>
      </x:c>
      <x:c r="F320" s="14" t="str">
        <x:v>The Power of Parker</x:v>
      </x:c>
      <x:c r="G320" s="14" t="str">
        <x:v>tt26627660</x:v>
      </x:c>
      <x:c r="H320" s="14" t="n">
        <x:v>2023</x:v>
      </x:c>
      <x:c r="I320" s="14" t="n">
        <x:v>2023</x:v>
      </x:c>
      <x:c r="J320" s="14" t="str">
        <x:v>Future Carry-Forward Cohort</x:v>
      </x:c>
      <x:c r="K320" s="14"/>
      <x:c r="L320" s="14" t="str">
        <x:v>Not inherited</x:v>
      </x:c>
      <x:c r="M320" s="15" t="n">
        <x:v>26</x:v>
      </x:c>
      <x:c r="N320" s="14" t="str">
        <x:v>Ruth Evans</x:v>
      </x:c>
      <x:c r="O320" s="14" t="str">
        <x:v>nm2641014</x:v>
      </x:c>
      <x:c r="P320" s="14" t="str">
        <x:v>Alice</x:v>
      </x:c>
      <x:c r="Q320" s="15" t="n">
        <x:v>2</x:v>
      </x:c>
      <x:c r="R320" s="14" t="str">
        <x:v>2025</x:v>
      </x:c>
      <x:c r="S320" s="14" t="n">
        <x:v>2025</x:v>
      </x:c>
      <x:c r="T320" s="14" t="n">
        <x:v>2025</x:v>
      </x:c>
      <x:c r="U320" s="14" t="str">
        <x:v>Explicit source first year retained</x:v>
      </x:c>
      <x:c r="V320" s="14" t="str">
        <x:v>Earliest supplied year is 2025.</x:v>
      </x:c>
      <x:c r="W320" s="14"/>
      <x:c r="X320" s="14" t="str">
        <x:v>Carried forward to 2025</x:v>
      </x:c>
      <x:c r="Y320" s="14"/>
      <x:c r="Z320" s="14" t="str">
        <x:v>The Power of Parker.docx</x:v>
      </x:c>
      <x:c r="AA32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BBC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0" s="14" t="str">
        <x:v>BBC public-service commission</x:v>
      </x:c>
      <x:c r="AO320" s="14" t="str">
        <x:v>Yes</x:v>
      </x:c>
      <x:c r="AP320" s="14" t="str">
        <x:v>Direct BBC public-service scope</x:v>
      </x:c>
      <x:c r="AQ320" s="14" t="str">
        <x:v>Yes</x:v>
      </x:c>
      <x:c r="AR320" s="14" t="str">
        <x:v>Resolved from master register</x:v>
      </x:c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2</x:v>
      </x:c>
      <x:c r="BS320" s="16" t="n">
        <x:v>0.16666666666666666</x:v>
      </x:c>
      <x:c r="BT320" s="14" t="str">
        <x:v>Minority of episodes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tt26627660|nm0077397|veronica</x:v>
      </x:c>
      <x:c r="B321" s="14" t="str">
        <x:v>05</x:v>
      </x:c>
      <x:c r="C321" s="14" t="str">
        <x:v>2023_IMDb_Cast_Lists_Batch_05(2).xlsx</x:v>
      </x:c>
      <x:c r="D321" s="14" t="str">
        <x:v>The Power of Parker</x:v>
      </x:c>
      <x:c r="E321" s="14" t="n">
        <x:v>35</x:v>
      </x:c>
      <x:c r="F321" s="14" t="str">
        <x:v>The Power of Parker</x:v>
      </x:c>
      <x:c r="G321" s="14" t="str">
        <x:v>tt26627660</x:v>
      </x:c>
      <x:c r="H321" s="14" t="n">
        <x:v>2023</x:v>
      </x:c>
      <x:c r="I321" s="14" t="n">
        <x:v>2023</x:v>
      </x:c>
      <x:c r="J321" s="14" t="str">
        <x:v>Future Carry-Forward Cohort</x:v>
      </x:c>
      <x:c r="K321" s="14"/>
      <x:c r="L321" s="14" t="str">
        <x:v>Not inherited</x:v>
      </x:c>
      <x:c r="M321" s="15" t="n">
        <x:v>28</x:v>
      </x:c>
      <x:c r="N321" s="14" t="str">
        <x:v>Elizabeth Berrington</x:v>
      </x:c>
      <x:c r="O321" s="14" t="str">
        <x:v>nm0077397</x:v>
      </x:c>
      <x:c r="P321" s="14" t="str">
        <x:v>Veronica</x:v>
      </x:c>
      <x:c r="Q321" s="15" t="n">
        <x:v>1</x:v>
      </x:c>
      <x:c r="R321" s="14" t="str">
        <x:v>2025</x:v>
      </x:c>
      <x:c r="S321" s="14" t="n">
        <x:v>2025</x:v>
      </x:c>
      <x:c r="T321" s="14" t="n">
        <x:v>2025</x:v>
      </x:c>
      <x:c r="U321" s="14" t="str">
        <x:v>Explicit source first year retained</x:v>
      </x:c>
      <x:c r="V321" s="14" t="str">
        <x:v>Earliest supplied year is 2025.</x:v>
      </x:c>
      <x:c r="W321" s="14"/>
      <x:c r="X321" s="14" t="str">
        <x:v>Carried forward to 2025</x:v>
      </x:c>
      <x:c r="Y321" s="14"/>
      <x:c r="Z321" s="14" t="str">
        <x:v>The Power of Parker.docx</x:v>
      </x:c>
      <x:c r="AA32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BBC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1" s="14" t="str">
        <x:v>BBC public-service commission</x:v>
      </x:c>
      <x:c r="AO321" s="14" t="str">
        <x:v>Yes</x:v>
      </x:c>
      <x:c r="AP321" s="14" t="str">
        <x:v>Direct BBC public-service scope</x:v>
      </x:c>
      <x:c r="AQ321" s="14" t="str">
        <x:v>Yes</x:v>
      </x:c>
      <x:c r="AR321" s="14" t="str">
        <x:v>Resolved from master register</x:v>
      </x:c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1</x:v>
      </x:c>
      <x:c r="BS321" s="16" t="n">
        <x:v>0.08333333333333333</x:v>
      </x:c>
      <x:c r="BT321" s="14" t="str">
        <x:v>One episode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tt26627660|nm0203709|mystic mo</x:v>
      </x:c>
      <x:c r="B322" s="14" t="str">
        <x:v>05</x:v>
      </x:c>
      <x:c r="C322" s="14" t="str">
        <x:v>2023_IMDb_Cast_Lists_Batch_05(2).xlsx</x:v>
      </x:c>
      <x:c r="D322" s="14" t="str">
        <x:v>The Power of Parker</x:v>
      </x:c>
      <x:c r="E322" s="14" t="n">
        <x:v>36</x:v>
      </x:c>
      <x:c r="F322" s="14" t="str">
        <x:v>The Power of Parker</x:v>
      </x:c>
      <x:c r="G322" s="14" t="str">
        <x:v>tt26627660</x:v>
      </x:c>
      <x:c r="H322" s="14" t="n">
        <x:v>2023</x:v>
      </x:c>
      <x:c r="I322" s="14" t="n">
        <x:v>2023</x:v>
      </x:c>
      <x:c r="J322" s="14" t="str">
        <x:v>Future Carry-Forward Cohort</x:v>
      </x:c>
      <x:c r="K322" s="14"/>
      <x:c r="L322" s="14" t="str">
        <x:v>Not inherited</x:v>
      </x:c>
      <x:c r="M322" s="15" t="n">
        <x:v>29</x:v>
      </x:c>
      <x:c r="N322" s="14" t="str">
        <x:v>Freddie Davies</x:v>
      </x:c>
      <x:c r="O322" s="14" t="str">
        <x:v>nm0203709</x:v>
      </x:c>
      <x:c r="P322" s="14" t="str">
        <x:v>Mystic Mo</x:v>
      </x:c>
      <x:c r="Q322" s="15" t="n">
        <x:v>1</x:v>
      </x:c>
      <x:c r="R322" s="14" t="str">
        <x:v>2025</x:v>
      </x:c>
      <x:c r="S322" s="14" t="n">
        <x:v>2025</x:v>
      </x:c>
      <x:c r="T322" s="14" t="n">
        <x:v>2025</x:v>
      </x:c>
      <x:c r="U322" s="14" t="str">
        <x:v>Explicit source first year retained</x:v>
      </x:c>
      <x:c r="V322" s="14" t="str">
        <x:v>Earliest supplied year is 2025.</x:v>
      </x:c>
      <x:c r="W322" s="14"/>
      <x:c r="X322" s="14" t="str">
        <x:v>Carried forward to 2025</x:v>
      </x:c>
      <x:c r="Y322" s="14"/>
      <x:c r="Z322" s="14" t="str">
        <x:v>The Power of Parker.docx</x:v>
      </x:c>
      <x:c r="AA32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BBC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2" s="14" t="str">
        <x:v>BBC public-service commission</x:v>
      </x:c>
      <x:c r="AO322" s="14" t="str">
        <x:v>Yes</x:v>
      </x:c>
      <x:c r="AP322" s="14" t="str">
        <x:v>Direct BBC public-service scope</x:v>
      </x:c>
      <x:c r="AQ322" s="14" t="str">
        <x:v>Yes</x:v>
      </x:c>
      <x:c r="AR322" s="14" t="str">
        <x:v>Resolved from master register</x:v>
      </x:c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1</x:v>
      </x:c>
      <x:c r="BS322" s="16" t="n">
        <x:v>0.08333333333333333</x:v>
      </x:c>
      <x:c r="BT322" s="14" t="str">
        <x:v>One episode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tt26627660|nm3893637|dance instructor</x:v>
      </x:c>
      <x:c r="B323" s="14" t="str">
        <x:v>05</x:v>
      </x:c>
      <x:c r="C323" s="14" t="str">
        <x:v>2023_IMDb_Cast_Lists_Batch_05(2).xlsx</x:v>
      </x:c>
      <x:c r="D323" s="14" t="str">
        <x:v>The Power of Parker</x:v>
      </x:c>
      <x:c r="E323" s="14" t="n">
        <x:v>37</x:v>
      </x:c>
      <x:c r="F323" s="14" t="str">
        <x:v>The Power of Parker</x:v>
      </x:c>
      <x:c r="G323" s="14" t="str">
        <x:v>tt26627660</x:v>
      </x:c>
      <x:c r="H323" s="14" t="n">
        <x:v>2023</x:v>
      </x:c>
      <x:c r="I323" s="14" t="n">
        <x:v>2023</x:v>
      </x:c>
      <x:c r="J323" s="14" t="str">
        <x:v>Future Carry-Forward Cohort</x:v>
      </x:c>
      <x:c r="K323" s="14"/>
      <x:c r="L323" s="14" t="str">
        <x:v>Not inherited</x:v>
      </x:c>
      <x:c r="M323" s="15" t="n">
        <x:v>30</x:v>
      </x:c>
      <x:c r="N323" s="14" t="str">
        <x:v>Harry Taurasi</x:v>
      </x:c>
      <x:c r="O323" s="14" t="str">
        <x:v>nm3893637</x:v>
      </x:c>
      <x:c r="P323" s="14" t="str">
        <x:v>Dance Instructor</x:v>
      </x:c>
      <x:c r="Q323" s="15" t="n">
        <x:v>1</x:v>
      </x:c>
      <x:c r="R323" s="14" t="str">
        <x:v>2025</x:v>
      </x:c>
      <x:c r="S323" s="14" t="n">
        <x:v>2025</x:v>
      </x:c>
      <x:c r="T323" s="14" t="n">
        <x:v>2025</x:v>
      </x:c>
      <x:c r="U323" s="14" t="str">
        <x:v>Explicit source first year retained</x:v>
      </x:c>
      <x:c r="V323" s="14" t="str">
        <x:v>Earliest supplied year is 2025.</x:v>
      </x:c>
      <x:c r="W323" s="14"/>
      <x:c r="X323" s="14" t="str">
        <x:v>Carried forward to 2025</x:v>
      </x:c>
      <x:c r="Y323" s="14"/>
      <x:c r="Z323" s="14" t="str">
        <x:v>The Power of Parker.docx</x:v>
      </x:c>
      <x:c r="AA32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BBC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3" s="14" t="str">
        <x:v>BBC public-service commission</x:v>
      </x:c>
      <x:c r="AO323" s="14" t="str">
        <x:v>Yes</x:v>
      </x:c>
      <x:c r="AP323" s="14" t="str">
        <x:v>Direct BBC public-service scope</x:v>
      </x:c>
      <x:c r="AQ323" s="14" t="str">
        <x:v>Yes</x:v>
      </x:c>
      <x:c r="AR323" s="14" t="str">
        <x:v>Resolved from master register</x:v>
      </x:c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1</x:v>
      </x:c>
      <x:c r="BS323" s="16" t="n">
        <x:v>0.08333333333333333</x:v>
      </x:c>
      <x:c r="BT323" s="14" t="str">
        <x:v>One episode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tt26627660|nm9332058|kelly sue</x:v>
      </x:c>
      <x:c r="B324" s="14" t="str">
        <x:v>05</x:v>
      </x:c>
      <x:c r="C324" s="14" t="str">
        <x:v>2023_IMDb_Cast_Lists_Batch_05(2).xlsx</x:v>
      </x:c>
      <x:c r="D324" s="14" t="str">
        <x:v>The Power of Parker</x:v>
      </x:c>
      <x:c r="E324" s="14" t="n">
        <x:v>39</x:v>
      </x:c>
      <x:c r="F324" s="14" t="str">
        <x:v>The Power of Parker</x:v>
      </x:c>
      <x:c r="G324" s="14" t="str">
        <x:v>tt26627660</x:v>
      </x:c>
      <x:c r="H324" s="14" t="n">
        <x:v>2023</x:v>
      </x:c>
      <x:c r="I324" s="14" t="n">
        <x:v>2023</x:v>
      </x:c>
      <x:c r="J324" s="14" t="str">
        <x:v>Future Carry-Forward Cohort</x:v>
      </x:c>
      <x:c r="K324" s="14"/>
      <x:c r="L324" s="14" t="str">
        <x:v>Not inherited</x:v>
      </x:c>
      <x:c r="M324" s="15" t="n">
        <x:v>32</x:v>
      </x:c>
      <x:c r="N324" s="14" t="str">
        <x:v>Ada Player</x:v>
      </x:c>
      <x:c r="O324" s="14" t="str">
        <x:v>nm9332058</x:v>
      </x:c>
      <x:c r="P324" s="14" t="str">
        <x:v>Kelly Sue</x:v>
      </x:c>
      <x:c r="Q324" s="15" t="n">
        <x:v>1</x:v>
      </x:c>
      <x:c r="R324" s="14" t="str">
        <x:v>2025</x:v>
      </x:c>
      <x:c r="S324" s="14" t="n">
        <x:v>2025</x:v>
      </x:c>
      <x:c r="T324" s="14" t="n">
        <x:v>2025</x:v>
      </x:c>
      <x:c r="U324" s="14" t="str">
        <x:v>Explicit source first year retained</x:v>
      </x:c>
      <x:c r="V324" s="14" t="str">
        <x:v>Earliest supplied year is 2025.</x:v>
      </x:c>
      <x:c r="W324" s="14"/>
      <x:c r="X324" s="14" t="str">
        <x:v>Carried forward to 2025</x:v>
      </x:c>
      <x:c r="Y324" s="14"/>
      <x:c r="Z324" s="14" t="str">
        <x:v>The Power of Parker.docx</x:v>
      </x:c>
      <x:c r="AA32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BBC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4" s="14" t="str">
        <x:v>BBC public-service commission</x:v>
      </x:c>
      <x:c r="AO324" s="14" t="str">
        <x:v>Yes</x:v>
      </x:c>
      <x:c r="AP324" s="14" t="str">
        <x:v>Direct BBC public-service scope</x:v>
      </x:c>
      <x:c r="AQ324" s="14" t="str">
        <x:v>Yes</x:v>
      </x:c>
      <x:c r="AR324" s="14" t="str">
        <x:v>Resolved from master register</x:v>
      </x:c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1</x:v>
      </x:c>
      <x:c r="BS324" s="16" t="n">
        <x:v>0.08333333333333333</x:v>
      </x:c>
      <x:c r="BT324" s="14" t="str">
        <x:v>One episode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tt26627660|nm6641256|andy</x:v>
      </x:c>
      <x:c r="B325" s="14" t="str">
        <x:v>05</x:v>
      </x:c>
      <x:c r="C325" s="14" t="str">
        <x:v>2023_IMDb_Cast_Lists_Batch_05(2).xlsx</x:v>
      </x:c>
      <x:c r="D325" s="14" t="str">
        <x:v>The Power of Parker</x:v>
      </x:c>
      <x:c r="E325" s="14" t="n">
        <x:v>41</x:v>
      </x:c>
      <x:c r="F325" s="14" t="str">
        <x:v>The Power of Parker</x:v>
      </x:c>
      <x:c r="G325" s="14" t="str">
        <x:v>tt26627660</x:v>
      </x:c>
      <x:c r="H325" s="14" t="n">
        <x:v>2023</x:v>
      </x:c>
      <x:c r="I325" s="14" t="n">
        <x:v>2023</x:v>
      </x:c>
      <x:c r="J325" s="14" t="str">
        <x:v>Future Carry-Forward Cohort</x:v>
      </x:c>
      <x:c r="K325" s="14"/>
      <x:c r="L325" s="14" t="str">
        <x:v>Not inherited</x:v>
      </x:c>
      <x:c r="M325" s="15" t="n">
        <x:v>34</x:v>
      </x:c>
      <x:c r="N325" s="14" t="str">
        <x:v>Karl Cam</x:v>
      </x:c>
      <x:c r="O325" s="14" t="str">
        <x:v>nm6641256</x:v>
      </x:c>
      <x:c r="P325" s="14" t="str">
        <x:v>Andy</x:v>
      </x:c>
      <x:c r="Q325" s="15" t="n">
        <x:v>1</x:v>
      </x:c>
      <x:c r="R325" s="14" t="str">
        <x:v>2025</x:v>
      </x:c>
      <x:c r="S325" s="14" t="n">
        <x:v>2025</x:v>
      </x:c>
      <x:c r="T325" s="14" t="n">
        <x:v>2025</x:v>
      </x:c>
      <x:c r="U325" s="14" t="str">
        <x:v>Explicit source first year retained</x:v>
      </x:c>
      <x:c r="V325" s="14" t="str">
        <x:v>Earliest supplied year is 2025.</x:v>
      </x:c>
      <x:c r="W325" s="14"/>
      <x:c r="X325" s="14" t="str">
        <x:v>Carried forward to 2025</x:v>
      </x:c>
      <x:c r="Y325" s="14"/>
      <x:c r="Z325" s="14" t="str">
        <x:v>The Power of Parker.docx</x:v>
      </x:c>
      <x:c r="AA325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1</x:v>
      </x:c>
      <x:c r="BS325" s="16" t="n">
        <x:v>0.08333333333333333</x:v>
      </x:c>
      <x:c r="BT325" s="14" t="str">
        <x:v>One episode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tt26627660|nm5118505|layla's mum</x:v>
      </x:c>
      <x:c r="B326" s="14" t="str">
        <x:v>05</x:v>
      </x:c>
      <x:c r="C326" s="14" t="str">
        <x:v>2023_IMDb_Cast_Lists_Batch_05(2).xlsx</x:v>
      </x:c>
      <x:c r="D326" s="14" t="str">
        <x:v>The Power of Parker</x:v>
      </x:c>
      <x:c r="E326" s="14" t="n">
        <x:v>42</x:v>
      </x:c>
      <x:c r="F326" s="14" t="str">
        <x:v>The Power of Parker</x:v>
      </x:c>
      <x:c r="G326" s="14" t="str">
        <x:v>tt26627660</x:v>
      </x:c>
      <x:c r="H326" s="14" t="n">
        <x:v>2023</x:v>
      </x:c>
      <x:c r="I326" s="14" t="n">
        <x:v>2023</x:v>
      </x:c>
      <x:c r="J326" s="14" t="str">
        <x:v>Future Carry-Forward Cohort</x:v>
      </x:c>
      <x:c r="K326" s="14"/>
      <x:c r="L326" s="14" t="str">
        <x:v>Not inherited</x:v>
      </x:c>
      <x:c r="M326" s="15" t="n">
        <x:v>35</x:v>
      </x:c>
      <x:c r="N326" s="14" t="str">
        <x:v>Elika Scere Jacobs</x:v>
      </x:c>
      <x:c r="O326" s="14" t="str">
        <x:v>nm5118505</x:v>
      </x:c>
      <x:c r="P326" s="14" t="str">
        <x:v>Layla's Mum</x:v>
      </x:c>
      <x:c r="Q326" s="15" t="n">
        <x:v>1</x:v>
      </x:c>
      <x:c r="R326" s="14" t="str">
        <x:v>2025</x:v>
      </x:c>
      <x:c r="S326" s="14" t="n">
        <x:v>2025</x:v>
      </x:c>
      <x:c r="T326" s="14" t="n">
        <x:v>2025</x:v>
      </x:c>
      <x:c r="U326" s="14" t="str">
        <x:v>Explicit source first year retained</x:v>
      </x:c>
      <x:c r="V326" s="14" t="str">
        <x:v>Earliest supplied year is 2025.</x:v>
      </x:c>
      <x:c r="W326" s="14"/>
      <x:c r="X326" s="14" t="str">
        <x:v>Carried forward to 2025</x:v>
      </x:c>
      <x:c r="Y326" s="14"/>
      <x:c r="Z326" s="14" t="str">
        <x:v>The Power of Parker.docx</x:v>
      </x:c>
      <x:c r="AA326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1</x:v>
      </x:c>
      <x:c r="BS326" s="16" t="n">
        <x:v>0.08333333333333333</x:v>
      </x:c>
      <x:c r="BT326" s="14" t="str">
        <x:v>One episode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tt26627660|nm17419379|pat o'daniels</x:v>
      </x:c>
      <x:c r="B327" s="14" t="str">
        <x:v>05</x:v>
      </x:c>
      <x:c r="C327" s="14" t="str">
        <x:v>2023_IMDb_Cast_Lists_Batch_05(2).xlsx</x:v>
      </x:c>
      <x:c r="D327" s="14" t="str">
        <x:v>The Power of Parker</x:v>
      </x:c>
      <x:c r="E327" s="14" t="n">
        <x:v>45</x:v>
      </x:c>
      <x:c r="F327" s="14" t="str">
        <x:v>The Power of Parker</x:v>
      </x:c>
      <x:c r="G327" s="14" t="str">
        <x:v>tt26627660</x:v>
      </x:c>
      <x:c r="H327" s="14" t="n">
        <x:v>2023</x:v>
      </x:c>
      <x:c r="I327" s="14" t="n">
        <x:v>2023</x:v>
      </x:c>
      <x:c r="J327" s="14" t="str">
        <x:v>Future Carry-Forward Cohort</x:v>
      </x:c>
      <x:c r="K327" s="14"/>
      <x:c r="L327" s="14" t="str">
        <x:v>Not inherited</x:v>
      </x:c>
      <x:c r="M327" s="15" t="n">
        <x:v>38</x:v>
      </x:c>
      <x:c r="N327" s="14" t="str">
        <x:v>Andrew Marx</x:v>
      </x:c>
      <x:c r="O327" s="14" t="str">
        <x:v>nm17419379</x:v>
      </x:c>
      <x:c r="P327" s="14" t="str">
        <x:v>Pat O'Daniels</x:v>
      </x:c>
      <x:c r="Q327" s="15" t="n">
        <x:v>1</x:v>
      </x:c>
      <x:c r="R327" s="14" t="str">
        <x:v>2025</x:v>
      </x:c>
      <x:c r="S327" s="14" t="n">
        <x:v>2025</x:v>
      </x:c>
      <x:c r="T327" s="14" t="n">
        <x:v>2025</x:v>
      </x:c>
      <x:c r="U327" s="14" t="str">
        <x:v>Explicit source first year retained</x:v>
      </x:c>
      <x:c r="V327" s="14" t="str">
        <x:v>Earliest supplied year is 2025.</x:v>
      </x:c>
      <x:c r="W327" s="14"/>
      <x:c r="X327" s="14" t="str">
        <x:v>Carried forward to 2025</x:v>
      </x:c>
      <x:c r="Y327" s="14"/>
      <x:c r="Z327" s="14" t="str">
        <x:v>The Power of Parker.docx</x:v>
      </x:c>
      <x:c r="AA32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1</x:v>
      </x:c>
      <x:c r="BS327" s="16" t="n">
        <x:v>0.08333333333333333</x:v>
      </x:c>
      <x:c r="BT327" s="14" t="str">
        <x:v>One episode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tt26627660|nm0271516|des</x:v>
      </x:c>
      <x:c r="B328" s="14" t="str">
        <x:v>05</x:v>
      </x:c>
      <x:c r="C328" s="14" t="str">
        <x:v>2023_IMDb_Cast_Lists_Batch_05(2).xlsx</x:v>
      </x:c>
      <x:c r="D328" s="14" t="str">
        <x:v>The Power of Parker</x:v>
      </x:c>
      <x:c r="E328" s="14" t="n">
        <x:v>47</x:v>
      </x:c>
      <x:c r="F328" s="14" t="str">
        <x:v>The Power of Parker</x:v>
      </x:c>
      <x:c r="G328" s="14" t="str">
        <x:v>tt26627660</x:v>
      </x:c>
      <x:c r="H328" s="14" t="n">
        <x:v>2023</x:v>
      </x:c>
      <x:c r="I328" s="14" t="n">
        <x:v>2023</x:v>
      </x:c>
      <x:c r="J328" s="14" t="str">
        <x:v>Future Carry-Forward Cohort</x:v>
      </x:c>
      <x:c r="K328" s="14"/>
      <x:c r="L328" s="14" t="str">
        <x:v>Not inherited</x:v>
      </x:c>
      <x:c r="M328" s="15" t="n">
        <x:v>40</x:v>
      </x:c>
      <x:c r="N328" s="14" t="str">
        <x:v>Graham Fellows</x:v>
      </x:c>
      <x:c r="O328" s="14" t="str">
        <x:v>nm0271516</x:v>
      </x:c>
      <x:c r="P328" s="14" t="str">
        <x:v>Des</x:v>
      </x:c>
      <x:c r="Q328" s="15" t="n">
        <x:v>1</x:v>
      </x:c>
      <x:c r="R328" s="14" t="str">
        <x:v>2025</x:v>
      </x:c>
      <x:c r="S328" s="14" t="n">
        <x:v>2025</x:v>
      </x:c>
      <x:c r="T328" s="14" t="n">
        <x:v>2025</x:v>
      </x:c>
      <x:c r="U328" s="14" t="str">
        <x:v>Explicit source first year retained</x:v>
      </x:c>
      <x:c r="V328" s="14" t="str">
        <x:v>Earliest supplied year is 2025.</x:v>
      </x:c>
      <x:c r="W328" s="14"/>
      <x:c r="X328" s="14" t="str">
        <x:v>Carried forward to 2025</x:v>
      </x:c>
      <x:c r="Y328" s="14"/>
      <x:c r="Z328" s="14" t="str">
        <x:v>The Power of Parker.docx</x:v>
      </x:c>
      <x:c r="AA32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1</x:v>
      </x:c>
      <x:c r="BS328" s="16" t="n">
        <x:v>0.08333333333333333</x:v>
      </x:c>
      <x:c r="BT328" s="14" t="str">
        <x:v>One episode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tt26627660|nm0057598|bob</x:v>
      </x:c>
      <x:c r="B329" s="14" t="str">
        <x:v>05</x:v>
      </x:c>
      <x:c r="C329" s="14" t="str">
        <x:v>2023_IMDb_Cast_Lists_Batch_05(2).xlsx</x:v>
      </x:c>
      <x:c r="D329" s="14" t="str">
        <x:v>The Power of Parker</x:v>
      </x:c>
      <x:c r="E329" s="14" t="n">
        <x:v>51</x:v>
      </x:c>
      <x:c r="F329" s="14" t="str">
        <x:v>The Power of Parker</x:v>
      </x:c>
      <x:c r="G329" s="14" t="str">
        <x:v>tt26627660</x:v>
      </x:c>
      <x:c r="H329" s="14" t="n">
        <x:v>2023</x:v>
      </x:c>
      <x:c r="I329" s="14" t="n">
        <x:v>2023</x:v>
      </x:c>
      <x:c r="J329" s="14" t="str">
        <x:v>Future Carry-Forward Cohort</x:v>
      </x:c>
      <x:c r="K329" s="14"/>
      <x:c r="L329" s="14" t="str">
        <x:v>Not inherited</x:v>
      </x:c>
      <x:c r="M329" s="15" t="n">
        <x:v>44</x:v>
      </x:c>
      <x:c r="N329" s="14" t="str">
        <x:v>Ian Barritt</x:v>
      </x:c>
      <x:c r="O329" s="14" t="str">
        <x:v>nm0057598</x:v>
      </x:c>
      <x:c r="P329" s="14" t="str">
        <x:v>Bob</x:v>
      </x:c>
      <x:c r="Q329" s="15" t="n">
        <x:v>1</x:v>
      </x:c>
      <x:c r="R329" s="14" t="str">
        <x:v>2025</x:v>
      </x:c>
      <x:c r="S329" s="14" t="n">
        <x:v>2025</x:v>
      </x:c>
      <x:c r="T329" s="14" t="n">
        <x:v>2025</x:v>
      </x:c>
      <x:c r="U329" s="14" t="str">
        <x:v>Explicit source first year retained</x:v>
      </x:c>
      <x:c r="V329" s="14" t="str">
        <x:v>Earliest supplied year is 2025.</x:v>
      </x:c>
      <x:c r="W329" s="14"/>
      <x:c r="X329" s="14" t="str">
        <x:v>Carried forward to 2025</x:v>
      </x:c>
      <x:c r="Y329" s="14"/>
      <x:c r="Z329" s="14" t="str">
        <x:v>The Power of Parker.docx</x:v>
      </x:c>
      <x:c r="AA32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1</x:v>
      </x:c>
      <x:c r="BS329" s="16" t="n">
        <x:v>0.08333333333333333</x:v>
      </x:c>
      <x:c r="BT329" s="14" t="str">
        <x:v>One episode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tt26627660|nm0151064|chen</x:v>
      </x:c>
      <x:c r="B330" s="14" t="str">
        <x:v>05</x:v>
      </x:c>
      <x:c r="C330" s="14" t="str">
        <x:v>2023_IMDb_Cast_Lists_Batch_05(2).xlsx</x:v>
      </x:c>
      <x:c r="D330" s="14" t="str">
        <x:v>The Power of Parker</x:v>
      </x:c>
      <x:c r="E330" s="14" t="n">
        <x:v>53</x:v>
      </x:c>
      <x:c r="F330" s="14" t="str">
        <x:v>The Power of Parker</x:v>
      </x:c>
      <x:c r="G330" s="14" t="str">
        <x:v>tt26627660</x:v>
      </x:c>
      <x:c r="H330" s="14" t="n">
        <x:v>2023</x:v>
      </x:c>
      <x:c r="I330" s="14" t="n">
        <x:v>2023</x:v>
      </x:c>
      <x:c r="J330" s="14" t="str">
        <x:v>Future Carry-Forward Cohort</x:v>
      </x:c>
      <x:c r="K330" s="14"/>
      <x:c r="L330" s="14" t="str">
        <x:v>Not inherited</x:v>
      </x:c>
      <x:c r="M330" s="15" t="n">
        <x:v>46</x:v>
      </x:c>
      <x:c r="N330" s="14" t="str">
        <x:v>Paul Chan</x:v>
      </x:c>
      <x:c r="O330" s="14" t="str">
        <x:v>nm0151064</x:v>
      </x:c>
      <x:c r="P330" s="14" t="str">
        <x:v>Chen</x:v>
      </x:c>
      <x:c r="Q330" s="15" t="n">
        <x:v>1</x:v>
      </x:c>
      <x:c r="R330" s="14" t="str">
        <x:v>2025</x:v>
      </x:c>
      <x:c r="S330" s="14" t="n">
        <x:v>2025</x:v>
      </x:c>
      <x:c r="T330" s="14" t="n">
        <x:v>2025</x:v>
      </x:c>
      <x:c r="U330" s="14" t="str">
        <x:v>Explicit source first year retained</x:v>
      </x:c>
      <x:c r="V330" s="14" t="str">
        <x:v>Earliest supplied year is 2025.</x:v>
      </x:c>
      <x:c r="W330" s="14"/>
      <x:c r="X330" s="14" t="str">
        <x:v>Carried forward to 2025</x:v>
      </x:c>
      <x:c r="Y330" s="14"/>
      <x:c r="Z330" s="14" t="str">
        <x:v>The Power of Parker.docx</x:v>
      </x:c>
      <x:c r="AA33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1</x:v>
      </x:c>
      <x:c r="BS330" s="16" t="n">
        <x:v>0.08333333333333333</x:v>
      </x:c>
      <x:c r="BT330" s="14" t="str">
        <x:v>One episode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tt26627660|nm16499868|dale</x:v>
      </x:c>
      <x:c r="B331" s="14" t="str">
        <x:v>05</x:v>
      </x:c>
      <x:c r="C331" s="14" t="str">
        <x:v>2023_IMDb_Cast_Lists_Batch_05(2).xlsx</x:v>
      </x:c>
      <x:c r="D331" s="14" t="str">
        <x:v>The Power of Parker</x:v>
      </x:c>
      <x:c r="E331" s="14" t="n">
        <x:v>54</x:v>
      </x:c>
      <x:c r="F331" s="14" t="str">
        <x:v>The Power of Parker</x:v>
      </x:c>
      <x:c r="G331" s="14" t="str">
        <x:v>tt26627660</x:v>
      </x:c>
      <x:c r="H331" s="14" t="n">
        <x:v>2023</x:v>
      </x:c>
      <x:c r="I331" s="14" t="n">
        <x:v>2023</x:v>
      </x:c>
      <x:c r="J331" s="14" t="str">
        <x:v>Future Carry-Forward Cohort</x:v>
      </x:c>
      <x:c r="K331" s="14"/>
      <x:c r="L331" s="14" t="str">
        <x:v>Not inherited</x:v>
      </x:c>
      <x:c r="M331" s="15" t="n">
        <x:v>47</x:v>
      </x:c>
      <x:c r="N331" s="14" t="str">
        <x:v>Tom Lawrinson</x:v>
      </x:c>
      <x:c r="O331" s="14" t="str">
        <x:v>nm16499868</x:v>
      </x:c>
      <x:c r="P331" s="14" t="str">
        <x:v>Dale</x:v>
      </x:c>
      <x:c r="Q331" s="15" t="n">
        <x:v>1</x:v>
      </x:c>
      <x:c r="R331" s="14" t="str">
        <x:v>2025</x:v>
      </x:c>
      <x:c r="S331" s="14" t="n">
        <x:v>2025</x:v>
      </x:c>
      <x:c r="T331" s="14" t="n">
        <x:v>2025</x:v>
      </x:c>
      <x:c r="U331" s="14" t="str">
        <x:v>Explicit source first year retained</x:v>
      </x:c>
      <x:c r="V331" s="14" t="str">
        <x:v>Earliest supplied year is 2025.</x:v>
      </x:c>
      <x:c r="W331" s="14"/>
      <x:c r="X331" s="14" t="str">
        <x:v>Carried forward to 2025</x:v>
      </x:c>
      <x:c r="Y331" s="14"/>
      <x:c r="Z331" s="14" t="str">
        <x:v>The Power of Parker.docx</x:v>
      </x:c>
      <x:c r="AA33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1</x:v>
      </x:c>
      <x:c r="BS331" s="16" t="n">
        <x:v>0.08333333333333333</x:v>
      </x:c>
      <x:c r="BT331" s="14" t="str">
        <x:v>One episode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tt26627660|nm0059260|uncle dennis</x:v>
      </x:c>
      <x:c r="B332" s="14" t="str">
        <x:v>05</x:v>
      </x:c>
      <x:c r="C332" s="14" t="str">
        <x:v>2023_IMDb_Cast_Lists_Batch_05(2).xlsx</x:v>
      </x:c>
      <x:c r="D332" s="14" t="str">
        <x:v>The Power of Parker</x:v>
      </x:c>
      <x:c r="E332" s="14" t="n">
        <x:v>55</x:v>
      </x:c>
      <x:c r="F332" s="14" t="str">
        <x:v>The Power of Parker</x:v>
      </x:c>
      <x:c r="G332" s="14" t="str">
        <x:v>tt26627660</x:v>
      </x:c>
      <x:c r="H332" s="14" t="n">
        <x:v>2023</x:v>
      </x:c>
      <x:c r="I332" s="14" t="n">
        <x:v>2023</x:v>
      </x:c>
      <x:c r="J332" s="14" t="str">
        <x:v>Future Carry-Forward Cohort</x:v>
      </x:c>
      <x:c r="K332" s="14"/>
      <x:c r="L332" s="14" t="str">
        <x:v>Not inherited</x:v>
      </x:c>
      <x:c r="M332" s="15" t="n">
        <x:v>48</x:v>
      </x:c>
      <x:c r="N332" s="14" t="str">
        <x:v>Tony Barton</x:v>
      </x:c>
      <x:c r="O332" s="14" t="str">
        <x:v>nm0059260</x:v>
      </x:c>
      <x:c r="P332" s="14" t="str">
        <x:v>Uncle Dennis</x:v>
      </x:c>
      <x:c r="Q332" s="15" t="n">
        <x:v>1</x:v>
      </x:c>
      <x:c r="R332" s="14" t="str">
        <x:v>2025</x:v>
      </x:c>
      <x:c r="S332" s="14" t="n">
        <x:v>2025</x:v>
      </x:c>
      <x:c r="T332" s="14" t="n">
        <x:v>2025</x:v>
      </x:c>
      <x:c r="U332" s="14" t="str">
        <x:v>Explicit source first year retained</x:v>
      </x:c>
      <x:c r="V332" s="14" t="str">
        <x:v>Earliest supplied year is 2025.</x:v>
      </x:c>
      <x:c r="W332" s="14"/>
      <x:c r="X332" s="14" t="str">
        <x:v>Carried forward to 2025</x:v>
      </x:c>
      <x:c r="Y332" s="14"/>
      <x:c r="Z332" s="14" t="str">
        <x:v>The Power of Parker.docx</x:v>
      </x:c>
      <x:c r="AA33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1</x:v>
      </x:c>
      <x:c r="BS332" s="16" t="n">
        <x:v>0.08333333333333333</x:v>
      </x:c>
      <x:c r="BT332" s="14" t="str">
        <x:v>One episode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tt26627660|nm1853095|hua</x:v>
      </x:c>
      <x:c r="B333" s="14" t="str">
        <x:v>05</x:v>
      </x:c>
      <x:c r="C333" s="14" t="str">
        <x:v>2023_IMDb_Cast_Lists_Batch_05(2).xlsx</x:v>
      </x:c>
      <x:c r="D333" s="14" t="str">
        <x:v>The Power of Parker</x:v>
      </x:c>
      <x:c r="E333" s="14" t="n">
        <x:v>56</x:v>
      </x:c>
      <x:c r="F333" s="14" t="str">
        <x:v>The Power of Parker</x:v>
      </x:c>
      <x:c r="G333" s="14" t="str">
        <x:v>tt26627660</x:v>
      </x:c>
      <x:c r="H333" s="14" t="n">
        <x:v>2023</x:v>
      </x:c>
      <x:c r="I333" s="14" t="n">
        <x:v>2023</x:v>
      </x:c>
      <x:c r="J333" s="14" t="str">
        <x:v>Future Carry-Forward Cohort</x:v>
      </x:c>
      <x:c r="K333" s="14"/>
      <x:c r="L333" s="14" t="str">
        <x:v>Not inherited</x:v>
      </x:c>
      <x:c r="M333" s="15" t="n">
        <x:v>49</x:v>
      </x:c>
      <x:c r="N333" s="14" t="str">
        <x:v>Grace Fan</x:v>
      </x:c>
      <x:c r="O333" s="14" t="str">
        <x:v>nm1853095</x:v>
      </x:c>
      <x:c r="P333" s="14" t="str">
        <x:v>Hua</x:v>
      </x:c>
      <x:c r="Q333" s="15" t="n">
        <x:v>1</x:v>
      </x:c>
      <x:c r="R333" s="14" t="str">
        <x:v>2025</x:v>
      </x:c>
      <x:c r="S333" s="14" t="n">
        <x:v>2025</x:v>
      </x:c>
      <x:c r="T333" s="14" t="n">
        <x:v>2025</x:v>
      </x:c>
      <x:c r="U333" s="14" t="str">
        <x:v>Explicit source first year retained</x:v>
      </x:c>
      <x:c r="V333" s="14" t="str">
        <x:v>Earliest supplied year is 2025.</x:v>
      </x:c>
      <x:c r="W333" s="14"/>
      <x:c r="X333" s="14" t="str">
        <x:v>Carried forward to 2025</x:v>
      </x:c>
      <x:c r="Y333" s="14"/>
      <x:c r="Z333" s="14" t="str">
        <x:v>The Power of Parker.docx</x:v>
      </x:c>
      <x:c r="AA33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1</x:v>
      </x:c>
      <x:c r="BS333" s="16" t="n">
        <x:v>0.08333333333333333</x:v>
      </x:c>
      <x:c r="BT333" s="14" t="str">
        <x:v>One episode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tt26627660|nm2026454|mc colin rooney</x:v>
      </x:c>
      <x:c r="B334" s="14" t="str">
        <x:v>05</x:v>
      </x:c>
      <x:c r="C334" s="14" t="str">
        <x:v>2023_IMDb_Cast_Lists_Batch_05(2).xlsx</x:v>
      </x:c>
      <x:c r="D334" s="14" t="str">
        <x:v>The Power of Parker</x:v>
      </x:c>
      <x:c r="E334" s="14" t="n">
        <x:v>57</x:v>
      </x:c>
      <x:c r="F334" s="14" t="str">
        <x:v>The Power of Parker</x:v>
      </x:c>
      <x:c r="G334" s="14" t="str">
        <x:v>tt26627660</x:v>
      </x:c>
      <x:c r="H334" s="14" t="n">
        <x:v>2023</x:v>
      </x:c>
      <x:c r="I334" s="14" t="n">
        <x:v>2023</x:v>
      </x:c>
      <x:c r="J334" s="14" t="str">
        <x:v>Future Carry-Forward Cohort</x:v>
      </x:c>
      <x:c r="K334" s="14"/>
      <x:c r="L334" s="14" t="str">
        <x:v>Not inherited</x:v>
      </x:c>
      <x:c r="M334" s="15" t="n">
        <x:v>50</x:v>
      </x:c>
      <x:c r="N334" s="14" t="str">
        <x:v>Robin Colvill</x:v>
      </x:c>
      <x:c r="O334" s="14" t="str">
        <x:v>nm2026454</x:v>
      </x:c>
      <x:c r="P334" s="14" t="str">
        <x:v>MC Colin Rooney</x:v>
      </x:c>
      <x:c r="Q334" s="15" t="n">
        <x:v>1</x:v>
      </x:c>
      <x:c r="R334" s="14" t="str">
        <x:v>2025</x:v>
      </x:c>
      <x:c r="S334" s="14" t="n">
        <x:v>2025</x:v>
      </x:c>
      <x:c r="T334" s="14" t="n">
        <x:v>2025</x:v>
      </x:c>
      <x:c r="U334" s="14" t="str">
        <x:v>Explicit source first year retained</x:v>
      </x:c>
      <x:c r="V334" s="14" t="str">
        <x:v>Earliest supplied year is 2025.</x:v>
      </x:c>
      <x:c r="W334" s="14"/>
      <x:c r="X334" s="14" t="str">
        <x:v>Carried forward to 2025</x:v>
      </x:c>
      <x:c r="Y334" s="14"/>
      <x:c r="Z334" s="14" t="str">
        <x:v>The Power of Parker.docx</x:v>
      </x:c>
      <x:c r="AA33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1</x:v>
      </x:c>
      <x:c r="BS334" s="16" t="n">
        <x:v>0.08333333333333333</x:v>
      </x:c>
      <x:c r="BT334" s="14" t="str">
        <x:v>One episode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tt15792042|nm14669558|harry</x:v>
      </x:c>
      <x:c r="B335" s="14" t="str">
        <x:v>01</x:v>
      </x:c>
      <x:c r="C335" s="14" t="str">
        <x:v>2022_IMDb_Cast_Lists_Batch_01(1).xlsx</x:v>
      </x:c>
      <x:c r="D335" s="14" t="str">
        <x:v>Am I Being Unreasonable?</x:v>
      </x:c>
      <x:c r="E335" s="14" t="n">
        <x:v>20</x:v>
      </x:c>
      <x:c r="F335" s="14" t="str">
        <x:v>Am I Being Unreasonable?</x:v>
      </x:c>
      <x:c r="G335" s="14" t="str">
        <x:v>tt15792042</x:v>
      </x:c>
      <x:c r="H335" s="14" t="n">
        <x:v>2022</x:v>
      </x:c>
      <x:c r="I335" s="14" t="n">
        <x:v>2023</x:v>
      </x:c>
      <x:c r="J335" s="14" t="str">
        <x:v>Future Carry-Forward Cohort</x:v>
      </x:c>
      <x:c r="K335" s="14" t="n">
        <x:v>2022</x:v>
      </x:c>
      <x:c r="L335" s="14" t="str">
        <x:v>Not inherited</x:v>
      </x:c>
      <x:c r="M335" s="15" t="n">
        <x:v>13</x:v>
      </x:c>
      <x:c r="N335" s="14" t="str">
        <x:v>Ankido Hussen</x:v>
      </x:c>
      <x:c r="O335" s="14" t="str">
        <x:v>nm14669558</x:v>
      </x:c>
      <x:c r="P335" s="14" t="str">
        <x:v>Harry</x:v>
      </x:c>
      <x:c r="Q335" s="15" t="n">
        <x:v>6</x:v>
      </x:c>
      <x:c r="R335" s="14" t="str">
        <x:v>2025</x:v>
      </x:c>
      <x:c r="S335" s="14" t="n">
        <x:v>2025</x:v>
      </x:c>
      <x:c r="T335" s="14" t="n">
        <x:v>2025</x:v>
      </x:c>
      <x:c r="U335" s="14" t="str">
        <x:v>Explicit source first year retained</x:v>
      </x:c>
      <x:c r="V335" s="14" t="str">
        <x:v>Earliest supplied year is 2025.</x:v>
      </x:c>
      <x:c r="W335" s="14"/>
      <x:c r="X335" s="14" t="str">
        <x:v>Carried forward to 2025</x:v>
      </x:c>
      <x:c r="Y335" s="14"/>
      <x:c r="Z335" s="14" t="str">
        <x:v>Am I Being Unreasonable.docx</x:v>
      </x:c>
      <x:c r="AA33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6</x:v>
      </x:c>
      <x:c r="BS335" s="16" t="n">
        <x:v>0.5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tt15792042|nm7350296|jurgen / lee 'kurtan' mucklowe</x:v>
      </x:c>
      <x:c r="B336" s="14" t="str">
        <x:v>01</x:v>
      </x:c>
      <x:c r="C336" s="14" t="str">
        <x:v>2022_IMDb_Cast_Lists_Batch_01(1).xlsx</x:v>
      </x:c>
      <x:c r="D336" s="14" t="str">
        <x:v>Am I Being Unreasonable?</x:v>
      </x:c>
      <x:c r="E336" s="14" t="n">
        <x:v>21</x:v>
      </x:c>
      <x:c r="F336" s="14" t="str">
        <x:v>Am I Being Unreasonable?</x:v>
      </x:c>
      <x:c r="G336" s="14" t="str">
        <x:v>tt15792042</x:v>
      </x:c>
      <x:c r="H336" s="14" t="n">
        <x:v>2022</x:v>
      </x:c>
      <x:c r="I336" s="14" t="n">
        <x:v>2023</x:v>
      </x:c>
      <x:c r="J336" s="14" t="str">
        <x:v>Future Carry-Forward Cohort</x:v>
      </x:c>
      <x:c r="K336" s="14" t="n">
        <x:v>2022</x:v>
      </x:c>
      <x:c r="L336" s="14" t="str">
        <x:v>Not inherited</x:v>
      </x:c>
      <x:c r="M336" s="15" t="n">
        <x:v>14</x:v>
      </x:c>
      <x:c r="N336" s="14" t="str">
        <x:v>Charlie Cooper</x:v>
      </x:c>
      <x:c r="O336" s="14" t="str">
        <x:v>nm7350296</x:v>
      </x:c>
      <x:c r="P336" s="14" t="str">
        <x:v>Jurgen / Lee 'Kurtan' Mucklowe</x:v>
      </x:c>
      <x:c r="Q336" s="15" t="n">
        <x:v>5</x:v>
      </x:c>
      <x:c r="R336" s="14" t="str">
        <x:v>2025</x:v>
      </x:c>
      <x:c r="S336" s="14" t="n">
        <x:v>2025</x:v>
      </x:c>
      <x:c r="T336" s="14" t="n">
        <x:v>2025</x:v>
      </x:c>
      <x:c r="U336" s="14" t="str">
        <x:v>Explicit source first year retained</x:v>
      </x:c>
      <x:c r="V336" s="14" t="str">
        <x:v>Earliest supplied year is 2025.</x:v>
      </x:c>
      <x:c r="W336" s="14"/>
      <x:c r="X336" s="14" t="str">
        <x:v>Carried forward to 2025</x:v>
      </x:c>
      <x:c r="Y336" s="14"/>
      <x:c r="Z336" s="14" t="str">
        <x:v>Am I Being Unreasonable.docx</x:v>
      </x:c>
      <x:c r="AA33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5</x:v>
      </x:c>
      <x:c r="BS336" s="16" t="n">
        <x:v>0.4166666666666667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tt15792042|nm0085244|daphne</x:v>
      </x:c>
      <x:c r="B337" s="14" t="str">
        <x:v>01</x:v>
      </x:c>
      <x:c r="C337" s="14" t="str">
        <x:v>2022_IMDb_Cast_Lists_Batch_01(1).xlsx</x:v>
      </x:c>
      <x:c r="D337" s="14" t="str">
        <x:v>Am I Being Unreasonable?</x:v>
      </x:c>
      <x:c r="E337" s="14" t="n">
        <x:v>22</x:v>
      </x:c>
      <x:c r="F337" s="14" t="str">
        <x:v>Am I Being Unreasonable?</x:v>
      </x:c>
      <x:c r="G337" s="14" t="str">
        <x:v>tt15792042</x:v>
      </x:c>
      <x:c r="H337" s="14" t="n">
        <x:v>2022</x:v>
      </x:c>
      <x:c r="I337" s="14" t="n">
        <x:v>2023</x:v>
      </x:c>
      <x:c r="J337" s="14" t="str">
        <x:v>Future Carry-Forward Cohort</x:v>
      </x:c>
      <x:c r="K337" s="14" t="n">
        <x:v>2022</x:v>
      </x:c>
      <x:c r="L337" s="14" t="str">
        <x:v>Not inherited</x:v>
      </x:c>
      <x:c r="M337" s="15" t="n">
        <x:v>15</x:v>
      </x:c>
      <x:c r="N337" s="14" t="str">
        <x:v>Denise Black</x:v>
      </x:c>
      <x:c r="O337" s="14" t="str">
        <x:v>nm0085244</x:v>
      </x:c>
      <x:c r="P337" s="14" t="str">
        <x:v>Daphne</x:v>
      </x:c>
      <x:c r="Q337" s="15" t="n">
        <x:v>5</x:v>
      </x:c>
      <x:c r="R337" s="14" t="str">
        <x:v>2025</x:v>
      </x:c>
      <x:c r="S337" s="14" t="n">
        <x:v>2025</x:v>
      </x:c>
      <x:c r="T337" s="14" t="n">
        <x:v>2025</x:v>
      </x:c>
      <x:c r="U337" s="14" t="str">
        <x:v>Explicit source first year retained</x:v>
      </x:c>
      <x:c r="V337" s="14" t="str">
        <x:v>Earliest supplied year is 2025.</x:v>
      </x:c>
      <x:c r="W337" s="14"/>
      <x:c r="X337" s="14" t="str">
        <x:v>Carried forward to 2025</x:v>
      </x:c>
      <x:c r="Y337" s="14"/>
      <x:c r="Z337" s="14" t="str">
        <x:v>Am I Being Unreasonable.docx</x:v>
      </x:c>
      <x:c r="AA33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37" s="14" t="str">
        <x:v>Existing established-register match</x:v>
      </x:c>
      <x:c r="AC337" s="14" t="str">
        <x:v>Physical disability</x:v>
      </x:c>
      <x:c r="AD337" s="14" t="str">
        <x:v>Existing register classification: Physical disability</x:v>
      </x:c>
      <x:c r="AE337" s="14" t="str">
        <x:v>Established_Disability_Category_Register V1.2.xlsx</x:v>
      </x:c>
      <x:c r="AF337" s="14"/>
      <x:c r="AG337" s="14" t="str">
        <x:v>Established user-supplied classification retained for deduplication; evidence was not re-researched in this batch.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Exact IMDb performer ID match</x:v>
      </x:c>
      <x:c r="AT337" s="14" t="str">
        <x:v>nm0085244</x:v>
      </x:c>
      <x:c r="AU337" s="14" t="str">
        <x:v>Physical disability</x:v>
      </x:c>
      <x:c r="AV337" s="14" t="str">
        <x:v>Yes</x:v>
      </x:c>
      <x:c r="AW337" s="14" t="str">
        <x:v>Physical disability</x:v>
      </x:c>
      <x:c r="AX337" s="14" t="str">
        <x:v>No</x:v>
      </x:c>
      <x:c r="AY337" s="14" t="str">
        <x:v>Matched</x:v>
      </x:c>
      <x:c r="AZ337" s="14" t="str">
        <x:v>Final supplied register</x:v>
      </x:c>
      <x:c r="BA337" s="14"/>
      <x:c r="BB337" s="14" t="str">
        <x:v>Exact IMDb performer ID match</x:v>
      </x:c>
      <x:c r="BC337" s="14" t="str">
        <x:v>nm0085244</x:v>
      </x:c>
      <x:c r="BD337" s="14" t="str">
        <x:v>Denise Black</x:v>
      </x:c>
      <x:c r="BE337" s="14" t="str">
        <x:v>Physical disability</x:v>
      </x:c>
      <x:c r="BF337" s="14" t="str">
        <x:v>Yes</x:v>
      </x:c>
      <x:c r="BG337" s="14" t="str">
        <x:v>Physical disability</x:v>
      </x:c>
      <x:c r="BH337" s="14" t="str">
        <x:v>No</x:v>
      </x:c>
      <x:c r="BI337" s="14" t="str">
        <x:v>User-supplied established classification</x:v>
      </x:c>
      <x:c r="BJ337" s="14" t="str">
        <x:v>04_Physical_disability.csv</x:v>
      </x:c>
      <x:c r="BK337" s="14"/>
      <x:c r="BL337" s="14" t="str">
        <x:v>Matched</x:v>
      </x:c>
      <x:c r="BM337" s="14" t="str">
        <x:v>Final supplied register</x:v>
      </x:c>
      <x:c r="BN337" s="14"/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5</x:v>
      </x:c>
      <x:c r="BS337" s="16" t="n">
        <x:v>0.4166666666666667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tt15792042|nm9895064|mr. woodbead</x:v>
      </x:c>
      <x:c r="B338" s="14" t="str">
        <x:v>01</x:v>
      </x:c>
      <x:c r="C338" s="14" t="str">
        <x:v>2022_IMDb_Cast_Lists_Batch_01(1).xlsx</x:v>
      </x:c>
      <x:c r="D338" s="14" t="str">
        <x:v>Am I Being Unreasonable?</x:v>
      </x:c>
      <x:c r="E338" s="14" t="n">
        <x:v>32</x:v>
      </x:c>
      <x:c r="F338" s="14" t="str">
        <x:v>Am I Being Unreasonable?</x:v>
      </x:c>
      <x:c r="G338" s="14" t="str">
        <x:v>tt15792042</x:v>
      </x:c>
      <x:c r="H338" s="14" t="n">
        <x:v>2022</x:v>
      </x:c>
      <x:c r="I338" s="14" t="n">
        <x:v>2023</x:v>
      </x:c>
      <x:c r="J338" s="14" t="str">
        <x:v>Future Carry-Forward Cohort</x:v>
      </x:c>
      <x:c r="K338" s="14" t="n">
        <x:v>2022</x:v>
      </x:c>
      <x:c r="L338" s="14" t="str">
        <x:v>Not inherited</x:v>
      </x:c>
      <x:c r="M338" s="15" t="n">
        <x:v>25</x:v>
      </x:c>
      <x:c r="N338" s="14" t="str">
        <x:v>Kojey Radical</x:v>
      </x:c>
      <x:c r="O338" s="14" t="str">
        <x:v>nm9895064</x:v>
      </x:c>
      <x:c r="P338" s="14" t="str">
        <x:v>Mr. Woodbead</x:v>
      </x:c>
      <x:c r="Q338" s="15" t="n">
        <x:v>3</x:v>
      </x:c>
      <x:c r="R338" s="14" t="str">
        <x:v>2025</x:v>
      </x:c>
      <x:c r="S338" s="14" t="n">
        <x:v>2025</x:v>
      </x:c>
      <x:c r="T338" s="14" t="n">
        <x:v>2025</x:v>
      </x:c>
      <x:c r="U338" s="14" t="str">
        <x:v>Explicit source first year retained</x:v>
      </x:c>
      <x:c r="V338" s="14" t="str">
        <x:v>Earliest supplied year is 2025.</x:v>
      </x:c>
      <x:c r="W338" s="14"/>
      <x:c r="X338" s="14" t="str">
        <x:v>Carried forward to 2025</x:v>
      </x:c>
      <x:c r="Y338" s="14"/>
      <x:c r="Z338" s="14" t="str">
        <x:v>Am I Being Unreasonable.docx</x:v>
      </x:c>
      <x:c r="AA338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3</x:v>
      </x:c>
      <x:c r="BS338" s="16" t="n">
        <x:v>0.25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tt15792042|nm11198654|skellis performer</x:v>
      </x:c>
      <x:c r="B339" s="14" t="str">
        <x:v>01</x:v>
      </x:c>
      <x:c r="C339" s="14" t="str">
        <x:v>2022_IMDb_Cast_Lists_Batch_01(1).xlsx</x:v>
      </x:c>
      <x:c r="D339" s="14" t="str">
        <x:v>Am I Being Unreasonable?</x:v>
      </x:c>
      <x:c r="E339" s="14" t="n">
        <x:v>33</x:v>
      </x:c>
      <x:c r="F339" s="14" t="str">
        <x:v>Am I Being Unreasonable?</x:v>
      </x:c>
      <x:c r="G339" s="14" t="str">
        <x:v>tt15792042</x:v>
      </x:c>
      <x:c r="H339" s="14" t="n">
        <x:v>2022</x:v>
      </x:c>
      <x:c r="I339" s="14" t="n">
        <x:v>2023</x:v>
      </x:c>
      <x:c r="J339" s="14" t="str">
        <x:v>Future Carry-Forward Cohort</x:v>
      </x:c>
      <x:c r="K339" s="14" t="n">
        <x:v>2022</x:v>
      </x:c>
      <x:c r="L339" s="14" t="str">
        <x:v>Not inherited</x:v>
      </x:c>
      <x:c r="M339" s="15" t="n">
        <x:v>26</x:v>
      </x:c>
      <x:c r="N339" s="14" t="str">
        <x:v>Nick Tiernan</x:v>
      </x:c>
      <x:c r="O339" s="14" t="str">
        <x:v>nm11198654</x:v>
      </x:c>
      <x:c r="P339" s="14" t="str">
        <x:v>Skellis Performer</x:v>
      </x:c>
      <x:c r="Q339" s="15" t="n">
        <x:v>3</x:v>
      </x:c>
      <x:c r="R339" s="14" t="str">
        <x:v>2025</x:v>
      </x:c>
      <x:c r="S339" s="14" t="n">
        <x:v>2025</x:v>
      </x:c>
      <x:c r="T339" s="14" t="n">
        <x:v>2025</x:v>
      </x:c>
      <x:c r="U339" s="14" t="str">
        <x:v>Explicit source first year retained</x:v>
      </x:c>
      <x:c r="V339" s="14" t="str">
        <x:v>Earliest supplied year is 2025.</x:v>
      </x:c>
      <x:c r="W339" s="14"/>
      <x:c r="X339" s="14" t="str">
        <x:v>Carried forward to 2025</x:v>
      </x:c>
      <x:c r="Y339" s="14"/>
      <x:c r="Z339" s="14" t="str">
        <x:v>Am I Being Unreasonable.docx</x:v>
      </x:c>
      <x:c r="AA339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12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3</x:v>
      </x:c>
      <x:c r="BS339" s="16" t="n">
        <x:v>0.25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tt15792042|nm2003229|therapist</x:v>
      </x:c>
      <x:c r="B340" s="14" t="str">
        <x:v>01</x:v>
      </x:c>
      <x:c r="C340" s="14" t="str">
        <x:v>2022_IMDb_Cast_Lists_Batch_01(1).xlsx</x:v>
      </x:c>
      <x:c r="D340" s="14" t="str">
        <x:v>Am I Being Unreasonable?</x:v>
      </x:c>
      <x:c r="E340" s="14" t="n">
        <x:v>36</x:v>
      </x:c>
      <x:c r="F340" s="14" t="str">
        <x:v>Am I Being Unreasonable?</x:v>
      </x:c>
      <x:c r="G340" s="14" t="str">
        <x:v>tt15792042</x:v>
      </x:c>
      <x:c r="H340" s="14" t="n">
        <x:v>2022</x:v>
      </x:c>
      <x:c r="I340" s="14" t="n">
        <x:v>2023</x:v>
      </x:c>
      <x:c r="J340" s="14" t="str">
        <x:v>Future Carry-Forward Cohort</x:v>
      </x:c>
      <x:c r="K340" s="14" t="n">
        <x:v>2022</x:v>
      </x:c>
      <x:c r="L340" s="14" t="str">
        <x:v>Not inherited</x:v>
      </x:c>
      <x:c r="M340" s="15" t="n">
        <x:v>29</x:v>
      </x:c>
      <x:c r="N340" s="14" t="str">
        <x:v>Chelsea Peretti</x:v>
      </x:c>
      <x:c r="O340" s="14" t="str">
        <x:v>nm2003229</x:v>
      </x:c>
      <x:c r="P340" s="14" t="str">
        <x:v>Therapist</x:v>
      </x:c>
      <x:c r="Q340" s="15" t="n">
        <x:v>2</x:v>
      </x:c>
      <x:c r="R340" s="14" t="str">
        <x:v>2025</x:v>
      </x:c>
      <x:c r="S340" s="14" t="n">
        <x:v>2025</x:v>
      </x:c>
      <x:c r="T340" s="14" t="n">
        <x:v>2025</x:v>
      </x:c>
      <x:c r="U340" s="14" t="str">
        <x:v>Explicit source first year retained</x:v>
      </x:c>
      <x:c r="V340" s="14" t="str">
        <x:v>Earliest supplied year is 2025.</x:v>
      </x:c>
      <x:c r="W340" s="14"/>
      <x:c r="X340" s="14" t="str">
        <x:v>Carried forward to 2025</x:v>
      </x:c>
      <x:c r="Y340" s="14"/>
      <x:c r="Z340" s="14" t="str">
        <x:v>Am I Being Unreasonable.docx</x:v>
      </x:c>
      <x:c r="AA340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12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2</x:v>
      </x:c>
      <x:c r="BS340" s="16" t="n">
        <x:v>0.16666666666666666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tt15792042|nm4269084|taxi driver</x:v>
      </x:c>
      <x:c r="B341" s="14" t="str">
        <x:v>01</x:v>
      </x:c>
      <x:c r="C341" s="14" t="str">
        <x:v>2022_IMDb_Cast_Lists_Batch_01(1).xlsx</x:v>
      </x:c>
      <x:c r="D341" s="14" t="str">
        <x:v>Am I Being Unreasonable?</x:v>
      </x:c>
      <x:c r="E341" s="14" t="n">
        <x:v>38</x:v>
      </x:c>
      <x:c r="F341" s="14" t="str">
        <x:v>Am I Being Unreasonable?</x:v>
      </x:c>
      <x:c r="G341" s="14" t="str">
        <x:v>tt15792042</x:v>
      </x:c>
      <x:c r="H341" s="14" t="n">
        <x:v>2022</x:v>
      </x:c>
      <x:c r="I341" s="14" t="n">
        <x:v>2023</x:v>
      </x:c>
      <x:c r="J341" s="14" t="str">
        <x:v>Future Carry-Forward Cohort</x:v>
      </x:c>
      <x:c r="K341" s="14" t="n">
        <x:v>2022</x:v>
      </x:c>
      <x:c r="L341" s="14" t="str">
        <x:v>Not inherited</x:v>
      </x:c>
      <x:c r="M341" s="15" t="n">
        <x:v>31</x:v>
      </x:c>
      <x:c r="N341" s="14" t="str">
        <x:v>Tom Davis</x:v>
      </x:c>
      <x:c r="O341" s="14" t="str">
        <x:v>nm4269084</x:v>
      </x:c>
      <x:c r="P341" s="14" t="str">
        <x:v>Taxi Driver</x:v>
      </x:c>
      <x:c r="Q341" s="15" t="n">
        <x:v>1</x:v>
      </x:c>
      <x:c r="R341" s="14" t="str">
        <x:v>2025</x:v>
      </x:c>
      <x:c r="S341" s="14" t="n">
        <x:v>2025</x:v>
      </x:c>
      <x:c r="T341" s="14" t="n">
        <x:v>2025</x:v>
      </x:c>
      <x:c r="U341" s="14" t="str">
        <x:v>Explicit source first year retained</x:v>
      </x:c>
      <x:c r="V341" s="14" t="str">
        <x:v>Earliest supplied year is 2025.</x:v>
      </x:c>
      <x:c r="W341" s="14"/>
      <x:c r="X341" s="14" t="str">
        <x:v>Carried forward to 2025</x:v>
      </x:c>
      <x:c r="Y341" s="14"/>
      <x:c r="Z341" s="14" t="str">
        <x:v>Am I Being Unreasonable.docx</x:v>
      </x:c>
      <x:c r="AA341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1</x:v>
      </x:c>
      <x:c r="BS341" s="16" t="n">
        <x:v>0.08333333333333333</x:v>
      </x:c>
      <x:c r="BT341" s="14" t="str">
        <x:v>One episode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tt15792042|nm15330262|nurse</x:v>
      </x:c>
      <x:c r="B342" s="14" t="str">
        <x:v>01</x:v>
      </x:c>
      <x:c r="C342" s="14" t="str">
        <x:v>2022_IMDb_Cast_Lists_Batch_01(1).xlsx</x:v>
      </x:c>
      <x:c r="D342" s="14" t="str">
        <x:v>Am I Being Unreasonable?</x:v>
      </x:c>
      <x:c r="E342" s="14" t="n">
        <x:v>40</x:v>
      </x:c>
      <x:c r="F342" s="14" t="str">
        <x:v>Am I Being Unreasonable?</x:v>
      </x:c>
      <x:c r="G342" s="14" t="str">
        <x:v>tt15792042</x:v>
      </x:c>
      <x:c r="H342" s="14" t="n">
        <x:v>2022</x:v>
      </x:c>
      <x:c r="I342" s="14" t="n">
        <x:v>2023</x:v>
      </x:c>
      <x:c r="J342" s="14" t="str">
        <x:v>Future Carry-Forward Cohort</x:v>
      </x:c>
      <x:c r="K342" s="14" t="n">
        <x:v>2022</x:v>
      </x:c>
      <x:c r="L342" s="14" t="str">
        <x:v>Not inherited</x:v>
      </x:c>
      <x:c r="M342" s="15" t="n">
        <x:v>33</x:v>
      </x:c>
      <x:c r="N342" s="14" t="str">
        <x:v>Fowzia Madar</x:v>
      </x:c>
      <x:c r="O342" s="14" t="str">
        <x:v>nm15330262</x:v>
      </x:c>
      <x:c r="P342" s="14" t="str">
        <x:v>Nurse</x:v>
      </x:c>
      <x:c r="Q342" s="15" t="n">
        <x:v>1</x:v>
      </x:c>
      <x:c r="R342" s="14" t="str">
        <x:v>2025</x:v>
      </x:c>
      <x:c r="S342" s="14" t="n">
        <x:v>2025</x:v>
      </x:c>
      <x:c r="T342" s="14" t="n">
        <x:v>2025</x:v>
      </x:c>
      <x:c r="U342" s="14" t="str">
        <x:v>Explicit source first year retained</x:v>
      </x:c>
      <x:c r="V342" s="14" t="str">
        <x:v>Earliest supplied year is 2025.</x:v>
      </x:c>
      <x:c r="W342" s="14"/>
      <x:c r="X342" s="14" t="str">
        <x:v>Carried forward to 2025</x:v>
      </x:c>
      <x:c r="Y342" s="14"/>
      <x:c r="Z342" s="14" t="str">
        <x:v>Am I Being Unreasonable.docx</x:v>
      </x:c>
      <x:c r="AA342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1</x:v>
      </x:c>
      <x:c r="BS342" s="16" t="n">
        <x:v>0.08333333333333333</x:v>
      </x:c>
      <x:c r="BT342" s="14" t="str">
        <x:v>One episode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tt15792042|nm8314674|hotel worker</x:v>
      </x:c>
      <x:c r="B343" s="14" t="str">
        <x:v>01</x:v>
      </x:c>
      <x:c r="C343" s="14" t="str">
        <x:v>2022_IMDb_Cast_Lists_Batch_01(1).xlsx</x:v>
      </x:c>
      <x:c r="D343" s="14" t="str">
        <x:v>Am I Being Unreasonable?</x:v>
      </x:c>
      <x:c r="E343" s="14" t="n">
        <x:v>41</x:v>
      </x:c>
      <x:c r="F343" s="14" t="str">
        <x:v>Am I Being Unreasonable?</x:v>
      </x:c>
      <x:c r="G343" s="14" t="str">
        <x:v>tt15792042</x:v>
      </x:c>
      <x:c r="H343" s="14" t="n">
        <x:v>2022</x:v>
      </x:c>
      <x:c r="I343" s="14" t="n">
        <x:v>2023</x:v>
      </x:c>
      <x:c r="J343" s="14" t="str">
        <x:v>Future Carry-Forward Cohort</x:v>
      </x:c>
      <x:c r="K343" s="14" t="n">
        <x:v>2022</x:v>
      </x:c>
      <x:c r="L343" s="14" t="str">
        <x:v>Not inherited</x:v>
      </x:c>
      <x:c r="M343" s="15" t="n">
        <x:v>34</x:v>
      </x:c>
      <x:c r="N343" s="14" t="str">
        <x:v>Jamali Maddix</x:v>
      </x:c>
      <x:c r="O343" s="14" t="str">
        <x:v>nm8314674</x:v>
      </x:c>
      <x:c r="P343" s="14" t="str">
        <x:v>Hotel Worker</x:v>
      </x:c>
      <x:c r="Q343" s="15" t="n">
        <x:v>1</x:v>
      </x:c>
      <x:c r="R343" s="14" t="str">
        <x:v>2025</x:v>
      </x:c>
      <x:c r="S343" s="14" t="n">
        <x:v>2025</x:v>
      </x:c>
      <x:c r="T343" s="14" t="n">
        <x:v>2025</x:v>
      </x:c>
      <x:c r="U343" s="14" t="str">
        <x:v>Explicit source first year retained</x:v>
      </x:c>
      <x:c r="V343" s="14" t="str">
        <x:v>Earliest supplied year is 2025.</x:v>
      </x:c>
      <x:c r="W343" s="14"/>
      <x:c r="X343" s="14" t="str">
        <x:v>Carried forward to 2025</x:v>
      </x:c>
      <x:c r="Y343" s="14"/>
      <x:c r="Z343" s="14" t="str">
        <x:v>Am I Being Unreasonable.docx</x:v>
      </x:c>
      <x:c r="AA343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1</x:v>
      </x:c>
      <x:c r="BS343" s="16" t="n">
        <x:v>0.08333333333333333</x:v>
      </x:c>
      <x:c r="BT343" s="14" t="str">
        <x:v>One episode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tt15792042|nm0253126|sky engineer</x:v>
      </x:c>
      <x:c r="B344" s="14" t="str">
        <x:v>01</x:v>
      </x:c>
      <x:c r="C344" s="14" t="str">
        <x:v>2022_IMDb_Cast_Lists_Batch_01(1).xlsx</x:v>
      </x:c>
      <x:c r="D344" s="14" t="str">
        <x:v>Am I Being Unreasonable?</x:v>
      </x:c>
      <x:c r="E344" s="14" t="n">
        <x:v>46</x:v>
      </x:c>
      <x:c r="F344" s="14" t="str">
        <x:v>Am I Being Unreasonable?</x:v>
      </x:c>
      <x:c r="G344" s="14" t="str">
        <x:v>tt15792042</x:v>
      </x:c>
      <x:c r="H344" s="14" t="n">
        <x:v>2022</x:v>
      </x:c>
      <x:c r="I344" s="14" t="n">
        <x:v>2023</x:v>
      </x:c>
      <x:c r="J344" s="14" t="str">
        <x:v>Future Carry-Forward Cohort</x:v>
      </x:c>
      <x:c r="K344" s="14" t="n">
        <x:v>2022</x:v>
      </x:c>
      <x:c r="L344" s="14" t="str">
        <x:v>Not inherited</x:v>
      </x:c>
      <x:c r="M344" s="15" t="n">
        <x:v>39</x:v>
      </x:c>
      <x:c r="N344" s="14" t="str">
        <x:v>Kevin Eldon</x:v>
      </x:c>
      <x:c r="O344" s="14" t="str">
        <x:v>nm0253126</x:v>
      </x:c>
      <x:c r="P344" s="14" t="str">
        <x:v>Sky Engineer</x:v>
      </x:c>
      <x:c r="Q344" s="15" t="n">
        <x:v>1</x:v>
      </x:c>
      <x:c r="R344" s="14" t="str">
        <x:v>2025</x:v>
      </x:c>
      <x:c r="S344" s="14" t="n">
        <x:v>2025</x:v>
      </x:c>
      <x:c r="T344" s="14" t="n">
        <x:v>2025</x:v>
      </x:c>
      <x:c r="U344" s="14" t="str">
        <x:v>Explicit source first year retained</x:v>
      </x:c>
      <x:c r="V344" s="14" t="str">
        <x:v>Earliest supplied year is 2025.</x:v>
      </x:c>
      <x:c r="W344" s="14"/>
      <x:c r="X344" s="14" t="str">
        <x:v>Carried forward to 2025</x:v>
      </x:c>
      <x:c r="Y344" s="14"/>
      <x:c r="Z344" s="14" t="str">
        <x:v>Am I Being Unreasonable.docx</x:v>
      </x:c>
      <x:c r="AA344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BBC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4" s="14" t="str">
        <x:v>BBC public-service commission</x:v>
      </x:c>
      <x:c r="AO344" s="14" t="str">
        <x:v>Yes</x:v>
      </x:c>
      <x:c r="AP344" s="14" t="str">
        <x:v>Direct BBC public-service scope</x:v>
      </x:c>
      <x:c r="AQ344" s="14" t="str">
        <x:v>Yes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1</x:v>
      </x:c>
      <x:c r="BS344" s="16" t="n">
        <x:v>0.08333333333333333</x:v>
      </x:c>
      <x:c r="BT344" s="14" t="str">
        <x:v>One episode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tt15792042|nm3764470|witch trial parent</x:v>
      </x:c>
      <x:c r="B345" s="14" t="str">
        <x:v>01</x:v>
      </x:c>
      <x:c r="C345" s="14" t="str">
        <x:v>2022_IMDb_Cast_Lists_Batch_01(1).xlsx</x:v>
      </x:c>
      <x:c r="D345" s="14" t="str">
        <x:v>Am I Being Unreasonable?</x:v>
      </x:c>
      <x:c r="E345" s="14" t="n">
        <x:v>47</x:v>
      </x:c>
      <x:c r="F345" s="14" t="str">
        <x:v>Am I Being Unreasonable?</x:v>
      </x:c>
      <x:c r="G345" s="14" t="str">
        <x:v>tt15792042</x:v>
      </x:c>
      <x:c r="H345" s="14" t="n">
        <x:v>2022</x:v>
      </x:c>
      <x:c r="I345" s="14" t="n">
        <x:v>2023</x:v>
      </x:c>
      <x:c r="J345" s="14" t="str">
        <x:v>Future Carry-Forward Cohort</x:v>
      </x:c>
      <x:c r="K345" s="14" t="n">
        <x:v>2022</x:v>
      </x:c>
      <x:c r="L345" s="14" t="str">
        <x:v>Not inherited</x:v>
      </x:c>
      <x:c r="M345" s="15" t="n">
        <x:v>40</x:v>
      </x:c>
      <x:c r="N345" s="14" t="str">
        <x:v>Richard Price</x:v>
      </x:c>
      <x:c r="O345" s="14" t="str">
        <x:v>nm3764470</x:v>
      </x:c>
      <x:c r="P345" s="14" t="str">
        <x:v>Witch Trial Parent</x:v>
      </x:c>
      <x:c r="Q345" s="15" t="n">
        <x:v>1</x:v>
      </x:c>
      <x:c r="R345" s="14" t="str">
        <x:v>2025</x:v>
      </x:c>
      <x:c r="S345" s="14" t="n">
        <x:v>2025</x:v>
      </x:c>
      <x:c r="T345" s="14" t="n">
        <x:v>2025</x:v>
      </x:c>
      <x:c r="U345" s="14" t="str">
        <x:v>Explicit source first year retained</x:v>
      </x:c>
      <x:c r="V345" s="14" t="str">
        <x:v>Earliest supplied year is 2025.</x:v>
      </x:c>
      <x:c r="W345" s="14"/>
      <x:c r="X345" s="14" t="str">
        <x:v>Carried forward to 2025</x:v>
      </x:c>
      <x:c r="Y345" s="14"/>
      <x:c r="Z345" s="14" t="str">
        <x:v>Am I Being Unreasonable.docx</x:v>
      </x:c>
      <x:c r="AA34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BBC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5" s="14" t="str">
        <x:v>BBC public-service commission</x:v>
      </x:c>
      <x:c r="AO345" s="14" t="str">
        <x:v>Yes</x:v>
      </x:c>
      <x:c r="AP345" s="14" t="str">
        <x:v>Direct BBC public-service scope</x:v>
      </x:c>
      <x:c r="AQ345" s="14" t="str">
        <x:v>Yes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1</x:v>
      </x:c>
      <x:c r="BS345" s="16" t="n">
        <x:v>0.08333333333333333</x:v>
      </x:c>
      <x:c r="BT345" s="14" t="str">
        <x:v>One episode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tt15792042|nm16756518|villager</x:v>
      </x:c>
      <x:c r="B346" s="14" t="str">
        <x:v>01</x:v>
      </x:c>
      <x:c r="C346" s="14" t="str">
        <x:v>2022_IMDb_Cast_Lists_Batch_01(1).xlsx</x:v>
      </x:c>
      <x:c r="D346" s="14" t="str">
        <x:v>Am I Being Unreasonable?</x:v>
      </x:c>
      <x:c r="E346" s="14" t="n">
        <x:v>48</x:v>
      </x:c>
      <x:c r="F346" s="14" t="str">
        <x:v>Am I Being Unreasonable?</x:v>
      </x:c>
      <x:c r="G346" s="14" t="str">
        <x:v>tt15792042</x:v>
      </x:c>
      <x:c r="H346" s="14" t="n">
        <x:v>2022</x:v>
      </x:c>
      <x:c r="I346" s="14" t="n">
        <x:v>2023</x:v>
      </x:c>
      <x:c r="J346" s="14" t="str">
        <x:v>Future Carry-Forward Cohort</x:v>
      </x:c>
      <x:c r="K346" s="14" t="n">
        <x:v>2022</x:v>
      </x:c>
      <x:c r="L346" s="14" t="str">
        <x:v>Not inherited</x:v>
      </x:c>
      <x:c r="M346" s="15" t="n">
        <x:v>41</x:v>
      </x:c>
      <x:c r="N346" s="14" t="str">
        <x:v>Steve Dixon</x:v>
      </x:c>
      <x:c r="O346" s="14" t="str">
        <x:v>nm16756518</x:v>
      </x:c>
      <x:c r="P346" s="14" t="str">
        <x:v>Villager</x:v>
      </x:c>
      <x:c r="Q346" s="15" t="n">
        <x:v>1</x:v>
      </x:c>
      <x:c r="R346" s="14" t="str">
        <x:v>2025</x:v>
      </x:c>
      <x:c r="S346" s="14" t="n">
        <x:v>2025</x:v>
      </x:c>
      <x:c r="T346" s="14" t="n">
        <x:v>2025</x:v>
      </x:c>
      <x:c r="U346" s="14" t="str">
        <x:v>Explicit source first year retained</x:v>
      </x:c>
      <x:c r="V346" s="14" t="str">
        <x:v>Earliest supplied year is 2025.</x:v>
      </x:c>
      <x:c r="W346" s="14"/>
      <x:c r="X346" s="14" t="str">
        <x:v>Carried forward to 2025</x:v>
      </x:c>
      <x:c r="Y346" s="14"/>
      <x:c r="Z346" s="14" t="str">
        <x:v>Am I Being Unreasonable.docx</x:v>
      </x:c>
      <x:c r="AA34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BBC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6" s="14" t="str">
        <x:v>BBC public-service commission</x:v>
      </x:c>
      <x:c r="AO346" s="14" t="str">
        <x:v>Yes</x:v>
      </x:c>
      <x:c r="AP346" s="14" t="str">
        <x:v>Direct BBC public-service scope</x:v>
      </x:c>
      <x:c r="AQ346" s="14" t="str">
        <x:v>Yes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1</x:v>
      </x:c>
      <x:c r="BS346" s="16" t="n">
        <x:v>0.08333333333333333</x:v>
      </x:c>
      <x:c r="BT346" s="14" t="str">
        <x:v>One episode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tt15792042|nm17011539|caretaker</x:v>
      </x:c>
      <x:c r="B347" s="14" t="str">
        <x:v>01</x:v>
      </x:c>
      <x:c r="C347" s="14" t="str">
        <x:v>2022_IMDb_Cast_Lists_Batch_01(1).xlsx</x:v>
      </x:c>
      <x:c r="D347" s="14" t="str">
        <x:v>Am I Being Unreasonable?</x:v>
      </x:c>
      <x:c r="E347" s="14" t="n">
        <x:v>49</x:v>
      </x:c>
      <x:c r="F347" s="14" t="str">
        <x:v>Am I Being Unreasonable?</x:v>
      </x:c>
      <x:c r="G347" s="14" t="str">
        <x:v>tt15792042</x:v>
      </x:c>
      <x:c r="H347" s="14" t="n">
        <x:v>2022</x:v>
      </x:c>
      <x:c r="I347" s="14" t="n">
        <x:v>2023</x:v>
      </x:c>
      <x:c r="J347" s="14" t="str">
        <x:v>Future Carry-Forward Cohort</x:v>
      </x:c>
      <x:c r="K347" s="14" t="n">
        <x:v>2022</x:v>
      </x:c>
      <x:c r="L347" s="14" t="str">
        <x:v>Not inherited</x:v>
      </x:c>
      <x:c r="M347" s="15" t="n">
        <x:v>42</x:v>
      </x:c>
      <x:c r="N347" s="14" t="str">
        <x:v>Ant Huggins</x:v>
      </x:c>
      <x:c r="O347" s="14" t="str">
        <x:v>nm17011539</x:v>
      </x:c>
      <x:c r="P347" s="14" t="str">
        <x:v>Caretaker</x:v>
      </x:c>
      <x:c r="Q347" s="15" t="n">
        <x:v>1</x:v>
      </x:c>
      <x:c r="R347" s="14" t="str">
        <x:v>2025</x:v>
      </x:c>
      <x:c r="S347" s="14" t="n">
        <x:v>2025</x:v>
      </x:c>
      <x:c r="T347" s="14" t="n">
        <x:v>2025</x:v>
      </x:c>
      <x:c r="U347" s="14" t="str">
        <x:v>Explicit source first year retained</x:v>
      </x:c>
      <x:c r="V347" s="14" t="str">
        <x:v>Earliest supplied year is 2025.</x:v>
      </x:c>
      <x:c r="W347" s="14"/>
      <x:c r="X347" s="14" t="str">
        <x:v>Carried forward to 2025</x:v>
      </x:c>
      <x:c r="Y347" s="14"/>
      <x:c r="Z347" s="14" t="str">
        <x:v>Am I Being Unreasonable.docx</x:v>
      </x:c>
      <x:c r="AA34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BBC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47" s="14" t="str">
        <x:v>BBC public-service commission</x:v>
      </x:c>
      <x:c r="AO347" s="14" t="str">
        <x:v>Yes</x:v>
      </x:c>
      <x:c r="AP347" s="14" t="str">
        <x:v>Direct BBC public-service scope</x:v>
      </x:c>
      <x:c r="AQ347" s="14" t="str">
        <x:v>Yes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1</x:v>
      </x:c>
      <x:c r="BS347" s="16" t="n">
        <x:v>0.08333333333333333</x:v>
      </x:c>
      <x:c r="BT347" s="14" t="str">
        <x:v>One episode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tt13683866|nm3535066|eleanor</x:v>
      </x:c>
      <x:c r="B348" s="14" t="str">
        <x:v>01</x:v>
      </x:c>
      <x:c r="C348" s="14" t="str">
        <x:v>2022_IMDb_Cast_Lists_Batch_01(1).xlsx</x:v>
      </x:c>
      <x:c r="D348" s="14" t="str">
        <x:v>Big Boys</x:v>
      </x:c>
      <x:c r="E348" s="14" t="n">
        <x:v>25</x:v>
      </x:c>
      <x:c r="F348" s="14" t="str">
        <x:v>Big Boys</x:v>
      </x:c>
      <x:c r="G348" s="14" t="str">
        <x:v>tt13683866</x:v>
      </x:c>
      <x:c r="H348" s="14" t="n">
        <x:v>2022</x:v>
      </x:c>
      <x:c r="I348" s="14" t="n">
        <x:v>2023</x:v>
      </x:c>
      <x:c r="J348" s="14" t="str">
        <x:v>Future Carry-Forward Cohort</x:v>
      </x:c>
      <x:c r="K348" s="14" t="n">
        <x:v>2022</x:v>
      </x:c>
      <x:c r="L348" s="14" t="str">
        <x:v>Not inherited</x:v>
      </x:c>
      <x:c r="M348" s="15" t="n">
        <x:v>18</x:v>
      </x:c>
      <x:c r="N348" s="14" t="str">
        <x:v>Nana Mensah</x:v>
      </x:c>
      <x:c r="O348" s="14" t="str">
        <x:v>nm3535066</x:v>
      </x:c>
      <x:c r="P348" s="14" t="str">
        <x:v>Eleanor</x:v>
      </x:c>
      <x:c r="Q348" s="15" t="n">
        <x:v>4</x:v>
      </x:c>
      <x:c r="R348" s="14" t="str">
        <x:v>2025</x:v>
      </x:c>
      <x:c r="S348" s="14" t="n">
        <x:v>2025</x:v>
      </x:c>
      <x:c r="T348" s="14" t="n">
        <x:v>2025</x:v>
      </x:c>
      <x:c r="U348" s="14" t="str">
        <x:v>Explicit source first year retained</x:v>
      </x:c>
      <x:c r="V348" s="14" t="str">
        <x:v>Earliest supplied year is 2025.</x:v>
      </x:c>
      <x:c r="W348" s="14"/>
      <x:c r="X348" s="14" t="str">
        <x:v>Carried forward to 2025</x:v>
      </x:c>
      <x:c r="Y348" s="14"/>
      <x:c r="Z348" s="14" t="str">
        <x:v>Big Boys.docx</x:v>
      </x:c>
      <x:c r="AA34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Channel 4 / E4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HYPERLINK("https://en.wikipedia.org/wiki/Big_Boy","Open source")</x:f>
        <x:v>HYPERLINK is not implemented. linkLocation=https://en.wikipedia.org/wiki/Big_Boy, friendlyName=Open source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18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4</x:v>
      </x:c>
      <x:c r="BS348" s="16" t="n">
        <x:v>0.2222222222222222</x:v>
      </x:c>
      <x:c r="BT348" s="14" t="str">
        <x:v>Minority of episodes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tt13683866|nm9148037|andrew</x:v>
      </x:c>
      <x:c r="B349" s="14" t="str">
        <x:v>01</x:v>
      </x:c>
      <x:c r="C349" s="14" t="str">
        <x:v>2022_IMDb_Cast_Lists_Batch_01(1).xlsx</x:v>
      </x:c>
      <x:c r="D349" s="14" t="str">
        <x:v>Big Boys</x:v>
      </x:c>
      <x:c r="E349" s="14" t="n">
        <x:v>59</x:v>
      </x:c>
      <x:c r="F349" s="14" t="str">
        <x:v>Big Boys</x:v>
      </x:c>
      <x:c r="G349" s="14" t="str">
        <x:v>tt13683866</x:v>
      </x:c>
      <x:c r="H349" s="14" t="n">
        <x:v>2022</x:v>
      </x:c>
      <x:c r="I349" s="14" t="n">
        <x:v>2023</x:v>
      </x:c>
      <x:c r="J349" s="14" t="str">
        <x:v>Future Carry-Forward Cohort</x:v>
      </x:c>
      <x:c r="K349" s="14" t="n">
        <x:v>2022</x:v>
      </x:c>
      <x:c r="L349" s="14" t="str">
        <x:v>Not inherited</x:v>
      </x:c>
      <x:c r="M349" s="15" t="n">
        <x:v>52</x:v>
      </x:c>
      <x:c r="N349" s="14" t="str">
        <x:v>Ralph Davis</x:v>
      </x:c>
      <x:c r="O349" s="14" t="str">
        <x:v>nm9148037</x:v>
      </x:c>
      <x:c r="P349" s="14" t="str">
        <x:v>Andrew</x:v>
      </x:c>
      <x:c r="Q349" s="15" t="n">
        <x:v>1</x:v>
      </x:c>
      <x:c r="R349" s="14" t="str">
        <x:v>2025</x:v>
      </x:c>
      <x:c r="S349" s="14" t="n">
        <x:v>2025</x:v>
      </x:c>
      <x:c r="T349" s="14" t="n">
        <x:v>2025</x:v>
      </x:c>
      <x:c r="U349" s="14" t="str">
        <x:v>Explicit source first year retained</x:v>
      </x:c>
      <x:c r="V349" s="14" t="str">
        <x:v>Earliest supplied year is 2025.</x:v>
      </x:c>
      <x:c r="W349" s="14"/>
      <x:c r="X349" s="14" t="str">
        <x:v>Carried forward to 2025</x:v>
      </x:c>
      <x:c r="Y349" s="14"/>
      <x:c r="Z349" s="14" t="str">
        <x:v>Big Boys.docx</x:v>
      </x:c>
      <x:c r="AA34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Channel 4 / E4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HYPERLINK("https://en.wikipedia.org/wiki/Big_Boy","Open source")</x:f>
        <x:v>HYPERLINK is not implemented. linkLocation=https://en.wikipedia.org/wiki/Big_Boy, friendlyName=Open source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18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1</x:v>
      </x:c>
      <x:c r="BS349" s="16" t="n">
        <x:v>0.05555555555555555</x:v>
      </x:c>
      <x:c r="BT349" s="14" t="str">
        <x:v>One episode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tt13683866|nm0358641|alison hammond</x:v>
      </x:c>
      <x:c r="B350" s="14" t="str">
        <x:v>01</x:v>
      </x:c>
      <x:c r="C350" s="14" t="str">
        <x:v>2022_IMDb_Cast_Lists_Batch_01(1).xlsx</x:v>
      </x:c>
      <x:c r="D350" s="14" t="str">
        <x:v>Big Boys</x:v>
      </x:c>
      <x:c r="E350" s="14" t="n">
        <x:v>60</x:v>
      </x:c>
      <x:c r="F350" s="14" t="str">
        <x:v>Big Boys</x:v>
      </x:c>
      <x:c r="G350" s="14" t="str">
        <x:v>tt13683866</x:v>
      </x:c>
      <x:c r="H350" s="14" t="n">
        <x:v>2022</x:v>
      </x:c>
      <x:c r="I350" s="14" t="n">
        <x:v>2023</x:v>
      </x:c>
      <x:c r="J350" s="14" t="str">
        <x:v>Future Carry-Forward Cohort</x:v>
      </x:c>
      <x:c r="K350" s="14" t="n">
        <x:v>2022</x:v>
      </x:c>
      <x:c r="L350" s="14" t="str">
        <x:v>Not inherited</x:v>
      </x:c>
      <x:c r="M350" s="15" t="n">
        <x:v>53</x:v>
      </x:c>
      <x:c r="N350" s="14" t="str">
        <x:v>Alison Hammond</x:v>
      </x:c>
      <x:c r="O350" s="14" t="str">
        <x:v>nm0358641</x:v>
      </x:c>
      <x:c r="P350" s="14" t="str">
        <x:v>Alison Hammond</x:v>
      </x:c>
      <x:c r="Q350" s="15" t="n">
        <x:v>1</x:v>
      </x:c>
      <x:c r="R350" s="14" t="str">
        <x:v>2025</x:v>
      </x:c>
      <x:c r="S350" s="14" t="n">
        <x:v>2025</x:v>
      </x:c>
      <x:c r="T350" s="14" t="n">
        <x:v>2025</x:v>
      </x:c>
      <x:c r="U350" s="14" t="str">
        <x:v>Explicit source first year retained</x:v>
      </x:c>
      <x:c r="V350" s="14" t="str">
        <x:v>Earliest supplied year is 2025.</x:v>
      </x:c>
      <x:c r="W350" s="14"/>
      <x:c r="X350" s="14" t="str">
        <x:v>Carried forward to 2025</x:v>
      </x:c>
      <x:c r="Y350" s="14"/>
      <x:c r="Z350" s="14" t="str">
        <x:v>Big Boys.docx</x:v>
      </x:c>
      <x:c r="AA35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Channel 4 / E4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HYPERLINK("https://en.wikipedia.org/wiki/Big_Boy","Open source")</x:f>
        <x:v>HYPERLINK is not implemented. linkLocation=https://en.wikipedia.org/wiki/Big_Boy, friendlyName=Open source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18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1</x:v>
      </x:c>
      <x:c r="BS350" s="16" t="n">
        <x:v>0.05555555555555555</x:v>
      </x:c>
      <x:c r="BT350" s="14" t="str">
        <x:v>One episode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tt13683866|nm0184588|eileen</x:v>
      </x:c>
      <x:c r="B351" s="14" t="str">
        <x:v>01</x:v>
      </x:c>
      <x:c r="C351" s="14" t="str">
        <x:v>2022_IMDb_Cast_Lists_Batch_01(1).xlsx</x:v>
      </x:c>
      <x:c r="D351" s="14" t="str">
        <x:v>Big Boys</x:v>
      </x:c>
      <x:c r="E351" s="14" t="n">
        <x:v>61</x:v>
      </x:c>
      <x:c r="F351" s="14" t="str">
        <x:v>Big Boys</x:v>
      </x:c>
      <x:c r="G351" s="14" t="str">
        <x:v>tt13683866</x:v>
      </x:c>
      <x:c r="H351" s="14" t="n">
        <x:v>2022</x:v>
      </x:c>
      <x:c r="I351" s="14" t="n">
        <x:v>2023</x:v>
      </x:c>
      <x:c r="J351" s="14" t="str">
        <x:v>Future Carry-Forward Cohort</x:v>
      </x:c>
      <x:c r="K351" s="14" t="n">
        <x:v>2022</x:v>
      </x:c>
      <x:c r="L351" s="14" t="str">
        <x:v>Not inherited</x:v>
      </x:c>
      <x:c r="M351" s="15" t="n">
        <x:v>54</x:v>
      </x:c>
      <x:c r="N351" s="14" t="str">
        <x:v>Juliet Cowan</x:v>
      </x:c>
      <x:c r="O351" s="14" t="str">
        <x:v>nm0184588</x:v>
      </x:c>
      <x:c r="P351" s="14" t="str">
        <x:v>Eileen</x:v>
      </x:c>
      <x:c r="Q351" s="15" t="n">
        <x:v>1</x:v>
      </x:c>
      <x:c r="R351" s="14" t="str">
        <x:v>2025</x:v>
      </x:c>
      <x:c r="S351" s="14" t="n">
        <x:v>2025</x:v>
      </x:c>
      <x:c r="T351" s="14" t="n">
        <x:v>2025</x:v>
      </x:c>
      <x:c r="U351" s="14" t="str">
        <x:v>Explicit source first year retained</x:v>
      </x:c>
      <x:c r="V351" s="14" t="str">
        <x:v>Earliest supplied year is 2025.</x:v>
      </x:c>
      <x:c r="W351" s="14"/>
      <x:c r="X351" s="14" t="str">
        <x:v>Carried forward to 2025</x:v>
      </x:c>
      <x:c r="Y351" s="14"/>
      <x:c r="Z351" s="14" t="str">
        <x:v>Big Boys.docx</x:v>
      </x:c>
      <x:c r="AA35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Channel 4 / E4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HYPERLINK("https://en.wikipedia.org/wiki/Big_Boy","Open source")</x:f>
        <x:v>HYPERLINK is not implemented. linkLocation=https://en.wikipedia.org/wiki/Big_Boy, friendlyName=Open source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18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1</x:v>
      </x:c>
      <x:c r="BS351" s="16" t="n">
        <x:v>0.05555555555555555</x:v>
      </x:c>
      <x:c r="BT351" s="14" t="str">
        <x:v>One episode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tt13683866|nm4720651|charity shop prue</x:v>
      </x:c>
      <x:c r="B352" s="14" t="str">
        <x:v>01</x:v>
      </x:c>
      <x:c r="C352" s="14" t="str">
        <x:v>2022_IMDb_Cast_Lists_Batch_01(1).xlsx</x:v>
      </x:c>
      <x:c r="D352" s="14" t="str">
        <x:v>Big Boys</x:v>
      </x:c>
      <x:c r="E352" s="14" t="n">
        <x:v>62</x:v>
      </x:c>
      <x:c r="F352" s="14" t="str">
        <x:v>Big Boys</x:v>
      </x:c>
      <x:c r="G352" s="14" t="str">
        <x:v>tt13683866</x:v>
      </x:c>
      <x:c r="H352" s="14" t="n">
        <x:v>2022</x:v>
      </x:c>
      <x:c r="I352" s="14" t="n">
        <x:v>2023</x:v>
      </x:c>
      <x:c r="J352" s="14" t="str">
        <x:v>Future Carry-Forward Cohort</x:v>
      </x:c>
      <x:c r="K352" s="14" t="n">
        <x:v>2022</x:v>
      </x:c>
      <x:c r="L352" s="14" t="str">
        <x:v>Not inherited</x:v>
      </x:c>
      <x:c r="M352" s="15" t="n">
        <x:v>55</x:v>
      </x:c>
      <x:c r="N352" s="14" t="str">
        <x:v>Emma Sidi</x:v>
      </x:c>
      <x:c r="O352" s="14" t="str">
        <x:v>nm4720651</x:v>
      </x:c>
      <x:c r="P352" s="14" t="str">
        <x:v>Charity Shop Prue</x:v>
      </x:c>
      <x:c r="Q352" s="15" t="n">
        <x:v>1</x:v>
      </x:c>
      <x:c r="R352" s="14" t="str">
        <x:v>2025</x:v>
      </x:c>
      <x:c r="S352" s="14" t="n">
        <x:v>2025</x:v>
      </x:c>
      <x:c r="T352" s="14" t="n">
        <x:v>2025</x:v>
      </x:c>
      <x:c r="U352" s="14" t="str">
        <x:v>Explicit source first year retained</x:v>
      </x:c>
      <x:c r="V352" s="14" t="str">
        <x:v>Earliest supplied year is 2025.</x:v>
      </x:c>
      <x:c r="W352" s="14"/>
      <x:c r="X352" s="14" t="str">
        <x:v>Carried forward to 2025</x:v>
      </x:c>
      <x:c r="Y352" s="14"/>
      <x:c r="Z352" s="14" t="str">
        <x:v>Big Boys.docx</x:v>
      </x:c>
      <x:c r="AA35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Channel 4 / E4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HYPERLINK("https://en.wikipedia.org/wiki/Big_Boy","Open source")</x:f>
        <x:v>HYPERLINK is not implemented. linkLocation=https://en.wikipedia.org/wiki/Big_Boy, friendlyName=Open source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18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1</x:v>
      </x:c>
      <x:c r="BS352" s="16" t="n">
        <x:v>0.05555555555555555</x:v>
      </x:c>
      <x:c r="BT352" s="14" t="str">
        <x:v>One episode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tt13683866|nm10568063|bamboo armitage</x:v>
      </x:c>
      <x:c r="B353" s="14" t="str">
        <x:v>01</x:v>
      </x:c>
      <x:c r="C353" s="14" t="str">
        <x:v>2022_IMDb_Cast_Lists_Batch_01(1).xlsx</x:v>
      </x:c>
      <x:c r="D353" s="14" t="str">
        <x:v>Big Boys</x:v>
      </x:c>
      <x:c r="E353" s="14" t="n">
        <x:v>63</x:v>
      </x:c>
      <x:c r="F353" s="14" t="str">
        <x:v>Big Boys</x:v>
      </x:c>
      <x:c r="G353" s="14" t="str">
        <x:v>tt13683866</x:v>
      </x:c>
      <x:c r="H353" s="14" t="n">
        <x:v>2022</x:v>
      </x:c>
      <x:c r="I353" s="14" t="n">
        <x:v>2023</x:v>
      </x:c>
      <x:c r="J353" s="14" t="str">
        <x:v>Future Carry-Forward Cohort</x:v>
      </x:c>
      <x:c r="K353" s="14" t="n">
        <x:v>2022</x:v>
      </x:c>
      <x:c r="L353" s="14" t="str">
        <x:v>Not inherited</x:v>
      </x:c>
      <x:c r="M353" s="15" t="n">
        <x:v>56</x:v>
      </x:c>
      <x:c r="N353" s="14" t="str">
        <x:v>Will Hislop</x:v>
      </x:c>
      <x:c r="O353" s="14" t="str">
        <x:v>nm10568063</x:v>
      </x:c>
      <x:c r="P353" s="14" t="str">
        <x:v>Bamboo Armitage</x:v>
      </x:c>
      <x:c r="Q353" s="15" t="n">
        <x:v>1</x:v>
      </x:c>
      <x:c r="R353" s="14" t="str">
        <x:v>2025</x:v>
      </x:c>
      <x:c r="S353" s="14" t="n">
        <x:v>2025</x:v>
      </x:c>
      <x:c r="T353" s="14" t="n">
        <x:v>2025</x:v>
      </x:c>
      <x:c r="U353" s="14" t="str">
        <x:v>Explicit source first year retained</x:v>
      </x:c>
      <x:c r="V353" s="14" t="str">
        <x:v>Earliest supplied year is 2025.</x:v>
      </x:c>
      <x:c r="W353" s="14"/>
      <x:c r="X353" s="14" t="str">
        <x:v>Carried forward to 2025</x:v>
      </x:c>
      <x:c r="Y353" s="14"/>
      <x:c r="Z353" s="14" t="str">
        <x:v>Big Boys.docx</x:v>
      </x:c>
      <x:c r="AA35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Channel 4 / E4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HYPERLINK("https://en.wikipedia.org/wiki/Big_Boy","Open source")</x:f>
        <x:v>HYPERLINK is not implemented. linkLocation=https://en.wikipedia.org/wiki/Big_Boy, friendlyName=Open source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18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1</x:v>
      </x:c>
      <x:c r="BS353" s="16" t="n">
        <x:v>0.05555555555555555</x:v>
      </x:c>
      <x:c r="BT353" s="14" t="str">
        <x:v>One episode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tt13683866|nm9391743|lucian the poet</x:v>
      </x:c>
      <x:c r="B354" s="14" t="str">
        <x:v>01</x:v>
      </x:c>
      <x:c r="C354" s="14" t="str">
        <x:v>2022_IMDb_Cast_Lists_Batch_01(1).xlsx</x:v>
      </x:c>
      <x:c r="D354" s="14" t="str">
        <x:v>Big Boys</x:v>
      </x:c>
      <x:c r="E354" s="14" t="n">
        <x:v>64</x:v>
      </x:c>
      <x:c r="F354" s="14" t="str">
        <x:v>Big Boys</x:v>
      </x:c>
      <x:c r="G354" s="14" t="str">
        <x:v>tt13683866</x:v>
      </x:c>
      <x:c r="H354" s="14" t="n">
        <x:v>2022</x:v>
      </x:c>
      <x:c r="I354" s="14" t="n">
        <x:v>2023</x:v>
      </x:c>
      <x:c r="J354" s="14" t="str">
        <x:v>Future Carry-Forward Cohort</x:v>
      </x:c>
      <x:c r="K354" s="14" t="n">
        <x:v>2022</x:v>
      </x:c>
      <x:c r="L354" s="14" t="str">
        <x:v>Not inherited</x:v>
      </x:c>
      <x:c r="M354" s="15" t="n">
        <x:v>57</x:v>
      </x:c>
      <x:c r="N354" s="14" t="str">
        <x:v>Jim Caesar</x:v>
      </x:c>
      <x:c r="O354" s="14" t="str">
        <x:v>nm9391743</x:v>
      </x:c>
      <x:c r="P354" s="14" t="str">
        <x:v>Lucian the Poet</x:v>
      </x:c>
      <x:c r="Q354" s="15" t="n">
        <x:v>1</x:v>
      </x:c>
      <x:c r="R354" s="14" t="str">
        <x:v>2025</x:v>
      </x:c>
      <x:c r="S354" s="14" t="n">
        <x:v>2025</x:v>
      </x:c>
      <x:c r="T354" s="14" t="n">
        <x:v>2025</x:v>
      </x:c>
      <x:c r="U354" s="14" t="str">
        <x:v>Explicit source first year retained</x:v>
      </x:c>
      <x:c r="V354" s="14" t="str">
        <x:v>Earliest supplied year is 2025.</x:v>
      </x:c>
      <x:c r="W354" s="14"/>
      <x:c r="X354" s="14" t="str">
        <x:v>Carried forward to 2025</x:v>
      </x:c>
      <x:c r="Y354" s="14"/>
      <x:c r="Z354" s="14" t="str">
        <x:v>Big Boys.docx</x:v>
      </x:c>
      <x:c r="AA35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Channel 4 / E4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HYPERLINK("https://en.wikipedia.org/wiki/Big_Boy","Open source")</x:f>
        <x:v>HYPERLINK is not implemented. linkLocation=https://en.wikipedia.org/wiki/Big_Boy, friendlyName=Open source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18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1</x:v>
      </x:c>
      <x:c r="BS354" s="16" t="n">
        <x:v>0.05555555555555555</x:v>
      </x:c>
      <x:c r="BT354" s="14" t="str">
        <x:v>One episode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tt13683866|nm8232759|university professor</x:v>
      </x:c>
      <x:c r="B355" s="14" t="str">
        <x:v>01</x:v>
      </x:c>
      <x:c r="C355" s="14" t="str">
        <x:v>2022_IMDb_Cast_Lists_Batch_01(1).xlsx</x:v>
      </x:c>
      <x:c r="D355" s="14" t="str">
        <x:v>Big Boys</x:v>
      </x:c>
      <x:c r="E355" s="14" t="n">
        <x:v>65</x:v>
      </x:c>
      <x:c r="F355" s="14" t="str">
        <x:v>Big Boys</x:v>
      </x:c>
      <x:c r="G355" s="14" t="str">
        <x:v>tt13683866</x:v>
      </x:c>
      <x:c r="H355" s="14" t="n">
        <x:v>2022</x:v>
      </x:c>
      <x:c r="I355" s="14" t="n">
        <x:v>2023</x:v>
      </x:c>
      <x:c r="J355" s="14" t="str">
        <x:v>Future Carry-Forward Cohort</x:v>
      </x:c>
      <x:c r="K355" s="14" t="n">
        <x:v>2022</x:v>
      </x:c>
      <x:c r="L355" s="14" t="str">
        <x:v>Not inherited</x:v>
      </x:c>
      <x:c r="M355" s="15" t="n">
        <x:v>58</x:v>
      </x:c>
      <x:c r="N355" s="14" t="str">
        <x:v>John Heartstone</x:v>
      </x:c>
      <x:c r="O355" s="14" t="str">
        <x:v>nm8232759</x:v>
      </x:c>
      <x:c r="P355" s="14" t="str">
        <x:v>University professor</x:v>
      </x:c>
      <x:c r="Q355" s="15" t="n">
        <x:v>1</x:v>
      </x:c>
      <x:c r="R355" s="14" t="str">
        <x:v>2025</x:v>
      </x:c>
      <x:c r="S355" s="14" t="n">
        <x:v>2025</x:v>
      </x:c>
      <x:c r="T355" s="14" t="n">
        <x:v>2025</x:v>
      </x:c>
      <x:c r="U355" s="14" t="str">
        <x:v>Explicit source first year retained</x:v>
      </x:c>
      <x:c r="V355" s="14" t="str">
        <x:v>Earliest supplied year is 2025.</x:v>
      </x:c>
      <x:c r="W355" s="14"/>
      <x:c r="X355" s="14" t="str">
        <x:v>Carried forward to 2025</x:v>
      </x:c>
      <x:c r="Y355" s="14"/>
      <x:c r="Z355" s="14" t="str">
        <x:v>Big Boys.docx</x:v>
      </x:c>
      <x:c r="AA35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Channel 4 / E4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HYPERLINK("https://en.wikipedia.org/wiki/Big_Boy","Open source")</x:f>
        <x:v>HYPERLINK is not implemented. linkLocation=https://en.wikipedia.org/wiki/Big_Boy, friendlyName=Open source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18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0.05555555555555555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tt13683866|nm1000807|neighbor</x:v>
      </x:c>
      <x:c r="B356" s="14" t="str">
        <x:v>01</x:v>
      </x:c>
      <x:c r="C356" s="14" t="str">
        <x:v>2022_IMDb_Cast_Lists_Batch_01(1).xlsx</x:v>
      </x:c>
      <x:c r="D356" s="14" t="str">
        <x:v>Big Boys</x:v>
      </x:c>
      <x:c r="E356" s="14" t="n">
        <x:v>66</x:v>
      </x:c>
      <x:c r="F356" s="14" t="str">
        <x:v>Big Boys</x:v>
      </x:c>
      <x:c r="G356" s="14" t="str">
        <x:v>tt13683866</x:v>
      </x:c>
      <x:c r="H356" s="14" t="n">
        <x:v>2022</x:v>
      </x:c>
      <x:c r="I356" s="14" t="n">
        <x:v>2023</x:v>
      </x:c>
      <x:c r="J356" s="14" t="str">
        <x:v>Future Carry-Forward Cohort</x:v>
      </x:c>
      <x:c r="K356" s="14" t="n">
        <x:v>2022</x:v>
      </x:c>
      <x:c r="L356" s="14" t="str">
        <x:v>Not inherited</x:v>
      </x:c>
      <x:c r="M356" s="15" t="n">
        <x:v>59</x:v>
      </x:c>
      <x:c r="N356" s="14" t="str">
        <x:v>Anna-Maria Everett</x:v>
      </x:c>
      <x:c r="O356" s="14" t="str">
        <x:v>nm1000807</x:v>
      </x:c>
      <x:c r="P356" s="14" t="str">
        <x:v>Neighbor</x:v>
      </x:c>
      <x:c r="Q356" s="15" t="n">
        <x:v>1</x:v>
      </x:c>
      <x:c r="R356" s="14" t="str">
        <x:v>2025</x:v>
      </x:c>
      <x:c r="S356" s="14" t="n">
        <x:v>2025</x:v>
      </x:c>
      <x:c r="T356" s="14" t="n">
        <x:v>2025</x:v>
      </x:c>
      <x:c r="U356" s="14" t="str">
        <x:v>Explicit source first year retained</x:v>
      </x:c>
      <x:c r="V356" s="14" t="str">
        <x:v>Earliest supplied year is 2025.</x:v>
      </x:c>
      <x:c r="W356" s="14"/>
      <x:c r="X356" s="14" t="str">
        <x:v>Carried forward to 2025</x:v>
      </x:c>
      <x:c r="Y356" s="14"/>
      <x:c r="Z356" s="14" t="str">
        <x:v>Big Boys.docx</x:v>
      </x:c>
      <x:c r="AA35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Channel 4 / E4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HYPERLINK("https://en.wikipedia.org/wiki/Big_Boy","Open source")</x:f>
        <x:v>HYPERLINK is not implemented. linkLocation=https://en.wikipedia.org/wiki/Big_Boy, friendlyName=Open source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18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0.05555555555555555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tt13683866|nm5098614|dimitri</x:v>
      </x:c>
      <x:c r="B357" s="14" t="str">
        <x:v>01</x:v>
      </x:c>
      <x:c r="C357" s="14" t="str">
        <x:v>2022_IMDb_Cast_Lists_Batch_01(1).xlsx</x:v>
      </x:c>
      <x:c r="D357" s="14" t="str">
        <x:v>Big Boys</x:v>
      </x:c>
      <x:c r="E357" s="14" t="n">
        <x:v>67</x:v>
      </x:c>
      <x:c r="F357" s="14" t="str">
        <x:v>Big Boys</x:v>
      </x:c>
      <x:c r="G357" s="14" t="str">
        <x:v>tt13683866</x:v>
      </x:c>
      <x:c r="H357" s="14" t="n">
        <x:v>2022</x:v>
      </x:c>
      <x:c r="I357" s="14" t="n">
        <x:v>2023</x:v>
      </x:c>
      <x:c r="J357" s="14" t="str">
        <x:v>Future Carry-Forward Cohort</x:v>
      </x:c>
      <x:c r="K357" s="14" t="n">
        <x:v>2022</x:v>
      </x:c>
      <x:c r="L357" s="14" t="str">
        <x:v>Not inherited</x:v>
      </x:c>
      <x:c r="M357" s="15" t="n">
        <x:v>60</x:v>
      </x:c>
      <x:c r="N357" s="14" t="str">
        <x:v>Alexander Theo</x:v>
      </x:c>
      <x:c r="O357" s="14" t="str">
        <x:v>nm5098614</x:v>
      </x:c>
      <x:c r="P357" s="14" t="str">
        <x:v>Dimitri</x:v>
      </x:c>
      <x:c r="Q357" s="15" t="n">
        <x:v>1</x:v>
      </x:c>
      <x:c r="R357" s="14" t="str">
        <x:v>2025</x:v>
      </x:c>
      <x:c r="S357" s="14" t="n">
        <x:v>2025</x:v>
      </x:c>
      <x:c r="T357" s="14" t="n">
        <x:v>2025</x:v>
      </x:c>
      <x:c r="U357" s="14" t="str">
        <x:v>Explicit source first year retained</x:v>
      </x:c>
      <x:c r="V357" s="14" t="str">
        <x:v>Earliest supplied year is 2025.</x:v>
      </x:c>
      <x:c r="W357" s="14"/>
      <x:c r="X357" s="14" t="str">
        <x:v>Carried forward to 2025</x:v>
      </x:c>
      <x:c r="Y357" s="14"/>
      <x:c r="Z357" s="14" t="str">
        <x:v>Big Boys.docx</x:v>
      </x:c>
      <x:c r="AA35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Channel 4 / E4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HYPERLINK("https://en.wikipedia.org/wiki/Big_Boy","Open source")</x:f>
        <x:v>HYPERLINK is not implemented. linkLocation=https://en.wikipedia.org/wiki/Big_Boy, friendlyName=Open source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18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0.05555555555555555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tt13683866|nm3357665|anouska delafonte</x:v>
      </x:c>
      <x:c r="B358" s="14" t="str">
        <x:v>01</x:v>
      </x:c>
      <x:c r="C358" s="14" t="str">
        <x:v>2022_IMDb_Cast_Lists_Batch_01(1).xlsx</x:v>
      </x:c>
      <x:c r="D358" s="14" t="str">
        <x:v>Big Boys</x:v>
      </x:c>
      <x:c r="E358" s="14" t="n">
        <x:v>68</x:v>
      </x:c>
      <x:c r="F358" s="14" t="str">
        <x:v>Big Boys</x:v>
      </x:c>
      <x:c r="G358" s="14" t="str">
        <x:v>tt13683866</x:v>
      </x:c>
      <x:c r="H358" s="14" t="n">
        <x:v>2022</x:v>
      </x:c>
      <x:c r="I358" s="14" t="n">
        <x:v>2023</x:v>
      </x:c>
      <x:c r="J358" s="14" t="str">
        <x:v>Future Carry-Forward Cohort</x:v>
      </x:c>
      <x:c r="K358" s="14" t="n">
        <x:v>2022</x:v>
      </x:c>
      <x:c r="L358" s="14" t="str">
        <x:v>Not inherited</x:v>
      </x:c>
      <x:c r="M358" s="15" t="n">
        <x:v>61</x:v>
      </x:c>
      <x:c r="N358" s="14" t="str">
        <x:v>Aimee Phillips</x:v>
      </x:c>
      <x:c r="O358" s="14" t="str">
        <x:v>nm3357665</x:v>
      </x:c>
      <x:c r="P358" s="14" t="str">
        <x:v>Anouska Delafonte</x:v>
      </x:c>
      <x:c r="Q358" s="15" t="n">
        <x:v>1</x:v>
      </x:c>
      <x:c r="R358" s="14" t="str">
        <x:v>2025</x:v>
      </x:c>
      <x:c r="S358" s="14" t="n">
        <x:v>2025</x:v>
      </x:c>
      <x:c r="T358" s="14" t="n">
        <x:v>2025</x:v>
      </x:c>
      <x:c r="U358" s="14" t="str">
        <x:v>Explicit source first year retained</x:v>
      </x:c>
      <x:c r="V358" s="14" t="str">
        <x:v>Earliest supplied year is 2025.</x:v>
      </x:c>
      <x:c r="W358" s="14"/>
      <x:c r="X358" s="14" t="str">
        <x:v>Carried forward to 2025</x:v>
      </x:c>
      <x:c r="Y358" s="14"/>
      <x:c r="Z358" s="14" t="str">
        <x:v>Big Boys.docx</x:v>
      </x:c>
      <x:c r="AA35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Channel 4 / E4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HYPERLINK("https://en.wikipedia.org/wiki/Big_Boy","Open source")</x:f>
        <x:v>HYPERLINK is not implemented. linkLocation=https://en.wikipedia.org/wiki/Big_Boy, friendlyName=Open source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18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0.05555555555555555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tt13683866|nm14651214|ice cream man</x:v>
      </x:c>
      <x:c r="B359" s="14" t="str">
        <x:v>01</x:v>
      </x:c>
      <x:c r="C359" s="14" t="str">
        <x:v>2022_IMDb_Cast_Lists_Batch_01(1).xlsx</x:v>
      </x:c>
      <x:c r="D359" s="14" t="str">
        <x:v>Big Boys</x:v>
      </x:c>
      <x:c r="E359" s="14" t="n">
        <x:v>69</x:v>
      </x:c>
      <x:c r="F359" s="14" t="str">
        <x:v>Big Boys</x:v>
      </x:c>
      <x:c r="G359" s="14" t="str">
        <x:v>tt13683866</x:v>
      </x:c>
      <x:c r="H359" s="14" t="n">
        <x:v>2022</x:v>
      </x:c>
      <x:c r="I359" s="14" t="n">
        <x:v>2023</x:v>
      </x:c>
      <x:c r="J359" s="14" t="str">
        <x:v>Future Carry-Forward Cohort</x:v>
      </x:c>
      <x:c r="K359" s="14" t="n">
        <x:v>2022</x:v>
      </x:c>
      <x:c r="L359" s="14" t="str">
        <x:v>Not inherited</x:v>
      </x:c>
      <x:c r="M359" s="15" t="n">
        <x:v>62</x:v>
      </x:c>
      <x:c r="N359" s="14" t="str">
        <x:v>Felix Zhang</x:v>
      </x:c>
      <x:c r="O359" s="14" t="str">
        <x:v>nm14651214</x:v>
      </x:c>
      <x:c r="P359" s="14" t="str">
        <x:v>Ice Cream Man</x:v>
      </x:c>
      <x:c r="Q359" s="15" t="n">
        <x:v>1</x:v>
      </x:c>
      <x:c r="R359" s="14" t="str">
        <x:v>2025</x:v>
      </x:c>
      <x:c r="S359" s="14" t="n">
        <x:v>2025</x:v>
      </x:c>
      <x:c r="T359" s="14" t="n">
        <x:v>2025</x:v>
      </x:c>
      <x:c r="U359" s="14" t="str">
        <x:v>Explicit source first year retained</x:v>
      </x:c>
      <x:c r="V359" s="14" t="str">
        <x:v>Earliest supplied year is 2025.</x:v>
      </x:c>
      <x:c r="W359" s="14"/>
      <x:c r="X359" s="14" t="str">
        <x:v>Carried forward to 2025</x:v>
      </x:c>
      <x:c r="Y359" s="14"/>
      <x:c r="Z359" s="14" t="str">
        <x:v>Big Boys.docx</x:v>
      </x:c>
      <x:c r="AA35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Channel 4 / E4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HYPERLINK("https://en.wikipedia.org/wiki/Big_Boy","Open source")</x:f>
        <x:v>HYPERLINK is not implemented. linkLocation=https://en.wikipedia.org/wiki/Big_Boy, friendlyName=Open source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18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0.05555555555555555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tt13683866|nm9309855|larp nerd</x:v>
      </x:c>
      <x:c r="B360" s="14" t="str">
        <x:v>01</x:v>
      </x:c>
      <x:c r="C360" s="14" t="str">
        <x:v>2022_IMDb_Cast_Lists_Batch_01(1).xlsx</x:v>
      </x:c>
      <x:c r="D360" s="14" t="str">
        <x:v>Big Boys</x:v>
      </x:c>
      <x:c r="E360" s="14" t="n">
        <x:v>70</x:v>
      </x:c>
      <x:c r="F360" s="14" t="str">
        <x:v>Big Boys</x:v>
      </x:c>
      <x:c r="G360" s="14" t="str">
        <x:v>tt13683866</x:v>
      </x:c>
      <x:c r="H360" s="14" t="n">
        <x:v>2022</x:v>
      </x:c>
      <x:c r="I360" s="14" t="n">
        <x:v>2023</x:v>
      </x:c>
      <x:c r="J360" s="14" t="str">
        <x:v>Future Carry-Forward Cohort</x:v>
      </x:c>
      <x:c r="K360" s="14" t="n">
        <x:v>2022</x:v>
      </x:c>
      <x:c r="L360" s="14" t="str">
        <x:v>Not inherited</x:v>
      </x:c>
      <x:c r="M360" s="15" t="n">
        <x:v>63</x:v>
      </x:c>
      <x:c r="N360" s="14" t="str">
        <x:v>Aled Gomer</x:v>
      </x:c>
      <x:c r="O360" s="14" t="str">
        <x:v>nm9309855</x:v>
      </x:c>
      <x:c r="P360" s="14" t="str">
        <x:v>LARP Nerd</x:v>
      </x:c>
      <x:c r="Q360" s="15" t="n">
        <x:v>1</x:v>
      </x:c>
      <x:c r="R360" s="14" t="str">
        <x:v>2025</x:v>
      </x:c>
      <x:c r="S360" s="14" t="n">
        <x:v>2025</x:v>
      </x:c>
      <x:c r="T360" s="14" t="n">
        <x:v>2025</x:v>
      </x:c>
      <x:c r="U360" s="14" t="str">
        <x:v>Explicit source first year retained</x:v>
      </x:c>
      <x:c r="V360" s="14" t="str">
        <x:v>Earliest supplied year is 2025.</x:v>
      </x:c>
      <x:c r="W360" s="14"/>
      <x:c r="X360" s="14" t="str">
        <x:v>Carried forward to 2025</x:v>
      </x:c>
      <x:c r="Y360" s="14" t="str">
        <x:v>(as Aled Gormer)</x:v>
      </x:c>
      <x:c r="Z360" s="14" t="str">
        <x:v>Big Boys.docx</x:v>
      </x:c>
      <x:c r="AA36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Channel 4 / E4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HYPERLINK("https://en.wikipedia.org/wiki/Big_Boy","Open source")</x:f>
        <x:v>HYPERLINK is not implemented. linkLocation=https://en.wikipedia.org/wiki/Big_Boy, friendlyName=Open source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18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0.05555555555555555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tt13683866|nm17080646|craig</x:v>
      </x:c>
      <x:c r="B361" s="14" t="str">
        <x:v>01</x:v>
      </x:c>
      <x:c r="C361" s="14" t="str">
        <x:v>2022_IMDb_Cast_Lists_Batch_01(1).xlsx</x:v>
      </x:c>
      <x:c r="D361" s="14" t="str">
        <x:v>Big Boys</x:v>
      </x:c>
      <x:c r="E361" s="14" t="n">
        <x:v>71</x:v>
      </x:c>
      <x:c r="F361" s="14" t="str">
        <x:v>Big Boys</x:v>
      </x:c>
      <x:c r="G361" s="14" t="str">
        <x:v>tt13683866</x:v>
      </x:c>
      <x:c r="H361" s="14" t="n">
        <x:v>2022</x:v>
      </x:c>
      <x:c r="I361" s="14" t="n">
        <x:v>2023</x:v>
      </x:c>
      <x:c r="J361" s="14" t="str">
        <x:v>Future Carry-Forward Cohort</x:v>
      </x:c>
      <x:c r="K361" s="14" t="n">
        <x:v>2022</x:v>
      </x:c>
      <x:c r="L361" s="14" t="str">
        <x:v>Not inherited</x:v>
      </x:c>
      <x:c r="M361" s="15" t="n">
        <x:v>64</x:v>
      </x:c>
      <x:c r="N361" s="14" t="str">
        <x:v>Harrison Ferron-Barnett</x:v>
      </x:c>
      <x:c r="O361" s="14" t="str">
        <x:v>nm17080646</x:v>
      </x:c>
      <x:c r="P361" s="14" t="str">
        <x:v>Craig</x:v>
      </x:c>
      <x:c r="Q361" s="15" t="n">
        <x:v>1</x:v>
      </x:c>
      <x:c r="R361" s="14" t="str">
        <x:v>2025</x:v>
      </x:c>
      <x:c r="S361" s="14" t="n">
        <x:v>2025</x:v>
      </x:c>
      <x:c r="T361" s="14" t="n">
        <x:v>2025</x:v>
      </x:c>
      <x:c r="U361" s="14" t="str">
        <x:v>Explicit source first year retained</x:v>
      </x:c>
      <x:c r="V361" s="14" t="str">
        <x:v>Earliest supplied year is 2025.</x:v>
      </x:c>
      <x:c r="W361" s="14"/>
      <x:c r="X361" s="14" t="str">
        <x:v>Carried forward to 2025</x:v>
      </x:c>
      <x:c r="Y361" s="14"/>
      <x:c r="Z361" s="14" t="str">
        <x:v>Big Boys.docx</x:v>
      </x:c>
      <x:c r="AA36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Channel 4 / E4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HYPERLINK("https://en.wikipedia.org/wiki/Big_Boy","Open source")</x:f>
        <x:v>HYPERLINK is not implemented. linkLocation=https://en.wikipedia.org/wiki/Big_Boy, friendlyName=Open source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18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0.05555555555555555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tt11725900|nm0585181|fergus sinclair snr</x:v>
      </x:c>
      <x:c r="B362" s="14" t="str">
        <x:v>03</x:v>
      </x:c>
      <x:c r="C362" s="14" t="str">
        <x:v>2022_IMDb_Cast_Lists_Batch_03(1).xlsx</x:v>
      </x:c>
      <x:c r="D362" s="14" t="str">
        <x:v>Karen Pirie</x:v>
      </x:c>
      <x:c r="E362" s="14" t="n">
        <x:v>19</x:v>
      </x:c>
      <x:c r="F362" s="14" t="str">
        <x:v>Karen Pirie</x:v>
      </x:c>
      <x:c r="G362" s="14" t="str">
        <x:v>tt11725900</x:v>
      </x:c>
      <x:c r="H362" s="14" t="n">
        <x:v>2022</x:v>
      </x:c>
      <x:c r="I362" s="14" t="n">
        <x:v>2023</x:v>
      </x:c>
      <x:c r="J362" s="14" t="str">
        <x:v>Future Carry-Forward Cohort</x:v>
      </x:c>
      <x:c r="K362" s="14" t="n">
        <x:v>2022</x:v>
      </x:c>
      <x:c r="L362" s="14" t="str">
        <x:v>Not inherited</x:v>
      </x:c>
      <x:c r="M362" s="15" t="n">
        <x:v>12</x:v>
      </x:c>
      <x:c r="N362" s="14" t="str">
        <x:v>John Michie</x:v>
      </x:c>
      <x:c r="O362" s="14" t="str">
        <x:v>nm0585181</x:v>
      </x:c>
      <x:c r="P362" s="14" t="str">
        <x:v>Fergus Sinclair Snr</x:v>
      </x:c>
      <x:c r="Q362" s="15" t="n">
        <x:v>3</x:v>
      </x:c>
      <x:c r="R362" s="14" t="str">
        <x:v>2025</x:v>
      </x:c>
      <x:c r="S362" s="14" t="n">
        <x:v>2025</x:v>
      </x:c>
      <x:c r="T362" s="14" t="n">
        <x:v>2025</x:v>
      </x:c>
      <x:c r="U362" s="14" t="str">
        <x:v>Explicit source first year retained</x:v>
      </x:c>
      <x:c r="V362" s="14" t="str">
        <x:v>Earliest supplied year is 2025.</x:v>
      </x:c>
      <x:c r="W362" s="14"/>
      <x:c r="X362" s="14" t="str">
        <x:v>Carried forward to 2025</x:v>
      </x:c>
      <x:c r="Y362" s="14"/>
      <x:c r="Z362" s="14" t="str">
        <x:v>Karen Pirie.docx</x:v>
      </x:c>
      <x:c r="AA36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ITV / ITVX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HYPERLINK("https://en.wikipedia.org/wiki/Karen_Pirie","Open source")</x:f>
        <x:v>HYPERLINK is not implemented. linkLocation=https://en.wikipedia.org/wiki/Karen_Pirie, friendlyName=Open source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6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3</x:v>
      </x:c>
      <x:c r="BS362" s="16" t="n">
        <x:v>0.5</x:v>
      </x:c>
      <x:c r="BT362" s="14" t="str">
        <x:v>Minority of episodes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tt11725900|nm6267130|catriona grant</x:v>
      </x:c>
      <x:c r="B363" s="14" t="str">
        <x:v>03</x:v>
      </x:c>
      <x:c r="C363" s="14" t="str">
        <x:v>2022_IMDb_Cast_Lists_Batch_03(1).xlsx</x:v>
      </x:c>
      <x:c r="D363" s="14" t="str">
        <x:v>Karen Pirie</x:v>
      </x:c>
      <x:c r="E363" s="14" t="n">
        <x:v>20</x:v>
      </x:c>
      <x:c r="F363" s="14" t="str">
        <x:v>Karen Pirie</x:v>
      </x:c>
      <x:c r="G363" s="14" t="str">
        <x:v>tt11725900</x:v>
      </x:c>
      <x:c r="H363" s="14" t="n">
        <x:v>2022</x:v>
      </x:c>
      <x:c r="I363" s="14" t="n">
        <x:v>2023</x:v>
      </x:c>
      <x:c r="J363" s="14" t="str">
        <x:v>Future Carry-Forward Cohort</x:v>
      </x:c>
      <x:c r="K363" s="14" t="n">
        <x:v>2022</x:v>
      </x:c>
      <x:c r="L363" s="14" t="str">
        <x:v>Not inherited</x:v>
      </x:c>
      <x:c r="M363" s="15" t="n">
        <x:v>13</x:v>
      </x:c>
      <x:c r="N363" s="14" t="str">
        <x:v>Julia Brown</x:v>
      </x:c>
      <x:c r="O363" s="14" t="str">
        <x:v>nm6267130</x:v>
      </x:c>
      <x:c r="P363" s="14" t="str">
        <x:v>Catriona Grant</x:v>
      </x:c>
      <x:c r="Q363" s="15" t="n">
        <x:v>3</x:v>
      </x:c>
      <x:c r="R363" s="14" t="str">
        <x:v>2025</x:v>
      </x:c>
      <x:c r="S363" s="14" t="n">
        <x:v>2025</x:v>
      </x:c>
      <x:c r="T363" s="14" t="n">
        <x:v>2025</x:v>
      </x:c>
      <x:c r="U363" s="14" t="str">
        <x:v>Explicit source first year retained</x:v>
      </x:c>
      <x:c r="V363" s="14" t="str">
        <x:v>Earliest supplied year is 2025.</x:v>
      </x:c>
      <x:c r="W363" s="14"/>
      <x:c r="X363" s="14" t="str">
        <x:v>Carried forward to 2025</x:v>
      </x:c>
      <x:c r="Y363" s="14"/>
      <x:c r="Z363" s="14" t="str">
        <x:v>Karen Pirie.docx</x:v>
      </x:c>
      <x:c r="AA36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ITV / ITVX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HYPERLINK("https://en.wikipedia.org/wiki/Karen_Pirie","Open source")</x:f>
        <x:v>HYPERLINK is not implemented. linkLocation=https://en.wikipedia.org/wiki/Karen_Pirie, friendlyName=Open source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6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3</x:v>
      </x:c>
      <x:c r="BS363" s="16" t="n">
        <x:v>0.5</x:v>
      </x:c>
      <x:c r="BT363" s="14" t="str">
        <x:v>Minority of episodes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tt11725900|nm9974122|dc isla stark</x:v>
      </x:c>
      <x:c r="B364" s="14" t="str">
        <x:v>03</x:v>
      </x:c>
      <x:c r="C364" s="14" t="str">
        <x:v>2022_IMDb_Cast_Lists_Batch_03(1).xlsx</x:v>
      </x:c>
      <x:c r="D364" s="14" t="str">
        <x:v>Karen Pirie</x:v>
      </x:c>
      <x:c r="E364" s="14" t="n">
        <x:v>23</x:v>
      </x:c>
      <x:c r="F364" s="14" t="str">
        <x:v>Karen Pirie</x:v>
      </x:c>
      <x:c r="G364" s="14" t="str">
        <x:v>tt11725900</x:v>
      </x:c>
      <x:c r="H364" s="14" t="n">
        <x:v>2022</x:v>
      </x:c>
      <x:c r="I364" s="14" t="n">
        <x:v>2023</x:v>
      </x:c>
      <x:c r="J364" s="14" t="str">
        <x:v>Future Carry-Forward Cohort</x:v>
      </x:c>
      <x:c r="K364" s="14" t="n">
        <x:v>2022</x:v>
      </x:c>
      <x:c r="L364" s="14" t="str">
        <x:v>Not inherited</x:v>
      </x:c>
      <x:c r="M364" s="15" t="n">
        <x:v>16</x:v>
      </x:c>
      <x:c r="N364" s="14" t="str">
        <x:v>Saskia Ashdown</x:v>
      </x:c>
      <x:c r="O364" s="14" t="str">
        <x:v>nm9974122</x:v>
      </x:c>
      <x:c r="P364" s="14" t="str">
        <x:v>DC Isla Stark</x:v>
      </x:c>
      <x:c r="Q364" s="15" t="n">
        <x:v>3</x:v>
      </x:c>
      <x:c r="R364" s="14" t="str">
        <x:v>2025</x:v>
      </x:c>
      <x:c r="S364" s="14" t="n">
        <x:v>2025</x:v>
      </x:c>
      <x:c r="T364" s="14" t="n">
        <x:v>2025</x:v>
      </x:c>
      <x:c r="U364" s="14" t="str">
        <x:v>Explicit source first year retained</x:v>
      </x:c>
      <x:c r="V364" s="14" t="str">
        <x:v>Earliest supplied year is 2025.</x:v>
      </x:c>
      <x:c r="W364" s="14"/>
      <x:c r="X364" s="14" t="str">
        <x:v>Carried forward to 2025</x:v>
      </x:c>
      <x:c r="Y364" s="14"/>
      <x:c r="Z364" s="14" t="str">
        <x:v>Karen Pirie.docx</x:v>
      </x:c>
      <x:c r="AA36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ITV / ITVX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HYPERLINK("https://en.wikipedia.org/wiki/Karen_Pirie","Open source")</x:f>
        <x:v>HYPERLINK is not implemented. linkLocation=https://en.wikipedia.org/wiki/Karen_Pirie, friendlyName=Open source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6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3</x:v>
      </x:c>
      <x:c r="BS364" s="16" t="n">
        <x:v>0.5</x:v>
      </x:c>
      <x:c r="BT364" s="14" t="str">
        <x:v>Minority of episodes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tt11725900|nm4495529|mick prentice jnr</x:v>
      </x:c>
      <x:c r="B365" s="14" t="str">
        <x:v>03</x:v>
      </x:c>
      <x:c r="C365" s="14" t="str">
        <x:v>2022_IMDb_Cast_Lists_Batch_03(1).xlsx</x:v>
      </x:c>
      <x:c r="D365" s="14" t="str">
        <x:v>Karen Pirie</x:v>
      </x:c>
      <x:c r="E365" s="14" t="n">
        <x:v>24</x:v>
      </x:c>
      <x:c r="F365" s="14" t="str">
        <x:v>Karen Pirie</x:v>
      </x:c>
      <x:c r="G365" s="14" t="str">
        <x:v>tt11725900</x:v>
      </x:c>
      <x:c r="H365" s="14" t="n">
        <x:v>2022</x:v>
      </x:c>
      <x:c r="I365" s="14" t="n">
        <x:v>2023</x:v>
      </x:c>
      <x:c r="J365" s="14" t="str">
        <x:v>Future Carry-Forward Cohort</x:v>
      </x:c>
      <x:c r="K365" s="14" t="n">
        <x:v>2022</x:v>
      </x:c>
      <x:c r="L365" s="14" t="str">
        <x:v>Not inherited</x:v>
      </x:c>
      <x:c r="M365" s="15" t="n">
        <x:v>17</x:v>
      </x:c>
      <x:c r="N365" s="14" t="str">
        <x:v>Mark Rowley</x:v>
      </x:c>
      <x:c r="O365" s="14" t="str">
        <x:v>nm4495529</x:v>
      </x:c>
      <x:c r="P365" s="14" t="str">
        <x:v>Mick Prentice Jnr</x:v>
      </x:c>
      <x:c r="Q365" s="15" t="n">
        <x:v>3</x:v>
      </x:c>
      <x:c r="R365" s="14" t="str">
        <x:v>2025</x:v>
      </x:c>
      <x:c r="S365" s="14" t="n">
        <x:v>2025</x:v>
      </x:c>
      <x:c r="T365" s="14" t="n">
        <x:v>2025</x:v>
      </x:c>
      <x:c r="U365" s="14" t="str">
        <x:v>Explicit source first year retained</x:v>
      </x:c>
      <x:c r="V365" s="14" t="str">
        <x:v>Earliest supplied year is 2025.</x:v>
      </x:c>
      <x:c r="W365" s="14"/>
      <x:c r="X365" s="14" t="str">
        <x:v>Carried forward to 2025</x:v>
      </x:c>
      <x:c r="Y365" s="14"/>
      <x:c r="Z365" s="14" t="str">
        <x:v>Karen Pirie.docx</x:v>
      </x:c>
      <x:c r="AA36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ITV / ITVX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HYPERLINK("https://en.wikipedia.org/wiki/Karen_Pirie","Open source")</x:f>
        <x:v>HYPERLINK is not implemented. linkLocation=https://en.wikipedia.org/wiki/Karen_Pirie, friendlyName=Open source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6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3</x:v>
      </x:c>
      <x:c r="BS365" s="16" t="n">
        <x:v>0.5</x:v>
      </x:c>
      <x:c r="BT365" s="14" t="str">
        <x:v>Minority of episodes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tt11725900|nm5458478|kevin campbell</x:v>
      </x:c>
      <x:c r="B366" s="14" t="str">
        <x:v>03</x:v>
      </x:c>
      <x:c r="C366" s="14" t="str">
        <x:v>2022_IMDb_Cast_Lists_Batch_03(1).xlsx</x:v>
      </x:c>
      <x:c r="D366" s="14" t="str">
        <x:v>Karen Pirie</x:v>
      </x:c>
      <x:c r="E366" s="14" t="n">
        <x:v>25</x:v>
      </x:c>
      <x:c r="F366" s="14" t="str">
        <x:v>Karen Pirie</x:v>
      </x:c>
      <x:c r="G366" s="14" t="str">
        <x:v>tt11725900</x:v>
      </x:c>
      <x:c r="H366" s="14" t="n">
        <x:v>2022</x:v>
      </x:c>
      <x:c r="I366" s="14" t="n">
        <x:v>2023</x:v>
      </x:c>
      <x:c r="J366" s="14" t="str">
        <x:v>Future Carry-Forward Cohort</x:v>
      </x:c>
      <x:c r="K366" s="14" t="n">
        <x:v>2022</x:v>
      </x:c>
      <x:c r="L366" s="14" t="str">
        <x:v>Not inherited</x:v>
      </x:c>
      <x:c r="M366" s="15" t="n">
        <x:v>18</x:v>
      </x:c>
      <x:c r="N366" s="14" t="str">
        <x:v>Stuart Campbell</x:v>
      </x:c>
      <x:c r="O366" s="14" t="str">
        <x:v>nm5458478</x:v>
      </x:c>
      <x:c r="P366" s="14" t="str">
        <x:v>Kevin Campbell</x:v>
      </x:c>
      <x:c r="Q366" s="15" t="n">
        <x:v>3</x:v>
      </x:c>
      <x:c r="R366" s="14" t="str">
        <x:v>2025</x:v>
      </x:c>
      <x:c r="S366" s="14" t="n">
        <x:v>2025</x:v>
      </x:c>
      <x:c r="T366" s="14" t="n">
        <x:v>2025</x:v>
      </x:c>
      <x:c r="U366" s="14" t="str">
        <x:v>Explicit source first year retained</x:v>
      </x:c>
      <x:c r="V366" s="14" t="str">
        <x:v>Earliest supplied year is 2025.</x:v>
      </x:c>
      <x:c r="W366" s="14"/>
      <x:c r="X366" s="14" t="str">
        <x:v>Carried forward to 2025</x:v>
      </x:c>
      <x:c r="Y366" s="14"/>
      <x:c r="Z366" s="14" t="str">
        <x:v>Karen Pirie.docx</x:v>
      </x:c>
      <x:c r="AA36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ITV / ITVX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HYPERLINK("https://en.wikipedia.org/wiki/Karen_Pirie","Open source")</x:f>
        <x:v>HYPERLINK is not implemented. linkLocation=https://en.wikipedia.org/wiki/Karen_Pirie, friendlyName=Open source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6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3</x:v>
      </x:c>
      <x:c r="BS366" s="16" t="n">
        <x:v>0.5</x:v>
      </x:c>
      <x:c r="BT366" s="14" t="str">
        <x:v>Minority of episodes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tt11725900|nm1652341|brodie grant jnr.</x:v>
      </x:c>
      <x:c r="B367" s="14" t="str">
        <x:v>03</x:v>
      </x:c>
      <x:c r="C367" s="14" t="str">
        <x:v>2022_IMDb_Cast_Lists_Batch_03(1).xlsx</x:v>
      </x:c>
      <x:c r="D367" s="14" t="str">
        <x:v>Karen Pirie</x:v>
      </x:c>
      <x:c r="E367" s="14" t="n">
        <x:v>27</x:v>
      </x:c>
      <x:c r="F367" s="14" t="str">
        <x:v>Karen Pirie</x:v>
      </x:c>
      <x:c r="G367" s="14" t="str">
        <x:v>tt11725900</x:v>
      </x:c>
      <x:c r="H367" s="14" t="n">
        <x:v>2022</x:v>
      </x:c>
      <x:c r="I367" s="14" t="n">
        <x:v>2023</x:v>
      </x:c>
      <x:c r="J367" s="14" t="str">
        <x:v>Future Carry-Forward Cohort</x:v>
      </x:c>
      <x:c r="K367" s="14" t="n">
        <x:v>2022</x:v>
      </x:c>
      <x:c r="L367" s="14" t="str">
        <x:v>Not inherited</x:v>
      </x:c>
      <x:c r="M367" s="15" t="n">
        <x:v>20</x:v>
      </x:c>
      <x:c r="N367" s="14" t="str">
        <x:v>Jamie Michie</x:v>
      </x:c>
      <x:c r="O367" s="14" t="str">
        <x:v>nm1652341</x:v>
      </x:c>
      <x:c r="P367" s="14" t="str">
        <x:v>Brodie Grant Jnr.</x:v>
      </x:c>
      <x:c r="Q367" s="15" t="n">
        <x:v>3</x:v>
      </x:c>
      <x:c r="R367" s="14" t="str">
        <x:v>2025</x:v>
      </x:c>
      <x:c r="S367" s="14" t="n">
        <x:v>2025</x:v>
      </x:c>
      <x:c r="T367" s="14" t="n">
        <x:v>2025</x:v>
      </x:c>
      <x:c r="U367" s="14" t="str">
        <x:v>Explicit source first year retained</x:v>
      </x:c>
      <x:c r="V367" s="14" t="str">
        <x:v>Earliest supplied year is 2025.</x:v>
      </x:c>
      <x:c r="W367" s="14"/>
      <x:c r="X367" s="14" t="str">
        <x:v>Carried forward to 2025</x:v>
      </x:c>
      <x:c r="Y367" s="14"/>
      <x:c r="Z367" s="14" t="str">
        <x:v>Karen Pirie.docx</x:v>
      </x:c>
      <x:c r="AA36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ITV / ITVX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HYPERLINK("https://en.wikipedia.org/wiki/Karen_Pirie","Open source")</x:f>
        <x:v>HYPERLINK is not implemented. linkLocation=https://en.wikipedia.org/wiki/Karen_Pirie, friendlyName=Open source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6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3</x:v>
      </x:c>
      <x:c r="BS367" s="16" t="n">
        <x:v>0.5</x:v>
      </x:c>
      <x:c r="BT367" s="14" t="str">
        <x:v>Minority of episodes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tt11725900|nm0866626|mary grant snr</x:v>
      </x:c>
      <x:c r="B368" s="14" t="str">
        <x:v>03</x:v>
      </x:c>
      <x:c r="C368" s="14" t="str">
        <x:v>2022_IMDb_Cast_Lists_Batch_03(1).xlsx</x:v>
      </x:c>
      <x:c r="D368" s="14" t="str">
        <x:v>Karen Pirie</x:v>
      </x:c>
      <x:c r="E368" s="14" t="n">
        <x:v>30</x:v>
      </x:c>
      <x:c r="F368" s="14" t="str">
        <x:v>Karen Pirie</x:v>
      </x:c>
      <x:c r="G368" s="14" t="str">
        <x:v>tt11725900</x:v>
      </x:c>
      <x:c r="H368" s="14" t="n">
        <x:v>2022</x:v>
      </x:c>
      <x:c r="I368" s="14" t="n">
        <x:v>2023</x:v>
      </x:c>
      <x:c r="J368" s="14" t="str">
        <x:v>Future Carry-Forward Cohort</x:v>
      </x:c>
      <x:c r="K368" s="14" t="n">
        <x:v>2022</x:v>
      </x:c>
      <x:c r="L368" s="14" t="str">
        <x:v>Not inherited</x:v>
      </x:c>
      <x:c r="M368" s="15" t="n">
        <x:v>23</x:v>
      </x:c>
      <x:c r="N368" s="14" t="str">
        <x:v>Frances Tomelty</x:v>
      </x:c>
      <x:c r="O368" s="14" t="str">
        <x:v>nm0866626</x:v>
      </x:c>
      <x:c r="P368" s="14" t="str">
        <x:v>Mary Grant Snr</x:v>
      </x:c>
      <x:c r="Q368" s="15" t="n">
        <x:v>3</x:v>
      </x:c>
      <x:c r="R368" s="14" t="str">
        <x:v>2025</x:v>
      </x:c>
      <x:c r="S368" s="14" t="n">
        <x:v>2025</x:v>
      </x:c>
      <x:c r="T368" s="14" t="n">
        <x:v>2025</x:v>
      </x:c>
      <x:c r="U368" s="14" t="str">
        <x:v>Explicit source first year retained</x:v>
      </x:c>
      <x:c r="V368" s="14" t="str">
        <x:v>Earliest supplied year is 2025.</x:v>
      </x:c>
      <x:c r="W368" s="14"/>
      <x:c r="X368" s="14" t="str">
        <x:v>Carried forward to 2025</x:v>
      </x:c>
      <x:c r="Y368" s="14"/>
      <x:c r="Z368" s="14" t="str">
        <x:v>Karen Pirie.docx</x:v>
      </x:c>
      <x:c r="AA36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ITV / ITVX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HYPERLINK("https://en.wikipedia.org/wiki/Karen_Pirie","Open source")</x:f>
        <x:v>HYPERLINK is not implemented. linkLocation=https://en.wikipedia.org/wiki/Karen_Pirie, friendlyName=Open source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6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3</x:v>
      </x:c>
      <x:c r="BS368" s="16" t="n">
        <x:v>0.5</x:v>
      </x:c>
      <x:c r="BT368" s="14" t="str">
        <x:v>Minority of episodes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tt11725900|nm0181920|brodie grant snr</x:v>
      </x:c>
      <x:c r="B369" s="14" t="str">
        <x:v>03</x:v>
      </x:c>
      <x:c r="C369" s="14" t="str">
        <x:v>2022_IMDb_Cast_Lists_Batch_03(1).xlsx</x:v>
      </x:c>
      <x:c r="D369" s="14" t="str">
        <x:v>Karen Pirie</x:v>
      </x:c>
      <x:c r="E369" s="14" t="n">
        <x:v>32</x:v>
      </x:c>
      <x:c r="F369" s="14" t="str">
        <x:v>Karen Pirie</x:v>
      </x:c>
      <x:c r="G369" s="14" t="str">
        <x:v>tt11725900</x:v>
      </x:c>
      <x:c r="H369" s="14" t="n">
        <x:v>2022</x:v>
      </x:c>
      <x:c r="I369" s="14" t="n">
        <x:v>2023</x:v>
      </x:c>
      <x:c r="J369" s="14" t="str">
        <x:v>Future Carry-Forward Cohort</x:v>
      </x:c>
      <x:c r="K369" s="14" t="n">
        <x:v>2022</x:v>
      </x:c>
      <x:c r="L369" s="14" t="str">
        <x:v>Not inherited</x:v>
      </x:c>
      <x:c r="M369" s="15" t="n">
        <x:v>25</x:v>
      </x:c>
      <x:c r="N369" s="14" t="str">
        <x:v>James Cosmo</x:v>
      </x:c>
      <x:c r="O369" s="14" t="str">
        <x:v>nm0181920</x:v>
      </x:c>
      <x:c r="P369" s="14" t="str">
        <x:v>Brodie Grant Snr</x:v>
      </x:c>
      <x:c r="Q369" s="15" t="n">
        <x:v>3</x:v>
      </x:c>
      <x:c r="R369" s="14" t="str">
        <x:v>2025</x:v>
      </x:c>
      <x:c r="S369" s="14" t="n">
        <x:v>2025</x:v>
      </x:c>
      <x:c r="T369" s="14" t="n">
        <x:v>2025</x:v>
      </x:c>
      <x:c r="U369" s="14" t="str">
        <x:v>Explicit source first year retained</x:v>
      </x:c>
      <x:c r="V369" s="14" t="str">
        <x:v>Earliest supplied year is 2025.</x:v>
      </x:c>
      <x:c r="W369" s="14"/>
      <x:c r="X369" s="14" t="str">
        <x:v>Carried forward to 2025</x:v>
      </x:c>
      <x:c r="Y369" s="14"/>
      <x:c r="Z369" s="14" t="str">
        <x:v>Karen Pirie.docx</x:v>
      </x:c>
      <x:c r="AA36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ITV / ITVX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HYPERLINK("https://en.wikipedia.org/wiki/Karen_Pirie","Open source")</x:f>
        <x:v>HYPERLINK is not implemented. linkLocation=https://en.wikipedia.org/wiki/Karen_Pirie, friendlyName=Open source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6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3</x:v>
      </x:c>
      <x:c r="BS369" s="16" t="n">
        <x:v>0.5</x:v>
      </x:c>
      <x:c r="BT369" s="14" t="str">
        <x:v>Minority of episodes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tt11725900|nm8548941|andy kerr</x:v>
      </x:c>
      <x:c r="B370" s="14" t="str">
        <x:v>03</x:v>
      </x:c>
      <x:c r="C370" s="14" t="str">
        <x:v>2022_IMDb_Cast_Lists_Batch_03(1).xlsx</x:v>
      </x:c>
      <x:c r="D370" s="14" t="str">
        <x:v>Karen Pirie</x:v>
      </x:c>
      <x:c r="E370" s="14" t="n">
        <x:v>35</x:v>
      </x:c>
      <x:c r="F370" s="14" t="str">
        <x:v>Karen Pirie</x:v>
      </x:c>
      <x:c r="G370" s="14" t="str">
        <x:v>tt11725900</x:v>
      </x:c>
      <x:c r="H370" s="14" t="n">
        <x:v>2022</x:v>
      </x:c>
      <x:c r="I370" s="14" t="n">
        <x:v>2023</x:v>
      </x:c>
      <x:c r="J370" s="14" t="str">
        <x:v>Future Carry-Forward Cohort</x:v>
      </x:c>
      <x:c r="K370" s="14" t="n">
        <x:v>2022</x:v>
      </x:c>
      <x:c r="L370" s="14" t="str">
        <x:v>Not inherited</x:v>
      </x:c>
      <x:c r="M370" s="15" t="n">
        <x:v>28</x:v>
      </x:c>
      <x:c r="N370" s="14" t="str">
        <x:v>Conor Berry</x:v>
      </x:c>
      <x:c r="O370" s="14" t="str">
        <x:v>nm8548941</x:v>
      </x:c>
      <x:c r="P370" s="14" t="str">
        <x:v>Andy Kerr</x:v>
      </x:c>
      <x:c r="Q370" s="15" t="n">
        <x:v>3</x:v>
      </x:c>
      <x:c r="R370" s="14" t="str">
        <x:v>2025</x:v>
      </x:c>
      <x:c r="S370" s="14" t="n">
        <x:v>2025</x:v>
      </x:c>
      <x:c r="T370" s="14" t="n">
        <x:v>2025</x:v>
      </x:c>
      <x:c r="U370" s="14" t="str">
        <x:v>Explicit source first year retained</x:v>
      </x:c>
      <x:c r="V370" s="14" t="str">
        <x:v>Earliest supplied year is 2025.</x:v>
      </x:c>
      <x:c r="W370" s="14"/>
      <x:c r="X370" s="14" t="str">
        <x:v>Carried forward to 2025</x:v>
      </x:c>
      <x:c r="Y370" s="14"/>
      <x:c r="Z370" s="14" t="str">
        <x:v>Karen Pirie.docx</x:v>
      </x:c>
      <x:c r="AA37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ITV / ITVX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HYPERLINK("https://en.wikipedia.org/wiki/Karen_Pirie","Open source")</x:f>
        <x:v>HYPERLINK is not implemented. linkLocation=https://en.wikipedia.org/wiki/Karen_Pirie, friendlyName=Open source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6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3</x:v>
      </x:c>
      <x:c r="BS370" s="16" t="n">
        <x:v>0.5</x:v>
      </x:c>
      <x:c r="BT370" s="14" t="str">
        <x:v>Minority of episodes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tt11725900|nm10730874|fergus jnr</x:v>
      </x:c>
      <x:c r="B371" s="14" t="str">
        <x:v>03</x:v>
      </x:c>
      <x:c r="C371" s="14" t="str">
        <x:v>2022_IMDb_Cast_Lists_Batch_03(1).xlsx</x:v>
      </x:c>
      <x:c r="D371" s="14" t="str">
        <x:v>Karen Pirie</x:v>
      </x:c>
      <x:c r="E371" s="14" t="n">
        <x:v>36</x:v>
      </x:c>
      <x:c r="F371" s="14" t="str">
        <x:v>Karen Pirie</x:v>
      </x:c>
      <x:c r="G371" s="14" t="str">
        <x:v>tt11725900</x:v>
      </x:c>
      <x:c r="H371" s="14" t="n">
        <x:v>2022</x:v>
      </x:c>
      <x:c r="I371" s="14" t="n">
        <x:v>2023</x:v>
      </x:c>
      <x:c r="J371" s="14" t="str">
        <x:v>Future Carry-Forward Cohort</x:v>
      </x:c>
      <x:c r="K371" s="14" t="n">
        <x:v>2022</x:v>
      </x:c>
      <x:c r="L371" s="14" t="str">
        <x:v>Not inherited</x:v>
      </x:c>
      <x:c r="M371" s="15" t="n">
        <x:v>29</x:v>
      </x:c>
      <x:c r="N371" s="14" t="str">
        <x:v>Jack Stewart</x:v>
      </x:c>
      <x:c r="O371" s="14" t="str">
        <x:v>nm10730874</x:v>
      </x:c>
      <x:c r="P371" s="14" t="str">
        <x:v>Fergus Jnr</x:v>
      </x:c>
      <x:c r="Q371" s="15" t="n">
        <x:v>3</x:v>
      </x:c>
      <x:c r="R371" s="14" t="str">
        <x:v>2025</x:v>
      </x:c>
      <x:c r="S371" s="14" t="n">
        <x:v>2025</x:v>
      </x:c>
      <x:c r="T371" s="14" t="n">
        <x:v>2025</x:v>
      </x:c>
      <x:c r="U371" s="14" t="str">
        <x:v>Explicit source first year retained</x:v>
      </x:c>
      <x:c r="V371" s="14" t="str">
        <x:v>Earliest supplied year is 2025.</x:v>
      </x:c>
      <x:c r="W371" s="14"/>
      <x:c r="X371" s="14" t="str">
        <x:v>Carried forward to 2025</x:v>
      </x:c>
      <x:c r="Y371" s="14"/>
      <x:c r="Z371" s="14" t="str">
        <x:v>Karen Pirie.docx</x:v>
      </x:c>
      <x:c r="AA37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ITV / ITVX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HYPERLINK("https://en.wikipedia.org/wiki/Karen_Pirie","Open source")</x:f>
        <x:v>HYPERLINK is not implemented. linkLocation=https://en.wikipedia.org/wiki/Karen_Pirie, friendlyName=Open source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6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3</x:v>
      </x:c>
      <x:c r="BS371" s="16" t="n">
        <x:v>0.5</x:v>
      </x:c>
      <x:c r="BT371" s="14" t="str">
        <x:v>Minority of episodes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tt11725900|nm1002209|mary grant jnr</x:v>
      </x:c>
      <x:c r="B372" s="14" t="str">
        <x:v>03</x:v>
      </x:c>
      <x:c r="C372" s="14" t="str">
        <x:v>2022_IMDb_Cast_Lists_Batch_03(1).xlsx</x:v>
      </x:c>
      <x:c r="D372" s="14" t="str">
        <x:v>Karen Pirie</x:v>
      </x:c>
      <x:c r="E372" s="14" t="n">
        <x:v>37</x:v>
      </x:c>
      <x:c r="F372" s="14" t="str">
        <x:v>Karen Pirie</x:v>
      </x:c>
      <x:c r="G372" s="14" t="str">
        <x:v>tt11725900</x:v>
      </x:c>
      <x:c r="H372" s="14" t="n">
        <x:v>2022</x:v>
      </x:c>
      <x:c r="I372" s="14" t="n">
        <x:v>2023</x:v>
      </x:c>
      <x:c r="J372" s="14" t="str">
        <x:v>Future Carry-Forward Cohort</x:v>
      </x:c>
      <x:c r="K372" s="14" t="n">
        <x:v>2022</x:v>
      </x:c>
      <x:c r="L372" s="14" t="str">
        <x:v>Not inherited</x:v>
      </x:c>
      <x:c r="M372" s="15" t="n">
        <x:v>30</x:v>
      </x:c>
      <x:c r="N372" s="14" t="str">
        <x:v>Madeleine Worrall</x:v>
      </x:c>
      <x:c r="O372" s="14" t="str">
        <x:v>nm1002209</x:v>
      </x:c>
      <x:c r="P372" s="14" t="str">
        <x:v>Mary Grant Jnr</x:v>
      </x:c>
      <x:c r="Q372" s="15" t="n">
        <x:v>3</x:v>
      </x:c>
      <x:c r="R372" s="14" t="str">
        <x:v>2025</x:v>
      </x:c>
      <x:c r="S372" s="14" t="n">
        <x:v>2025</x:v>
      </x:c>
      <x:c r="T372" s="14" t="n">
        <x:v>2025</x:v>
      </x:c>
      <x:c r="U372" s="14" t="str">
        <x:v>Explicit source first year retained</x:v>
      </x:c>
      <x:c r="V372" s="14" t="str">
        <x:v>Earliest supplied year is 2025.</x:v>
      </x:c>
      <x:c r="W372" s="14"/>
      <x:c r="X372" s="14" t="str">
        <x:v>Carried forward to 2025</x:v>
      </x:c>
      <x:c r="Y372" s="14"/>
      <x:c r="Z372" s="14" t="str">
        <x:v>Karen Pirie.docx</x:v>
      </x:c>
      <x:c r="AA37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ITV / ITVX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HYPERLINK("https://en.wikipedia.org/wiki/Karen_Pirie","Open source")</x:f>
        <x:v>HYPERLINK is not implemented. linkLocation=https://en.wikipedia.org/wiki/Karen_Pirie, friendlyName=Open source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6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3</x:v>
      </x:c>
      <x:c r="BS372" s="16" t="n">
        <x:v>0.5</x:v>
      </x:c>
      <x:c r="BT372" s="14" t="str">
        <x:v>Minority of episodes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tt11725900|nm8624309|di anderson</x:v>
      </x:c>
      <x:c r="B373" s="14" t="str">
        <x:v>03</x:v>
      </x:c>
      <x:c r="C373" s="14" t="str">
        <x:v>2022_IMDb_Cast_Lists_Batch_03(1).xlsx</x:v>
      </x:c>
      <x:c r="D373" s="14" t="str">
        <x:v>Karen Pirie</x:v>
      </x:c>
      <x:c r="E373" s="14" t="n">
        <x:v>41</x:v>
      </x:c>
      <x:c r="F373" s="14" t="str">
        <x:v>Karen Pirie</x:v>
      </x:c>
      <x:c r="G373" s="14" t="str">
        <x:v>tt11725900</x:v>
      </x:c>
      <x:c r="H373" s="14" t="n">
        <x:v>2022</x:v>
      </x:c>
      <x:c r="I373" s="14" t="n">
        <x:v>2023</x:v>
      </x:c>
      <x:c r="J373" s="14" t="str">
        <x:v>Future Carry-Forward Cohort</x:v>
      </x:c>
      <x:c r="K373" s="14" t="n">
        <x:v>2022</x:v>
      </x:c>
      <x:c r="L373" s="14" t="str">
        <x:v>Not inherited</x:v>
      </x:c>
      <x:c r="M373" s="15" t="n">
        <x:v>34</x:v>
      </x:c>
      <x:c r="N373" s="14" t="str">
        <x:v>Thoren Ferguson</x:v>
      </x:c>
      <x:c r="O373" s="14" t="str">
        <x:v>nm8624309</x:v>
      </x:c>
      <x:c r="P373" s="14" t="str">
        <x:v>DI Anderson</x:v>
      </x:c>
      <x:c r="Q373" s="15" t="n">
        <x:v>2</x:v>
      </x:c>
      <x:c r="R373" s="14" t="str">
        <x:v>2025</x:v>
      </x:c>
      <x:c r="S373" s="14" t="n">
        <x:v>2025</x:v>
      </x:c>
      <x:c r="T373" s="14" t="n">
        <x:v>2025</x:v>
      </x:c>
      <x:c r="U373" s="14" t="str">
        <x:v>Explicit source first year retained</x:v>
      </x:c>
      <x:c r="V373" s="14" t="str">
        <x:v>Earliest supplied year is 2025.</x:v>
      </x:c>
      <x:c r="W373" s="14"/>
      <x:c r="X373" s="14" t="str">
        <x:v>Carried forward to 2025</x:v>
      </x:c>
      <x:c r="Y373" s="14"/>
      <x:c r="Z373" s="14" t="str">
        <x:v>Karen Pirie.docx</x:v>
      </x:c>
      <x:c r="AA37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ITV / ITVX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HYPERLINK("https://en.wikipedia.org/wiki/Karen_Pirie","Open source")</x:f>
        <x:v>HYPERLINK is not implemented. linkLocation=https://en.wikipedia.org/wiki/Karen_Pirie, friendlyName=Open source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6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2</x:v>
      </x:c>
      <x:c r="BS373" s="16" t="n">
        <x:v>0.3333333333333333</x:v>
      </x:c>
      <x:c r="BT373" s="14" t="str">
        <x:v>Minority of episodes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tt11725900|nm8439834|gabriel porteous / adam snr</x:v>
      </x:c>
      <x:c r="B374" s="14" t="str">
        <x:v>03</x:v>
      </x:c>
      <x:c r="C374" s="14" t="str">
        <x:v>2022_IMDb_Cast_Lists_Batch_03(1).xlsx</x:v>
      </x:c>
      <x:c r="D374" s="14" t="str">
        <x:v>Karen Pirie</x:v>
      </x:c>
      <x:c r="E374" s="14" t="n">
        <x:v>42</x:v>
      </x:c>
      <x:c r="F374" s="14" t="str">
        <x:v>Karen Pirie</x:v>
      </x:c>
      <x:c r="G374" s="14" t="str">
        <x:v>tt11725900</x:v>
      </x:c>
      <x:c r="H374" s="14" t="n">
        <x:v>2022</x:v>
      </x:c>
      <x:c r="I374" s="14" t="n">
        <x:v>2023</x:v>
      </x:c>
      <x:c r="J374" s="14" t="str">
        <x:v>Future Carry-Forward Cohort</x:v>
      </x:c>
      <x:c r="K374" s="14" t="n">
        <x:v>2022</x:v>
      </x:c>
      <x:c r="L374" s="14" t="str">
        <x:v>Not inherited</x:v>
      </x:c>
      <x:c r="M374" s="15" t="n">
        <x:v>35</x:v>
      </x:c>
      <x:c r="N374" s="14" t="str">
        <x:v>Tommaso Basili</x:v>
      </x:c>
      <x:c r="O374" s="14" t="str">
        <x:v>nm8439834</x:v>
      </x:c>
      <x:c r="P374" s="14" t="str">
        <x:v>Gabriel Porteous / Adam Snr</x:v>
      </x:c>
      <x:c r="Q374" s="15" t="n">
        <x:v>2</x:v>
      </x:c>
      <x:c r="R374" s="14" t="str">
        <x:v>2025</x:v>
      </x:c>
      <x:c r="S374" s="14" t="n">
        <x:v>2025</x:v>
      </x:c>
      <x:c r="T374" s="14" t="n">
        <x:v>2025</x:v>
      </x:c>
      <x:c r="U374" s="14" t="str">
        <x:v>Explicit source first year retained</x:v>
      </x:c>
      <x:c r="V374" s="14" t="str">
        <x:v>Earliest supplied year is 2025.</x:v>
      </x:c>
      <x:c r="W374" s="14"/>
      <x:c r="X374" s="14" t="str">
        <x:v>Carried forward to 2025</x:v>
      </x:c>
      <x:c r="Y374" s="14"/>
      <x:c r="Z374" s="14" t="str">
        <x:v>Karen Pirie.docx</x:v>
      </x:c>
      <x:c r="AA37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ITV / ITVX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HYPERLINK("https://en.wikipedia.org/wiki/Karen_Pirie","Open source")</x:f>
        <x:v>HYPERLINK is not implemented. linkLocation=https://en.wikipedia.org/wiki/Karen_Pirie, friendlyName=Open source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6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2</x:v>
      </x:c>
      <x:c r="BS374" s="16" t="n">
        <x:v>0.3333333333333333</x:v>
      </x:c>
      <x:c r="BT374" s="14" t="str">
        <x:v>Minority of episodes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tt11725900|nm12381883|bonnie jnr</x:v>
      </x:c>
      <x:c r="B375" s="14" t="str">
        <x:v>03</x:v>
      </x:c>
      <x:c r="C375" s="14" t="str">
        <x:v>2022_IMDb_Cast_Lists_Batch_03(1).xlsx</x:v>
      </x:c>
      <x:c r="D375" s="14" t="str">
        <x:v>Karen Pirie</x:v>
      </x:c>
      <x:c r="E375" s="14" t="n">
        <x:v>44</x:v>
      </x:c>
      <x:c r="F375" s="14" t="str">
        <x:v>Karen Pirie</x:v>
      </x:c>
      <x:c r="G375" s="14" t="str">
        <x:v>tt11725900</x:v>
      </x:c>
      <x:c r="H375" s="14" t="n">
        <x:v>2022</x:v>
      </x:c>
      <x:c r="I375" s="14" t="n">
        <x:v>2023</x:v>
      </x:c>
      <x:c r="J375" s="14" t="str">
        <x:v>Future Carry-Forward Cohort</x:v>
      </x:c>
      <x:c r="K375" s="14" t="n">
        <x:v>2022</x:v>
      </x:c>
      <x:c r="L375" s="14" t="str">
        <x:v>Not inherited</x:v>
      </x:c>
      <x:c r="M375" s="15" t="n">
        <x:v>37</x:v>
      </x:c>
      <x:c r="N375" s="14" t="str">
        <x:v>Kat Ronney</x:v>
      </x:c>
      <x:c r="O375" s="14" t="str">
        <x:v>nm12381883</x:v>
      </x:c>
      <x:c r="P375" s="14" t="str">
        <x:v>Bonnie Jnr</x:v>
      </x:c>
      <x:c r="Q375" s="15" t="n">
        <x:v>2</x:v>
      </x:c>
      <x:c r="R375" s="14" t="str">
        <x:v>2025</x:v>
      </x:c>
      <x:c r="S375" s="14" t="n">
        <x:v>2025</x:v>
      </x:c>
      <x:c r="T375" s="14" t="n">
        <x:v>2025</x:v>
      </x:c>
      <x:c r="U375" s="14" t="str">
        <x:v>Explicit source first year retained</x:v>
      </x:c>
      <x:c r="V375" s="14" t="str">
        <x:v>Earliest supplied year is 2025.</x:v>
      </x:c>
      <x:c r="W375" s="14"/>
      <x:c r="X375" s="14" t="str">
        <x:v>Carried forward to 2025</x:v>
      </x:c>
      <x:c r="Y375" s="14"/>
      <x:c r="Z375" s="14" t="str">
        <x:v>Karen Pirie.docx</x:v>
      </x:c>
      <x:c r="AA37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ITV / ITVX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HYPERLINK("https://en.wikipedia.org/wiki/Karen_Pirie","Open source")</x:f>
        <x:v>HYPERLINK is not implemented. linkLocation=https://en.wikipedia.org/wiki/Karen_Pirie, friendlyName=Open source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6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2</x:v>
      </x:c>
      <x:c r="BS375" s="16" t="n">
        <x:v>0.3333333333333333</x:v>
      </x:c>
      <x:c r="BT375" s="14" t="str">
        <x:v>Minority of episodes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tt11725900|nm6210727|glen gibson</x:v>
      </x:c>
      <x:c r="B376" s="14" t="str">
        <x:v>03</x:v>
      </x:c>
      <x:c r="C376" s="14" t="str">
        <x:v>2022_IMDb_Cast_Lists_Batch_03(1).xlsx</x:v>
      </x:c>
      <x:c r="D376" s="14" t="str">
        <x:v>Karen Pirie</x:v>
      </x:c>
      <x:c r="E376" s="14" t="n">
        <x:v>48</x:v>
      </x:c>
      <x:c r="F376" s="14" t="str">
        <x:v>Karen Pirie</x:v>
      </x:c>
      <x:c r="G376" s="14" t="str">
        <x:v>tt11725900</x:v>
      </x:c>
      <x:c r="H376" s="14" t="n">
        <x:v>2022</x:v>
      </x:c>
      <x:c r="I376" s="14" t="n">
        <x:v>2023</x:v>
      </x:c>
      <x:c r="J376" s="14" t="str">
        <x:v>Future Carry-Forward Cohort</x:v>
      </x:c>
      <x:c r="K376" s="14" t="n">
        <x:v>2022</x:v>
      </x:c>
      <x:c r="L376" s="14" t="str">
        <x:v>Not inherited</x:v>
      </x:c>
      <x:c r="M376" s="15" t="n">
        <x:v>41</x:v>
      </x:c>
      <x:c r="N376" s="14" t="str">
        <x:v>Craig McGinlay</x:v>
      </x:c>
      <x:c r="O376" s="14" t="str">
        <x:v>nm6210727</x:v>
      </x:c>
      <x:c r="P376" s="14" t="str">
        <x:v>Glen Gibson</x:v>
      </x:c>
      <x:c r="Q376" s="15" t="n">
        <x:v>2</x:v>
      </x:c>
      <x:c r="R376" s="14" t="str">
        <x:v>2025</x:v>
      </x:c>
      <x:c r="S376" s="14" t="n">
        <x:v>2025</x:v>
      </x:c>
      <x:c r="T376" s="14" t="n">
        <x:v>2025</x:v>
      </x:c>
      <x:c r="U376" s="14" t="str">
        <x:v>Explicit source first year retained</x:v>
      </x:c>
      <x:c r="V376" s="14" t="str">
        <x:v>Earliest supplied year is 2025.</x:v>
      </x:c>
      <x:c r="W376" s="14"/>
      <x:c r="X376" s="14" t="str">
        <x:v>Carried forward to 2025</x:v>
      </x:c>
      <x:c r="Y376" s="14"/>
      <x:c r="Z376" s="14" t="str">
        <x:v>Karen Pirie.docx</x:v>
      </x:c>
      <x:c r="AA37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ITV / ITVX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HYPERLINK("https://en.wikipedia.org/wiki/Karen_Pirie","Open source")</x:f>
        <x:v>HYPERLINK is not implemented. linkLocation=https://en.wikipedia.org/wiki/Karen_Pirie, friendlyName=Open source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6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2</x:v>
      </x:c>
      <x:c r="BS376" s="16" t="n">
        <x:v>0.3333333333333333</x:v>
      </x:c>
      <x:c r="BT376" s="14" t="str">
        <x:v>Minority of episodes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tt11725900|nm1368781|susan snr</x:v>
      </x:c>
      <x:c r="B377" s="14" t="str">
        <x:v>03</x:v>
      </x:c>
      <x:c r="C377" s="14" t="str">
        <x:v>2022_IMDb_Cast_Lists_Batch_03(1).xlsx</x:v>
      </x:c>
      <x:c r="D377" s="14" t="str">
        <x:v>Karen Pirie</x:v>
      </x:c>
      <x:c r="E377" s="14" t="n">
        <x:v>49</x:v>
      </x:c>
      <x:c r="F377" s="14" t="str">
        <x:v>Karen Pirie</x:v>
      </x:c>
      <x:c r="G377" s="14" t="str">
        <x:v>tt11725900</x:v>
      </x:c>
      <x:c r="H377" s="14" t="n">
        <x:v>2022</x:v>
      </x:c>
      <x:c r="I377" s="14" t="n">
        <x:v>2023</x:v>
      </x:c>
      <x:c r="J377" s="14" t="str">
        <x:v>Future Carry-Forward Cohort</x:v>
      </x:c>
      <x:c r="K377" s="14" t="n">
        <x:v>2022</x:v>
      </x:c>
      <x:c r="L377" s="14" t="str">
        <x:v>Not inherited</x:v>
      </x:c>
      <x:c r="M377" s="15" t="n">
        <x:v>42</x:v>
      </x:c>
      <x:c r="N377" s="14" t="str">
        <x:v>Gillian Apter</x:v>
      </x:c>
      <x:c r="O377" s="14" t="str">
        <x:v>nm1368781</x:v>
      </x:c>
      <x:c r="P377" s="14" t="str">
        <x:v>Susan Snr</x:v>
      </x:c>
      <x:c r="Q377" s="15" t="n">
        <x:v>2</x:v>
      </x:c>
      <x:c r="R377" s="14" t="str">
        <x:v>2025</x:v>
      </x:c>
      <x:c r="S377" s="14" t="n">
        <x:v>2025</x:v>
      </x:c>
      <x:c r="T377" s="14" t="n">
        <x:v>2025</x:v>
      </x:c>
      <x:c r="U377" s="14" t="str">
        <x:v>Explicit source first year retained</x:v>
      </x:c>
      <x:c r="V377" s="14" t="str">
        <x:v>Earliest supplied year is 2025.</x:v>
      </x:c>
      <x:c r="W377" s="14"/>
      <x:c r="X377" s="14" t="str">
        <x:v>Carried forward to 2025</x:v>
      </x:c>
      <x:c r="Y377" s="14"/>
      <x:c r="Z377" s="14" t="str">
        <x:v>Karen Pirie.docx</x:v>
      </x:c>
      <x:c r="AA37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ITV / ITVX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HYPERLINK("https://en.wikipedia.org/wiki/Karen_Pirie","Open source")</x:f>
        <x:v>HYPERLINK is not implemented. linkLocation=https://en.wikipedia.org/wiki/Karen_Pirie, friendlyName=Open source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6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2</x:v>
      </x:c>
      <x:c r="BS377" s="16" t="n">
        <x:v>0.3333333333333333</x:v>
      </x:c>
      <x:c r="BT377" s="14" t="str">
        <x:v>Minority of episodes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tt11725900|nm9844932|wdc laurel blair</x:v>
      </x:c>
      <x:c r="B378" s="14" t="str">
        <x:v>03</x:v>
      </x:c>
      <x:c r="C378" s="14" t="str">
        <x:v>2022_IMDb_Cast_Lists_Batch_03(1).xlsx</x:v>
      </x:c>
      <x:c r="D378" s="14" t="str">
        <x:v>Karen Pirie</x:v>
      </x:c>
      <x:c r="E378" s="14" t="n">
        <x:v>50</x:v>
      </x:c>
      <x:c r="F378" s="14" t="str">
        <x:v>Karen Pirie</x:v>
      </x:c>
      <x:c r="G378" s="14" t="str">
        <x:v>tt11725900</x:v>
      </x:c>
      <x:c r="H378" s="14" t="n">
        <x:v>2022</x:v>
      </x:c>
      <x:c r="I378" s="14" t="n">
        <x:v>2023</x:v>
      </x:c>
      <x:c r="J378" s="14" t="str">
        <x:v>Future Carry-Forward Cohort</x:v>
      </x:c>
      <x:c r="K378" s="14" t="n">
        <x:v>2022</x:v>
      </x:c>
      <x:c r="L378" s="14" t="str">
        <x:v>Not inherited</x:v>
      </x:c>
      <x:c r="M378" s="15" t="n">
        <x:v>43</x:v>
      </x:c>
      <x:c r="N378" s="14" t="str">
        <x:v>Helen Katamba</x:v>
      </x:c>
      <x:c r="O378" s="14" t="str">
        <x:v>nm9844932</x:v>
      </x:c>
      <x:c r="P378" s="14" t="str">
        <x:v>WDC Laurel Blair</x:v>
      </x:c>
      <x:c r="Q378" s="15" t="n">
        <x:v>2</x:v>
      </x:c>
      <x:c r="R378" s="14" t="str">
        <x:v>2025</x:v>
      </x:c>
      <x:c r="S378" s="14" t="n">
        <x:v>2025</x:v>
      </x:c>
      <x:c r="T378" s="14" t="n">
        <x:v>2025</x:v>
      </x:c>
      <x:c r="U378" s="14" t="str">
        <x:v>Explicit source first year retained</x:v>
      </x:c>
      <x:c r="V378" s="14" t="str">
        <x:v>Earliest supplied year is 2025.</x:v>
      </x:c>
      <x:c r="W378" s="14"/>
      <x:c r="X378" s="14" t="str">
        <x:v>Carried forward to 2025</x:v>
      </x:c>
      <x:c r="Y378" s="14"/>
      <x:c r="Z378" s="14" t="str">
        <x:v>Karen Pirie.docx</x:v>
      </x:c>
      <x:c r="AA37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ITV / ITVX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HYPERLINK("https://en.wikipedia.org/wiki/Karen_Pirie","Open source")</x:f>
        <x:v>HYPERLINK is not implemented. linkLocation=https://en.wikipedia.org/wiki/Karen_Pirie,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6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2</x:v>
      </x:c>
      <x:c r="BS378" s="16" t="n">
        <x:v>0.3333333333333333</x:v>
      </x:c>
      <x:c r="BT378" s="14" t="str">
        <x:v>Minority of episodes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tt11725900|nm2405307|news presenter</x:v>
      </x:c>
      <x:c r="B379" s="14" t="str">
        <x:v>03</x:v>
      </x:c>
      <x:c r="C379" s="14" t="str">
        <x:v>2022_IMDb_Cast_Lists_Batch_03(1).xlsx</x:v>
      </x:c>
      <x:c r="D379" s="14" t="str">
        <x:v>Karen Pirie</x:v>
      </x:c>
      <x:c r="E379" s="14" t="n">
        <x:v>51</x:v>
      </x:c>
      <x:c r="F379" s="14" t="str">
        <x:v>Karen Pirie</x:v>
      </x:c>
      <x:c r="G379" s="14" t="str">
        <x:v>tt11725900</x:v>
      </x:c>
      <x:c r="H379" s="14" t="n">
        <x:v>2022</x:v>
      </x:c>
      <x:c r="I379" s="14" t="n">
        <x:v>2023</x:v>
      </x:c>
      <x:c r="J379" s="14" t="str">
        <x:v>Future Carry-Forward Cohort</x:v>
      </x:c>
      <x:c r="K379" s="14" t="n">
        <x:v>2022</x:v>
      </x:c>
      <x:c r="L379" s="14" t="str">
        <x:v>Not inherited</x:v>
      </x:c>
      <x:c r="M379" s="15" t="n">
        <x:v>44</x:v>
      </x:c>
      <x:c r="N379" s="14" t="str">
        <x:v>Emma Cameron</x:v>
      </x:c>
      <x:c r="O379" s="14" t="str">
        <x:v>nm2405307</x:v>
      </x:c>
      <x:c r="P379" s="14" t="str">
        <x:v>News Presenter</x:v>
      </x:c>
      <x:c r="Q379" s="15" t="n">
        <x:v>2</x:v>
      </x:c>
      <x:c r="R379" s="14" t="str">
        <x:v>2025</x:v>
      </x:c>
      <x:c r="S379" s="14" t="n">
        <x:v>2025</x:v>
      </x:c>
      <x:c r="T379" s="14" t="n">
        <x:v>2025</x:v>
      </x:c>
      <x:c r="U379" s="14" t="str">
        <x:v>Explicit source first year retained</x:v>
      </x:c>
      <x:c r="V379" s="14" t="str">
        <x:v>Earliest supplied year is 2025.</x:v>
      </x:c>
      <x:c r="W379" s="14"/>
      <x:c r="X379" s="14" t="str">
        <x:v>Carried forward to 2025</x:v>
      </x:c>
      <x:c r="Y379" s="14"/>
      <x:c r="Z379" s="14" t="str">
        <x:v>Karen Pirie.docx</x:v>
      </x:c>
      <x:c r="AA37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ITV / ITVX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HYPERLINK("https://en.wikipedia.org/wiki/Karen_Pirie","Open source")</x:f>
        <x:v>HYPERLINK is not implemented. linkLocation=https://en.wikipedia.org/wiki/Karen_Pirie,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6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2</x:v>
      </x:c>
      <x:c r="BS379" s="16" t="n">
        <x:v>0.3333333333333333</x:v>
      </x:c>
      <x:c r="BT379" s="14" t="str">
        <x:v>Minority of episodes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tt11725900|nm5030941|renata</x:v>
      </x:c>
      <x:c r="B380" s="14" t="str">
        <x:v>03</x:v>
      </x:c>
      <x:c r="C380" s="14" t="str">
        <x:v>2022_IMDb_Cast_Lists_Batch_03(1).xlsx</x:v>
      </x:c>
      <x:c r="D380" s="14" t="str">
        <x:v>Karen Pirie</x:v>
      </x:c>
      <x:c r="E380" s="14" t="n">
        <x:v>52</x:v>
      </x:c>
      <x:c r="F380" s="14" t="str">
        <x:v>Karen Pirie</x:v>
      </x:c>
      <x:c r="G380" s="14" t="str">
        <x:v>tt11725900</x:v>
      </x:c>
      <x:c r="H380" s="14" t="n">
        <x:v>2022</x:v>
      </x:c>
      <x:c r="I380" s="14" t="n">
        <x:v>2023</x:v>
      </x:c>
      <x:c r="J380" s="14" t="str">
        <x:v>Future Carry-Forward Cohort</x:v>
      </x:c>
      <x:c r="K380" s="14" t="n">
        <x:v>2022</x:v>
      </x:c>
      <x:c r="L380" s="14" t="str">
        <x:v>Not inherited</x:v>
      </x:c>
      <x:c r="M380" s="15" t="n">
        <x:v>45</x:v>
      </x:c>
      <x:c r="N380" s="14" t="str">
        <x:v>Carlotta Morelli</x:v>
      </x:c>
      <x:c r="O380" s="14" t="str">
        <x:v>nm5030941</x:v>
      </x:c>
      <x:c r="P380" s="14" t="str">
        <x:v>Renata</x:v>
      </x:c>
      <x:c r="Q380" s="15" t="n">
        <x:v>2</x:v>
      </x:c>
      <x:c r="R380" s="14" t="str">
        <x:v>2025</x:v>
      </x:c>
      <x:c r="S380" s="14" t="n">
        <x:v>2025</x:v>
      </x:c>
      <x:c r="T380" s="14" t="n">
        <x:v>2025</x:v>
      </x:c>
      <x:c r="U380" s="14" t="str">
        <x:v>Explicit source first year retained</x:v>
      </x:c>
      <x:c r="V380" s="14" t="str">
        <x:v>Earliest supplied year is 2025.</x:v>
      </x:c>
      <x:c r="W380" s="14"/>
      <x:c r="X380" s="14" t="str">
        <x:v>Carried forward to 2025</x:v>
      </x:c>
      <x:c r="Y380" s="14"/>
      <x:c r="Z380" s="14" t="str">
        <x:v>Karen Pirie.docx</x:v>
      </x:c>
      <x:c r="AA38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ITV / ITVX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HYPERLINK("https://en.wikipedia.org/wiki/Karen_Pirie","Open source")</x:f>
        <x:v>HYPERLINK is not implemented. linkLocation=https://en.wikipedia.org/wiki/Karen_Pirie,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6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2</x:v>
      </x:c>
      <x:c r="BS380" s="16" t="n">
        <x:v>0.3333333333333333</x:v>
      </x:c>
      <x:c r="BT380" s="14" t="str">
        <x:v>Minority of episodes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tt11725900|nm0214860|barbieri</x:v>
      </x:c>
      <x:c r="B381" s="14" t="str">
        <x:v>03</x:v>
      </x:c>
      <x:c r="C381" s="14" t="str">
        <x:v>2022_IMDb_Cast_Lists_Batch_03(1).xlsx</x:v>
      </x:c>
      <x:c r="D381" s="14" t="str">
        <x:v>Karen Pirie</x:v>
      </x:c>
      <x:c r="E381" s="14" t="n">
        <x:v>56</x:v>
      </x:c>
      <x:c r="F381" s="14" t="str">
        <x:v>Karen Pirie</x:v>
      </x:c>
      <x:c r="G381" s="14" t="str">
        <x:v>tt11725900</x:v>
      </x:c>
      <x:c r="H381" s="14" t="n">
        <x:v>2022</x:v>
      </x:c>
      <x:c r="I381" s="14" t="n">
        <x:v>2023</x:v>
      </x:c>
      <x:c r="J381" s="14" t="str">
        <x:v>Future Carry-Forward Cohort</x:v>
      </x:c>
      <x:c r="K381" s="14" t="n">
        <x:v>2022</x:v>
      </x:c>
      <x:c r="L381" s="14" t="str">
        <x:v>Not inherited</x:v>
      </x:c>
      <x:c r="M381" s="15" t="n">
        <x:v>49</x:v>
      </x:c>
      <x:c r="N381" s="14" t="str">
        <x:v>Raffaello Degruttola</x:v>
      </x:c>
      <x:c r="O381" s="14" t="str">
        <x:v>nm0214860</x:v>
      </x:c>
      <x:c r="P381" s="14" t="str">
        <x:v>Barbieri</x:v>
      </x:c>
      <x:c r="Q381" s="15" t="n">
        <x:v>2</x:v>
      </x:c>
      <x:c r="R381" s="14" t="str">
        <x:v>2025</x:v>
      </x:c>
      <x:c r="S381" s="14" t="n">
        <x:v>2025</x:v>
      </x:c>
      <x:c r="T381" s="14" t="n">
        <x:v>2025</x:v>
      </x:c>
      <x:c r="U381" s="14" t="str">
        <x:v>Explicit source first year retained</x:v>
      </x:c>
      <x:c r="V381" s="14" t="str">
        <x:v>Earliest supplied year is 2025.</x:v>
      </x:c>
      <x:c r="W381" s="14"/>
      <x:c r="X381" s="14" t="str">
        <x:v>Carried forward to 2025</x:v>
      </x:c>
      <x:c r="Y381" s="14"/>
      <x:c r="Z381" s="14" t="str">
        <x:v>Karen Pirie.docx</x:v>
      </x:c>
      <x:c r="AA38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ITV / ITVX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HYPERLINK("https://en.wikipedia.org/wiki/Karen_Pirie","Open source")</x:f>
        <x:v>HYPERLINK is not implemented. linkLocation=https://en.wikipedia.org/wiki/Karen_Pirie,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6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2</x:v>
      </x:c>
      <x:c r="BS381" s="16" t="n">
        <x:v>0.3333333333333333</x:v>
      </x:c>
      <x:c r="BT381" s="14" t="str">
        <x:v>Minority of episodes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tt11725900|nm0281424|mick prentice snr</x:v>
      </x:c>
      <x:c r="B382" s="14" t="str">
        <x:v>03</x:v>
      </x:c>
      <x:c r="C382" s="14" t="str">
        <x:v>2022_IMDb_Cast_Lists_Batch_03(1).xlsx</x:v>
      </x:c>
      <x:c r="D382" s="14" t="str">
        <x:v>Karen Pirie</x:v>
      </x:c>
      <x:c r="E382" s="14" t="n">
        <x:v>62</x:v>
      </x:c>
      <x:c r="F382" s="14" t="str">
        <x:v>Karen Pirie</x:v>
      </x:c>
      <x:c r="G382" s="14" t="str">
        <x:v>tt11725900</x:v>
      </x:c>
      <x:c r="H382" s="14" t="n">
        <x:v>2022</x:v>
      </x:c>
      <x:c r="I382" s="14" t="n">
        <x:v>2023</x:v>
      </x:c>
      <x:c r="J382" s="14" t="str">
        <x:v>Future Carry-Forward Cohort</x:v>
      </x:c>
      <x:c r="K382" s="14" t="n">
        <x:v>2022</x:v>
      </x:c>
      <x:c r="L382" s="14" t="str">
        <x:v>Not inherited</x:v>
      </x:c>
      <x:c r="M382" s="15" t="n">
        <x:v>55</x:v>
      </x:c>
      <x:c r="N382" s="14" t="str">
        <x:v>James Fleet</x:v>
      </x:c>
      <x:c r="O382" s="14" t="str">
        <x:v>nm0281424</x:v>
      </x:c>
      <x:c r="P382" s="14" t="str">
        <x:v>Mick Prentice Snr</x:v>
      </x:c>
      <x:c r="Q382" s="15" t="n">
        <x:v>1</x:v>
      </x:c>
      <x:c r="R382" s="14" t="str">
        <x:v>2025</x:v>
      </x:c>
      <x:c r="S382" s="14" t="n">
        <x:v>2025</x:v>
      </x:c>
      <x:c r="T382" s="14" t="n">
        <x:v>2025</x:v>
      </x:c>
      <x:c r="U382" s="14" t="str">
        <x:v>Explicit source first year retained</x:v>
      </x:c>
      <x:c r="V382" s="14" t="str">
        <x:v>Earliest supplied year is 2025.</x:v>
      </x:c>
      <x:c r="W382" s="14"/>
      <x:c r="X382" s="14" t="str">
        <x:v>Carried forward to 2025</x:v>
      </x:c>
      <x:c r="Y382" s="14"/>
      <x:c r="Z382" s="14" t="str">
        <x:v>Karen Pirie.docx</x:v>
      </x:c>
      <x:c r="AA38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ITV / ITVX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HYPERLINK("https://en.wikipedia.org/wiki/Karen_Pirie","Open source")</x:f>
        <x:v>HYPERLINK is not implemented. linkLocation=https://en.wikipedia.org/wiki/Karen_Pirie,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6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0.16666666666666666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tt11725900|nm12586008|tom robertson jnr</x:v>
      </x:c>
      <x:c r="B383" s="14" t="str">
        <x:v>03</x:v>
      </x:c>
      <x:c r="C383" s="14" t="str">
        <x:v>2022_IMDb_Cast_Lists_Batch_03(1).xlsx</x:v>
      </x:c>
      <x:c r="D383" s="14" t="str">
        <x:v>Karen Pirie</x:v>
      </x:c>
      <x:c r="E383" s="14" t="n">
        <x:v>66</x:v>
      </x:c>
      <x:c r="F383" s="14" t="str">
        <x:v>Karen Pirie</x:v>
      </x:c>
      <x:c r="G383" s="14" t="str">
        <x:v>tt11725900</x:v>
      </x:c>
      <x:c r="H383" s="14" t="n">
        <x:v>2022</x:v>
      </x:c>
      <x:c r="I383" s="14" t="n">
        <x:v>2023</x:v>
      </x:c>
      <x:c r="J383" s="14" t="str">
        <x:v>Future Carry-Forward Cohort</x:v>
      </x:c>
      <x:c r="K383" s="14" t="n">
        <x:v>2022</x:v>
      </x:c>
      <x:c r="L383" s="14" t="str">
        <x:v>Not inherited</x:v>
      </x:c>
      <x:c r="M383" s="15" t="n">
        <x:v>59</x:v>
      </x:c>
      <x:c r="N383" s="14" t="str">
        <x:v>Calum Maclean</x:v>
      </x:c>
      <x:c r="O383" s="14" t="str">
        <x:v>nm12586008</x:v>
      </x:c>
      <x:c r="P383" s="14" t="str">
        <x:v>Tom Robertson Jnr</x:v>
      </x:c>
      <x:c r="Q383" s="15" t="n">
        <x:v>1</x:v>
      </x:c>
      <x:c r="R383" s="14" t="str">
        <x:v>2025</x:v>
      </x:c>
      <x:c r="S383" s="14" t="n">
        <x:v>2025</x:v>
      </x:c>
      <x:c r="T383" s="14" t="n">
        <x:v>2025</x:v>
      </x:c>
      <x:c r="U383" s="14" t="str">
        <x:v>Explicit source first year retained</x:v>
      </x:c>
      <x:c r="V383" s="14" t="str">
        <x:v>Earliest supplied year is 2025.</x:v>
      </x:c>
      <x:c r="W383" s="14"/>
      <x:c r="X383" s="14" t="str">
        <x:v>Carried forward to 2025</x:v>
      </x:c>
      <x:c r="Y383" s="14"/>
      <x:c r="Z383" s="14" t="str">
        <x:v>Karen Pirie.docx</x:v>
      </x:c>
      <x:c r="AA38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ITV / ITVX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HYPERLINK("https://en.wikipedia.org/wiki/Karen_Pirie","Open source")</x:f>
        <x:v>HYPERLINK is not implemented. linkLocation=https://en.wikipedia.org/wiki/Karen_Pirie,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6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0.16666666666666666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tt11725900|nm11962202|susan jnr</x:v>
      </x:c>
      <x:c r="B384" s="14" t="str">
        <x:v>03</x:v>
      </x:c>
      <x:c r="C384" s="14" t="str">
        <x:v>2022_IMDb_Cast_Lists_Batch_03(1).xlsx</x:v>
      </x:c>
      <x:c r="D384" s="14" t="str">
        <x:v>Karen Pirie</x:v>
      </x:c>
      <x:c r="E384" s="14" t="n">
        <x:v>67</x:v>
      </x:c>
      <x:c r="F384" s="14" t="str">
        <x:v>Karen Pirie</x:v>
      </x:c>
      <x:c r="G384" s="14" t="str">
        <x:v>tt11725900</x:v>
      </x:c>
      <x:c r="H384" s="14" t="n">
        <x:v>2022</x:v>
      </x:c>
      <x:c r="I384" s="14" t="n">
        <x:v>2023</x:v>
      </x:c>
      <x:c r="J384" s="14" t="str">
        <x:v>Future Carry-Forward Cohort</x:v>
      </x:c>
      <x:c r="K384" s="14" t="n">
        <x:v>2022</x:v>
      </x:c>
      <x:c r="L384" s="14" t="str">
        <x:v>Not inherited</x:v>
      </x:c>
      <x:c r="M384" s="15" t="n">
        <x:v>60</x:v>
      </x:c>
      <x:c r="N384" s="14" t="str">
        <x:v>Ashleigh Trainer</x:v>
      </x:c>
      <x:c r="O384" s="14" t="str">
        <x:v>nm11962202</x:v>
      </x:c>
      <x:c r="P384" s="14" t="str">
        <x:v>Susan Jnr</x:v>
      </x:c>
      <x:c r="Q384" s="15" t="n">
        <x:v>1</x:v>
      </x:c>
      <x:c r="R384" s="14" t="str">
        <x:v>2025</x:v>
      </x:c>
      <x:c r="S384" s="14" t="n">
        <x:v>2025</x:v>
      </x:c>
      <x:c r="T384" s="14" t="n">
        <x:v>2025</x:v>
      </x:c>
      <x:c r="U384" s="14" t="str">
        <x:v>Explicit source first year retained</x:v>
      </x:c>
      <x:c r="V384" s="14" t="str">
        <x:v>Earliest supplied year is 2025.</x:v>
      </x:c>
      <x:c r="W384" s="14"/>
      <x:c r="X384" s="14" t="str">
        <x:v>Carried forward to 2025</x:v>
      </x:c>
      <x:c r="Y384" s="14"/>
      <x:c r="Z384" s="14" t="str">
        <x:v>Karen Pirie.docx</x:v>
      </x:c>
      <x:c r="AA38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ITV / ITVX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HYPERLINK("https://en.wikipedia.org/wiki/Karen_Pirie","Open source")</x:f>
        <x:v>HYPERLINK is not implemented. linkLocation=https://en.wikipedia.org/wiki/Karen_Pirie,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6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1</x:v>
      </x:c>
      <x:c r="BS384" s="16" t="n">
        <x:v>0.16666666666666666</x:v>
      </x:c>
      <x:c r="BT384" s="14" t="str">
        <x:v>One episode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tt11725900|nm0232733|jenny snr</x:v>
      </x:c>
      <x:c r="B385" s="14" t="str">
        <x:v>03</x:v>
      </x:c>
      <x:c r="C385" s="14" t="str">
        <x:v>2022_IMDb_Cast_Lists_Batch_03(1).xlsx</x:v>
      </x:c>
      <x:c r="D385" s="14" t="str">
        <x:v>Karen Pirie</x:v>
      </x:c>
      <x:c r="E385" s="14" t="n">
        <x:v>69</x:v>
      </x:c>
      <x:c r="F385" s="14" t="str">
        <x:v>Karen Pirie</x:v>
      </x:c>
      <x:c r="G385" s="14" t="str">
        <x:v>tt11725900</x:v>
      </x:c>
      <x:c r="H385" s="14" t="n">
        <x:v>2022</x:v>
      </x:c>
      <x:c r="I385" s="14" t="n">
        <x:v>2023</x:v>
      </x:c>
      <x:c r="J385" s="14" t="str">
        <x:v>Future Carry-Forward Cohort</x:v>
      </x:c>
      <x:c r="K385" s="14" t="n">
        <x:v>2022</x:v>
      </x:c>
      <x:c r="L385" s="14" t="str">
        <x:v>Not inherited</x:v>
      </x:c>
      <x:c r="M385" s="15" t="n">
        <x:v>62</x:v>
      </x:c>
      <x:c r="N385" s="14" t="str">
        <x:v>Kate Donnelly</x:v>
      </x:c>
      <x:c r="O385" s="14" t="str">
        <x:v>nm0232733</x:v>
      </x:c>
      <x:c r="P385" s="14" t="str">
        <x:v>Jenny Snr</x:v>
      </x:c>
      <x:c r="Q385" s="15" t="n">
        <x:v>1</x:v>
      </x:c>
      <x:c r="R385" s="14" t="str">
        <x:v>2025</x:v>
      </x:c>
      <x:c r="S385" s="14" t="n">
        <x:v>2025</x:v>
      </x:c>
      <x:c r="T385" s="14" t="n">
        <x:v>2025</x:v>
      </x:c>
      <x:c r="U385" s="14" t="str">
        <x:v>Explicit source first year retained</x:v>
      </x:c>
      <x:c r="V385" s="14" t="str">
        <x:v>Earliest supplied year is 2025.</x:v>
      </x:c>
      <x:c r="W385" s="14"/>
      <x:c r="X385" s="14" t="str">
        <x:v>Carried forward to 2025</x:v>
      </x:c>
      <x:c r="Y385" s="14"/>
      <x:c r="Z385" s="14" t="str">
        <x:v>Karen Pirie.docx</x:v>
      </x:c>
      <x:c r="AA38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ITV / ITVX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HYPERLINK("https://en.wikipedia.org/wiki/Karen_Pirie","Open source")</x:f>
        <x:v>HYPERLINK is not implemented. linkLocation=https://en.wikipedia.org/wiki/Karen_Pirie,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6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1</x:v>
      </x:c>
      <x:c r="BS385" s="16" t="n">
        <x:v>0.16666666666666666</x:v>
      </x:c>
      <x:c r="BT385" s="14" t="str">
        <x:v>One episode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tt11725900|nm1544249|taylor forbes</x:v>
      </x:c>
      <x:c r="B386" s="14" t="str">
        <x:v>03</x:v>
      </x:c>
      <x:c r="C386" s="14" t="str">
        <x:v>2022_IMDb_Cast_Lists_Batch_03(1).xlsx</x:v>
      </x:c>
      <x:c r="D386" s="14" t="str">
        <x:v>Karen Pirie</x:v>
      </x:c>
      <x:c r="E386" s="14" t="n">
        <x:v>70</x:v>
      </x:c>
      <x:c r="F386" s="14" t="str">
        <x:v>Karen Pirie</x:v>
      </x:c>
      <x:c r="G386" s="14" t="str">
        <x:v>tt11725900</x:v>
      </x:c>
      <x:c r="H386" s="14" t="n">
        <x:v>2022</x:v>
      </x:c>
      <x:c r="I386" s="14" t="n">
        <x:v>2023</x:v>
      </x:c>
      <x:c r="J386" s="14" t="str">
        <x:v>Future Carry-Forward Cohort</x:v>
      </x:c>
      <x:c r="K386" s="14" t="n">
        <x:v>2022</x:v>
      </x:c>
      <x:c r="L386" s="14" t="str">
        <x:v>Not inherited</x:v>
      </x:c>
      <x:c r="M386" s="15" t="n">
        <x:v>63</x:v>
      </x:c>
      <x:c r="N386" s="14" t="str">
        <x:v>Joanna Harte</x:v>
      </x:c>
      <x:c r="O386" s="14" t="str">
        <x:v>nm1544249</x:v>
      </x:c>
      <x:c r="P386" s="14" t="str">
        <x:v>Taylor Forbes</x:v>
      </x:c>
      <x:c r="Q386" s="15" t="n">
        <x:v>1</x:v>
      </x:c>
      <x:c r="R386" s="14" t="str">
        <x:v>2025</x:v>
      </x:c>
      <x:c r="S386" s="14" t="n">
        <x:v>2025</x:v>
      </x:c>
      <x:c r="T386" s="14" t="n">
        <x:v>2025</x:v>
      </x:c>
      <x:c r="U386" s="14" t="str">
        <x:v>Explicit source first year retained</x:v>
      </x:c>
      <x:c r="V386" s="14" t="str">
        <x:v>Earliest supplied year is 2025.</x:v>
      </x:c>
      <x:c r="W386" s="14"/>
      <x:c r="X386" s="14" t="str">
        <x:v>Carried forward to 2025</x:v>
      </x:c>
      <x:c r="Y386" s="14"/>
      <x:c r="Z386" s="14" t="str">
        <x:v>Karen Pirie.docx</x:v>
      </x:c>
      <x:c r="AA38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ITV / ITVX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HYPERLINK("https://en.wikipedia.org/wiki/Karen_Pirie","Open source")</x:f>
        <x:v>HYPERLINK is not implemented. linkLocation=https://en.wikipedia.org/wiki/Karen_Pirie,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6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0.16666666666666666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tt11725900|nm6996487|jenny jnr</x:v>
      </x:c>
      <x:c r="B387" s="14" t="str">
        <x:v>03</x:v>
      </x:c>
      <x:c r="C387" s="14" t="str">
        <x:v>2022_IMDb_Cast_Lists_Batch_03(1).xlsx</x:v>
      </x:c>
      <x:c r="D387" s="14" t="str">
        <x:v>Karen Pirie</x:v>
      </x:c>
      <x:c r="E387" s="14" t="n">
        <x:v>71</x:v>
      </x:c>
      <x:c r="F387" s="14" t="str">
        <x:v>Karen Pirie</x:v>
      </x:c>
      <x:c r="G387" s="14" t="str">
        <x:v>tt11725900</x:v>
      </x:c>
      <x:c r="H387" s="14" t="n">
        <x:v>2022</x:v>
      </x:c>
      <x:c r="I387" s="14" t="n">
        <x:v>2023</x:v>
      </x:c>
      <x:c r="J387" s="14" t="str">
        <x:v>Future Carry-Forward Cohort</x:v>
      </x:c>
      <x:c r="K387" s="14" t="n">
        <x:v>2022</x:v>
      </x:c>
      <x:c r="L387" s="14" t="str">
        <x:v>Not inherited</x:v>
      </x:c>
      <x:c r="M387" s="15" t="n">
        <x:v>64</x:v>
      </x:c>
      <x:c r="N387" s="14" t="str">
        <x:v>Rachel Dick</x:v>
      </x:c>
      <x:c r="O387" s="14" t="str">
        <x:v>nm6996487</x:v>
      </x:c>
      <x:c r="P387" s="14" t="str">
        <x:v>Jenny Jnr</x:v>
      </x:c>
      <x:c r="Q387" s="15" t="n">
        <x:v>1</x:v>
      </x:c>
      <x:c r="R387" s="14" t="str">
        <x:v>2025</x:v>
      </x:c>
      <x:c r="S387" s="14" t="n">
        <x:v>2025</x:v>
      </x:c>
      <x:c r="T387" s="14" t="n">
        <x:v>2025</x:v>
      </x:c>
      <x:c r="U387" s="14" t="str">
        <x:v>Explicit source first year retained</x:v>
      </x:c>
      <x:c r="V387" s="14" t="str">
        <x:v>Earliest supplied year is 2025.</x:v>
      </x:c>
      <x:c r="W387" s="14"/>
      <x:c r="X387" s="14" t="str">
        <x:v>Carried forward to 2025</x:v>
      </x:c>
      <x:c r="Y387" s="14"/>
      <x:c r="Z387" s="14" t="str">
        <x:v>Karen Pirie.docx</x:v>
      </x:c>
      <x:c r="AA38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ITV / ITVX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HYPERLINK("https://en.wikipedia.org/wiki/Karen_Pirie","Open source")</x:f>
        <x:v>HYPERLINK is not implemented. linkLocation=https://en.wikipedia.org/wiki/Karen_Pirie,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6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0.16666666666666666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tt11725900|nm0182588|tom robertson snr</x:v>
      </x:c>
      <x:c r="B388" s="14" t="str">
        <x:v>03</x:v>
      </x:c>
      <x:c r="C388" s="14" t="str">
        <x:v>2022_IMDb_Cast_Lists_Batch_03(1).xlsx</x:v>
      </x:c>
      <x:c r="D388" s="14" t="str">
        <x:v>Karen Pirie</x:v>
      </x:c>
      <x:c r="E388" s="14" t="n">
        <x:v>72</x:v>
      </x:c>
      <x:c r="F388" s="14" t="str">
        <x:v>Karen Pirie</x:v>
      </x:c>
      <x:c r="G388" s="14" t="str">
        <x:v>tt11725900</x:v>
      </x:c>
      <x:c r="H388" s="14" t="n">
        <x:v>2022</x:v>
      </x:c>
      <x:c r="I388" s="14" t="n">
        <x:v>2023</x:v>
      </x:c>
      <x:c r="J388" s="14" t="str">
        <x:v>Future Carry-Forward Cohort</x:v>
      </x:c>
      <x:c r="K388" s="14" t="n">
        <x:v>2022</x:v>
      </x:c>
      <x:c r="L388" s="14" t="str">
        <x:v>Not inherited</x:v>
      </x:c>
      <x:c r="M388" s="15" t="n">
        <x:v>65</x:v>
      </x:c>
      <x:c r="N388" s="14" t="str">
        <x:v>Matt Costello</x:v>
      </x:c>
      <x:c r="O388" s="14" t="str">
        <x:v>nm0182588</x:v>
      </x:c>
      <x:c r="P388" s="14" t="str">
        <x:v>Tom Robertson Snr</x:v>
      </x:c>
      <x:c r="Q388" s="15" t="n">
        <x:v>1</x:v>
      </x:c>
      <x:c r="R388" s="14" t="str">
        <x:v>2025</x:v>
      </x:c>
      <x:c r="S388" s="14" t="n">
        <x:v>2025</x:v>
      </x:c>
      <x:c r="T388" s="14" t="n">
        <x:v>2025</x:v>
      </x:c>
      <x:c r="U388" s="14" t="str">
        <x:v>Explicit source first year retained</x:v>
      </x:c>
      <x:c r="V388" s="14" t="str">
        <x:v>Earliest supplied year is 2025.</x:v>
      </x:c>
      <x:c r="W388" s="14"/>
      <x:c r="X388" s="14" t="str">
        <x:v>Carried forward to 2025</x:v>
      </x:c>
      <x:c r="Y388" s="14"/>
      <x:c r="Z388" s="14" t="str">
        <x:v>Karen Pirie.docx</x:v>
      </x:c>
      <x:c r="AA38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ITV / ITVX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HYPERLINK("https://en.wikipedia.org/wiki/Karen_Pirie","Open source")</x:f>
        <x:v>HYPERLINK is not implemented. linkLocation=https://en.wikipedia.org/wiki/Karen_Pirie,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6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0.16666666666666666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tt11725900|nm0543429|andy kerr snr / matthias johnson</x:v>
      </x:c>
      <x:c r="B389" s="14" t="str">
        <x:v>03</x:v>
      </x:c>
      <x:c r="C389" s="14" t="str">
        <x:v>2022_IMDb_Cast_Lists_Batch_03(1).xlsx</x:v>
      </x:c>
      <x:c r="D389" s="14" t="str">
        <x:v>Karen Pirie</x:v>
      </x:c>
      <x:c r="E389" s="14" t="n">
        <x:v>73</x:v>
      </x:c>
      <x:c r="F389" s="14" t="str">
        <x:v>Karen Pirie</x:v>
      </x:c>
      <x:c r="G389" s="14" t="str">
        <x:v>tt11725900</x:v>
      </x:c>
      <x:c r="H389" s="14" t="n">
        <x:v>2022</x:v>
      </x:c>
      <x:c r="I389" s="14" t="n">
        <x:v>2023</x:v>
      </x:c>
      <x:c r="J389" s="14" t="str">
        <x:v>Future Carry-Forward Cohort</x:v>
      </x:c>
      <x:c r="K389" s="14" t="n">
        <x:v>2022</x:v>
      </x:c>
      <x:c r="L389" s="14" t="str">
        <x:v>Not inherited</x:v>
      </x:c>
      <x:c r="M389" s="15" t="n">
        <x:v>66</x:v>
      </x:c>
      <x:c r="N389" s="14" t="str">
        <x:v>Tom Mannion</x:v>
      </x:c>
      <x:c r="O389" s="14" t="str">
        <x:v>nm0543429</x:v>
      </x:c>
      <x:c r="P389" s="14" t="str">
        <x:v>Andy Kerr Snr / Matthias Johnson</x:v>
      </x:c>
      <x:c r="Q389" s="15" t="n">
        <x:v>1</x:v>
      </x:c>
      <x:c r="R389" s="14" t="str">
        <x:v>2025</x:v>
      </x:c>
      <x:c r="S389" s="14" t="n">
        <x:v>2025</x:v>
      </x:c>
      <x:c r="T389" s="14" t="n">
        <x:v>2025</x:v>
      </x:c>
      <x:c r="U389" s="14" t="str">
        <x:v>Explicit source first year retained</x:v>
      </x:c>
      <x:c r="V389" s="14" t="str">
        <x:v>Earliest supplied year is 2025.</x:v>
      </x:c>
      <x:c r="W389" s="14"/>
      <x:c r="X389" s="14" t="str">
        <x:v>Carried forward to 2025</x:v>
      </x:c>
      <x:c r="Y389" s="14"/>
      <x:c r="Z389" s="14" t="str">
        <x:v>Karen Pirie.docx</x:v>
      </x:c>
      <x:c r="AA38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ITV / ITVX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HYPERLINK("https://en.wikipedia.org/wiki/Karen_Pirie","Open source")</x:f>
        <x:v>HYPERLINK is not implemented. linkLocation=https://en.wikipedia.org/wiki/Karen_Pirie,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6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0.16666666666666666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tt11725900|nm9318242|toby inglis</x:v>
      </x:c>
      <x:c r="B390" s="14" t="str">
        <x:v>03</x:v>
      </x:c>
      <x:c r="C390" s="14" t="str">
        <x:v>2022_IMDb_Cast_Lists_Batch_03(1).xlsx</x:v>
      </x:c>
      <x:c r="D390" s="14" t="str">
        <x:v>Karen Pirie</x:v>
      </x:c>
      <x:c r="E390" s="14" t="n">
        <x:v>75</x:v>
      </x:c>
      <x:c r="F390" s="14" t="str">
        <x:v>Karen Pirie</x:v>
      </x:c>
      <x:c r="G390" s="14" t="str">
        <x:v>tt11725900</x:v>
      </x:c>
      <x:c r="H390" s="14" t="n">
        <x:v>2022</x:v>
      </x:c>
      <x:c r="I390" s="14" t="n">
        <x:v>2023</x:v>
      </x:c>
      <x:c r="J390" s="14" t="str">
        <x:v>Future Carry-Forward Cohort</x:v>
      </x:c>
      <x:c r="K390" s="14" t="n">
        <x:v>2022</x:v>
      </x:c>
      <x:c r="L390" s="14" t="str">
        <x:v>Not inherited</x:v>
      </x:c>
      <x:c r="M390" s="15" t="n">
        <x:v>68</x:v>
      </x:c>
      <x:c r="N390" s="14" t="str">
        <x:v>Adam Young</x:v>
      </x:c>
      <x:c r="O390" s="14" t="str">
        <x:v>nm9318242</x:v>
      </x:c>
      <x:c r="P390" s="14" t="str">
        <x:v>Toby Inglis</x:v>
      </x:c>
      <x:c r="Q390" s="15" t="n">
        <x:v>1</x:v>
      </x:c>
      <x:c r="R390" s="14" t="str">
        <x:v>2025</x:v>
      </x:c>
      <x:c r="S390" s="14" t="n">
        <x:v>2025</x:v>
      </x:c>
      <x:c r="T390" s="14" t="n">
        <x:v>2025</x:v>
      </x:c>
      <x:c r="U390" s="14" t="str">
        <x:v>Explicit source first year retained</x:v>
      </x:c>
      <x:c r="V390" s="14" t="str">
        <x:v>Earliest supplied year is 2025.</x:v>
      </x:c>
      <x:c r="W390" s="14"/>
      <x:c r="X390" s="14" t="str">
        <x:v>Carried forward to 2025</x:v>
      </x:c>
      <x:c r="Y390" s="14"/>
      <x:c r="Z390" s="14" t="str">
        <x:v>Karen Pirie.docx</x:v>
      </x:c>
      <x:c r="AA39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ITV / ITVX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HYPERLINK("https://en.wikipedia.org/wiki/Karen_Pirie","Open source")</x:f>
        <x:v>HYPERLINK is not implemented. linkLocation=https://en.wikipedia.org/wiki/Karen_Pirie,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6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0.16666666666666666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tt11725900|nm5560243|luca</x:v>
      </x:c>
      <x:c r="B391" s="14" t="str">
        <x:v>03</x:v>
      </x:c>
      <x:c r="C391" s="14" t="str">
        <x:v>2022_IMDb_Cast_Lists_Batch_03(1).xlsx</x:v>
      </x:c>
      <x:c r="D391" s="14" t="str">
        <x:v>Karen Pirie</x:v>
      </x:c>
      <x:c r="E391" s="14" t="n">
        <x:v>76</x:v>
      </x:c>
      <x:c r="F391" s="14" t="str">
        <x:v>Karen Pirie</x:v>
      </x:c>
      <x:c r="G391" s="14" t="str">
        <x:v>tt11725900</x:v>
      </x:c>
      <x:c r="H391" s="14" t="n">
        <x:v>2022</x:v>
      </x:c>
      <x:c r="I391" s="14" t="n">
        <x:v>2023</x:v>
      </x:c>
      <x:c r="J391" s="14" t="str">
        <x:v>Future Carry-Forward Cohort</x:v>
      </x:c>
      <x:c r="K391" s="14" t="n">
        <x:v>2022</x:v>
      </x:c>
      <x:c r="L391" s="14" t="str">
        <x:v>Not inherited</x:v>
      </x:c>
      <x:c r="M391" s="15" t="n">
        <x:v>69</x:v>
      </x:c>
      <x:c r="N391" s="14" t="str">
        <x:v>Jordan Mifsud</x:v>
      </x:c>
      <x:c r="O391" s="14" t="str">
        <x:v>nm5560243</x:v>
      </x:c>
      <x:c r="P391" s="14" t="str">
        <x:v>Luca</x:v>
      </x:c>
      <x:c r="Q391" s="15" t="n">
        <x:v>1</x:v>
      </x:c>
      <x:c r="R391" s="14" t="str">
        <x:v>2025</x:v>
      </x:c>
      <x:c r="S391" s="14" t="n">
        <x:v>2025</x:v>
      </x:c>
      <x:c r="T391" s="14" t="n">
        <x:v>2025</x:v>
      </x:c>
      <x:c r="U391" s="14" t="str">
        <x:v>Explicit source first year retained</x:v>
      </x:c>
      <x:c r="V391" s="14" t="str">
        <x:v>Earliest supplied year is 2025.</x:v>
      </x:c>
      <x:c r="W391" s="14"/>
      <x:c r="X391" s="14" t="str">
        <x:v>Carried forward to 2025</x:v>
      </x:c>
      <x:c r="Y391" s="14" t="str">
        <x:v>(as Jordan Mifsúd)</x:v>
      </x:c>
      <x:c r="Z391" s="14" t="str">
        <x:v>Karen Pirie.docx</x:v>
      </x:c>
      <x:c r="AA39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ITV / ITVX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HYPERLINK("https://en.wikipedia.org/wiki/Karen_Pirie","Open source")</x:f>
        <x:v>HYPERLINK is not implemented. linkLocation=https://en.wikipedia.org/wiki/Karen_Pirie,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6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0.16666666666666666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tt11725900|nm1173273|jonas weber</x:v>
      </x:c>
      <x:c r="B392" s="14" t="str">
        <x:v>03</x:v>
      </x:c>
      <x:c r="C392" s="14" t="str">
        <x:v>2022_IMDb_Cast_Lists_Batch_03(1).xlsx</x:v>
      </x:c>
      <x:c r="D392" s="14" t="str">
        <x:v>Karen Pirie</x:v>
      </x:c>
      <x:c r="E392" s="14" t="n">
        <x:v>77</x:v>
      </x:c>
      <x:c r="F392" s="14" t="str">
        <x:v>Karen Pirie</x:v>
      </x:c>
      <x:c r="G392" s="14" t="str">
        <x:v>tt11725900</x:v>
      </x:c>
      <x:c r="H392" s="14" t="n">
        <x:v>2022</x:v>
      </x:c>
      <x:c r="I392" s="14" t="n">
        <x:v>2023</x:v>
      </x:c>
      <x:c r="J392" s="14" t="str">
        <x:v>Future Carry-Forward Cohort</x:v>
      </x:c>
      <x:c r="K392" s="14" t="n">
        <x:v>2022</x:v>
      </x:c>
      <x:c r="L392" s="14" t="str">
        <x:v>Not inherited</x:v>
      </x:c>
      <x:c r="M392" s="15" t="n">
        <x:v>70</x:v>
      </x:c>
      <x:c r="N392" s="14" t="str">
        <x:v>Axel B. Steinmueller</x:v>
      </x:c>
      <x:c r="O392" s="14" t="str">
        <x:v>nm1173273</x:v>
      </x:c>
      <x:c r="P392" s="14" t="str">
        <x:v>Jonas Weber</x:v>
      </x:c>
      <x:c r="Q392" s="15" t="n">
        <x:v>1</x:v>
      </x:c>
      <x:c r="R392" s="14" t="str">
        <x:v>2025</x:v>
      </x:c>
      <x:c r="S392" s="14" t="n">
        <x:v>2025</x:v>
      </x:c>
      <x:c r="T392" s="14" t="n">
        <x:v>2025</x:v>
      </x:c>
      <x:c r="U392" s="14" t="str">
        <x:v>Explicit source first year retained</x:v>
      </x:c>
      <x:c r="V392" s="14" t="str">
        <x:v>Earliest supplied year is 2025.</x:v>
      </x:c>
      <x:c r="W392" s="14"/>
      <x:c r="X392" s="14" t="str">
        <x:v>Carried forward to 2025</x:v>
      </x:c>
      <x:c r="Y392" s="14" t="str">
        <x:v>(as Axel Steinmüller)</x:v>
      </x:c>
      <x:c r="Z392" s="14" t="str">
        <x:v>Karen Pirie.docx</x:v>
      </x:c>
      <x:c r="AA39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ITV / ITVX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HYPERLINK("https://en.wikipedia.org/wiki/Karen_Pirie","Open source")</x:f>
        <x:v>HYPERLINK is not implemented. linkLocation=https://en.wikipedia.org/wiki/Karen_Pirie,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6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0.16666666666666666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tt11725900|nm6359236|bonnie snr</x:v>
      </x:c>
      <x:c r="B393" s="14" t="str">
        <x:v>03</x:v>
      </x:c>
      <x:c r="C393" s="14" t="str">
        <x:v>2022_IMDb_Cast_Lists_Batch_03(1).xlsx</x:v>
      </x:c>
      <x:c r="D393" s="14" t="str">
        <x:v>Karen Pirie</x:v>
      </x:c>
      <x:c r="E393" s="14" t="n">
        <x:v>78</x:v>
      </x:c>
      <x:c r="F393" s="14" t="str">
        <x:v>Karen Pirie</x:v>
      </x:c>
      <x:c r="G393" s="14" t="str">
        <x:v>tt11725900</x:v>
      </x:c>
      <x:c r="H393" s="14" t="n">
        <x:v>2022</x:v>
      </x:c>
      <x:c r="I393" s="14" t="n">
        <x:v>2023</x:v>
      </x:c>
      <x:c r="J393" s="14" t="str">
        <x:v>Future Carry-Forward Cohort</x:v>
      </x:c>
      <x:c r="K393" s="14" t="n">
        <x:v>2022</x:v>
      </x:c>
      <x:c r="L393" s="14" t="str">
        <x:v>Not inherited</x:v>
      </x:c>
      <x:c r="M393" s="15" t="n">
        <x:v>71</x:v>
      </x:c>
      <x:c r="N393" s="14" t="str">
        <x:v>Seylan Baxter</x:v>
      </x:c>
      <x:c r="O393" s="14" t="str">
        <x:v>nm6359236</x:v>
      </x:c>
      <x:c r="P393" s="14" t="str">
        <x:v>Bonnie Snr</x:v>
      </x:c>
      <x:c r="Q393" s="15" t="n">
        <x:v>1</x:v>
      </x:c>
      <x:c r="R393" s="14" t="str">
        <x:v>2025</x:v>
      </x:c>
      <x:c r="S393" s="14" t="n">
        <x:v>2025</x:v>
      </x:c>
      <x:c r="T393" s="14" t="n">
        <x:v>2025</x:v>
      </x:c>
      <x:c r="U393" s="14" t="str">
        <x:v>Explicit source first year retained</x:v>
      </x:c>
      <x:c r="V393" s="14" t="str">
        <x:v>Earliest supplied year is 2025.</x:v>
      </x:c>
      <x:c r="W393" s="14"/>
      <x:c r="X393" s="14" t="str">
        <x:v>Carried forward to 2025</x:v>
      </x:c>
      <x:c r="Y393" s="14"/>
      <x:c r="Z393" s="14" t="str">
        <x:v>Karen Pirie.docx</x:v>
      </x:c>
      <x:c r="AA39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ITV / ITVX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HYPERLINK("https://en.wikipedia.org/wiki/Karen_Pirie","Open source")</x:f>
        <x:v>HYPERLINK is not implemented. linkLocation=https://en.wikipedia.org/wiki/Karen_Pirie,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6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0.16666666666666666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tt11725900|nm6758611|detective spiteri</x:v>
      </x:c>
      <x:c r="B394" s="14" t="str">
        <x:v>03</x:v>
      </x:c>
      <x:c r="C394" s="14" t="str">
        <x:v>2022_IMDb_Cast_Lists_Batch_03(1).xlsx</x:v>
      </x:c>
      <x:c r="D394" s="14" t="str">
        <x:v>Karen Pirie</x:v>
      </x:c>
      <x:c r="E394" s="14" t="n">
        <x:v>79</x:v>
      </x:c>
      <x:c r="F394" s="14" t="str">
        <x:v>Karen Pirie</x:v>
      </x:c>
      <x:c r="G394" s="14" t="str">
        <x:v>tt11725900</x:v>
      </x:c>
      <x:c r="H394" s="14" t="n">
        <x:v>2022</x:v>
      </x:c>
      <x:c r="I394" s="14" t="n">
        <x:v>2023</x:v>
      </x:c>
      <x:c r="J394" s="14" t="str">
        <x:v>Future Carry-Forward Cohort</x:v>
      </x:c>
      <x:c r="K394" s="14" t="n">
        <x:v>2022</x:v>
      </x:c>
      <x:c r="L394" s="14" t="str">
        <x:v>Not inherited</x:v>
      </x:c>
      <x:c r="M394" s="15" t="n">
        <x:v>72</x:v>
      </x:c>
      <x:c r="N394" s="14" t="str">
        <x:v>Edward De Gaetano</x:v>
      </x:c>
      <x:c r="O394" s="14" t="str">
        <x:v>nm6758611</x:v>
      </x:c>
      <x:c r="P394" s="14" t="str">
        <x:v>Detective Spiteri</x:v>
      </x:c>
      <x:c r="Q394" s="15" t="n">
        <x:v>1</x:v>
      </x:c>
      <x:c r="R394" s="14" t="str">
        <x:v>2025</x:v>
      </x:c>
      <x:c r="S394" s="14" t="n">
        <x:v>2025</x:v>
      </x:c>
      <x:c r="T394" s="14" t="n">
        <x:v>2025</x:v>
      </x:c>
      <x:c r="U394" s="14" t="str">
        <x:v>Explicit source first year retained</x:v>
      </x:c>
      <x:c r="V394" s="14" t="str">
        <x:v>Earliest supplied year is 2025.</x:v>
      </x:c>
      <x:c r="W394" s="14"/>
      <x:c r="X394" s="14" t="str">
        <x:v>Carried forward to 2025</x:v>
      </x:c>
      <x:c r="Y394" s="14"/>
      <x:c r="Z394" s="14" t="str">
        <x:v>Karen Pirie.docx</x:v>
      </x:c>
      <x:c r="AA39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ITV / ITVX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HYPERLINK("https://en.wikipedia.org/wiki/Karen_Pirie","Open source")</x:f>
        <x:v>HYPERLINK is not implemented. linkLocation=https://en.wikipedia.org/wiki/Karen_Pirie,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6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0.16666666666666666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tt11725900|nm2942983|detective camilleri</x:v>
      </x:c>
      <x:c r="B395" s="14" t="str">
        <x:v>03</x:v>
      </x:c>
      <x:c r="C395" s="14" t="str">
        <x:v>2022_IMDb_Cast_Lists_Batch_03(1).xlsx</x:v>
      </x:c>
      <x:c r="D395" s="14" t="str">
        <x:v>Karen Pirie</x:v>
      </x:c>
      <x:c r="E395" s="14" t="n">
        <x:v>80</x:v>
      </x:c>
      <x:c r="F395" s="14" t="str">
        <x:v>Karen Pirie</x:v>
      </x:c>
      <x:c r="G395" s="14" t="str">
        <x:v>tt11725900</x:v>
      </x:c>
      <x:c r="H395" s="14" t="n">
        <x:v>2022</x:v>
      </x:c>
      <x:c r="I395" s="14" t="n">
        <x:v>2023</x:v>
      </x:c>
      <x:c r="J395" s="14" t="str">
        <x:v>Future Carry-Forward Cohort</x:v>
      </x:c>
      <x:c r="K395" s="14" t="n">
        <x:v>2022</x:v>
      </x:c>
      <x:c r="L395" s="14" t="str">
        <x:v>Not inherited</x:v>
      </x:c>
      <x:c r="M395" s="15" t="n">
        <x:v>73</x:v>
      </x:c>
      <x:c r="N395" s="14" t="str">
        <x:v>Sarah Naudi</x:v>
      </x:c>
      <x:c r="O395" s="14" t="str">
        <x:v>nm2942983</x:v>
      </x:c>
      <x:c r="P395" s="14" t="str">
        <x:v>Detective Camilleri</x:v>
      </x:c>
      <x:c r="Q395" s="15" t="n">
        <x:v>1</x:v>
      </x:c>
      <x:c r="R395" s="14" t="str">
        <x:v>2025</x:v>
      </x:c>
      <x:c r="S395" s="14" t="n">
        <x:v>2025</x:v>
      </x:c>
      <x:c r="T395" s="14" t="n">
        <x:v>2025</x:v>
      </x:c>
      <x:c r="U395" s="14" t="str">
        <x:v>Explicit source first year retained</x:v>
      </x:c>
      <x:c r="V395" s="14" t="str">
        <x:v>Earliest supplied year is 2025.</x:v>
      </x:c>
      <x:c r="W395" s="14"/>
      <x:c r="X395" s="14" t="str">
        <x:v>Carried forward to 2025</x:v>
      </x:c>
      <x:c r="Y395" s="14"/>
      <x:c r="Z395" s="14" t="str">
        <x:v>Karen Pirie.docx</x:v>
      </x:c>
      <x:c r="AA39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ITV / ITVX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HYPERLINK("https://en.wikipedia.org/wiki/Karen_Pirie","Open source")</x:f>
        <x:v>HYPERLINK is not implemented. linkLocation=https://en.wikipedia.org/wiki/Karen_Pirie,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6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0.16666666666666666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tt11725900|nm1830400|angie barclay snr</x:v>
      </x:c>
      <x:c r="B396" s="14" t="str">
        <x:v>03</x:v>
      </x:c>
      <x:c r="C396" s="14" t="str">
        <x:v>2022_IMDb_Cast_Lists_Batch_03(1).xlsx</x:v>
      </x:c>
      <x:c r="D396" s="14" t="str">
        <x:v>Karen Pirie</x:v>
      </x:c>
      <x:c r="E396" s="14" t="n">
        <x:v>82</x:v>
      </x:c>
      <x:c r="F396" s="14" t="str">
        <x:v>Karen Pirie</x:v>
      </x:c>
      <x:c r="G396" s="14" t="str">
        <x:v>tt11725900</x:v>
      </x:c>
      <x:c r="H396" s="14" t="n">
        <x:v>2022</x:v>
      </x:c>
      <x:c r="I396" s="14" t="n">
        <x:v>2023</x:v>
      </x:c>
      <x:c r="J396" s="14" t="str">
        <x:v>Future Carry-Forward Cohort</x:v>
      </x:c>
      <x:c r="K396" s="14" t="n">
        <x:v>2022</x:v>
      </x:c>
      <x:c r="L396" s="14" t="str">
        <x:v>Not inherited</x:v>
      </x:c>
      <x:c r="M396" s="15" t="n">
        <x:v>75</x:v>
      </x:c>
      <x:c r="N396" s="14" t="str">
        <x:v>Beth Marshall</x:v>
      </x:c>
      <x:c r="O396" s="14" t="str">
        <x:v>nm1830400</x:v>
      </x:c>
      <x:c r="P396" s="14" t="str">
        <x:v>Angie Barclay Snr</x:v>
      </x:c>
      <x:c r="Q396" s="15" t="n">
        <x:v>1</x:v>
      </x:c>
      <x:c r="R396" s="14" t="str">
        <x:v>2025</x:v>
      </x:c>
      <x:c r="S396" s="14" t="n">
        <x:v>2025</x:v>
      </x:c>
      <x:c r="T396" s="14" t="n">
        <x:v>2025</x:v>
      </x:c>
      <x:c r="U396" s="14" t="str">
        <x:v>Explicit source first year retained</x:v>
      </x:c>
      <x:c r="V396" s="14" t="str">
        <x:v>Earliest supplied year is 2025.</x:v>
      </x:c>
      <x:c r="W396" s="14"/>
      <x:c r="X396" s="14" t="str">
        <x:v>Carried forward to 2025</x:v>
      </x:c>
      <x:c r="Y396" s="14"/>
      <x:c r="Z396" s="14" t="str">
        <x:v>Karen Pirie.docx</x:v>
      </x:c>
      <x:c r="AA39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ITV / ITVX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HYPERLINK("https://en.wikipedia.org/wiki/Karen_Pirie","Open source")</x:f>
        <x:v>HYPERLINK is not implemented. linkLocation=https://en.wikipedia.org/wiki/Karen_Pirie,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6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0.16666666666666666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tt11725900|nm0878489|dcs calder</x:v>
      </x:c>
      <x:c r="B397" s="14" t="str">
        <x:v>03</x:v>
      </x:c>
      <x:c r="C397" s="14" t="str">
        <x:v>2022_IMDb_Cast_Lists_Batch_03(1).xlsx</x:v>
      </x:c>
      <x:c r="D397" s="14" t="str">
        <x:v>Karen Pirie</x:v>
      </x:c>
      <x:c r="E397" s="14" t="n">
        <x:v>83</x:v>
      </x:c>
      <x:c r="F397" s="14" t="str">
        <x:v>Karen Pirie</x:v>
      </x:c>
      <x:c r="G397" s="14" t="str">
        <x:v>tt11725900</x:v>
      </x:c>
      <x:c r="H397" s="14" t="n">
        <x:v>2022</x:v>
      </x:c>
      <x:c r="I397" s="14" t="n">
        <x:v>2023</x:v>
      </x:c>
      <x:c r="J397" s="14" t="str">
        <x:v>Future Carry-Forward Cohort</x:v>
      </x:c>
      <x:c r="K397" s="14" t="n">
        <x:v>2022</x:v>
      </x:c>
      <x:c r="L397" s="14" t="str">
        <x:v>Not inherited</x:v>
      </x:c>
      <x:c r="M397" s="15" t="n">
        <x:v>76</x:v>
      </x:c>
      <x:c r="N397" s="14" t="str">
        <x:v>Jim Twaddale</x:v>
      </x:c>
      <x:c r="O397" s="14" t="str">
        <x:v>nm0878489</x:v>
      </x:c>
      <x:c r="P397" s="14" t="str">
        <x:v>DCS Calder</x:v>
      </x:c>
      <x:c r="Q397" s="15" t="n">
        <x:v>1</x:v>
      </x:c>
      <x:c r="R397" s="14" t="str">
        <x:v>2025</x:v>
      </x:c>
      <x:c r="S397" s="14" t="n">
        <x:v>2025</x:v>
      </x:c>
      <x:c r="T397" s="14" t="n">
        <x:v>2025</x:v>
      </x:c>
      <x:c r="U397" s="14" t="str">
        <x:v>Explicit source first year retained</x:v>
      </x:c>
      <x:c r="V397" s="14" t="str">
        <x:v>Earliest supplied year is 2025.</x:v>
      </x:c>
      <x:c r="W397" s="14"/>
      <x:c r="X397" s="14" t="str">
        <x:v>Carried forward to 2025</x:v>
      </x:c>
      <x:c r="Y397" s="14"/>
      <x:c r="Z397" s="14" t="str">
        <x:v>Karen Pirie.docx</x:v>
      </x:c>
      <x:c r="AA39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ITV / ITVX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HYPERLINK("https://en.wikipedia.org/wiki/Karen_Pirie","Open source")</x:f>
        <x:v>HYPERLINK is not implemented. linkLocation=https://en.wikipedia.org/wiki/Karen_Pirie,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6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0.16666666666666666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tt11725900|nm0139796|bridget early</x:v>
      </x:c>
      <x:c r="B398" s="14" t="str">
        <x:v>03</x:v>
      </x:c>
      <x:c r="C398" s="14" t="str">
        <x:v>2022_IMDb_Cast_Lists_Batch_03(1).xlsx</x:v>
      </x:c>
      <x:c r="D398" s="14" t="str">
        <x:v>Karen Pirie</x:v>
      </x:c>
      <x:c r="E398" s="14" t="n">
        <x:v>84</x:v>
      </x:c>
      <x:c r="F398" s="14" t="str">
        <x:v>Karen Pirie</x:v>
      </x:c>
      <x:c r="G398" s="14" t="str">
        <x:v>tt11725900</x:v>
      </x:c>
      <x:c r="H398" s="14" t="n">
        <x:v>2022</x:v>
      </x:c>
      <x:c r="I398" s="14" t="n">
        <x:v>2023</x:v>
      </x:c>
      <x:c r="J398" s="14" t="str">
        <x:v>Future Carry-Forward Cohort</x:v>
      </x:c>
      <x:c r="K398" s="14" t="n">
        <x:v>2022</x:v>
      </x:c>
      <x:c r="L398" s="14" t="str">
        <x:v>Not inherited</x:v>
      </x:c>
      <x:c r="M398" s="15" t="n">
        <x:v>77</x:v>
      </x:c>
      <x:c r="N398" s="14" t="str">
        <x:v>Maureen Carr</x:v>
      </x:c>
      <x:c r="O398" s="14" t="str">
        <x:v>nm0139796</x:v>
      </x:c>
      <x:c r="P398" s="14" t="str">
        <x:v>Bridget Early</x:v>
      </x:c>
      <x:c r="Q398" s="15" t="n">
        <x:v>1</x:v>
      </x:c>
      <x:c r="R398" s="14" t="str">
        <x:v>2025</x:v>
      </x:c>
      <x:c r="S398" s="14" t="n">
        <x:v>2025</x:v>
      </x:c>
      <x:c r="T398" s="14" t="n">
        <x:v>2025</x:v>
      </x:c>
      <x:c r="U398" s="14" t="str">
        <x:v>Explicit source first year retained</x:v>
      </x:c>
      <x:c r="V398" s="14" t="str">
        <x:v>Earliest supplied year is 2025.</x:v>
      </x:c>
      <x:c r="W398" s="14"/>
      <x:c r="X398" s="14" t="str">
        <x:v>Carried forward to 2025</x:v>
      </x:c>
      <x:c r="Y398" s="14"/>
      <x:c r="Z398" s="14" t="str">
        <x:v>Karen Pirie.docx</x:v>
      </x:c>
      <x:c r="AA39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ITV / ITVX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HYPERLINK("https://en.wikipedia.org/wiki/Karen_Pirie","Open source")</x:f>
        <x:v>HYPERLINK is not implemented. linkLocation=https://en.wikipedia.org/wiki/Karen_Pirie,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6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0.16666666666666666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tt11725900|nm3040811|alessandro</x:v>
      </x:c>
      <x:c r="B399" s="14" t="str">
        <x:v>03</x:v>
      </x:c>
      <x:c r="C399" s="14" t="str">
        <x:v>2022_IMDb_Cast_Lists_Batch_03(1).xlsx</x:v>
      </x:c>
      <x:c r="D399" s="14" t="str">
        <x:v>Karen Pirie</x:v>
      </x:c>
      <x:c r="E399" s="14" t="n">
        <x:v>85</x:v>
      </x:c>
      <x:c r="F399" s="14" t="str">
        <x:v>Karen Pirie</x:v>
      </x:c>
      <x:c r="G399" s="14" t="str">
        <x:v>tt11725900</x:v>
      </x:c>
      <x:c r="H399" s="14" t="n">
        <x:v>2022</x:v>
      </x:c>
      <x:c r="I399" s="14" t="n">
        <x:v>2023</x:v>
      </x:c>
      <x:c r="J399" s="14" t="str">
        <x:v>Future Carry-Forward Cohort</x:v>
      </x:c>
      <x:c r="K399" s="14" t="n">
        <x:v>2022</x:v>
      </x:c>
      <x:c r="L399" s="14" t="str">
        <x:v>Not inherited</x:v>
      </x:c>
      <x:c r="M399" s="15" t="n">
        <x:v>78</x:v>
      </x:c>
      <x:c r="N399" s="14" t="str">
        <x:v>Andrei Claude</x:v>
      </x:c>
      <x:c r="O399" s="14" t="str">
        <x:v>nm3040811</x:v>
      </x:c>
      <x:c r="P399" s="14" t="str">
        <x:v>Alessandro</x:v>
      </x:c>
      <x:c r="Q399" s="15" t="n">
        <x:v>1</x:v>
      </x:c>
      <x:c r="R399" s="14" t="str">
        <x:v>2025</x:v>
      </x:c>
      <x:c r="S399" s="14" t="n">
        <x:v>2025</x:v>
      </x:c>
      <x:c r="T399" s="14" t="n">
        <x:v>2025</x:v>
      </x:c>
      <x:c r="U399" s="14" t="str">
        <x:v>Explicit source first year retained</x:v>
      </x:c>
      <x:c r="V399" s="14" t="str">
        <x:v>Earliest supplied year is 2025.</x:v>
      </x:c>
      <x:c r="W399" s="14"/>
      <x:c r="X399" s="14" t="str">
        <x:v>Carried forward to 2025</x:v>
      </x:c>
      <x:c r="Y399" s="14"/>
      <x:c r="Z399" s="14" t="str">
        <x:v>Karen Pirie.docx</x:v>
      </x:c>
      <x:c r="AA39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ITV / ITVX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HYPERLINK("https://en.wikipedia.org/wiki/Karen_Pirie","Open source")</x:f>
        <x:v>HYPERLINK is not implemented. linkLocation=https://en.wikipedia.org/wiki/Karen_Pirie,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6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0.16666666666666666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tt11725900|nm8557251|fiona campbell</x:v>
      </x:c>
      <x:c r="B400" s="14" t="str">
        <x:v>03</x:v>
      </x:c>
      <x:c r="C400" s="14" t="str">
        <x:v>2022_IMDb_Cast_Lists_Batch_03(1).xlsx</x:v>
      </x:c>
      <x:c r="D400" s="14" t="str">
        <x:v>Karen Pirie</x:v>
      </x:c>
      <x:c r="E400" s="14" t="n">
        <x:v>86</x:v>
      </x:c>
      <x:c r="F400" s="14" t="str">
        <x:v>Karen Pirie</x:v>
      </x:c>
      <x:c r="G400" s="14" t="str">
        <x:v>tt11725900</x:v>
      </x:c>
      <x:c r="H400" s="14" t="n">
        <x:v>2022</x:v>
      </x:c>
      <x:c r="I400" s="14" t="n">
        <x:v>2023</x:v>
      </x:c>
      <x:c r="J400" s="14" t="str">
        <x:v>Future Carry-Forward Cohort</x:v>
      </x:c>
      <x:c r="K400" s="14" t="n">
        <x:v>2022</x:v>
      </x:c>
      <x:c r="L400" s="14" t="str">
        <x:v>Not inherited</x:v>
      </x:c>
      <x:c r="M400" s="15" t="n">
        <x:v>79</x:v>
      </x:c>
      <x:c r="N400" s="14" t="str">
        <x:v>Wendy Seager</x:v>
      </x:c>
      <x:c r="O400" s="14" t="str">
        <x:v>nm8557251</x:v>
      </x:c>
      <x:c r="P400" s="14" t="str">
        <x:v>Fiona Campbell</x:v>
      </x:c>
      <x:c r="Q400" s="15" t="n">
        <x:v>1</x:v>
      </x:c>
      <x:c r="R400" s="14" t="str">
        <x:v>2025</x:v>
      </x:c>
      <x:c r="S400" s="14" t="n">
        <x:v>2025</x:v>
      </x:c>
      <x:c r="T400" s="14" t="n">
        <x:v>2025</x:v>
      </x:c>
      <x:c r="U400" s="14" t="str">
        <x:v>Explicit source first year retained</x:v>
      </x:c>
      <x:c r="V400" s="14" t="str">
        <x:v>Earliest supplied year is 2025.</x:v>
      </x:c>
      <x:c r="W400" s="14"/>
      <x:c r="X400" s="14" t="str">
        <x:v>Carried forward to 2025</x:v>
      </x:c>
      <x:c r="Y400" s="14"/>
      <x:c r="Z400" s="14" t="str">
        <x:v>Karen Pirie.docx</x:v>
      </x:c>
      <x:c r="AA40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ITV / ITVX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HYPERLINK("https://en.wikipedia.org/wiki/Karen_Pirie","Open source")</x:f>
        <x:v>HYPERLINK is not implemented. linkLocation=https://en.wikipedia.org/wiki/Karen_Pirie,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6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0.16666666666666666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tt11725900|nm2959043|airfield security guard</x:v>
      </x:c>
      <x:c r="B401" s="14" t="str">
        <x:v>03</x:v>
      </x:c>
      <x:c r="C401" s="14" t="str">
        <x:v>2022_IMDb_Cast_Lists_Batch_03(1).xlsx</x:v>
      </x:c>
      <x:c r="D401" s="14" t="str">
        <x:v>Karen Pirie</x:v>
      </x:c>
      <x:c r="E401" s="14" t="n">
        <x:v>87</x:v>
      </x:c>
      <x:c r="F401" s="14" t="str">
        <x:v>Karen Pirie</x:v>
      </x:c>
      <x:c r="G401" s="14" t="str">
        <x:v>tt11725900</x:v>
      </x:c>
      <x:c r="H401" s="14" t="n">
        <x:v>2022</x:v>
      </x:c>
      <x:c r="I401" s="14" t="n">
        <x:v>2023</x:v>
      </x:c>
      <x:c r="J401" s="14" t="str">
        <x:v>Future Carry-Forward Cohort</x:v>
      </x:c>
      <x:c r="K401" s="14" t="n">
        <x:v>2022</x:v>
      </x:c>
      <x:c r="L401" s="14" t="str">
        <x:v>Not inherited</x:v>
      </x:c>
      <x:c r="M401" s="15" t="n">
        <x:v>80</x:v>
      </x:c>
      <x:c r="N401" s="14" t="str">
        <x:v>Dom Watters</x:v>
      </x:c>
      <x:c r="O401" s="14" t="str">
        <x:v>nm2959043</x:v>
      </x:c>
      <x:c r="P401" s="14" t="str">
        <x:v>Airfield Security Guard</x:v>
      </x:c>
      <x:c r="Q401" s="15" t="n">
        <x:v>1</x:v>
      </x:c>
      <x:c r="R401" s="14" t="str">
        <x:v>2025</x:v>
      </x:c>
      <x:c r="S401" s="14" t="n">
        <x:v>2025</x:v>
      </x:c>
      <x:c r="T401" s="14" t="n">
        <x:v>2025</x:v>
      </x:c>
      <x:c r="U401" s="14" t="str">
        <x:v>Explicit source first year retained</x:v>
      </x:c>
      <x:c r="V401" s="14" t="str">
        <x:v>Earliest supplied year is 2025.</x:v>
      </x:c>
      <x:c r="W401" s="14"/>
      <x:c r="X401" s="14" t="str">
        <x:v>Carried forward to 2025</x:v>
      </x:c>
      <x:c r="Y401" s="14" t="str">
        <x:v>(as Dominic Watters)</x:v>
      </x:c>
      <x:c r="Z401" s="14" t="str">
        <x:v>Karen Pirie.docx</x:v>
      </x:c>
      <x:c r="AA40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ITV / ITVX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HYPERLINK("https://en.wikipedia.org/wiki/Karen_Pirie","Open source")</x:f>
        <x:v>HYPERLINK is not implemented. linkLocation=https://en.wikipedia.org/wiki/Karen_Pirie,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6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0.16666666666666666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tt11725900|nm2176245|neville atkins</x:v>
      </x:c>
      <x:c r="B402" s="14" t="str">
        <x:v>03</x:v>
      </x:c>
      <x:c r="C402" s="14" t="str">
        <x:v>2022_IMDb_Cast_Lists_Batch_03(1).xlsx</x:v>
      </x:c>
      <x:c r="D402" s="14" t="str">
        <x:v>Karen Pirie</x:v>
      </x:c>
      <x:c r="E402" s="14" t="n">
        <x:v>88</x:v>
      </x:c>
      <x:c r="F402" s="14" t="str">
        <x:v>Karen Pirie</x:v>
      </x:c>
      <x:c r="G402" s="14" t="str">
        <x:v>tt11725900</x:v>
      </x:c>
      <x:c r="H402" s="14" t="n">
        <x:v>2022</x:v>
      </x:c>
      <x:c r="I402" s="14" t="n">
        <x:v>2023</x:v>
      </x:c>
      <x:c r="J402" s="14" t="str">
        <x:v>Future Carry-Forward Cohort</x:v>
      </x:c>
      <x:c r="K402" s="14" t="n">
        <x:v>2022</x:v>
      </x:c>
      <x:c r="L402" s="14" t="str">
        <x:v>Not inherited</x:v>
      </x:c>
      <x:c r="M402" s="15" t="n">
        <x:v>81</x:v>
      </x:c>
      <x:c r="N402" s="14" t="str">
        <x:v>Tony Cownie</x:v>
      </x:c>
      <x:c r="O402" s="14" t="str">
        <x:v>nm2176245</x:v>
      </x:c>
      <x:c r="P402" s="14" t="str">
        <x:v>Neville Atkins</x:v>
      </x:c>
      <x:c r="Q402" s="15" t="n">
        <x:v>1</x:v>
      </x:c>
      <x:c r="R402" s="14" t="str">
        <x:v>2025</x:v>
      </x:c>
      <x:c r="S402" s="14" t="n">
        <x:v>2025</x:v>
      </x:c>
      <x:c r="T402" s="14" t="n">
        <x:v>2025</x:v>
      </x:c>
      <x:c r="U402" s="14" t="str">
        <x:v>Explicit source first year retained</x:v>
      </x:c>
      <x:c r="V402" s="14" t="str">
        <x:v>Earliest supplied year is 2025.</x:v>
      </x:c>
      <x:c r="W402" s="14"/>
      <x:c r="X402" s="14" t="str">
        <x:v>Carried forward to 2025</x:v>
      </x:c>
      <x:c r="Y402" s="14"/>
      <x:c r="Z402" s="14" t="str">
        <x:v>Karen Pirie.docx</x:v>
      </x:c>
      <x:c r="AA40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ITV / ITVX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HYPERLINK("https://en.wikipedia.org/wiki/Karen_Pirie","Open source")</x:f>
        <x:v>HYPERLINK is not implemented. linkLocation=https://en.wikipedia.org/wiki/Karen_Pirie,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6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0.16666666666666666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tt11725900|nm0692301|ryan campbell</x:v>
      </x:c>
      <x:c r="B403" s="14" t="str">
        <x:v>03</x:v>
      </x:c>
      <x:c r="C403" s="14" t="str">
        <x:v>2022_IMDb_Cast_Lists_Batch_03(1).xlsx</x:v>
      </x:c>
      <x:c r="D403" s="14" t="str">
        <x:v>Karen Pirie</x:v>
      </x:c>
      <x:c r="E403" s="14" t="n">
        <x:v>89</x:v>
      </x:c>
      <x:c r="F403" s="14" t="str">
        <x:v>Karen Pirie</x:v>
      </x:c>
      <x:c r="G403" s="14" t="str">
        <x:v>tt11725900</x:v>
      </x:c>
      <x:c r="H403" s="14" t="n">
        <x:v>2022</x:v>
      </x:c>
      <x:c r="I403" s="14" t="n">
        <x:v>2023</x:v>
      </x:c>
      <x:c r="J403" s="14" t="str">
        <x:v>Future Carry-Forward Cohort</x:v>
      </x:c>
      <x:c r="K403" s="14" t="n">
        <x:v>2022</x:v>
      </x:c>
      <x:c r="L403" s="14" t="str">
        <x:v>Not inherited</x:v>
      </x:c>
      <x:c r="M403" s="15" t="n">
        <x:v>82</x:v>
      </x:c>
      <x:c r="N403" s="14" t="str">
        <x:v>Stewart Porter</x:v>
      </x:c>
      <x:c r="O403" s="14" t="str">
        <x:v>nm0692301</x:v>
      </x:c>
      <x:c r="P403" s="14" t="str">
        <x:v>Ryan Campbell</x:v>
      </x:c>
      <x:c r="Q403" s="15" t="n">
        <x:v>1</x:v>
      </x:c>
      <x:c r="R403" s="14" t="str">
        <x:v>2025</x:v>
      </x:c>
      <x:c r="S403" s="14" t="n">
        <x:v>2025</x:v>
      </x:c>
      <x:c r="T403" s="14" t="n">
        <x:v>2025</x:v>
      </x:c>
      <x:c r="U403" s="14" t="str">
        <x:v>Explicit source first year retained</x:v>
      </x:c>
      <x:c r="V403" s="14" t="str">
        <x:v>Earliest supplied year is 2025.</x:v>
      </x:c>
      <x:c r="W403" s="14"/>
      <x:c r="X403" s="14" t="str">
        <x:v>Carried forward to 2025</x:v>
      </x:c>
      <x:c r="Y403" s="14"/>
      <x:c r="Z403" s="14" t="str">
        <x:v>Karen Pirie.docx</x:v>
      </x:c>
      <x:c r="AA40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ITV / ITVX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HYPERLINK("https://en.wikipedia.org/wiki/Karen_Pirie","Open source")</x:f>
        <x:v>HYPERLINK is not implemented. linkLocation=https://en.wikipedia.org/wiki/Karen_Pirie,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6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0.16666666666666666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tt11725900|nm5049659|cameron murdoch</x:v>
      </x:c>
      <x:c r="B404" s="14" t="str">
        <x:v>03</x:v>
      </x:c>
      <x:c r="C404" s="14" t="str">
        <x:v>2022_IMDb_Cast_Lists_Batch_03(1).xlsx</x:v>
      </x:c>
      <x:c r="D404" s="14" t="str">
        <x:v>Karen Pirie</x:v>
      </x:c>
      <x:c r="E404" s="14" t="n">
        <x:v>90</x:v>
      </x:c>
      <x:c r="F404" s="14" t="str">
        <x:v>Karen Pirie</x:v>
      </x:c>
      <x:c r="G404" s="14" t="str">
        <x:v>tt11725900</x:v>
      </x:c>
      <x:c r="H404" s="14" t="n">
        <x:v>2022</x:v>
      </x:c>
      <x:c r="I404" s="14" t="n">
        <x:v>2023</x:v>
      </x:c>
      <x:c r="J404" s="14" t="str">
        <x:v>Future Carry-Forward Cohort</x:v>
      </x:c>
      <x:c r="K404" s="14" t="n">
        <x:v>2022</x:v>
      </x:c>
      <x:c r="L404" s="14" t="str">
        <x:v>Not inherited</x:v>
      </x:c>
      <x:c r="M404" s="15" t="n">
        <x:v>83</x:v>
      </x:c>
      <x:c r="N404" s="14" t="str">
        <x:v>Cameron Fulton</x:v>
      </x:c>
      <x:c r="O404" s="14" t="str">
        <x:v>nm5049659</x:v>
      </x:c>
      <x:c r="P404" s="14" t="str">
        <x:v>Cameron Murdoch</x:v>
      </x:c>
      <x:c r="Q404" s="15" t="n">
        <x:v>1</x:v>
      </x:c>
      <x:c r="R404" s="14" t="str">
        <x:v>2025</x:v>
      </x:c>
      <x:c r="S404" s="14" t="n">
        <x:v>2025</x:v>
      </x:c>
      <x:c r="T404" s="14" t="n">
        <x:v>2025</x:v>
      </x:c>
      <x:c r="U404" s="14" t="str">
        <x:v>Explicit source first year retained</x:v>
      </x:c>
      <x:c r="V404" s="14" t="str">
        <x:v>Earliest supplied year is 2025.</x:v>
      </x:c>
      <x:c r="W404" s="14"/>
      <x:c r="X404" s="14" t="str">
        <x:v>Carried forward to 2025</x:v>
      </x:c>
      <x:c r="Y404" s="14"/>
      <x:c r="Z404" s="14" t="str">
        <x:v>Karen Pirie.docx</x:v>
      </x:c>
      <x:c r="AA40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ITV / ITVX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HYPERLINK("https://en.wikipedia.org/wiki/Karen_Pirie","Open source")</x:f>
        <x:v>HYPERLINK is not implemented. linkLocation=https://en.wikipedia.org/wiki/Karen_Pirie,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6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0.16666666666666666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tt11725900|nm16434203|angus</x:v>
      </x:c>
      <x:c r="B405" s="14" t="str">
        <x:v>03</x:v>
      </x:c>
      <x:c r="C405" s="14" t="str">
        <x:v>2022_IMDb_Cast_Lists_Batch_03(1).xlsx</x:v>
      </x:c>
      <x:c r="D405" s="14" t="str">
        <x:v>Karen Pirie</x:v>
      </x:c>
      <x:c r="E405" s="14" t="n">
        <x:v>100</x:v>
      </x:c>
      <x:c r="F405" s="14" t="str">
        <x:v>Karen Pirie</x:v>
      </x:c>
      <x:c r="G405" s="14" t="str">
        <x:v>tt11725900</x:v>
      </x:c>
      <x:c r="H405" s="14" t="n">
        <x:v>2022</x:v>
      </x:c>
      <x:c r="I405" s="14" t="n">
        <x:v>2023</x:v>
      </x:c>
      <x:c r="J405" s="14" t="str">
        <x:v>Future Carry-Forward Cohort</x:v>
      </x:c>
      <x:c r="K405" s="14" t="n">
        <x:v>2022</x:v>
      </x:c>
      <x:c r="L405" s="14" t="str">
        <x:v>Not inherited</x:v>
      </x:c>
      <x:c r="M405" s="15" t="n">
        <x:v>93</x:v>
      </x:c>
      <x:c r="N405" s="14" t="str">
        <x:v>William Alexander</x:v>
      </x:c>
      <x:c r="O405" s="14" t="str">
        <x:v>nm16434203</x:v>
      </x:c>
      <x:c r="P405" s="14" t="str">
        <x:v>Angus</x:v>
      </x:c>
      <x:c r="Q405" s="15" t="n">
        <x:v>1</x:v>
      </x:c>
      <x:c r="R405" s="14" t="str">
        <x:v>2025</x:v>
      </x:c>
      <x:c r="S405" s="14" t="n">
        <x:v>2025</x:v>
      </x:c>
      <x:c r="T405" s="14" t="n">
        <x:v>2025</x:v>
      </x:c>
      <x:c r="U405" s="14" t="str">
        <x:v>Explicit source first year retained</x:v>
      </x:c>
      <x:c r="V405" s="14" t="str">
        <x:v>Earliest supplied year is 2025.</x:v>
      </x:c>
      <x:c r="W405" s="14"/>
      <x:c r="X405" s="14" t="str">
        <x:v>Carried forward to 2025</x:v>
      </x:c>
      <x:c r="Y405" s="14"/>
      <x:c r="Z405" s="14" t="str">
        <x:v>Karen Pirie.docx</x:v>
      </x:c>
      <x:c r="AA40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ITV / ITVX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HYPERLINK("https://en.wikipedia.org/wiki/Karen_Pirie","Open source")</x:f>
        <x:v>HYPERLINK is not implemented. linkLocation=https://en.wikipedia.org/wiki/Karen_Pirie,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6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0.16666666666666666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tt11725900|nm17688830|adam grant</x:v>
      </x:c>
      <x:c r="B406" s="14" t="str">
        <x:v>03</x:v>
      </x:c>
      <x:c r="C406" s="14" t="str">
        <x:v>2022_IMDb_Cast_Lists_Batch_03(1).xlsx</x:v>
      </x:c>
      <x:c r="D406" s="14" t="str">
        <x:v>Karen Pirie</x:v>
      </x:c>
      <x:c r="E406" s="14" t="n">
        <x:v>101</x:v>
      </x:c>
      <x:c r="F406" s="14" t="str">
        <x:v>Karen Pirie</x:v>
      </x:c>
      <x:c r="G406" s="14" t="str">
        <x:v>tt11725900</x:v>
      </x:c>
      <x:c r="H406" s="14" t="n">
        <x:v>2022</x:v>
      </x:c>
      <x:c r="I406" s="14" t="n">
        <x:v>2023</x:v>
      </x:c>
      <x:c r="J406" s="14" t="str">
        <x:v>Future Carry-Forward Cohort</x:v>
      </x:c>
      <x:c r="K406" s="14" t="n">
        <x:v>2022</x:v>
      </x:c>
      <x:c r="L406" s="14" t="str">
        <x:v>Not inherited</x:v>
      </x:c>
      <x:c r="M406" s="15" t="n">
        <x:v>94</x:v>
      </x:c>
      <x:c r="N406" s="14" t="str">
        <x:v>Alex Gilmour</x:v>
      </x:c>
      <x:c r="O406" s="14" t="str">
        <x:v>nm17688830</x:v>
      </x:c>
      <x:c r="P406" s="14" t="str">
        <x:v>Adam Grant</x:v>
      </x:c>
      <x:c r="Q406" s="15" t="n">
        <x:v>1</x:v>
      </x:c>
      <x:c r="R406" s="14" t="str">
        <x:v>2025</x:v>
      </x:c>
      <x:c r="S406" s="14" t="n">
        <x:v>2025</x:v>
      </x:c>
      <x:c r="T406" s="14" t="n">
        <x:v>2025</x:v>
      </x:c>
      <x:c r="U406" s="14" t="str">
        <x:v>Explicit source first year retained</x:v>
      </x:c>
      <x:c r="V406" s="14" t="str">
        <x:v>Earliest supplied year is 2025.</x:v>
      </x:c>
      <x:c r="W406" s="14"/>
      <x:c r="X406" s="14" t="str">
        <x:v>Carried forward to 2025</x:v>
      </x:c>
      <x:c r="Y406" s="14"/>
      <x:c r="Z406" s="14" t="str">
        <x:v>Karen Pirie.docx</x:v>
      </x:c>
      <x:c r="AA40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ITV / ITVX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HYPERLINK("https://en.wikipedia.org/wiki/Karen_Pirie","Open source")</x:f>
        <x:v>HYPERLINK is not implemented. linkLocation=https://en.wikipedia.org/wiki/Karen_Pirie,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6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0.16666666666666666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tt11725900|nm17688829|adam grant</x:v>
      </x:c>
      <x:c r="B407" s="14" t="str">
        <x:v>03</x:v>
      </x:c>
      <x:c r="C407" s="14" t="str">
        <x:v>2022_IMDb_Cast_Lists_Batch_03(1).xlsx</x:v>
      </x:c>
      <x:c r="D407" s="14" t="str">
        <x:v>Karen Pirie</x:v>
      </x:c>
      <x:c r="E407" s="14" t="n">
        <x:v>102</x:v>
      </x:c>
      <x:c r="F407" s="14" t="str">
        <x:v>Karen Pirie</x:v>
      </x:c>
      <x:c r="G407" s="14" t="str">
        <x:v>tt11725900</x:v>
      </x:c>
      <x:c r="H407" s="14" t="n">
        <x:v>2022</x:v>
      </x:c>
      <x:c r="I407" s="14" t="n">
        <x:v>2023</x:v>
      </x:c>
      <x:c r="J407" s="14" t="str">
        <x:v>Future Carry-Forward Cohort</x:v>
      </x:c>
      <x:c r="K407" s="14" t="n">
        <x:v>2022</x:v>
      </x:c>
      <x:c r="L407" s="14" t="str">
        <x:v>Not inherited</x:v>
      </x:c>
      <x:c r="M407" s="15" t="n">
        <x:v>95</x:v>
      </x:c>
      <x:c r="N407" s="14" t="str">
        <x:v>Andrew Gilmour</x:v>
      </x:c>
      <x:c r="O407" s="14" t="str">
        <x:v>nm17688829</x:v>
      </x:c>
      <x:c r="P407" s="14" t="str">
        <x:v>Adam Grant</x:v>
      </x:c>
      <x:c r="Q407" s="15" t="n">
        <x:v>1</x:v>
      </x:c>
      <x:c r="R407" s="14" t="str">
        <x:v>2025</x:v>
      </x:c>
      <x:c r="S407" s="14" t="n">
        <x:v>2025</x:v>
      </x:c>
      <x:c r="T407" s="14" t="n">
        <x:v>2025</x:v>
      </x:c>
      <x:c r="U407" s="14" t="str">
        <x:v>Explicit source first year retained</x:v>
      </x:c>
      <x:c r="V407" s="14" t="str">
        <x:v>Earliest supplied year is 2025.</x:v>
      </x:c>
      <x:c r="W407" s="14"/>
      <x:c r="X407" s="14" t="str">
        <x:v>Carried forward to 2025</x:v>
      </x:c>
      <x:c r="Y407" s="14"/>
      <x:c r="Z407" s="14" t="str">
        <x:v>Karen Pirie.docx</x:v>
      </x:c>
      <x:c r="AA40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ITV / ITVX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HYPERLINK("https://en.wikipedia.org/wiki/Karen_Pirie","Open source")</x:f>
        <x:v>HYPERLINK is not implemented. linkLocation=https://en.wikipedia.org/wiki/Karen_Pirie,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No established-register match</x:v>
      </x:c>
      <x:c r="AT407" s="14"/>
      <x:c r="AU407" s="14"/>
      <x:c r="AV407" s="14" t="str">
        <x:v>No established apparent-disability match</x:v>
      </x:c>
      <x:c r="AW407" s="14"/>
      <x:c r="AX407" s="14" t="str">
        <x:v>No</x:v>
      </x:c>
      <x:c r="AY407" s="14" t="str">
        <x:v>Unmatched</x:v>
      </x:c>
      <x:c r="AZ407" s="14" t="str">
        <x:v>Final supplied register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6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0.16666666666666666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tt11725900|nm17688853|angus</x:v>
      </x:c>
      <x:c r="B408" s="14" t="str">
        <x:v>03</x:v>
      </x:c>
      <x:c r="C408" s="14" t="str">
        <x:v>2022_IMDb_Cast_Lists_Batch_03(1).xlsx</x:v>
      </x:c>
      <x:c r="D408" s="14" t="str">
        <x:v>Karen Pirie</x:v>
      </x:c>
      <x:c r="E408" s="14" t="n">
        <x:v>103</x:v>
      </x:c>
      <x:c r="F408" s="14" t="str">
        <x:v>Karen Pirie</x:v>
      </x:c>
      <x:c r="G408" s="14" t="str">
        <x:v>tt11725900</x:v>
      </x:c>
      <x:c r="H408" s="14" t="n">
        <x:v>2022</x:v>
      </x:c>
      <x:c r="I408" s="14" t="n">
        <x:v>2023</x:v>
      </x:c>
      <x:c r="J408" s="14" t="str">
        <x:v>Future Carry-Forward Cohort</x:v>
      </x:c>
      <x:c r="K408" s="14" t="n">
        <x:v>2022</x:v>
      </x:c>
      <x:c r="L408" s="14" t="str">
        <x:v>Not inherited</x:v>
      </x:c>
      <x:c r="M408" s="15" t="n">
        <x:v>96</x:v>
      </x:c>
      <x:c r="N408" s="14" t="str">
        <x:v>William Alexander</x:v>
      </x:c>
      <x:c r="O408" s="14" t="str">
        <x:v>nm17688853</x:v>
      </x:c>
      <x:c r="P408" s="14" t="str">
        <x:v>Angus</x:v>
      </x:c>
      <x:c r="Q408" s="15" t="n">
        <x:v>1</x:v>
      </x:c>
      <x:c r="R408" s="14" t="str">
        <x:v>2025</x:v>
      </x:c>
      <x:c r="S408" s="14" t="n">
        <x:v>2025</x:v>
      </x:c>
      <x:c r="T408" s="14" t="n">
        <x:v>2025</x:v>
      </x:c>
      <x:c r="U408" s="14" t="str">
        <x:v>Explicit source first year retained</x:v>
      </x:c>
      <x:c r="V408" s="14" t="str">
        <x:v>Earliest supplied year is 2025.</x:v>
      </x:c>
      <x:c r="W408" s="14"/>
      <x:c r="X408" s="14" t="str">
        <x:v>Carried forward to 2025</x:v>
      </x:c>
      <x:c r="Y408" s="14"/>
      <x:c r="Z408" s="14" t="str">
        <x:v>Karen Pirie.docx</x:v>
      </x:c>
      <x:c r="AA40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ITV / ITVX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HYPERLINK("https://en.wikipedia.org/wiki/Karen_Pirie","Open source")</x:f>
        <x:v>HYPERLINK is not implemented. linkLocation=https://en.wikipedia.org/wiki/Karen_Pirie,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6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0.16666666666666666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tt11725900|nm17688854|girl in queue</x:v>
      </x:c>
      <x:c r="B409" s="14" t="str">
        <x:v>03</x:v>
      </x:c>
      <x:c r="C409" s="14" t="str">
        <x:v>2022_IMDb_Cast_Lists_Batch_03(1).xlsx</x:v>
      </x:c>
      <x:c r="D409" s="14" t="str">
        <x:v>Karen Pirie</x:v>
      </x:c>
      <x:c r="E409" s="14" t="n">
        <x:v>104</x:v>
      </x:c>
      <x:c r="F409" s="14" t="str">
        <x:v>Karen Pirie</x:v>
      </x:c>
      <x:c r="G409" s="14" t="str">
        <x:v>tt11725900</x:v>
      </x:c>
      <x:c r="H409" s="14" t="n">
        <x:v>2022</x:v>
      </x:c>
      <x:c r="I409" s="14" t="n">
        <x:v>2023</x:v>
      </x:c>
      <x:c r="J409" s="14" t="str">
        <x:v>Future Carry-Forward Cohort</x:v>
      </x:c>
      <x:c r="K409" s="14" t="n">
        <x:v>2022</x:v>
      </x:c>
      <x:c r="L409" s="14" t="str">
        <x:v>Not inherited</x:v>
      </x:c>
      <x:c r="M409" s="15" t="n">
        <x:v>97</x:v>
      </x:c>
      <x:c r="N409" s="14" t="str">
        <x:v>Emma Bell</x:v>
      </x:c>
      <x:c r="O409" s="14" t="str">
        <x:v>nm17688854</x:v>
      </x:c>
      <x:c r="P409" s="14" t="str">
        <x:v>Girl In Queue</x:v>
      </x:c>
      <x:c r="Q409" s="15" t="n">
        <x:v>1</x:v>
      </x:c>
      <x:c r="R409" s="14" t="str">
        <x:v>2025</x:v>
      </x:c>
      <x:c r="S409" s="14" t="n">
        <x:v>2025</x:v>
      </x:c>
      <x:c r="T409" s="14" t="n">
        <x:v>2025</x:v>
      </x:c>
      <x:c r="U409" s="14" t="str">
        <x:v>Explicit source first year retained</x:v>
      </x:c>
      <x:c r="V409" s="14" t="str">
        <x:v>Earliest supplied year is 2025.</x:v>
      </x:c>
      <x:c r="W409" s="14"/>
      <x:c r="X409" s="14" t="str">
        <x:v>Carried forward to 2025</x:v>
      </x:c>
      <x:c r="Y409" s="14"/>
      <x:c r="Z409" s="14" t="str">
        <x:v>Karen Pirie.docx</x:v>
      </x:c>
      <x:c r="AA40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ITV / ITVX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HYPERLINK("https://en.wikipedia.org/wiki/Karen_Pirie","Open source")</x:f>
        <x:v>HYPERLINK is not implemented. linkLocation=https://en.wikipedia.org/wiki/Karen_Pirie,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6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0.16666666666666666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tt10405370|nm10354428|john tonkin</x:v>
      </x:c>
      <x:c r="B410" s="14" t="str">
        <x:v>04</x:v>
      </x:c>
      <x:c r="C410" s="14" t="str">
        <x:v>2022_IMDb_Cast_Lists_Batch_04(1).xlsx</x:v>
      </x:c>
      <x:c r="D410" s="14" t="str">
        <x:v>Rogue Heroes</x:v>
      </x:c>
      <x:c r="E410" s="14" t="n">
        <x:v>20</x:v>
      </x:c>
      <x:c r="F410" s="14" t="str">
        <x:v>Rogue Heroes</x:v>
      </x:c>
      <x:c r="G410" s="14" t="str">
        <x:v>tt10405370</x:v>
      </x:c>
      <x:c r="H410" s="14" t="n">
        <x:v>2022</x:v>
      </x:c>
      <x:c r="I410" s="14" t="n">
        <x:v>2023</x:v>
      </x:c>
      <x:c r="J410" s="14" t="str">
        <x:v>Future Carry-Forward Cohort</x:v>
      </x:c>
      <x:c r="K410" s="14" t="n">
        <x:v>2022</x:v>
      </x:c>
      <x:c r="L410" s="14" t="str">
        <x:v>Not inherited</x:v>
      </x:c>
      <x:c r="M410" s="15" t="n">
        <x:v>13</x:v>
      </x:c>
      <x:c r="N410" s="14" t="str">
        <x:v>Jack Barton</x:v>
      </x:c>
      <x:c r="O410" s="14" t="str">
        <x:v>nm10354428</x:v>
      </x:c>
      <x:c r="P410" s="14" t="str">
        <x:v>John Tonkin</x:v>
      </x:c>
      <x:c r="Q410" s="15" t="n">
        <x:v>7</x:v>
      </x:c>
      <x:c r="R410" s="14" t="str">
        <x:v>2025</x:v>
      </x:c>
      <x:c r="S410" s="14" t="n">
        <x:v>2025</x:v>
      </x:c>
      <x:c r="T410" s="14" t="n">
        <x:v>2025</x:v>
      </x:c>
      <x:c r="U410" s="14" t="str">
        <x:v>Explicit source first year retained</x:v>
      </x:c>
      <x:c r="V410" s="14" t="str">
        <x:v>Earliest supplied year is 2025.</x:v>
      </x:c>
      <x:c r="W410" s="14"/>
      <x:c r="X410" s="14" t="str">
        <x:v>Carried forward to 2025</x:v>
      </x:c>
      <x:c r="Y410" s="14"/>
      <x:c r="Z410" s="14" t="str">
        <x:v>Rogue Heroes.docx</x:v>
      </x:c>
      <x:c r="AA41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BBC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HYPERLINK("https://en.wikipedia.org/wiki/Rogue_Heroes","Open source")</x:f>
        <x:v>HYPERLINK is not implemented. linkLocation=https://en.wikipedia.org/wiki/Rogue_Heroes, friendlyName=Open source</x:v>
      </x:c>
      <x:c r="AN410" s="14" t="str">
        <x:v>BBC public-service commission</x:v>
      </x:c>
      <x:c r="AO410" s="14" t="str">
        <x:v>Yes</x:v>
      </x:c>
      <x:c r="AP410" s="14" t="str">
        <x:v>Direct BBC public-service scope</x:v>
      </x:c>
      <x:c r="AQ410" s="14" t="str">
        <x:v>Yes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13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7</x:v>
      </x:c>
      <x:c r="BS410" s="16" t="n">
        <x:v>0.5384615384615384</x:v>
      </x:c>
      <x:c r="BT410" s="14" t="str">
        <x:v>Majority of episodes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tt10405370|nm4495529|jock mcdiarmid</x:v>
      </x:c>
      <x:c r="B411" s="14" t="str">
        <x:v>04</x:v>
      </x:c>
      <x:c r="C411" s="14" t="str">
        <x:v>2022_IMDb_Cast_Lists_Batch_04(1).xlsx</x:v>
      </x:c>
      <x:c r="D411" s="14" t="str">
        <x:v>Rogue Heroes</x:v>
      </x:c>
      <x:c r="E411" s="14" t="n">
        <x:v>23</x:v>
      </x:c>
      <x:c r="F411" s="14" t="str">
        <x:v>Rogue Heroes</x:v>
      </x:c>
      <x:c r="G411" s="14" t="str">
        <x:v>tt10405370</x:v>
      </x:c>
      <x:c r="H411" s="14" t="n">
        <x:v>2022</x:v>
      </x:c>
      <x:c r="I411" s="14" t="n">
        <x:v>2023</x:v>
      </x:c>
      <x:c r="J411" s="14" t="str">
        <x:v>Future Carry-Forward Cohort</x:v>
      </x:c>
      <x:c r="K411" s="14" t="n">
        <x:v>2022</x:v>
      </x:c>
      <x:c r="L411" s="14" t="str">
        <x:v>Not inherited</x:v>
      </x:c>
      <x:c r="M411" s="15" t="n">
        <x:v>16</x:v>
      </x:c>
      <x:c r="N411" s="14" t="str">
        <x:v>Mark Rowley</x:v>
      </x:c>
      <x:c r="O411" s="14" t="str">
        <x:v>nm4495529</x:v>
      </x:c>
      <x:c r="P411" s="14" t="str">
        <x:v>Jock McDiarmid</x:v>
      </x:c>
      <x:c r="Q411" s="15" t="n">
        <x:v>6</x:v>
      </x:c>
      <x:c r="R411" s="14" t="str">
        <x:v>2025</x:v>
      </x:c>
      <x:c r="S411" s="14" t="n">
        <x:v>2025</x:v>
      </x:c>
      <x:c r="T411" s="14" t="n">
        <x:v>2025</x:v>
      </x:c>
      <x:c r="U411" s="14" t="str">
        <x:v>Explicit source first year retained</x:v>
      </x:c>
      <x:c r="V411" s="14" t="str">
        <x:v>Earliest supplied year is 2025.</x:v>
      </x:c>
      <x:c r="W411" s="14"/>
      <x:c r="X411" s="14" t="str">
        <x:v>Carried forward to 2025</x:v>
      </x:c>
      <x:c r="Y411" s="14"/>
      <x:c r="Z411" s="14" t="str">
        <x:v>Rogue Heroes.docx</x:v>
      </x:c>
      <x:c r="AA41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BBC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HYPERLINK("https://en.wikipedia.org/wiki/Rogue_Heroes","Open source")</x:f>
        <x:v>HYPERLINK is not implemented. linkLocation=https://en.wikipedia.org/wiki/Rogue_Heroes, friendlyName=Open source</x:v>
      </x:c>
      <x:c r="AN411" s="14" t="str">
        <x:v>BBC public-service commission</x:v>
      </x:c>
      <x:c r="AO411" s="14" t="str">
        <x:v>Yes</x:v>
      </x:c>
      <x:c r="AP411" s="14" t="str">
        <x:v>Direct BBC public-service scope</x:v>
      </x:c>
      <x:c r="AQ411" s="14" t="str">
        <x:v>Yes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13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6</x:v>
      </x:c>
      <x:c r="BS411" s="16" t="n">
        <x:v>0.46153846153846156</x:v>
      </x:c>
      <x:c r="BT411" s="14" t="str">
        <x:v>Minority of episodes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tt10405370|nm3152605|bill stirling</x:v>
      </x:c>
      <x:c r="B412" s="14" t="str">
        <x:v>04</x:v>
      </x:c>
      <x:c r="C412" s="14" t="str">
        <x:v>2022_IMDb_Cast_Lists_Batch_04(1).xlsx</x:v>
      </x:c>
      <x:c r="D412" s="14" t="str">
        <x:v>Rogue Heroes</x:v>
      </x:c>
      <x:c r="E412" s="14" t="n">
        <x:v>24</x:v>
      </x:c>
      <x:c r="F412" s="14" t="str">
        <x:v>Rogue Heroes</x:v>
      </x:c>
      <x:c r="G412" s="14" t="str">
        <x:v>tt10405370</x:v>
      </x:c>
      <x:c r="H412" s="14" t="n">
        <x:v>2022</x:v>
      </x:c>
      <x:c r="I412" s="14" t="n">
        <x:v>2023</x:v>
      </x:c>
      <x:c r="J412" s="14" t="str">
        <x:v>Future Carry-Forward Cohort</x:v>
      </x:c>
      <x:c r="K412" s="14" t="n">
        <x:v>2022</x:v>
      </x:c>
      <x:c r="L412" s="14" t="str">
        <x:v>Not inherited</x:v>
      </x:c>
      <x:c r="M412" s="15" t="n">
        <x:v>17</x:v>
      </x:c>
      <x:c r="N412" s="14" t="str">
        <x:v>Gwilym Lee</x:v>
      </x:c>
      <x:c r="O412" s="14" t="str">
        <x:v>nm3152605</x:v>
      </x:c>
      <x:c r="P412" s="14" t="str">
        <x:v>Bill Stirling</x:v>
      </x:c>
      <x:c r="Q412" s="15" t="n">
        <x:v>6</x:v>
      </x:c>
      <x:c r="R412" s="14" t="str">
        <x:v>2025</x:v>
      </x:c>
      <x:c r="S412" s="14" t="n">
        <x:v>2025</x:v>
      </x:c>
      <x:c r="T412" s="14" t="n">
        <x:v>2025</x:v>
      </x:c>
      <x:c r="U412" s="14" t="str">
        <x:v>Explicit source first year retained</x:v>
      </x:c>
      <x:c r="V412" s="14" t="str">
        <x:v>Earliest supplied year is 2025.</x:v>
      </x:c>
      <x:c r="W412" s="14"/>
      <x:c r="X412" s="14" t="str">
        <x:v>Carried forward to 2025</x:v>
      </x:c>
      <x:c r="Y412" s="14"/>
      <x:c r="Z412" s="14" t="str">
        <x:v>Rogue Heroes.docx</x:v>
      </x:c>
      <x:c r="AA41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BBC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HYPERLINK("https://en.wikipedia.org/wiki/Rogue_Heroes","Open source")</x:f>
        <x:v>HYPERLINK is not implemented. linkLocation=https://en.wikipedia.org/wiki/Rogue_Heroes, friendlyName=Open source</x:v>
      </x:c>
      <x:c r="AN412" s="14" t="str">
        <x:v>BBC public-service commission</x:v>
      </x:c>
      <x:c r="AO412" s="14" t="str">
        <x:v>Yes</x:v>
      </x:c>
      <x:c r="AP412" s="14" t="str">
        <x:v>Direct BBC public-service scope</x:v>
      </x:c>
      <x:c r="AQ412" s="14" t="str">
        <x:v>Yes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13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6</x:v>
      </x:c>
      <x:c r="BS412" s="16" t="n">
        <x:v>0.46153846153846156</x:v>
      </x:c>
      <x:c r="BT412" s="14" t="str">
        <x:v>Minority of episodes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tt10405370|nm9057632|alessia biondi</x:v>
      </x:c>
      <x:c r="B413" s="14" t="str">
        <x:v>04</x:v>
      </x:c>
      <x:c r="C413" s="14" t="str">
        <x:v>2022_IMDb_Cast_Lists_Batch_04(1).xlsx</x:v>
      </x:c>
      <x:c r="D413" s="14" t="str">
        <x:v>Rogue Heroes</x:v>
      </x:c>
      <x:c r="E413" s="14" t="n">
        <x:v>36</x:v>
      </x:c>
      <x:c r="F413" s="14" t="str">
        <x:v>Rogue Heroes</x:v>
      </x:c>
      <x:c r="G413" s="14" t="str">
        <x:v>tt10405370</x:v>
      </x:c>
      <x:c r="H413" s="14" t="n">
        <x:v>2022</x:v>
      </x:c>
      <x:c r="I413" s="14" t="n">
        <x:v>2023</x:v>
      </x:c>
      <x:c r="J413" s="14" t="str">
        <x:v>Future Carry-Forward Cohort</x:v>
      </x:c>
      <x:c r="K413" s="14" t="n">
        <x:v>2022</x:v>
      </x:c>
      <x:c r="L413" s="14" t="str">
        <x:v>Not inherited</x:v>
      </x:c>
      <x:c r="M413" s="15" t="n">
        <x:v>29</x:v>
      </x:c>
      <x:c r="N413" s="14" t="str">
        <x:v>Anna Manuelli</x:v>
      </x:c>
      <x:c r="O413" s="14" t="str">
        <x:v>nm9057632</x:v>
      </x:c>
      <x:c r="P413" s="14" t="str">
        <x:v>Alessia Biondi</x:v>
      </x:c>
      <x:c r="Q413" s="15" t="n">
        <x:v>4</x:v>
      </x:c>
      <x:c r="R413" s="14" t="str">
        <x:v>2025</x:v>
      </x:c>
      <x:c r="S413" s="14" t="n">
        <x:v>2025</x:v>
      </x:c>
      <x:c r="T413" s="14" t="n">
        <x:v>2025</x:v>
      </x:c>
      <x:c r="U413" s="14" t="str">
        <x:v>Explicit source first year retained</x:v>
      </x:c>
      <x:c r="V413" s="14" t="str">
        <x:v>Earliest supplied year is 2025.</x:v>
      </x:c>
      <x:c r="W413" s="14"/>
      <x:c r="X413" s="14" t="str">
        <x:v>Carried forward to 2025</x:v>
      </x:c>
      <x:c r="Y413" s="14"/>
      <x:c r="Z413" s="14" t="str">
        <x:v>Rogue Heroes.docx</x:v>
      </x:c>
      <x:c r="AA41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BBC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HYPERLINK("https://en.wikipedia.org/wiki/Rogue_Heroes","Open source")</x:f>
        <x:v>HYPERLINK is not implemented. linkLocation=https://en.wikipedia.org/wiki/Rogue_Heroes, friendlyName=Open source</x:v>
      </x:c>
      <x:c r="AN413" s="14" t="str">
        <x:v>BBC public-service commission</x:v>
      </x:c>
      <x:c r="AO413" s="14" t="str">
        <x:v>Yes</x:v>
      </x:c>
      <x:c r="AP413" s="14" t="str">
        <x:v>Direct BBC public-service scope</x:v>
      </x:c>
      <x:c r="AQ413" s="14" t="str">
        <x:v>Yes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13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4</x:v>
      </x:c>
      <x:c r="BS413" s="16" t="n">
        <x:v>0.3076923076923077</x:v>
      </x:c>
      <x:c r="BT413" s="14" t="str">
        <x:v>Minority of episodes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tt10405370|nm10953730|alfredo</x:v>
      </x:c>
      <x:c r="B414" s="14" t="str">
        <x:v>04</x:v>
      </x:c>
      <x:c r="C414" s="14" t="str">
        <x:v>2022_IMDb_Cast_Lists_Batch_04(1).xlsx</x:v>
      </x:c>
      <x:c r="D414" s="14" t="str">
        <x:v>Rogue Heroes</x:v>
      </x:c>
      <x:c r="E414" s="14" t="n">
        <x:v>37</x:v>
      </x:c>
      <x:c r="F414" s="14" t="str">
        <x:v>Rogue Heroes</x:v>
      </x:c>
      <x:c r="G414" s="14" t="str">
        <x:v>tt10405370</x:v>
      </x:c>
      <x:c r="H414" s="14" t="n">
        <x:v>2022</x:v>
      </x:c>
      <x:c r="I414" s="14" t="n">
        <x:v>2023</x:v>
      </x:c>
      <x:c r="J414" s="14" t="str">
        <x:v>Future Carry-Forward Cohort</x:v>
      </x:c>
      <x:c r="K414" s="14" t="n">
        <x:v>2022</x:v>
      </x:c>
      <x:c r="L414" s="14" t="str">
        <x:v>Not inherited</x:v>
      </x:c>
      <x:c r="M414" s="15" t="n">
        <x:v>30</x:v>
      </x:c>
      <x:c r="N414" s="14" t="str">
        <x:v>Matteo Franco</x:v>
      </x:c>
      <x:c r="O414" s="14" t="str">
        <x:v>nm10953730</x:v>
      </x:c>
      <x:c r="P414" s="14" t="str">
        <x:v>Alfredo</x:v>
      </x:c>
      <x:c r="Q414" s="15" t="n">
        <x:v>4</x:v>
      </x:c>
      <x:c r="R414" s="14" t="str">
        <x:v>2025</x:v>
      </x:c>
      <x:c r="S414" s="14" t="n">
        <x:v>2025</x:v>
      </x:c>
      <x:c r="T414" s="14" t="n">
        <x:v>2025</x:v>
      </x:c>
      <x:c r="U414" s="14" t="str">
        <x:v>Explicit source first year retained</x:v>
      </x:c>
      <x:c r="V414" s="14" t="str">
        <x:v>Earliest supplied year is 2025.</x:v>
      </x:c>
      <x:c r="W414" s="14"/>
      <x:c r="X414" s="14" t="str">
        <x:v>Carried forward to 2025</x:v>
      </x:c>
      <x:c r="Y414" s="14"/>
      <x:c r="Z414" s="14" t="str">
        <x:v>Rogue Heroes.docx</x:v>
      </x:c>
      <x:c r="AA41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BBC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HYPERLINK("https://en.wikipedia.org/wiki/Rogue_Heroes","Open source")</x:f>
        <x:v>HYPERLINK is not implemented. linkLocation=https://en.wikipedia.org/wiki/Rogue_Heroes, friendlyName=Open source</x:v>
      </x:c>
      <x:c r="AN414" s="14" t="str">
        <x:v>BBC public-service commission</x:v>
      </x:c>
      <x:c r="AO414" s="14" t="str">
        <x:v>Yes</x:v>
      </x:c>
      <x:c r="AP414" s="14" t="str">
        <x:v>Direct BBC public-service scope</x:v>
      </x:c>
      <x:c r="AQ414" s="14" t="str">
        <x:v>Yes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13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4</x:v>
      </x:c>
      <x:c r="BS414" s="16" t="n">
        <x:v>0.3076923076923077</x:v>
      </x:c>
      <x:c r="BT414" s="14" t="str">
        <x:v>Minority of episodes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tt10405370|nm6067112|anthony greville-bell</x:v>
      </x:c>
      <x:c r="B415" s="14" t="str">
        <x:v>04</x:v>
      </x:c>
      <x:c r="C415" s="14" t="str">
        <x:v>2022_IMDb_Cast_Lists_Batch_04(1).xlsx</x:v>
      </x:c>
      <x:c r="D415" s="14" t="str">
        <x:v>Rogue Heroes</x:v>
      </x:c>
      <x:c r="E415" s="14" t="n">
        <x:v>38</x:v>
      </x:c>
      <x:c r="F415" s="14" t="str">
        <x:v>Rogue Heroes</x:v>
      </x:c>
      <x:c r="G415" s="14" t="str">
        <x:v>tt10405370</x:v>
      </x:c>
      <x:c r="H415" s="14" t="n">
        <x:v>2022</x:v>
      </x:c>
      <x:c r="I415" s="14" t="n">
        <x:v>2023</x:v>
      </x:c>
      <x:c r="J415" s="14" t="str">
        <x:v>Future Carry-Forward Cohort</x:v>
      </x:c>
      <x:c r="K415" s="14" t="n">
        <x:v>2022</x:v>
      </x:c>
      <x:c r="L415" s="14" t="str">
        <x:v>Not inherited</x:v>
      </x:c>
      <x:c r="M415" s="15" t="n">
        <x:v>31</x:v>
      </x:c>
      <x:c r="N415" s="14" t="str">
        <x:v>Stuart Thompson</x:v>
      </x:c>
      <x:c r="O415" s="14" t="str">
        <x:v>nm6067112</x:v>
      </x:c>
      <x:c r="P415" s="14" t="str">
        <x:v>Anthony Greville-Bell</x:v>
      </x:c>
      <x:c r="Q415" s="15" t="n">
        <x:v>4</x:v>
      </x:c>
      <x:c r="R415" s="14" t="str">
        <x:v>2025</x:v>
      </x:c>
      <x:c r="S415" s="14" t="n">
        <x:v>2025</x:v>
      </x:c>
      <x:c r="T415" s="14" t="n">
        <x:v>2025</x:v>
      </x:c>
      <x:c r="U415" s="14" t="str">
        <x:v>Explicit source first year retained</x:v>
      </x:c>
      <x:c r="V415" s="14" t="str">
        <x:v>Earliest supplied year is 2025.</x:v>
      </x:c>
      <x:c r="W415" s="14"/>
      <x:c r="X415" s="14" t="str">
        <x:v>Carried forward to 2025</x:v>
      </x:c>
      <x:c r="Y415" s="14"/>
      <x:c r="Z415" s="14" t="str">
        <x:v>Rogue Heroes.docx</x:v>
      </x:c>
      <x:c r="AA41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BBC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HYPERLINK("https://en.wikipedia.org/wiki/Rogue_Heroes","Open source")</x:f>
        <x:v>HYPERLINK is not implemented. linkLocation=https://en.wikipedia.org/wiki/Rogue_Heroes, friendlyName=Open source</x:v>
      </x:c>
      <x:c r="AN415" s="14" t="str">
        <x:v>BBC public-service commission</x:v>
      </x:c>
      <x:c r="AO415" s="14" t="str">
        <x:v>Yes</x:v>
      </x:c>
      <x:c r="AP415" s="14" t="str">
        <x:v>Direct BBC public-service scope</x:v>
      </x:c>
      <x:c r="AQ415" s="14" t="str">
        <x:v>Yes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13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4</x:v>
      </x:c>
      <x:c r="BS415" s="16" t="n">
        <x:v>0.3076923076923077</x:v>
      </x:c>
      <x:c r="BT415" s="14" t="str">
        <x:v>Minority of episodes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tt10405370|nm3313605|cram</x:v>
      </x:c>
      <x:c r="B416" s="14" t="str">
        <x:v>04</x:v>
      </x:c>
      <x:c r="C416" s="14" t="str">
        <x:v>2022_IMDb_Cast_Lists_Batch_04(1).xlsx</x:v>
      </x:c>
      <x:c r="D416" s="14" t="str">
        <x:v>Rogue Heroes</x:v>
      </x:c>
      <x:c r="E416" s="14" t="n">
        <x:v>39</x:v>
      </x:c>
      <x:c r="F416" s="14" t="str">
        <x:v>Rogue Heroes</x:v>
      </x:c>
      <x:c r="G416" s="14" t="str">
        <x:v>tt10405370</x:v>
      </x:c>
      <x:c r="H416" s="14" t="n">
        <x:v>2022</x:v>
      </x:c>
      <x:c r="I416" s="14" t="n">
        <x:v>2023</x:v>
      </x:c>
      <x:c r="J416" s="14" t="str">
        <x:v>Future Carry-Forward Cohort</x:v>
      </x:c>
      <x:c r="K416" s="14" t="n">
        <x:v>2022</x:v>
      </x:c>
      <x:c r="L416" s="14" t="str">
        <x:v>Not inherited</x:v>
      </x:c>
      <x:c r="M416" s="15" t="n">
        <x:v>32</x:v>
      </x:c>
      <x:c r="N416" s="14" t="str">
        <x:v>Sandy Batchelor</x:v>
      </x:c>
      <x:c r="O416" s="14" t="str">
        <x:v>nm3313605</x:v>
      </x:c>
      <x:c r="P416" s="14" t="str">
        <x:v>Cram</x:v>
      </x:c>
      <x:c r="Q416" s="15" t="n">
        <x:v>3</x:v>
      </x:c>
      <x:c r="R416" s="14" t="str">
        <x:v>2025</x:v>
      </x:c>
      <x:c r="S416" s="14" t="n">
        <x:v>2025</x:v>
      </x:c>
      <x:c r="T416" s="14" t="n">
        <x:v>2025</x:v>
      </x:c>
      <x:c r="U416" s="14" t="str">
        <x:v>Explicit source first year retained</x:v>
      </x:c>
      <x:c r="V416" s="14" t="str">
        <x:v>Earliest supplied year is 2025.</x:v>
      </x:c>
      <x:c r="W416" s="14"/>
      <x:c r="X416" s="14" t="str">
        <x:v>Carried forward to 2025</x:v>
      </x:c>
      <x:c r="Y416" s="14"/>
      <x:c r="Z416" s="14" t="str">
        <x:v>Rogue Heroes.docx</x:v>
      </x:c>
      <x:c r="AA41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BBC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HYPERLINK("https://en.wikipedia.org/wiki/Rogue_Heroes","Open source")</x:f>
        <x:v>HYPERLINK is not implemented. linkLocation=https://en.wikipedia.org/wiki/Rogue_Heroes, friendlyName=Open source</x:v>
      </x:c>
      <x:c r="AN416" s="14" t="str">
        <x:v>BBC public-service commission</x:v>
      </x:c>
      <x:c r="AO416" s="14" t="str">
        <x:v>Yes</x:v>
      </x:c>
      <x:c r="AP416" s="14" t="str">
        <x:v>Direct BBC public-service scope</x:v>
      </x:c>
      <x:c r="AQ416" s="14" t="str">
        <x:v>Yes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13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3</x:v>
      </x:c>
      <x:c r="BS416" s="16" t="n">
        <x:v>0.23076923076923078</x:v>
      </x:c>
      <x:c r="BT416" s="14" t="str">
        <x:v>Minority of episodes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tt10405370|nm11472709|matteo amato</x:v>
      </x:c>
      <x:c r="B417" s="14" t="str">
        <x:v>04</x:v>
      </x:c>
      <x:c r="C417" s="14" t="str">
        <x:v>2022_IMDb_Cast_Lists_Batch_04(1).xlsx</x:v>
      </x:c>
      <x:c r="D417" s="14" t="str">
        <x:v>Rogue Heroes</x:v>
      </x:c>
      <x:c r="E417" s="14" t="n">
        <x:v>47</x:v>
      </x:c>
      <x:c r="F417" s="14" t="str">
        <x:v>Rogue Heroes</x:v>
      </x:c>
      <x:c r="G417" s="14" t="str">
        <x:v>tt10405370</x:v>
      </x:c>
      <x:c r="H417" s="14" t="n">
        <x:v>2022</x:v>
      </x:c>
      <x:c r="I417" s="14" t="n">
        <x:v>2023</x:v>
      </x:c>
      <x:c r="J417" s="14" t="str">
        <x:v>Future Carry-Forward Cohort</x:v>
      </x:c>
      <x:c r="K417" s="14" t="n">
        <x:v>2022</x:v>
      </x:c>
      <x:c r="L417" s="14" t="str">
        <x:v>Not inherited</x:v>
      </x:c>
      <x:c r="M417" s="15" t="n">
        <x:v>40</x:v>
      </x:c>
      <x:c r="N417" s="14" t="str">
        <x:v>Luca Morello</x:v>
      </x:c>
      <x:c r="O417" s="14" t="str">
        <x:v>nm11472709</x:v>
      </x:c>
      <x:c r="P417" s="14" t="str">
        <x:v>Matteo Amato</x:v>
      </x:c>
      <x:c r="Q417" s="15" t="n">
        <x:v>2</x:v>
      </x:c>
      <x:c r="R417" s="14" t="str">
        <x:v>2025</x:v>
      </x:c>
      <x:c r="S417" s="14" t="n">
        <x:v>2025</x:v>
      </x:c>
      <x:c r="T417" s="14" t="n">
        <x:v>2025</x:v>
      </x:c>
      <x:c r="U417" s="14" t="str">
        <x:v>Explicit source first year retained</x:v>
      </x:c>
      <x:c r="V417" s="14" t="str">
        <x:v>Earliest supplied year is 2025.</x:v>
      </x:c>
      <x:c r="W417" s="14"/>
      <x:c r="X417" s="14" t="str">
        <x:v>Carried forward to 2025</x:v>
      </x:c>
      <x:c r="Y417" s="14"/>
      <x:c r="Z417" s="14" t="str">
        <x:v>Rogue Heroes.docx</x:v>
      </x:c>
      <x:c r="AA41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BBC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HYPERLINK("https://en.wikipedia.org/wiki/Rogue_Heroes","Open source")</x:f>
        <x:v>HYPERLINK is not implemented. linkLocation=https://en.wikipedia.org/wiki/Rogue_Heroes, friendlyName=Open source</x:v>
      </x:c>
      <x:c r="AN417" s="14" t="str">
        <x:v>BBC public-service commission</x:v>
      </x:c>
      <x:c r="AO417" s="14" t="str">
        <x:v>Yes</x:v>
      </x:c>
      <x:c r="AP417" s="14" t="str">
        <x:v>Direct BBC public-service scope</x:v>
      </x:c>
      <x:c r="AQ417" s="14" t="str">
        <x:v>Yes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13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2</x:v>
      </x:c>
      <x:c r="BS417" s="16" t="n">
        <x:v>0.15384615384615385</x:v>
      </x:c>
      <x:c r="BT417" s="14" t="str">
        <x:v>Minority of episodes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tt10405370|nm0642126|general montgomery</x:v>
      </x:c>
      <x:c r="B418" s="14" t="str">
        <x:v>04</x:v>
      </x:c>
      <x:c r="C418" s="14" t="str">
        <x:v>2022_IMDb_Cast_Lists_Batch_04(1).xlsx</x:v>
      </x:c>
      <x:c r="D418" s="14" t="str">
        <x:v>Rogue Heroes</x:v>
      </x:c>
      <x:c r="E418" s="14" t="n">
        <x:v>51</x:v>
      </x:c>
      <x:c r="F418" s="14" t="str">
        <x:v>Rogue Heroes</x:v>
      </x:c>
      <x:c r="G418" s="14" t="str">
        <x:v>tt10405370</x:v>
      </x:c>
      <x:c r="H418" s="14" t="n">
        <x:v>2022</x:v>
      </x:c>
      <x:c r="I418" s="14" t="n">
        <x:v>2023</x:v>
      </x:c>
      <x:c r="J418" s="14" t="str">
        <x:v>Future Carry-Forward Cohort</x:v>
      </x:c>
      <x:c r="K418" s="14" t="n">
        <x:v>2022</x:v>
      </x:c>
      <x:c r="L418" s="14" t="str">
        <x:v>Not inherited</x:v>
      </x:c>
      <x:c r="M418" s="15" t="n">
        <x:v>44</x:v>
      </x:c>
      <x:c r="N418" s="14" t="str">
        <x:v>Con O'Neill</x:v>
      </x:c>
      <x:c r="O418" s="14" t="str">
        <x:v>nm0642126</x:v>
      </x:c>
      <x:c r="P418" s="14" t="str">
        <x:v>General Montgomery</x:v>
      </x:c>
      <x:c r="Q418" s="15" t="n">
        <x:v>2</x:v>
      </x:c>
      <x:c r="R418" s="14" t="str">
        <x:v>2025</x:v>
      </x:c>
      <x:c r="S418" s="14" t="n">
        <x:v>2025</x:v>
      </x:c>
      <x:c r="T418" s="14" t="n">
        <x:v>2025</x:v>
      </x:c>
      <x:c r="U418" s="14" t="str">
        <x:v>Explicit source first year retained</x:v>
      </x:c>
      <x:c r="V418" s="14" t="str">
        <x:v>Earliest supplied year is 2025.</x:v>
      </x:c>
      <x:c r="W418" s="14"/>
      <x:c r="X418" s="14" t="str">
        <x:v>Carried forward to 2025</x:v>
      </x:c>
      <x:c r="Y418" s="14"/>
      <x:c r="Z418" s="14" t="str">
        <x:v>Rogue Heroes.docx</x:v>
      </x:c>
      <x:c r="AA41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BBC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HYPERLINK("https://en.wikipedia.org/wiki/Rogue_Heroes","Open source")</x:f>
        <x:v>HYPERLINK is not implemented. linkLocation=https://en.wikipedia.org/wiki/Rogue_Heroes, friendlyName=Open source</x:v>
      </x:c>
      <x:c r="AN418" s="14" t="str">
        <x:v>BBC public-service commission</x:v>
      </x:c>
      <x:c r="AO418" s="14" t="str">
        <x:v>Yes</x:v>
      </x:c>
      <x:c r="AP418" s="14" t="str">
        <x:v>Direct BBC public-service scope</x:v>
      </x:c>
      <x:c r="AQ418" s="14" t="str">
        <x:v>Yes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13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2</x:v>
      </x:c>
      <x:c r="BS418" s="16" t="n">
        <x:v>0.15384615384615385</x:v>
      </x:c>
      <x:c r="BT418" s="14" t="str">
        <x:v>Minority of episodes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tt10405370|nm4586910|jack pringle</x:v>
      </x:c>
      <x:c r="B419" s="14" t="str">
        <x:v>04</x:v>
      </x:c>
      <x:c r="C419" s="14" t="str">
        <x:v>2022_IMDb_Cast_Lists_Batch_04(1).xlsx</x:v>
      </x:c>
      <x:c r="D419" s="14" t="str">
        <x:v>Rogue Heroes</x:v>
      </x:c>
      <x:c r="E419" s="14" t="n">
        <x:v>52</x:v>
      </x:c>
      <x:c r="F419" s="14" t="str">
        <x:v>Rogue Heroes</x:v>
      </x:c>
      <x:c r="G419" s="14" t="str">
        <x:v>tt10405370</x:v>
      </x:c>
      <x:c r="H419" s="14" t="n">
        <x:v>2022</x:v>
      </x:c>
      <x:c r="I419" s="14" t="n">
        <x:v>2023</x:v>
      </x:c>
      <x:c r="J419" s="14" t="str">
        <x:v>Future Carry-Forward Cohort</x:v>
      </x:c>
      <x:c r="K419" s="14" t="n">
        <x:v>2022</x:v>
      </x:c>
      <x:c r="L419" s="14" t="str">
        <x:v>Not inherited</x:v>
      </x:c>
      <x:c r="M419" s="15" t="n">
        <x:v>45</x:v>
      </x:c>
      <x:c r="N419" s="14" t="str">
        <x:v>Oliver Bennett</x:v>
      </x:c>
      <x:c r="O419" s="14" t="str">
        <x:v>nm4586910</x:v>
      </x:c>
      <x:c r="P419" s="14" t="str">
        <x:v>Jack Pringle</x:v>
      </x:c>
      <x:c r="Q419" s="15" t="n">
        <x:v>2</x:v>
      </x:c>
      <x:c r="R419" s="14" t="str">
        <x:v>2025</x:v>
      </x:c>
      <x:c r="S419" s="14" t="n">
        <x:v>2025</x:v>
      </x:c>
      <x:c r="T419" s="14" t="n">
        <x:v>2025</x:v>
      </x:c>
      <x:c r="U419" s="14" t="str">
        <x:v>Explicit source first year retained</x:v>
      </x:c>
      <x:c r="V419" s="14" t="str">
        <x:v>Earliest supplied year is 2025.</x:v>
      </x:c>
      <x:c r="W419" s="14"/>
      <x:c r="X419" s="14" t="str">
        <x:v>Carried forward to 2025</x:v>
      </x:c>
      <x:c r="Y419" s="14"/>
      <x:c r="Z419" s="14" t="str">
        <x:v>Rogue Heroes.docx</x:v>
      </x:c>
      <x:c r="AA41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BBC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HYPERLINK("https://en.wikipedia.org/wiki/Rogue_Heroes","Open source")</x:f>
        <x:v>HYPERLINK is not implemented. linkLocation=https://en.wikipedia.org/wiki/Rogue_Heroes, friendlyName=Open source</x:v>
      </x:c>
      <x:c r="AN419" s="14" t="str">
        <x:v>BBC public-service commission</x:v>
      </x:c>
      <x:c r="AO419" s="14" t="str">
        <x:v>Yes</x:v>
      </x:c>
      <x:c r="AP419" s="14" t="str">
        <x:v>Direct BBC public-service scope</x:v>
      </x:c>
      <x:c r="AQ419" s="14" t="str">
        <x:v>Yes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13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2</x:v>
      </x:c>
      <x:c r="BS419" s="16" t="n">
        <x:v>0.15384615384615385</x:v>
      </x:c>
      <x:c r="BT419" s="14" t="str">
        <x:v>Minority of episodes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tt10405370|nm2527209|lt. general dempsey</x:v>
      </x:c>
      <x:c r="B420" s="14" t="str">
        <x:v>04</x:v>
      </x:c>
      <x:c r="C420" s="14" t="str">
        <x:v>2022_IMDb_Cast_Lists_Batch_04(1).xlsx</x:v>
      </x:c>
      <x:c r="D420" s="14" t="str">
        <x:v>Rogue Heroes</x:v>
      </x:c>
      <x:c r="E420" s="14" t="n">
        <x:v>53</x:v>
      </x:c>
      <x:c r="F420" s="14" t="str">
        <x:v>Rogue Heroes</x:v>
      </x:c>
      <x:c r="G420" s="14" t="str">
        <x:v>tt10405370</x:v>
      </x:c>
      <x:c r="H420" s="14" t="n">
        <x:v>2022</x:v>
      </x:c>
      <x:c r="I420" s="14" t="n">
        <x:v>2023</x:v>
      </x:c>
      <x:c r="J420" s="14" t="str">
        <x:v>Future Carry-Forward Cohort</x:v>
      </x:c>
      <x:c r="K420" s="14" t="n">
        <x:v>2022</x:v>
      </x:c>
      <x:c r="L420" s="14" t="str">
        <x:v>Not inherited</x:v>
      </x:c>
      <x:c r="M420" s="15" t="n">
        <x:v>46</x:v>
      </x:c>
      <x:c r="N420" s="14" t="str">
        <x:v>Edward Bennett</x:v>
      </x:c>
      <x:c r="O420" s="14" t="str">
        <x:v>nm2527209</x:v>
      </x:c>
      <x:c r="P420" s="14" t="str">
        <x:v>Lt. General Dempsey</x:v>
      </x:c>
      <x:c r="Q420" s="15" t="n">
        <x:v>2</x:v>
      </x:c>
      <x:c r="R420" s="14" t="str">
        <x:v>2025</x:v>
      </x:c>
      <x:c r="S420" s="14" t="n">
        <x:v>2025</x:v>
      </x:c>
      <x:c r="T420" s="14" t="n">
        <x:v>2025</x:v>
      </x:c>
      <x:c r="U420" s="14" t="str">
        <x:v>Explicit source first year retained</x:v>
      </x:c>
      <x:c r="V420" s="14" t="str">
        <x:v>Earliest supplied year is 2025.</x:v>
      </x:c>
      <x:c r="W420" s="14"/>
      <x:c r="X420" s="14" t="str">
        <x:v>Carried forward to 2025</x:v>
      </x:c>
      <x:c r="Y420" s="14"/>
      <x:c r="Z420" s="14" t="str">
        <x:v>Rogue Heroes.docx</x:v>
      </x:c>
      <x:c r="AA42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BBC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HYPERLINK("https://en.wikipedia.org/wiki/Rogue_Heroes","Open source")</x:f>
        <x:v>HYPERLINK is not implemented. linkLocation=https://en.wikipedia.org/wiki/Rogue_Heroes, friendlyName=Open source</x:v>
      </x:c>
      <x:c r="AN420" s="14" t="str">
        <x:v>BBC public-service commission</x:v>
      </x:c>
      <x:c r="AO420" s="14" t="str">
        <x:v>Yes</x:v>
      </x:c>
      <x:c r="AP420" s="14" t="str">
        <x:v>Direct BBC public-service scope</x:v>
      </x:c>
      <x:c r="AQ420" s="14" t="str">
        <x:v>Yes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13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2</x:v>
      </x:c>
      <x:c r="BS420" s="16" t="n">
        <x:v>0.15384615384615385</x:v>
      </x:c>
      <x:c r="BT420" s="14" t="str">
        <x:v>Minority of episodes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tt10405370|nm7717620|reich chancellery secretary</x:v>
      </x:c>
      <x:c r="B421" s="14" t="str">
        <x:v>04</x:v>
      </x:c>
      <x:c r="C421" s="14" t="str">
        <x:v>2022_IMDb_Cast_Lists_Batch_04(1).xlsx</x:v>
      </x:c>
      <x:c r="D421" s="14" t="str">
        <x:v>Rogue Heroes</x:v>
      </x:c>
      <x:c r="E421" s="14" t="n">
        <x:v>54</x:v>
      </x:c>
      <x:c r="F421" s="14" t="str">
        <x:v>Rogue Heroes</x:v>
      </x:c>
      <x:c r="G421" s="14" t="str">
        <x:v>tt10405370</x:v>
      </x:c>
      <x:c r="H421" s="14" t="n">
        <x:v>2022</x:v>
      </x:c>
      <x:c r="I421" s="14" t="n">
        <x:v>2023</x:v>
      </x:c>
      <x:c r="J421" s="14" t="str">
        <x:v>Future Carry-Forward Cohort</x:v>
      </x:c>
      <x:c r="K421" s="14" t="n">
        <x:v>2022</x:v>
      </x:c>
      <x:c r="L421" s="14" t="str">
        <x:v>Not inherited</x:v>
      </x:c>
      <x:c r="M421" s="15" t="n">
        <x:v>47</x:v>
      </x:c>
      <x:c r="N421" s="14" t="str">
        <x:v>Rebecca Dyson-Smith</x:v>
      </x:c>
      <x:c r="O421" s="14" t="str">
        <x:v>nm7717620</x:v>
      </x:c>
      <x:c r="P421" s="14" t="str">
        <x:v>Reich Chancellery Secretary</x:v>
      </x:c>
      <x:c r="Q421" s="15" t="n">
        <x:v>1</x:v>
      </x:c>
      <x:c r="R421" s="14" t="str">
        <x:v>2025</x:v>
      </x:c>
      <x:c r="S421" s="14" t="n">
        <x:v>2025</x:v>
      </x:c>
      <x:c r="T421" s="14" t="n">
        <x:v>2025</x:v>
      </x:c>
      <x:c r="U421" s="14" t="str">
        <x:v>Explicit source first year retained</x:v>
      </x:c>
      <x:c r="V421" s="14" t="str">
        <x:v>Earliest supplied year is 2025.</x:v>
      </x:c>
      <x:c r="W421" s="14"/>
      <x:c r="X421" s="14" t="str">
        <x:v>Carried forward to 2025</x:v>
      </x:c>
      <x:c r="Y421" s="14"/>
      <x:c r="Z421" s="14" t="str">
        <x:v>Rogue Heroes.docx</x:v>
      </x:c>
      <x:c r="AA42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BBC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HYPERLINK("https://en.wikipedia.org/wiki/Rogue_Heroes","Open source")</x:f>
        <x:v>HYPERLINK is not implemented. linkLocation=https://en.wikipedia.org/wiki/Rogue_Heroes, friendlyName=Open source</x:v>
      </x:c>
      <x:c r="AN421" s="14" t="str">
        <x:v>BBC public-service commission</x:v>
      </x:c>
      <x:c r="AO421" s="14" t="str">
        <x:v>Yes</x:v>
      </x:c>
      <x:c r="AP421" s="14" t="str">
        <x:v>Direct BBC public-service scope</x:v>
      </x:c>
      <x:c r="AQ421" s="14" t="str">
        <x:v>Yes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13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0.07692307692307693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tt10405370|nm10431507|reich chancellery officer</x:v>
      </x:c>
      <x:c r="B422" s="14" t="str">
        <x:v>04</x:v>
      </x:c>
      <x:c r="C422" s="14" t="str">
        <x:v>2022_IMDb_Cast_Lists_Batch_04(1).xlsx</x:v>
      </x:c>
      <x:c r="D422" s="14" t="str">
        <x:v>Rogue Heroes</x:v>
      </x:c>
      <x:c r="E422" s="14" t="n">
        <x:v>56</x:v>
      </x:c>
      <x:c r="F422" s="14" t="str">
        <x:v>Rogue Heroes</x:v>
      </x:c>
      <x:c r="G422" s="14" t="str">
        <x:v>tt10405370</x:v>
      </x:c>
      <x:c r="H422" s="14" t="n">
        <x:v>2022</x:v>
      </x:c>
      <x:c r="I422" s="14" t="n">
        <x:v>2023</x:v>
      </x:c>
      <x:c r="J422" s="14" t="str">
        <x:v>Future Carry-Forward Cohort</x:v>
      </x:c>
      <x:c r="K422" s="14" t="n">
        <x:v>2022</x:v>
      </x:c>
      <x:c r="L422" s="14" t="str">
        <x:v>Not inherited</x:v>
      </x:c>
      <x:c r="M422" s="15" t="n">
        <x:v>49</x:v>
      </x:c>
      <x:c r="N422" s="14" t="str">
        <x:v>Max Themak</x:v>
      </x:c>
      <x:c r="O422" s="14" t="str">
        <x:v>nm10431507</x:v>
      </x:c>
      <x:c r="P422" s="14" t="str">
        <x:v>Reich Chancellery Officer</x:v>
      </x:c>
      <x:c r="Q422" s="15" t="n">
        <x:v>1</x:v>
      </x:c>
      <x:c r="R422" s="14" t="str">
        <x:v>2025</x:v>
      </x:c>
      <x:c r="S422" s="14" t="n">
        <x:v>2025</x:v>
      </x:c>
      <x:c r="T422" s="14" t="n">
        <x:v>2025</x:v>
      </x:c>
      <x:c r="U422" s="14" t="str">
        <x:v>Explicit source first year retained</x:v>
      </x:c>
      <x:c r="V422" s="14" t="str">
        <x:v>Earliest supplied year is 2025.</x:v>
      </x:c>
      <x:c r="W422" s="14"/>
      <x:c r="X422" s="14" t="str">
        <x:v>Carried forward to 2025</x:v>
      </x:c>
      <x:c r="Y422" s="14"/>
      <x:c r="Z422" s="14" t="str">
        <x:v>Rogue Heroes.docx</x:v>
      </x:c>
      <x:c r="AA42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BBC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HYPERLINK("https://en.wikipedia.org/wiki/Rogue_Heroes","Open source")</x:f>
        <x:v>HYPERLINK is not implemented. linkLocation=https://en.wikipedia.org/wiki/Rogue_Heroes, friendlyName=Open source</x:v>
      </x:c>
      <x:c r="AN422" s="14" t="str">
        <x:v>BBC public-service commission</x:v>
      </x:c>
      <x:c r="AO422" s="14" t="str">
        <x:v>Yes</x:v>
      </x:c>
      <x:c r="AP422" s="14" t="str">
        <x:v>Direct BBC public-service scope</x:v>
      </x:c>
      <x:c r="AQ422" s="14" t="str">
        <x:v>Yes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13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0.07692307692307693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tt10405370|nm8284947|anxious german soldier</x:v>
      </x:c>
      <x:c r="B423" s="14" t="str">
        <x:v>04</x:v>
      </x:c>
      <x:c r="C423" s="14" t="str">
        <x:v>2022_IMDb_Cast_Lists_Batch_04(1).xlsx</x:v>
      </x:c>
      <x:c r="D423" s="14" t="str">
        <x:v>Rogue Heroes</x:v>
      </x:c>
      <x:c r="E423" s="14" t="n">
        <x:v>57</x:v>
      </x:c>
      <x:c r="F423" s="14" t="str">
        <x:v>Rogue Heroes</x:v>
      </x:c>
      <x:c r="G423" s="14" t="str">
        <x:v>tt10405370</x:v>
      </x:c>
      <x:c r="H423" s="14" t="n">
        <x:v>2022</x:v>
      </x:c>
      <x:c r="I423" s="14" t="n">
        <x:v>2023</x:v>
      </x:c>
      <x:c r="J423" s="14" t="str">
        <x:v>Future Carry-Forward Cohort</x:v>
      </x:c>
      <x:c r="K423" s="14" t="n">
        <x:v>2022</x:v>
      </x:c>
      <x:c r="L423" s="14" t="str">
        <x:v>Not inherited</x:v>
      </x:c>
      <x:c r="M423" s="15" t="n">
        <x:v>50</x:v>
      </x:c>
      <x:c r="N423" s="14" t="str">
        <x:v>Moritz Bäckerling</x:v>
      </x:c>
      <x:c r="O423" s="14" t="str">
        <x:v>nm8284947</x:v>
      </x:c>
      <x:c r="P423" s="14" t="str">
        <x:v>Anxious German Soldier</x:v>
      </x:c>
      <x:c r="Q423" s="15" t="n">
        <x:v>1</x:v>
      </x:c>
      <x:c r="R423" s="14" t="str">
        <x:v>2025</x:v>
      </x:c>
      <x:c r="S423" s="14" t="n">
        <x:v>2025</x:v>
      </x:c>
      <x:c r="T423" s="14" t="n">
        <x:v>2025</x:v>
      </x:c>
      <x:c r="U423" s="14" t="str">
        <x:v>Explicit source first year retained</x:v>
      </x:c>
      <x:c r="V423" s="14" t="str">
        <x:v>Earliest supplied year is 2025.</x:v>
      </x:c>
      <x:c r="W423" s="14"/>
      <x:c r="X423" s="14" t="str">
        <x:v>Carried forward to 2025</x:v>
      </x:c>
      <x:c r="Y423" s="14"/>
      <x:c r="Z423" s="14" t="str">
        <x:v>Rogue Heroes.docx</x:v>
      </x:c>
      <x:c r="AA42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BBC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HYPERLINK("https://en.wikipedia.org/wiki/Rogue_Heroes","Open source")</x:f>
        <x:v>HYPERLINK is not implemented. linkLocation=https://en.wikipedia.org/wiki/Rogue_Heroes, friendlyName=Open source</x:v>
      </x:c>
      <x:c r="AN423" s="14" t="str">
        <x:v>BBC public-service commission</x:v>
      </x:c>
      <x:c r="AO423" s="14" t="str">
        <x:v>Yes</x:v>
      </x:c>
      <x:c r="AP423" s="14" t="str">
        <x:v>Direct BBC public-service scope</x:v>
      </x:c>
      <x:c r="AQ423" s="14" t="str">
        <x:v>Yes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13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0.07692307692307693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tt10405370|nm4858070|firing squad officer</x:v>
      </x:c>
      <x:c r="B424" s="14" t="str">
        <x:v>04</x:v>
      </x:c>
      <x:c r="C424" s="14" t="str">
        <x:v>2022_IMDb_Cast_Lists_Batch_04(1).xlsx</x:v>
      </x:c>
      <x:c r="D424" s="14" t="str">
        <x:v>Rogue Heroes</x:v>
      </x:c>
      <x:c r="E424" s="14" t="n">
        <x:v>61</x:v>
      </x:c>
      <x:c r="F424" s="14" t="str">
        <x:v>Rogue Heroes</x:v>
      </x:c>
      <x:c r="G424" s="14" t="str">
        <x:v>tt10405370</x:v>
      </x:c>
      <x:c r="H424" s="14" t="n">
        <x:v>2022</x:v>
      </x:c>
      <x:c r="I424" s="14" t="n">
        <x:v>2023</x:v>
      </x:c>
      <x:c r="J424" s="14" t="str">
        <x:v>Future Carry-Forward Cohort</x:v>
      </x:c>
      <x:c r="K424" s="14" t="n">
        <x:v>2022</x:v>
      </x:c>
      <x:c r="L424" s="14" t="str">
        <x:v>Not inherited</x:v>
      </x:c>
      <x:c r="M424" s="15" t="n">
        <x:v>54</x:v>
      </x:c>
      <x:c r="N424" s="14" t="str">
        <x:v>Igor Pecenjev</x:v>
      </x:c>
      <x:c r="O424" s="14" t="str">
        <x:v>nm4858070</x:v>
      </x:c>
      <x:c r="P424" s="14" t="str">
        <x:v>Firing Squad Officer</x:v>
      </x:c>
      <x:c r="Q424" s="15" t="n">
        <x:v>1</x:v>
      </x:c>
      <x:c r="R424" s="14" t="str">
        <x:v>2025</x:v>
      </x:c>
      <x:c r="S424" s="14" t="n">
        <x:v>2025</x:v>
      </x:c>
      <x:c r="T424" s="14" t="n">
        <x:v>2025</x:v>
      </x:c>
      <x:c r="U424" s="14" t="str">
        <x:v>Explicit source first year retained</x:v>
      </x:c>
      <x:c r="V424" s="14" t="str">
        <x:v>Earliest supplied year is 2025.</x:v>
      </x:c>
      <x:c r="W424" s="14"/>
      <x:c r="X424" s="14" t="str">
        <x:v>Carried forward to 2025</x:v>
      </x:c>
      <x:c r="Y424" s="14" t="str">
        <x:v>(as Igor Pečenjev)</x:v>
      </x:c>
      <x:c r="Z424" s="14" t="str">
        <x:v>Rogue Heroes.docx</x:v>
      </x:c>
      <x:c r="AA42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BBC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HYPERLINK("https://en.wikipedia.org/wiki/Rogue_Heroes","Open source")</x:f>
        <x:v>HYPERLINK is not implemented. linkLocation=https://en.wikipedia.org/wiki/Rogue_Heroes, friendlyName=Open source</x:v>
      </x:c>
      <x:c r="AN424" s="14" t="str">
        <x:v>BBC public-service commission</x:v>
      </x:c>
      <x:c r="AO424" s="14" t="str">
        <x:v>Yes</x:v>
      </x:c>
      <x:c r="AP424" s="14" t="str">
        <x:v>Direct BBC public-service scope</x:v>
      </x:c>
      <x:c r="AQ424" s="14" t="str">
        <x:v>Yes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13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0.07692307692307693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tt10405370|nm16914430|jetty officer</x:v>
      </x:c>
      <x:c r="B425" s="14" t="str">
        <x:v>04</x:v>
      </x:c>
      <x:c r="C425" s="14" t="str">
        <x:v>2022_IMDb_Cast_Lists_Batch_04(1).xlsx</x:v>
      </x:c>
      <x:c r="D425" s="14" t="str">
        <x:v>Rogue Heroes</x:v>
      </x:c>
      <x:c r="E425" s="14" t="n">
        <x:v>62</x:v>
      </x:c>
      <x:c r="F425" s="14" t="str">
        <x:v>Rogue Heroes</x:v>
      </x:c>
      <x:c r="G425" s="14" t="str">
        <x:v>tt10405370</x:v>
      </x:c>
      <x:c r="H425" s="14" t="n">
        <x:v>2022</x:v>
      </x:c>
      <x:c r="I425" s="14" t="n">
        <x:v>2023</x:v>
      </x:c>
      <x:c r="J425" s="14" t="str">
        <x:v>Future Carry-Forward Cohort</x:v>
      </x:c>
      <x:c r="K425" s="14" t="n">
        <x:v>2022</x:v>
      </x:c>
      <x:c r="L425" s="14" t="str">
        <x:v>Not inherited</x:v>
      </x:c>
      <x:c r="M425" s="15" t="n">
        <x:v>55</x:v>
      </x:c>
      <x:c r="N425" s="14" t="str">
        <x:v>Jan Novosel</x:v>
      </x:c>
      <x:c r="O425" s="14" t="str">
        <x:v>nm16914430</x:v>
      </x:c>
      <x:c r="P425" s="14" t="str">
        <x:v>Jetty Officer</x:v>
      </x:c>
      <x:c r="Q425" s="15" t="n">
        <x:v>1</x:v>
      </x:c>
      <x:c r="R425" s="14" t="str">
        <x:v>2025</x:v>
      </x:c>
      <x:c r="S425" s="14" t="n">
        <x:v>2025</x:v>
      </x:c>
      <x:c r="T425" s="14" t="n">
        <x:v>2025</x:v>
      </x:c>
      <x:c r="U425" s="14" t="str">
        <x:v>Explicit source first year retained</x:v>
      </x:c>
      <x:c r="V425" s="14" t="str">
        <x:v>Earliest supplied year is 2025.</x:v>
      </x:c>
      <x:c r="W425" s="14"/>
      <x:c r="X425" s="14" t="str">
        <x:v>Carried forward to 2025</x:v>
      </x:c>
      <x:c r="Y425" s="14"/>
      <x:c r="Z425" s="14" t="str">
        <x:v>Rogue Heroes.docx</x:v>
      </x:c>
      <x:c r="AA42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BBC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HYPERLINK("https://en.wikipedia.org/wiki/Rogue_Heroes","Open source")</x:f>
        <x:v>HYPERLINK is not implemented. linkLocation=https://en.wikipedia.org/wiki/Rogue_Heroes, friendlyName=Open source</x:v>
      </x:c>
      <x:c r="AN425" s="14" t="str">
        <x:v>BBC public-service commission</x:v>
      </x:c>
      <x:c r="AO425" s="14" t="str">
        <x:v>Yes</x:v>
      </x:c>
      <x:c r="AP425" s="14" t="str">
        <x:v>Direct BBC public-service scope</x:v>
      </x:c>
      <x:c r="AQ425" s="14" t="str">
        <x:v>Yes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13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0.07692307692307693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tt10405370|nm11259848|pow</x:v>
      </x:c>
      <x:c r="B426" s="14" t="str">
        <x:v>04</x:v>
      </x:c>
      <x:c r="C426" s="14" t="str">
        <x:v>2022_IMDb_Cast_Lists_Batch_04(1).xlsx</x:v>
      </x:c>
      <x:c r="D426" s="14" t="str">
        <x:v>Rogue Heroes</x:v>
      </x:c>
      <x:c r="E426" s="14" t="n">
        <x:v>63</x:v>
      </x:c>
      <x:c r="F426" s="14" t="str">
        <x:v>Rogue Heroes</x:v>
      </x:c>
      <x:c r="G426" s="14" t="str">
        <x:v>tt10405370</x:v>
      </x:c>
      <x:c r="H426" s="14" t="n">
        <x:v>2022</x:v>
      </x:c>
      <x:c r="I426" s="14" t="n">
        <x:v>2023</x:v>
      </x:c>
      <x:c r="J426" s="14" t="str">
        <x:v>Future Carry-Forward Cohort</x:v>
      </x:c>
      <x:c r="K426" s="14" t="n">
        <x:v>2022</x:v>
      </x:c>
      <x:c r="L426" s="14" t="str">
        <x:v>Not inherited</x:v>
      </x:c>
      <x:c r="M426" s="15" t="n">
        <x:v>56</x:v>
      </x:c>
      <x:c r="N426" s="14" t="str">
        <x:v>Isaac Beechey</x:v>
      </x:c>
      <x:c r="O426" s="14" t="str">
        <x:v>nm11259848</x:v>
      </x:c>
      <x:c r="P426" s="14" t="str">
        <x:v>POW</x:v>
      </x:c>
      <x:c r="Q426" s="15" t="n">
        <x:v>1</x:v>
      </x:c>
      <x:c r="R426" s="14" t="str">
        <x:v>2025</x:v>
      </x:c>
      <x:c r="S426" s="14" t="n">
        <x:v>2025</x:v>
      </x:c>
      <x:c r="T426" s="14" t="n">
        <x:v>2025</x:v>
      </x:c>
      <x:c r="U426" s="14" t="str">
        <x:v>Explicit source first year retained</x:v>
      </x:c>
      <x:c r="V426" s="14" t="str">
        <x:v>Earliest supplied year is 2025.</x:v>
      </x:c>
      <x:c r="W426" s="14"/>
      <x:c r="X426" s="14" t="str">
        <x:v>Carried forward to 2025</x:v>
      </x:c>
      <x:c r="Y426" s="14"/>
      <x:c r="Z426" s="14" t="str">
        <x:v>Rogue Heroes.docx</x:v>
      </x:c>
      <x:c r="AA42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BBC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HYPERLINK("https://en.wikipedia.org/wiki/Rogue_Heroes","Open source")</x:f>
        <x:v>HYPERLINK is not implemented. linkLocation=https://en.wikipedia.org/wiki/Rogue_Heroes, friendlyName=Open source</x:v>
      </x:c>
      <x:c r="AN426" s="14" t="str">
        <x:v>BBC public-service commission</x:v>
      </x:c>
      <x:c r="AO426" s="14" t="str">
        <x:v>Yes</x:v>
      </x:c>
      <x:c r="AP426" s="14" t="str">
        <x:v>Direct BBC public-service scope</x:v>
      </x:c>
      <x:c r="AQ426" s="14" t="str">
        <x:v>Yes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13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0.07692307692307693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tt10405370|nm8704244|chef</x:v>
      </x:c>
      <x:c r="B427" s="14" t="str">
        <x:v>04</x:v>
      </x:c>
      <x:c r="C427" s="14" t="str">
        <x:v>2022_IMDb_Cast_Lists_Batch_04(1).xlsx</x:v>
      </x:c>
      <x:c r="D427" s="14" t="str">
        <x:v>Rogue Heroes</x:v>
      </x:c>
      <x:c r="E427" s="14" t="n">
        <x:v>68</x:v>
      </x:c>
      <x:c r="F427" s="14" t="str">
        <x:v>Rogue Heroes</x:v>
      </x:c>
      <x:c r="G427" s="14" t="str">
        <x:v>tt10405370</x:v>
      </x:c>
      <x:c r="H427" s="14" t="n">
        <x:v>2022</x:v>
      </x:c>
      <x:c r="I427" s="14" t="n">
        <x:v>2023</x:v>
      </x:c>
      <x:c r="J427" s="14" t="str">
        <x:v>Future Carry-Forward Cohort</x:v>
      </x:c>
      <x:c r="K427" s="14" t="n">
        <x:v>2022</x:v>
      </x:c>
      <x:c r="L427" s="14" t="str">
        <x:v>Not inherited</x:v>
      </x:c>
      <x:c r="M427" s="15" t="n">
        <x:v>61</x:v>
      </x:c>
      <x:c r="N427" s="14" t="str">
        <x:v>Morgan Bailey</x:v>
      </x:c>
      <x:c r="O427" s="14" t="str">
        <x:v>nm8704244</x:v>
      </x:c>
      <x:c r="P427" s="14" t="str">
        <x:v>Chef</x:v>
      </x:c>
      <x:c r="Q427" s="15" t="n">
        <x:v>1</x:v>
      </x:c>
      <x:c r="R427" s="14" t="str">
        <x:v>2025</x:v>
      </x:c>
      <x:c r="S427" s="14" t="n">
        <x:v>2025</x:v>
      </x:c>
      <x:c r="T427" s="14" t="n">
        <x:v>2025</x:v>
      </x:c>
      <x:c r="U427" s="14" t="str">
        <x:v>Explicit source first year retained</x:v>
      </x:c>
      <x:c r="V427" s="14" t="str">
        <x:v>Earliest supplied year is 2025.</x:v>
      </x:c>
      <x:c r="W427" s="14"/>
      <x:c r="X427" s="14" t="str">
        <x:v>Carried forward to 2025</x:v>
      </x:c>
      <x:c r="Y427" s="14"/>
      <x:c r="Z427" s="14" t="str">
        <x:v>Rogue Heroes.docx</x:v>
      </x:c>
      <x:c r="AA42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BBC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HYPERLINK("https://en.wikipedia.org/wiki/Rogue_Heroes","Open source")</x:f>
        <x:v>HYPERLINK is not implemented. linkLocation=https://en.wikipedia.org/wiki/Rogue_Heroes, friendlyName=Open source</x:v>
      </x:c>
      <x:c r="AN427" s="14" t="str">
        <x:v>BBC public-service commission</x:v>
      </x:c>
      <x:c r="AO427" s="14" t="str">
        <x:v>Yes</x:v>
      </x:c>
      <x:c r="AP427" s="14" t="str">
        <x:v>Direct BBC public-service scope</x:v>
      </x:c>
      <x:c r="AQ427" s="14" t="str">
        <x:v>Yes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13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1</x:v>
      </x:c>
      <x:c r="BS427" s="16" t="n">
        <x:v>0.07692307692307693</x:v>
      </x:c>
      <x:c r="BT427" s="14" t="str">
        <x:v>One episode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tt10405370|nm0212204|father cavalli</x:v>
      </x:c>
      <x:c r="B428" s="14" t="str">
        <x:v>04</x:v>
      </x:c>
      <x:c r="C428" s="14" t="str">
        <x:v>2022_IMDb_Cast_Lists_Batch_04(1).xlsx</x:v>
      </x:c>
      <x:c r="D428" s="14" t="str">
        <x:v>Rogue Heroes</x:v>
      </x:c>
      <x:c r="E428" s="14" t="n">
        <x:v>72</x:v>
      </x:c>
      <x:c r="F428" s="14" t="str">
        <x:v>Rogue Heroes</x:v>
      </x:c>
      <x:c r="G428" s="14" t="str">
        <x:v>tt10405370</x:v>
      </x:c>
      <x:c r="H428" s="14" t="n">
        <x:v>2022</x:v>
      </x:c>
      <x:c r="I428" s="14" t="n">
        <x:v>2023</x:v>
      </x:c>
      <x:c r="J428" s="14" t="str">
        <x:v>Future Carry-Forward Cohort</x:v>
      </x:c>
      <x:c r="K428" s="14" t="n">
        <x:v>2022</x:v>
      </x:c>
      <x:c r="L428" s="14" t="str">
        <x:v>Not inherited</x:v>
      </x:c>
      <x:c r="M428" s="15" t="n">
        <x:v>65</x:v>
      </x:c>
      <x:c r="N428" s="14" t="str">
        <x:v>Paolo De Vita</x:v>
      </x:c>
      <x:c r="O428" s="14" t="str">
        <x:v>nm0212204</x:v>
      </x:c>
      <x:c r="P428" s="14" t="str">
        <x:v>Father Cavalli</x:v>
      </x:c>
      <x:c r="Q428" s="15" t="n">
        <x:v>1</x:v>
      </x:c>
      <x:c r="R428" s="14" t="str">
        <x:v>2025</x:v>
      </x:c>
      <x:c r="S428" s="14" t="n">
        <x:v>2025</x:v>
      </x:c>
      <x:c r="T428" s="14" t="n">
        <x:v>2025</x:v>
      </x:c>
      <x:c r="U428" s="14" t="str">
        <x:v>Explicit source first year retained</x:v>
      </x:c>
      <x:c r="V428" s="14" t="str">
        <x:v>Earliest supplied year is 2025.</x:v>
      </x:c>
      <x:c r="W428" s="14"/>
      <x:c r="X428" s="14" t="str">
        <x:v>Carried forward to 2025</x:v>
      </x:c>
      <x:c r="Y428" s="14" t="str">
        <x:v>(as Paolo De Vite)</x:v>
      </x:c>
      <x:c r="Z428" s="14" t="str">
        <x:v>Rogue Heroes.docx</x:v>
      </x:c>
      <x:c r="AA42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BBC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HYPERLINK("https://en.wikipedia.org/wiki/Rogue_Heroes","Open source")</x:f>
        <x:v>HYPERLINK is not implemented. linkLocation=https://en.wikipedia.org/wiki/Rogue_Heroes, friendlyName=Open source</x:v>
      </x:c>
      <x:c r="AN428" s="14" t="str">
        <x:v>BBC public-service commission</x:v>
      </x:c>
      <x:c r="AO428" s="14" t="str">
        <x:v>Yes</x:v>
      </x:c>
      <x:c r="AP428" s="14" t="str">
        <x:v>Direct BBC public-service scope</x:v>
      </x:c>
      <x:c r="AQ428" s="14" t="str">
        <x:v>Yes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13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1</x:v>
      </x:c>
      <x:c r="BS428" s="16" t="n">
        <x:v>0.07692307692307693</x:v>
      </x:c>
      <x:c r="BT428" s="14" t="str">
        <x:v>One episode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tt10405370|nm11531498|sofia amato</x:v>
      </x:c>
      <x:c r="B429" s="14" t="str">
        <x:v>04</x:v>
      </x:c>
      <x:c r="C429" s="14" t="str">
        <x:v>2022_IMDb_Cast_Lists_Batch_04(1).xlsx</x:v>
      </x:c>
      <x:c r="D429" s="14" t="str">
        <x:v>Rogue Heroes</x:v>
      </x:c>
      <x:c r="E429" s="14" t="n">
        <x:v>79</x:v>
      </x:c>
      <x:c r="F429" s="14" t="str">
        <x:v>Rogue Heroes</x:v>
      </x:c>
      <x:c r="G429" s="14" t="str">
        <x:v>tt10405370</x:v>
      </x:c>
      <x:c r="H429" s="14" t="n">
        <x:v>2022</x:v>
      </x:c>
      <x:c r="I429" s="14" t="n">
        <x:v>2023</x:v>
      </x:c>
      <x:c r="J429" s="14" t="str">
        <x:v>Future Carry-Forward Cohort</x:v>
      </x:c>
      <x:c r="K429" s="14" t="n">
        <x:v>2022</x:v>
      </x:c>
      <x:c r="L429" s="14" t="str">
        <x:v>Not inherited</x:v>
      </x:c>
      <x:c r="M429" s="15" t="n">
        <x:v>72</x:v>
      </x:c>
      <x:c r="N429" s="14" t="str">
        <x:v>Lea Gavino</x:v>
      </x:c>
      <x:c r="O429" s="14" t="str">
        <x:v>nm11531498</x:v>
      </x:c>
      <x:c r="P429" s="14" t="str">
        <x:v>Sofia Amato</x:v>
      </x:c>
      <x:c r="Q429" s="15" t="n">
        <x:v>1</x:v>
      </x:c>
      <x:c r="R429" s="14" t="str">
        <x:v>2025</x:v>
      </x:c>
      <x:c r="S429" s="14" t="n">
        <x:v>2025</x:v>
      </x:c>
      <x:c r="T429" s="14" t="n">
        <x:v>2025</x:v>
      </x:c>
      <x:c r="U429" s="14" t="str">
        <x:v>Explicit source first year retained</x:v>
      </x:c>
      <x:c r="V429" s="14" t="str">
        <x:v>Earliest supplied year is 2025.</x:v>
      </x:c>
      <x:c r="W429" s="14"/>
      <x:c r="X429" s="14" t="str">
        <x:v>Carried forward to 2025</x:v>
      </x:c>
      <x:c r="Y429" s="14"/>
      <x:c r="Z429" s="14" t="str">
        <x:v>Rogue Heroes.docx</x:v>
      </x:c>
      <x:c r="AA42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BBC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HYPERLINK("https://en.wikipedia.org/wiki/Rogue_Heroes","Open source")</x:f>
        <x:v>HYPERLINK is not implemented. linkLocation=https://en.wikipedia.org/wiki/Rogue_Heroes, friendlyName=Open source</x:v>
      </x:c>
      <x:c r="AN429" s="14" t="str">
        <x:v>BBC public-service commission</x:v>
      </x:c>
      <x:c r="AO429" s="14" t="str">
        <x:v>Yes</x:v>
      </x:c>
      <x:c r="AP429" s="14" t="str">
        <x:v>Direct BBC public-service scope</x:v>
      </x:c>
      <x:c r="AQ429" s="14" t="str">
        <x:v>Yes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13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1</x:v>
      </x:c>
      <x:c r="BS429" s="16" t="n">
        <x:v>0.07692307692307693</x:v>
      </x:c>
      <x:c r="BT429" s="14" t="str">
        <x:v>One episode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tt10405370|nm0884141|barber</x:v>
      </x:c>
      <x:c r="B430" s="14" t="str">
        <x:v>04</x:v>
      </x:c>
      <x:c r="C430" s="14" t="str">
        <x:v>2022_IMDb_Cast_Lists_Batch_04(1).xlsx</x:v>
      </x:c>
      <x:c r="D430" s="14" t="str">
        <x:v>Rogue Heroes</x:v>
      </x:c>
      <x:c r="E430" s="14" t="n">
        <x:v>80</x:v>
      </x:c>
      <x:c r="F430" s="14" t="str">
        <x:v>Rogue Heroes</x:v>
      </x:c>
      <x:c r="G430" s="14" t="str">
        <x:v>tt10405370</x:v>
      </x:c>
      <x:c r="H430" s="14" t="n">
        <x:v>2022</x:v>
      </x:c>
      <x:c r="I430" s="14" t="n">
        <x:v>2023</x:v>
      </x:c>
      <x:c r="J430" s="14" t="str">
        <x:v>Future Carry-Forward Cohort</x:v>
      </x:c>
      <x:c r="K430" s="14" t="n">
        <x:v>2022</x:v>
      </x:c>
      <x:c r="L430" s="14" t="str">
        <x:v>Not inherited</x:v>
      </x:c>
      <x:c r="M430" s="15" t="n">
        <x:v>73</x:v>
      </x:c>
      <x:c r="N430" s="14" t="str">
        <x:v>Dusko Valentic</x:v>
      </x:c>
      <x:c r="O430" s="14" t="str">
        <x:v>nm0884141</x:v>
      </x:c>
      <x:c r="P430" s="14" t="str">
        <x:v>Barber</x:v>
      </x:c>
      <x:c r="Q430" s="15" t="n">
        <x:v>1</x:v>
      </x:c>
      <x:c r="R430" s="14" t="str">
        <x:v>2025</x:v>
      </x:c>
      <x:c r="S430" s="14" t="n">
        <x:v>2025</x:v>
      </x:c>
      <x:c r="T430" s="14" t="n">
        <x:v>2025</x:v>
      </x:c>
      <x:c r="U430" s="14" t="str">
        <x:v>Explicit source first year retained</x:v>
      </x:c>
      <x:c r="V430" s="14" t="str">
        <x:v>Earliest supplied year is 2025.</x:v>
      </x:c>
      <x:c r="W430" s="14"/>
      <x:c r="X430" s="14" t="str">
        <x:v>Carried forward to 2025</x:v>
      </x:c>
      <x:c r="Y430" s="14" t="str">
        <x:v>(as Duško Valentić)</x:v>
      </x:c>
      <x:c r="Z430" s="14" t="str">
        <x:v>Rogue Heroes.docx</x:v>
      </x:c>
      <x:c r="AA43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BBC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HYPERLINK("https://en.wikipedia.org/wiki/Rogue_Heroes","Open source")</x:f>
        <x:v>HYPERLINK is not implemented. linkLocation=https://en.wikipedia.org/wiki/Rogue_Heroes, friendlyName=Open source</x:v>
      </x:c>
      <x:c r="AN430" s="14" t="str">
        <x:v>BBC public-service commission</x:v>
      </x:c>
      <x:c r="AO430" s="14" t="str">
        <x:v>Yes</x:v>
      </x:c>
      <x:c r="AP430" s="14" t="str">
        <x:v>Direct BBC public-service scope</x:v>
      </x:c>
      <x:c r="AQ430" s="14" t="str">
        <x:v>Yes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13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1</x:v>
      </x:c>
      <x:c r="BS430" s="16" t="n">
        <x:v>0.07692307692307693</x:v>
      </x:c>
      <x:c r="BT430" s="14" t="str">
        <x:v>One episode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tt10405370|nm10717786|private winston best</x:v>
      </x:c>
      <x:c r="B431" s="14" t="str">
        <x:v>04</x:v>
      </x:c>
      <x:c r="C431" s="14" t="str">
        <x:v>2022_IMDb_Cast_Lists_Batch_04(1).xlsx</x:v>
      </x:c>
      <x:c r="D431" s="14" t="str">
        <x:v>Rogue Heroes</x:v>
      </x:c>
      <x:c r="E431" s="14" t="n">
        <x:v>81</x:v>
      </x:c>
      <x:c r="F431" s="14" t="str">
        <x:v>Rogue Heroes</x:v>
      </x:c>
      <x:c r="G431" s="14" t="str">
        <x:v>tt10405370</x:v>
      </x:c>
      <x:c r="H431" s="14" t="n">
        <x:v>2022</x:v>
      </x:c>
      <x:c r="I431" s="14" t="n">
        <x:v>2023</x:v>
      </x:c>
      <x:c r="J431" s="14" t="str">
        <x:v>Future Carry-Forward Cohort</x:v>
      </x:c>
      <x:c r="K431" s="14" t="n">
        <x:v>2022</x:v>
      </x:c>
      <x:c r="L431" s="14" t="str">
        <x:v>Not inherited</x:v>
      </x:c>
      <x:c r="M431" s="15" t="n">
        <x:v>74</x:v>
      </x:c>
      <x:c r="N431" s="14" t="str">
        <x:v>Christopher J. Gordon</x:v>
      </x:c>
      <x:c r="O431" s="14" t="str">
        <x:v>nm10717786</x:v>
      </x:c>
      <x:c r="P431" s="14" t="str">
        <x:v>Private Winston Best</x:v>
      </x:c>
      <x:c r="Q431" s="15" t="n">
        <x:v>1</x:v>
      </x:c>
      <x:c r="R431" s="14" t="str">
        <x:v>2025</x:v>
      </x:c>
      <x:c r="S431" s="14" t="n">
        <x:v>2025</x:v>
      </x:c>
      <x:c r="T431" s="14" t="n">
        <x:v>2025</x:v>
      </x:c>
      <x:c r="U431" s="14" t="str">
        <x:v>Explicit source first year retained</x:v>
      </x:c>
      <x:c r="V431" s="14" t="str">
        <x:v>Earliest supplied year is 2025.</x:v>
      </x:c>
      <x:c r="W431" s="14"/>
      <x:c r="X431" s="14" t="str">
        <x:v>Carried forward to 2025</x:v>
      </x:c>
      <x:c r="Y431" s="14" t="str">
        <x:v>(as Chris James-Gordon)</x:v>
      </x:c>
      <x:c r="Z431" s="14" t="str">
        <x:v>Rogue Heroes.docx</x:v>
      </x:c>
      <x:c r="AA43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BBC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HYPERLINK("https://en.wikipedia.org/wiki/Rogue_Heroes","Open source")</x:f>
        <x:v>HYPERLINK is not implemented. linkLocation=https://en.wikipedia.org/wiki/Rogue_Heroes, friendlyName=Open source</x:v>
      </x:c>
      <x:c r="AN431" s="14" t="str">
        <x:v>BBC public-service commission</x:v>
      </x:c>
      <x:c r="AO431" s="14" t="str">
        <x:v>Yes</x:v>
      </x:c>
      <x:c r="AP431" s="14" t="str">
        <x:v>Direct BBC public-service scope</x:v>
      </x:c>
      <x:c r="AQ431" s="14" t="str">
        <x:v>Yes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13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1</x:v>
      </x:c>
      <x:c r="BS431" s="16" t="n">
        <x:v>0.07692307692307693</x:v>
      </x:c>
      <x:c r="BT431" s="14" t="str">
        <x:v>One episode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tt10405370|nm14651844|drowning soldier 1</x:v>
      </x:c>
      <x:c r="B432" s="14" t="str">
        <x:v>04</x:v>
      </x:c>
      <x:c r="C432" s="14" t="str">
        <x:v>2022_IMDb_Cast_Lists_Batch_04(1).xlsx</x:v>
      </x:c>
      <x:c r="D432" s="14" t="str">
        <x:v>Rogue Heroes</x:v>
      </x:c>
      <x:c r="E432" s="14" t="n">
        <x:v>84</x:v>
      </x:c>
      <x:c r="F432" s="14" t="str">
        <x:v>Rogue Heroes</x:v>
      </x:c>
      <x:c r="G432" s="14" t="str">
        <x:v>tt10405370</x:v>
      </x:c>
      <x:c r="H432" s="14" t="n">
        <x:v>2022</x:v>
      </x:c>
      <x:c r="I432" s="14" t="n">
        <x:v>2023</x:v>
      </x:c>
      <x:c r="J432" s="14" t="str">
        <x:v>Future Carry-Forward Cohort</x:v>
      </x:c>
      <x:c r="K432" s="14" t="n">
        <x:v>2022</x:v>
      </x:c>
      <x:c r="L432" s="14" t="str">
        <x:v>Not inherited</x:v>
      </x:c>
      <x:c r="M432" s="15" t="n">
        <x:v>77</x:v>
      </x:c>
      <x:c r="N432" s="14" t="str">
        <x:v>Tyler-Jo Richardson</x:v>
      </x:c>
      <x:c r="O432" s="14" t="str">
        <x:v>nm14651844</x:v>
      </x:c>
      <x:c r="P432" s="14" t="str">
        <x:v>Drowning Soldier 1</x:v>
      </x:c>
      <x:c r="Q432" s="15" t="n">
        <x:v>1</x:v>
      </x:c>
      <x:c r="R432" s="14" t="str">
        <x:v>2025</x:v>
      </x:c>
      <x:c r="S432" s="14" t="n">
        <x:v>2025</x:v>
      </x:c>
      <x:c r="T432" s="14" t="n">
        <x:v>2025</x:v>
      </x:c>
      <x:c r="U432" s="14" t="str">
        <x:v>Explicit source first year retained</x:v>
      </x:c>
      <x:c r="V432" s="14" t="str">
        <x:v>Earliest supplied year is 2025.</x:v>
      </x:c>
      <x:c r="W432" s="14"/>
      <x:c r="X432" s="14" t="str">
        <x:v>Carried forward to 2025</x:v>
      </x:c>
      <x:c r="Y432" s="14"/>
      <x:c r="Z432" s="14" t="str">
        <x:v>Rogue Heroes.docx</x:v>
      </x:c>
      <x:c r="AA43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BBC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HYPERLINK("https://en.wikipedia.org/wiki/Rogue_Heroes","Open source")</x:f>
        <x:v>HYPERLINK is not implemented. linkLocation=https://en.wikipedia.org/wiki/Rogue_Heroes, friendlyName=Open source</x:v>
      </x:c>
      <x:c r="AN432" s="14" t="str">
        <x:v>BBC public-service commission</x:v>
      </x:c>
      <x:c r="AO432" s="14" t="str">
        <x:v>Yes</x:v>
      </x:c>
      <x:c r="AP432" s="14" t="str">
        <x:v>Direct BBC public-service scope</x:v>
      </x:c>
      <x:c r="AQ432" s="14" t="str">
        <x:v>Yes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13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0.07692307692307693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tt10405370|nm12219953|lorenzo amato</x:v>
      </x:c>
      <x:c r="B433" s="14" t="str">
        <x:v>04</x:v>
      </x:c>
      <x:c r="C433" s="14" t="str">
        <x:v>2022_IMDb_Cast_Lists_Batch_04(1).xlsx</x:v>
      </x:c>
      <x:c r="D433" s="14" t="str">
        <x:v>Rogue Heroes</x:v>
      </x:c>
      <x:c r="E433" s="14" t="n">
        <x:v>85</x:v>
      </x:c>
      <x:c r="F433" s="14" t="str">
        <x:v>Rogue Heroes</x:v>
      </x:c>
      <x:c r="G433" s="14" t="str">
        <x:v>tt10405370</x:v>
      </x:c>
      <x:c r="H433" s="14" t="n">
        <x:v>2022</x:v>
      </x:c>
      <x:c r="I433" s="14" t="n">
        <x:v>2023</x:v>
      </x:c>
      <x:c r="J433" s="14" t="str">
        <x:v>Future Carry-Forward Cohort</x:v>
      </x:c>
      <x:c r="K433" s="14" t="n">
        <x:v>2022</x:v>
      </x:c>
      <x:c r="L433" s="14" t="str">
        <x:v>Not inherited</x:v>
      </x:c>
      <x:c r="M433" s="15" t="n">
        <x:v>78</x:v>
      </x:c>
      <x:c r="N433" s="14" t="str">
        <x:v>Gabriele Linari</x:v>
      </x:c>
      <x:c r="O433" s="14" t="str">
        <x:v>nm12219953</x:v>
      </x:c>
      <x:c r="P433" s="14" t="str">
        <x:v>Lorenzo Amato</x:v>
      </x:c>
      <x:c r="Q433" s="15" t="n">
        <x:v>1</x:v>
      </x:c>
      <x:c r="R433" s="14" t="str">
        <x:v>2025</x:v>
      </x:c>
      <x:c r="S433" s="14" t="n">
        <x:v>2025</x:v>
      </x:c>
      <x:c r="T433" s="14" t="n">
        <x:v>2025</x:v>
      </x:c>
      <x:c r="U433" s="14" t="str">
        <x:v>Explicit source first year retained</x:v>
      </x:c>
      <x:c r="V433" s="14" t="str">
        <x:v>Earliest supplied year is 2025.</x:v>
      </x:c>
      <x:c r="W433" s="14"/>
      <x:c r="X433" s="14" t="str">
        <x:v>Carried forward to 2025</x:v>
      </x:c>
      <x:c r="Y433" s="14"/>
      <x:c r="Z433" s="14" t="str">
        <x:v>Rogue Heroes.docx</x:v>
      </x:c>
      <x:c r="AA43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BBC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HYPERLINK("https://en.wikipedia.org/wiki/Rogue_Heroes","Open source")</x:f>
        <x:v>HYPERLINK is not implemented. linkLocation=https://en.wikipedia.org/wiki/Rogue_Heroes, friendlyName=Open source</x:v>
      </x:c>
      <x:c r="AN433" s="14" t="str">
        <x:v>BBC public-service commission</x:v>
      </x:c>
      <x:c r="AO433" s="14" t="str">
        <x:v>Yes</x:v>
      </x:c>
      <x:c r="AP433" s="14" t="str">
        <x:v>Direct BBC public-service scope</x:v>
      </x:c>
      <x:c r="AQ433" s="14" t="str">
        <x:v>Yes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13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1</x:v>
      </x:c>
      <x:c r="BS433" s="16" t="n">
        <x:v>0.07692307692307693</x:v>
      </x:c>
      <x:c r="BT433" s="14" t="str">
        <x:v>One episode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tt10405370|nm6403697|drowning soldier 2</x:v>
      </x:c>
      <x:c r="B434" s="14" t="str">
        <x:v>04</x:v>
      </x:c>
      <x:c r="C434" s="14" t="str">
        <x:v>2022_IMDb_Cast_Lists_Batch_04(1).xlsx</x:v>
      </x:c>
      <x:c r="D434" s="14" t="str">
        <x:v>Rogue Heroes</x:v>
      </x:c>
      <x:c r="E434" s="14" t="n">
        <x:v>87</x:v>
      </x:c>
      <x:c r="F434" s="14" t="str">
        <x:v>Rogue Heroes</x:v>
      </x:c>
      <x:c r="G434" s="14" t="str">
        <x:v>tt10405370</x:v>
      </x:c>
      <x:c r="H434" s="14" t="n">
        <x:v>2022</x:v>
      </x:c>
      <x:c r="I434" s="14" t="n">
        <x:v>2023</x:v>
      </x:c>
      <x:c r="J434" s="14" t="str">
        <x:v>Future Carry-Forward Cohort</x:v>
      </x:c>
      <x:c r="K434" s="14" t="n">
        <x:v>2022</x:v>
      </x:c>
      <x:c r="L434" s="14" t="str">
        <x:v>Not inherited</x:v>
      </x:c>
      <x:c r="M434" s="15" t="n">
        <x:v>80</x:v>
      </x:c>
      <x:c r="N434" s="14" t="str">
        <x:v>James Craze</x:v>
      </x:c>
      <x:c r="O434" s="14" t="str">
        <x:v>nm6403697</x:v>
      </x:c>
      <x:c r="P434" s="14" t="str">
        <x:v>Drowning Soldier 2</x:v>
      </x:c>
      <x:c r="Q434" s="15" t="n">
        <x:v>1</x:v>
      </x:c>
      <x:c r="R434" s="14" t="str">
        <x:v>2025</x:v>
      </x:c>
      <x:c r="S434" s="14" t="n">
        <x:v>2025</x:v>
      </x:c>
      <x:c r="T434" s="14" t="n">
        <x:v>2025</x:v>
      </x:c>
      <x:c r="U434" s="14" t="str">
        <x:v>Explicit source first year retained</x:v>
      </x:c>
      <x:c r="V434" s="14" t="str">
        <x:v>Earliest supplied year is 2025.</x:v>
      </x:c>
      <x:c r="W434" s="14"/>
      <x:c r="X434" s="14" t="str">
        <x:v>Carried forward to 2025</x:v>
      </x:c>
      <x:c r="Y434" s="14"/>
      <x:c r="Z434" s="14" t="str">
        <x:v>Rogue Heroes.docx</x:v>
      </x:c>
      <x:c r="AA43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BBC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HYPERLINK("https://en.wikipedia.org/wiki/Rogue_Heroes","Open source")</x:f>
        <x:v>HYPERLINK is not implemented. linkLocation=https://en.wikipedia.org/wiki/Rogue_Heroes, friendlyName=Open source</x:v>
      </x:c>
      <x:c r="AN434" s="14" t="str">
        <x:v>BBC public-service commission</x:v>
      </x:c>
      <x:c r="AO434" s="14" t="str">
        <x:v>Yes</x:v>
      </x:c>
      <x:c r="AP434" s="14" t="str">
        <x:v>Direct BBC public-service scope</x:v>
      </x:c>
      <x:c r="AQ434" s="14" t="str">
        <x:v>Yes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13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1</x:v>
      </x:c>
      <x:c r="BS434" s="16" t="n">
        <x:v>0.07692307692307693</x:v>
      </x:c>
      <x:c r="BT434" s="14" t="str">
        <x:v>One episode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tt10405370|nm9112758|francesca amato</x:v>
      </x:c>
      <x:c r="B435" s="14" t="str">
        <x:v>04</x:v>
      </x:c>
      <x:c r="C435" s="14" t="str">
        <x:v>2022_IMDb_Cast_Lists_Batch_04(1).xlsx</x:v>
      </x:c>
      <x:c r="D435" s="14" t="str">
        <x:v>Rogue Heroes</x:v>
      </x:c>
      <x:c r="E435" s="14" t="n">
        <x:v>88</x:v>
      </x:c>
      <x:c r="F435" s="14" t="str">
        <x:v>Rogue Heroes</x:v>
      </x:c>
      <x:c r="G435" s="14" t="str">
        <x:v>tt10405370</x:v>
      </x:c>
      <x:c r="H435" s="14" t="n">
        <x:v>2022</x:v>
      </x:c>
      <x:c r="I435" s="14" t="n">
        <x:v>2023</x:v>
      </x:c>
      <x:c r="J435" s="14" t="str">
        <x:v>Future Carry-Forward Cohort</x:v>
      </x:c>
      <x:c r="K435" s="14" t="n">
        <x:v>2022</x:v>
      </x:c>
      <x:c r="L435" s="14" t="str">
        <x:v>Not inherited</x:v>
      </x:c>
      <x:c r="M435" s="15" t="n">
        <x:v>81</x:v>
      </x:c>
      <x:c r="N435" s="14" t="str">
        <x:v>Valeria Panepinto</x:v>
      </x:c>
      <x:c r="O435" s="14" t="str">
        <x:v>nm9112758</x:v>
      </x:c>
      <x:c r="P435" s="14" t="str">
        <x:v>Francesca Amato</x:v>
      </x:c>
      <x:c r="Q435" s="15" t="n">
        <x:v>1</x:v>
      </x:c>
      <x:c r="R435" s="14" t="str">
        <x:v>2025</x:v>
      </x:c>
      <x:c r="S435" s="14" t="n">
        <x:v>2025</x:v>
      </x:c>
      <x:c r="T435" s="14" t="n">
        <x:v>2025</x:v>
      </x:c>
      <x:c r="U435" s="14" t="str">
        <x:v>Explicit source first year retained</x:v>
      </x:c>
      <x:c r="V435" s="14" t="str">
        <x:v>Earliest supplied year is 2025.</x:v>
      </x:c>
      <x:c r="W435" s="14"/>
      <x:c r="X435" s="14" t="str">
        <x:v>Carried forward to 2025</x:v>
      </x:c>
      <x:c r="Y435" s="14"/>
      <x:c r="Z435" s="14" t="str">
        <x:v>Rogue Heroes.docx</x:v>
      </x:c>
      <x:c r="AA43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BBC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HYPERLINK("https://en.wikipedia.org/wiki/Rogue_Heroes","Open source")</x:f>
        <x:v>HYPERLINK is not implemented. linkLocation=https://en.wikipedia.org/wiki/Rogue_Heroes, friendlyName=Open source</x:v>
      </x:c>
      <x:c r="AN435" s="14" t="str">
        <x:v>BBC public-service commission</x:v>
      </x:c>
      <x:c r="AO435" s="14" t="str">
        <x:v>Yes</x:v>
      </x:c>
      <x:c r="AP435" s="14" t="str">
        <x:v>Direct BBC public-service scope</x:v>
      </x:c>
      <x:c r="AQ435" s="14" t="str">
        <x:v>Yes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13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1</x:v>
      </x:c>
      <x:c r="BS435" s="16" t="n">
        <x:v>0.07692307692307693</x:v>
      </x:c>
      <x:c r="BT435" s="14" t="str">
        <x:v>One episode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tt10405370|nm14782566|drowning soldier 3</x:v>
      </x:c>
      <x:c r="B436" s="14" t="str">
        <x:v>04</x:v>
      </x:c>
      <x:c r="C436" s="14" t="str">
        <x:v>2022_IMDb_Cast_Lists_Batch_04(1).xlsx</x:v>
      </x:c>
      <x:c r="D436" s="14" t="str">
        <x:v>Rogue Heroes</x:v>
      </x:c>
      <x:c r="E436" s="14" t="n">
        <x:v>89</x:v>
      </x:c>
      <x:c r="F436" s="14" t="str">
        <x:v>Rogue Heroes</x:v>
      </x:c>
      <x:c r="G436" s="14" t="str">
        <x:v>tt10405370</x:v>
      </x:c>
      <x:c r="H436" s="14" t="n">
        <x:v>2022</x:v>
      </x:c>
      <x:c r="I436" s="14" t="n">
        <x:v>2023</x:v>
      </x:c>
      <x:c r="J436" s="14" t="str">
        <x:v>Future Carry-Forward Cohort</x:v>
      </x:c>
      <x:c r="K436" s="14" t="n">
        <x:v>2022</x:v>
      </x:c>
      <x:c r="L436" s="14" t="str">
        <x:v>Not inherited</x:v>
      </x:c>
      <x:c r="M436" s="15" t="n">
        <x:v>82</x:v>
      </x:c>
      <x:c r="N436" s="14" t="str">
        <x:v>James Ó'Quinn</x:v>
      </x:c>
      <x:c r="O436" s="14" t="str">
        <x:v>nm14782566</x:v>
      </x:c>
      <x:c r="P436" s="14" t="str">
        <x:v>Drowning Soldier 3</x:v>
      </x:c>
      <x:c r="Q436" s="15" t="n">
        <x:v>1</x:v>
      </x:c>
      <x:c r="R436" s="14" t="str">
        <x:v>2025</x:v>
      </x:c>
      <x:c r="S436" s="14" t="n">
        <x:v>2025</x:v>
      </x:c>
      <x:c r="T436" s="14" t="n">
        <x:v>2025</x:v>
      </x:c>
      <x:c r="U436" s="14" t="str">
        <x:v>Explicit source first year retained</x:v>
      </x:c>
      <x:c r="V436" s="14" t="str">
        <x:v>Earliest supplied year is 2025.</x:v>
      </x:c>
      <x:c r="W436" s="14"/>
      <x:c r="X436" s="14" t="str">
        <x:v>Carried forward to 2025</x:v>
      </x:c>
      <x:c r="Y436" s="14"/>
      <x:c r="Z436" s="14" t="str">
        <x:v>Rogue Heroes.docx</x:v>
      </x:c>
      <x:c r="AA43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BBC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HYPERLINK("https://en.wikipedia.org/wiki/Rogue_Heroes","Open source")</x:f>
        <x:v>HYPERLINK is not implemented. linkLocation=https://en.wikipedia.org/wiki/Rogue_Heroes, friendlyName=Open source</x:v>
      </x:c>
      <x:c r="AN436" s="14" t="str">
        <x:v>BBC public-service commission</x:v>
      </x:c>
      <x:c r="AO436" s="14" t="str">
        <x:v>Yes</x:v>
      </x:c>
      <x:c r="AP436" s="14" t="str">
        <x:v>Direct BBC public-service scope</x:v>
      </x:c>
      <x:c r="AQ436" s="14" t="str">
        <x:v>Yes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13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1</x:v>
      </x:c>
      <x:c r="BS436" s="16" t="n">
        <x:v>0.07692307692307693</x:v>
      </x:c>
      <x:c r="BT436" s="14" t="str">
        <x:v>One episode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tt10405370|nm15233908|supporting artist</x:v>
      </x:c>
      <x:c r="B437" s="14" t="str">
        <x:v>04</x:v>
      </x:c>
      <x:c r="C437" s="14" t="str">
        <x:v>2022_IMDb_Cast_Lists_Batch_04(1).xlsx</x:v>
      </x:c>
      <x:c r="D437" s="14" t="str">
        <x:v>Rogue Heroes</x:v>
      </x:c>
      <x:c r="E437" s="14" t="n">
        <x:v>95</x:v>
      </x:c>
      <x:c r="F437" s="14" t="str">
        <x:v>Rogue Heroes</x:v>
      </x:c>
      <x:c r="G437" s="14" t="str">
        <x:v>tt10405370</x:v>
      </x:c>
      <x:c r="H437" s="14" t="n">
        <x:v>2022</x:v>
      </x:c>
      <x:c r="I437" s="14" t="n">
        <x:v>2023</x:v>
      </x:c>
      <x:c r="J437" s="14" t="str">
        <x:v>Future Carry-Forward Cohort</x:v>
      </x:c>
      <x:c r="K437" s="14" t="n">
        <x:v>2022</x:v>
      </x:c>
      <x:c r="L437" s="14" t="str">
        <x:v>Not inherited</x:v>
      </x:c>
      <x:c r="M437" s="15" t="n">
        <x:v>88</x:v>
      </x:c>
      <x:c r="N437" s="14" t="str">
        <x:v>Evan Hartnett</x:v>
      </x:c>
      <x:c r="O437" s="14" t="str">
        <x:v>nm15233908</x:v>
      </x:c>
      <x:c r="P437" s="14" t="str">
        <x:v>Supporting Artist</x:v>
      </x:c>
      <x:c r="Q437" s="15" t="n">
        <x:v>1</x:v>
      </x:c>
      <x:c r="R437" s="14" t="str">
        <x:v>2025</x:v>
      </x:c>
      <x:c r="S437" s="14" t="n">
        <x:v>2025</x:v>
      </x:c>
      <x:c r="T437" s="14" t="n">
        <x:v>2025</x:v>
      </x:c>
      <x:c r="U437" s="14" t="str">
        <x:v>Explicit source first year retained</x:v>
      </x:c>
      <x:c r="V437" s="14" t="str">
        <x:v>Earliest supplied year is 2025.</x:v>
      </x:c>
      <x:c r="W437" s="14"/>
      <x:c r="X437" s="14" t="str">
        <x:v>Carried forward to 2025</x:v>
      </x:c>
      <x:c r="Y437" s="14"/>
      <x:c r="Z437" s="14" t="str">
        <x:v>Rogue Heroes.docx</x:v>
      </x:c>
      <x:c r="AA43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BBC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HYPERLINK("https://en.wikipedia.org/wiki/Rogue_Heroes","Open source")</x:f>
        <x:v>HYPERLINK is not implemented. linkLocation=https://en.wikipedia.org/wiki/Rogue_Heroes, friendlyName=Open source</x:v>
      </x:c>
      <x:c r="AN437" s="14" t="str">
        <x:v>BBC public-service commission</x:v>
      </x:c>
      <x:c r="AO437" s="14" t="str">
        <x:v>Yes</x:v>
      </x:c>
      <x:c r="AP437" s="14" t="str">
        <x:v>Direct BBC public-service scope</x:v>
      </x:c>
      <x:c r="AQ437" s="14" t="str">
        <x:v>Yes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13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1</x:v>
      </x:c>
      <x:c r="BS437" s="16" t="n">
        <x:v>0.07692307692307693</x:v>
      </x:c>
      <x:c r="BT437" s="14" t="str">
        <x:v>One episode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tt10405370|nm2196406|police officer</x:v>
      </x:c>
      <x:c r="B438" s="14" t="str">
        <x:v>04</x:v>
      </x:c>
      <x:c r="C438" s="14" t="str">
        <x:v>2022_IMDb_Cast_Lists_Batch_04(1).xlsx</x:v>
      </x:c>
      <x:c r="D438" s="14" t="str">
        <x:v>Rogue Heroes</x:v>
      </x:c>
      <x:c r="E438" s="14" t="n">
        <x:v>97</x:v>
      </x:c>
      <x:c r="F438" s="14" t="str">
        <x:v>Rogue Heroes</x:v>
      </x:c>
      <x:c r="G438" s="14" t="str">
        <x:v>tt10405370</x:v>
      </x:c>
      <x:c r="H438" s="14" t="n">
        <x:v>2022</x:v>
      </x:c>
      <x:c r="I438" s="14" t="n">
        <x:v>2023</x:v>
      </x:c>
      <x:c r="J438" s="14" t="str">
        <x:v>Future Carry-Forward Cohort</x:v>
      </x:c>
      <x:c r="K438" s="14" t="n">
        <x:v>2022</x:v>
      </x:c>
      <x:c r="L438" s="14" t="str">
        <x:v>Not inherited</x:v>
      </x:c>
      <x:c r="M438" s="15" t="n">
        <x:v>90</x:v>
      </x:c>
      <x:c r="N438" s="14" t="str">
        <x:v>Nigel Boyle</x:v>
      </x:c>
      <x:c r="O438" s="14" t="str">
        <x:v>nm2196406</x:v>
      </x:c>
      <x:c r="P438" s="14" t="str">
        <x:v>Police Officer</x:v>
      </x:c>
      <x:c r="Q438" s="15" t="n">
        <x:v>1</x:v>
      </x:c>
      <x:c r="R438" s="14" t="str">
        <x:v>2025</x:v>
      </x:c>
      <x:c r="S438" s="14" t="n">
        <x:v>2025</x:v>
      </x:c>
      <x:c r="T438" s="14" t="n">
        <x:v>2025</x:v>
      </x:c>
      <x:c r="U438" s="14" t="str">
        <x:v>Explicit source first year retained</x:v>
      </x:c>
      <x:c r="V438" s="14" t="str">
        <x:v>Earliest supplied year is 2025.</x:v>
      </x:c>
      <x:c r="W438" s="14"/>
      <x:c r="X438" s="14" t="str">
        <x:v>Carried forward to 2025</x:v>
      </x:c>
      <x:c r="Y438" s="14"/>
      <x:c r="Z438" s="14" t="str">
        <x:v>Rogue Heroes.docx</x:v>
      </x:c>
      <x:c r="AA43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BBC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HYPERLINK("https://en.wikipedia.org/wiki/Rogue_Heroes","Open source")</x:f>
        <x:v>HYPERLINK is not implemented. linkLocation=https://en.wikipedia.org/wiki/Rogue_Heroes, friendlyName=Open source</x:v>
      </x:c>
      <x:c r="AN438" s="14" t="str">
        <x:v>BBC public-service commission</x:v>
      </x:c>
      <x:c r="AO438" s="14" t="str">
        <x:v>Yes</x:v>
      </x:c>
      <x:c r="AP438" s="14" t="str">
        <x:v>Direct BBC public-service scope</x:v>
      </x:c>
      <x:c r="AQ438" s="14" t="str">
        <x:v>Yes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13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1</x:v>
      </x:c>
      <x:c r="BS438" s="16" t="n">
        <x:v>0.07692307692307693</x:v>
      </x:c>
      <x:c r="BT438" s="14" t="str">
        <x:v>One episode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tt10405370|nm9193972|supporting artist</x:v>
      </x:c>
      <x:c r="B439" s="14" t="str">
        <x:v>04</x:v>
      </x:c>
      <x:c r="C439" s="14" t="str">
        <x:v>2022_IMDb_Cast_Lists_Batch_04(1).xlsx</x:v>
      </x:c>
      <x:c r="D439" s="14" t="str">
        <x:v>Rogue Heroes</x:v>
      </x:c>
      <x:c r="E439" s="14" t="n">
        <x:v>98</x:v>
      </x:c>
      <x:c r="F439" s="14" t="str">
        <x:v>Rogue Heroes</x:v>
      </x:c>
      <x:c r="G439" s="14" t="str">
        <x:v>tt10405370</x:v>
      </x:c>
      <x:c r="H439" s="14" t="n">
        <x:v>2022</x:v>
      </x:c>
      <x:c r="I439" s="14" t="n">
        <x:v>2023</x:v>
      </x:c>
      <x:c r="J439" s="14" t="str">
        <x:v>Future Carry-Forward Cohort</x:v>
      </x:c>
      <x:c r="K439" s="14" t="n">
        <x:v>2022</x:v>
      </x:c>
      <x:c r="L439" s="14" t="str">
        <x:v>Not inherited</x:v>
      </x:c>
      <x:c r="M439" s="15" t="n">
        <x:v>91</x:v>
      </x:c>
      <x:c r="N439" s="14" t="str">
        <x:v>Matthew Hegarty</x:v>
      </x:c>
      <x:c r="O439" s="14" t="str">
        <x:v>nm9193972</x:v>
      </x:c>
      <x:c r="P439" s="14" t="str">
        <x:v>Supporting Artist</x:v>
      </x:c>
      <x:c r="Q439" s="15" t="n">
        <x:v>1</x:v>
      </x:c>
      <x:c r="R439" s="14" t="str">
        <x:v>2025</x:v>
      </x:c>
      <x:c r="S439" s="14" t="n">
        <x:v>2025</x:v>
      </x:c>
      <x:c r="T439" s="14" t="n">
        <x:v>2025</x:v>
      </x:c>
      <x:c r="U439" s="14" t="str">
        <x:v>Explicit source first year retained</x:v>
      </x:c>
      <x:c r="V439" s="14" t="str">
        <x:v>Earliest supplied year is 2025.</x:v>
      </x:c>
      <x:c r="W439" s="14"/>
      <x:c r="X439" s="14" t="str">
        <x:v>Carried forward to 2025</x:v>
      </x:c>
      <x:c r="Y439" s="14"/>
      <x:c r="Z439" s="14" t="str">
        <x:v>Rogue Heroes.docx</x:v>
      </x:c>
      <x:c r="AA43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BBC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HYPERLINK("https://en.wikipedia.org/wiki/Rogue_Heroes","Open source")</x:f>
        <x:v>HYPERLINK is not implemented. linkLocation=https://en.wikipedia.org/wiki/Rogue_Heroes, friendlyName=Open source</x:v>
      </x:c>
      <x:c r="AN439" s="14" t="str">
        <x:v>BBC public-service commission</x:v>
      </x:c>
      <x:c r="AO439" s="14" t="str">
        <x:v>Yes</x:v>
      </x:c>
      <x:c r="AP439" s="14" t="str">
        <x:v>Direct BBC public-service scope</x:v>
      </x:c>
      <x:c r="AQ439" s="14" t="str">
        <x:v>Yes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13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1</x:v>
      </x:c>
      <x:c r="BS439" s="16" t="n">
        <x:v>0.07692307692307693</x:v>
      </x:c>
      <x:c r="BT439" s="14" t="str">
        <x:v>One episode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tt10405370|nm3537262|italian guard</x:v>
      </x:c>
      <x:c r="B440" s="14" t="str">
        <x:v>04</x:v>
      </x:c>
      <x:c r="C440" s="14" t="str">
        <x:v>2022_IMDb_Cast_Lists_Batch_04(1).xlsx</x:v>
      </x:c>
      <x:c r="D440" s="14" t="str">
        <x:v>Rogue Heroes</x:v>
      </x:c>
      <x:c r="E440" s="14" t="n">
        <x:v>99</x:v>
      </x:c>
      <x:c r="F440" s="14" t="str">
        <x:v>Rogue Heroes</x:v>
      </x:c>
      <x:c r="G440" s="14" t="str">
        <x:v>tt10405370</x:v>
      </x:c>
      <x:c r="H440" s="14" t="n">
        <x:v>2022</x:v>
      </x:c>
      <x:c r="I440" s="14" t="n">
        <x:v>2023</x:v>
      </x:c>
      <x:c r="J440" s="14" t="str">
        <x:v>Future Carry-Forward Cohort</x:v>
      </x:c>
      <x:c r="K440" s="14" t="n">
        <x:v>2022</x:v>
      </x:c>
      <x:c r="L440" s="14" t="str">
        <x:v>Not inherited</x:v>
      </x:c>
      <x:c r="M440" s="15" t="n">
        <x:v>92</x:v>
      </x:c>
      <x:c r="N440" s="14" t="str">
        <x:v>Giulio Mezza</x:v>
      </x:c>
      <x:c r="O440" s="14" t="str">
        <x:v>nm3537262</x:v>
      </x:c>
      <x:c r="P440" s="14" t="str">
        <x:v>Italian Guard</x:v>
      </x:c>
      <x:c r="Q440" s="15" t="n">
        <x:v>1</x:v>
      </x:c>
      <x:c r="R440" s="14" t="str">
        <x:v>2025</x:v>
      </x:c>
      <x:c r="S440" s="14" t="n">
        <x:v>2025</x:v>
      </x:c>
      <x:c r="T440" s="14" t="n">
        <x:v>2025</x:v>
      </x:c>
      <x:c r="U440" s="14" t="str">
        <x:v>Explicit source first year retained</x:v>
      </x:c>
      <x:c r="V440" s="14" t="str">
        <x:v>Earliest supplied year is 2025.</x:v>
      </x:c>
      <x:c r="W440" s="14"/>
      <x:c r="X440" s="14" t="str">
        <x:v>Carried forward to 2025</x:v>
      </x:c>
      <x:c r="Y440" s="14"/>
      <x:c r="Z440" s="14" t="str">
        <x:v>Rogue Heroes.docx</x:v>
      </x:c>
      <x:c r="AA44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BBC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HYPERLINK("https://en.wikipedia.org/wiki/Rogue_Heroes","Open source")</x:f>
        <x:v>HYPERLINK is not implemented. linkLocation=https://en.wikipedia.org/wiki/Rogue_Heroes, friendlyName=Open source</x:v>
      </x:c>
      <x:c r="AN440" s="14" t="str">
        <x:v>BBC public-service commission</x:v>
      </x:c>
      <x:c r="AO440" s="14" t="str">
        <x:v>Yes</x:v>
      </x:c>
      <x:c r="AP440" s="14" t="str">
        <x:v>Direct BBC public-service scope</x:v>
      </x:c>
      <x:c r="AQ440" s="14" t="str">
        <x:v>Yes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13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1</x:v>
      </x:c>
      <x:c r="BS440" s="16" t="n">
        <x:v>0.07692307692307693</x:v>
      </x:c>
      <x:c r="BT440" s="14" t="str">
        <x:v>One episode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tt10405370|nm0458883|spotter in tower</x:v>
      </x:c>
      <x:c r="B441" s="14" t="str">
        <x:v>04</x:v>
      </x:c>
      <x:c r="C441" s="14" t="str">
        <x:v>2022_IMDb_Cast_Lists_Batch_04(1).xlsx</x:v>
      </x:c>
      <x:c r="D441" s="14" t="str">
        <x:v>Rogue Heroes</x:v>
      </x:c>
      <x:c r="E441" s="14" t="n">
        <x:v>101</x:v>
      </x:c>
      <x:c r="F441" s="14" t="str">
        <x:v>Rogue Heroes</x:v>
      </x:c>
      <x:c r="G441" s="14" t="str">
        <x:v>tt10405370</x:v>
      </x:c>
      <x:c r="H441" s="14" t="n">
        <x:v>2022</x:v>
      </x:c>
      <x:c r="I441" s="14" t="n">
        <x:v>2023</x:v>
      </x:c>
      <x:c r="J441" s="14" t="str">
        <x:v>Future Carry-Forward Cohort</x:v>
      </x:c>
      <x:c r="K441" s="14" t="n">
        <x:v>2022</x:v>
      </x:c>
      <x:c r="L441" s="14" t="str">
        <x:v>Not inherited</x:v>
      </x:c>
      <x:c r="M441" s="15" t="n">
        <x:v>94</x:v>
      </x:c>
      <x:c r="N441" s="14" t="str">
        <x:v>Manuel Klein</x:v>
      </x:c>
      <x:c r="O441" s="14" t="str">
        <x:v>nm0458883</x:v>
      </x:c>
      <x:c r="P441" s="14" t="str">
        <x:v>Spotter in Tower</x:v>
      </x:c>
      <x:c r="Q441" s="15" t="n">
        <x:v>1</x:v>
      </x:c>
      <x:c r="R441" s="14" t="str">
        <x:v>2025</x:v>
      </x:c>
      <x:c r="S441" s="14" t="n">
        <x:v>2025</x:v>
      </x:c>
      <x:c r="T441" s="14" t="n">
        <x:v>2025</x:v>
      </x:c>
      <x:c r="U441" s="14" t="str">
        <x:v>Explicit source first year retained</x:v>
      </x:c>
      <x:c r="V441" s="14" t="str">
        <x:v>Earliest supplied year is 2025.</x:v>
      </x:c>
      <x:c r="W441" s="14"/>
      <x:c r="X441" s="14" t="str">
        <x:v>Carried forward to 2025</x:v>
      </x:c>
      <x:c r="Y441" s="14"/>
      <x:c r="Z441" s="14" t="str">
        <x:v>Rogue Heroes.docx</x:v>
      </x:c>
      <x:c r="AA44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BBC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HYPERLINK("https://en.wikipedia.org/wiki/Rogue_Heroes","Open source")</x:f>
        <x:v>HYPERLINK is not implemented. linkLocation=https://en.wikipedia.org/wiki/Rogue_Heroes, friendlyName=Open source</x:v>
      </x:c>
      <x:c r="AN441" s="14" t="str">
        <x:v>BBC public-service commission</x:v>
      </x:c>
      <x:c r="AO441" s="14" t="str">
        <x:v>Yes</x:v>
      </x:c>
      <x:c r="AP441" s="14" t="str">
        <x:v>Direct BBC public-service scope</x:v>
      </x:c>
      <x:c r="AQ441" s="14" t="str">
        <x:v>Yes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13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1</x:v>
      </x:c>
      <x:c r="BS441" s="16" t="n">
        <x:v>0.07692307692307693</x:v>
      </x:c>
      <x:c r="BT441" s="14" t="str">
        <x:v>One episode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tt10405370|nm13641790|supporting artist</x:v>
      </x:c>
      <x:c r="B442" s="14" t="str">
        <x:v>04</x:v>
      </x:c>
      <x:c r="C442" s="14" t="str">
        <x:v>2022_IMDb_Cast_Lists_Batch_04(1).xlsx</x:v>
      </x:c>
      <x:c r="D442" s="14" t="str">
        <x:v>Rogue Heroes</x:v>
      </x:c>
      <x:c r="E442" s="14" t="n">
        <x:v>102</x:v>
      </x:c>
      <x:c r="F442" s="14" t="str">
        <x:v>Rogue Heroes</x:v>
      </x:c>
      <x:c r="G442" s="14" t="str">
        <x:v>tt10405370</x:v>
      </x:c>
      <x:c r="H442" s="14" t="n">
        <x:v>2022</x:v>
      </x:c>
      <x:c r="I442" s="14" t="n">
        <x:v>2023</x:v>
      </x:c>
      <x:c r="J442" s="14" t="str">
        <x:v>Future Carry-Forward Cohort</x:v>
      </x:c>
      <x:c r="K442" s="14" t="n">
        <x:v>2022</x:v>
      </x:c>
      <x:c r="L442" s="14" t="str">
        <x:v>Not inherited</x:v>
      </x:c>
      <x:c r="M442" s="15" t="n">
        <x:v>95</x:v>
      </x:c>
      <x:c r="N442" s="14" t="str">
        <x:v>Joshua de Marcos</x:v>
      </x:c>
      <x:c r="O442" s="14" t="str">
        <x:v>nm13641790</x:v>
      </x:c>
      <x:c r="P442" s="14" t="str">
        <x:v>Supporting Artist</x:v>
      </x:c>
      <x:c r="Q442" s="15" t="n">
        <x:v>1</x:v>
      </x:c>
      <x:c r="R442" s="14" t="str">
        <x:v>2025</x:v>
      </x:c>
      <x:c r="S442" s="14" t="n">
        <x:v>2025</x:v>
      </x:c>
      <x:c r="T442" s="14" t="n">
        <x:v>2025</x:v>
      </x:c>
      <x:c r="U442" s="14" t="str">
        <x:v>Explicit source first year retained</x:v>
      </x:c>
      <x:c r="V442" s="14" t="str">
        <x:v>Earliest supplied year is 2025.</x:v>
      </x:c>
      <x:c r="W442" s="14"/>
      <x:c r="X442" s="14" t="str">
        <x:v>Carried forward to 2025</x:v>
      </x:c>
      <x:c r="Y442" s="14"/>
      <x:c r="Z442" s="14" t="str">
        <x:v>Rogue Heroes.docx</x:v>
      </x:c>
      <x:c r="AA44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BBC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HYPERLINK("https://en.wikipedia.org/wiki/Rogue_Heroes","Open source")</x:f>
        <x:v>HYPERLINK is not implemented. linkLocation=https://en.wikipedia.org/wiki/Rogue_Heroes, friendlyName=Open source</x:v>
      </x:c>
      <x:c r="AN442" s="14" t="str">
        <x:v>BBC public-service commission</x:v>
      </x:c>
      <x:c r="AO442" s="14" t="str">
        <x:v>Yes</x:v>
      </x:c>
      <x:c r="AP442" s="14" t="str">
        <x:v>Direct BBC public-service scope</x:v>
      </x:c>
      <x:c r="AQ442" s="14" t="str">
        <x:v>Yes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13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1</x:v>
      </x:c>
      <x:c r="BS442" s="16" t="n">
        <x:v>0.07692307692307693</x:v>
      </x:c>
      <x:c r="BT442" s="14" t="str">
        <x:v>One episode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tt10405370|nm5273954|italian farmer</x:v>
      </x:c>
      <x:c r="B443" s="14" t="str">
        <x:v>04</x:v>
      </x:c>
      <x:c r="C443" s="14" t="str">
        <x:v>2022_IMDb_Cast_Lists_Batch_04(1).xlsx</x:v>
      </x:c>
      <x:c r="D443" s="14" t="str">
        <x:v>Rogue Heroes</x:v>
      </x:c>
      <x:c r="E443" s="14" t="n">
        <x:v>103</x:v>
      </x:c>
      <x:c r="F443" s="14" t="str">
        <x:v>Rogue Heroes</x:v>
      </x:c>
      <x:c r="G443" s="14" t="str">
        <x:v>tt10405370</x:v>
      </x:c>
      <x:c r="H443" s="14" t="n">
        <x:v>2022</x:v>
      </x:c>
      <x:c r="I443" s="14" t="n">
        <x:v>2023</x:v>
      </x:c>
      <x:c r="J443" s="14" t="str">
        <x:v>Future Carry-Forward Cohort</x:v>
      </x:c>
      <x:c r="K443" s="14" t="n">
        <x:v>2022</x:v>
      </x:c>
      <x:c r="L443" s="14" t="str">
        <x:v>Not inherited</x:v>
      </x:c>
      <x:c r="M443" s="15" t="n">
        <x:v>96</x:v>
      </x:c>
      <x:c r="N443" s="14" t="str">
        <x:v>Thomas Tinker</x:v>
      </x:c>
      <x:c r="O443" s="14" t="str">
        <x:v>nm5273954</x:v>
      </x:c>
      <x:c r="P443" s="14" t="str">
        <x:v>Italian Farmer</x:v>
      </x:c>
      <x:c r="Q443" s="15" t="n">
        <x:v>1</x:v>
      </x:c>
      <x:c r="R443" s="14" t="str">
        <x:v>2025</x:v>
      </x:c>
      <x:c r="S443" s="14" t="n">
        <x:v>2025</x:v>
      </x:c>
      <x:c r="T443" s="14" t="n">
        <x:v>2025</x:v>
      </x:c>
      <x:c r="U443" s="14" t="str">
        <x:v>Explicit source first year retained</x:v>
      </x:c>
      <x:c r="V443" s="14" t="str">
        <x:v>Earliest supplied year is 2025.</x:v>
      </x:c>
      <x:c r="W443" s="14"/>
      <x:c r="X443" s="14" t="str">
        <x:v>Carried forward to 2025</x:v>
      </x:c>
      <x:c r="Y443" s="14"/>
      <x:c r="Z443" s="14" t="str">
        <x:v>Rogue Heroes.docx</x:v>
      </x:c>
      <x:c r="AA44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BBC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HYPERLINK("https://en.wikipedia.org/wiki/Rogue_Heroes","Open source")</x:f>
        <x:v>HYPERLINK is not implemented. linkLocation=https://en.wikipedia.org/wiki/Rogue_Heroes, friendlyName=Open source</x:v>
      </x:c>
      <x:c r="AN443" s="14" t="str">
        <x:v>BBC public-service commission</x:v>
      </x:c>
      <x:c r="AO443" s="14" t="str">
        <x:v>Yes</x:v>
      </x:c>
      <x:c r="AP443" s="14" t="str">
        <x:v>Direct BBC public-service scope</x:v>
      </x:c>
      <x:c r="AQ443" s="14" t="str">
        <x:v>Yes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13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1</x:v>
      </x:c>
      <x:c r="BS443" s="16" t="n">
        <x:v>0.07692307692307693</x:v>
      </x:c>
      <x:c r="BT443" s="14" t="str">
        <x:v>One episode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tt10405370|nm16974198|messenger</x:v>
      </x:c>
      <x:c r="B444" s="14" t="str">
        <x:v>04</x:v>
      </x:c>
      <x:c r="C444" s="14" t="str">
        <x:v>2022_IMDb_Cast_Lists_Batch_04(1).xlsx</x:v>
      </x:c>
      <x:c r="D444" s="14" t="str">
        <x:v>Rogue Heroes</x:v>
      </x:c>
      <x:c r="E444" s="14" t="n">
        <x:v>104</x:v>
      </x:c>
      <x:c r="F444" s="14" t="str">
        <x:v>Rogue Heroes</x:v>
      </x:c>
      <x:c r="G444" s="14" t="str">
        <x:v>tt10405370</x:v>
      </x:c>
      <x:c r="H444" s="14" t="n">
        <x:v>2022</x:v>
      </x:c>
      <x:c r="I444" s="14" t="n">
        <x:v>2023</x:v>
      </x:c>
      <x:c r="J444" s="14" t="str">
        <x:v>Future Carry-Forward Cohort</x:v>
      </x:c>
      <x:c r="K444" s="14" t="n">
        <x:v>2022</x:v>
      </x:c>
      <x:c r="L444" s="14" t="str">
        <x:v>Not inherited</x:v>
      </x:c>
      <x:c r="M444" s="15" t="n">
        <x:v>97</x:v>
      </x:c>
      <x:c r="N444" s="14" t="str">
        <x:v>Benedict Wishart</x:v>
      </x:c>
      <x:c r="O444" s="14" t="str">
        <x:v>nm16974198</x:v>
      </x:c>
      <x:c r="P444" s="14" t="str">
        <x:v>Messenger</x:v>
      </x:c>
      <x:c r="Q444" s="15" t="n">
        <x:v>1</x:v>
      </x:c>
      <x:c r="R444" s="14" t="str">
        <x:v>2025</x:v>
      </x:c>
      <x:c r="S444" s="14" t="n">
        <x:v>2025</x:v>
      </x:c>
      <x:c r="T444" s="14" t="n">
        <x:v>2025</x:v>
      </x:c>
      <x:c r="U444" s="14" t="str">
        <x:v>Explicit source first year retained</x:v>
      </x:c>
      <x:c r="V444" s="14" t="str">
        <x:v>Earliest supplied year is 2025.</x:v>
      </x:c>
      <x:c r="W444" s="14"/>
      <x:c r="X444" s="14" t="str">
        <x:v>Carried forward to 2025</x:v>
      </x:c>
      <x:c r="Y444" s="14"/>
      <x:c r="Z444" s="14" t="str">
        <x:v>Rogue Heroes.docx</x:v>
      </x:c>
      <x:c r="AA44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BBC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HYPERLINK("https://en.wikipedia.org/wiki/Rogue_Heroes","Open source")</x:f>
        <x:v>HYPERLINK is not implemented. linkLocation=https://en.wikipedia.org/wiki/Rogue_Heroes, friendlyName=Open source</x:v>
      </x:c>
      <x:c r="AN444" s="14" t="str">
        <x:v>BBC public-service commission</x:v>
      </x:c>
      <x:c r="AO444" s="14" t="str">
        <x:v>Yes</x:v>
      </x:c>
      <x:c r="AP444" s="14" t="str">
        <x:v>Direct BBC public-service scope</x:v>
      </x:c>
      <x:c r="AQ444" s="14" t="str">
        <x:v>Yes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13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1</x:v>
      </x:c>
      <x:c r="BS444" s="16" t="n">
        <x:v>0.07692307692307693</x:v>
      </x:c>
      <x:c r="BT444" s="14" t="str">
        <x:v>One episode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tt10405370|nm1259108|ritz waiter</x:v>
      </x:c>
      <x:c r="B445" s="14" t="str">
        <x:v>04</x:v>
      </x:c>
      <x:c r="C445" s="14" t="str">
        <x:v>2022_IMDb_Cast_Lists_Batch_04(1).xlsx</x:v>
      </x:c>
      <x:c r="D445" s="14" t="str">
        <x:v>Rogue Heroes</x:v>
      </x:c>
      <x:c r="E445" s="14" t="n">
        <x:v>105</x:v>
      </x:c>
      <x:c r="F445" s="14" t="str">
        <x:v>Rogue Heroes</x:v>
      </x:c>
      <x:c r="G445" s="14" t="str">
        <x:v>tt10405370</x:v>
      </x:c>
      <x:c r="H445" s="14" t="n">
        <x:v>2022</x:v>
      </x:c>
      <x:c r="I445" s="14" t="n">
        <x:v>2023</x:v>
      </x:c>
      <x:c r="J445" s="14" t="str">
        <x:v>Future Carry-Forward Cohort</x:v>
      </x:c>
      <x:c r="K445" s="14" t="n">
        <x:v>2022</x:v>
      </x:c>
      <x:c r="L445" s="14" t="str">
        <x:v>Not inherited</x:v>
      </x:c>
      <x:c r="M445" s="15" t="n">
        <x:v>98</x:v>
      </x:c>
      <x:c r="N445" s="14" t="str">
        <x:v>David Langham</x:v>
      </x:c>
      <x:c r="O445" s="14" t="str">
        <x:v>nm1259108</x:v>
      </x:c>
      <x:c r="P445" s="14" t="str">
        <x:v>Ritz Waiter</x:v>
      </x:c>
      <x:c r="Q445" s="15" t="n">
        <x:v>1</x:v>
      </x:c>
      <x:c r="R445" s="14" t="str">
        <x:v>2025</x:v>
      </x:c>
      <x:c r="S445" s="14" t="n">
        <x:v>2025</x:v>
      </x:c>
      <x:c r="T445" s="14" t="n">
        <x:v>2025</x:v>
      </x:c>
      <x:c r="U445" s="14" t="str">
        <x:v>Explicit source first year retained</x:v>
      </x:c>
      <x:c r="V445" s="14" t="str">
        <x:v>Earliest supplied year is 2025.</x:v>
      </x:c>
      <x:c r="W445" s="14"/>
      <x:c r="X445" s="14" t="str">
        <x:v>Carried forward to 2025</x:v>
      </x:c>
      <x:c r="Y445" s="14"/>
      <x:c r="Z445" s="14" t="str">
        <x:v>Rogue Heroes.docx</x:v>
      </x:c>
      <x:c r="AA44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BBC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HYPERLINK("https://en.wikipedia.org/wiki/Rogue_Heroes","Open source")</x:f>
        <x:v>HYPERLINK is not implemented. linkLocation=https://en.wikipedia.org/wiki/Rogue_Heroes, friendlyName=Open source</x:v>
      </x:c>
      <x:c r="AN445" s="14" t="str">
        <x:v>BBC public-service commission</x:v>
      </x:c>
      <x:c r="AO445" s="14" t="str">
        <x:v>Yes</x:v>
      </x:c>
      <x:c r="AP445" s="14" t="str">
        <x:v>Direct BBC public-service scope</x:v>
      </x:c>
      <x:c r="AQ445" s="14" t="str">
        <x:v>Yes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13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1</x:v>
      </x:c>
      <x:c r="BS445" s="16" t="n">
        <x:v>0.07692307692307693</x:v>
      </x:c>
      <x:c r="BT445" s="14" t="str">
        <x:v>One episode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tt10405370|nm8753224|italian driver</x:v>
      </x:c>
      <x:c r="B446" s="14" t="str">
        <x:v>04</x:v>
      </x:c>
      <x:c r="C446" s="14" t="str">
        <x:v>2022_IMDb_Cast_Lists_Batch_04(1).xlsx</x:v>
      </x:c>
      <x:c r="D446" s="14" t="str">
        <x:v>Rogue Heroes</x:v>
      </x:c>
      <x:c r="E446" s="14" t="n">
        <x:v>106</x:v>
      </x:c>
      <x:c r="F446" s="14" t="str">
        <x:v>Rogue Heroes</x:v>
      </x:c>
      <x:c r="G446" s="14" t="str">
        <x:v>tt10405370</x:v>
      </x:c>
      <x:c r="H446" s="14" t="n">
        <x:v>2022</x:v>
      </x:c>
      <x:c r="I446" s="14" t="n">
        <x:v>2023</x:v>
      </x:c>
      <x:c r="J446" s="14" t="str">
        <x:v>Future Carry-Forward Cohort</x:v>
      </x:c>
      <x:c r="K446" s="14" t="n">
        <x:v>2022</x:v>
      </x:c>
      <x:c r="L446" s="14" t="str">
        <x:v>Not inherited</x:v>
      </x:c>
      <x:c r="M446" s="15" t="n">
        <x:v>99</x:v>
      </x:c>
      <x:c r="N446" s="14" t="str">
        <x:v>Amedeo Bianchimano</x:v>
      </x:c>
      <x:c r="O446" s="14" t="str">
        <x:v>nm8753224</x:v>
      </x:c>
      <x:c r="P446" s="14" t="str">
        <x:v>Italian Driver</x:v>
      </x:c>
      <x:c r="Q446" s="15" t="n">
        <x:v>1</x:v>
      </x:c>
      <x:c r="R446" s="14" t="str">
        <x:v>2025</x:v>
      </x:c>
      <x:c r="S446" s="14" t="n">
        <x:v>2025</x:v>
      </x:c>
      <x:c r="T446" s="14" t="n">
        <x:v>2025</x:v>
      </x:c>
      <x:c r="U446" s="14" t="str">
        <x:v>Explicit source first year retained</x:v>
      </x:c>
      <x:c r="V446" s="14" t="str">
        <x:v>Earliest supplied year is 2025.</x:v>
      </x:c>
      <x:c r="W446" s="14"/>
      <x:c r="X446" s="14" t="str">
        <x:v>Carried forward to 2025</x:v>
      </x:c>
      <x:c r="Y446" s="14"/>
      <x:c r="Z446" s="14" t="str">
        <x:v>Rogue Heroes.docx</x:v>
      </x:c>
      <x:c r="AA44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BBC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HYPERLINK("https://en.wikipedia.org/wiki/Rogue_Heroes","Open source")</x:f>
        <x:v>HYPERLINK is not implemented. linkLocation=https://en.wikipedia.org/wiki/Rogue_Heroes, friendlyName=Open source</x:v>
      </x:c>
      <x:c r="AN446" s="14" t="str">
        <x:v>BBC public-service commission</x:v>
      </x:c>
      <x:c r="AO446" s="14" t="str">
        <x:v>Yes</x:v>
      </x:c>
      <x:c r="AP446" s="14" t="str">
        <x:v>Direct BBC public-service scope</x:v>
      </x:c>
      <x:c r="AQ446" s="14" t="str">
        <x:v>Yes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13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1</x:v>
      </x:c>
      <x:c r="BS446" s="16" t="n">
        <x:v>0.07692307692307693</x:v>
      </x:c>
      <x:c r="BT446" s="14" t="str">
        <x:v>One episode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tt10405370|nm1601096|general heidrich</x:v>
      </x:c>
      <x:c r="B447" s="14" t="str">
        <x:v>04</x:v>
      </x:c>
      <x:c r="C447" s="14" t="str">
        <x:v>2022_IMDb_Cast_Lists_Batch_04(1).xlsx</x:v>
      </x:c>
      <x:c r="D447" s="14" t="str">
        <x:v>Rogue Heroes</x:v>
      </x:c>
      <x:c r="E447" s="14" t="n">
        <x:v>108</x:v>
      </x:c>
      <x:c r="F447" s="14" t="str">
        <x:v>Rogue Heroes</x:v>
      </x:c>
      <x:c r="G447" s="14" t="str">
        <x:v>tt10405370</x:v>
      </x:c>
      <x:c r="H447" s="14" t="n">
        <x:v>2022</x:v>
      </x:c>
      <x:c r="I447" s="14" t="n">
        <x:v>2023</x:v>
      </x:c>
      <x:c r="J447" s="14" t="str">
        <x:v>Future Carry-Forward Cohort</x:v>
      </x:c>
      <x:c r="K447" s="14" t="n">
        <x:v>2022</x:v>
      </x:c>
      <x:c r="L447" s="14" t="str">
        <x:v>Not inherited</x:v>
      </x:c>
      <x:c r="M447" s="15" t="n">
        <x:v>101</x:v>
      </x:c>
      <x:c r="N447" s="14" t="str">
        <x:v>Robert Dölle</x:v>
      </x:c>
      <x:c r="O447" s="14" t="str">
        <x:v>nm1601096</x:v>
      </x:c>
      <x:c r="P447" s="14" t="str">
        <x:v>General Heidrich</x:v>
      </x:c>
      <x:c r="Q447" s="15" t="n">
        <x:v>1</x:v>
      </x:c>
      <x:c r="R447" s="14" t="str">
        <x:v>2025</x:v>
      </x:c>
      <x:c r="S447" s="14" t="n">
        <x:v>2025</x:v>
      </x:c>
      <x:c r="T447" s="14" t="n">
        <x:v>2025</x:v>
      </x:c>
      <x:c r="U447" s="14" t="str">
        <x:v>Explicit source first year retained</x:v>
      </x:c>
      <x:c r="V447" s="14" t="str">
        <x:v>Earliest supplied year is 2025.</x:v>
      </x:c>
      <x:c r="W447" s="14"/>
      <x:c r="X447" s="14" t="str">
        <x:v>Carried forward to 2025</x:v>
      </x:c>
      <x:c r="Y447" s="14"/>
      <x:c r="Z447" s="14" t="str">
        <x:v>Rogue Heroes.docx</x:v>
      </x:c>
      <x:c r="AA44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BBC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HYPERLINK("https://en.wikipedia.org/wiki/Rogue_Heroes","Open source")</x:f>
        <x:v>HYPERLINK is not implemented. linkLocation=https://en.wikipedia.org/wiki/Rogue_Heroes, friendlyName=Open source</x:v>
      </x:c>
      <x:c r="AN447" s="14" t="str">
        <x:v>BBC public-service commission</x:v>
      </x:c>
      <x:c r="AO447" s="14" t="str">
        <x:v>Yes</x:v>
      </x:c>
      <x:c r="AP447" s="14" t="str">
        <x:v>Direct BBC public-service scope</x:v>
      </x:c>
      <x:c r="AQ447" s="14" t="str">
        <x:v>Yes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13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1</x:v>
      </x:c>
      <x:c r="BS447" s="16" t="n">
        <x:v>0.07692307692307693</x:v>
      </x:c>
      <x:c r="BT447" s="14" t="str">
        <x:v>One episode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tt10405370|nm12267448|american soldier</x:v>
      </x:c>
      <x:c r="B448" s="14" t="str">
        <x:v>04</x:v>
      </x:c>
      <x:c r="C448" s="14" t="str">
        <x:v>2022_IMDb_Cast_Lists_Batch_04(1).xlsx</x:v>
      </x:c>
      <x:c r="D448" s="14" t="str">
        <x:v>Rogue Heroes</x:v>
      </x:c>
      <x:c r="E448" s="14" t="n">
        <x:v>109</x:v>
      </x:c>
      <x:c r="F448" s="14" t="str">
        <x:v>Rogue Heroes</x:v>
      </x:c>
      <x:c r="G448" s="14" t="str">
        <x:v>tt10405370</x:v>
      </x:c>
      <x:c r="H448" s="14" t="n">
        <x:v>2022</x:v>
      </x:c>
      <x:c r="I448" s="14" t="n">
        <x:v>2023</x:v>
      </x:c>
      <x:c r="J448" s="14" t="str">
        <x:v>Future Carry-Forward Cohort</x:v>
      </x:c>
      <x:c r="K448" s="14" t="n">
        <x:v>2022</x:v>
      </x:c>
      <x:c r="L448" s="14" t="str">
        <x:v>Not inherited</x:v>
      </x:c>
      <x:c r="M448" s="15" t="n">
        <x:v>102</x:v>
      </x:c>
      <x:c r="N448" s="14" t="str">
        <x:v>Kelvin Ade</x:v>
      </x:c>
      <x:c r="O448" s="14" t="str">
        <x:v>nm12267448</x:v>
      </x:c>
      <x:c r="P448" s="14" t="str">
        <x:v>American Soldier</x:v>
      </x:c>
      <x:c r="Q448" s="15" t="n">
        <x:v>1</x:v>
      </x:c>
      <x:c r="R448" s="14" t="str">
        <x:v>2025</x:v>
      </x:c>
      <x:c r="S448" s="14" t="n">
        <x:v>2025</x:v>
      </x:c>
      <x:c r="T448" s="14" t="n">
        <x:v>2025</x:v>
      </x:c>
      <x:c r="U448" s="14" t="str">
        <x:v>Explicit source first year retained</x:v>
      </x:c>
      <x:c r="V448" s="14" t="str">
        <x:v>Earliest supplied year is 2025.</x:v>
      </x:c>
      <x:c r="W448" s="14"/>
      <x:c r="X448" s="14" t="str">
        <x:v>Carried forward to 2025</x:v>
      </x:c>
      <x:c r="Y448" s="14"/>
      <x:c r="Z448" s="14" t="str">
        <x:v>Rogue Heroes.docx</x:v>
      </x:c>
      <x:c r="AA44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BBC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HYPERLINK("https://en.wikipedia.org/wiki/Rogue_Heroes","Open source")</x:f>
        <x:v>HYPERLINK is not implemented. linkLocation=https://en.wikipedia.org/wiki/Rogue_Heroes, friendlyName=Open source</x:v>
      </x:c>
      <x:c r="AN448" s="14" t="str">
        <x:v>BBC public-service commission</x:v>
      </x:c>
      <x:c r="AO448" s="14" t="str">
        <x:v>Yes</x:v>
      </x:c>
      <x:c r="AP448" s="14" t="str">
        <x:v>Direct BBC public-service scope</x:v>
      </x:c>
      <x:c r="AQ448" s="14" t="str">
        <x:v>Yes</x:v>
      </x:c>
      <x:c r="AR448" s="14" t="str">
        <x:v>Resolved from master register</x:v>
      </x:c>
      <x:c r="AS448" s="14" t="str">
        <x:v>No established-register match</x:v>
      </x:c>
      <x:c r="AT448" s="14"/>
      <x:c r="AU448" s="14"/>
      <x:c r="AV448" s="14" t="str">
        <x:v>No established apparent-disability match</x:v>
      </x:c>
      <x:c r="AW448" s="14"/>
      <x:c r="AX448" s="14" t="str">
        <x:v>No</x:v>
      </x:c>
      <x:c r="AY448" s="14" t="str">
        <x:v>Unmatched</x:v>
      </x:c>
      <x:c r="AZ448" s="14" t="str">
        <x:v>Final supplied register</x:v>
      </x:c>
      <x:c r="BA448" s="14" t="str">
        <x:v>Absence from the register is not evidence that the performer is not disabled.</x:v>
      </x:c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13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1</x:v>
      </x:c>
      <x:c r="BS448" s="16" t="n">
        <x:v>0.07692307692307693</x:v>
      </x:c>
      <x:c r="BT448" s="14" t="str">
        <x:v>One episode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tt10405370|nm8464631|italian collaborator</x:v>
      </x:c>
      <x:c r="B449" s="14" t="str">
        <x:v>04</x:v>
      </x:c>
      <x:c r="C449" s="14" t="str">
        <x:v>2022_IMDb_Cast_Lists_Batch_04(1).xlsx</x:v>
      </x:c>
      <x:c r="D449" s="14" t="str">
        <x:v>Rogue Heroes</x:v>
      </x:c>
      <x:c r="E449" s="14" t="n">
        <x:v>110</x:v>
      </x:c>
      <x:c r="F449" s="14" t="str">
        <x:v>Rogue Heroes</x:v>
      </x:c>
      <x:c r="G449" s="14" t="str">
        <x:v>tt10405370</x:v>
      </x:c>
      <x:c r="H449" s="14" t="n">
        <x:v>2022</x:v>
      </x:c>
      <x:c r="I449" s="14" t="n">
        <x:v>2023</x:v>
      </x:c>
      <x:c r="J449" s="14" t="str">
        <x:v>Future Carry-Forward Cohort</x:v>
      </x:c>
      <x:c r="K449" s="14" t="n">
        <x:v>2022</x:v>
      </x:c>
      <x:c r="L449" s="14" t="str">
        <x:v>Not inherited</x:v>
      </x:c>
      <x:c r="M449" s="15" t="n">
        <x:v>103</x:v>
      </x:c>
      <x:c r="N449" s="14" t="str">
        <x:v>Alessio Montagnani</x:v>
      </x:c>
      <x:c r="O449" s="14" t="str">
        <x:v>nm8464631</x:v>
      </x:c>
      <x:c r="P449" s="14" t="str">
        <x:v>Italian Collaborator</x:v>
      </x:c>
      <x:c r="Q449" s="15" t="n">
        <x:v>1</x:v>
      </x:c>
      <x:c r="R449" s="14" t="str">
        <x:v>2025</x:v>
      </x:c>
      <x:c r="S449" s="14" t="n">
        <x:v>2025</x:v>
      </x:c>
      <x:c r="T449" s="14" t="n">
        <x:v>2025</x:v>
      </x:c>
      <x:c r="U449" s="14" t="str">
        <x:v>Explicit source first year retained</x:v>
      </x:c>
      <x:c r="V449" s="14" t="str">
        <x:v>Earliest supplied year is 2025.</x:v>
      </x:c>
      <x:c r="W449" s="14"/>
      <x:c r="X449" s="14" t="str">
        <x:v>Carried forward to 2025</x:v>
      </x:c>
      <x:c r="Y449" s="14"/>
      <x:c r="Z449" s="14" t="str">
        <x:v>Rogue Heroes.docx</x:v>
      </x:c>
      <x:c r="AA44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BBC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HYPERLINK("https://en.wikipedia.org/wiki/Rogue_Heroes","Open source")</x:f>
        <x:v>HYPERLINK is not implemented. linkLocation=https://en.wikipedia.org/wiki/Rogue_Heroes, friendlyName=Open source</x:v>
      </x:c>
      <x:c r="AN449" s="14" t="str">
        <x:v>BBC public-service commission</x:v>
      </x:c>
      <x:c r="AO449" s="14" t="str">
        <x:v>Yes</x:v>
      </x:c>
      <x:c r="AP449" s="14" t="str">
        <x:v>Direct BBC public-service scope</x:v>
      </x:c>
      <x:c r="AQ449" s="14" t="str">
        <x:v>Yes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13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1</x:v>
      </x:c>
      <x:c r="BS449" s="16" t="n">
        <x:v>0.07692307692307693</x:v>
      </x:c>
      <x:c r="BT449" s="14" t="str">
        <x:v>One episode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tt10405370|nm16889999|supporting artist</x:v>
      </x:c>
      <x:c r="B450" s="14" t="str">
        <x:v>04</x:v>
      </x:c>
      <x:c r="C450" s="14" t="str">
        <x:v>2022_IMDb_Cast_Lists_Batch_04(1).xlsx</x:v>
      </x:c>
      <x:c r="D450" s="14" t="str">
        <x:v>Rogue Heroes</x:v>
      </x:c>
      <x:c r="E450" s="14" t="n">
        <x:v>111</x:v>
      </x:c>
      <x:c r="F450" s="14" t="str">
        <x:v>Rogue Heroes</x:v>
      </x:c>
      <x:c r="G450" s="14" t="str">
        <x:v>tt10405370</x:v>
      </x:c>
      <x:c r="H450" s="14" t="n">
        <x:v>2022</x:v>
      </x:c>
      <x:c r="I450" s="14" t="n">
        <x:v>2023</x:v>
      </x:c>
      <x:c r="J450" s="14" t="str">
        <x:v>Future Carry-Forward Cohort</x:v>
      </x:c>
      <x:c r="K450" s="14" t="n">
        <x:v>2022</x:v>
      </x:c>
      <x:c r="L450" s="14" t="str">
        <x:v>Not inherited</x:v>
      </x:c>
      <x:c r="M450" s="15" t="n">
        <x:v>104</x:v>
      </x:c>
      <x:c r="N450" s="14" t="str">
        <x:v>Luke Mazzamuto</x:v>
      </x:c>
      <x:c r="O450" s="14" t="str">
        <x:v>nm16889999</x:v>
      </x:c>
      <x:c r="P450" s="14" t="str">
        <x:v>Supporting Artist</x:v>
      </x:c>
      <x:c r="Q450" s="15" t="n">
        <x:v>1</x:v>
      </x:c>
      <x:c r="R450" s="14" t="str">
        <x:v>2025</x:v>
      </x:c>
      <x:c r="S450" s="14" t="n">
        <x:v>2025</x:v>
      </x:c>
      <x:c r="T450" s="14" t="n">
        <x:v>2025</x:v>
      </x:c>
      <x:c r="U450" s="14" t="str">
        <x:v>Explicit source first year retained</x:v>
      </x:c>
      <x:c r="V450" s="14" t="str">
        <x:v>Earliest supplied year is 2025.</x:v>
      </x:c>
      <x:c r="W450" s="14"/>
      <x:c r="X450" s="14" t="str">
        <x:v>Carried forward to 2025</x:v>
      </x:c>
      <x:c r="Y450" s="14"/>
      <x:c r="Z450" s="14" t="str">
        <x:v>Rogue Heroes.docx</x:v>
      </x:c>
      <x:c r="AA45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BBC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HYPERLINK("https://en.wikipedia.org/wiki/Rogue_Heroes","Open source")</x:f>
        <x:v>HYPERLINK is not implemented. linkLocation=https://en.wikipedia.org/wiki/Rogue_Heroes, friendlyName=Open source</x:v>
      </x:c>
      <x:c r="AN450" s="14" t="str">
        <x:v>BBC public-service commission</x:v>
      </x:c>
      <x:c r="AO450" s="14" t="str">
        <x:v>Yes</x:v>
      </x:c>
      <x:c r="AP450" s="14" t="str">
        <x:v>Direct BBC public-service scope</x:v>
      </x:c>
      <x:c r="AQ450" s="14" t="str">
        <x:v>Yes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13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1</x:v>
      </x:c>
      <x:c r="BS450" s="16" t="n">
        <x:v>0.07692307692307693</x:v>
      </x:c>
      <x:c r="BT450" s="14" t="str">
        <x:v>One episode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tt10405370|nm11123420|daphne reece williams</x:v>
      </x:c>
      <x:c r="B451" s="14" t="str">
        <x:v>04</x:v>
      </x:c>
      <x:c r="C451" s="14" t="str">
        <x:v>2022_IMDb_Cast_Lists_Batch_04(1).xlsx</x:v>
      </x:c>
      <x:c r="D451" s="14" t="str">
        <x:v>Rogue Heroes</x:v>
      </x:c>
      <x:c r="E451" s="14" t="n">
        <x:v>113</x:v>
      </x:c>
      <x:c r="F451" s="14" t="str">
        <x:v>Rogue Heroes</x:v>
      </x:c>
      <x:c r="G451" s="14" t="str">
        <x:v>tt10405370</x:v>
      </x:c>
      <x:c r="H451" s="14" t="n">
        <x:v>2022</x:v>
      </x:c>
      <x:c r="I451" s="14" t="n">
        <x:v>2023</x:v>
      </x:c>
      <x:c r="J451" s="14" t="str">
        <x:v>Future Carry-Forward Cohort</x:v>
      </x:c>
      <x:c r="K451" s="14" t="n">
        <x:v>2022</x:v>
      </x:c>
      <x:c r="L451" s="14" t="str">
        <x:v>Not inherited</x:v>
      </x:c>
      <x:c r="M451" s="15" t="n">
        <x:v>106</x:v>
      </x:c>
      <x:c r="N451" s="14" t="str">
        <x:v>Bianca Bardoe</x:v>
      </x:c>
      <x:c r="O451" s="14" t="str">
        <x:v>nm11123420</x:v>
      </x:c>
      <x:c r="P451" s="14" t="str">
        <x:v>Daphne Reece Williams</x:v>
      </x:c>
      <x:c r="Q451" s="15" t="n">
        <x:v>1</x:v>
      </x:c>
      <x:c r="R451" s="14" t="str">
        <x:v>2025</x:v>
      </x:c>
      <x:c r="S451" s="14" t="n">
        <x:v>2025</x:v>
      </x:c>
      <x:c r="T451" s="14" t="n">
        <x:v>2025</x:v>
      </x:c>
      <x:c r="U451" s="14" t="str">
        <x:v>Explicit source first year retained</x:v>
      </x:c>
      <x:c r="V451" s="14" t="str">
        <x:v>Earliest supplied year is 2025.</x:v>
      </x:c>
      <x:c r="W451" s="14"/>
      <x:c r="X451" s="14" t="str">
        <x:v>Carried forward to 2025</x:v>
      </x:c>
      <x:c r="Y451" s="14"/>
      <x:c r="Z451" s="14" t="str">
        <x:v>Rogue Heroes.docx</x:v>
      </x:c>
      <x:c r="AA45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BBC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HYPERLINK("https://en.wikipedia.org/wiki/Rogue_Heroes","Open source")</x:f>
        <x:v>HYPERLINK is not implemented. linkLocation=https://en.wikipedia.org/wiki/Rogue_Heroes, friendlyName=Open source</x:v>
      </x:c>
      <x:c r="AN451" s="14" t="str">
        <x:v>BBC public-service commission</x:v>
      </x:c>
      <x:c r="AO451" s="14" t="str">
        <x:v>Yes</x:v>
      </x:c>
      <x:c r="AP451" s="14" t="str">
        <x:v>Direct BBC public-service scope</x:v>
      </x:c>
      <x:c r="AQ451" s="14" t="str">
        <x:v>Yes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13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1</x:v>
      </x:c>
      <x:c r="BS451" s="16" t="n">
        <x:v>0.07692307692307693</x:v>
      </x:c>
      <x:c r="BT451" s="14" t="str">
        <x:v>One episode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tt10405370|nm4857085|german road block officer</x:v>
      </x:c>
      <x:c r="B452" s="14" t="str">
        <x:v>04</x:v>
      </x:c>
      <x:c r="C452" s="14" t="str">
        <x:v>2022_IMDb_Cast_Lists_Batch_04(1).xlsx</x:v>
      </x:c>
      <x:c r="D452" s="14" t="str">
        <x:v>Rogue Heroes</x:v>
      </x:c>
      <x:c r="E452" s="14" t="n">
        <x:v>114</x:v>
      </x:c>
      <x:c r="F452" s="14" t="str">
        <x:v>Rogue Heroes</x:v>
      </x:c>
      <x:c r="G452" s="14" t="str">
        <x:v>tt10405370</x:v>
      </x:c>
      <x:c r="H452" s="14" t="n">
        <x:v>2022</x:v>
      </x:c>
      <x:c r="I452" s="14" t="n">
        <x:v>2023</x:v>
      </x:c>
      <x:c r="J452" s="14" t="str">
        <x:v>Future Carry-Forward Cohort</x:v>
      </x:c>
      <x:c r="K452" s="14" t="n">
        <x:v>2022</x:v>
      </x:c>
      <x:c r="L452" s="14" t="str">
        <x:v>Not inherited</x:v>
      </x:c>
      <x:c r="M452" s="15" t="n">
        <x:v>107</x:v>
      </x:c>
      <x:c r="N452" s="14" t="str">
        <x:v>Vibor Krekovic</x:v>
      </x:c>
      <x:c r="O452" s="14" t="str">
        <x:v>nm4857085</x:v>
      </x:c>
      <x:c r="P452" s="14" t="str">
        <x:v>German Road Block Officer</x:v>
      </x:c>
      <x:c r="Q452" s="15" t="n">
        <x:v>1</x:v>
      </x:c>
      <x:c r="R452" s="14" t="str">
        <x:v>2025</x:v>
      </x:c>
      <x:c r="S452" s="14" t="n">
        <x:v>2025</x:v>
      </x:c>
      <x:c r="T452" s="14" t="n">
        <x:v>2025</x:v>
      </x:c>
      <x:c r="U452" s="14" t="str">
        <x:v>Explicit source first year retained</x:v>
      </x:c>
      <x:c r="V452" s="14" t="str">
        <x:v>Earliest supplied year is 2025.</x:v>
      </x:c>
      <x:c r="W452" s="14"/>
      <x:c r="X452" s="14" t="str">
        <x:v>Carried forward to 2025</x:v>
      </x:c>
      <x:c r="Y452" s="14"/>
      <x:c r="Z452" s="14" t="str">
        <x:v>Rogue Heroes.docx</x:v>
      </x:c>
      <x:c r="AA45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BBC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HYPERLINK("https://en.wikipedia.org/wiki/Rogue_Heroes","Open source")</x:f>
        <x:v>HYPERLINK is not implemented. linkLocation=https://en.wikipedia.org/wiki/Rogue_Heroes, friendlyName=Open source</x:v>
      </x:c>
      <x:c r="AN452" s="14" t="str">
        <x:v>BBC public-service commission</x:v>
      </x:c>
      <x:c r="AO452" s="14" t="str">
        <x:v>Yes</x:v>
      </x:c>
      <x:c r="AP452" s="14" t="str">
        <x:v>Direct BBC public-service scope</x:v>
      </x:c>
      <x:c r="AQ452" s="14" t="str">
        <x:v>Yes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13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0.07692307692307693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tt10405370|nm16914429|supporting artist</x:v>
      </x:c>
      <x:c r="B453" s="14" t="str">
        <x:v>04</x:v>
      </x:c>
      <x:c r="C453" s="14" t="str">
        <x:v>2022_IMDb_Cast_Lists_Batch_04(1).xlsx</x:v>
      </x:c>
      <x:c r="D453" s="14" t="str">
        <x:v>Rogue Heroes</x:v>
      </x:c>
      <x:c r="E453" s="14" t="n">
        <x:v>115</x:v>
      </x:c>
      <x:c r="F453" s="14" t="str">
        <x:v>Rogue Heroes</x:v>
      </x:c>
      <x:c r="G453" s="14" t="str">
        <x:v>tt10405370</x:v>
      </x:c>
      <x:c r="H453" s="14" t="n">
        <x:v>2022</x:v>
      </x:c>
      <x:c r="I453" s="14" t="n">
        <x:v>2023</x:v>
      </x:c>
      <x:c r="J453" s="14" t="str">
        <x:v>Future Carry-Forward Cohort</x:v>
      </x:c>
      <x:c r="K453" s="14" t="n">
        <x:v>2022</x:v>
      </x:c>
      <x:c r="L453" s="14" t="str">
        <x:v>Not inherited</x:v>
      </x:c>
      <x:c r="M453" s="15" t="n">
        <x:v>108</x:v>
      </x:c>
      <x:c r="N453" s="14" t="str">
        <x:v>Dominic Pearcy</x:v>
      </x:c>
      <x:c r="O453" s="14" t="str">
        <x:v>nm16914429</x:v>
      </x:c>
      <x:c r="P453" s="14" t="str">
        <x:v>Supporting Artist</x:v>
      </x:c>
      <x:c r="Q453" s="15" t="n">
        <x:v>1</x:v>
      </x:c>
      <x:c r="R453" s="14" t="str">
        <x:v>2025</x:v>
      </x:c>
      <x:c r="S453" s="14" t="n">
        <x:v>2025</x:v>
      </x:c>
      <x:c r="T453" s="14" t="n">
        <x:v>2025</x:v>
      </x:c>
      <x:c r="U453" s="14" t="str">
        <x:v>Explicit source first year retained</x:v>
      </x:c>
      <x:c r="V453" s="14" t="str">
        <x:v>Earliest supplied year is 2025.</x:v>
      </x:c>
      <x:c r="W453" s="14"/>
      <x:c r="X453" s="14" t="str">
        <x:v>Carried forward to 2025</x:v>
      </x:c>
      <x:c r="Y453" s="14"/>
      <x:c r="Z453" s="14" t="str">
        <x:v>Rogue Heroes.docx</x:v>
      </x:c>
      <x:c r="AA45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BBC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HYPERLINK("https://en.wikipedia.org/wiki/Rogue_Heroes","Open source")</x:f>
        <x:v>HYPERLINK is not implemented. linkLocation=https://en.wikipedia.org/wiki/Rogue_Heroes, friendlyName=Open source</x:v>
      </x:c>
      <x:c r="AN453" s="14" t="str">
        <x:v>BBC public-service commission</x:v>
      </x:c>
      <x:c r="AO453" s="14" t="str">
        <x:v>Yes</x:v>
      </x:c>
      <x:c r="AP453" s="14" t="str">
        <x:v>Direct BBC public-service scope</x:v>
      </x:c>
      <x:c r="AQ453" s="14" t="str">
        <x:v>Yes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13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0.07692307692307693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tt10405370|nm4122118|german prison guard</x:v>
      </x:c>
      <x:c r="B454" s="14" t="str">
        <x:v>04</x:v>
      </x:c>
      <x:c r="C454" s="14" t="str">
        <x:v>2022_IMDb_Cast_Lists_Batch_04(1).xlsx</x:v>
      </x:c>
      <x:c r="D454" s="14" t="str">
        <x:v>Rogue Heroes</x:v>
      </x:c>
      <x:c r="E454" s="14" t="n">
        <x:v>116</x:v>
      </x:c>
      <x:c r="F454" s="14" t="str">
        <x:v>Rogue Heroes</x:v>
      </x:c>
      <x:c r="G454" s="14" t="str">
        <x:v>tt10405370</x:v>
      </x:c>
      <x:c r="H454" s="14" t="n">
        <x:v>2022</x:v>
      </x:c>
      <x:c r="I454" s="14" t="n">
        <x:v>2023</x:v>
      </x:c>
      <x:c r="J454" s="14" t="str">
        <x:v>Future Carry-Forward Cohort</x:v>
      </x:c>
      <x:c r="K454" s="14" t="n">
        <x:v>2022</x:v>
      </x:c>
      <x:c r="L454" s="14" t="str">
        <x:v>Not inherited</x:v>
      </x:c>
      <x:c r="M454" s="15" t="n">
        <x:v>109</x:v>
      </x:c>
      <x:c r="N454" s="14" t="str">
        <x:v>George Taylor</x:v>
      </x:c>
      <x:c r="O454" s="14" t="str">
        <x:v>nm4122118</x:v>
      </x:c>
      <x:c r="P454" s="14" t="str">
        <x:v>German Prison Guard</x:v>
      </x:c>
      <x:c r="Q454" s="15" t="n">
        <x:v>1</x:v>
      </x:c>
      <x:c r="R454" s="14" t="str">
        <x:v>2025</x:v>
      </x:c>
      <x:c r="S454" s="14" t="n">
        <x:v>2025</x:v>
      </x:c>
      <x:c r="T454" s="14" t="n">
        <x:v>2025</x:v>
      </x:c>
      <x:c r="U454" s="14" t="str">
        <x:v>Explicit source first year retained</x:v>
      </x:c>
      <x:c r="V454" s="14" t="str">
        <x:v>Earliest supplied year is 2025.</x:v>
      </x:c>
      <x:c r="W454" s="14"/>
      <x:c r="X454" s="14" t="str">
        <x:v>Carried forward to 2025</x:v>
      </x:c>
      <x:c r="Y454" s="14"/>
      <x:c r="Z454" s="14" t="str">
        <x:v>Rogue Heroes.docx</x:v>
      </x:c>
      <x:c r="AA45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BBC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HYPERLINK("https://en.wikipedia.org/wiki/Rogue_Heroes","Open source")</x:f>
        <x:v>HYPERLINK is not implemented. linkLocation=https://en.wikipedia.org/wiki/Rogue_Heroes, friendlyName=Open source</x:v>
      </x:c>
      <x:c r="AN454" s="14" t="str">
        <x:v>BBC public-service commission</x:v>
      </x:c>
      <x:c r="AO454" s="14" t="str">
        <x:v>Yes</x:v>
      </x:c>
      <x:c r="AP454" s="14" t="str">
        <x:v>Direct BBC public-service scope</x:v>
      </x:c>
      <x:c r="AQ454" s="14" t="str">
        <x:v>Yes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13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0.07692307692307693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tt10405370|nm0194128|giulio colombo</x:v>
      </x:c>
      <x:c r="B455" s="14" t="str">
        <x:v>04</x:v>
      </x:c>
      <x:c r="C455" s="14" t="str">
        <x:v>2022_IMDb_Cast_Lists_Batch_04(1).xlsx</x:v>
      </x:c>
      <x:c r="D455" s="14" t="str">
        <x:v>Rogue Heroes</x:v>
      </x:c>
      <x:c r="E455" s="14" t="n">
        <x:v>117</x:v>
      </x:c>
      <x:c r="F455" s="14" t="str">
        <x:v>Rogue Heroes</x:v>
      </x:c>
      <x:c r="G455" s="14" t="str">
        <x:v>tt10405370</x:v>
      </x:c>
      <x:c r="H455" s="14" t="n">
        <x:v>2022</x:v>
      </x:c>
      <x:c r="I455" s="14" t="n">
        <x:v>2023</x:v>
      </x:c>
      <x:c r="J455" s="14" t="str">
        <x:v>Future Carry-Forward Cohort</x:v>
      </x:c>
      <x:c r="K455" s="14" t="n">
        <x:v>2022</x:v>
      </x:c>
      <x:c r="L455" s="14" t="str">
        <x:v>Not inherited</x:v>
      </x:c>
      <x:c r="M455" s="15" t="n">
        <x:v>110</x:v>
      </x:c>
      <x:c r="N455" s="14" t="str">
        <x:v>Rok Cvetkov</x:v>
      </x:c>
      <x:c r="O455" s="14" t="str">
        <x:v>nm0194128</x:v>
      </x:c>
      <x:c r="P455" s="14" t="str">
        <x:v>Giulio Colombo</x:v>
      </x:c>
      <x:c r="Q455" s="15" t="n">
        <x:v>1</x:v>
      </x:c>
      <x:c r="R455" s="14" t="str">
        <x:v>2025</x:v>
      </x:c>
      <x:c r="S455" s="14" t="n">
        <x:v>2025</x:v>
      </x:c>
      <x:c r="T455" s="14" t="n">
        <x:v>2025</x:v>
      </x:c>
      <x:c r="U455" s="14" t="str">
        <x:v>Explicit source first year retained</x:v>
      </x:c>
      <x:c r="V455" s="14" t="str">
        <x:v>Earliest supplied year is 2025.</x:v>
      </x:c>
      <x:c r="W455" s="14"/>
      <x:c r="X455" s="14" t="str">
        <x:v>Carried forward to 2025</x:v>
      </x:c>
      <x:c r="Y455" s="14"/>
      <x:c r="Z455" s="14" t="str">
        <x:v>Rogue Heroes.docx</x:v>
      </x:c>
      <x:c r="AA45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BBC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HYPERLINK("https://en.wikipedia.org/wiki/Rogue_Heroes","Open source")</x:f>
        <x:v>HYPERLINK is not implemented. linkLocation=https://en.wikipedia.org/wiki/Rogue_Heroes, friendlyName=Open source</x:v>
      </x:c>
      <x:c r="AN455" s="14" t="str">
        <x:v>BBC public-service commission</x:v>
      </x:c>
      <x:c r="AO455" s="14" t="str">
        <x:v>Yes</x:v>
      </x:c>
      <x:c r="AP455" s="14" t="str">
        <x:v>Direct BBC public-service scope</x:v>
      </x:c>
      <x:c r="AQ455" s="14" t="str">
        <x:v>Yes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13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0.07692307692307693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tt10405370|nm7447543|german surrendering officer</x:v>
      </x:c>
      <x:c r="B456" s="14" t="str">
        <x:v>04</x:v>
      </x:c>
      <x:c r="C456" s="14" t="str">
        <x:v>2022_IMDb_Cast_Lists_Batch_04(1).xlsx</x:v>
      </x:c>
      <x:c r="D456" s="14" t="str">
        <x:v>Rogue Heroes</x:v>
      </x:c>
      <x:c r="E456" s="14" t="n">
        <x:v>118</x:v>
      </x:c>
      <x:c r="F456" s="14" t="str">
        <x:v>Rogue Heroes</x:v>
      </x:c>
      <x:c r="G456" s="14" t="str">
        <x:v>tt10405370</x:v>
      </x:c>
      <x:c r="H456" s="14" t="n">
        <x:v>2022</x:v>
      </x:c>
      <x:c r="I456" s="14" t="n">
        <x:v>2023</x:v>
      </x:c>
      <x:c r="J456" s="14" t="str">
        <x:v>Future Carry-Forward Cohort</x:v>
      </x:c>
      <x:c r="K456" s="14" t="n">
        <x:v>2022</x:v>
      </x:c>
      <x:c r="L456" s="14" t="str">
        <x:v>Not inherited</x:v>
      </x:c>
      <x:c r="M456" s="15" t="n">
        <x:v>111</x:v>
      </x:c>
      <x:c r="N456" s="14" t="str">
        <x:v>Terence Schweizer</x:v>
      </x:c>
      <x:c r="O456" s="14" t="str">
        <x:v>nm7447543</x:v>
      </x:c>
      <x:c r="P456" s="14" t="str">
        <x:v>German Surrendering Officer</x:v>
      </x:c>
      <x:c r="Q456" s="15" t="n">
        <x:v>1</x:v>
      </x:c>
      <x:c r="R456" s="14" t="str">
        <x:v>2025</x:v>
      </x:c>
      <x:c r="S456" s="14" t="n">
        <x:v>2025</x:v>
      </x:c>
      <x:c r="T456" s="14" t="n">
        <x:v>2025</x:v>
      </x:c>
      <x:c r="U456" s="14" t="str">
        <x:v>Explicit source first year retained</x:v>
      </x:c>
      <x:c r="V456" s="14" t="str">
        <x:v>Earliest supplied year is 2025.</x:v>
      </x:c>
      <x:c r="W456" s="14"/>
      <x:c r="X456" s="14" t="str">
        <x:v>Carried forward to 2025</x:v>
      </x:c>
      <x:c r="Y456" s="14"/>
      <x:c r="Z456" s="14" t="str">
        <x:v>Rogue Heroes.docx</x:v>
      </x:c>
      <x:c r="AA45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BBC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HYPERLINK("https://en.wikipedia.org/wiki/Rogue_Heroes","Open source")</x:f>
        <x:v>HYPERLINK is not implemented. linkLocation=https://en.wikipedia.org/wiki/Rogue_Heroes, friendlyName=Open source</x:v>
      </x:c>
      <x:c r="AN456" s="14" t="str">
        <x:v>BBC public-service commission</x:v>
      </x:c>
      <x:c r="AO456" s="14" t="str">
        <x:v>Yes</x:v>
      </x:c>
      <x:c r="AP456" s="14" t="str">
        <x:v>Direct BBC public-service scope</x:v>
      </x:c>
      <x:c r="AQ456" s="14" t="str">
        <x:v>Yes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13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0.07692307692307693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tt10405370|nm6773218|german officer on bridge</x:v>
      </x:c>
      <x:c r="B457" s="14" t="str">
        <x:v>04</x:v>
      </x:c>
      <x:c r="C457" s="14" t="str">
        <x:v>2022_IMDb_Cast_Lists_Batch_04(1).xlsx</x:v>
      </x:c>
      <x:c r="D457" s="14" t="str">
        <x:v>Rogue Heroes</x:v>
      </x:c>
      <x:c r="E457" s="14" t="n">
        <x:v>120</x:v>
      </x:c>
      <x:c r="F457" s="14" t="str">
        <x:v>Rogue Heroes</x:v>
      </x:c>
      <x:c r="G457" s="14" t="str">
        <x:v>tt10405370</x:v>
      </x:c>
      <x:c r="H457" s="14" t="n">
        <x:v>2022</x:v>
      </x:c>
      <x:c r="I457" s="14" t="n">
        <x:v>2023</x:v>
      </x:c>
      <x:c r="J457" s="14" t="str">
        <x:v>Future Carry-Forward Cohort</x:v>
      </x:c>
      <x:c r="K457" s="14" t="n">
        <x:v>2022</x:v>
      </x:c>
      <x:c r="L457" s="14" t="str">
        <x:v>Not inherited</x:v>
      </x:c>
      <x:c r="M457" s="15" t="n">
        <x:v>113</x:v>
      </x:c>
      <x:c r="N457" s="14" t="str">
        <x:v>Robin Leo Hoffmann</x:v>
      </x:c>
      <x:c r="O457" s="14" t="str">
        <x:v>nm6773218</x:v>
      </x:c>
      <x:c r="P457" s="14" t="str">
        <x:v>German Officer on Bridge</x:v>
      </x:c>
      <x:c r="Q457" s="15" t="n">
        <x:v>1</x:v>
      </x:c>
      <x:c r="R457" s="14" t="str">
        <x:v>2025</x:v>
      </x:c>
      <x:c r="S457" s="14" t="n">
        <x:v>2025</x:v>
      </x:c>
      <x:c r="T457" s="14" t="n">
        <x:v>2025</x:v>
      </x:c>
      <x:c r="U457" s="14" t="str">
        <x:v>Explicit source first year retained</x:v>
      </x:c>
      <x:c r="V457" s="14" t="str">
        <x:v>Earliest supplied year is 2025.</x:v>
      </x:c>
      <x:c r="W457" s="14"/>
      <x:c r="X457" s="14" t="str">
        <x:v>Carried forward to 2025</x:v>
      </x:c>
      <x:c r="Y457" s="14"/>
      <x:c r="Z457" s="14" t="str">
        <x:v>Rogue Heroes.docx</x:v>
      </x:c>
      <x:c r="AA45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BBC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HYPERLINK("https://en.wikipedia.org/wiki/Rogue_Heroes","Open source")</x:f>
        <x:v>HYPERLINK is not implemented. linkLocation=https://en.wikipedia.org/wiki/Rogue_Heroes, friendlyName=Open source</x:v>
      </x:c>
      <x:c r="AN457" s="14" t="str">
        <x:v>BBC public-service commission</x:v>
      </x:c>
      <x:c r="AO457" s="14" t="str">
        <x:v>Yes</x:v>
      </x:c>
      <x:c r="AP457" s="14" t="str">
        <x:v>Direct BBC public-service scope</x:v>
      </x:c>
      <x:c r="AQ457" s="14" t="str">
        <x:v>Yes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13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0.07692307692307693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tt15407098|nm0018723|lord matthew sedgewick</x:v>
      </x:c>
      <x:c r="B458" s="14" t="str">
        <x:v>05</x:v>
      </x:c>
      <x:c r="C458" s="14" t="str">
        <x:v>2022_IMDb_Cast_Lists_Batch_05(1).xlsx</x:v>
      </x:c>
      <x:c r="D458" s="14" t="str">
        <x:v>Sister Boniface Mysteries</x:v>
      </x:c>
      <x:c r="E458" s="14" t="n">
        <x:v>28</x:v>
      </x:c>
      <x:c r="F458" s="14" t="str">
        <x:v>Sister Boniface Mysteries</x:v>
      </x:c>
      <x:c r="G458" s="14" t="str">
        <x:v>tt15407098</x:v>
      </x:c>
      <x:c r="H458" s="14" t="n">
        <x:v>2022</x:v>
      </x:c>
      <x:c r="I458" s="14" t="n">
        <x:v>2023</x:v>
      </x:c>
      <x:c r="J458" s="14" t="str">
        <x:v>Future Carry-Forward Cohort</x:v>
      </x:c>
      <x:c r="K458" s="14" t="n">
        <x:v>2022</x:v>
      </x:c>
      <x:c r="L458" s="14" t="str">
        <x:v>Not inherited</x:v>
      </x:c>
      <x:c r="M458" s="15" t="n">
        <x:v>21</x:v>
      </x:c>
      <x:c r="N458" s="14" t="str">
        <x:v>Sam Alexander</x:v>
      </x:c>
      <x:c r="O458" s="14" t="str">
        <x:v>nm0018723</x:v>
      </x:c>
      <x:c r="P458" s="14" t="str">
        <x:v>Lord Matthew Sedgewick</x:v>
      </x:c>
      <x:c r="Q458" s="15" t="n">
        <x:v>2</x:v>
      </x:c>
      <x:c r="R458" s="14" t="str">
        <x:v>2025</x:v>
      </x:c>
      <x:c r="S458" s="14" t="n">
        <x:v>2025</x:v>
      </x:c>
      <x:c r="T458" s="14" t="n">
        <x:v>2025</x:v>
      </x:c>
      <x:c r="U458" s="14" t="str">
        <x:v>Explicit source first year retained</x:v>
      </x:c>
      <x:c r="V458" s="14" t="str">
        <x:v>Earliest supplied year is 2025.</x:v>
      </x:c>
      <x:c r="W458" s="14"/>
      <x:c r="X458" s="14" t="str">
        <x:v>Carried forward to 2025</x:v>
      </x:c>
      <x:c r="Y458" s="14"/>
      <x:c r="Z458" s="14" t="str">
        <x:v>Sister Boniface Mysteries.docx</x:v>
      </x:c>
      <x:c r="AA45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BritBox UK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58" s="14" t="str">
        <x:v>No qualifying BBC relationship</x:v>
      </x:c>
      <x:c r="AO458" s="14" t="str">
        <x:v>No</x:v>
      </x:c>
      <x:c r="AP458" s="14" t="str">
        <x:v>Out of scope</x:v>
      </x:c>
      <x:c r="AQ458" s="14" t="str">
        <x:v>No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38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2</x:v>
      </x:c>
      <x:c r="BS458" s="16" t="n">
        <x:v>0.05263157894736842</x:v>
      </x:c>
      <x:c r="BT458" s="14" t="str">
        <x:v>Minority of episodes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tt15407098|nm2952645|freddie fuller</x:v>
      </x:c>
      <x:c r="B459" s="14" t="str">
        <x:v>05</x:v>
      </x:c>
      <x:c r="C459" s="14" t="str">
        <x:v>2022_IMDb_Cast_Lists_Batch_05(1).xlsx</x:v>
      </x:c>
      <x:c r="D459" s="14" t="str">
        <x:v>Sister Boniface Mysteries</x:v>
      </x:c>
      <x:c r="E459" s="14" t="n">
        <x:v>50</x:v>
      </x:c>
      <x:c r="F459" s="14" t="str">
        <x:v>Sister Boniface Mysteries</x:v>
      </x:c>
      <x:c r="G459" s="14" t="str">
        <x:v>tt15407098</x:v>
      </x:c>
      <x:c r="H459" s="14" t="n">
        <x:v>2022</x:v>
      </x:c>
      <x:c r="I459" s="14" t="n">
        <x:v>2023</x:v>
      </x:c>
      <x:c r="J459" s="14" t="str">
        <x:v>Future Carry-Forward Cohort</x:v>
      </x:c>
      <x:c r="K459" s="14" t="n">
        <x:v>2022</x:v>
      </x:c>
      <x:c r="L459" s="14" t="str">
        <x:v>Not inherited</x:v>
      </x:c>
      <x:c r="M459" s="15" t="n">
        <x:v>43</x:v>
      </x:c>
      <x:c r="N459" s="14" t="str">
        <x:v>Jonny Weldon</x:v>
      </x:c>
      <x:c r="O459" s="14" t="str">
        <x:v>nm2952645</x:v>
      </x:c>
      <x:c r="P459" s="14" t="str">
        <x:v>Freddie Fuller</x:v>
      </x:c>
      <x:c r="Q459" s="15" t="n">
        <x:v>1</x:v>
      </x:c>
      <x:c r="R459" s="14" t="str">
        <x:v>2025</x:v>
      </x:c>
      <x:c r="S459" s="14" t="n">
        <x:v>2025</x:v>
      </x:c>
      <x:c r="T459" s="14" t="n">
        <x:v>2025</x:v>
      </x:c>
      <x:c r="U459" s="14" t="str">
        <x:v>Explicit source first year retained</x:v>
      </x:c>
      <x:c r="V459" s="14" t="str">
        <x:v>Earliest supplied year is 2025.</x:v>
      </x:c>
      <x:c r="W459" s="14"/>
      <x:c r="X459" s="14" t="str">
        <x:v>Carried forward to 2025</x:v>
      </x:c>
      <x:c r="Y459" s="14"/>
      <x:c r="Z459" s="14" t="str">
        <x:v>Sister Boniface Mysteries.docx</x:v>
      </x:c>
      <x:c r="AA45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BritBox UK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38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1</x:v>
      </x:c>
      <x:c r="BS459" s="16" t="n">
        <x:v>0.02631578947368421</x:v>
      </x:c>
      <x:c r="BT459" s="14" t="str">
        <x:v>One episode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tt15407098|nm0927835|arthur millington</x:v>
      </x:c>
      <x:c r="B460" s="14" t="str">
        <x:v>05</x:v>
      </x:c>
      <x:c r="C460" s="14" t="str">
        <x:v>2022_IMDb_Cast_Lists_Batch_05(1).xlsx</x:v>
      </x:c>
      <x:c r="D460" s="14" t="str">
        <x:v>Sister Boniface Mysteries</x:v>
      </x:c>
      <x:c r="E460" s="14" t="n">
        <x:v>51</x:v>
      </x:c>
      <x:c r="F460" s="14" t="str">
        <x:v>Sister Boniface Mysteries</x:v>
      </x:c>
      <x:c r="G460" s="14" t="str">
        <x:v>tt15407098</x:v>
      </x:c>
      <x:c r="H460" s="14" t="n">
        <x:v>2022</x:v>
      </x:c>
      <x:c r="I460" s="14" t="n">
        <x:v>2023</x:v>
      </x:c>
      <x:c r="J460" s="14" t="str">
        <x:v>Future Carry-Forward Cohort</x:v>
      </x:c>
      <x:c r="K460" s="14" t="n">
        <x:v>2022</x:v>
      </x:c>
      <x:c r="L460" s="14" t="str">
        <x:v>Not inherited</x:v>
      </x:c>
      <x:c r="M460" s="15" t="n">
        <x:v>44</x:v>
      </x:c>
      <x:c r="N460" s="14" t="str">
        <x:v>Peter Wight</x:v>
      </x:c>
      <x:c r="O460" s="14" t="str">
        <x:v>nm0927835</x:v>
      </x:c>
      <x:c r="P460" s="14" t="str">
        <x:v>Arthur Millington</x:v>
      </x:c>
      <x:c r="Q460" s="15" t="n">
        <x:v>1</x:v>
      </x:c>
      <x:c r="R460" s="14" t="str">
        <x:v>2025</x:v>
      </x:c>
      <x:c r="S460" s="14" t="n">
        <x:v>2025</x:v>
      </x:c>
      <x:c r="T460" s="14" t="n">
        <x:v>2025</x:v>
      </x:c>
      <x:c r="U460" s="14" t="str">
        <x:v>Explicit source first year retained</x:v>
      </x:c>
      <x:c r="V460" s="14" t="str">
        <x:v>Earliest supplied year is 2025.</x:v>
      </x:c>
      <x:c r="W460" s="14"/>
      <x:c r="X460" s="14" t="str">
        <x:v>Carried forward to 2025</x:v>
      </x:c>
      <x:c r="Y460" s="14"/>
      <x:c r="Z460" s="14" t="str">
        <x:v>Sister Boniface Mysteries.docx</x:v>
      </x:c>
      <x:c r="AA46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BritBox UK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38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0.02631578947368421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tt15407098|nm1525717|hank sawyer / narrator</x:v>
      </x:c>
      <x:c r="B461" s="14" t="str">
        <x:v>05</x:v>
      </x:c>
      <x:c r="C461" s="14" t="str">
        <x:v>2022_IMDb_Cast_Lists_Batch_05(1).xlsx</x:v>
      </x:c>
      <x:c r="D461" s="14" t="str">
        <x:v>Sister Boniface Mysteries</x:v>
      </x:c>
      <x:c r="E461" s="14" t="n">
        <x:v>52</x:v>
      </x:c>
      <x:c r="F461" s="14" t="str">
        <x:v>Sister Boniface Mysteries</x:v>
      </x:c>
      <x:c r="G461" s="14" t="str">
        <x:v>tt15407098</x:v>
      </x:c>
      <x:c r="H461" s="14" t="n">
        <x:v>2022</x:v>
      </x:c>
      <x:c r="I461" s="14" t="n">
        <x:v>2023</x:v>
      </x:c>
      <x:c r="J461" s="14" t="str">
        <x:v>Future Carry-Forward Cohort</x:v>
      </x:c>
      <x:c r="K461" s="14" t="n">
        <x:v>2022</x:v>
      </x:c>
      <x:c r="L461" s="14" t="str">
        <x:v>Not inherited</x:v>
      </x:c>
      <x:c r="M461" s="15" t="n">
        <x:v>45</x:v>
      </x:c>
      <x:c r="N461" s="14" t="str">
        <x:v>David Bedella</x:v>
      </x:c>
      <x:c r="O461" s="14" t="str">
        <x:v>nm1525717</x:v>
      </x:c>
      <x:c r="P461" s="14" t="str">
        <x:v>Hank Sawyer / Narrator</x:v>
      </x:c>
      <x:c r="Q461" s="15" t="n">
        <x:v>1</x:v>
      </x:c>
      <x:c r="R461" s="14" t="str">
        <x:v>2025</x:v>
      </x:c>
      <x:c r="S461" s="14" t="n">
        <x:v>2025</x:v>
      </x:c>
      <x:c r="T461" s="14" t="n">
        <x:v>2025</x:v>
      </x:c>
      <x:c r="U461" s="14" t="str">
        <x:v>Explicit source first year retained</x:v>
      </x:c>
      <x:c r="V461" s="14" t="str">
        <x:v>Earliest supplied year is 2025.</x:v>
      </x:c>
      <x:c r="W461" s="14"/>
      <x:c r="X461" s="14" t="str">
        <x:v>Carried forward to 2025</x:v>
      </x:c>
      <x:c r="Y461" s="14"/>
      <x:c r="Z461" s="14" t="str">
        <x:v>Sister Boniface Mysteries.docx</x:v>
      </x:c>
      <x:c r="AA46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BritBox UK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38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0.02631578947368421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tt15407098|nm1746538|alan yarrow</x:v>
      </x:c>
      <x:c r="B462" s="14" t="str">
        <x:v>05</x:v>
      </x:c>
      <x:c r="C462" s="14" t="str">
        <x:v>2022_IMDb_Cast_Lists_Batch_05(1).xlsx</x:v>
      </x:c>
      <x:c r="D462" s="14" t="str">
        <x:v>Sister Boniface Mysteries</x:v>
      </x:c>
      <x:c r="E462" s="14" t="n">
        <x:v>53</x:v>
      </x:c>
      <x:c r="F462" s="14" t="str">
        <x:v>Sister Boniface Mysteries</x:v>
      </x:c>
      <x:c r="G462" s="14" t="str">
        <x:v>tt15407098</x:v>
      </x:c>
      <x:c r="H462" s="14" t="n">
        <x:v>2022</x:v>
      </x:c>
      <x:c r="I462" s="14" t="n">
        <x:v>2023</x:v>
      </x:c>
      <x:c r="J462" s="14" t="str">
        <x:v>Future Carry-Forward Cohort</x:v>
      </x:c>
      <x:c r="K462" s="14" t="n">
        <x:v>2022</x:v>
      </x:c>
      <x:c r="L462" s="14" t="str">
        <x:v>Not inherited</x:v>
      </x:c>
      <x:c r="M462" s="15" t="n">
        <x:v>46</x:v>
      </x:c>
      <x:c r="N462" s="14" t="str">
        <x:v>Ben Rufus Green</x:v>
      </x:c>
      <x:c r="O462" s="14" t="str">
        <x:v>nm1746538</x:v>
      </x:c>
      <x:c r="P462" s="14" t="str">
        <x:v>Alan Yarrow</x:v>
      </x:c>
      <x:c r="Q462" s="15" t="n">
        <x:v>1</x:v>
      </x:c>
      <x:c r="R462" s="14" t="str">
        <x:v>2025</x:v>
      </x:c>
      <x:c r="S462" s="14" t="n">
        <x:v>2025</x:v>
      </x:c>
      <x:c r="T462" s="14" t="n">
        <x:v>2025</x:v>
      </x:c>
      <x:c r="U462" s="14" t="str">
        <x:v>Explicit source first year retained</x:v>
      </x:c>
      <x:c r="V462" s="14" t="str">
        <x:v>Earliest supplied year is 2025.</x:v>
      </x:c>
      <x:c r="W462" s="14"/>
      <x:c r="X462" s="14" t="str">
        <x:v>Carried forward to 2025</x:v>
      </x:c>
      <x:c r="Y462" s="14"/>
      <x:c r="Z462" s="14" t="str">
        <x:v>Sister Boniface Mysteries.docx</x:v>
      </x:c>
      <x:c r="AA46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BritBox UK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38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0.02631578947368421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tt15407098|nm1360837|walt north / foxman</x:v>
      </x:c>
      <x:c r="B463" s="14" t="str">
        <x:v>05</x:v>
      </x:c>
      <x:c r="C463" s="14" t="str">
        <x:v>2022_IMDb_Cast_Lists_Batch_05(1).xlsx</x:v>
      </x:c>
      <x:c r="D463" s="14" t="str">
        <x:v>Sister Boniface Mysteries</x:v>
      </x:c>
      <x:c r="E463" s="14" t="n">
        <x:v>67</x:v>
      </x:c>
      <x:c r="F463" s="14" t="str">
        <x:v>Sister Boniface Mysteries</x:v>
      </x:c>
      <x:c r="G463" s="14" t="str">
        <x:v>tt15407098</x:v>
      </x:c>
      <x:c r="H463" s="14" t="n">
        <x:v>2022</x:v>
      </x:c>
      <x:c r="I463" s="14" t="n">
        <x:v>2023</x:v>
      </x:c>
      <x:c r="J463" s="14" t="str">
        <x:v>Future Carry-Forward Cohort</x:v>
      </x:c>
      <x:c r="K463" s="14" t="n">
        <x:v>2022</x:v>
      </x:c>
      <x:c r="L463" s="14" t="str">
        <x:v>Not inherited</x:v>
      </x:c>
      <x:c r="M463" s="15" t="n">
        <x:v>60</x:v>
      </x:c>
      <x:c r="N463" s="14" t="str">
        <x:v>Dan Renton Skinner</x:v>
      </x:c>
      <x:c r="O463" s="14" t="str">
        <x:v>nm1360837</x:v>
      </x:c>
      <x:c r="P463" s="14" t="str">
        <x:v>Walt North / Foxman</x:v>
      </x:c>
      <x:c r="Q463" s="15" t="n">
        <x:v>1</x:v>
      </x:c>
      <x:c r="R463" s="14" t="str">
        <x:v>2025</x:v>
      </x:c>
      <x:c r="S463" s="14" t="n">
        <x:v>2025</x:v>
      </x:c>
      <x:c r="T463" s="14" t="n">
        <x:v>2025</x:v>
      </x:c>
      <x:c r="U463" s="14" t="str">
        <x:v>Explicit source first year retained</x:v>
      </x:c>
      <x:c r="V463" s="14" t="str">
        <x:v>Earliest supplied year is 2025.</x:v>
      </x:c>
      <x:c r="W463" s="14"/>
      <x:c r="X463" s="14" t="str">
        <x:v>Carried forward to 2025</x:v>
      </x:c>
      <x:c r="Y463" s="14"/>
      <x:c r="Z463" s="14" t="str">
        <x:v>Sister Boniface Mysteries.docx</x:v>
      </x:c>
      <x:c r="AA46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BritBox UK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38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0.02631578947368421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tt15407098|nm0808110|jeanie mcintyre</x:v>
      </x:c>
      <x:c r="B464" s="14" t="str">
        <x:v>05</x:v>
      </x:c>
      <x:c r="C464" s="14" t="str">
        <x:v>2022_IMDb_Cast_Lists_Batch_05(1).xlsx</x:v>
      </x:c>
      <x:c r="D464" s="14" t="str">
        <x:v>Sister Boniface Mysteries</x:v>
      </x:c>
      <x:c r="E464" s="14" t="n">
        <x:v>68</x:v>
      </x:c>
      <x:c r="F464" s="14" t="str">
        <x:v>Sister Boniface Mysteries</x:v>
      </x:c>
      <x:c r="G464" s="14" t="str">
        <x:v>tt15407098</x:v>
      </x:c>
      <x:c r="H464" s="14" t="n">
        <x:v>2022</x:v>
      </x:c>
      <x:c r="I464" s="14" t="n">
        <x:v>2023</x:v>
      </x:c>
      <x:c r="J464" s="14" t="str">
        <x:v>Future Carry-Forward Cohort</x:v>
      </x:c>
      <x:c r="K464" s="14" t="n">
        <x:v>2022</x:v>
      </x:c>
      <x:c r="L464" s="14" t="str">
        <x:v>Not inherited</x:v>
      </x:c>
      <x:c r="M464" s="15" t="n">
        <x:v>61</x:v>
      </x:c>
      <x:c r="N464" s="14" t="str">
        <x:v>Elaine C. Smith</x:v>
      </x:c>
      <x:c r="O464" s="14" t="str">
        <x:v>nm0808110</x:v>
      </x:c>
      <x:c r="P464" s="14" t="str">
        <x:v>Jeanie McIntyre</x:v>
      </x:c>
      <x:c r="Q464" s="15" t="n">
        <x:v>1</x:v>
      </x:c>
      <x:c r="R464" s="14" t="str">
        <x:v>2025</x:v>
      </x:c>
      <x:c r="S464" s="14" t="n">
        <x:v>2025</x:v>
      </x:c>
      <x:c r="T464" s="14" t="n">
        <x:v>2025</x:v>
      </x:c>
      <x:c r="U464" s="14" t="str">
        <x:v>Explicit source first year retained</x:v>
      </x:c>
      <x:c r="V464" s="14" t="str">
        <x:v>Earliest supplied year is 2025.</x:v>
      </x:c>
      <x:c r="W464" s="14"/>
      <x:c r="X464" s="14" t="str">
        <x:v>Carried forward to 2025</x:v>
      </x:c>
      <x:c r="Y464" s="14" t="str">
        <x:v>(as Elaine C Smith)</x:v>
      </x:c>
      <x:c r="Z464" s="14" t="str">
        <x:v>Sister Boniface Mysteries.docx</x:v>
      </x:c>
      <x:c r="AA46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BritBox UK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38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0.02631578947368421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tt15407098|nm17691751|angela ainsworth</x:v>
      </x:c>
      <x:c r="B465" s="14" t="str">
        <x:v>05</x:v>
      </x:c>
      <x:c r="C465" s="14" t="str">
        <x:v>2022_IMDb_Cast_Lists_Batch_05(1).xlsx</x:v>
      </x:c>
      <x:c r="D465" s="14" t="str">
        <x:v>Sister Boniface Mysteries</x:v>
      </x:c>
      <x:c r="E465" s="14" t="n">
        <x:v>69</x:v>
      </x:c>
      <x:c r="F465" s="14" t="str">
        <x:v>Sister Boniface Mysteries</x:v>
      </x:c>
      <x:c r="G465" s="14" t="str">
        <x:v>tt15407098</x:v>
      </x:c>
      <x:c r="H465" s="14" t="n">
        <x:v>2022</x:v>
      </x:c>
      <x:c r="I465" s="14" t="n">
        <x:v>2023</x:v>
      </x:c>
      <x:c r="J465" s="14" t="str">
        <x:v>Future Carry-Forward Cohort</x:v>
      </x:c>
      <x:c r="K465" s="14" t="n">
        <x:v>2022</x:v>
      </x:c>
      <x:c r="L465" s="14" t="str">
        <x:v>Not inherited</x:v>
      </x:c>
      <x:c r="M465" s="15" t="n">
        <x:v>62</x:v>
      </x:c>
      <x:c r="N465" s="14" t="str">
        <x:v>Hayley Johnston</x:v>
      </x:c>
      <x:c r="O465" s="14" t="str">
        <x:v>nm17691751</x:v>
      </x:c>
      <x:c r="P465" s="14" t="str">
        <x:v>Angela Ainsworth</x:v>
      </x:c>
      <x:c r="Q465" s="15" t="n">
        <x:v>1</x:v>
      </x:c>
      <x:c r="R465" s="14" t="str">
        <x:v>2025</x:v>
      </x:c>
      <x:c r="S465" s="14" t="n">
        <x:v>2025</x:v>
      </x:c>
      <x:c r="T465" s="14" t="n">
        <x:v>2025</x:v>
      </x:c>
      <x:c r="U465" s="14" t="str">
        <x:v>Explicit source first year retained</x:v>
      </x:c>
      <x:c r="V465" s="14" t="str">
        <x:v>Earliest supplied year is 2025.</x:v>
      </x:c>
      <x:c r="W465" s="14"/>
      <x:c r="X465" s="14" t="str">
        <x:v>Carried forward to 2025</x:v>
      </x:c>
      <x:c r="Y465" s="14"/>
      <x:c r="Z465" s="14" t="str">
        <x:v>Sister Boniface Mysteries.docx</x:v>
      </x:c>
      <x:c r="AA46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BritBox UK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38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0.02631578947368421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tt15407098|nm4044551|brett hyde / beaver</x:v>
      </x:c>
      <x:c r="B466" s="14" t="str">
        <x:v>05</x:v>
      </x:c>
      <x:c r="C466" s="14" t="str">
        <x:v>2022_IMDb_Cast_Lists_Batch_05(1).xlsx</x:v>
      </x:c>
      <x:c r="D466" s="14" t="str">
        <x:v>Sister Boniface Mysteries</x:v>
      </x:c>
      <x:c r="E466" s="14" t="n">
        <x:v>85</x:v>
      </x:c>
      <x:c r="F466" s="14" t="str">
        <x:v>Sister Boniface Mysteries</x:v>
      </x:c>
      <x:c r="G466" s="14" t="str">
        <x:v>tt15407098</x:v>
      </x:c>
      <x:c r="H466" s="14" t="n">
        <x:v>2022</x:v>
      </x:c>
      <x:c r="I466" s="14" t="n">
        <x:v>2023</x:v>
      </x:c>
      <x:c r="J466" s="14" t="str">
        <x:v>Future Carry-Forward Cohort</x:v>
      </x:c>
      <x:c r="K466" s="14" t="n">
        <x:v>2022</x:v>
      </x:c>
      <x:c r="L466" s="14" t="str">
        <x:v>Not inherited</x:v>
      </x:c>
      <x:c r="M466" s="15" t="n">
        <x:v>78</x:v>
      </x:c>
      <x:c r="N466" s="14" t="str">
        <x:v>Nathan McMullen</x:v>
      </x:c>
      <x:c r="O466" s="14" t="str">
        <x:v>nm4044551</x:v>
      </x:c>
      <x:c r="P466" s="14" t="str">
        <x:v>Brett Hyde / Beaver</x:v>
      </x:c>
      <x:c r="Q466" s="15" t="n">
        <x:v>1</x:v>
      </x:c>
      <x:c r="R466" s="14" t="str">
        <x:v>2025</x:v>
      </x:c>
      <x:c r="S466" s="14" t="n">
        <x:v>2025</x:v>
      </x:c>
      <x:c r="T466" s="14" t="n">
        <x:v>2025</x:v>
      </x:c>
      <x:c r="U466" s="14" t="str">
        <x:v>Explicit source first year retained</x:v>
      </x:c>
      <x:c r="V466" s="14" t="str">
        <x:v>Earliest supplied year is 2025.</x:v>
      </x:c>
      <x:c r="W466" s="14"/>
      <x:c r="X466" s="14" t="str">
        <x:v>Carried forward to 2025</x:v>
      </x:c>
      <x:c r="Y466" s="14"/>
      <x:c r="Z466" s="14" t="str">
        <x:v>Sister Boniface Mysteries.docx</x:v>
      </x:c>
      <x:c r="AA46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BritBox UK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38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0.02631578947368421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tt15407098|nm3544818|bernice mcdowell</x:v>
      </x:c>
      <x:c r="B467" s="14" t="str">
        <x:v>05</x:v>
      </x:c>
      <x:c r="C467" s="14" t="str">
        <x:v>2022_IMDb_Cast_Lists_Batch_05(1).xlsx</x:v>
      </x:c>
      <x:c r="D467" s="14" t="str">
        <x:v>Sister Boniface Mysteries</x:v>
      </x:c>
      <x:c r="E467" s="14" t="n">
        <x:v>86</x:v>
      </x:c>
      <x:c r="F467" s="14" t="str">
        <x:v>Sister Boniface Mysteries</x:v>
      </x:c>
      <x:c r="G467" s="14" t="str">
        <x:v>tt15407098</x:v>
      </x:c>
      <x:c r="H467" s="14" t="n">
        <x:v>2022</x:v>
      </x:c>
      <x:c r="I467" s="14" t="n">
        <x:v>2023</x:v>
      </x:c>
      <x:c r="J467" s="14" t="str">
        <x:v>Future Carry-Forward Cohort</x:v>
      </x:c>
      <x:c r="K467" s="14" t="n">
        <x:v>2022</x:v>
      </x:c>
      <x:c r="L467" s="14" t="str">
        <x:v>Not inherited</x:v>
      </x:c>
      <x:c r="M467" s="15" t="n">
        <x:v>79</x:v>
      </x:c>
      <x:c r="N467" s="14" t="str">
        <x:v>Dani Moseley</x:v>
      </x:c>
      <x:c r="O467" s="14" t="str">
        <x:v>nm3544818</x:v>
      </x:c>
      <x:c r="P467" s="14" t="str">
        <x:v>Bernice McDowell</x:v>
      </x:c>
      <x:c r="Q467" s="15" t="n">
        <x:v>1</x:v>
      </x:c>
      <x:c r="R467" s="14" t="str">
        <x:v>2025</x:v>
      </x:c>
      <x:c r="S467" s="14" t="n">
        <x:v>2025</x:v>
      </x:c>
      <x:c r="T467" s="14" t="n">
        <x:v>2025</x:v>
      </x:c>
      <x:c r="U467" s="14" t="str">
        <x:v>Explicit source first year retained</x:v>
      </x:c>
      <x:c r="V467" s="14" t="str">
        <x:v>Earliest supplied year is 2025.</x:v>
      </x:c>
      <x:c r="W467" s="14"/>
      <x:c r="X467" s="14" t="str">
        <x:v>Carried forward to 2025</x:v>
      </x:c>
      <x:c r="Y467" s="14"/>
      <x:c r="Z467" s="14" t="str">
        <x:v>Sister Boniface Mysteries.docx</x:v>
      </x:c>
      <x:c r="AA46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BritBox UK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38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0.02631578947368421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tt15407098|nm0057073|giles penistone</x:v>
      </x:c>
      <x:c r="B468" s="14" t="str">
        <x:v>05</x:v>
      </x:c>
      <x:c r="C468" s="14" t="str">
        <x:v>2022_IMDb_Cast_Lists_Batch_05(1).xlsx</x:v>
      </x:c>
      <x:c r="D468" s="14" t="str">
        <x:v>Sister Boniface Mysteries</x:v>
      </x:c>
      <x:c r="E468" s="14" t="n">
        <x:v>87</x:v>
      </x:c>
      <x:c r="F468" s="14" t="str">
        <x:v>Sister Boniface Mysteries</x:v>
      </x:c>
      <x:c r="G468" s="14" t="str">
        <x:v>tt15407098</x:v>
      </x:c>
      <x:c r="H468" s="14" t="n">
        <x:v>2022</x:v>
      </x:c>
      <x:c r="I468" s="14" t="n">
        <x:v>2023</x:v>
      </x:c>
      <x:c r="J468" s="14" t="str">
        <x:v>Future Carry-Forward Cohort</x:v>
      </x:c>
      <x:c r="K468" s="14" t="n">
        <x:v>2022</x:v>
      </x:c>
      <x:c r="L468" s="14" t="str">
        <x:v>Not inherited</x:v>
      </x:c>
      <x:c r="M468" s="15" t="n">
        <x:v>80</x:v>
      </x:c>
      <x:c r="N468" s="14" t="str">
        <x:v>Bob Barrett</x:v>
      </x:c>
      <x:c r="O468" s="14" t="str">
        <x:v>nm0057073</x:v>
      </x:c>
      <x:c r="P468" s="14" t="str">
        <x:v>Giles Penistone</x:v>
      </x:c>
      <x:c r="Q468" s="15" t="n">
        <x:v>1</x:v>
      </x:c>
      <x:c r="R468" s="14" t="str">
        <x:v>2025</x:v>
      </x:c>
      <x:c r="S468" s="14" t="n">
        <x:v>2025</x:v>
      </x:c>
      <x:c r="T468" s="14" t="n">
        <x:v>2025</x:v>
      </x:c>
      <x:c r="U468" s="14" t="str">
        <x:v>Explicit source first year retained</x:v>
      </x:c>
      <x:c r="V468" s="14" t="str">
        <x:v>Earliest supplied year is 2025.</x:v>
      </x:c>
      <x:c r="W468" s="14"/>
      <x:c r="X468" s="14" t="str">
        <x:v>Carried forward to 2025</x:v>
      </x:c>
      <x:c r="Y468" s="14"/>
      <x:c r="Z468" s="14" t="str">
        <x:v>Sister Boniface Mysteries.docx</x:v>
      </x:c>
      <x:c r="AA4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BritBox UK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38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0.02631578947368421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tt15407098|nm0730394|sister laurence</x:v>
      </x:c>
      <x:c r="B469" s="14" t="str">
        <x:v>05</x:v>
      </x:c>
      <x:c r="C469" s="14" t="str">
        <x:v>2022_IMDb_Cast_Lists_Batch_05(1).xlsx</x:v>
      </x:c>
      <x:c r="D469" s="14" t="str">
        <x:v>Sister Boniface Mysteries</x:v>
      </x:c>
      <x:c r="E469" s="14" t="n">
        <x:v>104</x:v>
      </x:c>
      <x:c r="F469" s="14" t="str">
        <x:v>Sister Boniface Mysteries</x:v>
      </x:c>
      <x:c r="G469" s="14" t="str">
        <x:v>tt15407098</x:v>
      </x:c>
      <x:c r="H469" s="14" t="n">
        <x:v>2022</x:v>
      </x:c>
      <x:c r="I469" s="14" t="n">
        <x:v>2023</x:v>
      </x:c>
      <x:c r="J469" s="14" t="str">
        <x:v>Future Carry-Forward Cohort</x:v>
      </x:c>
      <x:c r="K469" s="14" t="n">
        <x:v>2022</x:v>
      </x:c>
      <x:c r="L469" s="14" t="str">
        <x:v>Not inherited</x:v>
      </x:c>
      <x:c r="M469" s="15" t="n">
        <x:v>97</x:v>
      </x:c>
      <x:c r="N469" s="14" t="str">
        <x:v>Kate Robbins</x:v>
      </x:c>
      <x:c r="O469" s="14" t="str">
        <x:v>nm0730394</x:v>
      </x:c>
      <x:c r="P469" s="14" t="str">
        <x:v>Sister Laurence</x:v>
      </x:c>
      <x:c r="Q469" s="15" t="n">
        <x:v>1</x:v>
      </x:c>
      <x:c r="R469" s="14" t="str">
        <x:v>2025</x:v>
      </x:c>
      <x:c r="S469" s="14" t="n">
        <x:v>2025</x:v>
      </x:c>
      <x:c r="T469" s="14" t="n">
        <x:v>2025</x:v>
      </x:c>
      <x:c r="U469" s="14" t="str">
        <x:v>Explicit source first year retained</x:v>
      </x:c>
      <x:c r="V469" s="14" t="str">
        <x:v>Earliest supplied year is 2025.</x:v>
      </x:c>
      <x:c r="W469" s="14"/>
      <x:c r="X469" s="14" t="str">
        <x:v>Carried forward to 2025</x:v>
      </x:c>
      <x:c r="Y469" s="14"/>
      <x:c r="Z469" s="14" t="str">
        <x:v>Sister Boniface Mysteries.docx</x:v>
      </x:c>
      <x:c r="AA4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BritBox UK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38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0.02631578947368421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tt15407098|nm2678436|malcolm everett</x:v>
      </x:c>
      <x:c r="B470" s="14" t="str">
        <x:v>05</x:v>
      </x:c>
      <x:c r="C470" s="14" t="str">
        <x:v>2022_IMDb_Cast_Lists_Batch_05(1).xlsx</x:v>
      </x:c>
      <x:c r="D470" s="14" t="str">
        <x:v>Sister Boniface Mysteries</x:v>
      </x:c>
      <x:c r="E470" s="14" t="n">
        <x:v>105</x:v>
      </x:c>
      <x:c r="F470" s="14" t="str">
        <x:v>Sister Boniface Mysteries</x:v>
      </x:c>
      <x:c r="G470" s="14" t="str">
        <x:v>tt15407098</x:v>
      </x:c>
      <x:c r="H470" s="14" t="n">
        <x:v>2022</x:v>
      </x:c>
      <x:c r="I470" s="14" t="n">
        <x:v>2023</x:v>
      </x:c>
      <x:c r="J470" s="14" t="str">
        <x:v>Future Carry-Forward Cohort</x:v>
      </x:c>
      <x:c r="K470" s="14" t="n">
        <x:v>2022</x:v>
      </x:c>
      <x:c r="L470" s="14" t="str">
        <x:v>Not inherited</x:v>
      </x:c>
      <x:c r="M470" s="15" t="n">
        <x:v>98</x:v>
      </x:c>
      <x:c r="N470" s="14" t="str">
        <x:v>Joe Tracini</x:v>
      </x:c>
      <x:c r="O470" s="14" t="str">
        <x:v>nm2678436</x:v>
      </x:c>
      <x:c r="P470" s="14" t="str">
        <x:v>Malcolm Everett</x:v>
      </x:c>
      <x:c r="Q470" s="15" t="n">
        <x:v>1</x:v>
      </x:c>
      <x:c r="R470" s="14" t="str">
        <x:v>2025</x:v>
      </x:c>
      <x:c r="S470" s="14" t="n">
        <x:v>2025</x:v>
      </x:c>
      <x:c r="T470" s="14" t="n">
        <x:v>2025</x:v>
      </x:c>
      <x:c r="U470" s="14" t="str">
        <x:v>Explicit source first year retained</x:v>
      </x:c>
      <x:c r="V470" s="14" t="str">
        <x:v>Earliest supplied year is 2025.</x:v>
      </x:c>
      <x:c r="W470" s="14"/>
      <x:c r="X470" s="14" t="str">
        <x:v>Carried forward to 2025</x:v>
      </x:c>
      <x:c r="Y470" s="14"/>
      <x:c r="Z470" s="14" t="str">
        <x:v>Sister Boniface Mysteries.docx</x:v>
      </x:c>
      <x:c r="AA4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BritBox UK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38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1</x:v>
      </x:c>
      <x:c r="BS470" s="16" t="n">
        <x:v>0.02631578947368421</x:v>
      </x:c>
      <x:c r="BT470" s="14" t="str">
        <x:v>One episode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tt15407098|nm1721608|daisy dunn</x:v>
      </x:c>
      <x:c r="B471" s="14" t="str">
        <x:v>05</x:v>
      </x:c>
      <x:c r="C471" s="14" t="str">
        <x:v>2022_IMDb_Cast_Lists_Batch_05(1).xlsx</x:v>
      </x:c>
      <x:c r="D471" s="14" t="str">
        <x:v>Sister Boniface Mysteries</x:v>
      </x:c>
      <x:c r="E471" s="14" t="n">
        <x:v>106</x:v>
      </x:c>
      <x:c r="F471" s="14" t="str">
        <x:v>Sister Boniface Mysteries</x:v>
      </x:c>
      <x:c r="G471" s="14" t="str">
        <x:v>tt15407098</x:v>
      </x:c>
      <x:c r="H471" s="14" t="n">
        <x:v>2022</x:v>
      </x:c>
      <x:c r="I471" s="14" t="n">
        <x:v>2023</x:v>
      </x:c>
      <x:c r="J471" s="14" t="str">
        <x:v>Future Carry-Forward Cohort</x:v>
      </x:c>
      <x:c r="K471" s="14" t="n">
        <x:v>2022</x:v>
      </x:c>
      <x:c r="L471" s="14" t="str">
        <x:v>Not inherited</x:v>
      </x:c>
      <x:c r="M471" s="15" t="n">
        <x:v>99</x:v>
      </x:c>
      <x:c r="N471" s="14" t="str">
        <x:v>Amy Murphy</x:v>
      </x:c>
      <x:c r="O471" s="14" t="str">
        <x:v>nm1721608</x:v>
      </x:c>
      <x:c r="P471" s="14" t="str">
        <x:v>Daisy Dunn</x:v>
      </x:c>
      <x:c r="Q471" s="15" t="n">
        <x:v>1</x:v>
      </x:c>
      <x:c r="R471" s="14" t="str">
        <x:v>2025</x:v>
      </x:c>
      <x:c r="S471" s="14" t="n">
        <x:v>2025</x:v>
      </x:c>
      <x:c r="T471" s="14" t="n">
        <x:v>2025</x:v>
      </x:c>
      <x:c r="U471" s="14" t="str">
        <x:v>Explicit source first year retained</x:v>
      </x:c>
      <x:c r="V471" s="14" t="str">
        <x:v>Earliest supplied year is 2025.</x:v>
      </x:c>
      <x:c r="W471" s="14"/>
      <x:c r="X471" s="14" t="str">
        <x:v>Carried forward to 2025</x:v>
      </x:c>
      <x:c r="Y471" s="14"/>
      <x:c r="Z471" s="14" t="str">
        <x:v>Sister Boniface Mysteries.docx</x:v>
      </x:c>
      <x:c r="AA4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BritBox UK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38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1</x:v>
      </x:c>
      <x:c r="BS471" s="16" t="n">
        <x:v>0.02631578947368421</x:v>
      </x:c>
      <x:c r="BT471" s="14" t="str">
        <x:v>One episode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tt15407098|nm0448053|angus mcintyre</x:v>
      </x:c>
      <x:c r="B472" s="14" t="str">
        <x:v>05</x:v>
      </x:c>
      <x:c r="C472" s="14" t="str">
        <x:v>2022_IMDb_Cast_Lists_Batch_05(1).xlsx</x:v>
      </x:c>
      <x:c r="D472" s="14" t="str">
        <x:v>Sister Boniface Mysteries</x:v>
      </x:c>
      <x:c r="E472" s="14" t="n">
        <x:v>126</x:v>
      </x:c>
      <x:c r="F472" s="14" t="str">
        <x:v>Sister Boniface Mysteries</x:v>
      </x:c>
      <x:c r="G472" s="14" t="str">
        <x:v>tt15407098</x:v>
      </x:c>
      <x:c r="H472" s="14" t="n">
        <x:v>2022</x:v>
      </x:c>
      <x:c r="I472" s="14" t="n">
        <x:v>2023</x:v>
      </x:c>
      <x:c r="J472" s="14" t="str">
        <x:v>Future Carry-Forward Cohort</x:v>
      </x:c>
      <x:c r="K472" s="14" t="n">
        <x:v>2022</x:v>
      </x:c>
      <x:c r="L472" s="14" t="str">
        <x:v>Not inherited</x:v>
      </x:c>
      <x:c r="M472" s="15" t="n">
        <x:v>119</x:v>
      </x:c>
      <x:c r="N472" s="14" t="str">
        <x:v>Gordon Kennedy</x:v>
      </x:c>
      <x:c r="O472" s="14" t="str">
        <x:v>nm0448053</x:v>
      </x:c>
      <x:c r="P472" s="14" t="str">
        <x:v>Angus McIntyre</x:v>
      </x:c>
      <x:c r="Q472" s="15" t="n">
        <x:v>1</x:v>
      </x:c>
      <x:c r="R472" s="14" t="str">
        <x:v>2025</x:v>
      </x:c>
      <x:c r="S472" s="14" t="n">
        <x:v>2025</x:v>
      </x:c>
      <x:c r="T472" s="14" t="n">
        <x:v>2025</x:v>
      </x:c>
      <x:c r="U472" s="14" t="str">
        <x:v>Explicit source first year retained</x:v>
      </x:c>
      <x:c r="V472" s="14" t="str">
        <x:v>Earliest supplied year is 2025.</x:v>
      </x:c>
      <x:c r="W472" s="14"/>
      <x:c r="X472" s="14" t="str">
        <x:v>Carried forward to 2025</x:v>
      </x:c>
      <x:c r="Y472" s="14"/>
      <x:c r="Z472" s="14" t="str">
        <x:v>Sister Boniface Mysteries.docx</x:v>
      </x:c>
      <x:c r="AA4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BritBox UK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38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1</x:v>
      </x:c>
      <x:c r="BS472" s="16" t="n">
        <x:v>0.02631578947368421</x:v>
      </x:c>
      <x:c r="BT472" s="14" t="str">
        <x:v>One episode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tt15407098|nm0180504|len shepherd</x:v>
      </x:c>
      <x:c r="B473" s="14" t="str">
        <x:v>05</x:v>
      </x:c>
      <x:c r="C473" s="14" t="str">
        <x:v>2022_IMDb_Cast_Lists_Batch_05(1).xlsx</x:v>
      </x:c>
      <x:c r="D473" s="14" t="str">
        <x:v>Sister Boniface Mysteries</x:v>
      </x:c>
      <x:c r="E473" s="14" t="n">
        <x:v>127</x:v>
      </x:c>
      <x:c r="F473" s="14" t="str">
        <x:v>Sister Boniface Mysteries</x:v>
      </x:c>
      <x:c r="G473" s="14" t="str">
        <x:v>tt15407098</x:v>
      </x:c>
      <x:c r="H473" s="14" t="n">
        <x:v>2022</x:v>
      </x:c>
      <x:c r="I473" s="14" t="n">
        <x:v>2023</x:v>
      </x:c>
      <x:c r="J473" s="14" t="str">
        <x:v>Future Carry-Forward Cohort</x:v>
      </x:c>
      <x:c r="K473" s="14" t="n">
        <x:v>2022</x:v>
      </x:c>
      <x:c r="L473" s="14" t="str">
        <x:v>Not inherited</x:v>
      </x:c>
      <x:c r="M473" s="15" t="n">
        <x:v>120</x:v>
      </x:c>
      <x:c r="N473" s="14" t="str">
        <x:v>Phil Cornwell</x:v>
      </x:c>
      <x:c r="O473" s="14" t="str">
        <x:v>nm0180504</x:v>
      </x:c>
      <x:c r="P473" s="14" t="str">
        <x:v>Len Shepherd</x:v>
      </x:c>
      <x:c r="Q473" s="15" t="n">
        <x:v>1</x:v>
      </x:c>
      <x:c r="R473" s="14" t="str">
        <x:v>2025</x:v>
      </x:c>
      <x:c r="S473" s="14" t="n">
        <x:v>2025</x:v>
      </x:c>
      <x:c r="T473" s="14" t="n">
        <x:v>2025</x:v>
      </x:c>
      <x:c r="U473" s="14" t="str">
        <x:v>Explicit source first year retained</x:v>
      </x:c>
      <x:c r="V473" s="14" t="str">
        <x:v>Earliest supplied year is 2025.</x:v>
      </x:c>
      <x:c r="W473" s="14"/>
      <x:c r="X473" s="14" t="str">
        <x:v>Carried forward to 2025</x:v>
      </x:c>
      <x:c r="Y473" s="14"/>
      <x:c r="Z473" s="14" t="str">
        <x:v>Sister Boniface Mysteries.docx</x:v>
      </x:c>
      <x:c r="AA4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BritBox UK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38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1</x:v>
      </x:c>
      <x:c r="BS473" s="16" t="n">
        <x:v>0.02631578947368421</x:v>
      </x:c>
      <x:c r="BT473" s="14" t="str">
        <x:v>One episode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tt15407098|nm3162285|dr. saatvik bose</x:v>
      </x:c>
      <x:c r="B474" s="14" t="str">
        <x:v>05</x:v>
      </x:c>
      <x:c r="C474" s="14" t="str">
        <x:v>2022_IMDb_Cast_Lists_Batch_05(1).xlsx</x:v>
      </x:c>
      <x:c r="D474" s="14" t="str">
        <x:v>Sister Boniface Mysteries</x:v>
      </x:c>
      <x:c r="E474" s="14" t="n">
        <x:v>139</x:v>
      </x:c>
      <x:c r="F474" s="14" t="str">
        <x:v>Sister Boniface Mysteries</x:v>
      </x:c>
      <x:c r="G474" s="14" t="str">
        <x:v>tt15407098</x:v>
      </x:c>
      <x:c r="H474" s="14" t="n">
        <x:v>2022</x:v>
      </x:c>
      <x:c r="I474" s="14" t="n">
        <x:v>2023</x:v>
      </x:c>
      <x:c r="J474" s="14" t="str">
        <x:v>Future Carry-Forward Cohort</x:v>
      </x:c>
      <x:c r="K474" s="14" t="n">
        <x:v>2022</x:v>
      </x:c>
      <x:c r="L474" s="14" t="str">
        <x:v>Not inherited</x:v>
      </x:c>
      <x:c r="M474" s="15" t="n">
        <x:v>132</x:v>
      </x:c>
      <x:c r="N474" s="14" t="str">
        <x:v>Jaz Singh Deol</x:v>
      </x:c>
      <x:c r="O474" s="14" t="str">
        <x:v>nm3162285</x:v>
      </x:c>
      <x:c r="P474" s="14" t="str">
        <x:v>Dr. Saatvik Bose</x:v>
      </x:c>
      <x:c r="Q474" s="15" t="n">
        <x:v>1</x:v>
      </x:c>
      <x:c r="R474" s="14" t="str">
        <x:v>2025</x:v>
      </x:c>
      <x:c r="S474" s="14" t="n">
        <x:v>2025</x:v>
      </x:c>
      <x:c r="T474" s="14" t="n">
        <x:v>2025</x:v>
      </x:c>
      <x:c r="U474" s="14" t="str">
        <x:v>Explicit source first year retained</x:v>
      </x:c>
      <x:c r="V474" s="14" t="str">
        <x:v>Earliest supplied year is 2025.</x:v>
      </x:c>
      <x:c r="W474" s="14"/>
      <x:c r="X474" s="14" t="str">
        <x:v>Carried forward to 2025</x:v>
      </x:c>
      <x:c r="Y474" s="14"/>
      <x:c r="Z474" s="14" t="str">
        <x:v>Sister Boniface Mysteries.docx</x:v>
      </x:c>
      <x:c r="AA4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BritBox UK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38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1</x:v>
      </x:c>
      <x:c r="BS474" s="16" t="n">
        <x:v>0.02631578947368421</x:v>
      </x:c>
      <x:c r="BT474" s="14" t="str">
        <x:v>One episode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tt15407098|nm0568118|cc horace winthorp</x:v>
      </x:c>
      <x:c r="B475" s="14" t="str">
        <x:v>05</x:v>
      </x:c>
      <x:c r="C475" s="14" t="str">
        <x:v>2022_IMDb_Cast_Lists_Batch_05(1).xlsx</x:v>
      </x:c>
      <x:c r="D475" s="14" t="str">
        <x:v>Sister Boniface Mysteries</x:v>
      </x:c>
      <x:c r="E475" s="14" t="n">
        <x:v>140</x:v>
      </x:c>
      <x:c r="F475" s="14" t="str">
        <x:v>Sister Boniface Mysteries</x:v>
      </x:c>
      <x:c r="G475" s="14" t="str">
        <x:v>tt15407098</x:v>
      </x:c>
      <x:c r="H475" s="14" t="n">
        <x:v>2022</x:v>
      </x:c>
      <x:c r="I475" s="14" t="n">
        <x:v>2023</x:v>
      </x:c>
      <x:c r="J475" s="14" t="str">
        <x:v>Future Carry-Forward Cohort</x:v>
      </x:c>
      <x:c r="K475" s="14" t="n">
        <x:v>2022</x:v>
      </x:c>
      <x:c r="L475" s="14" t="str">
        <x:v>Not inherited</x:v>
      </x:c>
      <x:c r="M475" s="15" t="n">
        <x:v>133</x:v>
      </x:c>
      <x:c r="N475" s="14" t="str">
        <x:v>Mark McDonnell</x:v>
      </x:c>
      <x:c r="O475" s="14" t="str">
        <x:v>nm0568118</x:v>
      </x:c>
      <x:c r="P475" s="14" t="str">
        <x:v>CC Horace Winthorp</x:v>
      </x:c>
      <x:c r="Q475" s="15" t="n">
        <x:v>1</x:v>
      </x:c>
      <x:c r="R475" s="14" t="str">
        <x:v>2025</x:v>
      </x:c>
      <x:c r="S475" s="14" t="n">
        <x:v>2025</x:v>
      </x:c>
      <x:c r="T475" s="14" t="n">
        <x:v>2025</x:v>
      </x:c>
      <x:c r="U475" s="14" t="str">
        <x:v>Explicit source first year retained</x:v>
      </x:c>
      <x:c r="V475" s="14" t="str">
        <x:v>Earliest supplied year is 2025.</x:v>
      </x:c>
      <x:c r="W475" s="14"/>
      <x:c r="X475" s="14" t="str">
        <x:v>Carried forward to 2025</x:v>
      </x:c>
      <x:c r="Y475" s="14"/>
      <x:c r="Z475" s="14" t="str">
        <x:v>Sister Boniface Mysteries.docx</x:v>
      </x:c>
      <x:c r="AA4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BritBox UK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38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1</x:v>
      </x:c>
      <x:c r="BS475" s="16" t="n">
        <x:v>0.02631578947368421</x:v>
      </x:c>
      <x:c r="BT475" s="14" t="str">
        <x:v>One episode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tt15407098|nm5751327|miles fletcher</x:v>
      </x:c>
      <x:c r="B476" s="14" t="str">
        <x:v>05</x:v>
      </x:c>
      <x:c r="C476" s="14" t="str">
        <x:v>2022_IMDb_Cast_Lists_Batch_05(1).xlsx</x:v>
      </x:c>
      <x:c r="D476" s="14" t="str">
        <x:v>Sister Boniface Mysteries</x:v>
      </x:c>
      <x:c r="E476" s="14" t="n">
        <x:v>154</x:v>
      </x:c>
      <x:c r="F476" s="14" t="str">
        <x:v>Sister Boniface Mysteries</x:v>
      </x:c>
      <x:c r="G476" s="14" t="str">
        <x:v>tt15407098</x:v>
      </x:c>
      <x:c r="H476" s="14" t="n">
        <x:v>2022</x:v>
      </x:c>
      <x:c r="I476" s="14" t="n">
        <x:v>2023</x:v>
      </x:c>
      <x:c r="J476" s="14" t="str">
        <x:v>Future Carry-Forward Cohort</x:v>
      </x:c>
      <x:c r="K476" s="14" t="n">
        <x:v>2022</x:v>
      </x:c>
      <x:c r="L476" s="14" t="str">
        <x:v>Not inherited</x:v>
      </x:c>
      <x:c r="M476" s="15" t="n">
        <x:v>147</x:v>
      </x:c>
      <x:c r="N476" s="14" t="str">
        <x:v>Oliver Dench</x:v>
      </x:c>
      <x:c r="O476" s="14" t="str">
        <x:v>nm5751327</x:v>
      </x:c>
      <x:c r="P476" s="14" t="str">
        <x:v>Miles Fletcher</x:v>
      </x:c>
      <x:c r="Q476" s="15" t="n">
        <x:v>1</x:v>
      </x:c>
      <x:c r="R476" s="14" t="str">
        <x:v>2025</x:v>
      </x:c>
      <x:c r="S476" s="14" t="n">
        <x:v>2025</x:v>
      </x:c>
      <x:c r="T476" s="14" t="n">
        <x:v>2025</x:v>
      </x:c>
      <x:c r="U476" s="14" t="str">
        <x:v>Explicit source first year retained</x:v>
      </x:c>
      <x:c r="V476" s="14" t="str">
        <x:v>Earliest supplied year is 2025.</x:v>
      </x:c>
      <x:c r="W476" s="14"/>
      <x:c r="X476" s="14" t="str">
        <x:v>Carried forward to 2025</x:v>
      </x:c>
      <x:c r="Y476" s="14"/>
      <x:c r="Z476" s="14" t="str">
        <x:v>Sister Boniface Mysteries.docx</x:v>
      </x:c>
      <x:c r="AA4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BritBox UK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38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1</x:v>
      </x:c>
      <x:c r="BS476" s="16" t="n">
        <x:v>0.02631578947368421</x:v>
      </x:c>
      <x:c r="BT476" s="14" t="str">
        <x:v>One episode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tt15407098|nm2497266|di jack stagg</x:v>
      </x:c>
      <x:c r="B477" s="14" t="str">
        <x:v>05</x:v>
      </x:c>
      <x:c r="C477" s="14" t="str">
        <x:v>2022_IMDb_Cast_Lists_Batch_05(1).xlsx</x:v>
      </x:c>
      <x:c r="D477" s="14" t="str">
        <x:v>Sister Boniface Mysteries</x:v>
      </x:c>
      <x:c r="E477" s="14" t="n">
        <x:v>155</x:v>
      </x:c>
      <x:c r="F477" s="14" t="str">
        <x:v>Sister Boniface Mysteries</x:v>
      </x:c>
      <x:c r="G477" s="14" t="str">
        <x:v>tt15407098</x:v>
      </x:c>
      <x:c r="H477" s="14" t="n">
        <x:v>2022</x:v>
      </x:c>
      <x:c r="I477" s="14" t="n">
        <x:v>2023</x:v>
      </x:c>
      <x:c r="J477" s="14" t="str">
        <x:v>Future Carry-Forward Cohort</x:v>
      </x:c>
      <x:c r="K477" s="14" t="n">
        <x:v>2022</x:v>
      </x:c>
      <x:c r="L477" s="14" t="str">
        <x:v>Not inherited</x:v>
      </x:c>
      <x:c r="M477" s="15" t="n">
        <x:v>148</x:v>
      </x:c>
      <x:c r="N477" s="14" t="str">
        <x:v>Jay Taylor</x:v>
      </x:c>
      <x:c r="O477" s="14" t="str">
        <x:v>nm2497266</x:v>
      </x:c>
      <x:c r="P477" s="14" t="str">
        <x:v>DI Jack Stagg</x:v>
      </x:c>
      <x:c r="Q477" s="15" t="n">
        <x:v>1</x:v>
      </x:c>
      <x:c r="R477" s="14" t="str">
        <x:v>2025</x:v>
      </x:c>
      <x:c r="S477" s="14" t="n">
        <x:v>2025</x:v>
      </x:c>
      <x:c r="T477" s="14" t="n">
        <x:v>2025</x:v>
      </x:c>
      <x:c r="U477" s="14" t="str">
        <x:v>Explicit source first year retained</x:v>
      </x:c>
      <x:c r="V477" s="14" t="str">
        <x:v>Earliest supplied year is 2025.</x:v>
      </x:c>
      <x:c r="W477" s="14"/>
      <x:c r="X477" s="14" t="str">
        <x:v>Carried forward to 2025</x:v>
      </x:c>
      <x:c r="Y477" s="14"/>
      <x:c r="Z477" s="14" t="str">
        <x:v>Sister Boniface Mysteries.docx</x:v>
      </x:c>
      <x:c r="AA4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BritBox UK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38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1</x:v>
      </x:c>
      <x:c r="BS477" s="16" t="n">
        <x:v>0.02631578947368421</x:v>
      </x:c>
      <x:c r="BT477" s="14" t="str">
        <x:v>One episode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tt15407098|nm4309809|dc heather thorne</x:v>
      </x:c>
      <x:c r="B478" s="14" t="str">
        <x:v>05</x:v>
      </x:c>
      <x:c r="C478" s="14" t="str">
        <x:v>2022_IMDb_Cast_Lists_Batch_05(1).xlsx</x:v>
      </x:c>
      <x:c r="D478" s="14" t="str">
        <x:v>Sister Boniface Mysteries</x:v>
      </x:c>
      <x:c r="E478" s="14" t="n">
        <x:v>165</x:v>
      </x:c>
      <x:c r="F478" s="14" t="str">
        <x:v>Sister Boniface Mysteries</x:v>
      </x:c>
      <x:c r="G478" s="14" t="str">
        <x:v>tt15407098</x:v>
      </x:c>
      <x:c r="H478" s="14" t="n">
        <x:v>2022</x:v>
      </x:c>
      <x:c r="I478" s="14" t="n">
        <x:v>2023</x:v>
      </x:c>
      <x:c r="J478" s="14" t="str">
        <x:v>Future Carry-Forward Cohort</x:v>
      </x:c>
      <x:c r="K478" s="14" t="n">
        <x:v>2022</x:v>
      </x:c>
      <x:c r="L478" s="14" t="str">
        <x:v>Not inherited</x:v>
      </x:c>
      <x:c r="M478" s="15" t="n">
        <x:v>158</x:v>
      </x:c>
      <x:c r="N478" s="14" t="str">
        <x:v>Tamla Kari</x:v>
      </x:c>
      <x:c r="O478" s="14" t="str">
        <x:v>nm4309809</x:v>
      </x:c>
      <x:c r="P478" s="14" t="str">
        <x:v>DC Heather Thorne</x:v>
      </x:c>
      <x:c r="Q478" s="15" t="n">
        <x:v>1</x:v>
      </x:c>
      <x:c r="R478" s="14" t="str">
        <x:v>2025</x:v>
      </x:c>
      <x:c r="S478" s="14" t="n">
        <x:v>2025</x:v>
      </x:c>
      <x:c r="T478" s="14" t="n">
        <x:v>2025</x:v>
      </x:c>
      <x:c r="U478" s="14" t="str">
        <x:v>Explicit source first year retained</x:v>
      </x:c>
      <x:c r="V478" s="14" t="str">
        <x:v>Earliest supplied year is 2025.</x:v>
      </x:c>
      <x:c r="W478" s="14"/>
      <x:c r="X478" s="14" t="str">
        <x:v>Carried forward to 2025</x:v>
      </x:c>
      <x:c r="Y478" s="14"/>
      <x:c r="Z478" s="14" t="str">
        <x:v>Sister Boniface Mysteries.docx</x:v>
      </x:c>
      <x:c r="AA4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BritBox UK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38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1</x:v>
      </x:c>
      <x:c r="BS478" s="16" t="n">
        <x:v>0.02631578947368421</x:v>
      </x:c>
      <x:c r="BT478" s="14" t="str">
        <x:v>One episode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tt15407098|nm8013437|vivian ashbrook</x:v>
      </x:c>
      <x:c r="B479" s="14" t="str">
        <x:v>05</x:v>
      </x:c>
      <x:c r="C479" s="14" t="str">
        <x:v>2022_IMDb_Cast_Lists_Batch_05(1).xlsx</x:v>
      </x:c>
      <x:c r="D479" s="14" t="str">
        <x:v>Sister Boniface Mysteries</x:v>
      </x:c>
      <x:c r="E479" s="14" t="n">
        <x:v>166</x:v>
      </x:c>
      <x:c r="F479" s="14" t="str">
        <x:v>Sister Boniface Mysteries</x:v>
      </x:c>
      <x:c r="G479" s="14" t="str">
        <x:v>tt15407098</x:v>
      </x:c>
      <x:c r="H479" s="14" t="n">
        <x:v>2022</x:v>
      </x:c>
      <x:c r="I479" s="14" t="n">
        <x:v>2023</x:v>
      </x:c>
      <x:c r="J479" s="14" t="str">
        <x:v>Future Carry-Forward Cohort</x:v>
      </x:c>
      <x:c r="K479" s="14" t="n">
        <x:v>2022</x:v>
      </x:c>
      <x:c r="L479" s="14" t="str">
        <x:v>Not inherited</x:v>
      </x:c>
      <x:c r="M479" s="15" t="n">
        <x:v>159</x:v>
      </x:c>
      <x:c r="N479" s="14" t="str">
        <x:v>Sophie Ablett</x:v>
      </x:c>
      <x:c r="O479" s="14" t="str">
        <x:v>nm8013437</x:v>
      </x:c>
      <x:c r="P479" s="14" t="str">
        <x:v>Vivian Ashbrook</x:v>
      </x:c>
      <x:c r="Q479" s="15" t="n">
        <x:v>1</x:v>
      </x:c>
      <x:c r="R479" s="14" t="str">
        <x:v>2025</x:v>
      </x:c>
      <x:c r="S479" s="14" t="n">
        <x:v>2025</x:v>
      </x:c>
      <x:c r="T479" s="14" t="n">
        <x:v>2025</x:v>
      </x:c>
      <x:c r="U479" s="14" t="str">
        <x:v>Explicit source first year retained</x:v>
      </x:c>
      <x:c r="V479" s="14" t="str">
        <x:v>Earliest supplied year is 2025.</x:v>
      </x:c>
      <x:c r="W479" s="14"/>
      <x:c r="X479" s="14" t="str">
        <x:v>Carried forward to 2025</x:v>
      </x:c>
      <x:c r="Y479" s="14"/>
      <x:c r="Z479" s="14" t="str">
        <x:v>Sister Boniface Mysteries.docx</x:v>
      </x:c>
      <x:c r="AA4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BritBox UK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No established-register match</x:v>
      </x:c>
      <x:c r="AT479" s="14"/>
      <x:c r="AU479" s="14"/>
      <x:c r="AV479" s="14" t="str">
        <x:v>No established apparent-disability match</x:v>
      </x:c>
      <x:c r="AW479" s="14"/>
      <x:c r="AX479" s="14" t="str">
        <x:v>No</x:v>
      </x:c>
      <x:c r="AY479" s="14" t="str">
        <x:v>Unmatched</x:v>
      </x:c>
      <x:c r="AZ479" s="14" t="str">
        <x:v>Final supplied register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38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1</x:v>
      </x:c>
      <x:c r="BS479" s="16" t="n">
        <x:v>0.02631578947368421</x:v>
      </x:c>
      <x:c r="BT479" s="14" t="str">
        <x:v>One episode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tt15407098|nm1685971|dermot millington</x:v>
      </x:c>
      <x:c r="B480" s="14" t="str">
        <x:v>05</x:v>
      </x:c>
      <x:c r="C480" s="14" t="str">
        <x:v>2022_IMDb_Cast_Lists_Batch_05(1).xlsx</x:v>
      </x:c>
      <x:c r="D480" s="14" t="str">
        <x:v>Sister Boniface Mysteries</x:v>
      </x:c>
      <x:c r="E480" s="14" t="n">
        <x:v>177</x:v>
      </x:c>
      <x:c r="F480" s="14" t="str">
        <x:v>Sister Boniface Mysteries</x:v>
      </x:c>
      <x:c r="G480" s="14" t="str">
        <x:v>tt15407098</x:v>
      </x:c>
      <x:c r="H480" s="14" t="n">
        <x:v>2022</x:v>
      </x:c>
      <x:c r="I480" s="14" t="n">
        <x:v>2023</x:v>
      </x:c>
      <x:c r="J480" s="14" t="str">
        <x:v>Future Carry-Forward Cohort</x:v>
      </x:c>
      <x:c r="K480" s="14" t="n">
        <x:v>2022</x:v>
      </x:c>
      <x:c r="L480" s="14" t="str">
        <x:v>Not inherited</x:v>
      </x:c>
      <x:c r="M480" s="15" t="n">
        <x:v>170</x:v>
      </x:c>
      <x:c r="N480" s="14" t="str">
        <x:v>Joshua James</x:v>
      </x:c>
      <x:c r="O480" s="14" t="str">
        <x:v>nm1685971</x:v>
      </x:c>
      <x:c r="P480" s="14" t="str">
        <x:v>Dermot Millington</x:v>
      </x:c>
      <x:c r="Q480" s="15" t="n">
        <x:v>1</x:v>
      </x:c>
      <x:c r="R480" s="14" t="str">
        <x:v>2025</x:v>
      </x:c>
      <x:c r="S480" s="14" t="n">
        <x:v>2025</x:v>
      </x:c>
      <x:c r="T480" s="14" t="n">
        <x:v>2025</x:v>
      </x:c>
      <x:c r="U480" s="14" t="str">
        <x:v>Explicit source first year retained</x:v>
      </x:c>
      <x:c r="V480" s="14" t="str">
        <x:v>Earliest supplied year is 2025.</x:v>
      </x:c>
      <x:c r="W480" s="14"/>
      <x:c r="X480" s="14" t="str">
        <x:v>Carried forward to 2025</x:v>
      </x:c>
      <x:c r="Y480" s="14"/>
      <x:c r="Z480" s="14" t="str">
        <x:v>Sister Boniface Mysteries.docx</x:v>
      </x:c>
      <x:c r="AA4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BritBox UK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38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1</x:v>
      </x:c>
      <x:c r="BS480" s="16" t="n">
        <x:v>0.02631578947368421</x:v>
      </x:c>
      <x:c r="BT480" s="14" t="str">
        <x:v>One episode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tt15407098|nm9660102|charity gray</x:v>
      </x:c>
      <x:c r="B481" s="14" t="str">
        <x:v>05</x:v>
      </x:c>
      <x:c r="C481" s="14" t="str">
        <x:v>2022_IMDb_Cast_Lists_Batch_05(1).xlsx</x:v>
      </x:c>
      <x:c r="D481" s="14" t="str">
        <x:v>Sister Boniface Mysteries</x:v>
      </x:c>
      <x:c r="E481" s="14" t="n">
        <x:v>178</x:v>
      </x:c>
      <x:c r="F481" s="14" t="str">
        <x:v>Sister Boniface Mysteries</x:v>
      </x:c>
      <x:c r="G481" s="14" t="str">
        <x:v>tt15407098</x:v>
      </x:c>
      <x:c r="H481" s="14" t="n">
        <x:v>2022</x:v>
      </x:c>
      <x:c r="I481" s="14" t="n">
        <x:v>2023</x:v>
      </x:c>
      <x:c r="J481" s="14" t="str">
        <x:v>Future Carry-Forward Cohort</x:v>
      </x:c>
      <x:c r="K481" s="14" t="n">
        <x:v>2022</x:v>
      </x:c>
      <x:c r="L481" s="14" t="str">
        <x:v>Not inherited</x:v>
      </x:c>
      <x:c r="M481" s="15" t="n">
        <x:v>171</x:v>
      </x:c>
      <x:c r="N481" s="14" t="str">
        <x:v>Genesis Lynea</x:v>
      </x:c>
      <x:c r="O481" s="14" t="str">
        <x:v>nm9660102</x:v>
      </x:c>
      <x:c r="P481" s="14" t="str">
        <x:v>Charity Gray</x:v>
      </x:c>
      <x:c r="Q481" s="15" t="n">
        <x:v>1</x:v>
      </x:c>
      <x:c r="R481" s="14" t="str">
        <x:v>2025</x:v>
      </x:c>
      <x:c r="S481" s="14" t="n">
        <x:v>2025</x:v>
      </x:c>
      <x:c r="T481" s="14" t="n">
        <x:v>2025</x:v>
      </x:c>
      <x:c r="U481" s="14" t="str">
        <x:v>Explicit source first year retained</x:v>
      </x:c>
      <x:c r="V481" s="14" t="str">
        <x:v>Earliest supplied year is 2025.</x:v>
      </x:c>
      <x:c r="W481" s="14"/>
      <x:c r="X481" s="14" t="str">
        <x:v>Carried forward to 2025</x:v>
      </x:c>
      <x:c r="Y481" s="14"/>
      <x:c r="Z481" s="14" t="str">
        <x:v>Sister Boniface Mysteries.docx</x:v>
      </x:c>
      <x:c r="AA4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BritBox UK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38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1</x:v>
      </x:c>
      <x:c r="BS481" s="16" t="n">
        <x:v>0.02631578947368421</x:v>
      </x:c>
      <x:c r="BT481" s="14" t="str">
        <x:v>One episode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tt15407098|nm12493278|denise carver</x:v>
      </x:c>
      <x:c r="B482" s="14" t="str">
        <x:v>05</x:v>
      </x:c>
      <x:c r="C482" s="14" t="str">
        <x:v>2022_IMDb_Cast_Lists_Batch_05(1).xlsx</x:v>
      </x:c>
      <x:c r="D482" s="14" t="str">
        <x:v>Sister Boniface Mysteries</x:v>
      </x:c>
      <x:c r="E482" s="14" t="n">
        <x:v>179</x:v>
      </x:c>
      <x:c r="F482" s="14" t="str">
        <x:v>Sister Boniface Mysteries</x:v>
      </x:c>
      <x:c r="G482" s="14" t="str">
        <x:v>tt15407098</x:v>
      </x:c>
      <x:c r="H482" s="14" t="n">
        <x:v>2022</x:v>
      </x:c>
      <x:c r="I482" s="14" t="n">
        <x:v>2023</x:v>
      </x:c>
      <x:c r="J482" s="14" t="str">
        <x:v>Future Carry-Forward Cohort</x:v>
      </x:c>
      <x:c r="K482" s="14" t="n">
        <x:v>2022</x:v>
      </x:c>
      <x:c r="L482" s="14" t="str">
        <x:v>Not inherited</x:v>
      </x:c>
      <x:c r="M482" s="15" t="n">
        <x:v>172</x:v>
      </x:c>
      <x:c r="N482" s="14" t="str">
        <x:v>Keturah Chambers</x:v>
      </x:c>
      <x:c r="O482" s="14" t="str">
        <x:v>nm12493278</x:v>
      </x:c>
      <x:c r="P482" s="14" t="str">
        <x:v>Denise Carver</x:v>
      </x:c>
      <x:c r="Q482" s="15" t="n">
        <x:v>1</x:v>
      </x:c>
      <x:c r="R482" s="14" t="str">
        <x:v>2025</x:v>
      </x:c>
      <x:c r="S482" s="14" t="n">
        <x:v>2025</x:v>
      </x:c>
      <x:c r="T482" s="14" t="n">
        <x:v>2025</x:v>
      </x:c>
      <x:c r="U482" s="14" t="str">
        <x:v>Explicit source first year retained</x:v>
      </x:c>
      <x:c r="V482" s="14" t="str">
        <x:v>Earliest supplied year is 2025.</x:v>
      </x:c>
      <x:c r="W482" s="14"/>
      <x:c r="X482" s="14" t="str">
        <x:v>Carried forward to 2025</x:v>
      </x:c>
      <x:c r="Y482" s="14"/>
      <x:c r="Z482" s="14" t="str">
        <x:v>Sister Boniface Mysteries.docx</x:v>
      </x:c>
      <x:c r="AA4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BritBox UK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38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1</x:v>
      </x:c>
      <x:c r="BS482" s="16" t="n">
        <x:v>0.02631578947368421</x:v>
      </x:c>
      <x:c r="BT482" s="14" t="str">
        <x:v>One episode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tt15407098|nm14651844|pc rupert beagle</x:v>
      </x:c>
      <x:c r="B483" s="14" t="str">
        <x:v>05</x:v>
      </x:c>
      <x:c r="C483" s="14" t="str">
        <x:v>2022_IMDb_Cast_Lists_Batch_05(1).xlsx</x:v>
      </x:c>
      <x:c r="D483" s="14" t="str">
        <x:v>Sister Boniface Mysteries</x:v>
      </x:c>
      <x:c r="E483" s="14" t="n">
        <x:v>180</x:v>
      </x:c>
      <x:c r="F483" s="14" t="str">
        <x:v>Sister Boniface Mysteries</x:v>
      </x:c>
      <x:c r="G483" s="14" t="str">
        <x:v>tt15407098</x:v>
      </x:c>
      <x:c r="H483" s="14" t="n">
        <x:v>2022</x:v>
      </x:c>
      <x:c r="I483" s="14" t="n">
        <x:v>2023</x:v>
      </x:c>
      <x:c r="J483" s="14" t="str">
        <x:v>Future Carry-Forward Cohort</x:v>
      </x:c>
      <x:c r="K483" s="14" t="n">
        <x:v>2022</x:v>
      </x:c>
      <x:c r="L483" s="14" t="str">
        <x:v>Not inherited</x:v>
      </x:c>
      <x:c r="M483" s="15" t="n">
        <x:v>173</x:v>
      </x:c>
      <x:c r="N483" s="14" t="str">
        <x:v>Tyler-Jo Richardson</x:v>
      </x:c>
      <x:c r="O483" s="14" t="str">
        <x:v>nm14651844</x:v>
      </x:c>
      <x:c r="P483" s="14" t="str">
        <x:v>PC Rupert Beagle</x:v>
      </x:c>
      <x:c r="Q483" s="15" t="n">
        <x:v>1</x:v>
      </x:c>
      <x:c r="R483" s="14" t="str">
        <x:v>2025</x:v>
      </x:c>
      <x:c r="S483" s="14" t="n">
        <x:v>2025</x:v>
      </x:c>
      <x:c r="T483" s="14" t="n">
        <x:v>2025</x:v>
      </x:c>
      <x:c r="U483" s="14" t="str">
        <x:v>Explicit source first year retained</x:v>
      </x:c>
      <x:c r="V483" s="14" t="str">
        <x:v>Earliest supplied year is 2025.</x:v>
      </x:c>
      <x:c r="W483" s="14"/>
      <x:c r="X483" s="14" t="str">
        <x:v>Carried forward to 2025</x:v>
      </x:c>
      <x:c r="Y483" s="14"/>
      <x:c r="Z483" s="14" t="str">
        <x:v>Sister Boniface Mysteries.docx</x:v>
      </x:c>
      <x:c r="AA4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BritBox UK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38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1</x:v>
      </x:c>
      <x:c r="BS483" s="16" t="n">
        <x:v>0.02631578947368421</x:v>
      </x:c>
      <x:c r="BT483" s="14" t="str">
        <x:v>One episode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tt15407098|nm7656003|pamela millington</x:v>
      </x:c>
      <x:c r="B484" s="14" t="str">
        <x:v>05</x:v>
      </x:c>
      <x:c r="C484" s="14" t="str">
        <x:v>2022_IMDb_Cast_Lists_Batch_05(1).xlsx</x:v>
      </x:c>
      <x:c r="D484" s="14" t="str">
        <x:v>Sister Boniface Mysteries</x:v>
      </x:c>
      <x:c r="E484" s="14" t="n">
        <x:v>194</x:v>
      </x:c>
      <x:c r="F484" s="14" t="str">
        <x:v>Sister Boniface Mysteries</x:v>
      </x:c>
      <x:c r="G484" s="14" t="str">
        <x:v>tt15407098</x:v>
      </x:c>
      <x:c r="H484" s="14" t="n">
        <x:v>2022</x:v>
      </x:c>
      <x:c r="I484" s="14" t="n">
        <x:v>2023</x:v>
      </x:c>
      <x:c r="J484" s="14" t="str">
        <x:v>Future Carry-Forward Cohort</x:v>
      </x:c>
      <x:c r="K484" s="14" t="n">
        <x:v>2022</x:v>
      </x:c>
      <x:c r="L484" s="14" t="str">
        <x:v>Not inherited</x:v>
      </x:c>
      <x:c r="M484" s="15" t="n">
        <x:v>187</x:v>
      </x:c>
      <x:c r="N484" s="14" t="str">
        <x:v>Grace Molony</x:v>
      </x:c>
      <x:c r="O484" s="14" t="str">
        <x:v>nm7656003</x:v>
      </x:c>
      <x:c r="P484" s="14" t="str">
        <x:v>Pamela Millington</x:v>
      </x:c>
      <x:c r="Q484" s="15" t="n">
        <x:v>1</x:v>
      </x:c>
      <x:c r="R484" s="14" t="str">
        <x:v>2025</x:v>
      </x:c>
      <x:c r="S484" s="14" t="n">
        <x:v>2025</x:v>
      </x:c>
      <x:c r="T484" s="14" t="n">
        <x:v>2025</x:v>
      </x:c>
      <x:c r="U484" s="14" t="str">
        <x:v>Explicit source first year retained</x:v>
      </x:c>
      <x:c r="V484" s="14" t="str">
        <x:v>Earliest supplied year is 2025.</x:v>
      </x:c>
      <x:c r="W484" s="14"/>
      <x:c r="X484" s="14" t="str">
        <x:v>Carried forward to 2025</x:v>
      </x:c>
      <x:c r="Y484" s="14"/>
      <x:c r="Z484" s="14" t="str">
        <x:v>Sister Boniface Mysteries.docx</x:v>
      </x:c>
      <x:c r="AA4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BritBox UK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38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1</x:v>
      </x:c>
      <x:c r="BS484" s="16" t="n">
        <x:v>0.02631578947368421</x:v>
      </x:c>
      <x:c r="BT484" s="14" t="str">
        <x:v>One episode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tt15407098|nm9899789|callum mcintyre</x:v>
      </x:c>
      <x:c r="B485" s="14" t="str">
        <x:v>05</x:v>
      </x:c>
      <x:c r="C485" s="14" t="str">
        <x:v>2022_IMDb_Cast_Lists_Batch_05(1).xlsx</x:v>
      </x:c>
      <x:c r="D485" s="14" t="str">
        <x:v>Sister Boniface Mysteries</x:v>
      </x:c>
      <x:c r="E485" s="14" t="n">
        <x:v>195</x:v>
      </x:c>
      <x:c r="F485" s="14" t="str">
        <x:v>Sister Boniface Mysteries</x:v>
      </x:c>
      <x:c r="G485" s="14" t="str">
        <x:v>tt15407098</x:v>
      </x:c>
      <x:c r="H485" s="14" t="n">
        <x:v>2022</x:v>
      </x:c>
      <x:c r="I485" s="14" t="n">
        <x:v>2023</x:v>
      </x:c>
      <x:c r="J485" s="14" t="str">
        <x:v>Future Carry-Forward Cohort</x:v>
      </x:c>
      <x:c r="K485" s="14" t="n">
        <x:v>2022</x:v>
      </x:c>
      <x:c r="L485" s="14" t="str">
        <x:v>Not inherited</x:v>
      </x:c>
      <x:c r="M485" s="15" t="n">
        <x:v>188</x:v>
      </x:c>
      <x:c r="N485" s="14" t="str">
        <x:v>Calum Gulvin</x:v>
      </x:c>
      <x:c r="O485" s="14" t="str">
        <x:v>nm9899789</x:v>
      </x:c>
      <x:c r="P485" s="14" t="str">
        <x:v>Callum McIntyre</x:v>
      </x:c>
      <x:c r="Q485" s="15" t="n">
        <x:v>1</x:v>
      </x:c>
      <x:c r="R485" s="14" t="str">
        <x:v>2025</x:v>
      </x:c>
      <x:c r="S485" s="14" t="n">
        <x:v>2025</x:v>
      </x:c>
      <x:c r="T485" s="14" t="n">
        <x:v>2025</x:v>
      </x:c>
      <x:c r="U485" s="14" t="str">
        <x:v>Explicit source first year retained</x:v>
      </x:c>
      <x:c r="V485" s="14" t="str">
        <x:v>Earliest supplied year is 2025.</x:v>
      </x:c>
      <x:c r="W485" s="14"/>
      <x:c r="X485" s="14" t="str">
        <x:v>Carried forward to 2025</x:v>
      </x:c>
      <x:c r="Y485" s="14"/>
      <x:c r="Z485" s="14" t="str">
        <x:v>Sister Boniface Mysteries.docx</x:v>
      </x:c>
      <x:c r="AA4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BritBox UK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38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1</x:v>
      </x:c>
      <x:c r="BS485" s="16" t="n">
        <x:v>0.02631578947368421</x:v>
      </x:c>
      <x:c r="BT485" s="14" t="str">
        <x:v>One episode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tt15407098|nm0533174|john adams</x:v>
      </x:c>
      <x:c r="B486" s="14" t="str">
        <x:v>05</x:v>
      </x:c>
      <x:c r="C486" s="14" t="str">
        <x:v>2022_IMDb_Cast_Lists_Batch_05(1).xlsx</x:v>
      </x:c>
      <x:c r="D486" s="14" t="str">
        <x:v>Sister Boniface Mysteries</x:v>
      </x:c>
      <x:c r="E486" s="14" t="n">
        <x:v>203</x:v>
      </x:c>
      <x:c r="F486" s="14" t="str">
        <x:v>Sister Boniface Mysteries</x:v>
      </x:c>
      <x:c r="G486" s="14" t="str">
        <x:v>tt15407098</x:v>
      </x:c>
      <x:c r="H486" s="14" t="n">
        <x:v>2022</x:v>
      </x:c>
      <x:c r="I486" s="14" t="n">
        <x:v>2023</x:v>
      </x:c>
      <x:c r="J486" s="14" t="str">
        <x:v>Future Carry-Forward Cohort</x:v>
      </x:c>
      <x:c r="K486" s="14" t="n">
        <x:v>2022</x:v>
      </x:c>
      <x:c r="L486" s="14" t="str">
        <x:v>Not inherited</x:v>
      </x:c>
      <x:c r="M486" s="15" t="n">
        <x:v>196</x:v>
      </x:c>
      <x:c r="N486" s="14" t="str">
        <x:v>John Mackay</x:v>
      </x:c>
      <x:c r="O486" s="14" t="str">
        <x:v>nm0533174</x:v>
      </x:c>
      <x:c r="P486" s="14" t="str">
        <x:v>John Adams</x:v>
      </x:c>
      <x:c r="Q486" s="15" t="n">
        <x:v>1</x:v>
      </x:c>
      <x:c r="R486" s="14" t="str">
        <x:v>2025</x:v>
      </x:c>
      <x:c r="S486" s="14" t="n">
        <x:v>2025</x:v>
      </x:c>
      <x:c r="T486" s="14" t="n">
        <x:v>2025</x:v>
      </x:c>
      <x:c r="U486" s="14" t="str">
        <x:v>Explicit source first year retained</x:v>
      </x:c>
      <x:c r="V486" s="14" t="str">
        <x:v>Earliest supplied year is 2025.</x:v>
      </x:c>
      <x:c r="W486" s="14"/>
      <x:c r="X486" s="14" t="str">
        <x:v>Carried forward to 2025</x:v>
      </x:c>
      <x:c r="Y486" s="14"/>
      <x:c r="Z486" s="14" t="str">
        <x:v>Sister Boniface Mysteries.docx</x:v>
      </x:c>
      <x:c r="AA4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BritBox UK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38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1</x:v>
      </x:c>
      <x:c r="BS486" s="16" t="n">
        <x:v>0.02631578947368421</x:v>
      </x:c>
      <x:c r="BT486" s="14" t="str">
        <x:v>One episode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tt15407098|nm7084087|ronny panesar</x:v>
      </x:c>
      <x:c r="B487" s="14" t="str">
        <x:v>05</x:v>
      </x:c>
      <x:c r="C487" s="14" t="str">
        <x:v>2022_IMDb_Cast_Lists_Batch_05(1).xlsx</x:v>
      </x:c>
      <x:c r="D487" s="14" t="str">
        <x:v>Sister Boniface Mysteries</x:v>
      </x:c>
      <x:c r="E487" s="14" t="n">
        <x:v>204</x:v>
      </x:c>
      <x:c r="F487" s="14" t="str">
        <x:v>Sister Boniface Mysteries</x:v>
      </x:c>
      <x:c r="G487" s="14" t="str">
        <x:v>tt15407098</x:v>
      </x:c>
      <x:c r="H487" s="14" t="n">
        <x:v>2022</x:v>
      </x:c>
      <x:c r="I487" s="14" t="n">
        <x:v>2023</x:v>
      </x:c>
      <x:c r="J487" s="14" t="str">
        <x:v>Future Carry-Forward Cohort</x:v>
      </x:c>
      <x:c r="K487" s="14" t="n">
        <x:v>2022</x:v>
      </x:c>
      <x:c r="L487" s="14" t="str">
        <x:v>Not inherited</x:v>
      </x:c>
      <x:c r="M487" s="15" t="n">
        <x:v>197</x:v>
      </x:c>
      <x:c r="N487" s="14" t="str">
        <x:v>Alistair Toovey</x:v>
      </x:c>
      <x:c r="O487" s="14" t="str">
        <x:v>nm7084087</x:v>
      </x:c>
      <x:c r="P487" s="14" t="str">
        <x:v>Ronny Panesar</x:v>
      </x:c>
      <x:c r="Q487" s="15" t="n">
        <x:v>1</x:v>
      </x:c>
      <x:c r="R487" s="14" t="str">
        <x:v>2025</x:v>
      </x:c>
      <x:c r="S487" s="14" t="n">
        <x:v>2025</x:v>
      </x:c>
      <x:c r="T487" s="14" t="n">
        <x:v>2025</x:v>
      </x:c>
      <x:c r="U487" s="14" t="str">
        <x:v>Explicit source first year retained</x:v>
      </x:c>
      <x:c r="V487" s="14" t="str">
        <x:v>Earliest supplied year is 2025.</x:v>
      </x:c>
      <x:c r="W487" s="14"/>
      <x:c r="X487" s="14" t="str">
        <x:v>Carried forward to 2025</x:v>
      </x:c>
      <x:c r="Y487" s="14"/>
      <x:c r="Z487" s="14" t="str">
        <x:v>Sister Boniface Mysteries.docx</x:v>
      </x:c>
      <x:c r="AA4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BritBox UK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38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1</x:v>
      </x:c>
      <x:c r="BS487" s="16" t="n">
        <x:v>0.02631578947368421</x:v>
      </x:c>
      <x:c r="BT487" s="14" t="str">
        <x:v>One episode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tt15407098|nm6790651|jimmy adams</x:v>
      </x:c>
      <x:c r="B488" s="14" t="str">
        <x:v>05</x:v>
      </x:c>
      <x:c r="C488" s="14" t="str">
        <x:v>2022_IMDb_Cast_Lists_Batch_05(1).xlsx</x:v>
      </x:c>
      <x:c r="D488" s="14" t="str">
        <x:v>Sister Boniface Mysteries</x:v>
      </x:c>
      <x:c r="E488" s="14" t="n">
        <x:v>211</x:v>
      </x:c>
      <x:c r="F488" s="14" t="str">
        <x:v>Sister Boniface Mysteries</x:v>
      </x:c>
      <x:c r="G488" s="14" t="str">
        <x:v>tt15407098</x:v>
      </x:c>
      <x:c r="H488" s="14" t="n">
        <x:v>2022</x:v>
      </x:c>
      <x:c r="I488" s="14" t="n">
        <x:v>2023</x:v>
      </x:c>
      <x:c r="J488" s="14" t="str">
        <x:v>Future Carry-Forward Cohort</x:v>
      </x:c>
      <x:c r="K488" s="14" t="n">
        <x:v>2022</x:v>
      </x:c>
      <x:c r="L488" s="14" t="str">
        <x:v>Not inherited</x:v>
      </x:c>
      <x:c r="M488" s="15" t="n">
        <x:v>204</x:v>
      </x:c>
      <x:c r="N488" s="14" t="str">
        <x:v>Joseph Prowen</x:v>
      </x:c>
      <x:c r="O488" s="14" t="str">
        <x:v>nm6790651</x:v>
      </x:c>
      <x:c r="P488" s="14" t="str">
        <x:v>Jimmy Adams</x:v>
      </x:c>
      <x:c r="Q488" s="15" t="n">
        <x:v>1</x:v>
      </x:c>
      <x:c r="R488" s="14" t="str">
        <x:v>2025</x:v>
      </x:c>
      <x:c r="S488" s="14" t="n">
        <x:v>2025</x:v>
      </x:c>
      <x:c r="T488" s="14" t="n">
        <x:v>2025</x:v>
      </x:c>
      <x:c r="U488" s="14" t="str">
        <x:v>Explicit source first year retained</x:v>
      </x:c>
      <x:c r="V488" s="14" t="str">
        <x:v>Earliest supplied year is 2025.</x:v>
      </x:c>
      <x:c r="W488" s="14"/>
      <x:c r="X488" s="14" t="str">
        <x:v>Carried forward to 2025</x:v>
      </x:c>
      <x:c r="Y488" s="14"/>
      <x:c r="Z488" s="14" t="str">
        <x:v>Sister Boniface Mysteries.docx</x:v>
      </x:c>
      <x:c r="AA4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BritBox UK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38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1</x:v>
      </x:c>
      <x:c r="BS488" s="16" t="n">
        <x:v>0.02631578947368421</x:v>
      </x:c>
      <x:c r="BT488" s="14" t="str">
        <x:v>One episode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tt15407098|nm14122689|charlie sanderson</x:v>
      </x:c>
      <x:c r="B489" s="14" t="str">
        <x:v>05</x:v>
      </x:c>
      <x:c r="C489" s="14" t="str">
        <x:v>2022_IMDb_Cast_Lists_Batch_05(1).xlsx</x:v>
      </x:c>
      <x:c r="D489" s="14" t="str">
        <x:v>Sister Boniface Mysteries</x:v>
      </x:c>
      <x:c r="E489" s="14" t="n">
        <x:v>212</x:v>
      </x:c>
      <x:c r="F489" s="14" t="str">
        <x:v>Sister Boniface Mysteries</x:v>
      </x:c>
      <x:c r="G489" s="14" t="str">
        <x:v>tt15407098</x:v>
      </x:c>
      <x:c r="H489" s="14" t="n">
        <x:v>2022</x:v>
      </x:c>
      <x:c r="I489" s="14" t="n">
        <x:v>2023</x:v>
      </x:c>
      <x:c r="J489" s="14" t="str">
        <x:v>Future Carry-Forward Cohort</x:v>
      </x:c>
      <x:c r="K489" s="14" t="n">
        <x:v>2022</x:v>
      </x:c>
      <x:c r="L489" s="14" t="str">
        <x:v>Not inherited</x:v>
      </x:c>
      <x:c r="M489" s="15" t="n">
        <x:v>205</x:v>
      </x:c>
      <x:c r="N489" s="14" t="str">
        <x:v>Tommy Belshaw</x:v>
      </x:c>
      <x:c r="O489" s="14" t="str">
        <x:v>nm14122689</x:v>
      </x:c>
      <x:c r="P489" s="14" t="str">
        <x:v>Charlie Sanderson</x:v>
      </x:c>
      <x:c r="Q489" s="15" t="n">
        <x:v>1</x:v>
      </x:c>
      <x:c r="R489" s="14" t="str">
        <x:v>2025</x:v>
      </x:c>
      <x:c r="S489" s="14" t="n">
        <x:v>2025</x:v>
      </x:c>
      <x:c r="T489" s="14" t="n">
        <x:v>2025</x:v>
      </x:c>
      <x:c r="U489" s="14" t="str">
        <x:v>Explicit source first year retained</x:v>
      </x:c>
      <x:c r="V489" s="14" t="str">
        <x:v>Earliest supplied year is 2025.</x:v>
      </x:c>
      <x:c r="W489" s="14"/>
      <x:c r="X489" s="14" t="str">
        <x:v>Carried forward to 2025</x:v>
      </x:c>
      <x:c r="Y489" s="14"/>
      <x:c r="Z489" s="14" t="str">
        <x:v>Sister Boniface Mysteries.docx</x:v>
      </x:c>
      <x:c r="AA4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BritBox UK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38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1</x:v>
      </x:c>
      <x:c r="BS489" s="16" t="n">
        <x:v>0.02631578947368421</x:v>
      </x:c>
      <x:c r="BT489" s="14" t="str">
        <x:v>One episode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tt15407098|nm0431521|lynn goodwin</x:v>
      </x:c>
      <x:c r="B490" s="14" t="str">
        <x:v>05</x:v>
      </x:c>
      <x:c r="C490" s="14" t="str">
        <x:v>2022_IMDb_Cast_Lists_Batch_05(1).xlsx</x:v>
      </x:c>
      <x:c r="D490" s="14" t="str">
        <x:v>Sister Boniface Mysteries</x:v>
      </x:c>
      <x:c r="E490" s="14" t="n">
        <x:v>219</x:v>
      </x:c>
      <x:c r="F490" s="14" t="str">
        <x:v>Sister Boniface Mysteries</x:v>
      </x:c>
      <x:c r="G490" s="14" t="str">
        <x:v>tt15407098</x:v>
      </x:c>
      <x:c r="H490" s="14" t="n">
        <x:v>2022</x:v>
      </x:c>
      <x:c r="I490" s="14" t="n">
        <x:v>2023</x:v>
      </x:c>
      <x:c r="J490" s="14" t="str">
        <x:v>Future Carry-Forward Cohort</x:v>
      </x:c>
      <x:c r="K490" s="14" t="n">
        <x:v>2022</x:v>
      </x:c>
      <x:c r="L490" s="14" t="str">
        <x:v>Not inherited</x:v>
      </x:c>
      <x:c r="M490" s="15" t="n">
        <x:v>212</x:v>
      </x:c>
      <x:c r="N490" s="14" t="str">
        <x:v>Emily Joyce</x:v>
      </x:c>
      <x:c r="O490" s="14" t="str">
        <x:v>nm0431521</x:v>
      </x:c>
      <x:c r="P490" s="14" t="str">
        <x:v>Lynn Goodwin</x:v>
      </x:c>
      <x:c r="Q490" s="15" t="n">
        <x:v>1</x:v>
      </x:c>
      <x:c r="R490" s="14" t="str">
        <x:v>2025</x:v>
      </x:c>
      <x:c r="S490" s="14" t="n">
        <x:v>2025</x:v>
      </x:c>
      <x:c r="T490" s="14" t="n">
        <x:v>2025</x:v>
      </x:c>
      <x:c r="U490" s="14" t="str">
        <x:v>Explicit source first year retained</x:v>
      </x:c>
      <x:c r="V490" s="14" t="str">
        <x:v>Earliest supplied year is 2025.</x:v>
      </x:c>
      <x:c r="W490" s="14"/>
      <x:c r="X490" s="14" t="str">
        <x:v>Carried forward to 2025</x:v>
      </x:c>
      <x:c r="Y490" s="14"/>
      <x:c r="Z490" s="14" t="str">
        <x:v>Sister Boniface Mysteries.docx</x:v>
      </x:c>
      <x:c r="AA4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BritBox UK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38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1</x:v>
      </x:c>
      <x:c r="BS490" s="16" t="n">
        <x:v>0.02631578947368421</x:v>
      </x:c>
      <x:c r="BT490" s="14" t="str">
        <x:v>One episode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tt15407098|nm0307122|martin hubbard</x:v>
      </x:c>
      <x:c r="B491" s="14" t="str">
        <x:v>05</x:v>
      </x:c>
      <x:c r="C491" s="14" t="str">
        <x:v>2022_IMDb_Cast_Lists_Batch_05(1).xlsx</x:v>
      </x:c>
      <x:c r="D491" s="14" t="str">
        <x:v>Sister Boniface Mysteries</x:v>
      </x:c>
      <x:c r="E491" s="14" t="n">
        <x:v>220</x:v>
      </x:c>
      <x:c r="F491" s="14" t="str">
        <x:v>Sister Boniface Mysteries</x:v>
      </x:c>
      <x:c r="G491" s="14" t="str">
        <x:v>tt15407098</x:v>
      </x:c>
      <x:c r="H491" s="14" t="n">
        <x:v>2022</x:v>
      </x:c>
      <x:c r="I491" s="14" t="n">
        <x:v>2023</x:v>
      </x:c>
      <x:c r="J491" s="14" t="str">
        <x:v>Future Carry-Forward Cohort</x:v>
      </x:c>
      <x:c r="K491" s="14" t="n">
        <x:v>2022</x:v>
      </x:c>
      <x:c r="L491" s="14" t="str">
        <x:v>Not inherited</x:v>
      </x:c>
      <x:c r="M491" s="15" t="n">
        <x:v>213</x:v>
      </x:c>
      <x:c r="N491" s="14" t="str">
        <x:v>Tony Gardner</x:v>
      </x:c>
      <x:c r="O491" s="14" t="str">
        <x:v>nm0307122</x:v>
      </x:c>
      <x:c r="P491" s="14" t="str">
        <x:v>Martin Hubbard</x:v>
      </x:c>
      <x:c r="Q491" s="15" t="n">
        <x:v>1</x:v>
      </x:c>
      <x:c r="R491" s="14" t="str">
        <x:v>2025</x:v>
      </x:c>
      <x:c r="S491" s="14" t="n">
        <x:v>2025</x:v>
      </x:c>
      <x:c r="T491" s="14" t="n">
        <x:v>2025</x:v>
      </x:c>
      <x:c r="U491" s="14" t="str">
        <x:v>Explicit source first year retained</x:v>
      </x:c>
      <x:c r="V491" s="14" t="str">
        <x:v>Earliest supplied year is 2025.</x:v>
      </x:c>
      <x:c r="W491" s="14"/>
      <x:c r="X491" s="14" t="str">
        <x:v>Carried forward to 2025</x:v>
      </x:c>
      <x:c r="Y491" s="14"/>
      <x:c r="Z491" s="14" t="str">
        <x:v>Sister Boniface Mysteries.docx</x:v>
      </x:c>
      <x:c r="AA4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BritBox UK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38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1</x:v>
      </x:c>
      <x:c r="BS491" s="16" t="n">
        <x:v>0.02631578947368421</x:v>
      </x:c>
      <x:c r="BT491" s="14" t="str">
        <x:v>One episode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tt15407098|nm13004602|maggie adams</x:v>
      </x:c>
      <x:c r="B492" s="14" t="str">
        <x:v>05</x:v>
      </x:c>
      <x:c r="C492" s="14" t="str">
        <x:v>2022_IMDb_Cast_Lists_Batch_05(1).xlsx</x:v>
      </x:c>
      <x:c r="D492" s="14" t="str">
        <x:v>Sister Boniface Mysteries</x:v>
      </x:c>
      <x:c r="E492" s="14" t="n">
        <x:v>221</x:v>
      </x:c>
      <x:c r="F492" s="14" t="str">
        <x:v>Sister Boniface Mysteries</x:v>
      </x:c>
      <x:c r="G492" s="14" t="str">
        <x:v>tt15407098</x:v>
      </x:c>
      <x:c r="H492" s="14" t="n">
        <x:v>2022</x:v>
      </x:c>
      <x:c r="I492" s="14" t="n">
        <x:v>2023</x:v>
      </x:c>
      <x:c r="J492" s="14" t="str">
        <x:v>Future Carry-Forward Cohort</x:v>
      </x:c>
      <x:c r="K492" s="14" t="n">
        <x:v>2022</x:v>
      </x:c>
      <x:c r="L492" s="14" t="str">
        <x:v>Not inherited</x:v>
      </x:c>
      <x:c r="M492" s="15" t="n">
        <x:v>214</x:v>
      </x:c>
      <x:c r="N492" s="14" t="str">
        <x:v>Alyth Ross</x:v>
      </x:c>
      <x:c r="O492" s="14" t="str">
        <x:v>nm13004602</x:v>
      </x:c>
      <x:c r="P492" s="14" t="str">
        <x:v>Maggie Adams</x:v>
      </x:c>
      <x:c r="Q492" s="15" t="n">
        <x:v>1</x:v>
      </x:c>
      <x:c r="R492" s="14" t="str">
        <x:v>2025</x:v>
      </x:c>
      <x:c r="S492" s="14" t="n">
        <x:v>2025</x:v>
      </x:c>
      <x:c r="T492" s="14" t="n">
        <x:v>2025</x:v>
      </x:c>
      <x:c r="U492" s="14" t="str">
        <x:v>Explicit source first year retained</x:v>
      </x:c>
      <x:c r="V492" s="14" t="str">
        <x:v>Earliest supplied year is 2025.</x:v>
      </x:c>
      <x:c r="W492" s="14"/>
      <x:c r="X492" s="14" t="str">
        <x:v>Carried forward to 2025</x:v>
      </x:c>
      <x:c r="Y492" s="14"/>
      <x:c r="Z492" s="14" t="str">
        <x:v>Sister Boniface Mysteries.docx</x:v>
      </x:c>
      <x:c r="AA4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BritBox UK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38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1</x:v>
      </x:c>
      <x:c r="BS492" s="16" t="n">
        <x:v>0.02631578947368421</x:v>
      </x:c>
      <x:c r="BT492" s="14" t="str">
        <x:v>One episode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tt15407098|nm2418097|sandra hubbard</x:v>
      </x:c>
      <x:c r="B493" s="14" t="str">
        <x:v>05</x:v>
      </x:c>
      <x:c r="C493" s="14" t="str">
        <x:v>2022_IMDb_Cast_Lists_Batch_05(1).xlsx</x:v>
      </x:c>
      <x:c r="D493" s="14" t="str">
        <x:v>Sister Boniface Mysteries</x:v>
      </x:c>
      <x:c r="E493" s="14" t="n">
        <x:v>228</x:v>
      </x:c>
      <x:c r="F493" s="14" t="str">
        <x:v>Sister Boniface Mysteries</x:v>
      </x:c>
      <x:c r="G493" s="14" t="str">
        <x:v>tt15407098</x:v>
      </x:c>
      <x:c r="H493" s="14" t="n">
        <x:v>2022</x:v>
      </x:c>
      <x:c r="I493" s="14" t="n">
        <x:v>2023</x:v>
      </x:c>
      <x:c r="J493" s="14" t="str">
        <x:v>Future Carry-Forward Cohort</x:v>
      </x:c>
      <x:c r="K493" s="14" t="n">
        <x:v>2022</x:v>
      </x:c>
      <x:c r="L493" s="14" t="str">
        <x:v>Not inherited</x:v>
      </x:c>
      <x:c r="M493" s="15" t="n">
        <x:v>221</x:v>
      </x:c>
      <x:c r="N493" s="14" t="str">
        <x:v>Anna Crilly</x:v>
      </x:c>
      <x:c r="O493" s="14" t="str">
        <x:v>nm2418097</x:v>
      </x:c>
      <x:c r="P493" s="14" t="str">
        <x:v>Sandra Hubbard</x:v>
      </x:c>
      <x:c r="Q493" s="15" t="n">
        <x:v>1</x:v>
      </x:c>
      <x:c r="R493" s="14" t="str">
        <x:v>2025</x:v>
      </x:c>
      <x:c r="S493" s="14" t="n">
        <x:v>2025</x:v>
      </x:c>
      <x:c r="T493" s="14" t="n">
        <x:v>2025</x:v>
      </x:c>
      <x:c r="U493" s="14" t="str">
        <x:v>Explicit source first year retained</x:v>
      </x:c>
      <x:c r="V493" s="14" t="str">
        <x:v>Earliest supplied year is 2025.</x:v>
      </x:c>
      <x:c r="W493" s="14"/>
      <x:c r="X493" s="14" t="str">
        <x:v>Carried forward to 2025</x:v>
      </x:c>
      <x:c r="Y493" s="14"/>
      <x:c r="Z493" s="14" t="str">
        <x:v>Sister Boniface Mysteries.docx</x:v>
      </x:c>
      <x:c r="AA4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BritBox UK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38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0.02631578947368421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tt15407098|nm14711001|jane double</x:v>
      </x:c>
      <x:c r="B494" s="14" t="str">
        <x:v>05</x:v>
      </x:c>
      <x:c r="C494" s="14" t="str">
        <x:v>2022_IMDb_Cast_Lists_Batch_05(1).xlsx</x:v>
      </x:c>
      <x:c r="D494" s="14" t="str">
        <x:v>Sister Boniface Mysteries</x:v>
      </x:c>
      <x:c r="E494" s="14" t="n">
        <x:v>229</x:v>
      </x:c>
      <x:c r="F494" s="14" t="str">
        <x:v>Sister Boniface Mysteries</x:v>
      </x:c>
      <x:c r="G494" s="14" t="str">
        <x:v>tt15407098</x:v>
      </x:c>
      <x:c r="H494" s="14" t="n">
        <x:v>2022</x:v>
      </x:c>
      <x:c r="I494" s="14" t="n">
        <x:v>2023</x:v>
      </x:c>
      <x:c r="J494" s="14" t="str">
        <x:v>Future Carry-Forward Cohort</x:v>
      </x:c>
      <x:c r="K494" s="14" t="n">
        <x:v>2022</x:v>
      </x:c>
      <x:c r="L494" s="14" t="str">
        <x:v>Not inherited</x:v>
      </x:c>
      <x:c r="M494" s="15" t="n">
        <x:v>222</x:v>
      </x:c>
      <x:c r="N494" s="14" t="str">
        <x:v>Anna Blackburn</x:v>
      </x:c>
      <x:c r="O494" s="14" t="str">
        <x:v>nm14711001</x:v>
      </x:c>
      <x:c r="P494" s="14" t="str">
        <x:v>Jane Double</x:v>
      </x:c>
      <x:c r="Q494" s="15" t="n">
        <x:v>1</x:v>
      </x:c>
      <x:c r="R494" s="14" t="str">
        <x:v>2025</x:v>
      </x:c>
      <x:c r="S494" s="14" t="n">
        <x:v>2025</x:v>
      </x:c>
      <x:c r="T494" s="14" t="n">
        <x:v>2025</x:v>
      </x:c>
      <x:c r="U494" s="14" t="str">
        <x:v>Explicit source first year retained</x:v>
      </x:c>
      <x:c r="V494" s="14" t="str">
        <x:v>Earliest supplied year is 2025.</x:v>
      </x:c>
      <x:c r="W494" s="14"/>
      <x:c r="X494" s="14" t="str">
        <x:v>Carried forward to 2025</x:v>
      </x:c>
      <x:c r="Y494" s="14"/>
      <x:c r="Z494" s="14" t="str">
        <x:v>Sister Boniface Mysteries.docx</x:v>
      </x:c>
      <x:c r="AA4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BritBox UK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38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0.02631578947368421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tt15407098|nm0068464|sister helena</x:v>
      </x:c>
      <x:c r="B495" s="14" t="str">
        <x:v>05</x:v>
      </x:c>
      <x:c r="C495" s="14" t="str">
        <x:v>2022_IMDb_Cast_Lists_Batch_05(1).xlsx</x:v>
      </x:c>
      <x:c r="D495" s="14" t="str">
        <x:v>Sister Boniface Mysteries</x:v>
      </x:c>
      <x:c r="E495" s="14" t="n">
        <x:v>235</x:v>
      </x:c>
      <x:c r="F495" s="14" t="str">
        <x:v>Sister Boniface Mysteries</x:v>
      </x:c>
      <x:c r="G495" s="14" t="str">
        <x:v>tt15407098</x:v>
      </x:c>
      <x:c r="H495" s="14" t="n">
        <x:v>2022</x:v>
      </x:c>
      <x:c r="I495" s="14" t="n">
        <x:v>2023</x:v>
      </x:c>
      <x:c r="J495" s="14" t="str">
        <x:v>Future Carry-Forward Cohort</x:v>
      </x:c>
      <x:c r="K495" s="14" t="n">
        <x:v>2022</x:v>
      </x:c>
      <x:c r="L495" s="14" t="str">
        <x:v>Not inherited</x:v>
      </x:c>
      <x:c r="M495" s="15" t="n">
        <x:v>228</x:v>
      </x:c>
      <x:c r="N495" s="14" t="str">
        <x:v>Rachel Bell</x:v>
      </x:c>
      <x:c r="O495" s="14" t="str">
        <x:v>nm0068464</x:v>
      </x:c>
      <x:c r="P495" s="14" t="str">
        <x:v>Sister Helena</x:v>
      </x:c>
      <x:c r="Q495" s="15" t="n">
        <x:v>1</x:v>
      </x:c>
      <x:c r="R495" s="14" t="str">
        <x:v>2025</x:v>
      </x:c>
      <x:c r="S495" s="14" t="n">
        <x:v>2025</x:v>
      </x:c>
      <x:c r="T495" s="14" t="n">
        <x:v>2025</x:v>
      </x:c>
      <x:c r="U495" s="14" t="str">
        <x:v>Explicit source first year retained</x:v>
      </x:c>
      <x:c r="V495" s="14" t="str">
        <x:v>Earliest supplied year is 2025.</x:v>
      </x:c>
      <x:c r="W495" s="14"/>
      <x:c r="X495" s="14" t="str">
        <x:v>Carried forward to 2025</x:v>
      </x:c>
      <x:c r="Y495" s="14"/>
      <x:c r="Z495" s="14" t="str">
        <x:v>Sister Boniface Mysteries.docx</x:v>
      </x:c>
      <x:c r="AA4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BritBox UK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38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0.02631578947368421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tt15407098|nm4569008|camilla double</x:v>
      </x:c>
      <x:c r="B496" s="14" t="str">
        <x:v>05</x:v>
      </x:c>
      <x:c r="C496" s="14" t="str">
        <x:v>2022_IMDb_Cast_Lists_Batch_05(1).xlsx</x:v>
      </x:c>
      <x:c r="D496" s="14" t="str">
        <x:v>Sister Boniface Mysteries</x:v>
      </x:c>
      <x:c r="E496" s="14" t="n">
        <x:v>236</x:v>
      </x:c>
      <x:c r="F496" s="14" t="str">
        <x:v>Sister Boniface Mysteries</x:v>
      </x:c>
      <x:c r="G496" s="14" t="str">
        <x:v>tt15407098</x:v>
      </x:c>
      <x:c r="H496" s="14" t="n">
        <x:v>2022</x:v>
      </x:c>
      <x:c r="I496" s="14" t="n">
        <x:v>2023</x:v>
      </x:c>
      <x:c r="J496" s="14" t="str">
        <x:v>Future Carry-Forward Cohort</x:v>
      </x:c>
      <x:c r="K496" s="14" t="n">
        <x:v>2022</x:v>
      </x:c>
      <x:c r="L496" s="14" t="str">
        <x:v>Not inherited</x:v>
      </x:c>
      <x:c r="M496" s="15" t="n">
        <x:v>229</x:v>
      </x:c>
      <x:c r="N496" s="14" t="str">
        <x:v>Kluane Saunders</x:v>
      </x:c>
      <x:c r="O496" s="14" t="str">
        <x:v>nm4569008</x:v>
      </x:c>
      <x:c r="P496" s="14" t="str">
        <x:v>Camilla Double</x:v>
      </x:c>
      <x:c r="Q496" s="15" t="n">
        <x:v>1</x:v>
      </x:c>
      <x:c r="R496" s="14" t="str">
        <x:v>2025</x:v>
      </x:c>
      <x:c r="S496" s="14" t="n">
        <x:v>2025</x:v>
      </x:c>
      <x:c r="T496" s="14" t="n">
        <x:v>2025</x:v>
      </x:c>
      <x:c r="U496" s="14" t="str">
        <x:v>Explicit source first year retained</x:v>
      </x:c>
      <x:c r="V496" s="14" t="str">
        <x:v>Earliest supplied year is 2025.</x:v>
      </x:c>
      <x:c r="W496" s="14"/>
      <x:c r="X496" s="14" t="str">
        <x:v>Carried forward to 2025</x:v>
      </x:c>
      <x:c r="Y496" s="14"/>
      <x:c r="Z496" s="14" t="str">
        <x:v>Sister Boniface Mysteries.docx</x:v>
      </x:c>
      <x:c r="AA4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BritBox UK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38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0.02631578947368421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tt15407098|nm9123082|clementine bell</x:v>
      </x:c>
      <x:c r="B497" s="14" t="str">
        <x:v>05</x:v>
      </x:c>
      <x:c r="C497" s="14" t="str">
        <x:v>2022_IMDb_Cast_Lists_Batch_05(1).xlsx</x:v>
      </x:c>
      <x:c r="D497" s="14" t="str">
        <x:v>Sister Boniface Mysteries</x:v>
      </x:c>
      <x:c r="E497" s="14" t="n">
        <x:v>237</x:v>
      </x:c>
      <x:c r="F497" s="14" t="str">
        <x:v>Sister Boniface Mysteries</x:v>
      </x:c>
      <x:c r="G497" s="14" t="str">
        <x:v>tt15407098</x:v>
      </x:c>
      <x:c r="H497" s="14" t="n">
        <x:v>2022</x:v>
      </x:c>
      <x:c r="I497" s="14" t="n">
        <x:v>2023</x:v>
      </x:c>
      <x:c r="J497" s="14" t="str">
        <x:v>Future Carry-Forward Cohort</x:v>
      </x:c>
      <x:c r="K497" s="14" t="n">
        <x:v>2022</x:v>
      </x:c>
      <x:c r="L497" s="14" t="str">
        <x:v>Not inherited</x:v>
      </x:c>
      <x:c r="M497" s="15" t="n">
        <x:v>230</x:v>
      </x:c>
      <x:c r="N497" s="14" t="str">
        <x:v>Kate Kordel</x:v>
      </x:c>
      <x:c r="O497" s="14" t="str">
        <x:v>nm9123082</x:v>
      </x:c>
      <x:c r="P497" s="14" t="str">
        <x:v>Clementine Bell</x:v>
      </x:c>
      <x:c r="Q497" s="15" t="n">
        <x:v>1</x:v>
      </x:c>
      <x:c r="R497" s="14" t="str">
        <x:v>2025</x:v>
      </x:c>
      <x:c r="S497" s="14" t="n">
        <x:v>2025</x:v>
      </x:c>
      <x:c r="T497" s="14" t="n">
        <x:v>2025</x:v>
      </x:c>
      <x:c r="U497" s="14" t="str">
        <x:v>Explicit source first year retained</x:v>
      </x:c>
      <x:c r="V497" s="14" t="str">
        <x:v>Earliest supplied year is 2025.</x:v>
      </x:c>
      <x:c r="W497" s="14"/>
      <x:c r="X497" s="14" t="str">
        <x:v>Carried forward to 2025</x:v>
      </x:c>
      <x:c r="Y497" s="14"/>
      <x:c r="Z497" s="14" t="str">
        <x:v>Sister Boniface Mysteries.docx</x:v>
      </x:c>
      <x:c r="AA4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BritBox UK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38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0.02631578947368421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tt15407098|nm2711324|solicitor</x:v>
      </x:c>
      <x:c r="B498" s="14" t="str">
        <x:v>05</x:v>
      </x:c>
      <x:c r="C498" s="14" t="str">
        <x:v>2022_IMDb_Cast_Lists_Batch_05(1).xlsx</x:v>
      </x:c>
      <x:c r="D498" s="14" t="str">
        <x:v>Sister Boniface Mysteries</x:v>
      </x:c>
      <x:c r="E498" s="14" t="n">
        <x:v>251</x:v>
      </x:c>
      <x:c r="F498" s="14" t="str">
        <x:v>Sister Boniface Mysteries</x:v>
      </x:c>
      <x:c r="G498" s="14" t="str">
        <x:v>tt15407098</x:v>
      </x:c>
      <x:c r="H498" s="14" t="n">
        <x:v>2022</x:v>
      </x:c>
      <x:c r="I498" s="14" t="n">
        <x:v>2023</x:v>
      </x:c>
      <x:c r="J498" s="14" t="str">
        <x:v>Future Carry-Forward Cohort</x:v>
      </x:c>
      <x:c r="K498" s="14" t="n">
        <x:v>2022</x:v>
      </x:c>
      <x:c r="L498" s="14" t="str">
        <x:v>Not inherited</x:v>
      </x:c>
      <x:c r="M498" s="15" t="n">
        <x:v>244</x:v>
      </x:c>
      <x:c r="N498" s="14" t="str">
        <x:v>Chris Wilson</x:v>
      </x:c>
      <x:c r="O498" s="14" t="str">
        <x:v>nm2711324</x:v>
      </x:c>
      <x:c r="P498" s="14" t="str">
        <x:v>Solicitor</x:v>
      </x:c>
      <x:c r="Q498" s="15" t="n">
        <x:v>1</x:v>
      </x:c>
      <x:c r="R498" s="14" t="str">
        <x:v>2025</x:v>
      </x:c>
      <x:c r="S498" s="14" t="n">
        <x:v>2025</x:v>
      </x:c>
      <x:c r="T498" s="14" t="n">
        <x:v>2025</x:v>
      </x:c>
      <x:c r="U498" s="14" t="str">
        <x:v>Explicit source first year retained</x:v>
      </x:c>
      <x:c r="V498" s="14" t="str">
        <x:v>Earliest supplied year is 2025.</x:v>
      </x:c>
      <x:c r="W498" s="14"/>
      <x:c r="X498" s="14" t="str">
        <x:v>Carried forward to 2025</x:v>
      </x:c>
      <x:c r="Y498" s="14"/>
      <x:c r="Z498" s="14" t="str">
        <x:v>Sister Boniface Mysteries.docx</x:v>
      </x:c>
      <x:c r="AA4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BritBox UK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38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0.02631578947368421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tt13069604|nm2692146|jen</x:v>
      </x:c>
      <x:c r="B499" s="14" t="str">
        <x:v>06</x:v>
      </x:c>
      <x:c r="C499" s="14" t="str">
        <x:v>2022_IMDb_Cast_Lists_Batch_06(1).xlsx</x:v>
      </x:c>
      <x:c r="D499" s="14" t="str">
        <x:v>The Ex-Wife</x:v>
      </x:c>
      <x:c r="E499" s="14" t="n">
        <x:v>13</x:v>
      </x:c>
      <x:c r="F499" s="14" t="str">
        <x:v>The Ex-Wife</x:v>
      </x:c>
      <x:c r="G499" s="14" t="str">
        <x:v>tt13069604</x:v>
      </x:c>
      <x:c r="H499" s="14" t="n">
        <x:v>2022</x:v>
      </x:c>
      <x:c r="I499" s="14" t="n">
        <x:v>2023</x:v>
      </x:c>
      <x:c r="J499" s="14" t="str">
        <x:v>Future Carry-Forward Cohort</x:v>
      </x:c>
      <x:c r="K499" s="14" t="n">
        <x:v>2022</x:v>
      </x:c>
      <x:c r="L499" s="14" t="str">
        <x:v>Not inherited</x:v>
      </x:c>
      <x:c r="M499" s="15" t="n">
        <x:v>6</x:v>
      </x:c>
      <x:c r="N499" s="14" t="str">
        <x:v>Katie McGrath</x:v>
      </x:c>
      <x:c r="O499" s="14" t="str">
        <x:v>nm2692146</x:v>
      </x:c>
      <x:c r="P499" s="14" t="str">
        <x:v>Jen</x:v>
      </x:c>
      <x:c r="Q499" s="15" t="n">
        <x:v>4</x:v>
      </x:c>
      <x:c r="R499" s="14" t="str">
        <x:v>2025</x:v>
      </x:c>
      <x:c r="S499" s="14" t="n">
        <x:v>2025</x:v>
      </x:c>
      <x:c r="T499" s="14" t="n">
        <x:v>2025</x:v>
      </x:c>
      <x:c r="U499" s="14" t="str">
        <x:v>Explicit source first year retained</x:v>
      </x:c>
      <x:c r="V499" s="14" t="str">
        <x:v>Earliest supplied year is 2025.</x:v>
      </x:c>
      <x:c r="W499" s="14"/>
      <x:c r="X499" s="14" t="str">
        <x:v>Carried forward to 2025</x:v>
      </x:c>
      <x:c r="Y499" s="14"/>
      <x:c r="Z499" s="14" t="str">
        <x:v>The Ex-Wife.docx</x:v>
      </x:c>
      <x:c r="AA499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Paramount+ UK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7" t="e">
        <x:f>HYPERLINK("https://en.wikipedia.org/wiki/The_Ex-Wife","Open source")</x:f>
        <x:v>HYPERLINK is not implemented. linkLocation=https://en.wikipedia.org/wiki/The_Ex-Wife,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8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4</x:v>
      </x:c>
      <x:c r="BS499" s="16" t="n">
        <x:v>0.5</x:v>
      </x:c>
      <x:c r="BT499" s="14" t="str">
        <x:v>Minority of episodes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tt13069604|nm13756613|emily</x:v>
      </x:c>
      <x:c r="B500" s="14" t="str">
        <x:v>06</x:v>
      </x:c>
      <x:c r="C500" s="14" t="str">
        <x:v>2022_IMDb_Cast_Lists_Batch_06(1).xlsx</x:v>
      </x:c>
      <x:c r="D500" s="14" t="str">
        <x:v>The Ex-Wife</x:v>
      </x:c>
      <x:c r="E500" s="14" t="n">
        <x:v>14</x:v>
      </x:c>
      <x:c r="F500" s="14" t="str">
        <x:v>The Ex-Wife</x:v>
      </x:c>
      <x:c r="G500" s="14" t="str">
        <x:v>tt13069604</x:v>
      </x:c>
      <x:c r="H500" s="14" t="n">
        <x:v>2022</x:v>
      </x:c>
      <x:c r="I500" s="14" t="n">
        <x:v>2023</x:v>
      </x:c>
      <x:c r="J500" s="14" t="str">
        <x:v>Future Carry-Forward Cohort</x:v>
      </x:c>
      <x:c r="K500" s="14" t="n">
        <x:v>2022</x:v>
      </x:c>
      <x:c r="L500" s="14" t="str">
        <x:v>Not inherited</x:v>
      </x:c>
      <x:c r="M500" s="15" t="n">
        <x:v>7</x:v>
      </x:c>
      <x:c r="N500" s="14" t="str">
        <x:v>Liberty Miller</x:v>
      </x:c>
      <x:c r="O500" s="14" t="str">
        <x:v>nm13756613</x:v>
      </x:c>
      <x:c r="P500" s="14" t="str">
        <x:v>Emily</x:v>
      </x:c>
      <x:c r="Q500" s="15" t="n">
        <x:v>4</x:v>
      </x:c>
      <x:c r="R500" s="14" t="str">
        <x:v>2025</x:v>
      </x:c>
      <x:c r="S500" s="14" t="n">
        <x:v>2025</x:v>
      </x:c>
      <x:c r="T500" s="14" t="n">
        <x:v>2025</x:v>
      </x:c>
      <x:c r="U500" s="14" t="str">
        <x:v>Explicit source first year retained</x:v>
      </x:c>
      <x:c r="V500" s="14" t="str">
        <x:v>Earliest supplied year is 2025.</x:v>
      </x:c>
      <x:c r="W500" s="14"/>
      <x:c r="X500" s="14" t="str">
        <x:v>Carried forward to 2025</x:v>
      </x:c>
      <x:c r="Y500" s="14"/>
      <x:c r="Z500" s="14" t="str">
        <x:v>The Ex-Wife.docx</x:v>
      </x:c>
      <x:c r="AA50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Paramount+ UK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7" t="e">
        <x:f>HYPERLINK("https://en.wikipedia.org/wiki/The_Ex-Wife","Open source")</x:f>
        <x:v>HYPERLINK is not implemented. linkLocation=https://en.wikipedia.org/wiki/The_Ex-Wife,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8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4</x:v>
      </x:c>
      <x:c r="BS500" s="16" t="n">
        <x:v>0.5</x:v>
      </x:c>
      <x:c r="BT500" s="14" t="str">
        <x:v>Minority of episodes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tt13069604|nm0767947|maria</x:v>
      </x:c>
      <x:c r="B501" s="14" t="str">
        <x:v>06</x:v>
      </x:c>
      <x:c r="C501" s="14" t="str">
        <x:v>2022_IMDb_Cast_Lists_Batch_06(1).xlsx</x:v>
      </x:c>
      <x:c r="D501" s="14" t="str">
        <x:v>The Ex-Wife</x:v>
      </x:c>
      <x:c r="E501" s="14" t="n">
        <x:v>17</x:v>
      </x:c>
      <x:c r="F501" s="14" t="str">
        <x:v>The Ex-Wife</x:v>
      </x:c>
      <x:c r="G501" s="14" t="str">
        <x:v>tt13069604</x:v>
      </x:c>
      <x:c r="H501" s="14" t="n">
        <x:v>2022</x:v>
      </x:c>
      <x:c r="I501" s="14" t="n">
        <x:v>2023</x:v>
      </x:c>
      <x:c r="J501" s="14" t="str">
        <x:v>Future Carry-Forward Cohort</x:v>
      </x:c>
      <x:c r="K501" s="14" t="n">
        <x:v>2022</x:v>
      </x:c>
      <x:c r="L501" s="14" t="str">
        <x:v>Not inherited</x:v>
      </x:c>
      <x:c r="M501" s="15" t="n">
        <x:v>10</x:v>
      </x:c>
      <x:c r="N501" s="14" t="str">
        <x:v>Anna Savva</x:v>
      </x:c>
      <x:c r="O501" s="14" t="str">
        <x:v>nm0767947</x:v>
      </x:c>
      <x:c r="P501" s="14" t="str">
        <x:v>Maria</x:v>
      </x:c>
      <x:c r="Q501" s="15" t="n">
        <x:v>3</x:v>
      </x:c>
      <x:c r="R501" s="14" t="str">
        <x:v>2025</x:v>
      </x:c>
      <x:c r="S501" s="14" t="n">
        <x:v>2025</x:v>
      </x:c>
      <x:c r="T501" s="14" t="n">
        <x:v>2025</x:v>
      </x:c>
      <x:c r="U501" s="14" t="str">
        <x:v>Explicit source first year retained</x:v>
      </x:c>
      <x:c r="V501" s="14" t="str">
        <x:v>Earliest supplied year is 2025.</x:v>
      </x:c>
      <x:c r="W501" s="14"/>
      <x:c r="X501" s="14" t="str">
        <x:v>Carried forward to 2025</x:v>
      </x:c>
      <x:c r="Y501" s="14"/>
      <x:c r="Z501" s="14" t="str">
        <x:v>The Ex-Wife.docx</x:v>
      </x:c>
      <x:c r="AA50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Paramount+ UK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7" t="e">
        <x:f>HYPERLINK("https://en.wikipedia.org/wiki/The_Ex-Wife","Open source")</x:f>
        <x:v>HYPERLINK is not implemented. linkLocation=https://en.wikipedia.org/wiki/The_Ex-Wife,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8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3</x:v>
      </x:c>
      <x:c r="BS501" s="16" t="n">
        <x:v>0.375</x:v>
      </x:c>
      <x:c r="BT501" s="14" t="str">
        <x:v>Minority of episodes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tt13069604|nm4221889|connor</x:v>
      </x:c>
      <x:c r="B502" s="14" t="str">
        <x:v>06</x:v>
      </x:c>
      <x:c r="C502" s="14" t="str">
        <x:v>2022_IMDb_Cast_Lists_Batch_06(1).xlsx</x:v>
      </x:c>
      <x:c r="D502" s="14" t="str">
        <x:v>The Ex-Wife</x:v>
      </x:c>
      <x:c r="E502" s="14" t="n">
        <x:v>18</x:v>
      </x:c>
      <x:c r="F502" s="14" t="str">
        <x:v>The Ex-Wife</x:v>
      </x:c>
      <x:c r="G502" s="14" t="str">
        <x:v>tt13069604</x:v>
      </x:c>
      <x:c r="H502" s="14" t="n">
        <x:v>2022</x:v>
      </x:c>
      <x:c r="I502" s="14" t="n">
        <x:v>2023</x:v>
      </x:c>
      <x:c r="J502" s="14" t="str">
        <x:v>Future Carry-Forward Cohort</x:v>
      </x:c>
      <x:c r="K502" s="14" t="n">
        <x:v>2022</x:v>
      </x:c>
      <x:c r="L502" s="14" t="str">
        <x:v>Not inherited</x:v>
      </x:c>
      <x:c r="M502" s="15" t="n">
        <x:v>11</x:v>
      </x:c>
      <x:c r="N502" s="14" t="str">
        <x:v>Jake Fairbrother</x:v>
      </x:c>
      <x:c r="O502" s="14" t="str">
        <x:v>nm4221889</x:v>
      </x:c>
      <x:c r="P502" s="14" t="str">
        <x:v>Connor</x:v>
      </x:c>
      <x:c r="Q502" s="15" t="n">
        <x:v>3</x:v>
      </x:c>
      <x:c r="R502" s="14" t="str">
        <x:v>2025</x:v>
      </x:c>
      <x:c r="S502" s="14" t="n">
        <x:v>2025</x:v>
      </x:c>
      <x:c r="T502" s="14" t="n">
        <x:v>2025</x:v>
      </x:c>
      <x:c r="U502" s="14" t="str">
        <x:v>Explicit source first year retained</x:v>
      </x:c>
      <x:c r="V502" s="14" t="str">
        <x:v>Earliest supplied year is 2025.</x:v>
      </x:c>
      <x:c r="W502" s="14"/>
      <x:c r="X502" s="14" t="str">
        <x:v>Carried forward to 2025</x:v>
      </x:c>
      <x:c r="Y502" s="14"/>
      <x:c r="Z502" s="14" t="str">
        <x:v>The Ex-Wife.docx</x:v>
      </x:c>
      <x:c r="AA50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Paramount+ UK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7" t="e">
        <x:f>HYPERLINK("https://en.wikipedia.org/wiki/The_Ex-Wife","Open source")</x:f>
        <x:v>HYPERLINK is not implemented. linkLocation=https://en.wikipedia.org/wiki/The_Ex-Wife,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8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3</x:v>
      </x:c>
      <x:c r="BS502" s="16" t="n">
        <x:v>0.375</x:v>
      </x:c>
      <x:c r="BT502" s="14" t="str">
        <x:v>Minority of episodes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tt13069604|nm4250266|police officer</x:v>
      </x:c>
      <x:c r="B503" s="14" t="str">
        <x:v>06</x:v>
      </x:c>
      <x:c r="C503" s="14" t="str">
        <x:v>2022_IMDb_Cast_Lists_Batch_06(1).xlsx</x:v>
      </x:c>
      <x:c r="D503" s="14" t="str">
        <x:v>The Ex-Wife</x:v>
      </x:c>
      <x:c r="E503" s="14" t="n">
        <x:v>23</x:v>
      </x:c>
      <x:c r="F503" s="14" t="str">
        <x:v>The Ex-Wife</x:v>
      </x:c>
      <x:c r="G503" s="14" t="str">
        <x:v>tt13069604</x:v>
      </x:c>
      <x:c r="H503" s="14" t="n">
        <x:v>2022</x:v>
      </x:c>
      <x:c r="I503" s="14" t="n">
        <x:v>2023</x:v>
      </x:c>
      <x:c r="J503" s="14" t="str">
        <x:v>Future Carry-Forward Cohort</x:v>
      </x:c>
      <x:c r="K503" s="14" t="n">
        <x:v>2022</x:v>
      </x:c>
      <x:c r="L503" s="14" t="str">
        <x:v>Not inherited</x:v>
      </x:c>
      <x:c r="M503" s="15" t="n">
        <x:v>16</x:v>
      </x:c>
      <x:c r="N503" s="14" t="str">
        <x:v>Elena Demetriou</x:v>
      </x:c>
      <x:c r="O503" s="14" t="str">
        <x:v>nm4250266</x:v>
      </x:c>
      <x:c r="P503" s="14" t="str">
        <x:v>Police Officer</x:v>
      </x:c>
      <x:c r="Q503" s="15" t="n">
        <x:v>2</x:v>
      </x:c>
      <x:c r="R503" s="14" t="str">
        <x:v>2025</x:v>
      </x:c>
      <x:c r="S503" s="14" t="n">
        <x:v>2025</x:v>
      </x:c>
      <x:c r="T503" s="14" t="n">
        <x:v>2025</x:v>
      </x:c>
      <x:c r="U503" s="14" t="str">
        <x:v>Explicit source first year retained</x:v>
      </x:c>
      <x:c r="V503" s="14" t="str">
        <x:v>Earliest supplied year is 2025.</x:v>
      </x:c>
      <x:c r="W503" s="14"/>
      <x:c r="X503" s="14" t="str">
        <x:v>Carried forward to 2025</x:v>
      </x:c>
      <x:c r="Y503" s="14"/>
      <x:c r="Z503" s="14" t="str">
        <x:v>The Ex-Wife.docx</x:v>
      </x:c>
      <x:c r="AA50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Paramount+ UK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7" t="e">
        <x:f>HYPERLINK("https://en.wikipedia.org/wiki/The_Ex-Wife","Open source")</x:f>
        <x:v>HYPERLINK is not implemented. linkLocation=https://en.wikipedia.org/wiki/The_Ex-Wife,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8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2</x:v>
      </x:c>
      <x:c r="BS503" s="16" t="n">
        <x:v>0.25</x:v>
      </x:c>
      <x:c r="BT503" s="14" t="str">
        <x:v>Minority of episodes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tt13069604|nm3695349|prison chaplain</x:v>
      </x:c>
      <x:c r="B504" s="14" t="str">
        <x:v>06</x:v>
      </x:c>
      <x:c r="C504" s="14" t="str">
        <x:v>2022_IMDb_Cast_Lists_Batch_06(1).xlsx</x:v>
      </x:c>
      <x:c r="D504" s="14" t="str">
        <x:v>The Ex-Wife</x:v>
      </x:c>
      <x:c r="E504" s="14" t="n">
        <x:v>26</x:v>
      </x:c>
      <x:c r="F504" s="14" t="str">
        <x:v>The Ex-Wife</x:v>
      </x:c>
      <x:c r="G504" s="14" t="str">
        <x:v>tt13069604</x:v>
      </x:c>
      <x:c r="H504" s="14" t="n">
        <x:v>2022</x:v>
      </x:c>
      <x:c r="I504" s="14" t="n">
        <x:v>2023</x:v>
      </x:c>
      <x:c r="J504" s="14" t="str">
        <x:v>Future Carry-Forward Cohort</x:v>
      </x:c>
      <x:c r="K504" s="14" t="n">
        <x:v>2022</x:v>
      </x:c>
      <x:c r="L504" s="14" t="str">
        <x:v>Not inherited</x:v>
      </x:c>
      <x:c r="M504" s="15" t="n">
        <x:v>19</x:v>
      </x:c>
      <x:c r="N504" s="14" t="str">
        <x:v>Anna Giagiozi</x:v>
      </x:c>
      <x:c r="O504" s="14" t="str">
        <x:v>nm3695349</x:v>
      </x:c>
      <x:c r="P504" s="14" t="str">
        <x:v>Prison Chaplain</x:v>
      </x:c>
      <x:c r="Q504" s="15" t="n">
        <x:v>1</x:v>
      </x:c>
      <x:c r="R504" s="14" t="str">
        <x:v>2025</x:v>
      </x:c>
      <x:c r="S504" s="14" t="n">
        <x:v>2025</x:v>
      </x:c>
      <x:c r="T504" s="14" t="n">
        <x:v>2025</x:v>
      </x:c>
      <x:c r="U504" s="14" t="str">
        <x:v>Explicit source first year retained</x:v>
      </x:c>
      <x:c r="V504" s="14" t="str">
        <x:v>Earliest supplied year is 2025.</x:v>
      </x:c>
      <x:c r="W504" s="14"/>
      <x:c r="X504" s="14" t="str">
        <x:v>Carried forward to 2025</x:v>
      </x:c>
      <x:c r="Y504" s="14"/>
      <x:c r="Z504" s="14" t="str">
        <x:v>The Ex-Wife.docx</x:v>
      </x:c>
      <x:c r="AA50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Paramount+ UK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7" t="e">
        <x:f>HYPERLINK("https://en.wikipedia.org/wiki/The_Ex-Wife","Open source")</x:f>
        <x:v>HYPERLINK is not implemented. linkLocation=https://en.wikipedia.org/wiki/The_Ex-Wife,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8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0.125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tt13069604|nm0824002|hospital doctor</x:v>
      </x:c>
      <x:c r="B505" s="14" t="str">
        <x:v>06</x:v>
      </x:c>
      <x:c r="C505" s="14" t="str">
        <x:v>2022_IMDb_Cast_Lists_Batch_06(1).xlsx</x:v>
      </x:c>
      <x:c r="D505" s="14" t="str">
        <x:v>The Ex-Wife</x:v>
      </x:c>
      <x:c r="E505" s="14" t="n">
        <x:v>28</x:v>
      </x:c>
      <x:c r="F505" s="14" t="str">
        <x:v>The Ex-Wife</x:v>
      </x:c>
      <x:c r="G505" s="14" t="str">
        <x:v>tt13069604</x:v>
      </x:c>
      <x:c r="H505" s="14" t="n">
        <x:v>2022</x:v>
      </x:c>
      <x:c r="I505" s="14" t="n">
        <x:v>2023</x:v>
      </x:c>
      <x:c r="J505" s="14" t="str">
        <x:v>Future Carry-Forward Cohort</x:v>
      </x:c>
      <x:c r="K505" s="14" t="n">
        <x:v>2022</x:v>
      </x:c>
      <x:c r="L505" s="14" t="str">
        <x:v>Not inherited</x:v>
      </x:c>
      <x:c r="M505" s="15" t="n">
        <x:v>21</x:v>
      </x:c>
      <x:c r="N505" s="14" t="str">
        <x:v>Sotos Stavrakis</x:v>
      </x:c>
      <x:c r="O505" s="14" t="str">
        <x:v>nm0824002</x:v>
      </x:c>
      <x:c r="P505" s="14" t="str">
        <x:v>Hospital Doctor</x:v>
      </x:c>
      <x:c r="Q505" s="15" t="n">
        <x:v>1</x:v>
      </x:c>
      <x:c r="R505" s="14" t="str">
        <x:v>2025</x:v>
      </x:c>
      <x:c r="S505" s="14" t="n">
        <x:v>2025</x:v>
      </x:c>
      <x:c r="T505" s="14" t="n">
        <x:v>2025</x:v>
      </x:c>
      <x:c r="U505" s="14" t="str">
        <x:v>Explicit source first year retained</x:v>
      </x:c>
      <x:c r="V505" s="14" t="str">
        <x:v>Earliest supplied year is 2025.</x:v>
      </x:c>
      <x:c r="W505" s="14"/>
      <x:c r="X505" s="14" t="str">
        <x:v>Carried forward to 2025</x:v>
      </x:c>
      <x:c r="Y505" s="14"/>
      <x:c r="Z505" s="14" t="str">
        <x:v>The Ex-Wife.docx</x:v>
      </x:c>
      <x:c r="AA50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Paramount+ UK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7" t="e">
        <x:f>HYPERLINK("https://en.wikipedia.org/wiki/The_Ex-Wife","Open source")</x:f>
        <x:v>HYPERLINK is not implemented. linkLocation=https://en.wikipedia.org/wiki/The_Ex-Wife,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8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0.125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tt13069604|nm17458128|lot attendant</x:v>
      </x:c>
      <x:c r="B506" s="14" t="str">
        <x:v>06</x:v>
      </x:c>
      <x:c r="C506" s="14" t="str">
        <x:v>2022_IMDb_Cast_Lists_Batch_06(1).xlsx</x:v>
      </x:c>
      <x:c r="D506" s="14" t="str">
        <x:v>The Ex-Wife</x:v>
      </x:c>
      <x:c r="E506" s="14" t="n">
        <x:v>29</x:v>
      </x:c>
      <x:c r="F506" s="14" t="str">
        <x:v>The Ex-Wife</x:v>
      </x:c>
      <x:c r="G506" s="14" t="str">
        <x:v>tt13069604</x:v>
      </x:c>
      <x:c r="H506" s="14" t="n">
        <x:v>2022</x:v>
      </x:c>
      <x:c r="I506" s="14" t="n">
        <x:v>2023</x:v>
      </x:c>
      <x:c r="J506" s="14" t="str">
        <x:v>Future Carry-Forward Cohort</x:v>
      </x:c>
      <x:c r="K506" s="14" t="n">
        <x:v>2022</x:v>
      </x:c>
      <x:c r="L506" s="14" t="str">
        <x:v>Not inherited</x:v>
      </x:c>
      <x:c r="M506" s="15" t="n">
        <x:v>22</x:v>
      </x:c>
      <x:c r="N506" s="14" t="str">
        <x:v>Andreas Tsakkistos</x:v>
      </x:c>
      <x:c r="O506" s="14" t="str">
        <x:v>nm17458128</x:v>
      </x:c>
      <x:c r="P506" s="14" t="str">
        <x:v>Lot Attendant</x:v>
      </x:c>
      <x:c r="Q506" s="15" t="n">
        <x:v>1</x:v>
      </x:c>
      <x:c r="R506" s="14" t="str">
        <x:v>2025</x:v>
      </x:c>
      <x:c r="S506" s="14" t="n">
        <x:v>2025</x:v>
      </x:c>
      <x:c r="T506" s="14" t="n">
        <x:v>2025</x:v>
      </x:c>
      <x:c r="U506" s="14" t="str">
        <x:v>Explicit source first year retained</x:v>
      </x:c>
      <x:c r="V506" s="14" t="str">
        <x:v>Earliest supplied year is 2025.</x:v>
      </x:c>
      <x:c r="W506" s="14"/>
      <x:c r="X506" s="14" t="str">
        <x:v>Carried forward to 2025</x:v>
      </x:c>
      <x:c r="Y506" s="14"/>
      <x:c r="Z506" s="14" t="str">
        <x:v>The Ex-Wife.docx</x:v>
      </x:c>
      <x:c r="AA506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Paramount+ UK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7" t="e">
        <x:f>HYPERLINK("https://en.wikipedia.org/wiki/The_Ex-Wife","Open source")</x:f>
        <x:v>HYPERLINK is not implemented. linkLocation=https://en.wikipedia.org/wiki/The_Ex-Wife,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8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0.125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tt13069604|nm2536735|petra</x:v>
      </x:c>
      <x:c r="B507" s="14" t="str">
        <x:v>06</x:v>
      </x:c>
      <x:c r="C507" s="14" t="str">
        <x:v>2022_IMDb_Cast_Lists_Batch_06(1).xlsx</x:v>
      </x:c>
      <x:c r="D507" s="14" t="str">
        <x:v>The Ex-Wife</x:v>
      </x:c>
      <x:c r="E507" s="14" t="n">
        <x:v>30</x:v>
      </x:c>
      <x:c r="F507" s="14" t="str">
        <x:v>The Ex-Wife</x:v>
      </x:c>
      <x:c r="G507" s="14" t="str">
        <x:v>tt13069604</x:v>
      </x:c>
      <x:c r="H507" s="14" t="n">
        <x:v>2022</x:v>
      </x:c>
      <x:c r="I507" s="14" t="n">
        <x:v>2023</x:v>
      </x:c>
      <x:c r="J507" s="14" t="str">
        <x:v>Future Carry-Forward Cohort</x:v>
      </x:c>
      <x:c r="K507" s="14" t="n">
        <x:v>2022</x:v>
      </x:c>
      <x:c r="L507" s="14" t="str">
        <x:v>Not inherited</x:v>
      </x:c>
      <x:c r="M507" s="15" t="n">
        <x:v>23</x:v>
      </x:c>
      <x:c r="N507" s="14" t="str">
        <x:v>Eleni Kaoula</x:v>
      </x:c>
      <x:c r="O507" s="14" t="str">
        <x:v>nm2536735</x:v>
      </x:c>
      <x:c r="P507" s="14" t="str">
        <x:v>Petra</x:v>
      </x:c>
      <x:c r="Q507" s="15" t="n">
        <x:v>1</x:v>
      </x:c>
      <x:c r="R507" s="14" t="str">
        <x:v>2025</x:v>
      </x:c>
      <x:c r="S507" s="14" t="n">
        <x:v>2025</x:v>
      </x:c>
      <x:c r="T507" s="14" t="n">
        <x:v>2025</x:v>
      </x:c>
      <x:c r="U507" s="14" t="str">
        <x:v>Explicit source first year retained</x:v>
      </x:c>
      <x:c r="V507" s="14" t="str">
        <x:v>Earliest supplied year is 2025.</x:v>
      </x:c>
      <x:c r="W507" s="14"/>
      <x:c r="X507" s="14" t="str">
        <x:v>Carried forward to 2025</x:v>
      </x:c>
      <x:c r="Y507" s="14"/>
      <x:c r="Z507" s="14" t="str">
        <x:v>The Ex-Wife.docx</x:v>
      </x:c>
      <x:c r="AA507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Paramount+ UK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HYPERLINK("https://en.wikipedia.org/wiki/The_Ex-Wife","Open source")</x:f>
        <x:v>HYPERLINK is not implemented. linkLocation=https://en.wikipedia.org/wiki/The_Ex-Wife, friendlyName=Open source</x:v>
      </x:c>
      <x:c r="AN507" s="14" t="str">
        <x:v>No qualifying BBC relationship</x:v>
      </x:c>
      <x:c r="AO507" s="14" t="str">
        <x:v>No</x:v>
      </x:c>
      <x:c r="AP507" s="14" t="str">
        <x:v>Out of scope</x:v>
      </x:c>
      <x:c r="AQ507" s="14" t="str">
        <x:v>No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8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1</x:v>
      </x:c>
      <x:c r="BS507" s="16" t="n">
        <x:v>0.125</x:v>
      </x:c>
      <x:c r="BT507" s="14" t="str">
        <x:v>One episode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tt13069604|nm8709456|young man</x:v>
      </x:c>
      <x:c r="B508" s="14" t="str">
        <x:v>06</x:v>
      </x:c>
      <x:c r="C508" s="14" t="str">
        <x:v>2022_IMDb_Cast_Lists_Batch_06(1).xlsx</x:v>
      </x:c>
      <x:c r="D508" s="14" t="str">
        <x:v>The Ex-Wife</x:v>
      </x:c>
      <x:c r="E508" s="14" t="n">
        <x:v>31</x:v>
      </x:c>
      <x:c r="F508" s="14" t="str">
        <x:v>The Ex-Wife</x:v>
      </x:c>
      <x:c r="G508" s="14" t="str">
        <x:v>tt13069604</x:v>
      </x:c>
      <x:c r="H508" s="14" t="n">
        <x:v>2022</x:v>
      </x:c>
      <x:c r="I508" s="14" t="n">
        <x:v>2023</x:v>
      </x:c>
      <x:c r="J508" s="14" t="str">
        <x:v>Future Carry-Forward Cohort</x:v>
      </x:c>
      <x:c r="K508" s="14" t="n">
        <x:v>2022</x:v>
      </x:c>
      <x:c r="L508" s="14" t="str">
        <x:v>Not inherited</x:v>
      </x:c>
      <x:c r="M508" s="15" t="n">
        <x:v>24</x:v>
      </x:c>
      <x:c r="N508" s="14" t="str">
        <x:v>Constantinos Tsitsios</x:v>
      </x:c>
      <x:c r="O508" s="14" t="str">
        <x:v>nm8709456</x:v>
      </x:c>
      <x:c r="P508" s="14" t="str">
        <x:v>Young Man</x:v>
      </x:c>
      <x:c r="Q508" s="15" t="n">
        <x:v>1</x:v>
      </x:c>
      <x:c r="R508" s="14" t="str">
        <x:v>2025</x:v>
      </x:c>
      <x:c r="S508" s="14" t="n">
        <x:v>2025</x:v>
      </x:c>
      <x:c r="T508" s="14" t="n">
        <x:v>2025</x:v>
      </x:c>
      <x:c r="U508" s="14" t="str">
        <x:v>Explicit source first year retained</x:v>
      </x:c>
      <x:c r="V508" s="14" t="str">
        <x:v>Earliest supplied year is 2025.</x:v>
      </x:c>
      <x:c r="W508" s="14"/>
      <x:c r="X508" s="14" t="str">
        <x:v>Carried forward to 2025</x:v>
      </x:c>
      <x:c r="Y508" s="14"/>
      <x:c r="Z508" s="14" t="str">
        <x:v>The Ex-Wife.docx</x:v>
      </x:c>
      <x:c r="AA508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Paramount+ UK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HYPERLINK("https://en.wikipedia.org/wiki/The_Ex-Wife","Open source")</x:f>
        <x:v>HYPERLINK is not implemented. linkLocation=https://en.wikipedia.org/wiki/The_Ex-Wife, friendlyName=Open source</x:v>
      </x:c>
      <x:c r="AN508" s="14" t="str">
        <x:v>No qualifying BBC relationship</x:v>
      </x:c>
      <x:c r="AO508" s="14" t="str">
        <x:v>No</x:v>
      </x:c>
      <x:c r="AP508" s="14" t="str">
        <x:v>Out of scope</x:v>
      </x:c>
      <x:c r="AQ508" s="14" t="str">
        <x:v>No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8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1</x:v>
      </x:c>
      <x:c r="BS508" s="16" t="n">
        <x:v>0.125</x:v>
      </x:c>
      <x:c r="BT508" s="14" t="str">
        <x:v>One episode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tt13069604|nm10448243|doctor</x:v>
      </x:c>
      <x:c r="B509" s="14" t="str">
        <x:v>06</x:v>
      </x:c>
      <x:c r="C509" s="14" t="str">
        <x:v>2022_IMDb_Cast_Lists_Batch_06(1).xlsx</x:v>
      </x:c>
      <x:c r="D509" s="14" t="str">
        <x:v>The Ex-Wife</x:v>
      </x:c>
      <x:c r="E509" s="14" t="n">
        <x:v>32</x:v>
      </x:c>
      <x:c r="F509" s="14" t="str">
        <x:v>The Ex-Wife</x:v>
      </x:c>
      <x:c r="G509" s="14" t="str">
        <x:v>tt13069604</x:v>
      </x:c>
      <x:c r="H509" s="14" t="n">
        <x:v>2022</x:v>
      </x:c>
      <x:c r="I509" s="14" t="n">
        <x:v>2023</x:v>
      </x:c>
      <x:c r="J509" s="14" t="str">
        <x:v>Future Carry-Forward Cohort</x:v>
      </x:c>
      <x:c r="K509" s="14" t="n">
        <x:v>2022</x:v>
      </x:c>
      <x:c r="L509" s="14" t="str">
        <x:v>Not inherited</x:v>
      </x:c>
      <x:c r="M509" s="15" t="n">
        <x:v>25</x:v>
      </x:c>
      <x:c r="N509" s="14" t="str">
        <x:v>Nayia Anastasiadou</x:v>
      </x:c>
      <x:c r="O509" s="14" t="str">
        <x:v>nm10448243</x:v>
      </x:c>
      <x:c r="P509" s="14" t="str">
        <x:v>Doctor</x:v>
      </x:c>
      <x:c r="Q509" s="15" t="n">
        <x:v>1</x:v>
      </x:c>
      <x:c r="R509" s="14" t="str">
        <x:v>2025</x:v>
      </x:c>
      <x:c r="S509" s="14" t="n">
        <x:v>2025</x:v>
      </x:c>
      <x:c r="T509" s="14" t="n">
        <x:v>2025</x:v>
      </x:c>
      <x:c r="U509" s="14" t="str">
        <x:v>Explicit source first year retained</x:v>
      </x:c>
      <x:c r="V509" s="14" t="str">
        <x:v>Earliest supplied year is 2025.</x:v>
      </x:c>
      <x:c r="W509" s="14"/>
      <x:c r="X509" s="14" t="str">
        <x:v>Carried forward to 2025</x:v>
      </x:c>
      <x:c r="Y509" s="14"/>
      <x:c r="Z509" s="14" t="str">
        <x:v>The Ex-Wife.docx</x:v>
      </x:c>
      <x:c r="AA509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Paramount+ UK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HYPERLINK("https://en.wikipedia.org/wiki/The_Ex-Wife","Open source")</x:f>
        <x:v>HYPERLINK is not implemented. linkLocation=https://en.wikipedia.org/wiki/The_Ex-Wife, friendlyName=Open source</x:v>
      </x:c>
      <x:c r="AN509" s="14" t="str">
        <x:v>No qualifying BBC relationship</x:v>
      </x:c>
      <x:c r="AO509" s="14" t="str">
        <x:v>No</x:v>
      </x:c>
      <x:c r="AP509" s="14" t="str">
        <x:v>Out of scope</x:v>
      </x:c>
      <x:c r="AQ509" s="14" t="str">
        <x:v>No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8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1</x:v>
      </x:c>
      <x:c r="BS509" s="16" t="n">
        <x:v>0.125</x:v>
      </x:c>
      <x:c r="BT509" s="14" t="str">
        <x:v>One episode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tt13069604|nm17457658|pharmacy receptionist</x:v>
      </x:c>
      <x:c r="B510" s="14" t="str">
        <x:v>06</x:v>
      </x:c>
      <x:c r="C510" s="14" t="str">
        <x:v>2022_IMDb_Cast_Lists_Batch_06(1).xlsx</x:v>
      </x:c>
      <x:c r="D510" s="14" t="str">
        <x:v>The Ex-Wife</x:v>
      </x:c>
      <x:c r="E510" s="14" t="n">
        <x:v>34</x:v>
      </x:c>
      <x:c r="F510" s="14" t="str">
        <x:v>The Ex-Wife</x:v>
      </x:c>
      <x:c r="G510" s="14" t="str">
        <x:v>tt13069604</x:v>
      </x:c>
      <x:c r="H510" s="14" t="n">
        <x:v>2022</x:v>
      </x:c>
      <x:c r="I510" s="14" t="n">
        <x:v>2023</x:v>
      </x:c>
      <x:c r="J510" s="14" t="str">
        <x:v>Future Carry-Forward Cohort</x:v>
      </x:c>
      <x:c r="K510" s="14" t="n">
        <x:v>2022</x:v>
      </x:c>
      <x:c r="L510" s="14" t="str">
        <x:v>Not inherited</x:v>
      </x:c>
      <x:c r="M510" s="15" t="n">
        <x:v>27</x:v>
      </x:c>
      <x:c r="N510" s="14" t="str">
        <x:v>Ellie Tosounidou</x:v>
      </x:c>
      <x:c r="O510" s="14" t="str">
        <x:v>nm17457658</x:v>
      </x:c>
      <x:c r="P510" s="14" t="str">
        <x:v>Pharmacy Receptionist</x:v>
      </x:c>
      <x:c r="Q510" s="15" t="n">
        <x:v>1</x:v>
      </x:c>
      <x:c r="R510" s="14" t="str">
        <x:v>2025</x:v>
      </x:c>
      <x:c r="S510" s="14" t="n">
        <x:v>2025</x:v>
      </x:c>
      <x:c r="T510" s="14" t="n">
        <x:v>2025</x:v>
      </x:c>
      <x:c r="U510" s="14" t="str">
        <x:v>Explicit source first year retained</x:v>
      </x:c>
      <x:c r="V510" s="14" t="str">
        <x:v>Earliest supplied year is 2025.</x:v>
      </x:c>
      <x:c r="W510" s="14"/>
      <x:c r="X510" s="14" t="str">
        <x:v>Carried forward to 2025</x:v>
      </x:c>
      <x:c r="Y510" s="14"/>
      <x:c r="Z510" s="14" t="str">
        <x:v>The Ex-Wife.docx</x:v>
      </x:c>
      <x:c r="AA51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Paramount+ UK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HYPERLINK("https://en.wikipedia.org/wiki/The_Ex-Wife","Open source")</x:f>
        <x:v>HYPERLINK is not implemented. linkLocation=https://en.wikipedia.org/wiki/The_Ex-Wife, friendlyName=Open source</x:v>
      </x:c>
      <x:c r="AN510" s="14" t="str">
        <x:v>No qualifying BBC relationship</x:v>
      </x:c>
      <x:c r="AO510" s="14" t="str">
        <x:v>No</x:v>
      </x:c>
      <x:c r="AP510" s="14" t="str">
        <x:v>Out of scope</x:v>
      </x:c>
      <x:c r="AQ510" s="14" t="str">
        <x:v>No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8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1</x:v>
      </x:c>
      <x:c r="BS510" s="16" t="n">
        <x:v>0.125</x:v>
      </x:c>
      <x:c r="BT510" s="14" t="str">
        <x:v>One episode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tt13069604|nm17460918|police captain</x:v>
      </x:c>
      <x:c r="B511" s="14" t="str">
        <x:v>06</x:v>
      </x:c>
      <x:c r="C511" s="14" t="str">
        <x:v>2022_IMDb_Cast_Lists_Batch_06(1).xlsx</x:v>
      </x:c>
      <x:c r="D511" s="14" t="str">
        <x:v>The Ex-Wife</x:v>
      </x:c>
      <x:c r="E511" s="14" t="n">
        <x:v>37</x:v>
      </x:c>
      <x:c r="F511" s="14" t="str">
        <x:v>The Ex-Wife</x:v>
      </x:c>
      <x:c r="G511" s="14" t="str">
        <x:v>tt13069604</x:v>
      </x:c>
      <x:c r="H511" s="14" t="n">
        <x:v>2022</x:v>
      </x:c>
      <x:c r="I511" s="14" t="n">
        <x:v>2023</x:v>
      </x:c>
      <x:c r="J511" s="14" t="str">
        <x:v>Future Carry-Forward Cohort</x:v>
      </x:c>
      <x:c r="K511" s="14" t="n">
        <x:v>2022</x:v>
      </x:c>
      <x:c r="L511" s="14" t="str">
        <x:v>Not inherited</x:v>
      </x:c>
      <x:c r="M511" s="15" t="n">
        <x:v>30</x:v>
      </x:c>
      <x:c r="N511" s="14" t="str">
        <x:v>Christopher Creco</x:v>
      </x:c>
      <x:c r="O511" s="14" t="str">
        <x:v>nm17460918</x:v>
      </x:c>
      <x:c r="P511" s="14" t="str">
        <x:v>Police Captain</x:v>
      </x:c>
      <x:c r="Q511" s="15" t="n">
        <x:v>1</x:v>
      </x:c>
      <x:c r="R511" s="14" t="str">
        <x:v>2025</x:v>
      </x:c>
      <x:c r="S511" s="14" t="n">
        <x:v>2025</x:v>
      </x:c>
      <x:c r="T511" s="14" t="n">
        <x:v>2025</x:v>
      </x:c>
      <x:c r="U511" s="14" t="str">
        <x:v>Explicit source first year retained</x:v>
      </x:c>
      <x:c r="V511" s="14" t="str">
        <x:v>Earliest supplied year is 2025.</x:v>
      </x:c>
      <x:c r="W511" s="14"/>
      <x:c r="X511" s="14" t="str">
        <x:v>Carried forward to 2025</x:v>
      </x:c>
      <x:c r="Y511" s="14"/>
      <x:c r="Z511" s="14" t="str">
        <x:v>The Ex-Wife.docx</x:v>
      </x:c>
      <x:c r="AA51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Paramount+ UK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HYPERLINK("https://en.wikipedia.org/wiki/The_Ex-Wife","Open source")</x:f>
        <x:v>HYPERLINK is not implemented. linkLocation=https://en.wikipedia.org/wiki/The_Ex-Wife, friendlyName=Open source</x:v>
      </x:c>
      <x:c r="AN511" s="14" t="str">
        <x:v>No qualifying BBC relationship</x:v>
      </x:c>
      <x:c r="AO511" s="14" t="str">
        <x:v>No</x:v>
      </x:c>
      <x:c r="AP511" s="14" t="str">
        <x:v>Out of scope</x:v>
      </x:c>
      <x:c r="AQ511" s="14" t="str">
        <x:v>No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8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1</x:v>
      </x:c>
      <x:c r="BS511" s="16" t="n">
        <x:v>0.125</x:v>
      </x:c>
      <x:c r="BT511" s="14" t="str">
        <x:v>One episode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tt13069604|nm2166043|leo</x:v>
      </x:c>
      <x:c r="B512" s="14" t="str">
        <x:v>06</x:v>
      </x:c>
      <x:c r="C512" s="14" t="str">
        <x:v>2022_IMDb_Cast_Lists_Batch_06(1).xlsx</x:v>
      </x:c>
      <x:c r="D512" s="14" t="str">
        <x:v>The Ex-Wife</x:v>
      </x:c>
      <x:c r="E512" s="14" t="n">
        <x:v>42</x:v>
      </x:c>
      <x:c r="F512" s="14" t="str">
        <x:v>The Ex-Wife</x:v>
      </x:c>
      <x:c r="G512" s="14" t="str">
        <x:v>tt13069604</x:v>
      </x:c>
      <x:c r="H512" s="14" t="n">
        <x:v>2022</x:v>
      </x:c>
      <x:c r="I512" s="14" t="n">
        <x:v>2023</x:v>
      </x:c>
      <x:c r="J512" s="14" t="str">
        <x:v>Future Carry-Forward Cohort</x:v>
      </x:c>
      <x:c r="K512" s="14" t="n">
        <x:v>2022</x:v>
      </x:c>
      <x:c r="L512" s="14" t="str">
        <x:v>Not inherited</x:v>
      </x:c>
      <x:c r="M512" s="15" t="n">
        <x:v>35</x:v>
      </x:c>
      <x:c r="N512" s="14" t="str">
        <x:v>Andreas Tselepos</x:v>
      </x:c>
      <x:c r="O512" s="14" t="str">
        <x:v>nm2166043</x:v>
      </x:c>
      <x:c r="P512" s="14" t="str">
        <x:v>Leo</x:v>
      </x:c>
      <x:c r="Q512" s="15" t="n">
        <x:v>1</x:v>
      </x:c>
      <x:c r="R512" s="14" t="str">
        <x:v>2025</x:v>
      </x:c>
      <x:c r="S512" s="14" t="n">
        <x:v>2025</x:v>
      </x:c>
      <x:c r="T512" s="14" t="n">
        <x:v>2025</x:v>
      </x:c>
      <x:c r="U512" s="14" t="str">
        <x:v>Explicit source first year retained</x:v>
      </x:c>
      <x:c r="V512" s="14" t="str">
        <x:v>Earliest supplied year is 2025.</x:v>
      </x:c>
      <x:c r="W512" s="14"/>
      <x:c r="X512" s="14" t="str">
        <x:v>Carried forward to 2025</x:v>
      </x:c>
      <x:c r="Y512" s="14"/>
      <x:c r="Z512" s="14" t="str">
        <x:v>The Ex-Wife.docx</x:v>
      </x:c>
      <x:c r="AA51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Paramount+ UK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HYPERLINK("https://en.wikipedia.org/wiki/The_Ex-Wife","Open source")</x:f>
        <x:v>HYPERLINK is not implemented. linkLocation=https://en.wikipedia.org/wiki/The_Ex-Wife, friendlyName=Open source</x:v>
      </x:c>
      <x:c r="AN512" s="14" t="str">
        <x:v>No qualifying BBC relationship</x:v>
      </x:c>
      <x:c r="AO512" s="14" t="str">
        <x:v>No</x:v>
      </x:c>
      <x:c r="AP512" s="14" t="str">
        <x:v>Out of scope</x:v>
      </x:c>
      <x:c r="AQ512" s="14" t="str">
        <x:v>No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8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1</x:v>
      </x:c>
      <x:c r="BS512" s="16" t="n">
        <x:v>0.125</x:v>
      </x:c>
      <x:c r="BT512" s="14" t="str">
        <x:v>One episode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tt13069604|nm0746101|border guard</x:v>
      </x:c>
      <x:c r="B513" s="14" t="str">
        <x:v>06</x:v>
      </x:c>
      <x:c r="C513" s="14" t="str">
        <x:v>2022_IMDb_Cast_Lists_Batch_06(1).xlsx</x:v>
      </x:c>
      <x:c r="D513" s="14" t="str">
        <x:v>The Ex-Wife</x:v>
      </x:c>
      <x:c r="E513" s="14" t="n">
        <x:v>45</x:v>
      </x:c>
      <x:c r="F513" s="14" t="str">
        <x:v>The Ex-Wife</x:v>
      </x:c>
      <x:c r="G513" s="14" t="str">
        <x:v>tt13069604</x:v>
      </x:c>
      <x:c r="H513" s="14" t="n">
        <x:v>2022</x:v>
      </x:c>
      <x:c r="I513" s="14" t="n">
        <x:v>2023</x:v>
      </x:c>
      <x:c r="J513" s="14" t="str">
        <x:v>Future Carry-Forward Cohort</x:v>
      </x:c>
      <x:c r="K513" s="14" t="n">
        <x:v>2022</x:v>
      </x:c>
      <x:c r="L513" s="14" t="str">
        <x:v>Not inherited</x:v>
      </x:c>
      <x:c r="M513" s="15" t="n">
        <x:v>38</x:v>
      </x:c>
      <x:c r="N513" s="14" t="str">
        <x:v>Jimmy Roussounis</x:v>
      </x:c>
      <x:c r="O513" s="14" t="str">
        <x:v>nm0746101</x:v>
      </x:c>
      <x:c r="P513" s="14" t="str">
        <x:v>Border Guard</x:v>
      </x:c>
      <x:c r="Q513" s="15" t="n">
        <x:v>1</x:v>
      </x:c>
      <x:c r="R513" s="14" t="str">
        <x:v>2025</x:v>
      </x:c>
      <x:c r="S513" s="14" t="n">
        <x:v>2025</x:v>
      </x:c>
      <x:c r="T513" s="14" t="n">
        <x:v>2025</x:v>
      </x:c>
      <x:c r="U513" s="14" t="str">
        <x:v>Explicit source first year retained</x:v>
      </x:c>
      <x:c r="V513" s="14" t="str">
        <x:v>Earliest supplied year is 2025.</x:v>
      </x:c>
      <x:c r="W513" s="14"/>
      <x:c r="X513" s="14" t="str">
        <x:v>Carried forward to 2025</x:v>
      </x:c>
      <x:c r="Y513" s="14" t="str">
        <x:v>(as Jimmy Rousounis)</x:v>
      </x:c>
      <x:c r="Z513" s="14" t="str">
        <x:v>The Ex-Wife.docx</x:v>
      </x:c>
      <x:c r="AA51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Paramount+ UK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HYPERLINK("https://en.wikipedia.org/wiki/The_Ex-Wife","Open source")</x:f>
        <x:v>HYPERLINK is not implemented. linkLocation=https://en.wikipedia.org/wiki/The_Ex-Wife, friendlyName=Open source</x:v>
      </x:c>
      <x:c r="AN513" s="14" t="str">
        <x:v>No qualifying BBC relationship</x:v>
      </x:c>
      <x:c r="AO513" s="14" t="str">
        <x:v>No</x:v>
      </x:c>
      <x:c r="AP513" s="14" t="str">
        <x:v>Out of scope</x:v>
      </x:c>
      <x:c r="AQ513" s="14" t="str">
        <x:v>No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8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1</x:v>
      </x:c>
      <x:c r="BS513" s="16" t="n">
        <x:v>0.125</x:v>
      </x:c>
      <x:c r="BT513" s="14" t="str">
        <x:v>One episode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tt13069604|nm17457657|police officer</x:v>
      </x:c>
      <x:c r="B514" s="14" t="str">
        <x:v>06</x:v>
      </x:c>
      <x:c r="C514" s="14" t="str">
        <x:v>2022_IMDb_Cast_Lists_Batch_06(1).xlsx</x:v>
      </x:c>
      <x:c r="D514" s="14" t="str">
        <x:v>The Ex-Wife</x:v>
      </x:c>
      <x:c r="E514" s="14" t="n">
        <x:v>46</x:v>
      </x:c>
      <x:c r="F514" s="14" t="str">
        <x:v>The Ex-Wife</x:v>
      </x:c>
      <x:c r="G514" s="14" t="str">
        <x:v>tt13069604</x:v>
      </x:c>
      <x:c r="H514" s="14" t="n">
        <x:v>2022</x:v>
      </x:c>
      <x:c r="I514" s="14" t="n">
        <x:v>2023</x:v>
      </x:c>
      <x:c r="J514" s="14" t="str">
        <x:v>Future Carry-Forward Cohort</x:v>
      </x:c>
      <x:c r="K514" s="14" t="n">
        <x:v>2022</x:v>
      </x:c>
      <x:c r="L514" s="14" t="str">
        <x:v>Not inherited</x:v>
      </x:c>
      <x:c r="M514" s="15" t="n">
        <x:v>39</x:v>
      </x:c>
      <x:c r="N514" s="14" t="str">
        <x:v>Giorgis Kyriakou</x:v>
      </x:c>
      <x:c r="O514" s="14" t="str">
        <x:v>nm17457657</x:v>
      </x:c>
      <x:c r="P514" s="14" t="str">
        <x:v>Police Officer</x:v>
      </x:c>
      <x:c r="Q514" s="15" t="n">
        <x:v>1</x:v>
      </x:c>
      <x:c r="R514" s="14" t="str">
        <x:v>2025</x:v>
      </x:c>
      <x:c r="S514" s="14" t="n">
        <x:v>2025</x:v>
      </x:c>
      <x:c r="T514" s="14" t="n">
        <x:v>2025</x:v>
      </x:c>
      <x:c r="U514" s="14" t="str">
        <x:v>Explicit source first year retained</x:v>
      </x:c>
      <x:c r="V514" s="14" t="str">
        <x:v>Earliest supplied year is 2025.</x:v>
      </x:c>
      <x:c r="W514" s="14"/>
      <x:c r="X514" s="14" t="str">
        <x:v>Carried forward to 2025</x:v>
      </x:c>
      <x:c r="Y514" s="14"/>
      <x:c r="Z514" s="14" t="str">
        <x:v>The Ex-Wife.docx</x:v>
      </x:c>
      <x:c r="AA51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Paramount+ UK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HYPERLINK("https://en.wikipedia.org/wiki/The_Ex-Wife","Open source")</x:f>
        <x:v>HYPERLINK is not implemented. linkLocation=https://en.wikipedia.org/wiki/The_Ex-Wife, friendlyName=Open source</x:v>
      </x:c>
      <x:c r="AN514" s="14" t="str">
        <x:v>No qualifying BBC relationship</x:v>
      </x:c>
      <x:c r="AO514" s="14" t="str">
        <x:v>No</x:v>
      </x:c>
      <x:c r="AP514" s="14" t="str">
        <x:v>Out of scope</x:v>
      </x:c>
      <x:c r="AQ514" s="14" t="str">
        <x:v>No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8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1</x:v>
      </x:c>
      <x:c r="BS514" s="16" t="n">
        <x:v>0.125</x:v>
      </x:c>
      <x:c r="BT514" s="14" t="str">
        <x:v>One episode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tt13069604|nm13316153|cafe customer</x:v>
      </x:c>
      <x:c r="B515" s="14" t="str">
        <x:v>06</x:v>
      </x:c>
      <x:c r="C515" s="14" t="str">
        <x:v>2022_IMDb_Cast_Lists_Batch_06(1).xlsx</x:v>
      </x:c>
      <x:c r="D515" s="14" t="str">
        <x:v>The Ex-Wife</x:v>
      </x:c>
      <x:c r="E515" s="14" t="n">
        <x:v>50</x:v>
      </x:c>
      <x:c r="F515" s="14" t="str">
        <x:v>The Ex-Wife</x:v>
      </x:c>
      <x:c r="G515" s="14" t="str">
        <x:v>tt13069604</x:v>
      </x:c>
      <x:c r="H515" s="14" t="n">
        <x:v>2022</x:v>
      </x:c>
      <x:c r="I515" s="14" t="n">
        <x:v>2023</x:v>
      </x:c>
      <x:c r="J515" s="14" t="str">
        <x:v>Future Carry-Forward Cohort</x:v>
      </x:c>
      <x:c r="K515" s="14" t="n">
        <x:v>2022</x:v>
      </x:c>
      <x:c r="L515" s="14" t="str">
        <x:v>Not inherited</x:v>
      </x:c>
      <x:c r="M515" s="15" t="n">
        <x:v>43</x:v>
      </x:c>
      <x:c r="N515" s="14" t="str">
        <x:v>Andreas Koutsoftas</x:v>
      </x:c>
      <x:c r="O515" s="14" t="str">
        <x:v>nm13316153</x:v>
      </x:c>
      <x:c r="P515" s="14" t="str">
        <x:v>Cafe Customer</x:v>
      </x:c>
      <x:c r="Q515" s="15" t="n">
        <x:v>1</x:v>
      </x:c>
      <x:c r="R515" s="14" t="str">
        <x:v>2025</x:v>
      </x:c>
      <x:c r="S515" s="14" t="n">
        <x:v>2025</x:v>
      </x:c>
      <x:c r="T515" s="14" t="n">
        <x:v>2025</x:v>
      </x:c>
      <x:c r="U515" s="14" t="str">
        <x:v>Explicit source first year retained</x:v>
      </x:c>
      <x:c r="V515" s="14" t="str">
        <x:v>Earliest supplied year is 2025.</x:v>
      </x:c>
      <x:c r="W515" s="14"/>
      <x:c r="X515" s="14" t="str">
        <x:v>Carried forward to 2025</x:v>
      </x:c>
      <x:c r="Y515" s="14"/>
      <x:c r="Z515" s="14" t="str">
        <x:v>The Ex-Wife.docx</x:v>
      </x:c>
      <x:c r="AA51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Paramount+ UK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HYPERLINK("https://en.wikipedia.org/wiki/The_Ex-Wife","Open source")</x:f>
        <x:v>HYPERLINK is not implemented. linkLocation=https://en.wikipedia.org/wiki/The_Ex-Wife, friendlyName=Open source</x:v>
      </x:c>
      <x:c r="AN515" s="14" t="str">
        <x:v>No qualifying BBC relationship</x:v>
      </x:c>
      <x:c r="AO515" s="14" t="str">
        <x:v>No</x:v>
      </x:c>
      <x:c r="AP515" s="14" t="str">
        <x:v>Out of scope</x:v>
      </x:c>
      <x:c r="AQ515" s="14" t="str">
        <x:v>No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8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1</x:v>
      </x:c>
      <x:c r="BS515" s="16" t="n">
        <x:v>0.125</x:v>
      </x:c>
      <x:c r="BT515" s="14" t="str">
        <x:v>One episode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tt11958610|nm1693813|phil croxley</x:v>
      </x:c>
      <x:c r="B516" s="14" t="str">
        <x:v>08</x:v>
      </x:c>
      <x:c r="C516" s="14" t="str">
        <x:v>2022_IMDb_Cast_Lists_Batch_08(1).xlsx</x:v>
      </x:c>
      <x:c r="D516" s="14" t="str">
        <x:v>Trigger Point</x:v>
      </x:c>
      <x:c r="E516" s="14" t="n">
        <x:v>14</x:v>
      </x:c>
      <x:c r="F516" s="14" t="str">
        <x:v>Trigger Point</x:v>
      </x:c>
      <x:c r="G516" s="14" t="str">
        <x:v>tt11958610</x:v>
      </x:c>
      <x:c r="H516" s="14" t="n">
        <x:v>2022</x:v>
      </x:c>
      <x:c r="I516" s="14" t="n">
        <x:v>2023</x:v>
      </x:c>
      <x:c r="J516" s="14" t="str">
        <x:v>Future Carry-Forward Cohort</x:v>
      </x:c>
      <x:c r="K516" s="14" t="n">
        <x:v>2022</x:v>
      </x:c>
      <x:c r="L516" s="14" t="str">
        <x:v>Not inherited</x:v>
      </x:c>
      <x:c r="M516" s="15" t="n">
        <x:v>7</x:v>
      </x:c>
      <x:c r="N516" s="14" t="str">
        <x:v>Christopher Hatherall</x:v>
      </x:c>
      <x:c r="O516" s="14" t="str">
        <x:v>nm1693813</x:v>
      </x:c>
      <x:c r="P516" s="14" t="str">
        <x:v>Phil Croxley</x:v>
      </x:c>
      <x:c r="Q516" s="15" t="n">
        <x:v>12</x:v>
      </x:c>
      <x:c r="R516" s="14" t="str">
        <x:v>2025–2026</x:v>
      </x:c>
      <x:c r="S516" s="14" t="n">
        <x:v>2025</x:v>
      </x:c>
      <x:c r="T516" s="14" t="n">
        <x:v>2025</x:v>
      </x:c>
      <x:c r="U516" s="14" t="str">
        <x:v>Explicit source first year retained</x:v>
      </x:c>
      <x:c r="V516" s="14" t="str">
        <x:v>Earliest supplied year is 2025.</x:v>
      </x:c>
      <x:c r="W516" s="14"/>
      <x:c r="X516" s="14" t="str">
        <x:v>Carried forward to 2025</x:v>
      </x:c>
      <x:c r="Y516" s="14"/>
      <x:c r="Z516" s="14" t="str">
        <x:v>Trigger Point.docx</x:v>
      </x:c>
      <x:c r="AA51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ITV / ITVX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HYPERLINK("https://en.wikipedia.org/wiki/Trigger_Point","Open source")</x:f>
        <x:v>HYPERLINK is not implemented. linkLocation=https://en.wikipedia.org/wiki/Trigger_Point, friendlyName=Open source</x:v>
      </x:c>
      <x:c r="AN516" s="14" t="str">
        <x:v>No qualifying BBC relationship</x:v>
      </x:c>
      <x:c r="AO516" s="14" t="str">
        <x:v>No</x:v>
      </x:c>
      <x:c r="AP516" s="14" t="str">
        <x:v>Out of scope</x:v>
      </x:c>
      <x:c r="AQ516" s="14" t="str">
        <x:v>No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24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12</x:v>
      </x:c>
      <x:c r="BS516" s="16" t="n">
        <x:v>0.5</x:v>
      </x:c>
      <x:c r="BT516" s="14" t="str">
        <x:v>Minority of episodes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tt11958610|nm0002076|steven wyles</x:v>
      </x:c>
      <x:c r="B517" s="14" t="str">
        <x:v>08</x:v>
      </x:c>
      <x:c r="C517" s="14" t="str">
        <x:v>2022_IMDb_Cast_Lists_Batch_08(1).xlsx</x:v>
      </x:c>
      <x:c r="D517" s="14" t="str">
        <x:v>Trigger Point</x:v>
      </x:c>
      <x:c r="E517" s="14" t="n">
        <x:v>20</x:v>
      </x:c>
      <x:c r="F517" s="14" t="str">
        <x:v>Trigger Point</x:v>
      </x:c>
      <x:c r="G517" s="14" t="str">
        <x:v>tt11958610</x:v>
      </x:c>
      <x:c r="H517" s="14" t="n">
        <x:v>2022</x:v>
      </x:c>
      <x:c r="I517" s="14" t="n">
        <x:v>2023</x:v>
      </x:c>
      <x:c r="J517" s="14" t="str">
        <x:v>Future Carry-Forward Cohort</x:v>
      </x:c>
      <x:c r="K517" s="14" t="n">
        <x:v>2022</x:v>
      </x:c>
      <x:c r="L517" s="14" t="str">
        <x:v>Not inherited</x:v>
      </x:c>
      <x:c r="M517" s="15" t="n">
        <x:v>13</x:v>
      </x:c>
      <x:c r="N517" s="14" t="str">
        <x:v>Jason Flemyng</x:v>
      </x:c>
      <x:c r="O517" s="14" t="str">
        <x:v>nm0002076</x:v>
      </x:c>
      <x:c r="P517" s="14" t="str">
        <x:v>Steven Wyles</x:v>
      </x:c>
      <x:c r="Q517" s="15" t="n">
        <x:v>6</x:v>
      </x:c>
      <x:c r="R517" s="14" t="str">
        <x:v>2025</x:v>
      </x:c>
      <x:c r="S517" s="14" t="n">
        <x:v>2025</x:v>
      </x:c>
      <x:c r="T517" s="14" t="n">
        <x:v>2025</x:v>
      </x:c>
      <x:c r="U517" s="14" t="str">
        <x:v>Explicit source first year retained</x:v>
      </x:c>
      <x:c r="V517" s="14" t="str">
        <x:v>Earliest supplied year is 2025.</x:v>
      </x:c>
      <x:c r="W517" s="14"/>
      <x:c r="X517" s="14" t="str">
        <x:v>Carried forward to 2025</x:v>
      </x:c>
      <x:c r="Y517" s="14"/>
      <x:c r="Z517" s="14" t="str">
        <x:v>Trigger Point.docx</x:v>
      </x:c>
      <x:c r="AA51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ITV / ITVX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HYPERLINK("https://en.wikipedia.org/wiki/Trigger_Point","Open source")</x:f>
        <x:v>HYPERLINK is not implemented. linkLocation=https://en.wikipedia.org/wiki/Trigger_Point, friendlyName=Open source</x:v>
      </x:c>
      <x:c r="AN517" s="14" t="str">
        <x:v>No qualifying BBC relationship</x:v>
      </x:c>
      <x:c r="AO517" s="14" t="str">
        <x:v>No</x:v>
      </x:c>
      <x:c r="AP517" s="14" t="str">
        <x:v>Out of scope</x:v>
      </x:c>
      <x:c r="AQ517" s="14" t="str">
        <x:v>No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24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6</x:v>
      </x:c>
      <x:c r="BS517" s="16" t="n">
        <x:v>0.25</x:v>
      </x:c>
      <x:c r="BT517" s="14" t="str">
        <x:v>Minority of episodes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tt11958610|nm7030314|dc neil brenton</x:v>
      </x:c>
      <x:c r="B518" s="14" t="str">
        <x:v>08</x:v>
      </x:c>
      <x:c r="C518" s="14" t="str">
        <x:v>2022_IMDb_Cast_Lists_Batch_08(1).xlsx</x:v>
      </x:c>
      <x:c r="D518" s="14" t="str">
        <x:v>Trigger Point</x:v>
      </x:c>
      <x:c r="E518" s="14" t="n">
        <x:v>21</x:v>
      </x:c>
      <x:c r="F518" s="14" t="str">
        <x:v>Trigger Point</x:v>
      </x:c>
      <x:c r="G518" s="14" t="str">
        <x:v>tt11958610</x:v>
      </x:c>
      <x:c r="H518" s="14" t="n">
        <x:v>2022</x:v>
      </x:c>
      <x:c r="I518" s="14" t="n">
        <x:v>2023</x:v>
      </x:c>
      <x:c r="J518" s="14" t="str">
        <x:v>Future Carry-Forward Cohort</x:v>
      </x:c>
      <x:c r="K518" s="14" t="n">
        <x:v>2022</x:v>
      </x:c>
      <x:c r="L518" s="14" t="str">
        <x:v>Not inherited</x:v>
      </x:c>
      <x:c r="M518" s="15" t="n">
        <x:v>14</x:v>
      </x:c>
      <x:c r="N518" s="14" t="str">
        <x:v>Tom Glenister</x:v>
      </x:c>
      <x:c r="O518" s="14" t="str">
        <x:v>nm7030314</x:v>
      </x:c>
      <x:c r="P518" s="14" t="str">
        <x:v>DC Neil Brenton</x:v>
      </x:c>
      <x:c r="Q518" s="15" t="n">
        <x:v>6</x:v>
      </x:c>
      <x:c r="R518" s="14" t="str">
        <x:v>2025</x:v>
      </x:c>
      <x:c r="S518" s="14" t="n">
        <x:v>2025</x:v>
      </x:c>
      <x:c r="T518" s="14" t="n">
        <x:v>2025</x:v>
      </x:c>
      <x:c r="U518" s="14" t="str">
        <x:v>Explicit source first year retained</x:v>
      </x:c>
      <x:c r="V518" s="14" t="str">
        <x:v>Earliest supplied year is 2025.</x:v>
      </x:c>
      <x:c r="W518" s="14"/>
      <x:c r="X518" s="14" t="str">
        <x:v>Carried forward to 2025</x:v>
      </x:c>
      <x:c r="Y518" s="14"/>
      <x:c r="Z518" s="14" t="str">
        <x:v>Trigger Point.docx</x:v>
      </x:c>
      <x:c r="AA51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ITV / ITVX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HYPERLINK("https://en.wikipedia.org/wiki/Trigger_Point","Open source")</x:f>
        <x:v>HYPERLINK is not implemented. linkLocation=https://en.wikipedia.org/wiki/Trigger_Point, friendlyName=Open source</x:v>
      </x:c>
      <x:c r="AN518" s="14" t="str">
        <x:v>No qualifying BBC relationship</x:v>
      </x:c>
      <x:c r="AO518" s="14" t="str">
        <x:v>No</x:v>
      </x:c>
      <x:c r="AP518" s="14" t="str">
        <x:v>Out of scope</x:v>
      </x:c>
      <x:c r="AQ518" s="14" t="str">
        <x:v>No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24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6</x:v>
      </x:c>
      <x:c r="BS518" s="16" t="n">
        <x:v>0.25</x:v>
      </x:c>
      <x:c r="BT518" s="14" t="str">
        <x:v>Minority of episodes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tt11958610|nm14465781|wren cheshire</x:v>
      </x:c>
      <x:c r="B519" s="14" t="str">
        <x:v>08</x:v>
      </x:c>
      <x:c r="C519" s="14" t="str">
        <x:v>2022_IMDb_Cast_Lists_Batch_08(1).xlsx</x:v>
      </x:c>
      <x:c r="D519" s="14" t="str">
        <x:v>Trigger Point</x:v>
      </x:c>
      <x:c r="E519" s="14" t="n">
        <x:v>37</x:v>
      </x:c>
      <x:c r="F519" s="14" t="str">
        <x:v>Trigger Point</x:v>
      </x:c>
      <x:c r="G519" s="14" t="str">
        <x:v>tt11958610</x:v>
      </x:c>
      <x:c r="H519" s="14" t="n">
        <x:v>2022</x:v>
      </x:c>
      <x:c r="I519" s="14" t="n">
        <x:v>2023</x:v>
      </x:c>
      <x:c r="J519" s="14" t="str">
        <x:v>Future Carry-Forward Cohort</x:v>
      </x:c>
      <x:c r="K519" s="14" t="n">
        <x:v>2022</x:v>
      </x:c>
      <x:c r="L519" s="14" t="str">
        <x:v>Not inherited</x:v>
      </x:c>
      <x:c r="M519" s="15" t="n">
        <x:v>30</x:v>
      </x:c>
      <x:c r="N519" s="14" t="str">
        <x:v>Maisie Ayres</x:v>
      </x:c>
      <x:c r="O519" s="14" t="str">
        <x:v>nm14465781</x:v>
      </x:c>
      <x:c r="P519" s="14" t="str">
        <x:v>Wren Cheshire</x:v>
      </x:c>
      <x:c r="Q519" s="15" t="n">
        <x:v>4</x:v>
      </x:c>
      <x:c r="R519" s="14" t="str">
        <x:v>2025</x:v>
      </x:c>
      <x:c r="S519" s="14" t="n">
        <x:v>2025</x:v>
      </x:c>
      <x:c r="T519" s="14" t="n">
        <x:v>2025</x:v>
      </x:c>
      <x:c r="U519" s="14" t="str">
        <x:v>Explicit source first year retained</x:v>
      </x:c>
      <x:c r="V519" s="14" t="str">
        <x:v>Earliest supplied year is 2025.</x:v>
      </x:c>
      <x:c r="W519" s="14"/>
      <x:c r="X519" s="14" t="str">
        <x:v>Carried forward to 2025</x:v>
      </x:c>
      <x:c r="Y519" s="14"/>
      <x:c r="Z519" s="14" t="str">
        <x:v>Trigger Point.docx</x:v>
      </x:c>
      <x:c r="AA51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ITV / ITVX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HYPERLINK("https://en.wikipedia.org/wiki/Trigger_Point","Open source")</x:f>
        <x:v>HYPERLINK is not implemented. linkLocation=https://en.wikipedia.org/wiki/Trigger_Point, friendlyName=Open source</x:v>
      </x:c>
      <x:c r="AN519" s="14" t="str">
        <x:v>No qualifying BBC relationship</x:v>
      </x:c>
      <x:c r="AO519" s="14" t="str">
        <x:v>No</x:v>
      </x:c>
      <x:c r="AP519" s="14" t="str">
        <x:v>Out of scope</x:v>
      </x:c>
      <x:c r="AQ519" s="14" t="str">
        <x:v>No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24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4</x:v>
      </x:c>
      <x:c r="BS519" s="16" t="n">
        <x:v>0.16666666666666666</x:v>
      </x:c>
      <x:c r="BT519" s="14" t="str">
        <x:v>Minority of episodes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tt11958610|nm0407753|isaac wyles</x:v>
      </x:c>
      <x:c r="B520" s="14" t="str">
        <x:v>08</x:v>
      </x:c>
      <x:c r="C520" s="14" t="str">
        <x:v>2022_IMDb_Cast_Lists_Batch_08(1).xlsx</x:v>
      </x:c>
      <x:c r="D520" s="14" t="str">
        <x:v>Trigger Point</x:v>
      </x:c>
      <x:c r="E520" s="14" t="n">
        <x:v>39</x:v>
      </x:c>
      <x:c r="F520" s="14" t="str">
        <x:v>Trigger Point</x:v>
      </x:c>
      <x:c r="G520" s="14" t="str">
        <x:v>tt11958610</x:v>
      </x:c>
      <x:c r="H520" s="14" t="n">
        <x:v>2022</x:v>
      </x:c>
      <x:c r="I520" s="14" t="n">
        <x:v>2023</x:v>
      </x:c>
      <x:c r="J520" s="14" t="str">
        <x:v>Future Carry-Forward Cohort</x:v>
      </x:c>
      <x:c r="K520" s="14" t="n">
        <x:v>2022</x:v>
      </x:c>
      <x:c r="L520" s="14" t="str">
        <x:v>Not inherited</x:v>
      </x:c>
      <x:c r="M520" s="15" t="n">
        <x:v>32</x:v>
      </x:c>
      <x:c r="N520" s="14" t="str">
        <x:v>William Ilkley</x:v>
      </x:c>
      <x:c r="O520" s="14" t="str">
        <x:v>nm0407753</x:v>
      </x:c>
      <x:c r="P520" s="14" t="str">
        <x:v>Isaac Wyles</x:v>
      </x:c>
      <x:c r="Q520" s="15" t="n">
        <x:v>4</x:v>
      </x:c>
      <x:c r="R520" s="14" t="str">
        <x:v>2025</x:v>
      </x:c>
      <x:c r="S520" s="14" t="n">
        <x:v>2025</x:v>
      </x:c>
      <x:c r="T520" s="14" t="n">
        <x:v>2025</x:v>
      </x:c>
      <x:c r="U520" s="14" t="str">
        <x:v>Explicit source first year retained</x:v>
      </x:c>
      <x:c r="V520" s="14" t="str">
        <x:v>Earliest supplied year is 2025.</x:v>
      </x:c>
      <x:c r="W520" s="14"/>
      <x:c r="X520" s="14" t="str">
        <x:v>Carried forward to 2025</x:v>
      </x:c>
      <x:c r="Y520" s="14"/>
      <x:c r="Z520" s="14" t="str">
        <x:v>Trigger Point.docx</x:v>
      </x:c>
      <x:c r="AA52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ITV / ITVX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HYPERLINK("https://en.wikipedia.org/wiki/Trigger_Point","Open source")</x:f>
        <x:v>HYPERLINK is not implemented. linkLocation=https://en.wikipedia.org/wiki/Trigger_Point, friendlyName=Open source</x:v>
      </x:c>
      <x:c r="AN520" s="14" t="str">
        <x:v>No qualifying BBC relationship</x:v>
      </x:c>
      <x:c r="AO520" s="14" t="str">
        <x:v>No</x:v>
      </x:c>
      <x:c r="AP520" s="14" t="str">
        <x:v>Out of scope</x:v>
      </x:c>
      <x:c r="AQ520" s="14" t="str">
        <x:v>No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24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4</x:v>
      </x:c>
      <x:c r="BS520" s="16" t="n">
        <x:v>0.16666666666666666</x:v>
      </x:c>
      <x:c r="BT520" s="14" t="str">
        <x:v>Minority of episodes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tt11958610|nm11996253|jenny manning</x:v>
      </x:c>
      <x:c r="B521" s="14" t="str">
        <x:v>08</x:v>
      </x:c>
      <x:c r="C521" s="14" t="str">
        <x:v>2022_IMDb_Cast_Lists_Batch_08(1).xlsx</x:v>
      </x:c>
      <x:c r="D521" s="14" t="str">
        <x:v>Trigger Point</x:v>
      </x:c>
      <x:c r="E521" s="14" t="n">
        <x:v>41</x:v>
      </x:c>
      <x:c r="F521" s="14" t="str">
        <x:v>Trigger Point</x:v>
      </x:c>
      <x:c r="G521" s="14" t="str">
        <x:v>tt11958610</x:v>
      </x:c>
      <x:c r="H521" s="14" t="n">
        <x:v>2022</x:v>
      </x:c>
      <x:c r="I521" s="14" t="n">
        <x:v>2023</x:v>
      </x:c>
      <x:c r="J521" s="14" t="str">
        <x:v>Future Carry-Forward Cohort</x:v>
      </x:c>
      <x:c r="K521" s="14" t="n">
        <x:v>2022</x:v>
      </x:c>
      <x:c r="L521" s="14" t="str">
        <x:v>Not inherited</x:v>
      </x:c>
      <x:c r="M521" s="15" t="n">
        <x:v>34</x:v>
      </x:c>
      <x:c r="N521" s="14" t="str">
        <x:v>Katie Bernstein</x:v>
      </x:c>
      <x:c r="O521" s="14" t="str">
        <x:v>nm11996253</x:v>
      </x:c>
      <x:c r="P521" s="14" t="str">
        <x:v>Jenny Manning</x:v>
      </x:c>
      <x:c r="Q521" s="15" t="n">
        <x:v>3</x:v>
      </x:c>
      <x:c r="R521" s="14" t="str">
        <x:v>2025</x:v>
      </x:c>
      <x:c r="S521" s="14" t="n">
        <x:v>2025</x:v>
      </x:c>
      <x:c r="T521" s="14" t="n">
        <x:v>2025</x:v>
      </x:c>
      <x:c r="U521" s="14" t="str">
        <x:v>Explicit source first year retained</x:v>
      </x:c>
      <x:c r="V521" s="14" t="str">
        <x:v>Earliest supplied year is 2025.</x:v>
      </x:c>
      <x:c r="W521" s="14"/>
      <x:c r="X521" s="14" t="str">
        <x:v>Carried forward to 2025</x:v>
      </x:c>
      <x:c r="Y521" s="14"/>
      <x:c r="Z521" s="14" t="str">
        <x:v>Trigger Point.docx</x:v>
      </x:c>
      <x:c r="AA52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ITV / ITVX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HYPERLINK("https://en.wikipedia.org/wiki/Trigger_Point","Open source")</x:f>
        <x:v>HYPERLINK is not implemented. linkLocation=https://en.wikipedia.org/wiki/Trigger_Point, friendlyName=Open source</x:v>
      </x:c>
      <x:c r="AN521" s="14" t="str">
        <x:v>No qualifying BBC relationship</x:v>
      </x:c>
      <x:c r="AO521" s="14" t="str">
        <x:v>No</x:v>
      </x:c>
      <x:c r="AP521" s="14" t="str">
        <x:v>Out of scope</x:v>
      </x:c>
      <x:c r="AQ521" s="14" t="str">
        <x:v>No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24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3</x:v>
      </x:c>
      <x:c r="BS521" s="16" t="n">
        <x:v>0.125</x:v>
      </x:c>
      <x:c r="BT521" s="14" t="str">
        <x:v>Minority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tt11958610|nm0113982|jo adeyemi</x:v>
      </x:c>
      <x:c r="B522" s="14" t="str">
        <x:v>08</x:v>
      </x:c>
      <x:c r="C522" s="14" t="str">
        <x:v>2022_IMDb_Cast_Lists_Batch_08(1).xlsx</x:v>
      </x:c>
      <x:c r="D522" s="14" t="str">
        <x:v>Trigger Point</x:v>
      </x:c>
      <x:c r="E522" s="14" t="n">
        <x:v>42</x:v>
      </x:c>
      <x:c r="F522" s="14" t="str">
        <x:v>Trigger Point</x:v>
      </x:c>
      <x:c r="G522" s="14" t="str">
        <x:v>tt11958610</x:v>
      </x:c>
      <x:c r="H522" s="14" t="n">
        <x:v>2022</x:v>
      </x:c>
      <x:c r="I522" s="14" t="n">
        <x:v>2023</x:v>
      </x:c>
      <x:c r="J522" s="14" t="str">
        <x:v>Future Carry-Forward Cohort</x:v>
      </x:c>
      <x:c r="K522" s="14" t="n">
        <x:v>2022</x:v>
      </x:c>
      <x:c r="L522" s="14" t="str">
        <x:v>Not inherited</x:v>
      </x:c>
      <x:c r="M522" s="15" t="n">
        <x:v>35</x:v>
      </x:c>
      <x:c r="N522" s="14" t="str">
        <x:v>Kaye Brown</x:v>
      </x:c>
      <x:c r="O522" s="14" t="str">
        <x:v>nm0113982</x:v>
      </x:c>
      <x:c r="P522" s="14" t="str">
        <x:v>Jo Adeyemi</x:v>
      </x:c>
      <x:c r="Q522" s="15" t="n">
        <x:v>3</x:v>
      </x:c>
      <x:c r="R522" s="14" t="str">
        <x:v>2025</x:v>
      </x:c>
      <x:c r="S522" s="14" t="n">
        <x:v>2025</x:v>
      </x:c>
      <x:c r="T522" s="14" t="n">
        <x:v>2025</x:v>
      </x:c>
      <x:c r="U522" s="14" t="str">
        <x:v>Explicit source first year retained</x:v>
      </x:c>
      <x:c r="V522" s="14" t="str">
        <x:v>Earliest supplied year is 2025.</x:v>
      </x:c>
      <x:c r="W522" s="14"/>
      <x:c r="X522" s="14" t="str">
        <x:v>Carried forward to 2025</x:v>
      </x:c>
      <x:c r="Y522" s="14"/>
      <x:c r="Z522" s="14" t="str">
        <x:v>Trigger Point.docx</x:v>
      </x:c>
      <x:c r="AA52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ITV / ITVX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HYPERLINK("https://en.wikipedia.org/wiki/Trigger_Point","Open source")</x:f>
        <x:v>HYPERLINK is not implemented. linkLocation=https://en.wikipedia.org/wiki/Trigger_Point, friendlyName=Open source</x:v>
      </x:c>
      <x:c r="AN522" s="14" t="str">
        <x:v>No qualifying BBC relationship</x:v>
      </x:c>
      <x:c r="AO522" s="14" t="str">
        <x:v>No</x:v>
      </x:c>
      <x:c r="AP522" s="14" t="str">
        <x:v>Out of scope</x:v>
      </x:c>
      <x:c r="AQ522" s="14" t="str">
        <x:v>No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24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3</x:v>
      </x:c>
      <x:c r="BS522" s="16" t="n">
        <x:v>0.125</x:v>
      </x:c>
      <x:c r="BT522" s="14" t="str">
        <x:v>Minority of episodes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tt11958610|nm12104590|jessica tanbury</x:v>
      </x:c>
      <x:c r="B523" s="14" t="str">
        <x:v>08</x:v>
      </x:c>
      <x:c r="C523" s="14" t="str">
        <x:v>2022_IMDb_Cast_Lists_Batch_08(1).xlsx</x:v>
      </x:c>
      <x:c r="D523" s="14" t="str">
        <x:v>Trigger Point</x:v>
      </x:c>
      <x:c r="E523" s="14" t="n">
        <x:v>43</x:v>
      </x:c>
      <x:c r="F523" s="14" t="str">
        <x:v>Trigger Point</x:v>
      </x:c>
      <x:c r="G523" s="14" t="str">
        <x:v>tt11958610</x:v>
      </x:c>
      <x:c r="H523" s="14" t="n">
        <x:v>2022</x:v>
      </x:c>
      <x:c r="I523" s="14" t="n">
        <x:v>2023</x:v>
      </x:c>
      <x:c r="J523" s="14" t="str">
        <x:v>Future Carry-Forward Cohort</x:v>
      </x:c>
      <x:c r="K523" s="14" t="n">
        <x:v>2022</x:v>
      </x:c>
      <x:c r="L523" s="14" t="str">
        <x:v>Not inherited</x:v>
      </x:c>
      <x:c r="M523" s="15" t="n">
        <x:v>36</x:v>
      </x:c>
      <x:c r="N523" s="14" t="str">
        <x:v>Gabriella Fortuna</x:v>
      </x:c>
      <x:c r="O523" s="14" t="str">
        <x:v>nm12104590</x:v>
      </x:c>
      <x:c r="P523" s="14" t="str">
        <x:v>Jessica Tanbury</x:v>
      </x:c>
      <x:c r="Q523" s="15" t="n">
        <x:v>3</x:v>
      </x:c>
      <x:c r="R523" s="14" t="str">
        <x:v>2025</x:v>
      </x:c>
      <x:c r="S523" s="14" t="n">
        <x:v>2025</x:v>
      </x:c>
      <x:c r="T523" s="14" t="n">
        <x:v>2025</x:v>
      </x:c>
      <x:c r="U523" s="14" t="str">
        <x:v>Explicit source first year retained</x:v>
      </x:c>
      <x:c r="V523" s="14" t="str">
        <x:v>Earliest supplied year is 2025.</x:v>
      </x:c>
      <x:c r="W523" s="14"/>
      <x:c r="X523" s="14" t="str">
        <x:v>Carried forward to 2025</x:v>
      </x:c>
      <x:c r="Y523" s="14"/>
      <x:c r="Z523" s="14" t="str">
        <x:v>Trigger Point.docx</x:v>
      </x:c>
      <x:c r="AA52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ITV / ITVX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HYPERLINK("https://en.wikipedia.org/wiki/Trigger_Point","Open source")</x:f>
        <x:v>HYPERLINK is not implemented. linkLocation=https://en.wikipedia.org/wiki/Trigger_Point, friendlyName=Open source</x:v>
      </x:c>
      <x:c r="AN523" s="14" t="str">
        <x:v>No qualifying BBC relationship</x:v>
      </x:c>
      <x:c r="AO523" s="14" t="str">
        <x:v>No</x:v>
      </x:c>
      <x:c r="AP523" s="14" t="str">
        <x:v>Out of scope</x:v>
      </x:c>
      <x:c r="AQ523" s="14" t="str">
        <x:v>No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24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3</x:v>
      </x:c>
      <x:c r="BS523" s="16" t="n">
        <x:v>0.125</x:v>
      </x:c>
      <x:c r="BT523" s="14" t="str">
        <x:v>Minority of episodes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tt11958610|nm4495529|rich manning</x:v>
      </x:c>
      <x:c r="B524" s="14" t="str">
        <x:v>08</x:v>
      </x:c>
      <x:c r="C524" s="14" t="str">
        <x:v>2022_IMDb_Cast_Lists_Batch_08(1).xlsx</x:v>
      </x:c>
      <x:c r="D524" s="14" t="str">
        <x:v>Trigger Point</x:v>
      </x:c>
      <x:c r="E524" s="14" t="n">
        <x:v>46</x:v>
      </x:c>
      <x:c r="F524" s="14" t="str">
        <x:v>Trigger Point</x:v>
      </x:c>
      <x:c r="G524" s="14" t="str">
        <x:v>tt11958610</x:v>
      </x:c>
      <x:c r="H524" s="14" t="n">
        <x:v>2022</x:v>
      </x:c>
      <x:c r="I524" s="14" t="n">
        <x:v>2023</x:v>
      </x:c>
      <x:c r="J524" s="14" t="str">
        <x:v>Future Carry-Forward Cohort</x:v>
      </x:c>
      <x:c r="K524" s="14" t="n">
        <x:v>2022</x:v>
      </x:c>
      <x:c r="L524" s="14" t="str">
        <x:v>Not inherited</x:v>
      </x:c>
      <x:c r="M524" s="15" t="n">
        <x:v>39</x:v>
      </x:c>
      <x:c r="N524" s="14" t="str">
        <x:v>Mark Rowley</x:v>
      </x:c>
      <x:c r="O524" s="14" t="str">
        <x:v>nm4495529</x:v>
      </x:c>
      <x:c r="P524" s="14" t="str">
        <x:v>Rich Manning</x:v>
      </x:c>
      <x:c r="Q524" s="15" t="n">
        <x:v>3</x:v>
      </x:c>
      <x:c r="R524" s="14" t="str">
        <x:v>2025</x:v>
      </x:c>
      <x:c r="S524" s="14" t="n">
        <x:v>2025</x:v>
      </x:c>
      <x:c r="T524" s="14" t="n">
        <x:v>2025</x:v>
      </x:c>
      <x:c r="U524" s="14" t="str">
        <x:v>Explicit source first year retained</x:v>
      </x:c>
      <x:c r="V524" s="14" t="str">
        <x:v>Earliest supplied year is 2025.</x:v>
      </x:c>
      <x:c r="W524" s="14"/>
      <x:c r="X524" s="14" t="str">
        <x:v>Carried forward to 2025</x:v>
      </x:c>
      <x:c r="Y524" s="14"/>
      <x:c r="Z524" s="14" t="str">
        <x:v>Trigger Point.docx</x:v>
      </x:c>
      <x:c r="AA52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ITV / ITVX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HYPERLINK("https://en.wikipedia.org/wiki/Trigger_Point","Open source")</x:f>
        <x:v>HYPERLINK is not implemented. linkLocation=https://en.wikipedia.org/wiki/Trigger_Point, friendlyName=Open source</x:v>
      </x:c>
      <x:c r="AN524" s="14" t="str">
        <x:v>No qualifying BBC relationship</x:v>
      </x:c>
      <x:c r="AO524" s="14" t="str">
        <x:v>No</x:v>
      </x:c>
      <x:c r="AP524" s="14" t="str">
        <x:v>Out of scope</x:v>
      </x:c>
      <x:c r="AQ524" s="14" t="str">
        <x:v>No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24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3</x:v>
      </x:c>
      <x:c r="BS524" s="16" t="n">
        <x:v>0.125</x:v>
      </x:c>
      <x:c r="BT524" s="14" t="str">
        <x:v>Minority of episodes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tt11958610|nm0475336|ewan knox</x:v>
      </x:c>
      <x:c r="B525" s="14" t="str">
        <x:v>08</x:v>
      </x:c>
      <x:c r="C525" s="14" t="str">
        <x:v>2022_IMDb_Cast_Lists_Batch_08(1).xlsx</x:v>
      </x:c>
      <x:c r="D525" s="14" t="str">
        <x:v>Trigger Point</x:v>
      </x:c>
      <x:c r="E525" s="14" t="n">
        <x:v>47</x:v>
      </x:c>
      <x:c r="F525" s="14" t="str">
        <x:v>Trigger Point</x:v>
      </x:c>
      <x:c r="G525" s="14" t="str">
        <x:v>tt11958610</x:v>
      </x:c>
      <x:c r="H525" s="14" t="n">
        <x:v>2022</x:v>
      </x:c>
      <x:c r="I525" s="14" t="n">
        <x:v>2023</x:v>
      </x:c>
      <x:c r="J525" s="14" t="str">
        <x:v>Future Carry-Forward Cohort</x:v>
      </x:c>
      <x:c r="K525" s="14" t="n">
        <x:v>2022</x:v>
      </x:c>
      <x:c r="L525" s="14" t="str">
        <x:v>Not inherited</x:v>
      </x:c>
      <x:c r="M525" s="15" t="n">
        <x:v>40</x:v>
      </x:c>
      <x:c r="N525" s="14" t="str">
        <x:v>Simon Kunz</x:v>
      </x:c>
      <x:c r="O525" s="14" t="str">
        <x:v>nm0475336</x:v>
      </x:c>
      <x:c r="P525" s="14" t="str">
        <x:v>Ewan Knox</x:v>
      </x:c>
      <x:c r="Q525" s="15" t="n">
        <x:v>3</x:v>
      </x:c>
      <x:c r="R525" s="14" t="str">
        <x:v>2025</x:v>
      </x:c>
      <x:c r="S525" s="14" t="n">
        <x:v>2025</x:v>
      </x:c>
      <x:c r="T525" s="14" t="n">
        <x:v>2025</x:v>
      </x:c>
      <x:c r="U525" s="14" t="str">
        <x:v>Explicit source first year retained</x:v>
      </x:c>
      <x:c r="V525" s="14" t="str">
        <x:v>Earliest supplied year is 2025.</x:v>
      </x:c>
      <x:c r="W525" s="14"/>
      <x:c r="X525" s="14" t="str">
        <x:v>Carried forward to 2025</x:v>
      </x:c>
      <x:c r="Y525" s="14"/>
      <x:c r="Z525" s="14" t="str">
        <x:v>Trigger Point.docx</x:v>
      </x:c>
      <x:c r="AA52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ITV / ITVX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HYPERLINK("https://en.wikipedia.org/wiki/Trigger_Point","Open source")</x:f>
        <x:v>HYPERLINK is not implemented. linkLocation=https://en.wikipedia.org/wiki/Trigger_Point, friendlyName=Open source</x:v>
      </x:c>
      <x:c r="AN525" s="14" t="str">
        <x:v>No qualifying BBC relationship</x:v>
      </x:c>
      <x:c r="AO525" s="14" t="str">
        <x:v>No</x:v>
      </x:c>
      <x:c r="AP525" s="14" t="str">
        <x:v>Out of scope</x:v>
      </x:c>
      <x:c r="AQ525" s="14" t="str">
        <x:v>No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24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3</x:v>
      </x:c>
      <x:c r="BS525" s="16" t="n">
        <x:v>0.125</x:v>
      </x:c>
      <x:c r="BT525" s="14" t="str">
        <x:v>Minority of episodes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tt11958610|nm7920959|elena calero</x:v>
      </x:c>
      <x:c r="B526" s="14" t="str">
        <x:v>08</x:v>
      </x:c>
      <x:c r="C526" s="14" t="str">
        <x:v>2022_IMDb_Cast_Lists_Batch_08(1).xlsx</x:v>
      </x:c>
      <x:c r="D526" s="14" t="str">
        <x:v>Trigger Point</x:v>
      </x:c>
      <x:c r="E526" s="14" t="n">
        <x:v>48</x:v>
      </x:c>
      <x:c r="F526" s="14" t="str">
        <x:v>Trigger Point</x:v>
      </x:c>
      <x:c r="G526" s="14" t="str">
        <x:v>tt11958610</x:v>
      </x:c>
      <x:c r="H526" s="14" t="n">
        <x:v>2022</x:v>
      </x:c>
      <x:c r="I526" s="14" t="n">
        <x:v>2023</x:v>
      </x:c>
      <x:c r="J526" s="14" t="str">
        <x:v>Future Carry-Forward Cohort</x:v>
      </x:c>
      <x:c r="K526" s="14" t="n">
        <x:v>2022</x:v>
      </x:c>
      <x:c r="L526" s="14" t="str">
        <x:v>Not inherited</x:v>
      </x:c>
      <x:c r="M526" s="15" t="n">
        <x:v>41</x:v>
      </x:c>
      <x:c r="N526" s="14" t="str">
        <x:v>Adela Leiro</x:v>
      </x:c>
      <x:c r="O526" s="14" t="str">
        <x:v>nm7920959</x:v>
      </x:c>
      <x:c r="P526" s="14" t="str">
        <x:v>Elena Calero</x:v>
      </x:c>
      <x:c r="Q526" s="15" t="n">
        <x:v>3</x:v>
      </x:c>
      <x:c r="R526" s="14" t="str">
        <x:v>2025</x:v>
      </x:c>
      <x:c r="S526" s="14" t="n">
        <x:v>2025</x:v>
      </x:c>
      <x:c r="T526" s="14" t="n">
        <x:v>2025</x:v>
      </x:c>
      <x:c r="U526" s="14" t="str">
        <x:v>Explicit source first year retained</x:v>
      </x:c>
      <x:c r="V526" s="14" t="str">
        <x:v>Earliest supplied year is 2025.</x:v>
      </x:c>
      <x:c r="W526" s="14"/>
      <x:c r="X526" s="14" t="str">
        <x:v>Carried forward to 2025</x:v>
      </x:c>
      <x:c r="Y526" s="14"/>
      <x:c r="Z526" s="14" t="str">
        <x:v>Trigger Point.docx</x:v>
      </x:c>
      <x:c r="AA52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ITV / ITVX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HYPERLINK("https://en.wikipedia.org/wiki/Trigger_Point","Open source")</x:f>
        <x:v>HYPERLINK is not implemented. linkLocation=https://en.wikipedia.org/wiki/Trigger_Point, friendlyName=Open source</x:v>
      </x:c>
      <x:c r="AN526" s="14" t="str">
        <x:v>No qualifying BBC relationship</x:v>
      </x:c>
      <x:c r="AO526" s="14" t="str">
        <x:v>No</x:v>
      </x:c>
      <x:c r="AP526" s="14" t="str">
        <x:v>Out of scope</x:v>
      </x:c>
      <x:c r="AQ526" s="14" t="str">
        <x:v>No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24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3</x:v>
      </x:c>
      <x:c r="BS526" s="16" t="n">
        <x:v>0.125</x:v>
      </x:c>
      <x:c r="BT526" s="14" t="str">
        <x:v>Minority of episodes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tt11958610|nm0025099|anya wyles</x:v>
      </x:c>
      <x:c r="B527" s="14" t="str">
        <x:v>08</x:v>
      </x:c>
      <x:c r="C527" s="14" t="str">
        <x:v>2022_IMDb_Cast_Lists_Batch_08(1).xlsx</x:v>
      </x:c>
      <x:c r="D527" s="14" t="str">
        <x:v>Trigger Point</x:v>
      </x:c>
      <x:c r="E527" s="14" t="n">
        <x:v>51</x:v>
      </x:c>
      <x:c r="F527" s="14" t="str">
        <x:v>Trigger Point</x:v>
      </x:c>
      <x:c r="G527" s="14" t="str">
        <x:v>tt11958610</x:v>
      </x:c>
      <x:c r="H527" s="14" t="n">
        <x:v>2022</x:v>
      </x:c>
      <x:c r="I527" s="14" t="n">
        <x:v>2023</x:v>
      </x:c>
      <x:c r="J527" s="14" t="str">
        <x:v>Future Carry-Forward Cohort</x:v>
      </x:c>
      <x:c r="K527" s="14" t="n">
        <x:v>2022</x:v>
      </x:c>
      <x:c r="L527" s="14" t="str">
        <x:v>Not inherited</x:v>
      </x:c>
      <x:c r="M527" s="15" t="n">
        <x:v>44</x:v>
      </x:c>
      <x:c r="N527" s="14" t="str">
        <x:v>Emma Amos</x:v>
      </x:c>
      <x:c r="O527" s="14" t="str">
        <x:v>nm0025099</x:v>
      </x:c>
      <x:c r="P527" s="14" t="str">
        <x:v>Anya Wyles</x:v>
      </x:c>
      <x:c r="Q527" s="15" t="n">
        <x:v>2</x:v>
      </x:c>
      <x:c r="R527" s="14" t="str">
        <x:v>2025</x:v>
      </x:c>
      <x:c r="S527" s="14" t="n">
        <x:v>2025</x:v>
      </x:c>
      <x:c r="T527" s="14" t="n">
        <x:v>2025</x:v>
      </x:c>
      <x:c r="U527" s="14" t="str">
        <x:v>Explicit source first year retained</x:v>
      </x:c>
      <x:c r="V527" s="14" t="str">
        <x:v>Earliest supplied year is 2025.</x:v>
      </x:c>
      <x:c r="W527" s="14"/>
      <x:c r="X527" s="14" t="str">
        <x:v>Carried forward to 2025</x:v>
      </x:c>
      <x:c r="Y527" s="14"/>
      <x:c r="Z527" s="14" t="str">
        <x:v>Trigger Point.docx</x:v>
      </x:c>
      <x:c r="AA52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ITV / ITVX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HYPERLINK("https://en.wikipedia.org/wiki/Trigger_Point","Open source")</x:f>
        <x:v>HYPERLINK is not implemented. linkLocation=https://en.wikipedia.org/wiki/Trigger_Point, friendlyName=Open source</x:v>
      </x:c>
      <x:c r="AN527" s="14" t="str">
        <x:v>No qualifying BBC relationship</x:v>
      </x:c>
      <x:c r="AO527" s="14" t="str">
        <x:v>No</x:v>
      </x:c>
      <x:c r="AP527" s="14" t="str">
        <x:v>Out of scope</x:v>
      </x:c>
      <x:c r="AQ527" s="14" t="str">
        <x:v>No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24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2</x:v>
      </x:c>
      <x:c r="BS527" s="16" t="n">
        <x:v>0.08333333333333333</x:v>
      </x:c>
      <x:c r="BT527" s="14" t="str">
        <x:v>Minority of episodes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tt11958610|nm0186424|anders larsson</x:v>
      </x:c>
      <x:c r="B528" s="14" t="str">
        <x:v>08</x:v>
      </x:c>
      <x:c r="C528" s="14" t="str">
        <x:v>2022_IMDb_Cast_Lists_Batch_08(1).xlsx</x:v>
      </x:c>
      <x:c r="D528" s="14" t="str">
        <x:v>Trigger Point</x:v>
      </x:c>
      <x:c r="E528" s="14" t="n">
        <x:v>54</x:v>
      </x:c>
      <x:c r="F528" s="14" t="str">
        <x:v>Trigger Point</x:v>
      </x:c>
      <x:c r="G528" s="14" t="str">
        <x:v>tt11958610</x:v>
      </x:c>
      <x:c r="H528" s="14" t="n">
        <x:v>2022</x:v>
      </x:c>
      <x:c r="I528" s="14" t="n">
        <x:v>2023</x:v>
      </x:c>
      <x:c r="J528" s="14" t="str">
        <x:v>Future Carry-Forward Cohort</x:v>
      </x:c>
      <x:c r="K528" s="14" t="n">
        <x:v>2022</x:v>
      </x:c>
      <x:c r="L528" s="14" t="str">
        <x:v>Not inherited</x:v>
      </x:c>
      <x:c r="M528" s="15" t="n">
        <x:v>47</x:v>
      </x:c>
      <x:c r="N528" s="14" t="str">
        <x:v>Sam Crane</x:v>
      </x:c>
      <x:c r="O528" s="14" t="str">
        <x:v>nm0186424</x:v>
      </x:c>
      <x:c r="P528" s="14" t="str">
        <x:v>Anders Larsson</x:v>
      </x:c>
      <x:c r="Q528" s="15" t="n">
        <x:v>2</x:v>
      </x:c>
      <x:c r="R528" s="14" t="str">
        <x:v>2025</x:v>
      </x:c>
      <x:c r="S528" s="14" t="n">
        <x:v>2025</x:v>
      </x:c>
      <x:c r="T528" s="14" t="n">
        <x:v>2025</x:v>
      </x:c>
      <x:c r="U528" s="14" t="str">
        <x:v>Explicit source first year retained</x:v>
      </x:c>
      <x:c r="V528" s="14" t="str">
        <x:v>Earliest supplied year is 2025.</x:v>
      </x:c>
      <x:c r="W528" s="14"/>
      <x:c r="X528" s="14" t="str">
        <x:v>Carried forward to 2025</x:v>
      </x:c>
      <x:c r="Y528" s="14"/>
      <x:c r="Z528" s="14" t="str">
        <x:v>Trigger Point.docx</x:v>
      </x:c>
      <x:c r="AA52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ITV / ITVX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HYPERLINK("https://en.wikipedia.org/wiki/Trigger_Point","Open source")</x:f>
        <x:v>HYPERLINK is not implemented. linkLocation=https://en.wikipedia.org/wiki/Trigger_Point, friendlyName=Open source</x:v>
      </x:c>
      <x:c r="AN528" s="14" t="str">
        <x:v>No qualifying BBC relationship</x:v>
      </x:c>
      <x:c r="AO528" s="14" t="str">
        <x:v>No</x:v>
      </x:c>
      <x:c r="AP528" s="14" t="str">
        <x:v>Out of scope</x:v>
      </x:c>
      <x:c r="AQ528" s="14" t="str">
        <x:v>No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24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2</x:v>
      </x:c>
      <x:c r="BS528" s="16" t="n">
        <x:v>0.08333333333333333</x:v>
      </x:c>
      <x:c r="BT528" s="14" t="str">
        <x:v>Minority of episodes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tt11958610|nm0332449|ned cole</x:v>
      </x:c>
      <x:c r="B529" s="14" t="str">
        <x:v>08</x:v>
      </x:c>
      <x:c r="C529" s="14" t="str">
        <x:v>2022_IMDb_Cast_Lists_Batch_08(1).xlsx</x:v>
      </x:c>
      <x:c r="D529" s="14" t="str">
        <x:v>Trigger Point</x:v>
      </x:c>
      <x:c r="E529" s="14" t="n">
        <x:v>55</x:v>
      </x:c>
      <x:c r="F529" s="14" t="str">
        <x:v>Trigger Point</x:v>
      </x:c>
      <x:c r="G529" s="14" t="str">
        <x:v>tt11958610</x:v>
      </x:c>
      <x:c r="H529" s="14" t="n">
        <x:v>2022</x:v>
      </x:c>
      <x:c r="I529" s="14" t="n">
        <x:v>2023</x:v>
      </x:c>
      <x:c r="J529" s="14" t="str">
        <x:v>Future Carry-Forward Cohort</x:v>
      </x:c>
      <x:c r="K529" s="14" t="n">
        <x:v>2022</x:v>
      </x:c>
      <x:c r="L529" s="14" t="str">
        <x:v>Not inherited</x:v>
      </x:c>
      <x:c r="M529" s="15" t="n">
        <x:v>48</x:v>
      </x:c>
      <x:c r="N529" s="14" t="str">
        <x:v>Michael Gould</x:v>
      </x:c>
      <x:c r="O529" s="14" t="str">
        <x:v>nm0332449</x:v>
      </x:c>
      <x:c r="P529" s="14" t="str">
        <x:v>Ned Cole</x:v>
      </x:c>
      <x:c r="Q529" s="15" t="n">
        <x:v>2</x:v>
      </x:c>
      <x:c r="R529" s="14" t="str">
        <x:v>2025</x:v>
      </x:c>
      <x:c r="S529" s="14" t="n">
        <x:v>2025</x:v>
      </x:c>
      <x:c r="T529" s="14" t="n">
        <x:v>2025</x:v>
      </x:c>
      <x:c r="U529" s="14" t="str">
        <x:v>Explicit source first year retained</x:v>
      </x:c>
      <x:c r="V529" s="14" t="str">
        <x:v>Earliest supplied year is 2025.</x:v>
      </x:c>
      <x:c r="W529" s="14"/>
      <x:c r="X529" s="14" t="str">
        <x:v>Carried forward to 2025</x:v>
      </x:c>
      <x:c r="Y529" s="14"/>
      <x:c r="Z529" s="14" t="str">
        <x:v>Trigger Point.docx</x:v>
      </x:c>
      <x:c r="AA52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ITV / ITVX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HYPERLINK("https://en.wikipedia.org/wiki/Trigger_Point","Open source")</x:f>
        <x:v>HYPERLINK is not implemented. linkLocation=https://en.wikipedia.org/wiki/Trigger_Point, friendlyName=Open source</x:v>
      </x:c>
      <x:c r="AN529" s="14" t="str">
        <x:v>No qualifying BBC relationship</x:v>
      </x:c>
      <x:c r="AO529" s="14" t="str">
        <x:v>No</x:v>
      </x:c>
      <x:c r="AP529" s="14" t="str">
        <x:v>Out of scope</x:v>
      </x:c>
      <x:c r="AQ529" s="14" t="str">
        <x:v>No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24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2</x:v>
      </x:c>
      <x:c r="BS529" s="16" t="n">
        <x:v>0.08333333333333333</x:v>
      </x:c>
      <x:c r="BT529" s="14" t="str">
        <x:v>Minority of episodes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tt11958610|nm12469092|michael adeyemi</x:v>
      </x:c>
      <x:c r="B530" s="14" t="str">
        <x:v>08</x:v>
      </x:c>
      <x:c r="C530" s="14" t="str">
        <x:v>2022_IMDb_Cast_Lists_Batch_08(1).xlsx</x:v>
      </x:c>
      <x:c r="D530" s="14" t="str">
        <x:v>Trigger Point</x:v>
      </x:c>
      <x:c r="E530" s="14" t="n">
        <x:v>61</x:v>
      </x:c>
      <x:c r="F530" s="14" t="str">
        <x:v>Trigger Point</x:v>
      </x:c>
      <x:c r="G530" s="14" t="str">
        <x:v>tt11958610</x:v>
      </x:c>
      <x:c r="H530" s="14" t="n">
        <x:v>2022</x:v>
      </x:c>
      <x:c r="I530" s="14" t="n">
        <x:v>2023</x:v>
      </x:c>
      <x:c r="J530" s="14" t="str">
        <x:v>Future Carry-Forward Cohort</x:v>
      </x:c>
      <x:c r="K530" s="14" t="n">
        <x:v>2022</x:v>
      </x:c>
      <x:c r="L530" s="14" t="str">
        <x:v>Not inherited</x:v>
      </x:c>
      <x:c r="M530" s="15" t="n">
        <x:v>54</x:v>
      </x:c>
      <x:c r="N530" s="14" t="str">
        <x:v>Kofi Sampaney</x:v>
      </x:c>
      <x:c r="O530" s="14" t="str">
        <x:v>nm12469092</x:v>
      </x:c>
      <x:c r="P530" s="14" t="str">
        <x:v>Michael Adeyemi</x:v>
      </x:c>
      <x:c r="Q530" s="15" t="n">
        <x:v>2</x:v>
      </x:c>
      <x:c r="R530" s="14" t="str">
        <x:v>2025</x:v>
      </x:c>
      <x:c r="S530" s="14" t="n">
        <x:v>2025</x:v>
      </x:c>
      <x:c r="T530" s="14" t="n">
        <x:v>2025</x:v>
      </x:c>
      <x:c r="U530" s="14" t="str">
        <x:v>Explicit source first year retained</x:v>
      </x:c>
      <x:c r="V530" s="14" t="str">
        <x:v>Earliest supplied year is 2025.</x:v>
      </x:c>
      <x:c r="W530" s="14"/>
      <x:c r="X530" s="14" t="str">
        <x:v>Carried forward to 2025</x:v>
      </x:c>
      <x:c r="Y530" s="14"/>
      <x:c r="Z530" s="14" t="str">
        <x:v>Trigger Point.docx</x:v>
      </x:c>
      <x:c r="AA53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ITV / ITVX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HYPERLINK("https://en.wikipedia.org/wiki/Trigger_Point","Open source")</x:f>
        <x:v>HYPERLINK is not implemented. linkLocation=https://en.wikipedia.org/wiki/Trigger_Point, friendlyName=Open source</x:v>
      </x:c>
      <x:c r="AN530" s="14" t="str">
        <x:v>No qualifying BBC relationship</x:v>
      </x:c>
      <x:c r="AO530" s="14" t="str">
        <x:v>No</x:v>
      </x:c>
      <x:c r="AP530" s="14" t="str">
        <x:v>Out of scope</x:v>
      </x:c>
      <x:c r="AQ530" s="14" t="str">
        <x:v>No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24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2</x:v>
      </x:c>
      <x:c r="BS530" s="16" t="n">
        <x:v>0.08333333333333333</x:v>
      </x:c>
      <x:c r="BT530" s="14" t="str">
        <x:v>Minority of episodes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tt11958610|nm0020788|agnes raffner</x:v>
      </x:c>
      <x:c r="B531" s="14" t="str">
        <x:v>08</x:v>
      </x:c>
      <x:c r="C531" s="14" t="str">
        <x:v>2022_IMDb_Cast_Lists_Batch_08(1).xlsx</x:v>
      </x:c>
      <x:c r="D531" s="14" t="str">
        <x:v>Trigger Point</x:v>
      </x:c>
      <x:c r="E531" s="14" t="n">
        <x:v>72</x:v>
      </x:c>
      <x:c r="F531" s="14" t="str">
        <x:v>Trigger Point</x:v>
      </x:c>
      <x:c r="G531" s="14" t="str">
        <x:v>tt11958610</x:v>
      </x:c>
      <x:c r="H531" s="14" t="n">
        <x:v>2022</x:v>
      </x:c>
      <x:c r="I531" s="14" t="n">
        <x:v>2023</x:v>
      </x:c>
      <x:c r="J531" s="14" t="str">
        <x:v>Future Carry-Forward Cohort</x:v>
      </x:c>
      <x:c r="K531" s="14" t="n">
        <x:v>2022</x:v>
      </x:c>
      <x:c r="L531" s="14" t="str">
        <x:v>Not inherited</x:v>
      </x:c>
      <x:c r="M531" s="15" t="n">
        <x:v>65</x:v>
      </x:c>
      <x:c r="N531" s="14" t="str">
        <x:v>Lucy Allen</x:v>
      </x:c>
      <x:c r="O531" s="14" t="str">
        <x:v>nm0020788</x:v>
      </x:c>
      <x:c r="P531" s="14" t="str">
        <x:v>Agnes Raffner</x:v>
      </x:c>
      <x:c r="Q531" s="15" t="n">
        <x:v>1</x:v>
      </x:c>
      <x:c r="R531" s="14" t="str">
        <x:v>2025</x:v>
      </x:c>
      <x:c r="S531" s="14" t="n">
        <x:v>2025</x:v>
      </x:c>
      <x:c r="T531" s="14" t="n">
        <x:v>2025</x:v>
      </x:c>
      <x:c r="U531" s="14" t="str">
        <x:v>Explicit source first year retained</x:v>
      </x:c>
      <x:c r="V531" s="14" t="str">
        <x:v>Earliest supplied year is 2025.</x:v>
      </x:c>
      <x:c r="W531" s="14"/>
      <x:c r="X531" s="14" t="str">
        <x:v>Carried forward to 2025</x:v>
      </x:c>
      <x:c r="Y531" s="14" t="str">
        <x:v>(as Lucy Elizabeth Allen)</x:v>
      </x:c>
      <x:c r="Z531" s="14" t="str">
        <x:v>Trigger Point.docx</x:v>
      </x:c>
      <x:c r="AA53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ITV / ITVX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HYPERLINK("https://en.wikipedia.org/wiki/Trigger_Point","Open source")</x:f>
        <x:v>HYPERLINK is not implemented. linkLocation=https://en.wikipedia.org/wiki/Trigger_Point, friendlyName=Open source</x:v>
      </x:c>
      <x:c r="AN531" s="14" t="str">
        <x:v>No qualifying BBC relationship</x:v>
      </x:c>
      <x:c r="AO531" s="14" t="str">
        <x:v>No</x:v>
      </x:c>
      <x:c r="AP531" s="14" t="str">
        <x:v>Out of scope</x:v>
      </x:c>
      <x:c r="AQ531" s="14" t="str">
        <x:v>No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24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1</x:v>
      </x:c>
      <x:c r="BS531" s="16" t="n">
        <x:v>0.041666666666666664</x:v>
      </x:c>
      <x:c r="BT531" s="14" t="str">
        <x:v>One episode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tt11958610|nm6602684|site manager</x:v>
      </x:c>
      <x:c r="B532" s="14" t="str">
        <x:v>08</x:v>
      </x:c>
      <x:c r="C532" s="14" t="str">
        <x:v>2022_IMDb_Cast_Lists_Batch_08(1).xlsx</x:v>
      </x:c>
      <x:c r="D532" s="14" t="str">
        <x:v>Trigger Point</x:v>
      </x:c>
      <x:c r="E532" s="14" t="n">
        <x:v>79</x:v>
      </x:c>
      <x:c r="F532" s="14" t="str">
        <x:v>Trigger Point</x:v>
      </x:c>
      <x:c r="G532" s="14" t="str">
        <x:v>tt11958610</x:v>
      </x:c>
      <x:c r="H532" s="14" t="n">
        <x:v>2022</x:v>
      </x:c>
      <x:c r="I532" s="14" t="n">
        <x:v>2023</x:v>
      </x:c>
      <x:c r="J532" s="14" t="str">
        <x:v>Future Carry-Forward Cohort</x:v>
      </x:c>
      <x:c r="K532" s="14" t="n">
        <x:v>2022</x:v>
      </x:c>
      <x:c r="L532" s="14" t="str">
        <x:v>Not inherited</x:v>
      </x:c>
      <x:c r="M532" s="15" t="n">
        <x:v>72</x:v>
      </x:c>
      <x:c r="N532" s="14" t="str">
        <x:v>Jermaine Dominique</x:v>
      </x:c>
      <x:c r="O532" s="14" t="str">
        <x:v>nm6602684</x:v>
      </x:c>
      <x:c r="P532" s="14" t="str">
        <x:v>Site Manager</x:v>
      </x:c>
      <x:c r="Q532" s="15" t="n">
        <x:v>1</x:v>
      </x:c>
      <x:c r="R532" s="14" t="str">
        <x:v>2025</x:v>
      </x:c>
      <x:c r="S532" s="14" t="n">
        <x:v>2025</x:v>
      </x:c>
      <x:c r="T532" s="14" t="n">
        <x:v>2025</x:v>
      </x:c>
      <x:c r="U532" s="14" t="str">
        <x:v>Explicit source first year retained</x:v>
      </x:c>
      <x:c r="V532" s="14" t="str">
        <x:v>Earliest supplied year is 2025.</x:v>
      </x:c>
      <x:c r="W532" s="14"/>
      <x:c r="X532" s="14" t="str">
        <x:v>Carried forward to 2025</x:v>
      </x:c>
      <x:c r="Y532" s="14"/>
      <x:c r="Z532" s="14" t="str">
        <x:v>Trigger Point.docx</x:v>
      </x:c>
      <x:c r="AA53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ITV / ITVX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HYPERLINK("https://en.wikipedia.org/wiki/Trigger_Point","Open source")</x:f>
        <x:v>HYPERLINK is not implemented. linkLocation=https://en.wikipedia.org/wiki/Trigger_Point, friendlyName=Open source</x:v>
      </x:c>
      <x:c r="AN532" s="14" t="str">
        <x:v>No qualifying BBC relationship</x:v>
      </x:c>
      <x:c r="AO532" s="14" t="str">
        <x:v>No</x:v>
      </x:c>
      <x:c r="AP532" s="14" t="str">
        <x:v>Out of scope</x:v>
      </x:c>
      <x:c r="AQ532" s="14" t="str">
        <x:v>No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24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0.041666666666666664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tt11958610|nm12373136|peter howard</x:v>
      </x:c>
      <x:c r="B533" s="14" t="str">
        <x:v>08</x:v>
      </x:c>
      <x:c r="C533" s="14" t="str">
        <x:v>2022_IMDb_Cast_Lists_Batch_08(1).xlsx</x:v>
      </x:c>
      <x:c r="D533" s="14" t="str">
        <x:v>Trigger Point</x:v>
      </x:c>
      <x:c r="E533" s="14" t="n">
        <x:v>91</x:v>
      </x:c>
      <x:c r="F533" s="14" t="str">
        <x:v>Trigger Point</x:v>
      </x:c>
      <x:c r="G533" s="14" t="str">
        <x:v>tt11958610</x:v>
      </x:c>
      <x:c r="H533" s="14" t="n">
        <x:v>2022</x:v>
      </x:c>
      <x:c r="I533" s="14" t="n">
        <x:v>2023</x:v>
      </x:c>
      <x:c r="J533" s="14" t="str">
        <x:v>Future Carry-Forward Cohort</x:v>
      </x:c>
      <x:c r="K533" s="14" t="n">
        <x:v>2022</x:v>
      </x:c>
      <x:c r="L533" s="14" t="str">
        <x:v>Not inherited</x:v>
      </x:c>
      <x:c r="M533" s="15" t="n">
        <x:v>84</x:v>
      </x:c>
      <x:c r="N533" s="14" t="str">
        <x:v>John Joyce-O'Keeffe</x:v>
      </x:c>
      <x:c r="O533" s="14" t="str">
        <x:v>nm12373136</x:v>
      </x:c>
      <x:c r="P533" s="14" t="str">
        <x:v>Peter Howard</x:v>
      </x:c>
      <x:c r="Q533" s="15" t="n">
        <x:v>1</x:v>
      </x:c>
      <x:c r="R533" s="14" t="str">
        <x:v>2025</x:v>
      </x:c>
      <x:c r="S533" s="14" t="n">
        <x:v>2025</x:v>
      </x:c>
      <x:c r="T533" s="14" t="n">
        <x:v>2025</x:v>
      </x:c>
      <x:c r="U533" s="14" t="str">
        <x:v>Explicit source first year retained</x:v>
      </x:c>
      <x:c r="V533" s="14" t="str">
        <x:v>Earliest supplied year is 2025.</x:v>
      </x:c>
      <x:c r="W533" s="14"/>
      <x:c r="X533" s="14" t="str">
        <x:v>Carried forward to 2025</x:v>
      </x:c>
      <x:c r="Y533" s="14"/>
      <x:c r="Z533" s="14" t="str">
        <x:v>Trigger Point.docx</x:v>
      </x:c>
      <x:c r="AA53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ITV / ITVX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HYPERLINK("https://en.wikipedia.org/wiki/Trigger_Point","Open source")</x:f>
        <x:v>HYPERLINK is not implemented. linkLocation=https://en.wikipedia.org/wiki/Trigger_Point, friendlyName=Open source</x:v>
      </x:c>
      <x:c r="AN533" s="14" t="str">
        <x:v>No qualifying BBC relationship</x:v>
      </x:c>
      <x:c r="AO533" s="14" t="str">
        <x:v>No</x:v>
      </x:c>
      <x:c r="AP533" s="14" t="str">
        <x:v>Out of scope</x:v>
      </x:c>
      <x:c r="AQ533" s="14" t="str">
        <x:v>No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24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0.041666666666666664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tt11958610|nm1218766|dean west</x:v>
      </x:c>
      <x:c r="B534" s="14" t="str">
        <x:v>08</x:v>
      </x:c>
      <x:c r="C534" s="14" t="str">
        <x:v>2022_IMDb_Cast_Lists_Batch_08(1).xlsx</x:v>
      </x:c>
      <x:c r="D534" s="14" t="str">
        <x:v>Trigger Point</x:v>
      </x:c>
      <x:c r="E534" s="14" t="n">
        <x:v>97</x:v>
      </x:c>
      <x:c r="F534" s="14" t="str">
        <x:v>Trigger Point</x:v>
      </x:c>
      <x:c r="G534" s="14" t="str">
        <x:v>tt11958610</x:v>
      </x:c>
      <x:c r="H534" s="14" t="n">
        <x:v>2022</x:v>
      </x:c>
      <x:c r="I534" s="14" t="n">
        <x:v>2023</x:v>
      </x:c>
      <x:c r="J534" s="14" t="str">
        <x:v>Future Carry-Forward Cohort</x:v>
      </x:c>
      <x:c r="K534" s="14" t="n">
        <x:v>2022</x:v>
      </x:c>
      <x:c r="L534" s="14" t="str">
        <x:v>Not inherited</x:v>
      </x:c>
      <x:c r="M534" s="15" t="n">
        <x:v>90</x:v>
      </x:c>
      <x:c r="N534" s="14" t="str">
        <x:v>Stuart Packer</x:v>
      </x:c>
      <x:c r="O534" s="14" t="str">
        <x:v>nm1218766</x:v>
      </x:c>
      <x:c r="P534" s="14" t="str">
        <x:v>Dean West</x:v>
      </x:c>
      <x:c r="Q534" s="15" t="n">
        <x:v>1</x:v>
      </x:c>
      <x:c r="R534" s="14" t="str">
        <x:v>2025</x:v>
      </x:c>
      <x:c r="S534" s="14" t="n">
        <x:v>2025</x:v>
      </x:c>
      <x:c r="T534" s="14" t="n">
        <x:v>2025</x:v>
      </x:c>
      <x:c r="U534" s="14" t="str">
        <x:v>Explicit source first year retained</x:v>
      </x:c>
      <x:c r="V534" s="14" t="str">
        <x:v>Earliest supplied year is 2025.</x:v>
      </x:c>
      <x:c r="W534" s="14"/>
      <x:c r="X534" s="14" t="str">
        <x:v>Carried forward to 2025</x:v>
      </x:c>
      <x:c r="Y534" s="14"/>
      <x:c r="Z534" s="14" t="str">
        <x:v>Trigger Point.docx</x:v>
      </x:c>
      <x:c r="AA53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ITV / ITVX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HYPERLINK("https://en.wikipedia.org/wiki/Trigger_Point","Open source")</x:f>
        <x:v>HYPERLINK is not implemented. linkLocation=https://en.wikipedia.org/wiki/Trigger_Point, friendlyName=Open source</x:v>
      </x:c>
      <x:c r="AN534" s="14" t="str">
        <x:v>No qualifying BBC relationship</x:v>
      </x:c>
      <x:c r="AO534" s="14" t="str">
        <x:v>No</x:v>
      </x:c>
      <x:c r="AP534" s="14" t="str">
        <x:v>Out of scope</x:v>
      </x:c>
      <x:c r="AQ534" s="14" t="str">
        <x:v>No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24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0.041666666666666664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tt11958610|nm14118009|ctsfo 1</x:v>
      </x:c>
      <x:c r="B535" s="14" t="str">
        <x:v>08</x:v>
      </x:c>
      <x:c r="C535" s="14" t="str">
        <x:v>2022_IMDb_Cast_Lists_Batch_08(1).xlsx</x:v>
      </x:c>
      <x:c r="D535" s="14" t="str">
        <x:v>Trigger Point</x:v>
      </x:c>
      <x:c r="E535" s="14" t="n">
        <x:v>101</x:v>
      </x:c>
      <x:c r="F535" s="14" t="str">
        <x:v>Trigger Point</x:v>
      </x:c>
      <x:c r="G535" s="14" t="str">
        <x:v>tt11958610</x:v>
      </x:c>
      <x:c r="H535" s="14" t="n">
        <x:v>2022</x:v>
      </x:c>
      <x:c r="I535" s="14" t="n">
        <x:v>2023</x:v>
      </x:c>
      <x:c r="J535" s="14" t="str">
        <x:v>Future Carry-Forward Cohort</x:v>
      </x:c>
      <x:c r="K535" s="14" t="n">
        <x:v>2022</x:v>
      </x:c>
      <x:c r="L535" s="14" t="str">
        <x:v>Not inherited</x:v>
      </x:c>
      <x:c r="M535" s="15" t="n">
        <x:v>94</x:v>
      </x:c>
      <x:c r="N535" s="14" t="str">
        <x:v>Stanley Kayley</x:v>
      </x:c>
      <x:c r="O535" s="14" t="str">
        <x:v>nm14118009</x:v>
      </x:c>
      <x:c r="P535" s="14" t="str">
        <x:v>CTSFO 1</x:v>
      </x:c>
      <x:c r="Q535" s="15" t="n">
        <x:v>1</x:v>
      </x:c>
      <x:c r="R535" s="14" t="str">
        <x:v>2025</x:v>
      </x:c>
      <x:c r="S535" s="14" t="n">
        <x:v>2025</x:v>
      </x:c>
      <x:c r="T535" s="14" t="n">
        <x:v>2025</x:v>
      </x:c>
      <x:c r="U535" s="14" t="str">
        <x:v>Explicit source first year retained</x:v>
      </x:c>
      <x:c r="V535" s="14" t="str">
        <x:v>Earliest supplied year is 2025.</x:v>
      </x:c>
      <x:c r="W535" s="14"/>
      <x:c r="X535" s="14" t="str">
        <x:v>Carried forward to 2025</x:v>
      </x:c>
      <x:c r="Y535" s="14"/>
      <x:c r="Z535" s="14" t="str">
        <x:v>Trigger Point.docx</x:v>
      </x:c>
      <x:c r="AA53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ITV / ITVX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HYPERLINK("https://en.wikipedia.org/wiki/Trigger_Point","Open source")</x:f>
        <x:v>HYPERLINK is not implemented. linkLocation=https://en.wikipedia.org/wiki/Trigger_Point, friendlyName=Open source</x:v>
      </x:c>
      <x:c r="AN535" s="14" t="str">
        <x:v>No qualifying BBC relationship</x:v>
      </x:c>
      <x:c r="AO535" s="14" t="str">
        <x:v>No</x:v>
      </x:c>
      <x:c r="AP535" s="14" t="str">
        <x:v>Out of scope</x:v>
      </x:c>
      <x:c r="AQ535" s="14" t="str">
        <x:v>No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24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0.041666666666666664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tt11958610|nm0924144|maggie kelsey</x:v>
      </x:c>
      <x:c r="B536" s="14" t="str">
        <x:v>08</x:v>
      </x:c>
      <x:c r="C536" s="14" t="str">
        <x:v>2022_IMDb_Cast_Lists_Batch_08(1).xlsx</x:v>
      </x:c>
      <x:c r="D536" s="14" t="str">
        <x:v>Trigger Point</x:v>
      </x:c>
      <x:c r="E536" s="14" t="n">
        <x:v>112</x:v>
      </x:c>
      <x:c r="F536" s="14" t="str">
        <x:v>Trigger Point</x:v>
      </x:c>
      <x:c r="G536" s="14" t="str">
        <x:v>tt11958610</x:v>
      </x:c>
      <x:c r="H536" s="14" t="n">
        <x:v>2022</x:v>
      </x:c>
      <x:c r="I536" s="14" t="n">
        <x:v>2023</x:v>
      </x:c>
      <x:c r="J536" s="14" t="str">
        <x:v>Future Carry-Forward Cohort</x:v>
      </x:c>
      <x:c r="K536" s="14" t="n">
        <x:v>2022</x:v>
      </x:c>
      <x:c r="L536" s="14" t="str">
        <x:v>Not inherited</x:v>
      </x:c>
      <x:c r="M536" s="15" t="n">
        <x:v>105</x:v>
      </x:c>
      <x:c r="N536" s="14" t="str">
        <x:v>Jenny Whiffen</x:v>
      </x:c>
      <x:c r="O536" s="14" t="str">
        <x:v>nm0924144</x:v>
      </x:c>
      <x:c r="P536" s="14" t="str">
        <x:v>Maggie Kelsey</x:v>
      </x:c>
      <x:c r="Q536" s="15" t="n">
        <x:v>1</x:v>
      </x:c>
      <x:c r="R536" s="14" t="str">
        <x:v>2025</x:v>
      </x:c>
      <x:c r="S536" s="14" t="n">
        <x:v>2025</x:v>
      </x:c>
      <x:c r="T536" s="14" t="n">
        <x:v>2025</x:v>
      </x:c>
      <x:c r="U536" s="14" t="str">
        <x:v>Explicit source first year retained</x:v>
      </x:c>
      <x:c r="V536" s="14" t="str">
        <x:v>Earliest supplied year is 2025.</x:v>
      </x:c>
      <x:c r="W536" s="14"/>
      <x:c r="X536" s="14" t="str">
        <x:v>Carried forward to 2025</x:v>
      </x:c>
      <x:c r="Y536" s="14"/>
      <x:c r="Z536" s="14" t="str">
        <x:v>Trigger Point.docx</x:v>
      </x:c>
      <x:c r="AA53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ITV / ITVX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HYPERLINK("https://en.wikipedia.org/wiki/Trigger_Point","Open source")</x:f>
        <x:v>HYPERLINK is not implemented. linkLocation=https://en.wikipedia.org/wiki/Trigger_Point, friendlyName=Open source</x:v>
      </x:c>
      <x:c r="AN536" s="14" t="str">
        <x:v>No qualifying BBC relationship</x:v>
      </x:c>
      <x:c r="AO536" s="14" t="str">
        <x:v>No</x:v>
      </x:c>
      <x:c r="AP536" s="14" t="str">
        <x:v>Out of scope</x:v>
      </x:c>
      <x:c r="AQ536" s="14" t="str">
        <x:v>No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24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0.041666666666666664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tt11958610|nm17344183|tessa cullen</x:v>
      </x:c>
      <x:c r="B537" s="14" t="str">
        <x:v>08</x:v>
      </x:c>
      <x:c r="C537" s="14" t="str">
        <x:v>2022_IMDb_Cast_Lists_Batch_08(1).xlsx</x:v>
      </x:c>
      <x:c r="D537" s="14" t="str">
        <x:v>Trigger Point</x:v>
      </x:c>
      <x:c r="E537" s="14" t="n">
        <x:v>128</x:v>
      </x:c>
      <x:c r="F537" s="14" t="str">
        <x:v>Trigger Point</x:v>
      </x:c>
      <x:c r="G537" s="14" t="str">
        <x:v>tt11958610</x:v>
      </x:c>
      <x:c r="H537" s="14" t="n">
        <x:v>2022</x:v>
      </x:c>
      <x:c r="I537" s="14" t="n">
        <x:v>2023</x:v>
      </x:c>
      <x:c r="J537" s="14" t="str">
        <x:v>Future Carry-Forward Cohort</x:v>
      </x:c>
      <x:c r="K537" s="14" t="n">
        <x:v>2022</x:v>
      </x:c>
      <x:c r="L537" s="14" t="str">
        <x:v>Not inherited</x:v>
      </x:c>
      <x:c r="M537" s="15" t="n">
        <x:v>121</x:v>
      </x:c>
      <x:c r="N537" s="14" t="str">
        <x:v>Katie Higgins</x:v>
      </x:c>
      <x:c r="O537" s="14" t="str">
        <x:v>nm17344183</x:v>
      </x:c>
      <x:c r="P537" s="14" t="str">
        <x:v>Tessa Cullen</x:v>
      </x:c>
      <x:c r="Q537" s="15" t="n">
        <x:v>1</x:v>
      </x:c>
      <x:c r="R537" s="14" t="str">
        <x:v>2025</x:v>
      </x:c>
      <x:c r="S537" s="14" t="n">
        <x:v>2025</x:v>
      </x:c>
      <x:c r="T537" s="14" t="n">
        <x:v>2025</x:v>
      </x:c>
      <x:c r="U537" s="14" t="str">
        <x:v>Explicit source first year retained</x:v>
      </x:c>
      <x:c r="V537" s="14" t="str">
        <x:v>Earliest supplied year is 2025.</x:v>
      </x:c>
      <x:c r="W537" s="14"/>
      <x:c r="X537" s="14" t="str">
        <x:v>Carried forward to 2025</x:v>
      </x:c>
      <x:c r="Y537" s="14"/>
      <x:c r="Z537" s="14" t="str">
        <x:v>Trigger Point.docx</x:v>
      </x:c>
      <x:c r="AA53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ITV / ITVX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HYPERLINK("https://en.wikipedia.org/wiki/Trigger_Point","Open source")</x:f>
        <x:v>HYPERLINK is not implemented. linkLocation=https://en.wikipedia.org/wiki/Trigger_Point, friendlyName=Open source</x:v>
      </x:c>
      <x:c r="AN537" s="14" t="str">
        <x:v>No qualifying BBC relationship</x:v>
      </x:c>
      <x:c r="AO537" s="14" t="str">
        <x:v>No</x:v>
      </x:c>
      <x:c r="AP537" s="14" t="str">
        <x:v>Out of scope</x:v>
      </x:c>
      <x:c r="AQ537" s="14" t="str">
        <x:v>No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24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0.041666666666666664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tt11958610|nm4902054|met police officer</x:v>
      </x:c>
      <x:c r="B538" s="14" t="str">
        <x:v>08</x:v>
      </x:c>
      <x:c r="C538" s="14" t="str">
        <x:v>2022_IMDb_Cast_Lists_Batch_08(1).xlsx</x:v>
      </x:c>
      <x:c r="D538" s="14" t="str">
        <x:v>Trigger Point</x:v>
      </x:c>
      <x:c r="E538" s="14" t="n">
        <x:v>129</x:v>
      </x:c>
      <x:c r="F538" s="14" t="str">
        <x:v>Trigger Point</x:v>
      </x:c>
      <x:c r="G538" s="14" t="str">
        <x:v>tt11958610</x:v>
      </x:c>
      <x:c r="H538" s="14" t="n">
        <x:v>2022</x:v>
      </x:c>
      <x:c r="I538" s="14" t="n">
        <x:v>2023</x:v>
      </x:c>
      <x:c r="J538" s="14" t="str">
        <x:v>Future Carry-Forward Cohort</x:v>
      </x:c>
      <x:c r="K538" s="14" t="n">
        <x:v>2022</x:v>
      </x:c>
      <x:c r="L538" s="14" t="str">
        <x:v>Not inherited</x:v>
      </x:c>
      <x:c r="M538" s="15" t="n">
        <x:v>122</x:v>
      </x:c>
      <x:c r="N538" s="14" t="str">
        <x:v>Tina Tancak</x:v>
      </x:c>
      <x:c r="O538" s="14" t="str">
        <x:v>nm4902054</x:v>
      </x:c>
      <x:c r="P538" s="14" t="str">
        <x:v>Met Police Officer</x:v>
      </x:c>
      <x:c r="Q538" s="15" t="n">
        <x:v>1</x:v>
      </x:c>
      <x:c r="R538" s="14" t="str">
        <x:v>2025</x:v>
      </x:c>
      <x:c r="S538" s="14" t="n">
        <x:v>2025</x:v>
      </x:c>
      <x:c r="T538" s="14" t="n">
        <x:v>2025</x:v>
      </x:c>
      <x:c r="U538" s="14" t="str">
        <x:v>Explicit source first year retained</x:v>
      </x:c>
      <x:c r="V538" s="14" t="str">
        <x:v>Earliest supplied year is 2025.</x:v>
      </x:c>
      <x:c r="W538" s="14"/>
      <x:c r="X538" s="14" t="str">
        <x:v>Carried forward to 2025</x:v>
      </x:c>
      <x:c r="Y538" s="14"/>
      <x:c r="Z538" s="14" t="str">
        <x:v>Trigger Point.docx</x:v>
      </x:c>
      <x:c r="AA53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ITV / ITVX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HYPERLINK("https://en.wikipedia.org/wiki/Trigger_Point","Open source")</x:f>
        <x:v>HYPERLINK is not implemented. linkLocation=https://en.wikipedia.org/wiki/Trigger_Point, friendlyName=Open source</x:v>
      </x:c>
      <x:c r="AN538" s="14" t="str">
        <x:v>No qualifying BBC relationship</x:v>
      </x:c>
      <x:c r="AO538" s="14" t="str">
        <x:v>No</x:v>
      </x:c>
      <x:c r="AP538" s="14" t="str">
        <x:v>Out of scope</x:v>
      </x:c>
      <x:c r="AQ538" s="14" t="str">
        <x:v>No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24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0.041666666666666664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tt11639300|nm14676906|bruno</x:v>
      </x:c>
      <x:c r="B539" s="14" t="str">
        <x:v>02</x:v>
      </x:c>
      <x:c r="C539" s="14" t="str">
        <x:v>2021_IMDb_Cast_Lists_Batch_02(1).xlsx</x:v>
      </x:c>
      <x:c r="D539" s="14" t="str">
        <x:v>Grace</x:v>
      </x:c>
      <x:c r="E539" s="14" t="n">
        <x:v>19</x:v>
      </x:c>
      <x:c r="F539" s="14" t="str">
        <x:v>Grace</x:v>
      </x:c>
      <x:c r="G539" s="14" t="str">
        <x:v>tt11639300</x:v>
      </x:c>
      <x:c r="H539" s="14" t="n">
        <x:v>2021</x:v>
      </x:c>
      <x:c r="I539" s="14" t="n">
        <x:v>2023</x:v>
      </x:c>
      <x:c r="J539" s="14" t="str">
        <x:v>Future Carry-Forward Cohort</x:v>
      </x:c>
      <x:c r="K539" s="14" t="n">
        <x:v>2021</x:v>
      </x:c>
      <x:c r="L539" s="14" t="str">
        <x:v>Available from 2021 analysis</x:v>
      </x:c>
      <x:c r="M539" s="15" t="n">
        <x:v>12</x:v>
      </x:c>
      <x:c r="N539" s="14" t="str">
        <x:v>Finn Guegan</x:v>
      </x:c>
      <x:c r="O539" s="14" t="str">
        <x:v>nm14676906</x:v>
      </x:c>
      <x:c r="P539" s="14" t="str">
        <x:v>Bruno</x:v>
      </x:c>
      <x:c r="Q539" s="15" t="n">
        <x:v>7</x:v>
      </x:c>
      <x:c r="R539" s="14" t="str">
        <x:v>2025–2026</x:v>
      </x:c>
      <x:c r="S539" s="14" t="n">
        <x:v>2025</x:v>
      </x:c>
      <x:c r="T539" s="14" t="n">
        <x:v>2025</x:v>
      </x:c>
      <x:c r="U539" s="14" t="str">
        <x:v>Post-2021 casting excluded</x:v>
      </x:c>
      <x:c r="V539" s="14" t="str">
        <x:v>Earliest supplied year is 2025, later than the 2021 study year.</x:v>
      </x:c>
      <x:c r="W539" s="14"/>
      <x:c r="X539" s="14" t="str">
        <x:v>Carried forward to 2025</x:v>
      </x:c>
      <x:c r="Y539" s="14"/>
      <x:c r="Z539" s="14" t="str">
        <x:v>Grace.docx</x:v>
      </x:c>
      <x:c r="AA53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ITV / ITVX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HYPERLINK("https://en.wikipedia.org/wiki/Grace","Open source")</x:f>
        <x:v>HYPERLINK is not implemented. linkLocation=https://en.wikipedia.org/wiki/Grace, friendlyName=Open source</x:v>
      </x:c>
      <x:c r="AN539" s="14" t="str">
        <x:v>No qualifying BBC relationship</x:v>
      </x:c>
      <x:c r="AO539" s="14" t="str">
        <x:v>No</x:v>
      </x:c>
      <x:c r="AP539" s="14" t="str">
        <x:v>Out of scope</x:v>
      </x:c>
      <x:c r="AQ539" s="14" t="str">
        <x:v>No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20</x:v>
      </x:c>
      <x:c r="BP539" s="14" t="str">
        <x:v>Maximum eligible IMDb cast-credit total (20), shared by 4 performer(s); not independently verified as a 2021-only episode total.</x:v>
      </x:c>
      <x:c r="BQ539" s="14" t="str">
        <x:v>Medium</x:v>
      </x:c>
      <x:c r="BR539" s="15" t="n">
        <x:v>7</x:v>
      </x:c>
      <x:c r="BS539" s="16" t="n">
        <x:v>0.35</x:v>
      </x:c>
      <x:c r="BT539" s="14" t="str">
        <x:v>Minority of episodes</x:v>
      </x:c>
      <x:c r="BU539" s="14" t="str">
        <x:v>Medium</x:v>
      </x:c>
      <x:c r="BV539" s="14" t="str">
        <x:v>Derived from supplied IMDb episode count and the documented production-total proxy.</x:v>
      </x:c>
      <x:c r="BW539" s="14" t="str">
        <x:v>Unable to determine</x:v>
      </x:c>
      <x:c r="BX539" s="14" t="str">
        <x:v>Supplied cast data establishes the credit and episode presence but does not establish narrative prominence.</x:v>
      </x:c>
      <x:c r="BY539" s="14" t="str">
        <x:v>Supplied IMDb cast-list workbook</x:v>
      </x:c>
      <x:c r="BZ53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tt11639300|nm10433982|dc vee wilde</x:v>
      </x:c>
      <x:c r="B540" s="14" t="str">
        <x:v>02</x:v>
      </x:c>
      <x:c r="C540" s="14" t="str">
        <x:v>2021_IMDb_Cast_Lists_Batch_02(1).xlsx</x:v>
      </x:c>
      <x:c r="D540" s="14" t="str">
        <x:v>Grace</x:v>
      </x:c>
      <x:c r="E540" s="14" t="n">
        <x:v>20</x:v>
      </x:c>
      <x:c r="F540" s="14" t="str">
        <x:v>Grace</x:v>
      </x:c>
      <x:c r="G540" s="14" t="str">
        <x:v>tt11639300</x:v>
      </x:c>
      <x:c r="H540" s="14" t="n">
        <x:v>2021</x:v>
      </x:c>
      <x:c r="I540" s="14" t="n">
        <x:v>2023</x:v>
      </x:c>
      <x:c r="J540" s="14" t="str">
        <x:v>Future Carry-Forward Cohort</x:v>
      </x:c>
      <x:c r="K540" s="14" t="n">
        <x:v>2021</x:v>
      </x:c>
      <x:c r="L540" s="14" t="str">
        <x:v>Available from 2021 analysis</x:v>
      </x:c>
      <x:c r="M540" s="15" t="n">
        <x:v>13</x:v>
      </x:c>
      <x:c r="N540" s="14" t="str">
        <x:v>Juliette Motamed</x:v>
      </x:c>
      <x:c r="O540" s="14" t="str">
        <x:v>nm10433982</x:v>
      </x:c>
      <x:c r="P540" s="14" t="str">
        <x:v>DC Vee Wilde</x:v>
      </x:c>
      <x:c r="Q540" s="15" t="n">
        <x:v>7</x:v>
      </x:c>
      <x:c r="R540" s="14" t="str">
        <x:v>2025–2026</x:v>
      </x:c>
      <x:c r="S540" s="14" t="n">
        <x:v>2025</x:v>
      </x:c>
      <x:c r="T540" s="14" t="n">
        <x:v>2025</x:v>
      </x:c>
      <x:c r="U540" s="14" t="str">
        <x:v>Post-2021 casting excluded</x:v>
      </x:c>
      <x:c r="V540" s="14" t="str">
        <x:v>Earliest supplied year is 2025, later than the 2021 study year.</x:v>
      </x:c>
      <x:c r="W540" s="14"/>
      <x:c r="X540" s="14" t="str">
        <x:v>Carried forward to 2025</x:v>
      </x:c>
      <x:c r="Y540" s="14"/>
      <x:c r="Z540" s="14" t="str">
        <x:v>Grace.docx</x:v>
      </x:c>
      <x:c r="AA54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ITV / ITVX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HYPERLINK("https://en.wikipedia.org/wiki/Grace","Open source")</x:f>
        <x:v>HYPERLINK is not implemented. linkLocation=https://en.wikipedia.org/wiki/Grace, friendlyName=Open source</x:v>
      </x:c>
      <x:c r="AN540" s="14" t="str">
        <x:v>No qualifying BBC relationship</x:v>
      </x:c>
      <x:c r="AO540" s="14" t="str">
        <x:v>No</x:v>
      </x:c>
      <x:c r="AP540" s="14" t="str">
        <x:v>Out of scope</x:v>
      </x:c>
      <x:c r="AQ540" s="14" t="str">
        <x:v>No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20</x:v>
      </x:c>
      <x:c r="BP540" s="14" t="str">
        <x:v>Maximum eligible IMDb cast-credit total (20), shared by 4 performer(s); not independently verified as a 2021-only episode total.</x:v>
      </x:c>
      <x:c r="BQ540" s="14" t="str">
        <x:v>Medium</x:v>
      </x:c>
      <x:c r="BR540" s="15" t="n">
        <x:v>7</x:v>
      </x:c>
      <x:c r="BS540" s="16" t="n">
        <x:v>0.35</x:v>
      </x:c>
      <x:c r="BT540" s="14" t="str">
        <x:v>Minority of episodes</x:v>
      </x:c>
      <x:c r="BU540" s="14" t="str">
        <x:v>Medium</x:v>
      </x:c>
      <x:c r="BV540" s="14" t="str">
        <x:v>Derived from supplied IMDb episode count and the documented production-total proxy.</x:v>
      </x:c>
      <x:c r="BW540" s="14" t="str">
        <x:v>Unable to determine</x:v>
      </x:c>
      <x:c r="BX540" s="14" t="str">
        <x:v>Supplied cast data establishes the credit and episode presence but does not establish narrative prominence.</x:v>
      </x:c>
      <x:c r="BY540" s="14" t="str">
        <x:v>Supplied IMDb cast-list workbook</x:v>
      </x:c>
      <x:c r="BZ54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tt11639300|nm1111587|pc dave cripps</x:v>
      </x:c>
      <x:c r="B541" s="14" t="str">
        <x:v>02</x:v>
      </x:c>
      <x:c r="C541" s="14" t="str">
        <x:v>2021_IMDb_Cast_Lists_Batch_02(1).xlsx</x:v>
      </x:c>
      <x:c r="D541" s="14" t="str">
        <x:v>Grace</x:v>
      </x:c>
      <x:c r="E541" s="14" t="n">
        <x:v>25</x:v>
      </x:c>
      <x:c r="F541" s="14" t="str">
        <x:v>Grace</x:v>
      </x:c>
      <x:c r="G541" s="14" t="str">
        <x:v>tt11639300</x:v>
      </x:c>
      <x:c r="H541" s="14" t="n">
        <x:v>2021</x:v>
      </x:c>
      <x:c r="I541" s="14" t="n">
        <x:v>2023</x:v>
      </x:c>
      <x:c r="J541" s="14" t="str">
        <x:v>Future Carry-Forward Cohort</x:v>
      </x:c>
      <x:c r="K541" s="14" t="n">
        <x:v>2021</x:v>
      </x:c>
      <x:c r="L541" s="14" t="str">
        <x:v>Available from 2021 analysis</x:v>
      </x:c>
      <x:c r="M541" s="15" t="n">
        <x:v>18</x:v>
      </x:c>
      <x:c r="N541" s="14" t="str">
        <x:v>Mark Flitton</x:v>
      </x:c>
      <x:c r="O541" s="14" t="str">
        <x:v>nm1111587</x:v>
      </x:c>
      <x:c r="P541" s="14" t="str">
        <x:v>PC Dave Cripps</x:v>
      </x:c>
      <x:c r="Q541" s="15" t="n">
        <x:v>3</x:v>
      </x:c>
      <x:c r="R541" s="14" t="str">
        <x:v>2025–2026</x:v>
      </x:c>
      <x:c r="S541" s="14" t="n">
        <x:v>2025</x:v>
      </x:c>
      <x:c r="T541" s="14" t="n">
        <x:v>2025</x:v>
      </x:c>
      <x:c r="U541" s="14" t="str">
        <x:v>Post-2021 casting excluded</x:v>
      </x:c>
      <x:c r="V541" s="14" t="str">
        <x:v>Earliest supplied year is 2025, later than the 2021 study year.</x:v>
      </x:c>
      <x:c r="W541" s="14"/>
      <x:c r="X541" s="14" t="str">
        <x:v>Carried forward to 2025</x:v>
      </x:c>
      <x:c r="Y541" s="14"/>
      <x:c r="Z541" s="14" t="str">
        <x:v>Grace.docx</x:v>
      </x:c>
      <x:c r="AA54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ITV / ITVX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HYPERLINK("https://en.wikipedia.org/wiki/Grace","Open source")</x:f>
        <x:v>HYPERLINK is not implemented. linkLocation=https://en.wikipedia.org/wiki/Grace, friendlyName=Open source</x:v>
      </x:c>
      <x:c r="AN541" s="14" t="str">
        <x:v>No qualifying BBC relationship</x:v>
      </x:c>
      <x:c r="AO541" s="14" t="str">
        <x:v>No</x:v>
      </x:c>
      <x:c r="AP541" s="14" t="str">
        <x:v>Out of scope</x:v>
      </x:c>
      <x:c r="AQ541" s="14" t="str">
        <x:v>No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20</x:v>
      </x:c>
      <x:c r="BP541" s="14" t="str">
        <x:v>Maximum eligible IMDb cast-credit total (20), shared by 4 performer(s); not independently verified as a 2021-only episode total.</x:v>
      </x:c>
      <x:c r="BQ541" s="14" t="str">
        <x:v>Medium</x:v>
      </x:c>
      <x:c r="BR541" s="15" t="n">
        <x:v>3</x:v>
      </x:c>
      <x:c r="BS541" s="16" t="n">
        <x:v>0.15</x:v>
      </x:c>
      <x:c r="BT541" s="14" t="str">
        <x:v>Minority of episodes</x:v>
      </x:c>
      <x:c r="BU541" s="14" t="str">
        <x:v>Medium</x:v>
      </x:c>
      <x:c r="BV541" s="14" t="str">
        <x:v>Derived from supplied IMDb episode count and the documented production-total proxy.</x:v>
      </x:c>
      <x:c r="BW541" s="14" t="str">
        <x:v>Unable to determine</x:v>
      </x:c>
      <x:c r="BX541" s="14" t="str">
        <x:v>Supplied cast data establishes the credit and episode presence but does not establish narrative prominence.</x:v>
      </x:c>
      <x:c r="BY541" s="14" t="str">
        <x:v>Supplied IMDb cast-list workbook</x:v>
      </x:c>
      <x:c r="BZ54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tt11639300|nm0397928|man on phone / fergus doyle</x:v>
      </x:c>
      <x:c r="B542" s="14" t="str">
        <x:v>02</x:v>
      </x:c>
      <x:c r="C542" s="14" t="str">
        <x:v>2021_IMDb_Cast_Lists_Batch_02(1).xlsx</x:v>
      </x:c>
      <x:c r="D542" s="14" t="str">
        <x:v>Grace</x:v>
      </x:c>
      <x:c r="E542" s="14" t="n">
        <x:v>28</x:v>
      </x:c>
      <x:c r="F542" s="14" t="str">
        <x:v>Grace</x:v>
      </x:c>
      <x:c r="G542" s="14" t="str">
        <x:v>tt11639300</x:v>
      </x:c>
      <x:c r="H542" s="14" t="n">
        <x:v>2021</x:v>
      </x:c>
      <x:c r="I542" s="14" t="n">
        <x:v>2023</x:v>
      </x:c>
      <x:c r="J542" s="14" t="str">
        <x:v>Future Carry-Forward Cohort</x:v>
      </x:c>
      <x:c r="K542" s="14" t="n">
        <x:v>2021</x:v>
      </x:c>
      <x:c r="L542" s="14" t="str">
        <x:v>Available from 2021 analysis</x:v>
      </x:c>
      <x:c r="M542" s="15" t="n">
        <x:v>21</x:v>
      </x:c>
      <x:c r="N542" s="14" t="str">
        <x:v>Anthony Howell</x:v>
      </x:c>
      <x:c r="O542" s="14" t="str">
        <x:v>nm0397928</x:v>
      </x:c>
      <x:c r="P542" s="14" t="str">
        <x:v>Man on Phone / Fergus Doyle</x:v>
      </x:c>
      <x:c r="Q542" s="15" t="n">
        <x:v>2</x:v>
      </x:c>
      <x:c r="R542" s="14" t="str">
        <x:v>2025–2026</x:v>
      </x:c>
      <x:c r="S542" s="14" t="n">
        <x:v>2025</x:v>
      </x:c>
      <x:c r="T542" s="14" t="n">
        <x:v>2025</x:v>
      </x:c>
      <x:c r="U542" s="14" t="str">
        <x:v>Post-2021 casting excluded</x:v>
      </x:c>
      <x:c r="V542" s="14" t="str">
        <x:v>Earliest supplied year is 2025, later than the 2021 study year.</x:v>
      </x:c>
      <x:c r="W542" s="14"/>
      <x:c r="X542" s="14" t="str">
        <x:v>Carried forward to 2025</x:v>
      </x:c>
      <x:c r="Y542" s="14"/>
      <x:c r="Z542" s="14" t="str">
        <x:v>Grace.docx</x:v>
      </x:c>
      <x:c r="AA54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ITV / ITVX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HYPERLINK("https://en.wikipedia.org/wiki/Grace","Open source")</x:f>
        <x:v>HYPERLINK is not implemented. linkLocation=https://en.wikipedia.org/wiki/Grace, friendlyName=Open source</x:v>
      </x:c>
      <x:c r="AN542" s="14" t="str">
        <x:v>No qualifying BBC relationship</x:v>
      </x:c>
      <x:c r="AO542" s="14" t="str">
        <x:v>No</x:v>
      </x:c>
      <x:c r="AP542" s="14" t="str">
        <x:v>Out of scope</x:v>
      </x:c>
      <x:c r="AQ542" s="14" t="str">
        <x:v>No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20</x:v>
      </x:c>
      <x:c r="BP542" s="14" t="str">
        <x:v>Maximum eligible IMDb cast-credit total (20), shared by 4 performer(s); not independently verified as a 2021-only episode total.</x:v>
      </x:c>
      <x:c r="BQ542" s="14" t="str">
        <x:v>Medium</x:v>
      </x:c>
      <x:c r="BR542" s="15" t="n">
        <x:v>2</x:v>
      </x:c>
      <x:c r="BS542" s="16" t="n">
        <x:v>0.1</x:v>
      </x:c>
      <x:c r="BT542" s="14" t="str">
        <x:v>Minority of episodes</x:v>
      </x:c>
      <x:c r="BU542" s="14" t="str">
        <x:v>Medium</x:v>
      </x:c>
      <x:c r="BV542" s="14" t="str">
        <x:v>Derived from supplied IMDb episode count and the documented production-total proxy.</x:v>
      </x:c>
      <x:c r="BW542" s="14" t="str">
        <x:v>Unable to determine</x:v>
      </x:c>
      <x:c r="BX542" s="14" t="str">
        <x:v>Supplied cast data establishes the credit and episode presence but does not establish narrative prominence.</x:v>
      </x:c>
      <x:c r="BY542" s="14" t="str">
        <x:v>Supplied IMDb cast-list workbook</x:v>
      </x:c>
      <x:c r="BZ54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tt11639300|nm12039598|tribunal chair / prosecution lawyer</x:v>
      </x:c>
      <x:c r="B543" s="14" t="str">
        <x:v>02</x:v>
      </x:c>
      <x:c r="C543" s="14" t="str">
        <x:v>2021_IMDb_Cast_Lists_Batch_02(1).xlsx</x:v>
      </x:c>
      <x:c r="D543" s="14" t="str">
        <x:v>Grace</x:v>
      </x:c>
      <x:c r="E543" s="14" t="n">
        <x:v>34</x:v>
      </x:c>
      <x:c r="F543" s="14" t="str">
        <x:v>Grace</x:v>
      </x:c>
      <x:c r="G543" s="14" t="str">
        <x:v>tt11639300</x:v>
      </x:c>
      <x:c r="H543" s="14" t="n">
        <x:v>2021</x:v>
      </x:c>
      <x:c r="I543" s="14" t="n">
        <x:v>2023</x:v>
      </x:c>
      <x:c r="J543" s="14" t="str">
        <x:v>Future Carry-Forward Cohort</x:v>
      </x:c>
      <x:c r="K543" s="14" t="n">
        <x:v>2021</x:v>
      </x:c>
      <x:c r="L543" s="14" t="str">
        <x:v>Available from 2021 analysis</x:v>
      </x:c>
      <x:c r="M543" s="15" t="n">
        <x:v>27</x:v>
      </x:c>
      <x:c r="N543" s="14" t="str">
        <x:v>Victoria Bolt</x:v>
      </x:c>
      <x:c r="O543" s="14" t="str">
        <x:v>nm12039598</x:v>
      </x:c>
      <x:c r="P543" s="14" t="str">
        <x:v>Tribunal Chair / Prosecution Lawyer</x:v>
      </x:c>
      <x:c r="Q543" s="15" t="n">
        <x:v>2</x:v>
      </x:c>
      <x:c r="R543" s="14" t="str">
        <x:v>2025–2026</x:v>
      </x:c>
      <x:c r="S543" s="14" t="n">
        <x:v>2025</x:v>
      </x:c>
      <x:c r="T543" s="14" t="n">
        <x:v>2025</x:v>
      </x:c>
      <x:c r="U543" s="14" t="str">
        <x:v>Post-2021 casting excluded</x:v>
      </x:c>
      <x:c r="V543" s="14" t="str">
        <x:v>Earliest supplied year is 2025, later than the 2021 study year.</x:v>
      </x:c>
      <x:c r="W543" s="14"/>
      <x:c r="X543" s="14" t="str">
        <x:v>Carried forward to 2025</x:v>
      </x:c>
      <x:c r="Y543" s="14"/>
      <x:c r="Z543" s="14" t="str">
        <x:v>Grace.docx</x:v>
      </x:c>
      <x:c r="AA54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ITV / ITVX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HYPERLINK("https://en.wikipedia.org/wiki/Grace","Open source")</x:f>
        <x:v>HYPERLINK is not implemented. linkLocation=https://en.wikipedia.org/wiki/Grace, friendlyName=Open source</x:v>
      </x:c>
      <x:c r="AN543" s="14" t="str">
        <x:v>No qualifying BBC relationship</x:v>
      </x:c>
      <x:c r="AO543" s="14" t="str">
        <x:v>No</x:v>
      </x:c>
      <x:c r="AP543" s="14" t="str">
        <x:v>Out of scope</x:v>
      </x:c>
      <x:c r="AQ543" s="14" t="str">
        <x:v>No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20</x:v>
      </x:c>
      <x:c r="BP543" s="14" t="str">
        <x:v>Maximum eligible IMDb cast-credit total (20), shared by 4 performer(s); not independently verified as a 2021-only episode total.</x:v>
      </x:c>
      <x:c r="BQ543" s="14" t="str">
        <x:v>Medium</x:v>
      </x:c>
      <x:c r="BR543" s="15" t="n">
        <x:v>2</x:v>
      </x:c>
      <x:c r="BS543" s="16" t="n">
        <x:v>0.1</x:v>
      </x:c>
      <x:c r="BT543" s="14" t="str">
        <x:v>Minority of episodes</x:v>
      </x:c>
      <x:c r="BU543" s="14" t="str">
        <x:v>Medium</x:v>
      </x:c>
      <x:c r="BV543" s="14" t="str">
        <x:v>Derived from supplied IMDb episode count and the documented production-total proxy.</x:v>
      </x:c>
      <x:c r="BW543" s="14" t="str">
        <x:v>Unable to determine</x:v>
      </x:c>
      <x:c r="BX543" s="14" t="str">
        <x:v>Supplied cast data establishes the credit and episode presence but does not establish narrative prominence.</x:v>
      </x:c>
      <x:c r="BY543" s="14" t="str">
        <x:v>Supplied IMDb cast-list workbook</x:v>
      </x:c>
      <x:c r="BZ54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tt11639300|nm2041238|hannah belling</x:v>
      </x:c>
      <x:c r="B544" s="14" t="str">
        <x:v>02</x:v>
      </x:c>
      <x:c r="C544" s="14" t="str">
        <x:v>2021_IMDb_Cast_Lists_Batch_02(1).xlsx</x:v>
      </x:c>
      <x:c r="D544" s="14" t="str">
        <x:v>Grace</x:v>
      </x:c>
      <x:c r="E544" s="14" t="n">
        <x:v>41</x:v>
      </x:c>
      <x:c r="F544" s="14" t="str">
        <x:v>Grace</x:v>
      </x:c>
      <x:c r="G544" s="14" t="str">
        <x:v>tt11639300</x:v>
      </x:c>
      <x:c r="H544" s="14" t="n">
        <x:v>2021</x:v>
      </x:c>
      <x:c r="I544" s="14" t="n">
        <x:v>2023</x:v>
      </x:c>
      <x:c r="J544" s="14" t="str">
        <x:v>Future Carry-Forward Cohort</x:v>
      </x:c>
      <x:c r="K544" s="14" t="n">
        <x:v>2021</x:v>
      </x:c>
      <x:c r="L544" s="14" t="str">
        <x:v>Available from 2021 analysis</x:v>
      </x:c>
      <x:c r="M544" s="15" t="n">
        <x:v>34</x:v>
      </x:c>
      <x:c r="N544" s="14" t="str">
        <x:v>Lisa Diveney</x:v>
      </x:c>
      <x:c r="O544" s="14" t="str">
        <x:v>nm2041238</x:v>
      </x:c>
      <x:c r="P544" s="14" t="str">
        <x:v>Hannah Belling</x:v>
      </x:c>
      <x:c r="Q544" s="15" t="n">
        <x:v>1</x:v>
      </x:c>
      <x:c r="R544" s="14" t="str">
        <x:v>2025</x:v>
      </x:c>
      <x:c r="S544" s="14" t="n">
        <x:v>2025</x:v>
      </x:c>
      <x:c r="T544" s="14" t="n">
        <x:v>2025</x:v>
      </x:c>
      <x:c r="U544" s="14" t="str">
        <x:v>Post-2021 casting excluded</x:v>
      </x:c>
      <x:c r="V544" s="14" t="str">
        <x:v>Earliest supplied year is 2025, later than the 2021 study year.</x:v>
      </x:c>
      <x:c r="W544" s="14"/>
      <x:c r="X544" s="14" t="str">
        <x:v>Carried forward to 2025</x:v>
      </x:c>
      <x:c r="Y544" s="14"/>
      <x:c r="Z544" s="14" t="str">
        <x:v>Grace.docx</x:v>
      </x:c>
      <x:c r="AA54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ITV / ITVX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HYPERLINK("https://en.wikipedia.org/wiki/Grace","Open source")</x:f>
        <x:v>HYPERLINK is not implemented. linkLocation=https://en.wikipedia.org/wiki/Grace, friendlyName=Open source</x:v>
      </x:c>
      <x:c r="AN544" s="14" t="str">
        <x:v>No qualifying BBC relationship</x:v>
      </x:c>
      <x:c r="AO544" s="14" t="str">
        <x:v>No</x:v>
      </x:c>
      <x:c r="AP544" s="14" t="str">
        <x:v>Out of scope</x:v>
      </x:c>
      <x:c r="AQ544" s="14" t="str">
        <x:v>No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20</x:v>
      </x:c>
      <x:c r="BP544" s="14" t="str">
        <x:v>Maximum eligible IMDb cast-credit total (20), shared by 4 performer(s); not independently verified as a 2021-only episode total.</x:v>
      </x:c>
      <x:c r="BQ544" s="14" t="str">
        <x:v>Medium</x:v>
      </x:c>
      <x:c r="BR544" s="15" t="n">
        <x:v>1</x:v>
      </x:c>
      <x:c r="BS544" s="16" t="n">
        <x:v>0.05</x:v>
      </x:c>
      <x:c r="BT544" s="14" t="str">
        <x:v>One episode</x:v>
      </x:c>
      <x:c r="BU544" s="14" t="str">
        <x:v>Medium</x:v>
      </x:c>
      <x:c r="BV544" s="14" t="str">
        <x:v>Derived from supplied IMDb episode count and the documented production-total proxy.</x:v>
      </x:c>
      <x:c r="BW544" s="14" t="str">
        <x:v>Unable to determine</x:v>
      </x:c>
      <x:c r="BX544" s="14" t="str">
        <x:v>Supplied cast data establishes the credit and episode presence but does not establish narrative prominence.</x:v>
      </x:c>
      <x:c r="BY544" s="14" t="str">
        <x:v>Supplied IMDb cast-list workbook</x:v>
      </x:c>
      <x:c r="BZ54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tt11639300|nm2957851|emily harton</x:v>
      </x:c>
      <x:c r="B545" s="14" t="str">
        <x:v>02</x:v>
      </x:c>
      <x:c r="C545" s="14" t="str">
        <x:v>2021_IMDb_Cast_Lists_Batch_02(1).xlsx</x:v>
      </x:c>
      <x:c r="D545" s="14" t="str">
        <x:v>Grace</x:v>
      </x:c>
      <x:c r="E545" s="14" t="n">
        <x:v>42</x:v>
      </x:c>
      <x:c r="F545" s="14" t="str">
        <x:v>Grace</x:v>
      </x:c>
      <x:c r="G545" s="14" t="str">
        <x:v>tt11639300</x:v>
      </x:c>
      <x:c r="H545" s="14" t="n">
        <x:v>2021</x:v>
      </x:c>
      <x:c r="I545" s="14" t="n">
        <x:v>2023</x:v>
      </x:c>
      <x:c r="J545" s="14" t="str">
        <x:v>Future Carry-Forward Cohort</x:v>
      </x:c>
      <x:c r="K545" s="14" t="n">
        <x:v>2021</x:v>
      </x:c>
      <x:c r="L545" s="14" t="str">
        <x:v>Available from 2021 analysis</x:v>
      </x:c>
      <x:c r="M545" s="15" t="n">
        <x:v>35</x:v>
      </x:c>
      <x:c r="N545" s="14" t="str">
        <x:v>Juliet Oldfield</x:v>
      </x:c>
      <x:c r="O545" s="14" t="str">
        <x:v>nm2957851</x:v>
      </x:c>
      <x:c r="P545" s="14" t="str">
        <x:v>Emily Harton</x:v>
      </x:c>
      <x:c r="Q545" s="15" t="n">
        <x:v>1</x:v>
      </x:c>
      <x:c r="R545" s="14" t="str">
        <x:v>2025</x:v>
      </x:c>
      <x:c r="S545" s="14" t="n">
        <x:v>2025</x:v>
      </x:c>
      <x:c r="T545" s="14" t="n">
        <x:v>2025</x:v>
      </x:c>
      <x:c r="U545" s="14" t="str">
        <x:v>Post-2021 casting excluded</x:v>
      </x:c>
      <x:c r="V545" s="14" t="str">
        <x:v>Earliest supplied year is 2025, later than the 2021 study year.</x:v>
      </x:c>
      <x:c r="W545" s="14"/>
      <x:c r="X545" s="14" t="str">
        <x:v>Carried forward to 2025</x:v>
      </x:c>
      <x:c r="Y545" s="14"/>
      <x:c r="Z545" s="14" t="str">
        <x:v>Grace.docx</x:v>
      </x:c>
      <x:c r="AA54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ITV / ITVX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HYPERLINK("https://en.wikipedia.org/wiki/Grace","Open source")</x:f>
        <x:v>HYPERLINK is not implemented. linkLocation=https://en.wikipedia.org/wiki/Grace, friendlyName=Open source</x:v>
      </x:c>
      <x:c r="AN545" s="14" t="str">
        <x:v>No qualifying BBC relationship</x:v>
      </x:c>
      <x:c r="AO545" s="14" t="str">
        <x:v>No</x:v>
      </x:c>
      <x:c r="AP545" s="14" t="str">
        <x:v>Out of scope</x:v>
      </x:c>
      <x:c r="AQ545" s="14" t="str">
        <x:v>No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20</x:v>
      </x:c>
      <x:c r="BP545" s="14" t="str">
        <x:v>Maximum eligible IMDb cast-credit total (20), shared by 4 performer(s); not independently verified as a 2021-only episode total.</x:v>
      </x:c>
      <x:c r="BQ545" s="14" t="str">
        <x:v>Medium</x:v>
      </x:c>
      <x:c r="BR545" s="15" t="n">
        <x:v>1</x:v>
      </x:c>
      <x:c r="BS545" s="16" t="n">
        <x:v>0.05</x:v>
      </x:c>
      <x:c r="BT545" s="14" t="str">
        <x:v>One episode</x:v>
      </x:c>
      <x:c r="BU545" s="14" t="str">
        <x:v>Medium</x:v>
      </x:c>
      <x:c r="BV545" s="14" t="str">
        <x:v>Derived from supplied IMDb episode count and the documented production-total proxy.</x:v>
      </x:c>
      <x:c r="BW545" s="14" t="str">
        <x:v>Unable to determine</x:v>
      </x:c>
      <x:c r="BX545" s="14" t="str">
        <x:v>Supplied cast data establishes the credit and episode presence but does not establish narrative prominence.</x:v>
      </x:c>
      <x:c r="BY545" s="14" t="str">
        <x:v>Supplied IMDb cast-list workbook</x:v>
      </x:c>
      <x:c r="BZ54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tt11639300|nm10650868|jasmine alson</x:v>
      </x:c>
      <x:c r="B546" s="14" t="str">
        <x:v>02</x:v>
      </x:c>
      <x:c r="C546" s="14" t="str">
        <x:v>2021_IMDb_Cast_Lists_Batch_02(1).xlsx</x:v>
      </x:c>
      <x:c r="D546" s="14" t="str">
        <x:v>Grace</x:v>
      </x:c>
      <x:c r="E546" s="14" t="n">
        <x:v>55</x:v>
      </x:c>
      <x:c r="F546" s="14" t="str">
        <x:v>Grace</x:v>
      </x:c>
      <x:c r="G546" s="14" t="str">
        <x:v>tt11639300</x:v>
      </x:c>
      <x:c r="H546" s="14" t="n">
        <x:v>2021</x:v>
      </x:c>
      <x:c r="I546" s="14" t="n">
        <x:v>2023</x:v>
      </x:c>
      <x:c r="J546" s="14" t="str">
        <x:v>Future Carry-Forward Cohort</x:v>
      </x:c>
      <x:c r="K546" s="14" t="n">
        <x:v>2021</x:v>
      </x:c>
      <x:c r="L546" s="14" t="str">
        <x:v>Available from 2021 analysis</x:v>
      </x:c>
      <x:c r="M546" s="15" t="n">
        <x:v>48</x:v>
      </x:c>
      <x:c r="N546" s="14" t="str">
        <x:v>Shanay Neusum-James</x:v>
      </x:c>
      <x:c r="O546" s="14" t="str">
        <x:v>nm10650868</x:v>
      </x:c>
      <x:c r="P546" s="14" t="str">
        <x:v>Jasmine Alson</x:v>
      </x:c>
      <x:c r="Q546" s="15" t="n">
        <x:v>1</x:v>
      </x:c>
      <x:c r="R546" s="14" t="str">
        <x:v>2025</x:v>
      </x:c>
      <x:c r="S546" s="14" t="n">
        <x:v>2025</x:v>
      </x:c>
      <x:c r="T546" s="14" t="n">
        <x:v>2025</x:v>
      </x:c>
      <x:c r="U546" s="14" t="str">
        <x:v>Post-2021 casting excluded</x:v>
      </x:c>
      <x:c r="V546" s="14" t="str">
        <x:v>Earliest supplied year is 2025, later than the 2021 study year.</x:v>
      </x:c>
      <x:c r="W546" s="14"/>
      <x:c r="X546" s="14" t="str">
        <x:v>Carried forward to 2025</x:v>
      </x:c>
      <x:c r="Y546" s="14"/>
      <x:c r="Z546" s="14" t="str">
        <x:v>Grace.docx</x:v>
      </x:c>
      <x:c r="AA54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ITV / ITVX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HYPERLINK("https://en.wikipedia.org/wiki/Grace","Open source")</x:f>
        <x:v>HYPERLINK is not implemented. linkLocation=https://en.wikipedia.org/wiki/Grace, friendlyName=Open source</x:v>
      </x:c>
      <x:c r="AN546" s="14" t="str">
        <x:v>No qualifying BBC relationship</x:v>
      </x:c>
      <x:c r="AO546" s="14" t="str">
        <x:v>No</x:v>
      </x:c>
      <x:c r="AP546" s="14" t="str">
        <x:v>Out of scope</x:v>
      </x:c>
      <x:c r="AQ546" s="14" t="str">
        <x:v>No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20</x:v>
      </x:c>
      <x:c r="BP546" s="14" t="str">
        <x:v>Maximum eligible IMDb cast-credit total (20), shared by 4 performer(s); not independently verified as a 2021-only episode total.</x:v>
      </x:c>
      <x:c r="BQ546" s="14" t="str">
        <x:v>Medium</x:v>
      </x:c>
      <x:c r="BR546" s="15" t="n">
        <x:v>1</x:v>
      </x:c>
      <x:c r="BS546" s="16" t="n">
        <x:v>0.05</x:v>
      </x:c>
      <x:c r="BT546" s="14" t="str">
        <x:v>One episode</x:v>
      </x:c>
      <x:c r="BU546" s="14" t="str">
        <x:v>Medium</x:v>
      </x:c>
      <x:c r="BV546" s="14" t="str">
        <x:v>Derived from supplied IMDb episode count and the documented production-total proxy.</x:v>
      </x:c>
      <x:c r="BW546" s="14" t="str">
        <x:v>Unable to determine</x:v>
      </x:c>
      <x:c r="BX546" s="14" t="str">
        <x:v>Supplied cast data establishes the credit and episode presence but does not establish narrative prominence.</x:v>
      </x:c>
      <x:c r="BY546" s="14" t="str">
        <x:v>Supplied IMDb cast-list workbook</x:v>
      </x:c>
      <x:c r="BZ54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tt11639300|nm7725793|toby seward</x:v>
      </x:c>
      <x:c r="B547" s="14" t="str">
        <x:v>02</x:v>
      </x:c>
      <x:c r="C547" s="14" t="str">
        <x:v>2021_IMDb_Cast_Lists_Batch_02(1).xlsx</x:v>
      </x:c>
      <x:c r="D547" s="14" t="str">
        <x:v>Grace</x:v>
      </x:c>
      <x:c r="E547" s="14" t="n">
        <x:v>56</x:v>
      </x:c>
      <x:c r="F547" s="14" t="str">
        <x:v>Grace</x:v>
      </x:c>
      <x:c r="G547" s="14" t="str">
        <x:v>tt11639300</x:v>
      </x:c>
      <x:c r="H547" s="14" t="n">
        <x:v>2021</x:v>
      </x:c>
      <x:c r="I547" s="14" t="n">
        <x:v>2023</x:v>
      </x:c>
      <x:c r="J547" s="14" t="str">
        <x:v>Future Carry-Forward Cohort</x:v>
      </x:c>
      <x:c r="K547" s="14" t="n">
        <x:v>2021</x:v>
      </x:c>
      <x:c r="L547" s="14" t="str">
        <x:v>Available from 2021 analysis</x:v>
      </x:c>
      <x:c r="M547" s="15" t="n">
        <x:v>49</x:v>
      </x:c>
      <x:c r="N547" s="14" t="str">
        <x:v>Ben Cutler</x:v>
      </x:c>
      <x:c r="O547" s="14" t="str">
        <x:v>nm7725793</x:v>
      </x:c>
      <x:c r="P547" s="14" t="str">
        <x:v>Toby Seward</x:v>
      </x:c>
      <x:c r="Q547" s="15" t="n">
        <x:v>1</x:v>
      </x:c>
      <x:c r="R547" s="14" t="str">
        <x:v>2025</x:v>
      </x:c>
      <x:c r="S547" s="14" t="n">
        <x:v>2025</x:v>
      </x:c>
      <x:c r="T547" s="14" t="n">
        <x:v>2025</x:v>
      </x:c>
      <x:c r="U547" s="14" t="str">
        <x:v>Post-2021 casting excluded</x:v>
      </x:c>
      <x:c r="V547" s="14" t="str">
        <x:v>Earliest supplied year is 2025, later than the 2021 study year.</x:v>
      </x:c>
      <x:c r="W547" s="14"/>
      <x:c r="X547" s="14" t="str">
        <x:v>Carried forward to 2025</x:v>
      </x:c>
      <x:c r="Y547" s="14"/>
      <x:c r="Z547" s="14" t="str">
        <x:v>Grace.docx</x:v>
      </x:c>
      <x:c r="AA54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ITV / ITVX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HYPERLINK("https://en.wikipedia.org/wiki/Grace","Open source")</x:f>
        <x:v>HYPERLINK is not implemented. linkLocation=https://en.wikipedia.org/wiki/Grace, friendlyName=Open source</x:v>
      </x:c>
      <x:c r="AN547" s="14" t="str">
        <x:v>No qualifying BBC relationship</x:v>
      </x:c>
      <x:c r="AO547" s="14" t="str">
        <x:v>No</x:v>
      </x:c>
      <x:c r="AP547" s="14" t="str">
        <x:v>Out of scope</x:v>
      </x:c>
      <x:c r="AQ547" s="14" t="str">
        <x:v>No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20</x:v>
      </x:c>
      <x:c r="BP547" s="14" t="str">
        <x:v>Maximum eligible IMDb cast-credit total (20), shared by 4 performer(s); not independently verified as a 2021-only episode total.</x:v>
      </x:c>
      <x:c r="BQ547" s="14" t="str">
        <x:v>Medium</x:v>
      </x:c>
      <x:c r="BR547" s="15" t="n">
        <x:v>1</x:v>
      </x:c>
      <x:c r="BS547" s="16" t="n">
        <x:v>0.05</x:v>
      </x:c>
      <x:c r="BT547" s="14" t="str">
        <x:v>One episode</x:v>
      </x:c>
      <x:c r="BU547" s="14" t="str">
        <x:v>Medium</x:v>
      </x:c>
      <x:c r="BV547" s="14" t="str">
        <x:v>Derived from supplied IMDb episode count and the documented production-total proxy.</x:v>
      </x:c>
      <x:c r="BW547" s="14" t="str">
        <x:v>Unable to determine</x:v>
      </x:c>
      <x:c r="BX547" s="14" t="str">
        <x:v>Supplied cast data establishes the credit and episode presence but does not establish narrative prominence.</x:v>
      </x:c>
      <x:c r="BY547" s="14" t="str">
        <x:v>Supplied IMDb cast-list workbook</x:v>
      </x:c>
      <x:c r="BZ54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tt11639300|nm1469291|charlotte seward</x:v>
      </x:c>
      <x:c r="B548" s="14" t="str">
        <x:v>02</x:v>
      </x:c>
      <x:c r="C548" s="14" t="str">
        <x:v>2021_IMDb_Cast_Lists_Batch_02(1).xlsx</x:v>
      </x:c>
      <x:c r="D548" s="14" t="str">
        <x:v>Grace</x:v>
      </x:c>
      <x:c r="E548" s="14" t="n">
        <x:v>66</x:v>
      </x:c>
      <x:c r="F548" s="14" t="str">
        <x:v>Grace</x:v>
      </x:c>
      <x:c r="G548" s="14" t="str">
        <x:v>tt11639300</x:v>
      </x:c>
      <x:c r="H548" s="14" t="n">
        <x:v>2021</x:v>
      </x:c>
      <x:c r="I548" s="14" t="n">
        <x:v>2023</x:v>
      </x:c>
      <x:c r="J548" s="14" t="str">
        <x:v>Future Carry-Forward Cohort</x:v>
      </x:c>
      <x:c r="K548" s="14" t="n">
        <x:v>2021</x:v>
      </x:c>
      <x:c r="L548" s="14" t="str">
        <x:v>Available from 2021 analysis</x:v>
      </x:c>
      <x:c r="M548" s="15" t="n">
        <x:v>59</x:v>
      </x:c>
      <x:c r="N548" s="14" t="str">
        <x:v>Cat Simmons</x:v>
      </x:c>
      <x:c r="O548" s="14" t="str">
        <x:v>nm1469291</x:v>
      </x:c>
      <x:c r="P548" s="14" t="str">
        <x:v>Charlotte Seward</x:v>
      </x:c>
      <x:c r="Q548" s="15" t="n">
        <x:v>1</x:v>
      </x:c>
      <x:c r="R548" s="14" t="str">
        <x:v>2025</x:v>
      </x:c>
      <x:c r="S548" s="14" t="n">
        <x:v>2025</x:v>
      </x:c>
      <x:c r="T548" s="14" t="n">
        <x:v>2025</x:v>
      </x:c>
      <x:c r="U548" s="14" t="str">
        <x:v>Post-2021 casting excluded</x:v>
      </x:c>
      <x:c r="V548" s="14" t="str">
        <x:v>Earliest supplied year is 2025, later than the 2021 study year.</x:v>
      </x:c>
      <x:c r="W548" s="14"/>
      <x:c r="X548" s="14" t="str">
        <x:v>Carried forward to 2025</x:v>
      </x:c>
      <x:c r="Y548" s="14"/>
      <x:c r="Z548" s="14" t="str">
        <x:v>Grace.docx</x:v>
      </x:c>
      <x:c r="AA54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ITV / ITVX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HYPERLINK("https://en.wikipedia.org/wiki/Grace","Open source")</x:f>
        <x:v>HYPERLINK is not implemented. linkLocation=https://en.wikipedia.org/wiki/Grace, friendlyName=Open source</x:v>
      </x:c>
      <x:c r="AN548" s="14" t="str">
        <x:v>No qualifying BBC relationship</x:v>
      </x:c>
      <x:c r="AO548" s="14" t="str">
        <x:v>No</x:v>
      </x:c>
      <x:c r="AP548" s="14" t="str">
        <x:v>Out of scope</x:v>
      </x:c>
      <x:c r="AQ548" s="14" t="str">
        <x:v>No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20</x:v>
      </x:c>
      <x:c r="BP548" s="14" t="str">
        <x:v>Maximum eligible IMDb cast-credit total (20), shared by 4 performer(s); not independently verified as a 2021-only episode total.</x:v>
      </x:c>
      <x:c r="BQ548" s="14" t="str">
        <x:v>Medium</x:v>
      </x:c>
      <x:c r="BR548" s="15" t="n">
        <x:v>1</x:v>
      </x:c>
      <x:c r="BS548" s="16" t="n">
        <x:v>0.05</x:v>
      </x:c>
      <x:c r="BT548" s="14" t="str">
        <x:v>One episode</x:v>
      </x:c>
      <x:c r="BU548" s="14" t="str">
        <x:v>Medium</x:v>
      </x:c>
      <x:c r="BV548" s="14" t="str">
        <x:v>Derived from supplied IMDb episode count and the documented production-total proxy.</x:v>
      </x:c>
      <x:c r="BW548" s="14" t="str">
        <x:v>Unable to determine</x:v>
      </x:c>
      <x:c r="BX548" s="14" t="str">
        <x:v>Supplied cast data establishes the credit and episode presence but does not establish narrative prominence.</x:v>
      </x:c>
      <x:c r="BY548" s="14" t="str">
        <x:v>Supplied IMDb cast-list workbook</x:v>
      </x:c>
      <x:c r="BZ54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tt11639300|nm2467286|sara joshi</x:v>
      </x:c>
      <x:c r="B549" s="14" t="str">
        <x:v>02</x:v>
      </x:c>
      <x:c r="C549" s="14" t="str">
        <x:v>2021_IMDb_Cast_Lists_Batch_02(1).xlsx</x:v>
      </x:c>
      <x:c r="D549" s="14" t="str">
        <x:v>Grace</x:v>
      </x:c>
      <x:c r="E549" s="14" t="n">
        <x:v>67</x:v>
      </x:c>
      <x:c r="F549" s="14" t="str">
        <x:v>Grace</x:v>
      </x:c>
      <x:c r="G549" s="14" t="str">
        <x:v>tt11639300</x:v>
      </x:c>
      <x:c r="H549" s="14" t="n">
        <x:v>2021</x:v>
      </x:c>
      <x:c r="I549" s="14" t="n">
        <x:v>2023</x:v>
      </x:c>
      <x:c r="J549" s="14" t="str">
        <x:v>Future Carry-Forward Cohort</x:v>
      </x:c>
      <x:c r="K549" s="14" t="n">
        <x:v>2021</x:v>
      </x:c>
      <x:c r="L549" s="14" t="str">
        <x:v>Available from 2021 analysis</x:v>
      </x:c>
      <x:c r="M549" s="15" t="n">
        <x:v>60</x:v>
      </x:c>
      <x:c r="N549" s="14" t="str">
        <x:v>Kiran Landa</x:v>
      </x:c>
      <x:c r="O549" s="14" t="str">
        <x:v>nm2467286</x:v>
      </x:c>
      <x:c r="P549" s="14" t="str">
        <x:v>Sara Joshi</x:v>
      </x:c>
      <x:c r="Q549" s="15" t="n">
        <x:v>1</x:v>
      </x:c>
      <x:c r="R549" s="14" t="str">
        <x:v>2025</x:v>
      </x:c>
      <x:c r="S549" s="14" t="n">
        <x:v>2025</x:v>
      </x:c>
      <x:c r="T549" s="14" t="n">
        <x:v>2025</x:v>
      </x:c>
      <x:c r="U549" s="14" t="str">
        <x:v>Post-2021 casting excluded</x:v>
      </x:c>
      <x:c r="V549" s="14" t="str">
        <x:v>Earliest supplied year is 2025, later than the 2021 study year.</x:v>
      </x:c>
      <x:c r="W549" s="14"/>
      <x:c r="X549" s="14" t="str">
        <x:v>Carried forward to 2025</x:v>
      </x:c>
      <x:c r="Y549" s="14"/>
      <x:c r="Z549" s="14" t="str">
        <x:v>Grace.docx</x:v>
      </x:c>
      <x:c r="AA54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ITV / ITVX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HYPERLINK("https://en.wikipedia.org/wiki/Grace","Open source")</x:f>
        <x:v>HYPERLINK is not implemented. linkLocation=https://en.wikipedia.org/wiki/Grace, friendlyName=Open source</x:v>
      </x:c>
      <x:c r="AN549" s="14" t="str">
        <x:v>No qualifying BBC relationship</x:v>
      </x:c>
      <x:c r="AO549" s="14" t="str">
        <x:v>No</x:v>
      </x:c>
      <x:c r="AP549" s="14" t="str">
        <x:v>Out of scope</x:v>
      </x:c>
      <x:c r="AQ549" s="14" t="str">
        <x:v>No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20</x:v>
      </x:c>
      <x:c r="BP549" s="14" t="str">
        <x:v>Maximum eligible IMDb cast-credit total (20), shared by 4 performer(s); not independently verified as a 2021-only episode total.</x:v>
      </x:c>
      <x:c r="BQ549" s="14" t="str">
        <x:v>Medium</x:v>
      </x:c>
      <x:c r="BR549" s="15" t="n">
        <x:v>1</x:v>
      </x:c>
      <x:c r="BS549" s="16" t="n">
        <x:v>0.05</x:v>
      </x:c>
      <x:c r="BT549" s="14" t="str">
        <x:v>One episode</x:v>
      </x:c>
      <x:c r="BU549" s="14" t="str">
        <x:v>Medium</x:v>
      </x:c>
      <x:c r="BV549" s="14" t="str">
        <x:v>Derived from supplied IMDb episode count and the documented production-total proxy.</x:v>
      </x:c>
      <x:c r="BW549" s="14" t="str">
        <x:v>Unable to determine</x:v>
      </x:c>
      <x:c r="BX549" s="14" t="str">
        <x:v>Supplied cast data establishes the credit and episode presence but does not establish narrative prominence.</x:v>
      </x:c>
      <x:c r="BY549" s="14" t="str">
        <x:v>Supplied IMDb cast-list workbook</x:v>
      </x:c>
      <x:c r="BZ54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tt11639300|nm6919812|daniel 'danny' starr</x:v>
      </x:c>
      <x:c r="B550" s="14" t="str">
        <x:v>02</x:v>
      </x:c>
      <x:c r="C550" s="14" t="str">
        <x:v>2021_IMDb_Cast_Lists_Batch_02(1).xlsx</x:v>
      </x:c>
      <x:c r="D550" s="14" t="str">
        <x:v>Grace</x:v>
      </x:c>
      <x:c r="E550" s="14" t="n">
        <x:v>75</x:v>
      </x:c>
      <x:c r="F550" s="14" t="str">
        <x:v>Grace</x:v>
      </x:c>
      <x:c r="G550" s="14" t="str">
        <x:v>tt11639300</x:v>
      </x:c>
      <x:c r="H550" s="14" t="n">
        <x:v>2021</x:v>
      </x:c>
      <x:c r="I550" s="14" t="n">
        <x:v>2023</x:v>
      </x:c>
      <x:c r="J550" s="14" t="str">
        <x:v>Future Carry-Forward Cohort</x:v>
      </x:c>
      <x:c r="K550" s="14" t="n">
        <x:v>2021</x:v>
      </x:c>
      <x:c r="L550" s="14" t="str">
        <x:v>Available from 2021 analysis</x:v>
      </x:c>
      <x:c r="M550" s="15" t="n">
        <x:v>68</x:v>
      </x:c>
      <x:c r="N550" s="14" t="str">
        <x:v>Josef Davies</x:v>
      </x:c>
      <x:c r="O550" s="14" t="str">
        <x:v>nm6919812</x:v>
      </x:c>
      <x:c r="P550" s="14" t="str">
        <x:v>Daniel 'Danny' Starr</x:v>
      </x:c>
      <x:c r="Q550" s="15" t="n">
        <x:v>1</x:v>
      </x:c>
      <x:c r="R550" s="14" t="str">
        <x:v>2025</x:v>
      </x:c>
      <x:c r="S550" s="14" t="n">
        <x:v>2025</x:v>
      </x:c>
      <x:c r="T550" s="14" t="n">
        <x:v>2025</x:v>
      </x:c>
      <x:c r="U550" s="14" t="str">
        <x:v>Post-2021 casting excluded</x:v>
      </x:c>
      <x:c r="V550" s="14" t="str">
        <x:v>Earliest supplied year is 2025, later than the 2021 study year.</x:v>
      </x:c>
      <x:c r="W550" s="14"/>
      <x:c r="X550" s="14" t="str">
        <x:v>Carried forward to 2025</x:v>
      </x:c>
      <x:c r="Y550" s="14"/>
      <x:c r="Z550" s="14" t="str">
        <x:v>Grace.docx</x:v>
      </x:c>
      <x:c r="AA5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ITV / ITVX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HYPERLINK("https://en.wikipedia.org/wiki/Grace","Open source")</x:f>
        <x:v>HYPERLINK is not implemented. linkLocation=https://en.wikipedia.org/wiki/Grace, friendlyName=Open source</x:v>
      </x:c>
      <x:c r="AN550" s="14" t="str">
        <x:v>No qualifying BBC relationship</x:v>
      </x:c>
      <x:c r="AO550" s="14" t="str">
        <x:v>No</x:v>
      </x:c>
      <x:c r="AP550" s="14" t="str">
        <x:v>Out of scope</x:v>
      </x:c>
      <x:c r="AQ550" s="14" t="str">
        <x:v>No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20</x:v>
      </x:c>
      <x:c r="BP550" s="14" t="str">
        <x:v>Maximum eligible IMDb cast-credit total (20), shared by 4 performer(s); not independently verified as a 2021-only episode total.</x:v>
      </x:c>
      <x:c r="BQ550" s="14" t="str">
        <x:v>Medium</x:v>
      </x:c>
      <x:c r="BR550" s="15" t="n">
        <x:v>1</x:v>
      </x:c>
      <x:c r="BS550" s="16" t="n">
        <x:v>0.05</x:v>
      </x:c>
      <x:c r="BT550" s="14" t="str">
        <x:v>One episode</x:v>
      </x:c>
      <x:c r="BU550" s="14" t="str">
        <x:v>Medium</x:v>
      </x:c>
      <x:c r="BV550" s="14" t="str">
        <x:v>Derived from supplied IMDb episode count and the documented production-total proxy.</x:v>
      </x:c>
      <x:c r="BW550" s="14" t="str">
        <x:v>Unable to determine</x:v>
      </x:c>
      <x:c r="BX550" s="14" t="str">
        <x:v>Supplied cast data establishes the credit and episode presence but does not establish narrative prominence.</x:v>
      </x:c>
      <x:c r="BY550" s="14" t="str">
        <x:v>Supplied IMDb cast-list workbook</x:v>
      </x:c>
      <x:c r="BZ5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tt11639300|nm2906167|jarvis brookes</x:v>
      </x:c>
      <x:c r="B551" s="14" t="str">
        <x:v>02</x:v>
      </x:c>
      <x:c r="C551" s="14" t="str">
        <x:v>2021_IMDb_Cast_Lists_Batch_02(1).xlsx</x:v>
      </x:c>
      <x:c r="D551" s="14" t="str">
        <x:v>Grace</x:v>
      </x:c>
      <x:c r="E551" s="14" t="n">
        <x:v>76</x:v>
      </x:c>
      <x:c r="F551" s="14" t="str">
        <x:v>Grace</x:v>
      </x:c>
      <x:c r="G551" s="14" t="str">
        <x:v>tt11639300</x:v>
      </x:c>
      <x:c r="H551" s="14" t="n">
        <x:v>2021</x:v>
      </x:c>
      <x:c r="I551" s="14" t="n">
        <x:v>2023</x:v>
      </x:c>
      <x:c r="J551" s="14" t="str">
        <x:v>Future Carry-Forward Cohort</x:v>
      </x:c>
      <x:c r="K551" s="14" t="n">
        <x:v>2021</x:v>
      </x:c>
      <x:c r="L551" s="14" t="str">
        <x:v>Available from 2021 analysis</x:v>
      </x:c>
      <x:c r="M551" s="15" t="n">
        <x:v>69</x:v>
      </x:c>
      <x:c r="N551" s="14" t="str">
        <x:v>Syrus Lowe</x:v>
      </x:c>
      <x:c r="O551" s="14" t="str">
        <x:v>nm2906167</x:v>
      </x:c>
      <x:c r="P551" s="14" t="str">
        <x:v>Jarvis Brookes</x:v>
      </x:c>
      <x:c r="Q551" s="15" t="n">
        <x:v>1</x:v>
      </x:c>
      <x:c r="R551" s="14" t="str">
        <x:v>2025</x:v>
      </x:c>
      <x:c r="S551" s="14" t="n">
        <x:v>2025</x:v>
      </x:c>
      <x:c r="T551" s="14" t="n">
        <x:v>2025</x:v>
      </x:c>
      <x:c r="U551" s="14" t="str">
        <x:v>Post-2021 casting excluded</x:v>
      </x:c>
      <x:c r="V551" s="14" t="str">
        <x:v>Earliest supplied year is 2025, later than the 2021 study year.</x:v>
      </x:c>
      <x:c r="W551" s="14"/>
      <x:c r="X551" s="14" t="str">
        <x:v>Carried forward to 2025</x:v>
      </x:c>
      <x:c r="Y551" s="14"/>
      <x:c r="Z551" s="14" t="str">
        <x:v>Grace.docx</x:v>
      </x:c>
      <x:c r="AA5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ITV / ITVX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HYPERLINK("https://en.wikipedia.org/wiki/Grace","Open source")</x:f>
        <x:v>HYPERLINK is not implemented. linkLocation=https://en.wikipedia.org/wiki/Grace, friendlyName=Open source</x:v>
      </x:c>
      <x:c r="AN551" s="14" t="str">
        <x:v>No qualifying BBC relationship</x:v>
      </x:c>
      <x:c r="AO551" s="14" t="str">
        <x:v>No</x:v>
      </x:c>
      <x:c r="AP551" s="14" t="str">
        <x:v>Out of scope</x:v>
      </x:c>
      <x:c r="AQ551" s="14" t="str">
        <x:v>No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20</x:v>
      </x:c>
      <x:c r="BP551" s="14" t="str">
        <x:v>Maximum eligible IMDb cast-credit total (20), shared by 4 performer(s); not independently verified as a 2021-only episode total.</x:v>
      </x:c>
      <x:c r="BQ551" s="14" t="str">
        <x:v>Medium</x:v>
      </x:c>
      <x:c r="BR551" s="15" t="n">
        <x:v>1</x:v>
      </x:c>
      <x:c r="BS551" s="16" t="n">
        <x:v>0.05</x:v>
      </x:c>
      <x:c r="BT551" s="14" t="str">
        <x:v>One episode</x:v>
      </x:c>
      <x:c r="BU551" s="14" t="str">
        <x:v>Medium</x:v>
      </x:c>
      <x:c r="BV551" s="14" t="str">
        <x:v>Derived from supplied IMDb episode count and the documented production-total proxy.</x:v>
      </x:c>
      <x:c r="BW551" s="14" t="str">
        <x:v>Unable to determine</x:v>
      </x:c>
      <x:c r="BX551" s="14" t="str">
        <x:v>Supplied cast data establishes the credit and episode presence but does not establish narrative prominence.</x:v>
      </x:c>
      <x:c r="BY551" s="14" t="str">
        <x:v>Supplied IMDb cast-list workbook</x:v>
      </x:c>
      <x:c r="BZ5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tt11639300|nm4711544|anya chandanasiri</x:v>
      </x:c>
      <x:c r="B552" s="14" t="str">
        <x:v>02</x:v>
      </x:c>
      <x:c r="C552" s="14" t="str">
        <x:v>2021_IMDb_Cast_Lists_Batch_02(1).xlsx</x:v>
      </x:c>
      <x:c r="D552" s="14" t="str">
        <x:v>Grace</x:v>
      </x:c>
      <x:c r="E552" s="14" t="n">
        <x:v>77</x:v>
      </x:c>
      <x:c r="F552" s="14" t="str">
        <x:v>Grace</x:v>
      </x:c>
      <x:c r="G552" s="14" t="str">
        <x:v>tt11639300</x:v>
      </x:c>
      <x:c r="H552" s="14" t="n">
        <x:v>2021</x:v>
      </x:c>
      <x:c r="I552" s="14" t="n">
        <x:v>2023</x:v>
      </x:c>
      <x:c r="J552" s="14" t="str">
        <x:v>Future Carry-Forward Cohort</x:v>
      </x:c>
      <x:c r="K552" s="14" t="n">
        <x:v>2021</x:v>
      </x:c>
      <x:c r="L552" s="14" t="str">
        <x:v>Available from 2021 analysis</x:v>
      </x:c>
      <x:c r="M552" s="15" t="n">
        <x:v>70</x:v>
      </x:c>
      <x:c r="N552" s="14" t="str">
        <x:v>Mia Suda Selway</x:v>
      </x:c>
      <x:c r="O552" s="14" t="str">
        <x:v>nm4711544</x:v>
      </x:c>
      <x:c r="P552" s="14" t="str">
        <x:v>Anya Chandanasiri</x:v>
      </x:c>
      <x:c r="Q552" s="15" t="n">
        <x:v>1</x:v>
      </x:c>
      <x:c r="R552" s="14" t="str">
        <x:v>2025</x:v>
      </x:c>
      <x:c r="S552" s="14" t="n">
        <x:v>2025</x:v>
      </x:c>
      <x:c r="T552" s="14" t="n">
        <x:v>2025</x:v>
      </x:c>
      <x:c r="U552" s="14" t="str">
        <x:v>Post-2021 casting excluded</x:v>
      </x:c>
      <x:c r="V552" s="14" t="str">
        <x:v>Earliest supplied year is 2025, later than the 2021 study year.</x:v>
      </x:c>
      <x:c r="W552" s="14"/>
      <x:c r="X552" s="14" t="str">
        <x:v>Carried forward to 2025</x:v>
      </x:c>
      <x:c r="Y552" s="14"/>
      <x:c r="Z552" s="14" t="str">
        <x:v>Grace.docx</x:v>
      </x:c>
      <x:c r="AA5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ITV / ITVX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HYPERLINK("https://en.wikipedia.org/wiki/Grace","Open source")</x:f>
        <x:v>HYPERLINK is not implemented. linkLocation=https://en.wikipedia.org/wiki/Grace, friendlyName=Open source</x:v>
      </x:c>
      <x:c r="AN552" s="14" t="str">
        <x:v>No qualifying BBC relationship</x:v>
      </x:c>
      <x:c r="AO552" s="14" t="str">
        <x:v>No</x:v>
      </x:c>
      <x:c r="AP552" s="14" t="str">
        <x:v>Out of scope</x:v>
      </x:c>
      <x:c r="AQ552" s="14" t="str">
        <x:v>No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20</x:v>
      </x:c>
      <x:c r="BP552" s="14" t="str">
        <x:v>Maximum eligible IMDb cast-credit total (20), shared by 4 performer(s); not independently verified as a 2021-only episode total.</x:v>
      </x:c>
      <x:c r="BQ552" s="14" t="str">
        <x:v>Medium</x:v>
      </x:c>
      <x:c r="BR552" s="15" t="n">
        <x:v>1</x:v>
      </x:c>
      <x:c r="BS552" s="16" t="n">
        <x:v>0.05</x:v>
      </x:c>
      <x:c r="BT552" s="14" t="str">
        <x:v>One episode</x:v>
      </x:c>
      <x:c r="BU552" s="14" t="str">
        <x:v>Medium</x:v>
      </x:c>
      <x:c r="BV552" s="14" t="str">
        <x:v>Derived from supplied IMDb episode count and the documented production-total proxy.</x:v>
      </x:c>
      <x:c r="BW552" s="14" t="str">
        <x:v>Unable to determine</x:v>
      </x:c>
      <x:c r="BX552" s="14" t="str">
        <x:v>Supplied cast data establishes the credit and episode presence but does not establish narrative prominence.</x:v>
      </x:c>
      <x:c r="BY552" s="14" t="str">
        <x:v>Supplied IMDb cast-list workbook</x:v>
      </x:c>
      <x:c r="BZ5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tt11639300|nm5461751|seymour darling</x:v>
      </x:c>
      <x:c r="B553" s="14" t="str">
        <x:v>02</x:v>
      </x:c>
      <x:c r="C553" s="14" t="str">
        <x:v>2021_IMDb_Cast_Lists_Batch_02(1).xlsx</x:v>
      </x:c>
      <x:c r="D553" s="14" t="str">
        <x:v>Grace</x:v>
      </x:c>
      <x:c r="E553" s="14" t="n">
        <x:v>84</x:v>
      </x:c>
      <x:c r="F553" s="14" t="str">
        <x:v>Grace</x:v>
      </x:c>
      <x:c r="G553" s="14" t="str">
        <x:v>tt11639300</x:v>
      </x:c>
      <x:c r="H553" s="14" t="n">
        <x:v>2021</x:v>
      </x:c>
      <x:c r="I553" s="14" t="n">
        <x:v>2023</x:v>
      </x:c>
      <x:c r="J553" s="14" t="str">
        <x:v>Future Carry-Forward Cohort</x:v>
      </x:c>
      <x:c r="K553" s="14" t="n">
        <x:v>2021</x:v>
      </x:c>
      <x:c r="L553" s="14" t="str">
        <x:v>Available from 2021 analysis</x:v>
      </x:c>
      <x:c r="M553" s="15" t="n">
        <x:v>77</x:v>
      </x:c>
      <x:c r="N553" s="14" t="str">
        <x:v>Joe Hughes</x:v>
      </x:c>
      <x:c r="O553" s="14" t="str">
        <x:v>nm5461751</x:v>
      </x:c>
      <x:c r="P553" s="14" t="str">
        <x:v>Seymour Darling</x:v>
      </x:c>
      <x:c r="Q553" s="15" t="n">
        <x:v>1</x:v>
      </x:c>
      <x:c r="R553" s="14" t="str">
        <x:v>2025</x:v>
      </x:c>
      <x:c r="S553" s="14" t="n">
        <x:v>2025</x:v>
      </x:c>
      <x:c r="T553" s="14" t="n">
        <x:v>2025</x:v>
      </x:c>
      <x:c r="U553" s="14" t="str">
        <x:v>Post-2021 casting excluded</x:v>
      </x:c>
      <x:c r="V553" s="14" t="str">
        <x:v>Earliest supplied year is 2025, later than the 2021 study year.</x:v>
      </x:c>
      <x:c r="W553" s="14"/>
      <x:c r="X553" s="14" t="str">
        <x:v>Carried forward to 2025</x:v>
      </x:c>
      <x:c r="Y553" s="14"/>
      <x:c r="Z553" s="14" t="str">
        <x:v>Grace.docx</x:v>
      </x:c>
      <x:c r="AA5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ITV / ITVX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HYPERLINK("https://en.wikipedia.org/wiki/Grace","Open source")</x:f>
        <x:v>HYPERLINK is not implemented. linkLocation=https://en.wikipedia.org/wiki/Grace, friendlyName=Open source</x:v>
      </x:c>
      <x:c r="AN553" s="14" t="str">
        <x:v>No qualifying BBC relationship</x:v>
      </x:c>
      <x:c r="AO553" s="14" t="str">
        <x:v>No</x:v>
      </x:c>
      <x:c r="AP553" s="14" t="str">
        <x:v>Out of scope</x:v>
      </x:c>
      <x:c r="AQ553" s="14" t="str">
        <x:v>No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20</x:v>
      </x:c>
      <x:c r="BP553" s="14" t="str">
        <x:v>Maximum eligible IMDb cast-credit total (20), shared by 4 performer(s); not independently verified as a 2021-only episode total.</x:v>
      </x:c>
      <x:c r="BQ553" s="14" t="str">
        <x:v>Medium</x:v>
      </x:c>
      <x:c r="BR553" s="15" t="n">
        <x:v>1</x:v>
      </x:c>
      <x:c r="BS553" s="16" t="n">
        <x:v>0.05</x:v>
      </x:c>
      <x:c r="BT553" s="14" t="str">
        <x:v>One episode</x:v>
      </x:c>
      <x:c r="BU553" s="14" t="str">
        <x:v>Medium</x:v>
      </x:c>
      <x:c r="BV553" s="14" t="str">
        <x:v>Derived from supplied IMDb episode count and the documented production-total proxy.</x:v>
      </x:c>
      <x:c r="BW553" s="14" t="str">
        <x:v>Unable to determine</x:v>
      </x:c>
      <x:c r="BX553" s="14" t="str">
        <x:v>Supplied cast data establishes the credit and episode presence but does not establish narrative prominence.</x:v>
      </x:c>
      <x:c r="BY553" s="14" t="str">
        <x:v>Supplied IMDb cast-list workbook</x:v>
      </x:c>
      <x:c r="BZ5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tt11639300|nm1682272|officer johnson</x:v>
      </x:c>
      <x:c r="B554" s="14" t="str">
        <x:v>02</x:v>
      </x:c>
      <x:c r="C554" s="14" t="str">
        <x:v>2021_IMDb_Cast_Lists_Batch_02(1).xlsx</x:v>
      </x:c>
      <x:c r="D554" s="14" t="str">
        <x:v>Grace</x:v>
      </x:c>
      <x:c r="E554" s="14" t="n">
        <x:v>85</x:v>
      </x:c>
      <x:c r="F554" s="14" t="str">
        <x:v>Grace</x:v>
      </x:c>
      <x:c r="G554" s="14" t="str">
        <x:v>tt11639300</x:v>
      </x:c>
      <x:c r="H554" s="14" t="n">
        <x:v>2021</x:v>
      </x:c>
      <x:c r="I554" s="14" t="n">
        <x:v>2023</x:v>
      </x:c>
      <x:c r="J554" s="14" t="str">
        <x:v>Future Carry-Forward Cohort</x:v>
      </x:c>
      <x:c r="K554" s="14" t="n">
        <x:v>2021</x:v>
      </x:c>
      <x:c r="L554" s="14" t="str">
        <x:v>Available from 2021 analysis</x:v>
      </x:c>
      <x:c r="M554" s="15" t="n">
        <x:v>78</x:v>
      </x:c>
      <x:c r="N554" s="14" t="str">
        <x:v>Lace Akpojaro</x:v>
      </x:c>
      <x:c r="O554" s="14" t="str">
        <x:v>nm1682272</x:v>
      </x:c>
      <x:c r="P554" s="14" t="str">
        <x:v>Officer Johnson</x:v>
      </x:c>
      <x:c r="Q554" s="15" t="n">
        <x:v>1</x:v>
      </x:c>
      <x:c r="R554" s="14" t="str">
        <x:v>2025</x:v>
      </x:c>
      <x:c r="S554" s="14" t="n">
        <x:v>2025</x:v>
      </x:c>
      <x:c r="T554" s="14" t="n">
        <x:v>2025</x:v>
      </x:c>
      <x:c r="U554" s="14" t="str">
        <x:v>Post-2021 casting excluded</x:v>
      </x:c>
      <x:c r="V554" s="14" t="str">
        <x:v>Earliest supplied year is 2025, later than the 2021 study year.</x:v>
      </x:c>
      <x:c r="W554" s="14"/>
      <x:c r="X554" s="14" t="str">
        <x:v>Carried forward to 2025</x:v>
      </x:c>
      <x:c r="Y554" s="14"/>
      <x:c r="Z554" s="14" t="str">
        <x:v>Grace.docx</x:v>
      </x:c>
      <x:c r="AA5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ITV / ITVX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HYPERLINK("https://en.wikipedia.org/wiki/Grace","Open source")</x:f>
        <x:v>HYPERLINK is not implemented. linkLocation=https://en.wikipedia.org/wiki/Grace, friendlyName=Open source</x:v>
      </x:c>
      <x:c r="AN554" s="14" t="str">
        <x:v>No qualifying BBC relationship</x:v>
      </x:c>
      <x:c r="AO554" s="14" t="str">
        <x:v>No</x:v>
      </x:c>
      <x:c r="AP554" s="14" t="str">
        <x:v>Out of scope</x:v>
      </x:c>
      <x:c r="AQ554" s="14" t="str">
        <x:v>No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20</x:v>
      </x:c>
      <x:c r="BP554" s="14" t="str">
        <x:v>Maximum eligible IMDb cast-credit total (20), shared by 4 performer(s); not independently verified as a 2021-only episode total.</x:v>
      </x:c>
      <x:c r="BQ554" s="14" t="str">
        <x:v>Medium</x:v>
      </x:c>
      <x:c r="BR554" s="15" t="n">
        <x:v>1</x:v>
      </x:c>
      <x:c r="BS554" s="16" t="n">
        <x:v>0.05</x:v>
      </x:c>
      <x:c r="BT554" s="14" t="str">
        <x:v>One episode</x:v>
      </x:c>
      <x:c r="BU554" s="14" t="str">
        <x:v>Medium</x:v>
      </x:c>
      <x:c r="BV554" s="14" t="str">
        <x:v>Derived from supplied IMDb episode count and the documented production-total proxy.</x:v>
      </x:c>
      <x:c r="BW554" s="14" t="str">
        <x:v>Unable to determine</x:v>
      </x:c>
      <x:c r="BX554" s="14" t="str">
        <x:v>Supplied cast data establishes the credit and episode presence but does not establish narrative prominence.</x:v>
      </x:c>
      <x:c r="BY554" s="14" t="str">
        <x:v>Supplied IMDb cast-list workbook</x:v>
      </x:c>
      <x:c r="BZ5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tt11639300|nm17192834|hotel assistant</x:v>
      </x:c>
      <x:c r="B555" s="14" t="str">
        <x:v>02</x:v>
      </x:c>
      <x:c r="C555" s="14" t="str">
        <x:v>2021_IMDb_Cast_Lists_Batch_02(1).xlsx</x:v>
      </x:c>
      <x:c r="D555" s="14" t="str">
        <x:v>Grace</x:v>
      </x:c>
      <x:c r="E555" s="14" t="n">
        <x:v>86</x:v>
      </x:c>
      <x:c r="F555" s="14" t="str">
        <x:v>Grace</x:v>
      </x:c>
      <x:c r="G555" s="14" t="str">
        <x:v>tt11639300</x:v>
      </x:c>
      <x:c r="H555" s="14" t="n">
        <x:v>2021</x:v>
      </x:c>
      <x:c r="I555" s="14" t="n">
        <x:v>2023</x:v>
      </x:c>
      <x:c r="J555" s="14" t="str">
        <x:v>Future Carry-Forward Cohort</x:v>
      </x:c>
      <x:c r="K555" s="14" t="n">
        <x:v>2021</x:v>
      </x:c>
      <x:c r="L555" s="14" t="str">
        <x:v>Available from 2021 analysis</x:v>
      </x:c>
      <x:c r="M555" s="15" t="n">
        <x:v>79</x:v>
      </x:c>
      <x:c r="N555" s="14" t="str">
        <x:v>Georgie Last</x:v>
      </x:c>
      <x:c r="O555" s="14" t="str">
        <x:v>nm17192834</x:v>
      </x:c>
      <x:c r="P555" s="14" t="str">
        <x:v>Hotel Assistant</x:v>
      </x:c>
      <x:c r="Q555" s="15" t="n">
        <x:v>1</x:v>
      </x:c>
      <x:c r="R555" s="14" t="str">
        <x:v>2025</x:v>
      </x:c>
      <x:c r="S555" s="14" t="n">
        <x:v>2025</x:v>
      </x:c>
      <x:c r="T555" s="14" t="n">
        <x:v>2025</x:v>
      </x:c>
      <x:c r="U555" s="14" t="str">
        <x:v>Post-2021 casting excluded</x:v>
      </x:c>
      <x:c r="V555" s="14" t="str">
        <x:v>Earliest supplied year is 2025, later than the 2021 study year.</x:v>
      </x:c>
      <x:c r="W555" s="14"/>
      <x:c r="X555" s="14" t="str">
        <x:v>Carried forward to 2025</x:v>
      </x:c>
      <x:c r="Y555" s="14"/>
      <x:c r="Z555" s="14" t="str">
        <x:v>Grace.docx</x:v>
      </x:c>
      <x:c r="AA5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ITV / ITVX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HYPERLINK("https://en.wikipedia.org/wiki/Grace","Open source")</x:f>
        <x:v>HYPERLINK is not implemented. linkLocation=https://en.wikipedia.org/wiki/Grace, friendlyName=Open source</x:v>
      </x:c>
      <x:c r="AN555" s="14" t="str">
        <x:v>No qualifying BBC relationship</x:v>
      </x:c>
      <x:c r="AO555" s="14" t="str">
        <x:v>No</x:v>
      </x:c>
      <x:c r="AP555" s="14" t="str">
        <x:v>Out of scope</x:v>
      </x:c>
      <x:c r="AQ555" s="14" t="str">
        <x:v>No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20</x:v>
      </x:c>
      <x:c r="BP555" s="14" t="str">
        <x:v>Maximum eligible IMDb cast-credit total (20), shared by 4 performer(s); not independently verified as a 2021-only episode total.</x:v>
      </x:c>
      <x:c r="BQ555" s="14" t="str">
        <x:v>Medium</x:v>
      </x:c>
      <x:c r="BR555" s="15" t="n">
        <x:v>1</x:v>
      </x:c>
      <x:c r="BS555" s="16" t="n">
        <x:v>0.05</x:v>
      </x:c>
      <x:c r="BT555" s="14" t="str">
        <x:v>One episode</x:v>
      </x:c>
      <x:c r="BU555" s="14" t="str">
        <x:v>Medium</x:v>
      </x:c>
      <x:c r="BV555" s="14" t="str">
        <x:v>Derived from supplied IMDb episode count and the documented production-total proxy.</x:v>
      </x:c>
      <x:c r="BW555" s="14" t="str">
        <x:v>Unable to determine</x:v>
      </x:c>
      <x:c r="BX555" s="14" t="str">
        <x:v>Supplied cast data establishes the credit and episode presence but does not establish narrative prominence.</x:v>
      </x:c>
      <x:c r="BY555" s="14" t="str">
        <x:v>Supplied IMDb cast-list workbook</x:v>
      </x:c>
      <x:c r="BZ5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tt11639300|nm14580940|duty manager</x:v>
      </x:c>
      <x:c r="B556" s="14" t="str">
        <x:v>02</x:v>
      </x:c>
      <x:c r="C556" s="14" t="str">
        <x:v>2021_IMDb_Cast_Lists_Batch_02(1).xlsx</x:v>
      </x:c>
      <x:c r="D556" s="14" t="str">
        <x:v>Grace</x:v>
      </x:c>
      <x:c r="E556" s="14" t="n">
        <x:v>94</x:v>
      </x:c>
      <x:c r="F556" s="14" t="str">
        <x:v>Grace</x:v>
      </x:c>
      <x:c r="G556" s="14" t="str">
        <x:v>tt11639300</x:v>
      </x:c>
      <x:c r="H556" s="14" t="n">
        <x:v>2021</x:v>
      </x:c>
      <x:c r="I556" s="14" t="n">
        <x:v>2023</x:v>
      </x:c>
      <x:c r="J556" s="14" t="str">
        <x:v>Future Carry-Forward Cohort</x:v>
      </x:c>
      <x:c r="K556" s="14" t="n">
        <x:v>2021</x:v>
      </x:c>
      <x:c r="L556" s="14" t="str">
        <x:v>Available from 2021 analysis</x:v>
      </x:c>
      <x:c r="M556" s="15" t="n">
        <x:v>87</x:v>
      </x:c>
      <x:c r="N556" s="14" t="str">
        <x:v>Lexi Austin-Jones</x:v>
      </x:c>
      <x:c r="O556" s="14" t="str">
        <x:v>nm14580940</x:v>
      </x:c>
      <x:c r="P556" s="14" t="str">
        <x:v>Duty Manager</x:v>
      </x:c>
      <x:c r="Q556" s="15" t="n">
        <x:v>1</x:v>
      </x:c>
      <x:c r="R556" s="14" t="str">
        <x:v>2025</x:v>
      </x:c>
      <x:c r="S556" s="14" t="n">
        <x:v>2025</x:v>
      </x:c>
      <x:c r="T556" s="14" t="n">
        <x:v>2025</x:v>
      </x:c>
      <x:c r="U556" s="14" t="str">
        <x:v>Post-2021 casting excluded</x:v>
      </x:c>
      <x:c r="V556" s="14" t="str">
        <x:v>Earliest supplied year is 2025, later than the 2021 study year.</x:v>
      </x:c>
      <x:c r="W556" s="14"/>
      <x:c r="X556" s="14" t="str">
        <x:v>Carried forward to 2025</x:v>
      </x:c>
      <x:c r="Y556" s="14"/>
      <x:c r="Z556" s="14" t="str">
        <x:v>Grace.docx</x:v>
      </x:c>
      <x:c r="AA5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ITV / ITVX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HYPERLINK("https://en.wikipedia.org/wiki/Grace","Open source")</x:f>
        <x:v>HYPERLINK is not implemented. linkLocation=https://en.wikipedia.org/wiki/Grace, friendlyName=Open source</x:v>
      </x:c>
      <x:c r="AN556" s="14" t="str">
        <x:v>No qualifying BBC relationship</x:v>
      </x:c>
      <x:c r="AO556" s="14" t="str">
        <x:v>No</x:v>
      </x:c>
      <x:c r="AP556" s="14" t="str">
        <x:v>Out of scope</x:v>
      </x:c>
      <x:c r="AQ556" s="14" t="str">
        <x:v>No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20</x:v>
      </x:c>
      <x:c r="BP556" s="14" t="str">
        <x:v>Maximum eligible IMDb cast-credit total (20), shared by 4 performer(s); not independently verified as a 2021-only episode total.</x:v>
      </x:c>
      <x:c r="BQ556" s="14" t="str">
        <x:v>Medium</x:v>
      </x:c>
      <x:c r="BR556" s="15" t="n">
        <x:v>1</x:v>
      </x:c>
      <x:c r="BS556" s="16" t="n">
        <x:v>0.05</x:v>
      </x:c>
      <x:c r="BT556" s="14" t="str">
        <x:v>One episode</x:v>
      </x:c>
      <x:c r="BU556" s="14" t="str">
        <x:v>Medium</x:v>
      </x:c>
      <x:c r="BV556" s="14" t="str">
        <x:v>Derived from supplied IMDb episode count and the documented production-total proxy.</x:v>
      </x:c>
      <x:c r="BW556" s="14" t="str">
        <x:v>Unable to determine</x:v>
      </x:c>
      <x:c r="BX556" s="14" t="str">
        <x:v>Supplied cast data establishes the credit and episode presence but does not establish narrative prominence.</x:v>
      </x:c>
      <x:c r="BY556" s="14" t="str">
        <x:v>Supplied IMDb cast-list workbook</x:v>
      </x:c>
      <x:c r="BZ5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tt11639300|nm0233215|terrence maxwell</x:v>
      </x:c>
      <x:c r="B557" s="14" t="str">
        <x:v>02</x:v>
      </x:c>
      <x:c r="C557" s="14" t="str">
        <x:v>2021_IMDb_Cast_Lists_Batch_02(1).xlsx</x:v>
      </x:c>
      <x:c r="D557" s="14" t="str">
        <x:v>Grace</x:v>
      </x:c>
      <x:c r="E557" s="14" t="n">
        <x:v>104</x:v>
      </x:c>
      <x:c r="F557" s="14" t="str">
        <x:v>Grace</x:v>
      </x:c>
      <x:c r="G557" s="14" t="str">
        <x:v>tt11639300</x:v>
      </x:c>
      <x:c r="H557" s="14" t="n">
        <x:v>2021</x:v>
      </x:c>
      <x:c r="I557" s="14" t="n">
        <x:v>2023</x:v>
      </x:c>
      <x:c r="J557" s="14" t="str">
        <x:v>Future Carry-Forward Cohort</x:v>
      </x:c>
      <x:c r="K557" s="14" t="n">
        <x:v>2021</x:v>
      </x:c>
      <x:c r="L557" s="14" t="str">
        <x:v>Available from 2021 analysis</x:v>
      </x:c>
      <x:c r="M557" s="15" t="n">
        <x:v>97</x:v>
      </x:c>
      <x:c r="N557" s="14" t="str">
        <x:v>Shaun Dooley</x:v>
      </x:c>
      <x:c r="O557" s="14" t="str">
        <x:v>nm0233215</x:v>
      </x:c>
      <x:c r="P557" s="14" t="str">
        <x:v>Terrence Maxwell</x:v>
      </x:c>
      <x:c r="Q557" s="15" t="n">
        <x:v>1</x:v>
      </x:c>
      <x:c r="R557" s="14" t="str">
        <x:v>2025</x:v>
      </x:c>
      <x:c r="S557" s="14" t="n">
        <x:v>2025</x:v>
      </x:c>
      <x:c r="T557" s="14" t="n">
        <x:v>2025</x:v>
      </x:c>
      <x:c r="U557" s="14" t="str">
        <x:v>Post-2021 casting excluded</x:v>
      </x:c>
      <x:c r="V557" s="14" t="str">
        <x:v>Earliest supplied year is 2025, later than the 2021 study year.</x:v>
      </x:c>
      <x:c r="W557" s="14"/>
      <x:c r="X557" s="14" t="str">
        <x:v>Carried forward to 2025</x:v>
      </x:c>
      <x:c r="Y557" s="14"/>
      <x:c r="Z557" s="14" t="str">
        <x:v>Grace.docx</x:v>
      </x:c>
      <x:c r="AA5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ITV / ITVX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HYPERLINK("https://en.wikipedia.org/wiki/Grace","Open source")</x:f>
        <x:v>HYPERLINK is not implemented. linkLocation=https://en.wikipedia.org/wiki/Grace, friendlyName=Open source</x:v>
      </x:c>
      <x:c r="AN557" s="14" t="str">
        <x:v>No qualifying BBC relationship</x:v>
      </x:c>
      <x:c r="AO557" s="14" t="str">
        <x:v>No</x:v>
      </x:c>
      <x:c r="AP557" s="14" t="str">
        <x:v>Out of scope</x:v>
      </x:c>
      <x:c r="AQ557" s="14" t="str">
        <x:v>No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20</x:v>
      </x:c>
      <x:c r="BP557" s="14" t="str">
        <x:v>Maximum eligible IMDb cast-credit total (20), shared by 4 performer(s); not independently verified as a 2021-only episode total.</x:v>
      </x:c>
      <x:c r="BQ557" s="14" t="str">
        <x:v>Medium</x:v>
      </x:c>
      <x:c r="BR557" s="15" t="n">
        <x:v>1</x:v>
      </x:c>
      <x:c r="BS557" s="16" t="n">
        <x:v>0.05</x:v>
      </x:c>
      <x:c r="BT557" s="14" t="str">
        <x:v>One episode</x:v>
      </x:c>
      <x:c r="BU557" s="14" t="str">
        <x:v>Medium</x:v>
      </x:c>
      <x:c r="BV557" s="14" t="str">
        <x:v>Derived from supplied IMDb episode count and the documented production-total proxy.</x:v>
      </x:c>
      <x:c r="BW557" s="14" t="str">
        <x:v>Unable to determine</x:v>
      </x:c>
      <x:c r="BX557" s="14" t="str">
        <x:v>Supplied cast data establishes the credit and episode presence but does not establish narrative prominence.</x:v>
      </x:c>
      <x:c r="BY557" s="14" t="str">
        <x:v>Supplied IMDb cast-list workbook</x:v>
      </x:c>
      <x:c r="BZ5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tt11639300|nm12783562|driton</x:v>
      </x:c>
      <x:c r="B558" s="14" t="str">
        <x:v>02</x:v>
      </x:c>
      <x:c r="C558" s="14" t="str">
        <x:v>2021_IMDb_Cast_Lists_Batch_02(1).xlsx</x:v>
      </x:c>
      <x:c r="D558" s="14" t="str">
        <x:v>Grace</x:v>
      </x:c>
      <x:c r="E558" s="14" t="n">
        <x:v>105</x:v>
      </x:c>
      <x:c r="F558" s="14" t="str">
        <x:v>Grace</x:v>
      </x:c>
      <x:c r="G558" s="14" t="str">
        <x:v>tt11639300</x:v>
      </x:c>
      <x:c r="H558" s="14" t="n">
        <x:v>2021</x:v>
      </x:c>
      <x:c r="I558" s="14" t="n">
        <x:v>2023</x:v>
      </x:c>
      <x:c r="J558" s="14" t="str">
        <x:v>Future Carry-Forward Cohort</x:v>
      </x:c>
      <x:c r="K558" s="14" t="n">
        <x:v>2021</x:v>
      </x:c>
      <x:c r="L558" s="14" t="str">
        <x:v>Available from 2021 analysis</x:v>
      </x:c>
      <x:c r="M558" s="15" t="n">
        <x:v>98</x:v>
      </x:c>
      <x:c r="N558" s="14" t="str">
        <x:v>Arthur Aliiev</x:v>
      </x:c>
      <x:c r="O558" s="14" t="str">
        <x:v>nm12783562</x:v>
      </x:c>
      <x:c r="P558" s="14" t="str">
        <x:v>Driton</x:v>
      </x:c>
      <x:c r="Q558" s="15" t="n">
        <x:v>1</x:v>
      </x:c>
      <x:c r="R558" s="14" t="str">
        <x:v>2025</x:v>
      </x:c>
      <x:c r="S558" s="14" t="n">
        <x:v>2025</x:v>
      </x:c>
      <x:c r="T558" s="14" t="n">
        <x:v>2025</x:v>
      </x:c>
      <x:c r="U558" s="14" t="str">
        <x:v>Post-2021 casting excluded</x:v>
      </x:c>
      <x:c r="V558" s="14" t="str">
        <x:v>Earliest supplied year is 2025, later than the 2021 study year.</x:v>
      </x:c>
      <x:c r="W558" s="14"/>
      <x:c r="X558" s="14" t="str">
        <x:v>Carried forward to 2025</x:v>
      </x:c>
      <x:c r="Y558" s="14"/>
      <x:c r="Z558" s="14" t="str">
        <x:v>Grace.docx</x:v>
      </x:c>
      <x:c r="AA5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ITV / ITVX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HYPERLINK("https://en.wikipedia.org/wiki/Grace","Open source")</x:f>
        <x:v>HYPERLINK is not implemented. linkLocation=https://en.wikipedia.org/wiki/Grace, friendlyName=Open source</x:v>
      </x:c>
      <x:c r="AN558" s="14" t="str">
        <x:v>No qualifying BBC relationship</x:v>
      </x:c>
      <x:c r="AO558" s="14" t="str">
        <x:v>No</x:v>
      </x:c>
      <x:c r="AP558" s="14" t="str">
        <x:v>Out of scope</x:v>
      </x:c>
      <x:c r="AQ558" s="14" t="str">
        <x:v>No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20</x:v>
      </x:c>
      <x:c r="BP558" s="14" t="str">
        <x:v>Maximum eligible IMDb cast-credit total (20), shared by 4 performer(s); not independently verified as a 2021-only episode total.</x:v>
      </x:c>
      <x:c r="BQ558" s="14" t="str">
        <x:v>Medium</x:v>
      </x:c>
      <x:c r="BR558" s="15" t="n">
        <x:v>1</x:v>
      </x:c>
      <x:c r="BS558" s="16" t="n">
        <x:v>0.05</x:v>
      </x:c>
      <x:c r="BT558" s="14" t="str">
        <x:v>One episode</x:v>
      </x:c>
      <x:c r="BU558" s="14" t="str">
        <x:v>Medium</x:v>
      </x:c>
      <x:c r="BV558" s="14" t="str">
        <x:v>Derived from supplied IMDb episode count and the documented production-total proxy.</x:v>
      </x:c>
      <x:c r="BW558" s="14" t="str">
        <x:v>Unable to determine</x:v>
      </x:c>
      <x:c r="BX558" s="14" t="str">
        <x:v>Supplied cast data establishes the credit and episode presence but does not establish narrative prominence.</x:v>
      </x:c>
      <x:c r="BY558" s="14" t="str">
        <x:v>Supplied IMDb cast-list workbook</x:v>
      </x:c>
      <x:c r="BZ5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tt11639300|nm6373079|dren</x:v>
      </x:c>
      <x:c r="B559" s="14" t="str">
        <x:v>02</x:v>
      </x:c>
      <x:c r="C559" s="14" t="str">
        <x:v>2021_IMDb_Cast_Lists_Batch_02(1).xlsx</x:v>
      </x:c>
      <x:c r="D559" s="14" t="str">
        <x:v>Grace</x:v>
      </x:c>
      <x:c r="E559" s="14" t="n">
        <x:v>116</x:v>
      </x:c>
      <x:c r="F559" s="14" t="str">
        <x:v>Grace</x:v>
      </x:c>
      <x:c r="G559" s="14" t="str">
        <x:v>tt11639300</x:v>
      </x:c>
      <x:c r="H559" s="14" t="n">
        <x:v>2021</x:v>
      </x:c>
      <x:c r="I559" s="14" t="n">
        <x:v>2023</x:v>
      </x:c>
      <x:c r="J559" s="14" t="str">
        <x:v>Future Carry-Forward Cohort</x:v>
      </x:c>
      <x:c r="K559" s="14" t="n">
        <x:v>2021</x:v>
      </x:c>
      <x:c r="L559" s="14" t="str">
        <x:v>Available from 2021 analysis</x:v>
      </x:c>
      <x:c r="M559" s="15" t="n">
        <x:v>109</x:v>
      </x:c>
      <x:c r="N559" s="14" t="str">
        <x:v>Madalina Bellariu Ion</x:v>
      </x:c>
      <x:c r="O559" s="14" t="str">
        <x:v>nm6373079</x:v>
      </x:c>
      <x:c r="P559" s="14" t="str">
        <x:v>Dren</x:v>
      </x:c>
      <x:c r="Q559" s="15" t="n">
        <x:v>1</x:v>
      </x:c>
      <x:c r="R559" s="14" t="str">
        <x:v>2025</x:v>
      </x:c>
      <x:c r="S559" s="14" t="n">
        <x:v>2025</x:v>
      </x:c>
      <x:c r="T559" s="14" t="n">
        <x:v>2025</x:v>
      </x:c>
      <x:c r="U559" s="14" t="str">
        <x:v>Post-2021 casting excluded</x:v>
      </x:c>
      <x:c r="V559" s="14" t="str">
        <x:v>Earliest supplied year is 2025, later than the 2021 study year.</x:v>
      </x:c>
      <x:c r="W559" s="14"/>
      <x:c r="X559" s="14" t="str">
        <x:v>Carried forward to 2025</x:v>
      </x:c>
      <x:c r="Y559" s="14" t="str">
        <x:v>(as Madalina Bellariu)</x:v>
      </x:c>
      <x:c r="Z559" s="14" t="str">
        <x:v>Grace.docx</x:v>
      </x:c>
      <x:c r="AA5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ITV / ITVX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HYPERLINK("https://en.wikipedia.org/wiki/Grace","Open source")</x:f>
        <x:v>HYPERLINK is not implemented. linkLocation=https://en.wikipedia.org/wiki/Grace, friendlyName=Open source</x:v>
      </x:c>
      <x:c r="AN559" s="14" t="str">
        <x:v>No qualifying BBC relationship</x:v>
      </x:c>
      <x:c r="AO559" s="14" t="str">
        <x:v>No</x:v>
      </x:c>
      <x:c r="AP559" s="14" t="str">
        <x:v>Out of scope</x:v>
      </x:c>
      <x:c r="AQ559" s="14" t="str">
        <x:v>No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20</x:v>
      </x:c>
      <x:c r="BP559" s="14" t="str">
        <x:v>Maximum eligible IMDb cast-credit total (20), shared by 4 performer(s); not independently verified as a 2021-only episode total.</x:v>
      </x:c>
      <x:c r="BQ559" s="14" t="str">
        <x:v>Medium</x:v>
      </x:c>
      <x:c r="BR559" s="15" t="n">
        <x:v>1</x:v>
      </x:c>
      <x:c r="BS559" s="16" t="n">
        <x:v>0.05</x:v>
      </x:c>
      <x:c r="BT559" s="14" t="str">
        <x:v>One episode</x:v>
      </x:c>
      <x:c r="BU559" s="14" t="str">
        <x:v>Medium</x:v>
      </x:c>
      <x:c r="BV559" s="14" t="str">
        <x:v>Derived from supplied IMDb episode count and the documented production-total proxy.</x:v>
      </x:c>
      <x:c r="BW559" s="14" t="str">
        <x:v>Unable to determine</x:v>
      </x:c>
      <x:c r="BX559" s="14" t="str">
        <x:v>Supplied cast data establishes the credit and episode presence but does not establish narrative prominence.</x:v>
      </x:c>
      <x:c r="BY559" s="14" t="str">
        <x:v>Supplied IMDb cast-list workbook</x:v>
      </x:c>
      <x:c r="BZ5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tt11639300|nm0344237|chief constable</x:v>
      </x:c>
      <x:c r="B560" s="14" t="str">
        <x:v>02</x:v>
      </x:c>
      <x:c r="C560" s="14" t="str">
        <x:v>2021_IMDb_Cast_Lists_Batch_02(1).xlsx</x:v>
      </x:c>
      <x:c r="D560" s="14" t="str">
        <x:v>Grace</x:v>
      </x:c>
      <x:c r="E560" s="14" t="n">
        <x:v>117</x:v>
      </x:c>
      <x:c r="F560" s="14" t="str">
        <x:v>Grace</x:v>
      </x:c>
      <x:c r="G560" s="14" t="str">
        <x:v>tt11639300</x:v>
      </x:c>
      <x:c r="H560" s="14" t="n">
        <x:v>2021</x:v>
      </x:c>
      <x:c r="I560" s="14" t="n">
        <x:v>2023</x:v>
      </x:c>
      <x:c r="J560" s="14" t="str">
        <x:v>Future Carry-Forward Cohort</x:v>
      </x:c>
      <x:c r="K560" s="14" t="n">
        <x:v>2021</x:v>
      </x:c>
      <x:c r="L560" s="14" t="str">
        <x:v>Available from 2021 analysis</x:v>
      </x:c>
      <x:c r="M560" s="15" t="n">
        <x:v>110</x:v>
      </x:c>
      <x:c r="N560" s="14" t="str">
        <x:v>Caroline Gruber</x:v>
      </x:c>
      <x:c r="O560" s="14" t="str">
        <x:v>nm0344237</x:v>
      </x:c>
      <x:c r="P560" s="14" t="str">
        <x:v>Chief Constable</x:v>
      </x:c>
      <x:c r="Q560" s="15" t="n">
        <x:v>1</x:v>
      </x:c>
      <x:c r="R560" s="14" t="str">
        <x:v>2025</x:v>
      </x:c>
      <x:c r="S560" s="14" t="n">
        <x:v>2025</x:v>
      </x:c>
      <x:c r="T560" s="14" t="n">
        <x:v>2025</x:v>
      </x:c>
      <x:c r="U560" s="14" t="str">
        <x:v>Post-2021 casting excluded</x:v>
      </x:c>
      <x:c r="V560" s="14" t="str">
        <x:v>Earliest supplied year is 2025, later than the 2021 study year.</x:v>
      </x:c>
      <x:c r="W560" s="14"/>
      <x:c r="X560" s="14" t="str">
        <x:v>Carried forward to 2025</x:v>
      </x:c>
      <x:c r="Y560" s="14"/>
      <x:c r="Z560" s="14" t="str">
        <x:v>Grace.docx</x:v>
      </x:c>
      <x:c r="AA5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ITV / ITVX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HYPERLINK("https://en.wikipedia.org/wiki/Grace","Open source")</x:f>
        <x:v>HYPERLINK is not implemented. linkLocation=https://en.wikipedia.org/wiki/Grace, friendlyName=Open source</x:v>
      </x:c>
      <x:c r="AN560" s="14" t="str">
        <x:v>No qualifying BBC relationship</x:v>
      </x:c>
      <x:c r="AO560" s="14" t="str">
        <x:v>No</x:v>
      </x:c>
      <x:c r="AP560" s="14" t="str">
        <x:v>Out of scope</x:v>
      </x:c>
      <x:c r="AQ560" s="14" t="str">
        <x:v>No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20</x:v>
      </x:c>
      <x:c r="BP560" s="14" t="str">
        <x:v>Maximum eligible IMDb cast-credit total (20), shared by 4 performer(s); not independently verified as a 2021-only episode total.</x:v>
      </x:c>
      <x:c r="BQ560" s="14" t="str">
        <x:v>Medium</x:v>
      </x:c>
      <x:c r="BR560" s="15" t="n">
        <x:v>1</x:v>
      </x:c>
      <x:c r="BS560" s="16" t="n">
        <x:v>0.05</x:v>
      </x:c>
      <x:c r="BT560" s="14" t="str">
        <x:v>One episode</x:v>
      </x:c>
      <x:c r="BU560" s="14" t="str">
        <x:v>Medium</x:v>
      </x:c>
      <x:c r="BV560" s="14" t="str">
        <x:v>Derived from supplied IMDb episode count and the documented production-total proxy.</x:v>
      </x:c>
      <x:c r="BW560" s="14" t="str">
        <x:v>Unable to determine</x:v>
      </x:c>
      <x:c r="BX560" s="14" t="str">
        <x:v>Supplied cast data establishes the credit and episode presence but does not establish narrative prominence.</x:v>
      </x:c>
      <x:c r="BY560" s="14" t="str">
        <x:v>Supplied IMDb cast-list workbook</x:v>
      </x:c>
      <x:c r="BZ5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tt11639300|nm11471405|wesley</x:v>
      </x:c>
      <x:c r="B561" s="14" t="str">
        <x:v>02</x:v>
      </x:c>
      <x:c r="C561" s="14" t="str">
        <x:v>2021_IMDb_Cast_Lists_Batch_02(1).xlsx</x:v>
      </x:c>
      <x:c r="D561" s="14" t="str">
        <x:v>Grace</x:v>
      </x:c>
      <x:c r="E561" s="14" t="n">
        <x:v>118</x:v>
      </x:c>
      <x:c r="F561" s="14" t="str">
        <x:v>Grace</x:v>
      </x:c>
      <x:c r="G561" s="14" t="str">
        <x:v>tt11639300</x:v>
      </x:c>
      <x:c r="H561" s="14" t="n">
        <x:v>2021</x:v>
      </x:c>
      <x:c r="I561" s="14" t="n">
        <x:v>2023</x:v>
      </x:c>
      <x:c r="J561" s="14" t="str">
        <x:v>Future Carry-Forward Cohort</x:v>
      </x:c>
      <x:c r="K561" s="14" t="n">
        <x:v>2021</x:v>
      </x:c>
      <x:c r="L561" s="14" t="str">
        <x:v>Available from 2021 analysis</x:v>
      </x:c>
      <x:c r="M561" s="15" t="n">
        <x:v>111</x:v>
      </x:c>
      <x:c r="N561" s="14" t="str">
        <x:v>Jack Barker</x:v>
      </x:c>
      <x:c r="O561" s="14" t="str">
        <x:v>nm11471405</x:v>
      </x:c>
      <x:c r="P561" s="14" t="str">
        <x:v>Wesley</x:v>
      </x:c>
      <x:c r="Q561" s="15" t="n">
        <x:v>1</x:v>
      </x:c>
      <x:c r="R561" s="14" t="str">
        <x:v>2025</x:v>
      </x:c>
      <x:c r="S561" s="14" t="n">
        <x:v>2025</x:v>
      </x:c>
      <x:c r="T561" s="14" t="n">
        <x:v>2025</x:v>
      </x:c>
      <x:c r="U561" s="14" t="str">
        <x:v>Post-2021 casting excluded</x:v>
      </x:c>
      <x:c r="V561" s="14" t="str">
        <x:v>Earliest supplied year is 2025, later than the 2021 study year.</x:v>
      </x:c>
      <x:c r="W561" s="14"/>
      <x:c r="X561" s="14" t="str">
        <x:v>Carried forward to 2025</x:v>
      </x:c>
      <x:c r="Y561" s="14"/>
      <x:c r="Z561" s="14" t="str">
        <x:v>Grace.docx</x:v>
      </x:c>
      <x:c r="AA5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ITV / ITVX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HYPERLINK("https://en.wikipedia.org/wiki/Grace","Open source")</x:f>
        <x:v>HYPERLINK is not implemented. linkLocation=https://en.wikipedia.org/wiki/Grace, friendlyName=Open source</x:v>
      </x:c>
      <x:c r="AN561" s="14" t="str">
        <x:v>No qualifying BBC relationship</x:v>
      </x:c>
      <x:c r="AO561" s="14" t="str">
        <x:v>No</x:v>
      </x:c>
      <x:c r="AP561" s="14" t="str">
        <x:v>Out of scope</x:v>
      </x:c>
      <x:c r="AQ561" s="14" t="str">
        <x:v>No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20</x:v>
      </x:c>
      <x:c r="BP561" s="14" t="str">
        <x:v>Maximum eligible IMDb cast-credit total (20), shared by 4 performer(s); not independently verified as a 2021-only episode total.</x:v>
      </x:c>
      <x:c r="BQ561" s="14" t="str">
        <x:v>Medium</x:v>
      </x:c>
      <x:c r="BR561" s="15" t="n">
        <x:v>1</x:v>
      </x:c>
      <x:c r="BS561" s="16" t="n">
        <x:v>0.05</x:v>
      </x:c>
      <x:c r="BT561" s="14" t="str">
        <x:v>One episode</x:v>
      </x:c>
      <x:c r="BU561" s="14" t="str">
        <x:v>Medium</x:v>
      </x:c>
      <x:c r="BV561" s="14" t="str">
        <x:v>Derived from supplied IMDb episode count and the documented production-total proxy.</x:v>
      </x:c>
      <x:c r="BW561" s="14" t="str">
        <x:v>Unable to determine</x:v>
      </x:c>
      <x:c r="BX561" s="14" t="str">
        <x:v>Supplied cast data establishes the credit and episode presence but does not establish narrative prominence.</x:v>
      </x:c>
      <x:c r="BY561" s="14" t="str">
        <x:v>Supplied IMDb cast-list workbook</x:v>
      </x:c>
      <x:c r="BZ5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tt11639300|nm1254152|barbara maxwell</x:v>
      </x:c>
      <x:c r="B562" s="14" t="str">
        <x:v>02</x:v>
      </x:c>
      <x:c r="C562" s="14" t="str">
        <x:v>2021_IMDb_Cast_Lists_Batch_02(1).xlsx</x:v>
      </x:c>
      <x:c r="D562" s="14" t="str">
        <x:v>Grace</x:v>
      </x:c>
      <x:c r="E562" s="14" t="n">
        <x:v>128</x:v>
      </x:c>
      <x:c r="F562" s="14" t="str">
        <x:v>Grace</x:v>
      </x:c>
      <x:c r="G562" s="14" t="str">
        <x:v>tt11639300</x:v>
      </x:c>
      <x:c r="H562" s="14" t="n">
        <x:v>2021</x:v>
      </x:c>
      <x:c r="I562" s="14" t="n">
        <x:v>2023</x:v>
      </x:c>
      <x:c r="J562" s="14" t="str">
        <x:v>Future Carry-Forward Cohort</x:v>
      </x:c>
      <x:c r="K562" s="14" t="n">
        <x:v>2021</x:v>
      </x:c>
      <x:c r="L562" s="14" t="str">
        <x:v>Available from 2021 analysis</x:v>
      </x:c>
      <x:c r="M562" s="15" t="n">
        <x:v>121</x:v>
      </x:c>
      <x:c r="N562" s="14" t="str">
        <x:v>Catherine Walker</x:v>
      </x:c>
      <x:c r="O562" s="14" t="str">
        <x:v>nm1254152</x:v>
      </x:c>
      <x:c r="P562" s="14" t="str">
        <x:v>Barbara Maxwell</x:v>
      </x:c>
      <x:c r="Q562" s="15" t="n">
        <x:v>1</x:v>
      </x:c>
      <x:c r="R562" s="14" t="str">
        <x:v>2025</x:v>
      </x:c>
      <x:c r="S562" s="14" t="n">
        <x:v>2025</x:v>
      </x:c>
      <x:c r="T562" s="14" t="n">
        <x:v>2025</x:v>
      </x:c>
      <x:c r="U562" s="14" t="str">
        <x:v>Post-2021 casting excluded</x:v>
      </x:c>
      <x:c r="V562" s="14" t="str">
        <x:v>Earliest supplied year is 2025, later than the 2021 study year.</x:v>
      </x:c>
      <x:c r="W562" s="14"/>
      <x:c r="X562" s="14" t="str">
        <x:v>Carried forward to 2025</x:v>
      </x:c>
      <x:c r="Y562" s="14"/>
      <x:c r="Z562" s="14" t="str">
        <x:v>Grace.docx</x:v>
      </x:c>
      <x:c r="AA5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ITV / ITVX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HYPERLINK("https://en.wikipedia.org/wiki/Grace","Open source")</x:f>
        <x:v>HYPERLINK is not implemented. linkLocation=https://en.wikipedia.org/wiki/Grace, friendlyName=Open source</x:v>
      </x:c>
      <x:c r="AN562" s="14" t="str">
        <x:v>No qualifying BBC relationship</x:v>
      </x:c>
      <x:c r="AO562" s="14" t="str">
        <x:v>No</x:v>
      </x:c>
      <x:c r="AP562" s="14" t="str">
        <x:v>Out of scope</x:v>
      </x:c>
      <x:c r="AQ562" s="14" t="str">
        <x:v>No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20</x:v>
      </x:c>
      <x:c r="BP562" s="14" t="str">
        <x:v>Maximum eligible IMDb cast-credit total (20), shared by 4 performer(s); not independently verified as a 2021-only episode total.</x:v>
      </x:c>
      <x:c r="BQ562" s="14" t="str">
        <x:v>Medium</x:v>
      </x:c>
      <x:c r="BR562" s="15" t="n">
        <x:v>1</x:v>
      </x:c>
      <x:c r="BS562" s="16" t="n">
        <x:v>0.05</x:v>
      </x:c>
      <x:c r="BT562" s="14" t="str">
        <x:v>One episode</x:v>
      </x:c>
      <x:c r="BU562" s="14" t="str">
        <x:v>Medium</x:v>
      </x:c>
      <x:c r="BV562" s="14" t="str">
        <x:v>Derived from supplied IMDb episode count and the documented production-total proxy.</x:v>
      </x:c>
      <x:c r="BW562" s="14" t="str">
        <x:v>Unable to determine</x:v>
      </x:c>
      <x:c r="BX562" s="14" t="str">
        <x:v>Supplied cast data establishes the credit and episode presence but does not establish narrative prominence.</x:v>
      </x:c>
      <x:c r="BY562" s="14" t="str">
        <x:v>Supplied IMDb cast-list workbook</x:v>
      </x:c>
      <x:c r="BZ5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tt11639300|nm8994060|georgina driver</x:v>
      </x:c>
      <x:c r="B563" s="14" t="str">
        <x:v>02</x:v>
      </x:c>
      <x:c r="C563" s="14" t="str">
        <x:v>2021_IMDb_Cast_Lists_Batch_02(1).xlsx</x:v>
      </x:c>
      <x:c r="D563" s="14" t="str">
        <x:v>Grace</x:v>
      </x:c>
      <x:c r="E563" s="14" t="n">
        <x:v>129</x:v>
      </x:c>
      <x:c r="F563" s="14" t="str">
        <x:v>Grace</x:v>
      </x:c>
      <x:c r="G563" s="14" t="str">
        <x:v>tt11639300</x:v>
      </x:c>
      <x:c r="H563" s="14" t="n">
        <x:v>2021</x:v>
      </x:c>
      <x:c r="I563" s="14" t="n">
        <x:v>2023</x:v>
      </x:c>
      <x:c r="J563" s="14" t="str">
        <x:v>Future Carry-Forward Cohort</x:v>
      </x:c>
      <x:c r="K563" s="14" t="n">
        <x:v>2021</x:v>
      </x:c>
      <x:c r="L563" s="14" t="str">
        <x:v>Available from 2021 analysis</x:v>
      </x:c>
      <x:c r="M563" s="15" t="n">
        <x:v>122</x:v>
      </x:c>
      <x:c r="N563" s="14" t="str">
        <x:v>Sara Matin</x:v>
      </x:c>
      <x:c r="O563" s="14" t="str">
        <x:v>nm8994060</x:v>
      </x:c>
      <x:c r="P563" s="14" t="str">
        <x:v>Georgina Driver</x:v>
      </x:c>
      <x:c r="Q563" s="15" t="n">
        <x:v>1</x:v>
      </x:c>
      <x:c r="R563" s="14" t="str">
        <x:v>2025</x:v>
      </x:c>
      <x:c r="S563" s="14" t="n">
        <x:v>2025</x:v>
      </x:c>
      <x:c r="T563" s="14" t="n">
        <x:v>2025</x:v>
      </x:c>
      <x:c r="U563" s="14" t="str">
        <x:v>Post-2021 casting excluded</x:v>
      </x:c>
      <x:c r="V563" s="14" t="str">
        <x:v>Earliest supplied year is 2025, later than the 2021 study year.</x:v>
      </x:c>
      <x:c r="W563" s="14"/>
      <x:c r="X563" s="14" t="str">
        <x:v>Carried forward to 2025</x:v>
      </x:c>
      <x:c r="Y563" s="14"/>
      <x:c r="Z563" s="14" t="str">
        <x:v>Grace.docx</x:v>
      </x:c>
      <x:c r="AA5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ITV / ITVX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HYPERLINK("https://en.wikipedia.org/wiki/Grace","Open source")</x:f>
        <x:v>HYPERLINK is not implemented. linkLocation=https://en.wikipedia.org/wiki/Grace, friendlyName=Open source</x:v>
      </x:c>
      <x:c r="AN563" s="14" t="str">
        <x:v>No qualifying BBC relationship</x:v>
      </x:c>
      <x:c r="AO563" s="14" t="str">
        <x:v>No</x:v>
      </x:c>
      <x:c r="AP563" s="14" t="str">
        <x:v>Out of scope</x:v>
      </x:c>
      <x:c r="AQ563" s="14" t="str">
        <x:v>No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20</x:v>
      </x:c>
      <x:c r="BP563" s="14" t="str">
        <x:v>Maximum eligible IMDb cast-credit total (20), shared by 4 performer(s); not independently verified as a 2021-only episode total.</x:v>
      </x:c>
      <x:c r="BQ563" s="14" t="str">
        <x:v>Medium</x:v>
      </x:c>
      <x:c r="BR563" s="15" t="n">
        <x:v>1</x:v>
      </x:c>
      <x:c r="BS563" s="16" t="n">
        <x:v>0.05</x:v>
      </x:c>
      <x:c r="BT563" s="14" t="str">
        <x:v>One episode</x:v>
      </x:c>
      <x:c r="BU563" s="14" t="str">
        <x:v>Medium</x:v>
      </x:c>
      <x:c r="BV563" s="14" t="str">
        <x:v>Derived from supplied IMDb episode count and the documented production-total proxy.</x:v>
      </x:c>
      <x:c r="BW563" s="14" t="str">
        <x:v>Unable to determine</x:v>
      </x:c>
      <x:c r="BX563" s="14" t="str">
        <x:v>Supplied cast data establishes the credit and episode presence but does not establish narrative prominence.</x:v>
      </x:c>
      <x:c r="BY563" s="14" t="str">
        <x:v>Supplied IMDb cast-list workbook</x:v>
      </x:c>
      <x:c r="BZ5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tt11639300|nm14863102|laura</x:v>
      </x:c>
      <x:c r="B564" s="14" t="str">
        <x:v>02</x:v>
      </x:c>
      <x:c r="C564" s="14" t="str">
        <x:v>2021_IMDb_Cast_Lists_Batch_02(1).xlsx</x:v>
      </x:c>
      <x:c r="D564" s="14" t="str">
        <x:v>Grace</x:v>
      </x:c>
      <x:c r="E564" s="14" t="n">
        <x:v>130</x:v>
      </x:c>
      <x:c r="F564" s="14" t="str">
        <x:v>Grace</x:v>
      </x:c>
      <x:c r="G564" s="14" t="str">
        <x:v>tt11639300</x:v>
      </x:c>
      <x:c r="H564" s="14" t="n">
        <x:v>2021</x:v>
      </x:c>
      <x:c r="I564" s="14" t="n">
        <x:v>2023</x:v>
      </x:c>
      <x:c r="J564" s="14" t="str">
        <x:v>Future Carry-Forward Cohort</x:v>
      </x:c>
      <x:c r="K564" s="14" t="n">
        <x:v>2021</x:v>
      </x:c>
      <x:c r="L564" s="14" t="str">
        <x:v>Available from 2021 analysis</x:v>
      </x:c>
      <x:c r="M564" s="15" t="n">
        <x:v>123</x:v>
      </x:c>
      <x:c r="N564" s="14" t="str">
        <x:v>Isabelle Shuka</x:v>
      </x:c>
      <x:c r="O564" s="14" t="str">
        <x:v>nm14863102</x:v>
      </x:c>
      <x:c r="P564" s="14" t="str">
        <x:v>Laura</x:v>
      </x:c>
      <x:c r="Q564" s="15" t="n">
        <x:v>1</x:v>
      </x:c>
      <x:c r="R564" s="14" t="str">
        <x:v>2025</x:v>
      </x:c>
      <x:c r="S564" s="14" t="n">
        <x:v>2025</x:v>
      </x:c>
      <x:c r="T564" s="14" t="n">
        <x:v>2025</x:v>
      </x:c>
      <x:c r="U564" s="14" t="str">
        <x:v>Post-2021 casting excluded</x:v>
      </x:c>
      <x:c r="V564" s="14" t="str">
        <x:v>Earliest supplied year is 2025, later than the 2021 study year.</x:v>
      </x:c>
      <x:c r="W564" s="14"/>
      <x:c r="X564" s="14" t="str">
        <x:v>Carried forward to 2025</x:v>
      </x:c>
      <x:c r="Y564" s="14"/>
      <x:c r="Z564" s="14" t="str">
        <x:v>Grace.docx</x:v>
      </x:c>
      <x:c r="AA5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ITV / ITVX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HYPERLINK("https://en.wikipedia.org/wiki/Grace","Open source")</x:f>
        <x:v>HYPERLINK is not implemented. linkLocation=https://en.wikipedia.org/wiki/Grace, friendlyName=Open source</x:v>
      </x:c>
      <x:c r="AN564" s="14" t="str">
        <x:v>No qualifying BBC relationship</x:v>
      </x:c>
      <x:c r="AO564" s="14" t="str">
        <x:v>No</x:v>
      </x:c>
      <x:c r="AP564" s="14" t="str">
        <x:v>Out of scope</x:v>
      </x:c>
      <x:c r="AQ564" s="14" t="str">
        <x:v>No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20</x:v>
      </x:c>
      <x:c r="BP564" s="14" t="str">
        <x:v>Maximum eligible IMDb cast-credit total (20), shared by 4 performer(s); not independently verified as a 2021-only episode total.</x:v>
      </x:c>
      <x:c r="BQ564" s="14" t="str">
        <x:v>Medium</x:v>
      </x:c>
      <x:c r="BR564" s="15" t="n">
        <x:v>1</x:v>
      </x:c>
      <x:c r="BS564" s="16" t="n">
        <x:v>0.05</x:v>
      </x:c>
      <x:c r="BT564" s="14" t="str">
        <x:v>One episode</x:v>
      </x:c>
      <x:c r="BU564" s="14" t="str">
        <x:v>Medium</x:v>
      </x:c>
      <x:c r="BV564" s="14" t="str">
        <x:v>Derived from supplied IMDb episode count and the documented production-total proxy.</x:v>
      </x:c>
      <x:c r="BW564" s="14" t="str">
        <x:v>Unable to determine</x:v>
      </x:c>
      <x:c r="BX564" s="14" t="str">
        <x:v>Supplied cast data establishes the credit and episode presence but does not establish narrative prominence.</x:v>
      </x:c>
      <x:c r="BY564" s="14" t="str">
        <x:v>Supplied IMDb cast-list workbook</x:v>
      </x:c>
      <x:c r="BZ5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tt11639300|nm1346211|kipp kavinda</x:v>
      </x:c>
      <x:c r="B565" s="14" t="str">
        <x:v>02</x:v>
      </x:c>
      <x:c r="C565" s="14" t="str">
        <x:v>2021_IMDb_Cast_Lists_Batch_02(1).xlsx</x:v>
      </x:c>
      <x:c r="D565" s="14" t="str">
        <x:v>Grace</x:v>
      </x:c>
      <x:c r="E565" s="14" t="n">
        <x:v>139</x:v>
      </x:c>
      <x:c r="F565" s="14" t="str">
        <x:v>Grace</x:v>
      </x:c>
      <x:c r="G565" s="14" t="str">
        <x:v>tt11639300</x:v>
      </x:c>
      <x:c r="H565" s="14" t="n">
        <x:v>2021</x:v>
      </x:c>
      <x:c r="I565" s="14" t="n">
        <x:v>2023</x:v>
      </x:c>
      <x:c r="J565" s="14" t="str">
        <x:v>Future Carry-Forward Cohort</x:v>
      </x:c>
      <x:c r="K565" s="14" t="n">
        <x:v>2021</x:v>
      </x:c>
      <x:c r="L565" s="14" t="str">
        <x:v>Available from 2021 analysis</x:v>
      </x:c>
      <x:c r="M565" s="15" t="n">
        <x:v>132</x:v>
      </x:c>
      <x:c r="N565" s="14" t="str">
        <x:v>Abhin Galeya</x:v>
      </x:c>
      <x:c r="O565" s="14" t="str">
        <x:v>nm1346211</x:v>
      </x:c>
      <x:c r="P565" s="14" t="str">
        <x:v>Kipp Kavinda</x:v>
      </x:c>
      <x:c r="Q565" s="15" t="n">
        <x:v>1</x:v>
      </x:c>
      <x:c r="R565" s="14" t="str">
        <x:v>2025</x:v>
      </x:c>
      <x:c r="S565" s="14" t="n">
        <x:v>2025</x:v>
      </x:c>
      <x:c r="T565" s="14" t="n">
        <x:v>2025</x:v>
      </x:c>
      <x:c r="U565" s="14" t="str">
        <x:v>Post-2021 casting excluded</x:v>
      </x:c>
      <x:c r="V565" s="14" t="str">
        <x:v>Earliest supplied year is 2025, later than the 2021 study year.</x:v>
      </x:c>
      <x:c r="W565" s="14"/>
      <x:c r="X565" s="14" t="str">
        <x:v>Carried forward to 2025</x:v>
      </x:c>
      <x:c r="Y565" s="14"/>
      <x:c r="Z565" s="14" t="str">
        <x:v>Grace.docx</x:v>
      </x:c>
      <x:c r="AA5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ITV / ITVX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HYPERLINK("https://en.wikipedia.org/wiki/Grace","Open source")</x:f>
        <x:v>HYPERLINK is not implemented. linkLocation=https://en.wikipedia.org/wiki/Grace, friendlyName=Open source</x:v>
      </x:c>
      <x:c r="AN565" s="14" t="str">
        <x:v>No qualifying BBC relationship</x:v>
      </x:c>
      <x:c r="AO565" s="14" t="str">
        <x:v>No</x:v>
      </x:c>
      <x:c r="AP565" s="14" t="str">
        <x:v>Out of scope</x:v>
      </x:c>
      <x:c r="AQ565" s="14" t="str">
        <x:v>No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20</x:v>
      </x:c>
      <x:c r="BP565" s="14" t="str">
        <x:v>Maximum eligible IMDb cast-credit total (20), shared by 4 performer(s); not independently verified as a 2021-only episode total.</x:v>
      </x:c>
      <x:c r="BQ565" s="14" t="str">
        <x:v>Medium</x:v>
      </x:c>
      <x:c r="BR565" s="15" t="n">
        <x:v>1</x:v>
      </x:c>
      <x:c r="BS565" s="16" t="n">
        <x:v>0.05</x:v>
      </x:c>
      <x:c r="BT565" s="14" t="str">
        <x:v>One episode</x:v>
      </x:c>
      <x:c r="BU565" s="14" t="str">
        <x:v>Medium</x:v>
      </x:c>
      <x:c r="BV565" s="14" t="str">
        <x:v>Derived from supplied IMDb episode count and the documented production-total proxy.</x:v>
      </x:c>
      <x:c r="BW565" s="14" t="str">
        <x:v>Unable to determine</x:v>
      </x:c>
      <x:c r="BX565" s="14" t="str">
        <x:v>Supplied cast data establishes the credit and episode presence but does not establish narrative prominence.</x:v>
      </x:c>
      <x:c r="BY565" s="14" t="str">
        <x:v>Supplied IMDb cast-list workbook</x:v>
      </x:c>
      <x:c r="BZ5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tt11639300|nm8013437|ellen maxwell</x:v>
      </x:c>
      <x:c r="B566" s="14" t="str">
        <x:v>02</x:v>
      </x:c>
      <x:c r="C566" s="14" t="str">
        <x:v>2021_IMDb_Cast_Lists_Batch_02(1).xlsx</x:v>
      </x:c>
      <x:c r="D566" s="14" t="str">
        <x:v>Grace</x:v>
      </x:c>
      <x:c r="E566" s="14" t="n">
        <x:v>140</x:v>
      </x:c>
      <x:c r="F566" s="14" t="str">
        <x:v>Grace</x:v>
      </x:c>
      <x:c r="G566" s="14" t="str">
        <x:v>tt11639300</x:v>
      </x:c>
      <x:c r="H566" s="14" t="n">
        <x:v>2021</x:v>
      </x:c>
      <x:c r="I566" s="14" t="n">
        <x:v>2023</x:v>
      </x:c>
      <x:c r="J566" s="14" t="str">
        <x:v>Future Carry-Forward Cohort</x:v>
      </x:c>
      <x:c r="K566" s="14" t="n">
        <x:v>2021</x:v>
      </x:c>
      <x:c r="L566" s="14" t="str">
        <x:v>Available from 2021 analysis</x:v>
      </x:c>
      <x:c r="M566" s="15" t="n">
        <x:v>133</x:v>
      </x:c>
      <x:c r="N566" s="14" t="str">
        <x:v>Sophie Ablett</x:v>
      </x:c>
      <x:c r="O566" s="14" t="str">
        <x:v>nm8013437</x:v>
      </x:c>
      <x:c r="P566" s="14" t="str">
        <x:v>Ellen Maxwell</x:v>
      </x:c>
      <x:c r="Q566" s="15" t="n">
        <x:v>1</x:v>
      </x:c>
      <x:c r="R566" s="14" t="str">
        <x:v>2025</x:v>
      </x:c>
      <x:c r="S566" s="14" t="n">
        <x:v>2025</x:v>
      </x:c>
      <x:c r="T566" s="14" t="n">
        <x:v>2025</x:v>
      </x:c>
      <x:c r="U566" s="14" t="str">
        <x:v>Post-2021 casting excluded</x:v>
      </x:c>
      <x:c r="V566" s="14" t="str">
        <x:v>Earliest supplied year is 2025, later than the 2021 study year.</x:v>
      </x:c>
      <x:c r="W566" s="14"/>
      <x:c r="X566" s="14" t="str">
        <x:v>Carried forward to 2025</x:v>
      </x:c>
      <x:c r="Y566" s="14"/>
      <x:c r="Z566" s="14" t="str">
        <x:v>Grace.docx</x:v>
      </x:c>
      <x:c r="AA5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ITV / ITVX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HYPERLINK("https://en.wikipedia.org/wiki/Grace","Open source")</x:f>
        <x:v>HYPERLINK is not implemented. linkLocation=https://en.wikipedia.org/wiki/Grace, friendlyName=Open source</x:v>
      </x:c>
      <x:c r="AN566" s="14" t="str">
        <x:v>No qualifying BBC relationship</x:v>
      </x:c>
      <x:c r="AO566" s="14" t="str">
        <x:v>No</x:v>
      </x:c>
      <x:c r="AP566" s="14" t="str">
        <x:v>Out of scope</x:v>
      </x:c>
      <x:c r="AQ566" s="14" t="str">
        <x:v>No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20</x:v>
      </x:c>
      <x:c r="BP566" s="14" t="str">
        <x:v>Maximum eligible IMDb cast-credit total (20), shared by 4 performer(s); not independently verified as a 2021-only episode total.</x:v>
      </x:c>
      <x:c r="BQ566" s="14" t="str">
        <x:v>Medium</x:v>
      </x:c>
      <x:c r="BR566" s="15" t="n">
        <x:v>1</x:v>
      </x:c>
      <x:c r="BS566" s="16" t="n">
        <x:v>0.05</x:v>
      </x:c>
      <x:c r="BT566" s="14" t="str">
        <x:v>One episode</x:v>
      </x:c>
      <x:c r="BU566" s="14" t="str">
        <x:v>Medium</x:v>
      </x:c>
      <x:c r="BV566" s="14" t="str">
        <x:v>Derived from supplied IMDb episode count and the documented production-total proxy.</x:v>
      </x:c>
      <x:c r="BW566" s="14" t="str">
        <x:v>Unable to determine</x:v>
      </x:c>
      <x:c r="BX566" s="14" t="str">
        <x:v>Supplied cast data establishes the credit and episode presence but does not establish narrative prominence.</x:v>
      </x:c>
      <x:c r="BY566" s="14" t="str">
        <x:v>Supplied IMDb cast-list workbook</x:v>
      </x:c>
      <x:c r="BZ5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tt11639300|nm1873687|meg magellan</x:v>
      </x:c>
      <x:c r="B567" s="14" t="str">
        <x:v>02</x:v>
      </x:c>
      <x:c r="C567" s="14" t="str">
        <x:v>2021_IMDb_Cast_Lists_Batch_02(1).xlsx</x:v>
      </x:c>
      <x:c r="D567" s="14" t="str">
        <x:v>Grace</x:v>
      </x:c>
      <x:c r="E567" s="14" t="n">
        <x:v>147</x:v>
      </x:c>
      <x:c r="F567" s="14" t="str">
        <x:v>Grace</x:v>
      </x:c>
      <x:c r="G567" s="14" t="str">
        <x:v>tt11639300</x:v>
      </x:c>
      <x:c r="H567" s="14" t="n">
        <x:v>2021</x:v>
      </x:c>
      <x:c r="I567" s="14" t="n">
        <x:v>2023</x:v>
      </x:c>
      <x:c r="J567" s="14" t="str">
        <x:v>Future Carry-Forward Cohort</x:v>
      </x:c>
      <x:c r="K567" s="14" t="n">
        <x:v>2021</x:v>
      </x:c>
      <x:c r="L567" s="14" t="str">
        <x:v>Available from 2021 analysis</x:v>
      </x:c>
      <x:c r="M567" s="15" t="n">
        <x:v>140</x:v>
      </x:c>
      <x:c r="N567" s="14" t="str">
        <x:v>Georgina Rich</x:v>
      </x:c>
      <x:c r="O567" s="14" t="str">
        <x:v>nm1873687</x:v>
      </x:c>
      <x:c r="P567" s="14" t="str">
        <x:v>Meg Magellan</x:v>
      </x:c>
      <x:c r="Q567" s="15" t="n">
        <x:v>1</x:v>
      </x:c>
      <x:c r="R567" s="14" t="str">
        <x:v>2025</x:v>
      </x:c>
      <x:c r="S567" s="14" t="n">
        <x:v>2025</x:v>
      </x:c>
      <x:c r="T567" s="14" t="n">
        <x:v>2025</x:v>
      </x:c>
      <x:c r="U567" s="14" t="str">
        <x:v>Post-2021 casting excluded</x:v>
      </x:c>
      <x:c r="V567" s="14" t="str">
        <x:v>Earliest supplied year is 2025, later than the 2021 study year.</x:v>
      </x:c>
      <x:c r="W567" s="14"/>
      <x:c r="X567" s="14" t="str">
        <x:v>Carried forward to 2025</x:v>
      </x:c>
      <x:c r="Y567" s="14"/>
      <x:c r="Z567" s="14" t="str">
        <x:v>Grace.docx</x:v>
      </x:c>
      <x:c r="AA5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ITV / ITVX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HYPERLINK("https://en.wikipedia.org/wiki/Grace","Open source")</x:f>
        <x:v>HYPERLINK is not implemented. linkLocation=https://en.wikipedia.org/wiki/Grace, friendlyName=Open source</x:v>
      </x:c>
      <x:c r="AN567" s="14" t="str">
        <x:v>No qualifying BBC relationship</x:v>
      </x:c>
      <x:c r="AO567" s="14" t="str">
        <x:v>No</x:v>
      </x:c>
      <x:c r="AP567" s="14" t="str">
        <x:v>Out of scope</x:v>
      </x:c>
      <x:c r="AQ567" s="14" t="str">
        <x:v>No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20</x:v>
      </x:c>
      <x:c r="BP567" s="14" t="str">
        <x:v>Maximum eligible IMDb cast-credit total (20), shared by 4 performer(s); not independently verified as a 2021-only episode total.</x:v>
      </x:c>
      <x:c r="BQ567" s="14" t="str">
        <x:v>Medium</x:v>
      </x:c>
      <x:c r="BR567" s="15" t="n">
        <x:v>1</x:v>
      </x:c>
      <x:c r="BS567" s="16" t="n">
        <x:v>0.05</x:v>
      </x:c>
      <x:c r="BT567" s="14" t="str">
        <x:v>One episode</x:v>
      </x:c>
      <x:c r="BU567" s="14" t="str">
        <x:v>Medium</x:v>
      </x:c>
      <x:c r="BV567" s="14" t="str">
        <x:v>Derived from supplied IMDb episode count and the documented production-total proxy.</x:v>
      </x:c>
      <x:c r="BW567" s="14" t="str">
        <x:v>Unable to determine</x:v>
      </x:c>
      <x:c r="BX567" s="14" t="str">
        <x:v>Supplied cast data establishes the credit and episode presence but does not establish narrative prominence.</x:v>
      </x:c>
      <x:c r="BY567" s="14" t="str">
        <x:v>Supplied IMDb cast-list workbook</x:v>
      </x:c>
      <x:c r="BZ5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tt11639300|nm1859822|dr. zara kavinda</x:v>
      </x:c>
      <x:c r="B568" s="14" t="str">
        <x:v>02</x:v>
      </x:c>
      <x:c r="C568" s="14" t="str">
        <x:v>2021_IMDb_Cast_Lists_Batch_02(1).xlsx</x:v>
      </x:c>
      <x:c r="D568" s="14" t="str">
        <x:v>Grace</x:v>
      </x:c>
      <x:c r="E568" s="14" t="n">
        <x:v>148</x:v>
      </x:c>
      <x:c r="F568" s="14" t="str">
        <x:v>Grace</x:v>
      </x:c>
      <x:c r="G568" s="14" t="str">
        <x:v>tt11639300</x:v>
      </x:c>
      <x:c r="H568" s="14" t="n">
        <x:v>2021</x:v>
      </x:c>
      <x:c r="I568" s="14" t="n">
        <x:v>2023</x:v>
      </x:c>
      <x:c r="J568" s="14" t="str">
        <x:v>Future Carry-Forward Cohort</x:v>
      </x:c>
      <x:c r="K568" s="14" t="n">
        <x:v>2021</x:v>
      </x:c>
      <x:c r="L568" s="14" t="str">
        <x:v>Available from 2021 analysis</x:v>
      </x:c>
      <x:c r="M568" s="15" t="n">
        <x:v>141</x:v>
      </x:c>
      <x:c r="N568" s="14" t="str">
        <x:v>Maya Sondhi</x:v>
      </x:c>
      <x:c r="O568" s="14" t="str">
        <x:v>nm1859822</x:v>
      </x:c>
      <x:c r="P568" s="14" t="str">
        <x:v>Dr. Zara Kavinda</x:v>
      </x:c>
      <x:c r="Q568" s="15" t="n">
        <x:v>1</x:v>
      </x:c>
      <x:c r="R568" s="14" t="str">
        <x:v>2025</x:v>
      </x:c>
      <x:c r="S568" s="14" t="n">
        <x:v>2025</x:v>
      </x:c>
      <x:c r="T568" s="14" t="n">
        <x:v>2025</x:v>
      </x:c>
      <x:c r="U568" s="14" t="str">
        <x:v>Post-2021 casting excluded</x:v>
      </x:c>
      <x:c r="V568" s="14" t="str">
        <x:v>Earliest supplied year is 2025, later than the 2021 study year.</x:v>
      </x:c>
      <x:c r="W568" s="14"/>
      <x:c r="X568" s="14" t="str">
        <x:v>Carried forward to 2025</x:v>
      </x:c>
      <x:c r="Y568" s="14"/>
      <x:c r="Z568" s="14" t="str">
        <x:v>Grace.docx</x:v>
      </x:c>
      <x:c r="AA5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ITV / ITVX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HYPERLINK("https://en.wikipedia.org/wiki/Grace","Open source")</x:f>
        <x:v>HYPERLINK is not implemented. linkLocation=https://en.wikipedia.org/wiki/Grace, friendlyName=Open source</x:v>
      </x:c>
      <x:c r="AN568" s="14" t="str">
        <x:v>No qualifying BBC relationship</x:v>
      </x:c>
      <x:c r="AO568" s="14" t="str">
        <x:v>No</x:v>
      </x:c>
      <x:c r="AP568" s="14" t="str">
        <x:v>Out of scope</x:v>
      </x:c>
      <x:c r="AQ568" s="14" t="str">
        <x:v>No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20</x:v>
      </x:c>
      <x:c r="BP568" s="14" t="str">
        <x:v>Maximum eligible IMDb cast-credit total (20), shared by 4 performer(s); not independently verified as a 2021-only episode total.</x:v>
      </x:c>
      <x:c r="BQ568" s="14" t="str">
        <x:v>Medium</x:v>
      </x:c>
      <x:c r="BR568" s="15" t="n">
        <x:v>1</x:v>
      </x:c>
      <x:c r="BS568" s="16" t="n">
        <x:v>0.05</x:v>
      </x:c>
      <x:c r="BT568" s="14" t="str">
        <x:v>One episode</x:v>
      </x:c>
      <x:c r="BU568" s="14" t="str">
        <x:v>Medium</x:v>
      </x:c>
      <x:c r="BV568" s="14" t="str">
        <x:v>Derived from supplied IMDb episode count and the documented production-total proxy.</x:v>
      </x:c>
      <x:c r="BW568" s="14" t="str">
        <x:v>Unable to determine</x:v>
      </x:c>
      <x:c r="BX568" s="14" t="str">
        <x:v>Supplied cast data establishes the credit and episode presence but does not establish narrative prominence.</x:v>
      </x:c>
      <x:c r="BY568" s="14" t="str">
        <x:v>Supplied IMDb cast-list workbook</x:v>
      </x:c>
      <x:c r="BZ5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tt11639300|nm10412349|laura magellan</x:v>
      </x:c>
      <x:c r="B569" s="14" t="str">
        <x:v>02</x:v>
      </x:c>
      <x:c r="C569" s="14" t="str">
        <x:v>2021_IMDb_Cast_Lists_Batch_02(1).xlsx</x:v>
      </x:c>
      <x:c r="D569" s="14" t="str">
        <x:v>Grace</x:v>
      </x:c>
      <x:c r="E569" s="14" t="n">
        <x:v>155</x:v>
      </x:c>
      <x:c r="F569" s="14" t="str">
        <x:v>Grace</x:v>
      </x:c>
      <x:c r="G569" s="14" t="str">
        <x:v>tt11639300</x:v>
      </x:c>
      <x:c r="H569" s="14" t="n">
        <x:v>2021</x:v>
      </x:c>
      <x:c r="I569" s="14" t="n">
        <x:v>2023</x:v>
      </x:c>
      <x:c r="J569" s="14" t="str">
        <x:v>Future Carry-Forward Cohort</x:v>
      </x:c>
      <x:c r="K569" s="14" t="n">
        <x:v>2021</x:v>
      </x:c>
      <x:c r="L569" s="14" t="str">
        <x:v>Available from 2021 analysis</x:v>
      </x:c>
      <x:c r="M569" s="15" t="n">
        <x:v>148</x:v>
      </x:c>
      <x:c r="N569" s="14" t="str">
        <x:v>Iona Anderson</x:v>
      </x:c>
      <x:c r="O569" s="14" t="str">
        <x:v>nm10412349</x:v>
      </x:c>
      <x:c r="P569" s="14" t="str">
        <x:v>Laura Magellan</x:v>
      </x:c>
      <x:c r="Q569" s="15" t="n">
        <x:v>1</x:v>
      </x:c>
      <x:c r="R569" s="14" t="str">
        <x:v>2025</x:v>
      </x:c>
      <x:c r="S569" s="14" t="n">
        <x:v>2025</x:v>
      </x:c>
      <x:c r="T569" s="14" t="n">
        <x:v>2025</x:v>
      </x:c>
      <x:c r="U569" s="14" t="str">
        <x:v>Post-2021 casting excluded</x:v>
      </x:c>
      <x:c r="V569" s="14" t="str">
        <x:v>Earliest supplied year is 2025, later than the 2021 study year.</x:v>
      </x:c>
      <x:c r="W569" s="14"/>
      <x:c r="X569" s="14" t="str">
        <x:v>Carried forward to 2025</x:v>
      </x:c>
      <x:c r="Y569" s="14"/>
      <x:c r="Z569" s="14" t="str">
        <x:v>Grace.docx</x:v>
      </x:c>
      <x:c r="AA5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ITV / ITVX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HYPERLINK("https://en.wikipedia.org/wiki/Grace","Open source")</x:f>
        <x:v>HYPERLINK is not implemented. linkLocation=https://en.wikipedia.org/wiki/Grace, friendlyName=Open source</x:v>
      </x:c>
      <x:c r="AN569" s="14" t="str">
        <x:v>No qualifying BBC relationship</x:v>
      </x:c>
      <x:c r="AO569" s="14" t="str">
        <x:v>No</x:v>
      </x:c>
      <x:c r="AP569" s="14" t="str">
        <x:v>Out of scope</x:v>
      </x:c>
      <x:c r="AQ569" s="14" t="str">
        <x:v>No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20</x:v>
      </x:c>
      <x:c r="BP569" s="14" t="str">
        <x:v>Maximum eligible IMDb cast-credit total (20), shared by 4 performer(s); not independently verified as a 2021-only episode total.</x:v>
      </x:c>
      <x:c r="BQ569" s="14" t="str">
        <x:v>Medium</x:v>
      </x:c>
      <x:c r="BR569" s="15" t="n">
        <x:v>1</x:v>
      </x:c>
      <x:c r="BS569" s="16" t="n">
        <x:v>0.05</x:v>
      </x:c>
      <x:c r="BT569" s="14" t="str">
        <x:v>One episode</x:v>
      </x:c>
      <x:c r="BU569" s="14" t="str">
        <x:v>Medium</x:v>
      </x:c>
      <x:c r="BV569" s="14" t="str">
        <x:v>Derived from supplied IMDb episode count and the documented production-total proxy.</x:v>
      </x:c>
      <x:c r="BW569" s="14" t="str">
        <x:v>Unable to determine</x:v>
      </x:c>
      <x:c r="BX569" s="14" t="str">
        <x:v>Supplied cast data establishes the credit and episode presence but does not establish narrative prominence.</x:v>
      </x:c>
      <x:c r="BY569" s="14" t="str">
        <x:v>Supplied IMDb cast-list workbook</x:v>
      </x:c>
      <x:c r="BZ5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tt11639300|nm12286259|frank kavinda</x:v>
      </x:c>
      <x:c r="B570" s="14" t="str">
        <x:v>02</x:v>
      </x:c>
      <x:c r="C570" s="14" t="str">
        <x:v>2021_IMDb_Cast_Lists_Batch_02(1).xlsx</x:v>
      </x:c>
      <x:c r="D570" s="14" t="str">
        <x:v>Grace</x:v>
      </x:c>
      <x:c r="E570" s="14" t="n">
        <x:v>156</x:v>
      </x:c>
      <x:c r="F570" s="14" t="str">
        <x:v>Grace</x:v>
      </x:c>
      <x:c r="G570" s="14" t="str">
        <x:v>tt11639300</x:v>
      </x:c>
      <x:c r="H570" s="14" t="n">
        <x:v>2021</x:v>
      </x:c>
      <x:c r="I570" s="14" t="n">
        <x:v>2023</x:v>
      </x:c>
      <x:c r="J570" s="14" t="str">
        <x:v>Future Carry-Forward Cohort</x:v>
      </x:c>
      <x:c r="K570" s="14" t="n">
        <x:v>2021</x:v>
      </x:c>
      <x:c r="L570" s="14" t="str">
        <x:v>Available from 2021 analysis</x:v>
      </x:c>
      <x:c r="M570" s="15" t="n">
        <x:v>149</x:v>
      </x:c>
      <x:c r="N570" s="14" t="str">
        <x:v>Tobias Jowett</x:v>
      </x:c>
      <x:c r="O570" s="14" t="str">
        <x:v>nm12286259</x:v>
      </x:c>
      <x:c r="P570" s="14" t="str">
        <x:v>Frank Kavinda</x:v>
      </x:c>
      <x:c r="Q570" s="15" t="n">
        <x:v>1</x:v>
      </x:c>
      <x:c r="R570" s="14" t="str">
        <x:v>2025</x:v>
      </x:c>
      <x:c r="S570" s="14" t="n">
        <x:v>2025</x:v>
      </x:c>
      <x:c r="T570" s="14" t="n">
        <x:v>2025</x:v>
      </x:c>
      <x:c r="U570" s="14" t="str">
        <x:v>Post-2021 casting excluded</x:v>
      </x:c>
      <x:c r="V570" s="14" t="str">
        <x:v>Earliest supplied year is 2025, later than the 2021 study year.</x:v>
      </x:c>
      <x:c r="W570" s="14"/>
      <x:c r="X570" s="14" t="str">
        <x:v>Carried forward to 2025</x:v>
      </x:c>
      <x:c r="Y570" s="14"/>
      <x:c r="Z570" s="14" t="str">
        <x:v>Grace.docx</x:v>
      </x:c>
      <x:c r="AA5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ITV / ITVX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HYPERLINK("https://en.wikipedia.org/wiki/Grace","Open source")</x:f>
        <x:v>HYPERLINK is not implemented. linkLocation=https://en.wikipedia.org/wiki/Grace, friendlyName=Open source</x:v>
      </x:c>
      <x:c r="AN570" s="14" t="str">
        <x:v>No qualifying BBC relationship</x:v>
      </x:c>
      <x:c r="AO570" s="14" t="str">
        <x:v>No</x:v>
      </x:c>
      <x:c r="AP570" s="14" t="str">
        <x:v>Out of scope</x:v>
      </x:c>
      <x:c r="AQ570" s="14" t="str">
        <x:v>No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20</x:v>
      </x:c>
      <x:c r="BP570" s="14" t="str">
        <x:v>Maximum eligible IMDb cast-credit total (20), shared by 4 performer(s); not independently verified as a 2021-only episode total.</x:v>
      </x:c>
      <x:c r="BQ570" s="14" t="str">
        <x:v>Medium</x:v>
      </x:c>
      <x:c r="BR570" s="15" t="n">
        <x:v>1</x:v>
      </x:c>
      <x:c r="BS570" s="16" t="n">
        <x:v>0.05</x:v>
      </x:c>
      <x:c r="BT570" s="14" t="str">
        <x:v>One episode</x:v>
      </x:c>
      <x:c r="BU570" s="14" t="str">
        <x:v>Medium</x:v>
      </x:c>
      <x:c r="BV570" s="14" t="str">
        <x:v>Derived from supplied IMDb episode count and the documented production-total proxy.</x:v>
      </x:c>
      <x:c r="BW570" s="14" t="str">
        <x:v>Unable to determine</x:v>
      </x:c>
      <x:c r="BX570" s="14" t="str">
        <x:v>Supplied cast data establishes the credit and episode presence but does not establish narrative prominence.</x:v>
      </x:c>
      <x:c r="BY570" s="14" t="str">
        <x:v>Supplied IMDb cast-list workbook</x:v>
      </x:c>
      <x:c r="BZ5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tt11639300|nm9925112|dr. rita josif</x:v>
      </x:c>
      <x:c r="B571" s="14" t="str">
        <x:v>02</x:v>
      </x:c>
      <x:c r="C571" s="14" t="str">
        <x:v>2021_IMDb_Cast_Lists_Batch_02(1).xlsx</x:v>
      </x:c>
      <x:c r="D571" s="14" t="str">
        <x:v>Grace</x:v>
      </x:c>
      <x:c r="E571" s="14" t="n">
        <x:v>157</x:v>
      </x:c>
      <x:c r="F571" s="14" t="str">
        <x:v>Grace</x:v>
      </x:c>
      <x:c r="G571" s="14" t="str">
        <x:v>tt11639300</x:v>
      </x:c>
      <x:c r="H571" s="14" t="n">
        <x:v>2021</x:v>
      </x:c>
      <x:c r="I571" s="14" t="n">
        <x:v>2023</x:v>
      </x:c>
      <x:c r="J571" s="14" t="str">
        <x:v>Future Carry-Forward Cohort</x:v>
      </x:c>
      <x:c r="K571" s="14" t="n">
        <x:v>2021</x:v>
      </x:c>
      <x:c r="L571" s="14" t="str">
        <x:v>Available from 2021 analysis</x:v>
      </x:c>
      <x:c r="M571" s="15" t="n">
        <x:v>150</x:v>
      </x:c>
      <x:c r="N571" s="14" t="str">
        <x:v>Rebecca Banatvala</x:v>
      </x:c>
      <x:c r="O571" s="14" t="str">
        <x:v>nm9925112</x:v>
      </x:c>
      <x:c r="P571" s="14" t="str">
        <x:v>Dr. Rita Josif</x:v>
      </x:c>
      <x:c r="Q571" s="15" t="n">
        <x:v>1</x:v>
      </x:c>
      <x:c r="R571" s="14" t="str">
        <x:v>2025</x:v>
      </x:c>
      <x:c r="S571" s="14" t="n">
        <x:v>2025</x:v>
      </x:c>
      <x:c r="T571" s="14" t="n">
        <x:v>2025</x:v>
      </x:c>
      <x:c r="U571" s="14" t="str">
        <x:v>Post-2021 casting excluded</x:v>
      </x:c>
      <x:c r="V571" s="14" t="str">
        <x:v>Earliest supplied year is 2025, later than the 2021 study year.</x:v>
      </x:c>
      <x:c r="W571" s="14"/>
      <x:c r="X571" s="14" t="str">
        <x:v>Carried forward to 2025</x:v>
      </x:c>
      <x:c r="Y571" s="14"/>
      <x:c r="Z571" s="14" t="str">
        <x:v>Grace.docx</x:v>
      </x:c>
      <x:c r="AA5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ITV / ITVX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7" t="e">
        <x:f>HYPERLINK("https://en.wikipedia.org/wiki/Grace","Open source")</x:f>
        <x:v>HYPERLINK is not implemented. linkLocation=https://en.wikipedia.org/wiki/Grace, friendlyName=Open source</x:v>
      </x:c>
      <x:c r="AN571" s="14" t="str">
        <x:v>No qualifying BBC relationship</x:v>
      </x:c>
      <x:c r="AO571" s="14" t="str">
        <x:v>No</x:v>
      </x:c>
      <x:c r="AP571" s="14" t="str">
        <x:v>Out of scope</x:v>
      </x:c>
      <x:c r="AQ571" s="14" t="str">
        <x:v>No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20</x:v>
      </x:c>
      <x:c r="BP571" s="14" t="str">
        <x:v>Maximum eligible IMDb cast-credit total (20), shared by 4 performer(s); not independently verified as a 2021-only episode total.</x:v>
      </x:c>
      <x:c r="BQ571" s="14" t="str">
        <x:v>Medium</x:v>
      </x:c>
      <x:c r="BR571" s="15" t="n">
        <x:v>1</x:v>
      </x:c>
      <x:c r="BS571" s="16" t="n">
        <x:v>0.05</x:v>
      </x:c>
      <x:c r="BT571" s="14" t="str">
        <x:v>One episode</x:v>
      </x:c>
      <x:c r="BU571" s="14" t="str">
        <x:v>Medium</x:v>
      </x:c>
      <x:c r="BV571" s="14" t="str">
        <x:v>Derived from supplied IMDb episode count and the documented production-total proxy.</x:v>
      </x:c>
      <x:c r="BW571" s="14" t="str">
        <x:v>Unable to determine</x:v>
      </x:c>
      <x:c r="BX571" s="14" t="str">
        <x:v>Supplied cast data establishes the credit and episode presence but does not establish narrative prominence.</x:v>
      </x:c>
      <x:c r="BY571" s="14" t="str">
        <x:v>Supplied IMDb cast-list workbook</x:v>
      </x:c>
      <x:c r="BZ5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tt11639300|nm2059560|stephen wolfe</x:v>
      </x:c>
      <x:c r="B572" s="14" t="str">
        <x:v>02</x:v>
      </x:c>
      <x:c r="C572" s="14" t="str">
        <x:v>2021_IMDb_Cast_Lists_Batch_02(1).xlsx</x:v>
      </x:c>
      <x:c r="D572" s="14" t="str">
        <x:v>Grace</x:v>
      </x:c>
      <x:c r="E572" s="14" t="n">
        <x:v>169</x:v>
      </x:c>
      <x:c r="F572" s="14" t="str">
        <x:v>Grace</x:v>
      </x:c>
      <x:c r="G572" s="14" t="str">
        <x:v>tt11639300</x:v>
      </x:c>
      <x:c r="H572" s="14" t="n">
        <x:v>2021</x:v>
      </x:c>
      <x:c r="I572" s="14" t="n">
        <x:v>2023</x:v>
      </x:c>
      <x:c r="J572" s="14" t="str">
        <x:v>Future Carry-Forward Cohort</x:v>
      </x:c>
      <x:c r="K572" s="14" t="n">
        <x:v>2021</x:v>
      </x:c>
      <x:c r="L572" s="14" t="str">
        <x:v>Available from 2021 analysis</x:v>
      </x:c>
      <x:c r="M572" s="15" t="n">
        <x:v>162</x:v>
      </x:c>
      <x:c r="N572" s="14" t="str">
        <x:v>Sule Rimi</x:v>
      </x:c>
      <x:c r="O572" s="14" t="str">
        <x:v>nm2059560</x:v>
      </x:c>
      <x:c r="P572" s="14" t="str">
        <x:v>Stephen Wolfe</x:v>
      </x:c>
      <x:c r="Q572" s="15" t="n">
        <x:v>1</x:v>
      </x:c>
      <x:c r="R572" s="14" t="str">
        <x:v>2025</x:v>
      </x:c>
      <x:c r="S572" s="14" t="n">
        <x:v>2025</x:v>
      </x:c>
      <x:c r="T572" s="14" t="n">
        <x:v>2025</x:v>
      </x:c>
      <x:c r="U572" s="14" t="str">
        <x:v>Post-2021 casting excluded</x:v>
      </x:c>
      <x:c r="V572" s="14" t="str">
        <x:v>Earliest supplied year is 2025, later than the 2021 study year.</x:v>
      </x:c>
      <x:c r="W572" s="14"/>
      <x:c r="X572" s="14" t="str">
        <x:v>Carried forward to 2025</x:v>
      </x:c>
      <x:c r="Y572" s="14"/>
      <x:c r="Z572" s="14" t="str">
        <x:v>Grace.docx</x:v>
      </x:c>
      <x:c r="AA5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ITV / ITVX</x:v>
      </x:c>
      <x:c r="AI572" s="14" t="str">
        <x:v>UK original 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uk original commission.</x:v>
      </x:c>
      <x:c r="AM572" s="17" t="e">
        <x:f>HYPERLINK("https://en.wikipedia.org/wiki/Grace","Open source")</x:f>
        <x:v>HYPERLINK is not implemented. linkLocation=https://en.wikipedia.org/wiki/Grace, friendlyName=Open source</x:v>
      </x:c>
      <x:c r="AN572" s="14" t="str">
        <x:v>No qualifying BBC relationship</x:v>
      </x:c>
      <x:c r="AO572" s="14" t="str">
        <x:v>No</x:v>
      </x:c>
      <x:c r="AP572" s="14" t="str">
        <x:v>Out of scope</x:v>
      </x:c>
      <x:c r="AQ572" s="14" t="str">
        <x:v>No</x:v>
      </x:c>
      <x:c r="AR572" s="14" t="str">
        <x:v>Resolved from master register</x:v>
      </x:c>
      <x:c r="AS572" s="14" t="str">
        <x:v>No established-register match</x:v>
      </x:c>
      <x:c r="AT572" s="14"/>
      <x:c r="AU572" s="14"/>
      <x:c r="AV572" s="14" t="str">
        <x:v>No established apparent-disability match</x:v>
      </x:c>
      <x:c r="AW572" s="14"/>
      <x:c r="AX572" s="14" t="str">
        <x:v>No</x:v>
      </x:c>
      <x:c r="AY572" s="14" t="str">
        <x:v>Unmatched</x:v>
      </x:c>
      <x:c r="AZ572" s="14" t="str">
        <x:v>Final supplied register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20</x:v>
      </x:c>
      <x:c r="BP572" s="14" t="str">
        <x:v>Maximum eligible IMDb cast-credit total (20), shared by 4 performer(s); not independently verified as a 2021-only episode total.</x:v>
      </x:c>
      <x:c r="BQ572" s="14" t="str">
        <x:v>Medium</x:v>
      </x:c>
      <x:c r="BR572" s="15" t="n">
        <x:v>1</x:v>
      </x:c>
      <x:c r="BS572" s="16" t="n">
        <x:v>0.05</x:v>
      </x:c>
      <x:c r="BT572" s="14" t="str">
        <x:v>One episode</x:v>
      </x:c>
      <x:c r="BU572" s="14" t="str">
        <x:v>Medium</x:v>
      </x:c>
      <x:c r="BV572" s="14" t="str">
        <x:v>Derived from supplied IMDb episode count and the documented production-total proxy.</x:v>
      </x:c>
      <x:c r="BW572" s="14" t="str">
        <x:v>Unable to determine</x:v>
      </x:c>
      <x:c r="BX572" s="14" t="str">
        <x:v>Supplied cast data establishes the credit and episode presence but does not establish narrative prominence.</x:v>
      </x:c>
      <x:c r="BY572" s="14" t="str">
        <x:v>Supplied IMDb cast-list workbook</x:v>
      </x:c>
      <x:c r="BZ5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tt11639300|nm0267622|alma starr</x:v>
      </x:c>
      <x:c r="B573" s="14" t="str">
        <x:v>02</x:v>
      </x:c>
      <x:c r="C573" s="14" t="str">
        <x:v>2021_IMDb_Cast_Lists_Batch_02(1).xlsx</x:v>
      </x:c>
      <x:c r="D573" s="14" t="str">
        <x:v>Grace</x:v>
      </x:c>
      <x:c r="E573" s="14" t="n">
        <x:v>179</x:v>
      </x:c>
      <x:c r="F573" s="14" t="str">
        <x:v>Grace</x:v>
      </x:c>
      <x:c r="G573" s="14" t="str">
        <x:v>tt11639300</x:v>
      </x:c>
      <x:c r="H573" s="14" t="n">
        <x:v>2021</x:v>
      </x:c>
      <x:c r="I573" s="14" t="n">
        <x:v>2023</x:v>
      </x:c>
      <x:c r="J573" s="14" t="str">
        <x:v>Future Carry-Forward Cohort</x:v>
      </x:c>
      <x:c r="K573" s="14" t="n">
        <x:v>2021</x:v>
      </x:c>
      <x:c r="L573" s="14" t="str">
        <x:v>Available from 2021 analysis</x:v>
      </x:c>
      <x:c r="M573" s="15" t="n">
        <x:v>172</x:v>
      </x:c>
      <x:c r="N573" s="14" t="str">
        <x:v>Lynn Farleigh</x:v>
      </x:c>
      <x:c r="O573" s="14" t="str">
        <x:v>nm0267622</x:v>
      </x:c>
      <x:c r="P573" s="14" t="str">
        <x:v>Alma Starr</x:v>
      </x:c>
      <x:c r="Q573" s="15" t="n">
        <x:v>1</x:v>
      </x:c>
      <x:c r="R573" s="14" t="str">
        <x:v>2025</x:v>
      </x:c>
      <x:c r="S573" s="14" t="n">
        <x:v>2025</x:v>
      </x:c>
      <x:c r="T573" s="14" t="n">
        <x:v>2025</x:v>
      </x:c>
      <x:c r="U573" s="14" t="str">
        <x:v>Post-2021 casting excluded</x:v>
      </x:c>
      <x:c r="V573" s="14" t="str">
        <x:v>Earliest supplied year is 2025, later than the 2021 study year.</x:v>
      </x:c>
      <x:c r="W573" s="14"/>
      <x:c r="X573" s="14" t="str">
        <x:v>Carried forward to 2025</x:v>
      </x:c>
      <x:c r="Y573" s="14"/>
      <x:c r="Z573" s="14" t="str">
        <x:v>Grace.docx</x:v>
      </x:c>
      <x:c r="AA5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ITV / ITVX</x:v>
      </x:c>
      <x:c r="AI573" s="14" t="str">
        <x:v>UK original 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uk original commission.</x:v>
      </x:c>
      <x:c r="AM573" s="17" t="e">
        <x:f>HYPERLINK("https://en.wikipedia.org/wiki/Grace","Open source")</x:f>
        <x:v>HYPERLINK is not implemented. linkLocation=https://en.wikipedia.org/wiki/Grace, friendlyName=Open source</x:v>
      </x:c>
      <x:c r="AN573" s="14" t="str">
        <x:v>No qualifying BBC relationship</x:v>
      </x:c>
      <x:c r="AO573" s="14" t="str">
        <x:v>No</x:v>
      </x:c>
      <x:c r="AP573" s="14" t="str">
        <x:v>Out of scope</x:v>
      </x:c>
      <x:c r="AQ573" s="14" t="str">
        <x:v>No</x:v>
      </x:c>
      <x:c r="AR573" s="14" t="str">
        <x:v>Resolved from master register</x:v>
      </x:c>
      <x:c r="AS573" s="14" t="str">
        <x:v>No established-register match</x:v>
      </x:c>
      <x:c r="AT573" s="14"/>
      <x:c r="AU573" s="14"/>
      <x:c r="AV573" s="14" t="str">
        <x:v>No established apparent-disability match</x:v>
      </x:c>
      <x:c r="AW573" s="14"/>
      <x:c r="AX573" s="14" t="str">
        <x:v>No</x:v>
      </x:c>
      <x:c r="AY573" s="14" t="str">
        <x:v>Unmatched</x:v>
      </x:c>
      <x:c r="AZ573" s="14" t="str">
        <x:v>Final supplied register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20</x:v>
      </x:c>
      <x:c r="BP573" s="14" t="str">
        <x:v>Maximum eligible IMDb cast-credit total (20), shared by 4 performer(s); not independently verified as a 2021-only episode total.</x:v>
      </x:c>
      <x:c r="BQ573" s="14" t="str">
        <x:v>Medium</x:v>
      </x:c>
      <x:c r="BR573" s="15" t="n">
        <x:v>1</x:v>
      </x:c>
      <x:c r="BS573" s="16" t="n">
        <x:v>0.05</x:v>
      </x:c>
      <x:c r="BT573" s="14" t="str">
        <x:v>One episode</x:v>
      </x:c>
      <x:c r="BU573" s="14" t="str">
        <x:v>Medium</x:v>
      </x:c>
      <x:c r="BV573" s="14" t="str">
        <x:v>Derived from supplied IMDb episode count and the documented production-total proxy.</x:v>
      </x:c>
      <x:c r="BW573" s="14" t="str">
        <x:v>Unable to determine</x:v>
      </x:c>
      <x:c r="BX573" s="14" t="str">
        <x:v>Supplied cast data establishes the credit and episode presence but does not establish narrative prominence.</x:v>
      </x:c>
      <x:c r="BY573" s="14" t="str">
        <x:v>Supplied IMDb cast-list workbook</x:v>
      </x:c>
      <x:c r="BZ5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tt11639300|nm0461409|corin belling</x:v>
      </x:c>
      <x:c r="B574" s="14" t="str">
        <x:v>02</x:v>
      </x:c>
      <x:c r="C574" s="14" t="str">
        <x:v>2021_IMDb_Cast_Lists_Batch_02(1).xlsx</x:v>
      </x:c>
      <x:c r="D574" s="14" t="str">
        <x:v>Grace</x:v>
      </x:c>
      <x:c r="E574" s="14" t="n">
        <x:v>191</x:v>
      </x:c>
      <x:c r="F574" s="14" t="str">
        <x:v>Grace</x:v>
      </x:c>
      <x:c r="G574" s="14" t="str">
        <x:v>tt11639300</x:v>
      </x:c>
      <x:c r="H574" s="14" t="n">
        <x:v>2021</x:v>
      </x:c>
      <x:c r="I574" s="14" t="n">
        <x:v>2023</x:v>
      </x:c>
      <x:c r="J574" s="14" t="str">
        <x:v>Future Carry-Forward Cohort</x:v>
      </x:c>
      <x:c r="K574" s="14" t="n">
        <x:v>2021</x:v>
      </x:c>
      <x:c r="L574" s="14" t="str">
        <x:v>Available from 2021 analysis</x:v>
      </x:c>
      <x:c r="M574" s="15" t="n">
        <x:v>184</x:v>
      </x:c>
      <x:c r="N574" s="14" t="str">
        <x:v>Andrew Knott</x:v>
      </x:c>
      <x:c r="O574" s="14" t="str">
        <x:v>nm0461409</x:v>
      </x:c>
      <x:c r="P574" s="14" t="str">
        <x:v>Corin Belling</x:v>
      </x:c>
      <x:c r="Q574" s="15" t="n">
        <x:v>1</x:v>
      </x:c>
      <x:c r="R574" s="14" t="str">
        <x:v>2025</x:v>
      </x:c>
      <x:c r="S574" s="14" t="n">
        <x:v>2025</x:v>
      </x:c>
      <x:c r="T574" s="14" t="n">
        <x:v>2025</x:v>
      </x:c>
      <x:c r="U574" s="14" t="str">
        <x:v>Post-2021 casting excluded</x:v>
      </x:c>
      <x:c r="V574" s="14" t="str">
        <x:v>Earliest supplied year is 2025, later than the 2021 study year.</x:v>
      </x:c>
      <x:c r="W574" s="14"/>
      <x:c r="X574" s="14" t="str">
        <x:v>Carried forward to 2025</x:v>
      </x:c>
      <x:c r="Y574" s="14"/>
      <x:c r="Z574" s="14" t="str">
        <x:v>Grace.docx</x:v>
      </x:c>
      <x:c r="AA5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ITV / ITVX</x:v>
      </x:c>
      <x:c r="AI574" s="14" t="str">
        <x:v>UK original 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uk original commission.</x:v>
      </x:c>
      <x:c r="AM574" s="17" t="e">
        <x:f>HYPERLINK("https://en.wikipedia.org/wiki/Grace","Open source")</x:f>
        <x:v>HYPERLINK is not implemented. linkLocation=https://en.wikipedia.org/wiki/Grace, friendlyName=Open source</x:v>
      </x:c>
      <x:c r="AN574" s="14" t="str">
        <x:v>No qualifying BBC relationship</x:v>
      </x:c>
      <x:c r="AO574" s="14" t="str">
        <x:v>No</x:v>
      </x:c>
      <x:c r="AP574" s="14" t="str">
        <x:v>Out of scope</x:v>
      </x:c>
      <x:c r="AQ574" s="14" t="str">
        <x:v>No</x:v>
      </x:c>
      <x:c r="AR574" s="14" t="str">
        <x:v>Resolved from master register</x:v>
      </x:c>
      <x:c r="AS574" s="14" t="str">
        <x:v>No established-register match</x:v>
      </x:c>
      <x:c r="AT574" s="14"/>
      <x:c r="AU574" s="14"/>
      <x:c r="AV574" s="14" t="str">
        <x:v>No established apparent-disability match</x:v>
      </x:c>
      <x:c r="AW574" s="14"/>
      <x:c r="AX574" s="14" t="str">
        <x:v>No</x:v>
      </x:c>
      <x:c r="AY574" s="14" t="str">
        <x:v>Unmatched</x:v>
      </x:c>
      <x:c r="AZ574" s="14" t="str">
        <x:v>Final supplied register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20</x:v>
      </x:c>
      <x:c r="BP574" s="14" t="str">
        <x:v>Maximum eligible IMDb cast-credit total (20), shared by 4 performer(s); not independently verified as a 2021-only episode total.</x:v>
      </x:c>
      <x:c r="BQ574" s="14" t="str">
        <x:v>Medium</x:v>
      </x:c>
      <x:c r="BR574" s="15" t="n">
        <x:v>1</x:v>
      </x:c>
      <x:c r="BS574" s="16" t="n">
        <x:v>0.05</x:v>
      </x:c>
      <x:c r="BT574" s="14" t="str">
        <x:v>One episode</x:v>
      </x:c>
      <x:c r="BU574" s="14" t="str">
        <x:v>Medium</x:v>
      </x:c>
      <x:c r="BV574" s="14" t="str">
        <x:v>Derived from supplied IMDb episode count and the documented production-total proxy.</x:v>
      </x:c>
      <x:c r="BW574" s="14" t="str">
        <x:v>Unable to determine</x:v>
      </x:c>
      <x:c r="BX574" s="14" t="str">
        <x:v>Supplied cast data establishes the credit and episode presence but does not establish narrative prominence.</x:v>
      </x:c>
      <x:c r="BY574" s="14" t="str">
        <x:v>Supplied IMDb cast-list workbook</x:v>
      </x:c>
      <x:c r="BZ5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tt11639300|nm11007815|kona</x:v>
      </x:c>
      <x:c r="B575" s="14" t="str">
        <x:v>02</x:v>
      </x:c>
      <x:c r="C575" s="14" t="str">
        <x:v>2021_IMDb_Cast_Lists_Batch_02(1).xlsx</x:v>
      </x:c>
      <x:c r="D575" s="14" t="str">
        <x:v>Grace</x:v>
      </x:c>
      <x:c r="E575" s="14" t="n">
        <x:v>192</x:v>
      </x:c>
      <x:c r="F575" s="14" t="str">
        <x:v>Grace</x:v>
      </x:c>
      <x:c r="G575" s="14" t="str">
        <x:v>tt11639300</x:v>
      </x:c>
      <x:c r="H575" s="14" t="n">
        <x:v>2021</x:v>
      </x:c>
      <x:c r="I575" s="14" t="n">
        <x:v>2023</x:v>
      </x:c>
      <x:c r="J575" s="14" t="str">
        <x:v>Future Carry-Forward Cohort</x:v>
      </x:c>
      <x:c r="K575" s="14" t="n">
        <x:v>2021</x:v>
      </x:c>
      <x:c r="L575" s="14" t="str">
        <x:v>Available from 2021 analysis</x:v>
      </x:c>
      <x:c r="M575" s="15" t="n">
        <x:v>185</x:v>
      </x:c>
      <x:c r="N575" s="14" t="str">
        <x:v>Eddie Mannon</x:v>
      </x:c>
      <x:c r="O575" s="14" t="str">
        <x:v>nm11007815</x:v>
      </x:c>
      <x:c r="P575" s="14" t="str">
        <x:v>Kona</x:v>
      </x:c>
      <x:c r="Q575" s="15" t="n">
        <x:v>1</x:v>
      </x:c>
      <x:c r="R575" s="14" t="str">
        <x:v>2025</x:v>
      </x:c>
      <x:c r="S575" s="14" t="n">
        <x:v>2025</x:v>
      </x:c>
      <x:c r="T575" s="14" t="n">
        <x:v>2025</x:v>
      </x:c>
      <x:c r="U575" s="14" t="str">
        <x:v>Post-2021 casting excluded</x:v>
      </x:c>
      <x:c r="V575" s="14" t="str">
        <x:v>Earliest supplied year is 2025, later than the 2021 study year.</x:v>
      </x:c>
      <x:c r="W575" s="14"/>
      <x:c r="X575" s="14" t="str">
        <x:v>Carried forward to 2025</x:v>
      </x:c>
      <x:c r="Y575" s="14"/>
      <x:c r="Z575" s="14" t="str">
        <x:v>Grace.docx</x:v>
      </x:c>
      <x:c r="AA5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ITV / ITVX</x:v>
      </x:c>
      <x:c r="AI575" s="14" t="str">
        <x:v>UK original 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uk original commission.</x:v>
      </x:c>
      <x:c r="AM575" s="17" t="e">
        <x:f>HYPERLINK("https://en.wikipedia.org/wiki/Grace","Open source")</x:f>
        <x:v>HYPERLINK is not implemented. linkLocation=https://en.wikipedia.org/wiki/Grace, friendlyName=Open source</x:v>
      </x:c>
      <x:c r="AN575" s="14" t="str">
        <x:v>No qualifying BBC relationship</x:v>
      </x:c>
      <x:c r="AO575" s="14" t="str">
        <x:v>No</x:v>
      </x:c>
      <x:c r="AP575" s="14" t="str">
        <x:v>Out of scope</x:v>
      </x:c>
      <x:c r="AQ575" s="14" t="str">
        <x:v>No</x:v>
      </x:c>
      <x:c r="AR575" s="14" t="str">
        <x:v>Resolved from master register</x:v>
      </x:c>
      <x:c r="AS575" s="14" t="str">
        <x:v>No established-register match</x:v>
      </x:c>
      <x:c r="AT575" s="14"/>
      <x:c r="AU575" s="14"/>
      <x:c r="AV575" s="14" t="str">
        <x:v>No established apparent-disability match</x:v>
      </x:c>
      <x:c r="AW575" s="14"/>
      <x:c r="AX575" s="14" t="str">
        <x:v>No</x:v>
      </x:c>
      <x:c r="AY575" s="14" t="str">
        <x:v>Unmatched</x:v>
      </x:c>
      <x:c r="AZ575" s="14" t="str">
        <x:v>Final supplied register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20</x:v>
      </x:c>
      <x:c r="BP575" s="14" t="str">
        <x:v>Maximum eligible IMDb cast-credit total (20), shared by 4 performer(s); not independently verified as a 2021-only episode total.</x:v>
      </x:c>
      <x:c r="BQ575" s="14" t="str">
        <x:v>Medium</x:v>
      </x:c>
      <x:c r="BR575" s="15" t="n">
        <x:v>1</x:v>
      </x:c>
      <x:c r="BS575" s="16" t="n">
        <x:v>0.05</x:v>
      </x:c>
      <x:c r="BT575" s="14" t="str">
        <x:v>One episode</x:v>
      </x:c>
      <x:c r="BU575" s="14" t="str">
        <x:v>Medium</x:v>
      </x:c>
      <x:c r="BV575" s="14" t="str">
        <x:v>Derived from supplied IMDb episode count and the documented production-total proxy.</x:v>
      </x:c>
      <x:c r="BW575" s="14" t="str">
        <x:v>Unable to determine</x:v>
      </x:c>
      <x:c r="BX575" s="14" t="str">
        <x:v>Supplied cast data establishes the credit and episode presence but does not establish narrative prominence.</x:v>
      </x:c>
      <x:c r="BY575" s="14" t="str">
        <x:v>Supplied IMDb cast-list workbook</x:v>
      </x:c>
      <x:c r="BZ5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tt11639300|nm6228755|jessica o'sullivan</x:v>
      </x:c>
      <x:c r="B576" s="14" t="str">
        <x:v>02</x:v>
      </x:c>
      <x:c r="C576" s="14" t="str">
        <x:v>2021_IMDb_Cast_Lists_Batch_02(1).xlsx</x:v>
      </x:c>
      <x:c r="D576" s="14" t="str">
        <x:v>Grace</x:v>
      </x:c>
      <x:c r="E576" s="14" t="n">
        <x:v>201</x:v>
      </x:c>
      <x:c r="F576" s="14" t="str">
        <x:v>Grace</x:v>
      </x:c>
      <x:c r="G576" s="14" t="str">
        <x:v>tt11639300</x:v>
      </x:c>
      <x:c r="H576" s="14" t="n">
        <x:v>2021</x:v>
      </x:c>
      <x:c r="I576" s="14" t="n">
        <x:v>2023</x:v>
      </x:c>
      <x:c r="J576" s="14" t="str">
        <x:v>Future Carry-Forward Cohort</x:v>
      </x:c>
      <x:c r="K576" s="14" t="n">
        <x:v>2021</x:v>
      </x:c>
      <x:c r="L576" s="14" t="str">
        <x:v>Available from 2021 analysis</x:v>
      </x:c>
      <x:c r="M576" s="15" t="n">
        <x:v>194</x:v>
      </x:c>
      <x:c r="N576" s="14" t="str">
        <x:v>Naomi Yang</x:v>
      </x:c>
      <x:c r="O576" s="14" t="str">
        <x:v>nm6228755</x:v>
      </x:c>
      <x:c r="P576" s="14" t="str">
        <x:v>Jessica O'Sullivan</x:v>
      </x:c>
      <x:c r="Q576" s="15" t="n">
        <x:v>1</x:v>
      </x:c>
      <x:c r="R576" s="14" t="str">
        <x:v>2025</x:v>
      </x:c>
      <x:c r="S576" s="14" t="n">
        <x:v>2025</x:v>
      </x:c>
      <x:c r="T576" s="14" t="n">
        <x:v>2025</x:v>
      </x:c>
      <x:c r="U576" s="14" t="str">
        <x:v>Post-2021 casting excluded</x:v>
      </x:c>
      <x:c r="V576" s="14" t="str">
        <x:v>Earliest supplied year is 2025, later than the 2021 study year.</x:v>
      </x:c>
      <x:c r="W576" s="14"/>
      <x:c r="X576" s="14" t="str">
        <x:v>Carried forward to 2025</x:v>
      </x:c>
      <x:c r="Y576" s="14"/>
      <x:c r="Z576" s="14" t="str">
        <x:v>Grace.docx</x:v>
      </x:c>
      <x:c r="AA5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ITV / ITVX</x:v>
      </x:c>
      <x:c r="AI576" s="14" t="str">
        <x:v>UK original 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uk original commission.</x:v>
      </x:c>
      <x:c r="AM576" s="17" t="e">
        <x:f>HYPERLINK("https://en.wikipedia.org/wiki/Grace","Open source")</x:f>
        <x:v>HYPERLINK is not implemented. linkLocation=https://en.wikipedia.org/wiki/Grace, friendlyName=Open source</x:v>
      </x:c>
      <x:c r="AN576" s="14" t="str">
        <x:v>No qualifying BBC relationship</x:v>
      </x:c>
      <x:c r="AO576" s="14" t="str">
        <x:v>No</x:v>
      </x:c>
      <x:c r="AP576" s="14" t="str">
        <x:v>Out of scope</x:v>
      </x:c>
      <x:c r="AQ576" s="14" t="str">
        <x:v>No</x:v>
      </x:c>
      <x:c r="AR576" s="14" t="str">
        <x:v>Resolved from master register</x:v>
      </x:c>
      <x:c r="AS576" s="14" t="str">
        <x:v>No established-register match</x:v>
      </x:c>
      <x:c r="AT576" s="14"/>
      <x:c r="AU576" s="14"/>
      <x:c r="AV576" s="14" t="str">
        <x:v>No established apparent-disability match</x:v>
      </x:c>
      <x:c r="AW576" s="14"/>
      <x:c r="AX576" s="14" t="str">
        <x:v>No</x:v>
      </x:c>
      <x:c r="AY576" s="14" t="str">
        <x:v>Unmatched</x:v>
      </x:c>
      <x:c r="AZ576" s="14" t="str">
        <x:v>Final supplied register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20</x:v>
      </x:c>
      <x:c r="BP576" s="14" t="str">
        <x:v>Maximum eligible IMDb cast-credit total (20), shared by 4 performer(s); not independently verified as a 2021-only episode total.</x:v>
      </x:c>
      <x:c r="BQ576" s="14" t="str">
        <x:v>Medium</x:v>
      </x:c>
      <x:c r="BR576" s="15" t="n">
        <x:v>1</x:v>
      </x:c>
      <x:c r="BS576" s="16" t="n">
        <x:v>0.05</x:v>
      </x:c>
      <x:c r="BT576" s="14" t="str">
        <x:v>One episode</x:v>
      </x:c>
      <x:c r="BU576" s="14" t="str">
        <x:v>Medium</x:v>
      </x:c>
      <x:c r="BV576" s="14" t="str">
        <x:v>Derived from supplied IMDb episode count and the documented production-total proxy.</x:v>
      </x:c>
      <x:c r="BW576" s="14" t="str">
        <x:v>Unable to determine</x:v>
      </x:c>
      <x:c r="BX576" s="14" t="str">
        <x:v>Supplied cast data establishes the credit and episode presence but does not establish narrative prominence.</x:v>
      </x:c>
      <x:c r="BY576" s="14" t="str">
        <x:v>Supplied IMDb cast-list workbook</x:v>
      </x:c>
      <x:c r="BZ5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tt11639300|nm3007817|allegra</x:v>
      </x:c>
      <x:c r="B577" s="14" t="str">
        <x:v>02</x:v>
      </x:c>
      <x:c r="C577" s="14" t="str">
        <x:v>2021_IMDb_Cast_Lists_Batch_02(1).xlsx</x:v>
      </x:c>
      <x:c r="D577" s="14" t="str">
        <x:v>Grace</x:v>
      </x:c>
      <x:c r="E577" s="14" t="n">
        <x:v>202</x:v>
      </x:c>
      <x:c r="F577" s="14" t="str">
        <x:v>Grace</x:v>
      </x:c>
      <x:c r="G577" s="14" t="str">
        <x:v>tt11639300</x:v>
      </x:c>
      <x:c r="H577" s="14" t="n">
        <x:v>2021</x:v>
      </x:c>
      <x:c r="I577" s="14" t="n">
        <x:v>2023</x:v>
      </x:c>
      <x:c r="J577" s="14" t="str">
        <x:v>Future Carry-Forward Cohort</x:v>
      </x:c>
      <x:c r="K577" s="14" t="n">
        <x:v>2021</x:v>
      </x:c>
      <x:c r="L577" s="14" t="str">
        <x:v>Available from 2021 analysis</x:v>
      </x:c>
      <x:c r="M577" s="15" t="n">
        <x:v>195</x:v>
      </x:c>
      <x:c r="N577" s="14" t="str">
        <x:v>Maja Bloom</x:v>
      </x:c>
      <x:c r="O577" s="14" t="str">
        <x:v>nm3007817</x:v>
      </x:c>
      <x:c r="P577" s="14" t="str">
        <x:v>Allegra</x:v>
      </x:c>
      <x:c r="Q577" s="15" t="n">
        <x:v>1</x:v>
      </x:c>
      <x:c r="R577" s="14" t="str">
        <x:v>2025</x:v>
      </x:c>
      <x:c r="S577" s="14" t="n">
        <x:v>2025</x:v>
      </x:c>
      <x:c r="T577" s="14" t="n">
        <x:v>2025</x:v>
      </x:c>
      <x:c r="U577" s="14" t="str">
        <x:v>Post-2021 casting excluded</x:v>
      </x:c>
      <x:c r="V577" s="14" t="str">
        <x:v>Earliest supplied year is 2025, later than the 2021 study year.</x:v>
      </x:c>
      <x:c r="W577" s="14"/>
      <x:c r="X577" s="14" t="str">
        <x:v>Carried forward to 2025</x:v>
      </x:c>
      <x:c r="Y577" s="14"/>
      <x:c r="Z577" s="14" t="str">
        <x:v>Grace.docx</x:v>
      </x:c>
      <x:c r="AA5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ITV / ITVX</x:v>
      </x:c>
      <x:c r="AI577" s="14" t="str">
        <x:v>UK original 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uk original commission.</x:v>
      </x:c>
      <x:c r="AM577" s="17" t="e">
        <x:f>HYPERLINK("https://en.wikipedia.org/wiki/Grace","Open source")</x:f>
        <x:v>HYPERLINK is not implemented. linkLocation=https://en.wikipedia.org/wiki/Grace, friendlyName=Open source</x:v>
      </x:c>
      <x:c r="AN577" s="14" t="str">
        <x:v>No qualifying BBC relationship</x:v>
      </x:c>
      <x:c r="AO577" s="14" t="str">
        <x:v>No</x:v>
      </x:c>
      <x:c r="AP577" s="14" t="str">
        <x:v>Out of scope</x:v>
      </x:c>
      <x:c r="AQ577" s="14" t="str">
        <x:v>No</x:v>
      </x:c>
      <x:c r="AR577" s="14" t="str">
        <x:v>Resolved from master register</x:v>
      </x:c>
      <x:c r="AS577" s="14" t="str">
        <x:v>No established-register match</x:v>
      </x:c>
      <x:c r="AT577" s="14"/>
      <x:c r="AU577" s="14"/>
      <x:c r="AV577" s="14" t="str">
        <x:v>No established apparent-disability match</x:v>
      </x:c>
      <x:c r="AW577" s="14"/>
      <x:c r="AX577" s="14" t="str">
        <x:v>No</x:v>
      </x:c>
      <x:c r="AY577" s="14" t="str">
        <x:v>Unmatched</x:v>
      </x:c>
      <x:c r="AZ577" s="14" t="str">
        <x:v>Final supplied register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20</x:v>
      </x:c>
      <x:c r="BP577" s="14" t="str">
        <x:v>Maximum eligible IMDb cast-credit total (20), shared by 4 performer(s); not independently verified as a 2021-only episode total.</x:v>
      </x:c>
      <x:c r="BQ577" s="14" t="str">
        <x:v>Medium</x:v>
      </x:c>
      <x:c r="BR577" s="15" t="n">
        <x:v>1</x:v>
      </x:c>
      <x:c r="BS577" s="16" t="n">
        <x:v>0.05</x:v>
      </x:c>
      <x:c r="BT577" s="14" t="str">
        <x:v>One episode</x:v>
      </x:c>
      <x:c r="BU577" s="14" t="str">
        <x:v>Medium</x:v>
      </x:c>
      <x:c r="BV577" s="14" t="str">
        <x:v>Derived from supplied IMDb episode count and the documented production-total proxy.</x:v>
      </x:c>
      <x:c r="BW577" s="14" t="str">
        <x:v>Unable to determine</x:v>
      </x:c>
      <x:c r="BX577" s="14" t="str">
        <x:v>Supplied cast data establishes the credit and episode presence but does not establish narrative prominence.</x:v>
      </x:c>
      <x:c r="BY577" s="14" t="str">
        <x:v>Supplied IMDb cast-list workbook</x:v>
      </x:c>
      <x:c r="BZ5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tt11639300|nm1555396|medical director</x:v>
      </x:c>
      <x:c r="B578" s="14" t="str">
        <x:v>02</x:v>
      </x:c>
      <x:c r="C578" s="14" t="str">
        <x:v>2021_IMDb_Cast_Lists_Batch_02(1).xlsx</x:v>
      </x:c>
      <x:c r="D578" s="14" t="str">
        <x:v>Grace</x:v>
      </x:c>
      <x:c r="E578" s="14" t="n">
        <x:v>203</x:v>
      </x:c>
      <x:c r="F578" s="14" t="str">
        <x:v>Grace</x:v>
      </x:c>
      <x:c r="G578" s="14" t="str">
        <x:v>tt11639300</x:v>
      </x:c>
      <x:c r="H578" s="14" t="n">
        <x:v>2021</x:v>
      </x:c>
      <x:c r="I578" s="14" t="n">
        <x:v>2023</x:v>
      </x:c>
      <x:c r="J578" s="14" t="str">
        <x:v>Future Carry-Forward Cohort</x:v>
      </x:c>
      <x:c r="K578" s="14" t="n">
        <x:v>2021</x:v>
      </x:c>
      <x:c r="L578" s="14" t="str">
        <x:v>Available from 2021 analysis</x:v>
      </x:c>
      <x:c r="M578" s="15" t="n">
        <x:v>196</x:v>
      </x:c>
      <x:c r="N578" s="14" t="str">
        <x:v>Emma Dears</x:v>
      </x:c>
      <x:c r="O578" s="14" t="str">
        <x:v>nm1555396</x:v>
      </x:c>
      <x:c r="P578" s="14" t="str">
        <x:v>Medical Director</x:v>
      </x:c>
      <x:c r="Q578" s="15" t="n">
        <x:v>1</x:v>
      </x:c>
      <x:c r="R578" s="14" t="str">
        <x:v>2025</x:v>
      </x:c>
      <x:c r="S578" s="14" t="n">
        <x:v>2025</x:v>
      </x:c>
      <x:c r="T578" s="14" t="n">
        <x:v>2025</x:v>
      </x:c>
      <x:c r="U578" s="14" t="str">
        <x:v>Post-2021 casting excluded</x:v>
      </x:c>
      <x:c r="V578" s="14" t="str">
        <x:v>Earliest supplied year is 2025, later than the 2021 study year.</x:v>
      </x:c>
      <x:c r="W578" s="14"/>
      <x:c r="X578" s="14" t="str">
        <x:v>Carried forward to 2025</x:v>
      </x:c>
      <x:c r="Y578" s="14"/>
      <x:c r="Z578" s="14" t="str">
        <x:v>Grace.docx</x:v>
      </x:c>
      <x:c r="AA5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ITV / ITVX</x:v>
      </x:c>
      <x:c r="AI578" s="14" t="str">
        <x:v>UK original 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uk original commission.</x:v>
      </x:c>
      <x:c r="AM578" s="17" t="e">
        <x:f>HYPERLINK("https://en.wikipedia.org/wiki/Grace","Open source")</x:f>
        <x:v>HYPERLINK is not implemented. linkLocation=https://en.wikipedia.org/wiki/Grace, friendlyName=Open source</x:v>
      </x:c>
      <x:c r="AN578" s="14" t="str">
        <x:v>No qualifying BBC relationship</x:v>
      </x:c>
      <x:c r="AO578" s="14" t="str">
        <x:v>No</x:v>
      </x:c>
      <x:c r="AP578" s="14" t="str">
        <x:v>Out of scope</x:v>
      </x:c>
      <x:c r="AQ578" s="14" t="str">
        <x:v>No</x:v>
      </x:c>
      <x:c r="AR578" s="14" t="str">
        <x:v>Resolved from master register</x:v>
      </x:c>
      <x:c r="AS578" s="14" t="str">
        <x:v>No established-register match</x:v>
      </x:c>
      <x:c r="AT578" s="14"/>
      <x:c r="AU578" s="14"/>
      <x:c r="AV578" s="14" t="str">
        <x:v>No established apparent-disability match</x:v>
      </x:c>
      <x:c r="AW578" s="14"/>
      <x:c r="AX578" s="14" t="str">
        <x:v>No</x:v>
      </x:c>
      <x:c r="AY578" s="14" t="str">
        <x:v>Unmatched</x:v>
      </x:c>
      <x:c r="AZ578" s="14" t="str">
        <x:v>Final supplied register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20</x:v>
      </x:c>
      <x:c r="BP578" s="14" t="str">
        <x:v>Maximum eligible IMDb cast-credit total (20), shared by 4 performer(s); not independently verified as a 2021-only episode total.</x:v>
      </x:c>
      <x:c r="BQ578" s="14" t="str">
        <x:v>Medium</x:v>
      </x:c>
      <x:c r="BR578" s="15" t="n">
        <x:v>1</x:v>
      </x:c>
      <x:c r="BS578" s="16" t="n">
        <x:v>0.05</x:v>
      </x:c>
      <x:c r="BT578" s="14" t="str">
        <x:v>One episode</x:v>
      </x:c>
      <x:c r="BU578" s="14" t="str">
        <x:v>Medium</x:v>
      </x:c>
      <x:c r="BV578" s="14" t="str">
        <x:v>Derived from supplied IMDb episode count and the documented production-total proxy.</x:v>
      </x:c>
      <x:c r="BW578" s="14" t="str">
        <x:v>Unable to determine</x:v>
      </x:c>
      <x:c r="BX578" s="14" t="str">
        <x:v>Supplied cast data establishes the credit and episode presence but does not establish narrative prominence.</x:v>
      </x:c>
      <x:c r="BY578" s="14" t="str">
        <x:v>Supplied IMDb cast-list workbook</x:v>
      </x:c>
      <x:c r="BZ5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tt11639300|nm3009594|noel ludlow</x:v>
      </x:c>
      <x:c r="B579" s="14" t="str">
        <x:v>02</x:v>
      </x:c>
      <x:c r="C579" s="14" t="str">
        <x:v>2021_IMDb_Cast_Lists_Batch_02(1).xlsx</x:v>
      </x:c>
      <x:c r="D579" s="14" t="str">
        <x:v>Grace</x:v>
      </x:c>
      <x:c r="E579" s="14" t="n">
        <x:v>217</x:v>
      </x:c>
      <x:c r="F579" s="14" t="str">
        <x:v>Grace</x:v>
      </x:c>
      <x:c r="G579" s="14" t="str">
        <x:v>tt11639300</x:v>
      </x:c>
      <x:c r="H579" s="14" t="n">
        <x:v>2021</x:v>
      </x:c>
      <x:c r="I579" s="14" t="n">
        <x:v>2023</x:v>
      </x:c>
      <x:c r="J579" s="14" t="str">
        <x:v>Future Carry-Forward Cohort</x:v>
      </x:c>
      <x:c r="K579" s="14" t="n">
        <x:v>2021</x:v>
      </x:c>
      <x:c r="L579" s="14" t="str">
        <x:v>Available from 2021 analysis</x:v>
      </x:c>
      <x:c r="M579" s="15" t="n">
        <x:v>210</x:v>
      </x:c>
      <x:c r="N579" s="14" t="str">
        <x:v>Oaklee Pendergast</x:v>
      </x:c>
      <x:c r="O579" s="14" t="str">
        <x:v>nm3009594</x:v>
      </x:c>
      <x:c r="P579" s="14" t="str">
        <x:v>Noel Ludlow</x:v>
      </x:c>
      <x:c r="Q579" s="15" t="n">
        <x:v>1</x:v>
      </x:c>
      <x:c r="R579" s="14" t="str">
        <x:v>2025</x:v>
      </x:c>
      <x:c r="S579" s="14" t="n">
        <x:v>2025</x:v>
      </x:c>
      <x:c r="T579" s="14" t="n">
        <x:v>2025</x:v>
      </x:c>
      <x:c r="U579" s="14" t="str">
        <x:v>Post-2021 casting excluded</x:v>
      </x:c>
      <x:c r="V579" s="14" t="str">
        <x:v>Earliest supplied year is 2025, later than the 2021 study year.</x:v>
      </x:c>
      <x:c r="W579" s="14"/>
      <x:c r="X579" s="14" t="str">
        <x:v>Carried forward to 2025</x:v>
      </x:c>
      <x:c r="Y579" s="14"/>
      <x:c r="Z579" s="14" t="str">
        <x:v>Grace.docx</x:v>
      </x:c>
      <x:c r="AA5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ITV / ITVX</x:v>
      </x:c>
      <x:c r="AI579" s="14" t="str">
        <x:v>UK original 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uk original commission.</x:v>
      </x:c>
      <x:c r="AM579" s="17" t="e">
        <x:f>HYPERLINK("https://en.wikipedia.org/wiki/Grace","Open source")</x:f>
        <x:v>HYPERLINK is not implemented. linkLocation=https://en.wikipedia.org/wiki/Grace, friendlyName=Open source</x:v>
      </x:c>
      <x:c r="AN579" s="14" t="str">
        <x:v>No qualifying BBC relationship</x:v>
      </x:c>
      <x:c r="AO579" s="14" t="str">
        <x:v>No</x:v>
      </x:c>
      <x:c r="AP579" s="14" t="str">
        <x:v>Out of scope</x:v>
      </x:c>
      <x:c r="AQ579" s="14" t="str">
        <x:v>No</x:v>
      </x:c>
      <x:c r="AR579" s="14" t="str">
        <x:v>Resolved from master register</x:v>
      </x:c>
      <x:c r="AS579" s="14" t="str">
        <x:v>No established-register match</x:v>
      </x:c>
      <x:c r="AT579" s="14"/>
      <x:c r="AU579" s="14"/>
      <x:c r="AV579" s="14" t="str">
        <x:v>No established apparent-disability match</x:v>
      </x:c>
      <x:c r="AW579" s="14"/>
      <x:c r="AX579" s="14" t="str">
        <x:v>No</x:v>
      </x:c>
      <x:c r="AY579" s="14" t="str">
        <x:v>Unmatched</x:v>
      </x:c>
      <x:c r="AZ579" s="14" t="str">
        <x:v>Final supplied register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20</x:v>
      </x:c>
      <x:c r="BP579" s="14" t="str">
        <x:v>Maximum eligible IMDb cast-credit total (20), shared by 4 performer(s); not independently verified as a 2021-only episode total.</x:v>
      </x:c>
      <x:c r="BQ579" s="14" t="str">
        <x:v>Medium</x:v>
      </x:c>
      <x:c r="BR579" s="15" t="n">
        <x:v>1</x:v>
      </x:c>
      <x:c r="BS579" s="16" t="n">
        <x:v>0.05</x:v>
      </x:c>
      <x:c r="BT579" s="14" t="str">
        <x:v>One episode</x:v>
      </x:c>
      <x:c r="BU579" s="14" t="str">
        <x:v>Medium</x:v>
      </x:c>
      <x:c r="BV579" s="14" t="str">
        <x:v>Derived from supplied IMDb episode count and the documented production-total proxy.</x:v>
      </x:c>
      <x:c r="BW579" s="14" t="str">
        <x:v>Unable to determine</x:v>
      </x:c>
      <x:c r="BX579" s="14" t="str">
        <x:v>Supplied cast data establishes the credit and episode presence but does not establish narrative prominence.</x:v>
      </x:c>
      <x:c r="BY579" s="14" t="str">
        <x:v>Supplied IMDb cast-list workbook</x:v>
      </x:c>
      <x:c r="BZ5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tt11639300|nm2167445|marcus o'sullivan</x:v>
      </x:c>
      <x:c r="B580" s="14" t="str">
        <x:v>02</x:v>
      </x:c>
      <x:c r="C580" s="14" t="str">
        <x:v>2021_IMDb_Cast_Lists_Batch_02(1).xlsx</x:v>
      </x:c>
      <x:c r="D580" s="14" t="str">
        <x:v>Grace</x:v>
      </x:c>
      <x:c r="E580" s="14" t="n">
        <x:v>218</x:v>
      </x:c>
      <x:c r="F580" s="14" t="str">
        <x:v>Grace</x:v>
      </x:c>
      <x:c r="G580" s="14" t="str">
        <x:v>tt11639300</x:v>
      </x:c>
      <x:c r="H580" s="14" t="n">
        <x:v>2021</x:v>
      </x:c>
      <x:c r="I580" s="14" t="n">
        <x:v>2023</x:v>
      </x:c>
      <x:c r="J580" s="14" t="str">
        <x:v>Future Carry-Forward Cohort</x:v>
      </x:c>
      <x:c r="K580" s="14" t="n">
        <x:v>2021</x:v>
      </x:c>
      <x:c r="L580" s="14" t="str">
        <x:v>Available from 2021 analysis</x:v>
      </x:c>
      <x:c r="M580" s="15" t="n">
        <x:v>211</x:v>
      </x:c>
      <x:c r="N580" s="14" t="str">
        <x:v>Gethin Anthony</x:v>
      </x:c>
      <x:c r="O580" s="14" t="str">
        <x:v>nm2167445</x:v>
      </x:c>
      <x:c r="P580" s="14" t="str">
        <x:v>Marcus O'Sullivan</x:v>
      </x:c>
      <x:c r="Q580" s="15" t="n">
        <x:v>1</x:v>
      </x:c>
      <x:c r="R580" s="14" t="str">
        <x:v>2025</x:v>
      </x:c>
      <x:c r="S580" s="14" t="n">
        <x:v>2025</x:v>
      </x:c>
      <x:c r="T580" s="14" t="n">
        <x:v>2025</x:v>
      </x:c>
      <x:c r="U580" s="14" t="str">
        <x:v>Post-2021 casting excluded</x:v>
      </x:c>
      <x:c r="V580" s="14" t="str">
        <x:v>Earliest supplied year is 2025, later than the 2021 study year.</x:v>
      </x:c>
      <x:c r="W580" s="14"/>
      <x:c r="X580" s="14" t="str">
        <x:v>Carried forward to 2025</x:v>
      </x:c>
      <x:c r="Y580" s="14"/>
      <x:c r="Z580" s="14" t="str">
        <x:v>Grace.docx</x:v>
      </x:c>
      <x:c r="AA5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ITV / ITVX</x:v>
      </x:c>
      <x:c r="AI580" s="14" t="str">
        <x:v>UK original 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uk original commission.</x:v>
      </x:c>
      <x:c r="AM580" s="17" t="e">
        <x:f>HYPERLINK("https://en.wikipedia.org/wiki/Grace","Open source")</x:f>
        <x:v>HYPERLINK is not implemented. linkLocation=https://en.wikipedia.org/wiki/Grace, friendlyName=Open source</x:v>
      </x:c>
      <x:c r="AN580" s="14" t="str">
        <x:v>No qualifying BBC relationship</x:v>
      </x:c>
      <x:c r="AO580" s="14" t="str">
        <x:v>No</x:v>
      </x:c>
      <x:c r="AP580" s="14" t="str">
        <x:v>Out of scope</x:v>
      </x:c>
      <x:c r="AQ580" s="14" t="str">
        <x:v>No</x:v>
      </x:c>
      <x:c r="AR580" s="14" t="str">
        <x:v>Resolved from master register</x:v>
      </x:c>
      <x:c r="AS580" s="14" t="str">
        <x:v>No established-register match</x:v>
      </x:c>
      <x:c r="AT580" s="14"/>
      <x:c r="AU580" s="14"/>
      <x:c r="AV580" s="14" t="str">
        <x:v>No established apparent-disability match</x:v>
      </x:c>
      <x:c r="AW580" s="14"/>
      <x:c r="AX580" s="14" t="str">
        <x:v>No</x:v>
      </x:c>
      <x:c r="AY580" s="14" t="str">
        <x:v>Unmatched</x:v>
      </x:c>
      <x:c r="AZ580" s="14" t="str">
        <x:v>Final supplied register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20</x:v>
      </x:c>
      <x:c r="BP580" s="14" t="str">
        <x:v>Maximum eligible IMDb cast-credit total (20), shared by 4 performer(s); not independently verified as a 2021-only episode total.</x:v>
      </x:c>
      <x:c r="BQ580" s="14" t="str">
        <x:v>Medium</x:v>
      </x:c>
      <x:c r="BR580" s="15" t="n">
        <x:v>1</x:v>
      </x:c>
      <x:c r="BS580" s="16" t="n">
        <x:v>0.05</x:v>
      </x:c>
      <x:c r="BT580" s="14" t="str">
        <x:v>One episode</x:v>
      </x:c>
      <x:c r="BU580" s="14" t="str">
        <x:v>Medium</x:v>
      </x:c>
      <x:c r="BV580" s="14" t="str">
        <x:v>Derived from supplied IMDb episode count and the documented production-total proxy.</x:v>
      </x:c>
      <x:c r="BW580" s="14" t="str">
        <x:v>Unable to determine</x:v>
      </x:c>
      <x:c r="BX580" s="14" t="str">
        <x:v>Supplied cast data establishes the credit and episode presence but does not establish narrative prominence.</x:v>
      </x:c>
      <x:c r="BY580" s="14" t="str">
        <x:v>Supplied IMDb cast-list workbook</x:v>
      </x:c>
      <x:c r="BZ5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tt11639300|nm3149086|maisy waller</x:v>
      </x:c>
      <x:c r="B581" s="14" t="str">
        <x:v>02</x:v>
      </x:c>
      <x:c r="C581" s="14" t="str">
        <x:v>2021_IMDb_Cast_Lists_Batch_02(1).xlsx</x:v>
      </x:c>
      <x:c r="D581" s="14" t="str">
        <x:v>Grace</x:v>
      </x:c>
      <x:c r="E581" s="14" t="n">
        <x:v>219</x:v>
      </x:c>
      <x:c r="F581" s="14" t="str">
        <x:v>Grace</x:v>
      </x:c>
      <x:c r="G581" s="14" t="str">
        <x:v>tt11639300</x:v>
      </x:c>
      <x:c r="H581" s="14" t="n">
        <x:v>2021</x:v>
      </x:c>
      <x:c r="I581" s="14" t="n">
        <x:v>2023</x:v>
      </x:c>
      <x:c r="J581" s="14" t="str">
        <x:v>Future Carry-Forward Cohort</x:v>
      </x:c>
      <x:c r="K581" s="14" t="n">
        <x:v>2021</x:v>
      </x:c>
      <x:c r="L581" s="14" t="str">
        <x:v>Available from 2021 analysis</x:v>
      </x:c>
      <x:c r="M581" s="15" t="n">
        <x:v>212</x:v>
      </x:c>
      <x:c r="N581" s="14" t="str">
        <x:v>Julie Barclay</x:v>
      </x:c>
      <x:c r="O581" s="14" t="str">
        <x:v>nm3149086</x:v>
      </x:c>
      <x:c r="P581" s="14" t="str">
        <x:v>Maisy Waller</x:v>
      </x:c>
      <x:c r="Q581" s="15" t="n">
        <x:v>1</x:v>
      </x:c>
      <x:c r="R581" s="14" t="str">
        <x:v>2025</x:v>
      </x:c>
      <x:c r="S581" s="14" t="n">
        <x:v>2025</x:v>
      </x:c>
      <x:c r="T581" s="14" t="n">
        <x:v>2025</x:v>
      </x:c>
      <x:c r="U581" s="14" t="str">
        <x:v>Post-2021 casting excluded</x:v>
      </x:c>
      <x:c r="V581" s="14" t="str">
        <x:v>Earliest supplied year is 2025, later than the 2021 study year.</x:v>
      </x:c>
      <x:c r="W581" s="14"/>
      <x:c r="X581" s="14" t="str">
        <x:v>Carried forward to 2025</x:v>
      </x:c>
      <x:c r="Y581" s="14"/>
      <x:c r="Z581" s="14" t="str">
        <x:v>Grace.docx</x:v>
      </x:c>
      <x:c r="AA5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ITV / ITVX</x:v>
      </x:c>
      <x:c r="AI581" s="14" t="str">
        <x:v>UK original 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uk original commission.</x:v>
      </x:c>
      <x:c r="AM581" s="17" t="e">
        <x:f>HYPERLINK("https://en.wikipedia.org/wiki/Grace","Open source")</x:f>
        <x:v>HYPERLINK is not implemented. linkLocation=https://en.wikipedia.org/wiki/Grace, friendlyName=Open source</x:v>
      </x:c>
      <x:c r="AN581" s="14" t="str">
        <x:v>No qualifying BBC relationship</x:v>
      </x:c>
      <x:c r="AO581" s="14" t="str">
        <x:v>No</x:v>
      </x:c>
      <x:c r="AP581" s="14" t="str">
        <x:v>Out of scope</x:v>
      </x:c>
      <x:c r="AQ581" s="14" t="str">
        <x:v>No</x:v>
      </x:c>
      <x:c r="AR581" s="14" t="str">
        <x:v>Resolved from master register</x:v>
      </x:c>
      <x:c r="AS581" s="14" t="str">
        <x:v>No established-register match</x:v>
      </x:c>
      <x:c r="AT581" s="14"/>
      <x:c r="AU581" s="14"/>
      <x:c r="AV581" s="14" t="str">
        <x:v>No established apparent-disability match</x:v>
      </x:c>
      <x:c r="AW581" s="14"/>
      <x:c r="AX581" s="14" t="str">
        <x:v>No</x:v>
      </x:c>
      <x:c r="AY581" s="14" t="str">
        <x:v>Unmatched</x:v>
      </x:c>
      <x:c r="AZ581" s="14" t="str">
        <x:v>Final supplied register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20</x:v>
      </x:c>
      <x:c r="BP581" s="14" t="str">
        <x:v>Maximum eligible IMDb cast-credit total (20), shared by 4 performer(s); not independently verified as a 2021-only episode total.</x:v>
      </x:c>
      <x:c r="BQ581" s="14" t="str">
        <x:v>Medium</x:v>
      </x:c>
      <x:c r="BR581" s="15" t="n">
        <x:v>1</x:v>
      </x:c>
      <x:c r="BS581" s="16" t="n">
        <x:v>0.05</x:v>
      </x:c>
      <x:c r="BT581" s="14" t="str">
        <x:v>One episode</x:v>
      </x:c>
      <x:c r="BU581" s="14" t="str">
        <x:v>Medium</x:v>
      </x:c>
      <x:c r="BV581" s="14" t="str">
        <x:v>Derived from supplied IMDb episode count and the documented production-total proxy.</x:v>
      </x:c>
      <x:c r="BW581" s="14" t="str">
        <x:v>Unable to determine</x:v>
      </x:c>
      <x:c r="BX581" s="14" t="str">
        <x:v>Supplied cast data establishes the credit and episode presence but does not establish narrative prominence.</x:v>
      </x:c>
      <x:c r="BY581" s="14" t="str">
        <x:v>Supplied IMDb cast-list workbook</x:v>
      </x:c>
      <x:c r="BZ5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tt11639300|nm1060758|head of surgery</x:v>
      </x:c>
      <x:c r="B582" s="14" t="str">
        <x:v>02</x:v>
      </x:c>
      <x:c r="C582" s="14" t="str">
        <x:v>2021_IMDb_Cast_Lists_Batch_02(1).xlsx</x:v>
      </x:c>
      <x:c r="D582" s="14" t="str">
        <x:v>Grace</x:v>
      </x:c>
      <x:c r="E582" s="14" t="n">
        <x:v>220</x:v>
      </x:c>
      <x:c r="F582" s="14" t="str">
        <x:v>Grace</x:v>
      </x:c>
      <x:c r="G582" s="14" t="str">
        <x:v>tt11639300</x:v>
      </x:c>
      <x:c r="H582" s="14" t="n">
        <x:v>2021</x:v>
      </x:c>
      <x:c r="I582" s="14" t="n">
        <x:v>2023</x:v>
      </x:c>
      <x:c r="J582" s="14" t="str">
        <x:v>Future Carry-Forward Cohort</x:v>
      </x:c>
      <x:c r="K582" s="14" t="n">
        <x:v>2021</x:v>
      </x:c>
      <x:c r="L582" s="14" t="str">
        <x:v>Available from 2021 analysis</x:v>
      </x:c>
      <x:c r="M582" s="15" t="n">
        <x:v>213</x:v>
      </x:c>
      <x:c r="N582" s="14" t="str">
        <x:v>Emily Swain</x:v>
      </x:c>
      <x:c r="O582" s="14" t="str">
        <x:v>nm1060758</x:v>
      </x:c>
      <x:c r="P582" s="14" t="str">
        <x:v>Head of Surgery</x:v>
      </x:c>
      <x:c r="Q582" s="15" t="n">
        <x:v>1</x:v>
      </x:c>
      <x:c r="R582" s="14" t="str">
        <x:v>2025</x:v>
      </x:c>
      <x:c r="S582" s="14" t="n">
        <x:v>2025</x:v>
      </x:c>
      <x:c r="T582" s="14" t="n">
        <x:v>2025</x:v>
      </x:c>
      <x:c r="U582" s="14" t="str">
        <x:v>Post-2021 casting excluded</x:v>
      </x:c>
      <x:c r="V582" s="14" t="str">
        <x:v>Earliest supplied year is 2025, later than the 2021 study year.</x:v>
      </x:c>
      <x:c r="W582" s="14"/>
      <x:c r="X582" s="14" t="str">
        <x:v>Carried forward to 2025</x:v>
      </x:c>
      <x:c r="Y582" s="14"/>
      <x:c r="Z582" s="14" t="str">
        <x:v>Grace.docx</x:v>
      </x:c>
      <x:c r="AA5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ITV / ITVX</x:v>
      </x:c>
      <x:c r="AI582" s="14" t="str">
        <x:v>UK original 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uk original commission.</x:v>
      </x:c>
      <x:c r="AM582" s="17" t="e">
        <x:f>HYPERLINK("https://en.wikipedia.org/wiki/Grace","Open source")</x:f>
        <x:v>HYPERLINK is not implemented. linkLocation=https://en.wikipedia.org/wiki/Grace, friendlyName=Open source</x:v>
      </x:c>
      <x:c r="AN582" s="14" t="str">
        <x:v>No qualifying BBC relationship</x:v>
      </x:c>
      <x:c r="AO582" s="14" t="str">
        <x:v>No</x:v>
      </x:c>
      <x:c r="AP582" s="14" t="str">
        <x:v>Out of scope</x:v>
      </x:c>
      <x:c r="AQ582" s="14" t="str">
        <x:v>No</x:v>
      </x:c>
      <x:c r="AR582" s="14" t="str">
        <x:v>Resolved from master register</x:v>
      </x:c>
      <x:c r="AS582" s="14" t="str">
        <x:v>No established-register match</x:v>
      </x:c>
      <x:c r="AT582" s="14"/>
      <x:c r="AU582" s="14"/>
      <x:c r="AV582" s="14" t="str">
        <x:v>No established apparent-disability match</x:v>
      </x:c>
      <x:c r="AW582" s="14"/>
      <x:c r="AX582" s="14" t="str">
        <x:v>No</x:v>
      </x:c>
      <x:c r="AY582" s="14" t="str">
        <x:v>Unmatched</x:v>
      </x:c>
      <x:c r="AZ582" s="14" t="str">
        <x:v>Final supplied register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20</x:v>
      </x:c>
      <x:c r="BP582" s="14" t="str">
        <x:v>Maximum eligible IMDb cast-credit total (20), shared by 4 performer(s); not independently verified as a 2021-only episode total.</x:v>
      </x:c>
      <x:c r="BQ582" s="14" t="str">
        <x:v>Medium</x:v>
      </x:c>
      <x:c r="BR582" s="15" t="n">
        <x:v>1</x:v>
      </x:c>
      <x:c r="BS582" s="16" t="n">
        <x:v>0.05</x:v>
      </x:c>
      <x:c r="BT582" s="14" t="str">
        <x:v>One episode</x:v>
      </x:c>
      <x:c r="BU582" s="14" t="str">
        <x:v>Medium</x:v>
      </x:c>
      <x:c r="BV582" s="14" t="str">
        <x:v>Derived from supplied IMDb episode count and the documented production-total proxy.</x:v>
      </x:c>
      <x:c r="BW582" s="14" t="str">
        <x:v>Unable to determine</x:v>
      </x:c>
      <x:c r="BX582" s="14" t="str">
        <x:v>Supplied cast data establishes the credit and episode presence but does not establish narrative prominence.</x:v>
      </x:c>
      <x:c r="BY582" s="14" t="str">
        <x:v>Supplied IMDb cast-list workbook</x:v>
      </x:c>
      <x:c r="BZ5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tt11639300|nm1475071|sam makerson</x:v>
      </x:c>
      <x:c r="B583" s="14" t="str">
        <x:v>02</x:v>
      </x:c>
      <x:c r="C583" s="14" t="str">
        <x:v>2021_IMDb_Cast_Lists_Batch_02(1).xlsx</x:v>
      </x:c>
      <x:c r="D583" s="14" t="str">
        <x:v>Grace</x:v>
      </x:c>
      <x:c r="E583" s="14" t="n">
        <x:v>231</x:v>
      </x:c>
      <x:c r="F583" s="14" t="str">
        <x:v>Grace</x:v>
      </x:c>
      <x:c r="G583" s="14" t="str">
        <x:v>tt11639300</x:v>
      </x:c>
      <x:c r="H583" s="14" t="n">
        <x:v>2021</x:v>
      </x:c>
      <x:c r="I583" s="14" t="n">
        <x:v>2023</x:v>
      </x:c>
      <x:c r="J583" s="14" t="str">
        <x:v>Future Carry-Forward Cohort</x:v>
      </x:c>
      <x:c r="K583" s="14" t="n">
        <x:v>2021</x:v>
      </x:c>
      <x:c r="L583" s="14" t="str">
        <x:v>Available from 2021 analysis</x:v>
      </x:c>
      <x:c r="M583" s="15" t="n">
        <x:v>224</x:v>
      </x:c>
      <x:c r="N583" s="14" t="str">
        <x:v>Howard Saddler</x:v>
      </x:c>
      <x:c r="O583" s="14" t="str">
        <x:v>nm1475071</x:v>
      </x:c>
      <x:c r="P583" s="14" t="str">
        <x:v>Sam Makerson</x:v>
      </x:c>
      <x:c r="Q583" s="15" t="n">
        <x:v>1</x:v>
      </x:c>
      <x:c r="R583" s="14" t="str">
        <x:v>2025</x:v>
      </x:c>
      <x:c r="S583" s="14" t="n">
        <x:v>2025</x:v>
      </x:c>
      <x:c r="T583" s="14" t="n">
        <x:v>2025</x:v>
      </x:c>
      <x:c r="U583" s="14" t="str">
        <x:v>Post-2021 casting excluded</x:v>
      </x:c>
      <x:c r="V583" s="14" t="str">
        <x:v>Earliest supplied year is 2025, later than the 2021 study year.</x:v>
      </x:c>
      <x:c r="W583" s="14"/>
      <x:c r="X583" s="14" t="str">
        <x:v>Carried forward to 2025</x:v>
      </x:c>
      <x:c r="Y583" s="14"/>
      <x:c r="Z583" s="14" t="str">
        <x:v>Grace.docx</x:v>
      </x:c>
      <x:c r="AA5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ITV / ITVX</x:v>
      </x:c>
      <x:c r="AI583" s="14" t="str">
        <x:v>UK original 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uk original commission.</x:v>
      </x:c>
      <x:c r="AM583" s="17" t="e">
        <x:f>HYPERLINK("https://en.wikipedia.org/wiki/Grace","Open source")</x:f>
        <x:v>HYPERLINK is not implemented. linkLocation=https://en.wikipedia.org/wiki/Grace, friendlyName=Open source</x:v>
      </x:c>
      <x:c r="AN583" s="14" t="str">
        <x:v>No qualifying BBC relationship</x:v>
      </x:c>
      <x:c r="AO583" s="14" t="str">
        <x:v>No</x:v>
      </x:c>
      <x:c r="AP583" s="14" t="str">
        <x:v>Out of scope</x:v>
      </x:c>
      <x:c r="AQ583" s="14" t="str">
        <x:v>No</x:v>
      </x:c>
      <x:c r="AR583" s="14" t="str">
        <x:v>Resolved from master register</x:v>
      </x:c>
      <x:c r="AS583" s="14" t="str">
        <x:v>No established-register match</x:v>
      </x:c>
      <x:c r="AT583" s="14"/>
      <x:c r="AU583" s="14"/>
      <x:c r="AV583" s="14" t="str">
        <x:v>No established apparent-disability match</x:v>
      </x:c>
      <x:c r="AW583" s="14"/>
      <x:c r="AX583" s="14" t="str">
        <x:v>No</x:v>
      </x:c>
      <x:c r="AY583" s="14" t="str">
        <x:v>Unmatched</x:v>
      </x:c>
      <x:c r="AZ583" s="14" t="str">
        <x:v>Final supplied register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20</x:v>
      </x:c>
      <x:c r="BP583" s="14" t="str">
        <x:v>Maximum eligible IMDb cast-credit total (20), shared by 4 performer(s); not independently verified as a 2021-only episode total.</x:v>
      </x:c>
      <x:c r="BQ583" s="14" t="str">
        <x:v>Medium</x:v>
      </x:c>
      <x:c r="BR583" s="15" t="n">
        <x:v>1</x:v>
      </x:c>
      <x:c r="BS583" s="16" t="n">
        <x:v>0.05</x:v>
      </x:c>
      <x:c r="BT583" s="14" t="str">
        <x:v>One episode</x:v>
      </x:c>
      <x:c r="BU583" s="14" t="str">
        <x:v>Medium</x:v>
      </x:c>
      <x:c r="BV583" s="14" t="str">
        <x:v>Derived from supplied IMDb episode count and the documented production-total proxy.</x:v>
      </x:c>
      <x:c r="BW583" s="14" t="str">
        <x:v>Unable to determine</x:v>
      </x:c>
      <x:c r="BX583" s="14" t="str">
        <x:v>Supplied cast data establishes the credit and episode presence but does not establish narrative prominence.</x:v>
      </x:c>
      <x:c r="BY583" s="14" t="str">
        <x:v>Supplied IMDb cast-list workbook</x:v>
      </x:c>
      <x:c r="BZ5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tt11639300|nm0047257|patrick morris</x:v>
      </x:c>
      <x:c r="B584" s="14" t="str">
        <x:v>02</x:v>
      </x:c>
      <x:c r="C584" s="14" t="str">
        <x:v>2021_IMDb_Cast_Lists_Batch_02(1).xlsx</x:v>
      </x:c>
      <x:c r="D584" s="14" t="str">
        <x:v>Grace</x:v>
      </x:c>
      <x:c r="E584" s="14" t="n">
        <x:v>232</x:v>
      </x:c>
      <x:c r="F584" s="14" t="str">
        <x:v>Grace</x:v>
      </x:c>
      <x:c r="G584" s="14" t="str">
        <x:v>tt11639300</x:v>
      </x:c>
      <x:c r="H584" s="14" t="n">
        <x:v>2021</x:v>
      </x:c>
      <x:c r="I584" s="14" t="n">
        <x:v>2023</x:v>
      </x:c>
      <x:c r="J584" s="14" t="str">
        <x:v>Future Carry-Forward Cohort</x:v>
      </x:c>
      <x:c r="K584" s="14" t="n">
        <x:v>2021</x:v>
      </x:c>
      <x:c r="L584" s="14" t="str">
        <x:v>Available from 2021 analysis</x:v>
      </x:c>
      <x:c r="M584" s="15" t="n">
        <x:v>225</x:v>
      </x:c>
      <x:c r="N584" s="14" t="str">
        <x:v>Ewan Bailey</x:v>
      </x:c>
      <x:c r="O584" s="14" t="str">
        <x:v>nm0047257</x:v>
      </x:c>
      <x:c r="P584" s="14" t="str">
        <x:v>Patrick Morris</x:v>
      </x:c>
      <x:c r="Q584" s="15" t="n">
        <x:v>1</x:v>
      </x:c>
      <x:c r="R584" s="14" t="str">
        <x:v>2025</x:v>
      </x:c>
      <x:c r="S584" s="14" t="n">
        <x:v>2025</x:v>
      </x:c>
      <x:c r="T584" s="14" t="n">
        <x:v>2025</x:v>
      </x:c>
      <x:c r="U584" s="14" t="str">
        <x:v>Post-2021 casting excluded</x:v>
      </x:c>
      <x:c r="V584" s="14" t="str">
        <x:v>Earliest supplied year is 2025, later than the 2021 study year.</x:v>
      </x:c>
      <x:c r="W584" s="14"/>
      <x:c r="X584" s="14" t="str">
        <x:v>Carried forward to 2025</x:v>
      </x:c>
      <x:c r="Y584" s="14"/>
      <x:c r="Z584" s="14" t="str">
        <x:v>Grace.docx</x:v>
      </x:c>
      <x:c r="AA5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ITV / ITVX</x:v>
      </x:c>
      <x:c r="AI584" s="14" t="str">
        <x:v>UK original 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uk original commission.</x:v>
      </x:c>
      <x:c r="AM584" s="17" t="e">
        <x:f>HYPERLINK("https://en.wikipedia.org/wiki/Grace","Open source")</x:f>
        <x:v>HYPERLINK is not implemented. linkLocation=https://en.wikipedia.org/wiki/Grace, friendlyName=Open source</x:v>
      </x:c>
      <x:c r="AN584" s="14" t="str">
        <x:v>No qualifying BBC relationship</x:v>
      </x:c>
      <x:c r="AO584" s="14" t="str">
        <x:v>No</x:v>
      </x:c>
      <x:c r="AP584" s="14" t="str">
        <x:v>Out of scope</x:v>
      </x:c>
      <x:c r="AQ584" s="14" t="str">
        <x:v>No</x:v>
      </x:c>
      <x:c r="AR584" s="14" t="str">
        <x:v>Resolved from master register</x:v>
      </x:c>
      <x:c r="AS584" s="14" t="str">
        <x:v>No established-register match</x:v>
      </x:c>
      <x:c r="AT584" s="14"/>
      <x:c r="AU584" s="14"/>
      <x:c r="AV584" s="14" t="str">
        <x:v>No established apparent-disability match</x:v>
      </x:c>
      <x:c r="AW584" s="14"/>
      <x:c r="AX584" s="14" t="str">
        <x:v>No</x:v>
      </x:c>
      <x:c r="AY584" s="14" t="str">
        <x:v>Unmatched</x:v>
      </x:c>
      <x:c r="AZ584" s="14" t="str">
        <x:v>Final supplied register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20</x:v>
      </x:c>
      <x:c r="BP584" s="14" t="str">
        <x:v>Maximum eligible IMDb cast-credit total (20), shared by 4 performer(s); not independently verified as a 2021-only episode total.</x:v>
      </x:c>
      <x:c r="BQ584" s="14" t="str">
        <x:v>Medium</x:v>
      </x:c>
      <x:c r="BR584" s="15" t="n">
        <x:v>1</x:v>
      </x:c>
      <x:c r="BS584" s="16" t="n">
        <x:v>0.05</x:v>
      </x:c>
      <x:c r="BT584" s="14" t="str">
        <x:v>One episode</x:v>
      </x:c>
      <x:c r="BU584" s="14" t="str">
        <x:v>Medium</x:v>
      </x:c>
      <x:c r="BV584" s="14" t="str">
        <x:v>Derived from supplied IMDb episode count and the documented production-total proxy.</x:v>
      </x:c>
      <x:c r="BW584" s="14" t="str">
        <x:v>Unable to determine</x:v>
      </x:c>
      <x:c r="BX584" s="14" t="str">
        <x:v>Supplied cast data establishes the credit and episode presence but does not establish narrative prominence.</x:v>
      </x:c>
      <x:c r="BY584" s="14" t="str">
        <x:v>Supplied IMDb cast-list workbook</x:v>
      </x:c>
      <x:c r="BZ5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tt11639300|nm9217699|chloe o'sullivan</x:v>
      </x:c>
      <x:c r="B585" s="14" t="str">
        <x:v>02</x:v>
      </x:c>
      <x:c r="C585" s="14" t="str">
        <x:v>2021_IMDb_Cast_Lists_Batch_02(1).xlsx</x:v>
      </x:c>
      <x:c r="D585" s="14" t="str">
        <x:v>Grace</x:v>
      </x:c>
      <x:c r="E585" s="14" t="n">
        <x:v>233</x:v>
      </x:c>
      <x:c r="F585" s="14" t="str">
        <x:v>Grace</x:v>
      </x:c>
      <x:c r="G585" s="14" t="str">
        <x:v>tt11639300</x:v>
      </x:c>
      <x:c r="H585" s="14" t="n">
        <x:v>2021</x:v>
      </x:c>
      <x:c r="I585" s="14" t="n">
        <x:v>2023</x:v>
      </x:c>
      <x:c r="J585" s="14" t="str">
        <x:v>Future Carry-Forward Cohort</x:v>
      </x:c>
      <x:c r="K585" s="14" t="n">
        <x:v>2021</x:v>
      </x:c>
      <x:c r="L585" s="14" t="str">
        <x:v>Available from 2021 analysis</x:v>
      </x:c>
      <x:c r="M585" s="15" t="n">
        <x:v>226</x:v>
      </x:c>
      <x:c r="N585" s="14" t="str">
        <x:v>Tazmyn-May Gebbett</x:v>
      </x:c>
      <x:c r="O585" s="14" t="str">
        <x:v>nm9217699</x:v>
      </x:c>
      <x:c r="P585" s="14" t="str">
        <x:v>Chloe O'Sullivan</x:v>
      </x:c>
      <x:c r="Q585" s="15" t="n">
        <x:v>1</x:v>
      </x:c>
      <x:c r="R585" s="14" t="str">
        <x:v>2025</x:v>
      </x:c>
      <x:c r="S585" s="14" t="n">
        <x:v>2025</x:v>
      </x:c>
      <x:c r="T585" s="14" t="n">
        <x:v>2025</x:v>
      </x:c>
      <x:c r="U585" s="14" t="str">
        <x:v>Post-2021 casting excluded</x:v>
      </x:c>
      <x:c r="V585" s="14" t="str">
        <x:v>Earliest supplied year is 2025, later than the 2021 study year.</x:v>
      </x:c>
      <x:c r="W585" s="14"/>
      <x:c r="X585" s="14" t="str">
        <x:v>Carried forward to 2025</x:v>
      </x:c>
      <x:c r="Y585" s="14" t="str">
        <x:v>(as Tazmyn-Mei Gebbett)</x:v>
      </x:c>
      <x:c r="Z585" s="14" t="str">
        <x:v>Grace.docx</x:v>
      </x:c>
      <x:c r="AA5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ITV / ITVX</x:v>
      </x:c>
      <x:c r="AI585" s="14" t="str">
        <x:v>UK original 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uk original commission.</x:v>
      </x:c>
      <x:c r="AM585" s="17" t="e">
        <x:f>HYPERLINK("https://en.wikipedia.org/wiki/Grace","Open source")</x:f>
        <x:v>HYPERLINK is not implemented. linkLocation=https://en.wikipedia.org/wiki/Grace, friendlyName=Open source</x:v>
      </x:c>
      <x:c r="AN585" s="14" t="str">
        <x:v>No qualifying BBC relationship</x:v>
      </x:c>
      <x:c r="AO585" s="14" t="str">
        <x:v>No</x:v>
      </x:c>
      <x:c r="AP585" s="14" t="str">
        <x:v>Out of scope</x:v>
      </x:c>
      <x:c r="AQ585" s="14" t="str">
        <x:v>No</x:v>
      </x:c>
      <x:c r="AR585" s="14" t="str">
        <x:v>Resolved from master register</x:v>
      </x:c>
      <x:c r="AS585" s="14" t="str">
        <x:v>No established-register match</x:v>
      </x:c>
      <x:c r="AT585" s="14"/>
      <x:c r="AU585" s="14"/>
      <x:c r="AV585" s="14" t="str">
        <x:v>No established apparent-disability match</x:v>
      </x:c>
      <x:c r="AW585" s="14"/>
      <x:c r="AX585" s="14" t="str">
        <x:v>No</x:v>
      </x:c>
      <x:c r="AY585" s="14" t="str">
        <x:v>Unmatched</x:v>
      </x:c>
      <x:c r="AZ585" s="14" t="str">
        <x:v>Final supplied register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20</x:v>
      </x:c>
      <x:c r="BP585" s="14" t="str">
        <x:v>Maximum eligible IMDb cast-credit total (20), shared by 4 performer(s); not independently verified as a 2021-only episode total.</x:v>
      </x:c>
      <x:c r="BQ585" s="14" t="str">
        <x:v>Medium</x:v>
      </x:c>
      <x:c r="BR585" s="15" t="n">
        <x:v>1</x:v>
      </x:c>
      <x:c r="BS585" s="16" t="n">
        <x:v>0.05</x:v>
      </x:c>
      <x:c r="BT585" s="14" t="str">
        <x:v>One episode</x:v>
      </x:c>
      <x:c r="BU585" s="14" t="str">
        <x:v>Medium</x:v>
      </x:c>
      <x:c r="BV585" s="14" t="str">
        <x:v>Derived from supplied IMDb episode count and the documented production-total proxy.</x:v>
      </x:c>
      <x:c r="BW585" s="14" t="str">
        <x:v>Unable to determine</x:v>
      </x:c>
      <x:c r="BX585" s="14" t="str">
        <x:v>Supplied cast data establishes the credit and episode presence but does not establish narrative prominence.</x:v>
      </x:c>
      <x:c r="BY585" s="14" t="str">
        <x:v>Supplied IMDb cast-list workbook</x:v>
      </x:c>
      <x:c r="BZ5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tt11639300|nm12992479|bobby</x:v>
      </x:c>
      <x:c r="B586" s="14" t="str">
        <x:v>02</x:v>
      </x:c>
      <x:c r="C586" s="14" t="str">
        <x:v>2021_IMDb_Cast_Lists_Batch_02(1).xlsx</x:v>
      </x:c>
      <x:c r="D586" s="14" t="str">
        <x:v>Grace</x:v>
      </x:c>
      <x:c r="E586" s="14" t="n">
        <x:v>234</x:v>
      </x:c>
      <x:c r="F586" s="14" t="str">
        <x:v>Grace</x:v>
      </x:c>
      <x:c r="G586" s="14" t="str">
        <x:v>tt11639300</x:v>
      </x:c>
      <x:c r="H586" s="14" t="n">
        <x:v>2021</x:v>
      </x:c>
      <x:c r="I586" s="14" t="n">
        <x:v>2023</x:v>
      </x:c>
      <x:c r="J586" s="14" t="str">
        <x:v>Future Carry-Forward Cohort</x:v>
      </x:c>
      <x:c r="K586" s="14" t="n">
        <x:v>2021</x:v>
      </x:c>
      <x:c r="L586" s="14" t="str">
        <x:v>Available from 2021 analysis</x:v>
      </x:c>
      <x:c r="M586" s="15" t="n">
        <x:v>227</x:v>
      </x:c>
      <x:c r="N586" s="14" t="str">
        <x:v>Jessica Whitehurst</x:v>
      </x:c>
      <x:c r="O586" s="14" t="str">
        <x:v>nm12992479</x:v>
      </x:c>
      <x:c r="P586" s="14" t="str">
        <x:v>Bobby</x:v>
      </x:c>
      <x:c r="Q586" s="15" t="n">
        <x:v>1</x:v>
      </x:c>
      <x:c r="R586" s="14" t="str">
        <x:v>2025</x:v>
      </x:c>
      <x:c r="S586" s="14" t="n">
        <x:v>2025</x:v>
      </x:c>
      <x:c r="T586" s="14" t="n">
        <x:v>2025</x:v>
      </x:c>
      <x:c r="U586" s="14" t="str">
        <x:v>Post-2021 casting excluded</x:v>
      </x:c>
      <x:c r="V586" s="14" t="str">
        <x:v>Earliest supplied year is 2025, later than the 2021 study year.</x:v>
      </x:c>
      <x:c r="W586" s="14"/>
      <x:c r="X586" s="14" t="str">
        <x:v>Carried forward to 2025</x:v>
      </x:c>
      <x:c r="Y586" s="14"/>
      <x:c r="Z586" s="14" t="str">
        <x:v>Grace.docx</x:v>
      </x:c>
      <x:c r="AA5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ITV / ITVX</x:v>
      </x:c>
      <x:c r="AI586" s="14" t="str">
        <x:v>UK original 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uk original commission.</x:v>
      </x:c>
      <x:c r="AM586" s="17" t="e">
        <x:f>HYPERLINK("https://en.wikipedia.org/wiki/Grace","Open source")</x:f>
        <x:v>HYPERLINK is not implemented. linkLocation=https://en.wikipedia.org/wiki/Grace, friendlyName=Open source</x:v>
      </x:c>
      <x:c r="AN586" s="14" t="str">
        <x:v>No qualifying BBC relationship</x:v>
      </x:c>
      <x:c r="AO586" s="14" t="str">
        <x:v>No</x:v>
      </x:c>
      <x:c r="AP586" s="14" t="str">
        <x:v>Out of scope</x:v>
      </x:c>
      <x:c r="AQ586" s="14" t="str">
        <x:v>No</x:v>
      </x:c>
      <x:c r="AR586" s="14" t="str">
        <x:v>Resolved from master register</x:v>
      </x:c>
      <x:c r="AS586" s="14" t="str">
        <x:v>No established-register match</x:v>
      </x:c>
      <x:c r="AT586" s="14"/>
      <x:c r="AU586" s="14"/>
      <x:c r="AV586" s="14" t="str">
        <x:v>No established apparent-disability match</x:v>
      </x:c>
      <x:c r="AW586" s="14"/>
      <x:c r="AX586" s="14" t="str">
        <x:v>No</x:v>
      </x:c>
      <x:c r="AY586" s="14" t="str">
        <x:v>Unmatched</x:v>
      </x:c>
      <x:c r="AZ586" s="14" t="str">
        <x:v>Final supplied register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20</x:v>
      </x:c>
      <x:c r="BP586" s="14" t="str">
        <x:v>Maximum eligible IMDb cast-credit total (20), shared by 4 performer(s); not independently verified as a 2021-only episode total.</x:v>
      </x:c>
      <x:c r="BQ586" s="14" t="str">
        <x:v>Medium</x:v>
      </x:c>
      <x:c r="BR586" s="15" t="n">
        <x:v>1</x:v>
      </x:c>
      <x:c r="BS586" s="16" t="n">
        <x:v>0.05</x:v>
      </x:c>
      <x:c r="BT586" s="14" t="str">
        <x:v>One episode</x:v>
      </x:c>
      <x:c r="BU586" s="14" t="str">
        <x:v>Medium</x:v>
      </x:c>
      <x:c r="BV586" s="14" t="str">
        <x:v>Derived from supplied IMDb episode count and the documented production-total proxy.</x:v>
      </x:c>
      <x:c r="BW586" s="14" t="str">
        <x:v>Unable to determine</x:v>
      </x:c>
      <x:c r="BX586" s="14" t="str">
        <x:v>Supplied cast data establishes the credit and episode presence but does not establish narrative prominence.</x:v>
      </x:c>
      <x:c r="BY586" s="14" t="str">
        <x:v>Supplied IMDb cast-list workbook</x:v>
      </x:c>
      <x:c r="BZ5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tt11639300|nm8472159|lauren packham</x:v>
      </x:c>
      <x:c r="B587" s="14" t="str">
        <x:v>02</x:v>
      </x:c>
      <x:c r="C587" s="14" t="str">
        <x:v>2021_IMDb_Cast_Lists_Batch_02(1).xlsx</x:v>
      </x:c>
      <x:c r="D587" s="14" t="str">
        <x:v>Grace</x:v>
      </x:c>
      <x:c r="E587" s="14" t="n">
        <x:v>245</x:v>
      </x:c>
      <x:c r="F587" s="14" t="str">
        <x:v>Grace</x:v>
      </x:c>
      <x:c r="G587" s="14" t="str">
        <x:v>tt11639300</x:v>
      </x:c>
      <x:c r="H587" s="14" t="n">
        <x:v>2021</x:v>
      </x:c>
      <x:c r="I587" s="14" t="n">
        <x:v>2023</x:v>
      </x:c>
      <x:c r="J587" s="14" t="str">
        <x:v>Future Carry-Forward Cohort</x:v>
      </x:c>
      <x:c r="K587" s="14" t="n">
        <x:v>2021</x:v>
      </x:c>
      <x:c r="L587" s="14" t="str">
        <x:v>Available from 2021 analysis</x:v>
      </x:c>
      <x:c r="M587" s="15" t="n">
        <x:v>238</x:v>
      </x:c>
      <x:c r="N587" s="14" t="str">
        <x:v>Loreece Harrison</x:v>
      </x:c>
      <x:c r="O587" s="14" t="str">
        <x:v>nm8472159</x:v>
      </x:c>
      <x:c r="P587" s="14" t="str">
        <x:v>Lauren Packham</x:v>
      </x:c>
      <x:c r="Q587" s="15" t="n">
        <x:v>1</x:v>
      </x:c>
      <x:c r="R587" s="14" t="str">
        <x:v>2025</x:v>
      </x:c>
      <x:c r="S587" s="14" t="n">
        <x:v>2025</x:v>
      </x:c>
      <x:c r="T587" s="14" t="n">
        <x:v>2025</x:v>
      </x:c>
      <x:c r="U587" s="14" t="str">
        <x:v>Post-2021 casting excluded</x:v>
      </x:c>
      <x:c r="V587" s="14" t="str">
        <x:v>Earliest supplied year is 2025, later than the 2021 study year.</x:v>
      </x:c>
      <x:c r="W587" s="14"/>
      <x:c r="X587" s="14" t="str">
        <x:v>Carried forward to 2025</x:v>
      </x:c>
      <x:c r="Y587" s="14"/>
      <x:c r="Z587" s="14" t="str">
        <x:v>Grace.docx</x:v>
      </x:c>
      <x:c r="AA5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ITV / ITVX</x:v>
      </x:c>
      <x:c r="AI587" s="14" t="str">
        <x:v>UK original 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uk original commission.</x:v>
      </x:c>
      <x:c r="AM587" s="17" t="e">
        <x:f>HYPERLINK("https://en.wikipedia.org/wiki/Grace","Open source")</x:f>
        <x:v>HYPERLINK is not implemented. linkLocation=https://en.wikipedia.org/wiki/Grace, friendlyName=Open source</x:v>
      </x:c>
      <x:c r="AN587" s="14" t="str">
        <x:v>No qualifying BBC relationship</x:v>
      </x:c>
      <x:c r="AO587" s="14" t="str">
        <x:v>No</x:v>
      </x:c>
      <x:c r="AP587" s="14" t="str">
        <x:v>Out of scope</x:v>
      </x:c>
      <x:c r="AQ587" s="14" t="str">
        <x:v>No</x:v>
      </x:c>
      <x:c r="AR587" s="14" t="str">
        <x:v>Resolved from master register</x:v>
      </x:c>
      <x:c r="AS587" s="14" t="str">
        <x:v>No established-register match</x:v>
      </x:c>
      <x:c r="AT587" s="14"/>
      <x:c r="AU587" s="14"/>
      <x:c r="AV587" s="14" t="str">
        <x:v>No established apparent-disability match</x:v>
      </x:c>
      <x:c r="AW587" s="14"/>
      <x:c r="AX587" s="14" t="str">
        <x:v>No</x:v>
      </x:c>
      <x:c r="AY587" s="14" t="str">
        <x:v>Unmatched</x:v>
      </x:c>
      <x:c r="AZ587" s="14" t="str">
        <x:v>Final supplied register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20</x:v>
      </x:c>
      <x:c r="BP587" s="14" t="str">
        <x:v>Maximum eligible IMDb cast-credit total (20), shared by 4 performer(s); not independently verified as a 2021-only episode total.</x:v>
      </x:c>
      <x:c r="BQ587" s="14" t="str">
        <x:v>Medium</x:v>
      </x:c>
      <x:c r="BR587" s="15" t="n">
        <x:v>1</x:v>
      </x:c>
      <x:c r="BS587" s="16" t="n">
        <x:v>0.05</x:v>
      </x:c>
      <x:c r="BT587" s="14" t="str">
        <x:v>One episode</x:v>
      </x:c>
      <x:c r="BU587" s="14" t="str">
        <x:v>Medium</x:v>
      </x:c>
      <x:c r="BV587" s="14" t="str">
        <x:v>Derived from supplied IMDb episode count and the documented production-total proxy.</x:v>
      </x:c>
      <x:c r="BW587" s="14" t="str">
        <x:v>Unable to determine</x:v>
      </x:c>
      <x:c r="BX587" s="14" t="str">
        <x:v>Supplied cast data establishes the credit and episode presence but does not establish narrative prominence.</x:v>
      </x:c>
      <x:c r="BY587" s="14" t="str">
        <x:v>Supplied IMDb cast-list workbook</x:v>
      </x:c>
      <x:c r="BZ5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tt11639300|nm7224652|harold trout</x:v>
      </x:c>
      <x:c r="B588" s="14" t="str">
        <x:v>02</x:v>
      </x:c>
      <x:c r="C588" s="14" t="str">
        <x:v>2021_IMDb_Cast_Lists_Batch_02(1).xlsx</x:v>
      </x:c>
      <x:c r="D588" s="14" t="str">
        <x:v>Grace</x:v>
      </x:c>
      <x:c r="E588" s="14" t="n">
        <x:v>246</x:v>
      </x:c>
      <x:c r="F588" s="14" t="str">
        <x:v>Grace</x:v>
      </x:c>
      <x:c r="G588" s="14" t="str">
        <x:v>tt11639300</x:v>
      </x:c>
      <x:c r="H588" s="14" t="n">
        <x:v>2021</x:v>
      </x:c>
      <x:c r="I588" s="14" t="n">
        <x:v>2023</x:v>
      </x:c>
      <x:c r="J588" s="14" t="str">
        <x:v>Future Carry-Forward Cohort</x:v>
      </x:c>
      <x:c r="K588" s="14" t="n">
        <x:v>2021</x:v>
      </x:c>
      <x:c r="L588" s="14" t="str">
        <x:v>Available from 2021 analysis</x:v>
      </x:c>
      <x:c r="M588" s="15" t="n">
        <x:v>239</x:v>
      </x:c>
      <x:c r="N588" s="14" t="str">
        <x:v>Bill Blackwood</x:v>
      </x:c>
      <x:c r="O588" s="14" t="str">
        <x:v>nm7224652</x:v>
      </x:c>
      <x:c r="P588" s="14" t="str">
        <x:v>Harold Trout</x:v>
      </x:c>
      <x:c r="Q588" s="15" t="n">
        <x:v>1</x:v>
      </x:c>
      <x:c r="R588" s="14" t="str">
        <x:v>2025</x:v>
      </x:c>
      <x:c r="S588" s="14" t="n">
        <x:v>2025</x:v>
      </x:c>
      <x:c r="T588" s="14" t="n">
        <x:v>2025</x:v>
      </x:c>
      <x:c r="U588" s="14" t="str">
        <x:v>Post-2021 casting excluded</x:v>
      </x:c>
      <x:c r="V588" s="14" t="str">
        <x:v>Earliest supplied year is 2025, later than the 2021 study year.</x:v>
      </x:c>
      <x:c r="W588" s="14"/>
      <x:c r="X588" s="14" t="str">
        <x:v>Carried forward to 2025</x:v>
      </x:c>
      <x:c r="Y588" s="14"/>
      <x:c r="Z588" s="14" t="str">
        <x:v>Grace.docx</x:v>
      </x:c>
      <x:c r="AA5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8" s="14" t="str">
        <x:v>Existing established-register match</x:v>
      </x:c>
      <x:c r="AC588" s="14" t="str">
        <x:v>Physical disability</x:v>
      </x:c>
      <x:c r="AD588" s="14" t="str">
        <x:v>Existing register classification: Physical disability</x:v>
      </x:c>
      <x:c r="AE588" s="14" t="str">
        <x:v>Established_Disability_Category_Register V1.1.xlsx</x:v>
      </x:c>
      <x:c r="AF588" s="14"/>
      <x:c r="AG588" s="14" t="str">
        <x:v>Established user-supplied classification retained for deduplication; evidence was not re-researched in this batch.</x:v>
      </x:c>
      <x:c r="AH588" s="14" t="str">
        <x:v>ITV / ITVX</x:v>
      </x:c>
      <x:c r="AI588" s="14" t="str">
        <x:v>UK original 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uk original commission.</x:v>
      </x:c>
      <x:c r="AM588" s="17" t="e">
        <x:f>HYPERLINK("https://en.wikipedia.org/wiki/Grace","Open source")</x:f>
        <x:v>HYPERLINK is not implemented. linkLocation=https://en.wikipedia.org/wiki/Grace, friendlyName=Open source</x:v>
      </x:c>
      <x:c r="AN588" s="14" t="str">
        <x:v>No qualifying BBC relationship</x:v>
      </x:c>
      <x:c r="AO588" s="14" t="str">
        <x:v>No</x:v>
      </x:c>
      <x:c r="AP588" s="14" t="str">
        <x:v>Out of scope</x:v>
      </x:c>
      <x:c r="AQ588" s="14" t="str">
        <x:v>No</x:v>
      </x:c>
      <x:c r="AR588" s="14" t="str">
        <x:v>Resolved from master register</x:v>
      </x:c>
      <x:c r="AS588" s="14" t="str">
        <x:v>Exact IMDb performer ID match</x:v>
      </x:c>
      <x:c r="AT588" s="14" t="str">
        <x:v>nm7224652</x:v>
      </x:c>
      <x:c r="AU588" s="14" t="str">
        <x:v>Physical disability</x:v>
      </x:c>
      <x:c r="AV588" s="14" t="str">
        <x:v>Yes</x:v>
      </x:c>
      <x:c r="AW588" s="14" t="str">
        <x:v>Physical disability</x:v>
      </x:c>
      <x:c r="AX588" s="14" t="str">
        <x:v>No</x:v>
      </x:c>
      <x:c r="AY588" s="14" t="str">
        <x:v>Matched</x:v>
      </x:c>
      <x:c r="AZ588" s="14" t="str">
        <x:v>Final supplied register</x:v>
      </x:c>
      <x:c r="BA588" s="14"/>
      <x:c r="BB588" s="14" t="str">
        <x:v>Exact IMDb performer ID match</x:v>
      </x:c>
      <x:c r="BC588" s="14" t="str">
        <x:v>nm7224652</x:v>
      </x:c>
      <x:c r="BD588" s="14" t="str">
        <x:v>Bill Blackwood</x:v>
      </x:c>
      <x:c r="BE588" s="14" t="str">
        <x:v>Physical disability</x:v>
      </x:c>
      <x:c r="BF588" s="14" t="str">
        <x:v>Yes</x:v>
      </x:c>
      <x:c r="BG588" s="14" t="str">
        <x:v>Physical disability</x:v>
      </x:c>
      <x:c r="BH588" s="14" t="str">
        <x:v>No</x:v>
      </x:c>
      <x:c r="BI588" s="14" t="str">
        <x:v>User-supplied established classification</x:v>
      </x:c>
      <x:c r="BJ588" s="14" t="str">
        <x:v>04_Physical_disability.csv</x:v>
      </x:c>
      <x:c r="BK588" s="14"/>
      <x:c r="BL588" s="14" t="str">
        <x:v>Matched</x:v>
      </x:c>
      <x:c r="BM588" s="14" t="str">
        <x:v>Final supplied register</x:v>
      </x:c>
      <x:c r="BN588" s="14"/>
      <x:c r="BO588" s="14" t="n">
        <x:v>20</x:v>
      </x:c>
      <x:c r="BP588" s="14" t="str">
        <x:v>Maximum eligible IMDb cast-credit total (20), shared by 4 performer(s); not independently verified as a 2021-only episode total.</x:v>
      </x:c>
      <x:c r="BQ588" s="14" t="str">
        <x:v>Medium</x:v>
      </x:c>
      <x:c r="BR588" s="15" t="n">
        <x:v>1</x:v>
      </x:c>
      <x:c r="BS588" s="16" t="n">
        <x:v>0.05</x:v>
      </x:c>
      <x:c r="BT588" s="14" t="str">
        <x:v>One episode</x:v>
      </x:c>
      <x:c r="BU588" s="14" t="str">
        <x:v>Medium</x:v>
      </x:c>
      <x:c r="BV588" s="14" t="str">
        <x:v>Derived from supplied IMDb episode count and the documented production-total proxy.</x:v>
      </x:c>
      <x:c r="BW588" s="14" t="str">
        <x:v>Unable to determine</x:v>
      </x:c>
      <x:c r="BX588" s="14" t="str">
        <x:v>Supplied cast data establishes the credit and episode presence but does not establish narrative prominence.</x:v>
      </x:c>
      <x:c r="BY588" s="14" t="str">
        <x:v>Supplied IMDb cast-list workbook</x:v>
      </x:c>
      <x:c r="BZ5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tt11639300|nm3456623|tom driver</x:v>
      </x:c>
      <x:c r="B589" s="14" t="str">
        <x:v>02</x:v>
      </x:c>
      <x:c r="C589" s="14" t="str">
        <x:v>2021_IMDb_Cast_Lists_Batch_02(1).xlsx</x:v>
      </x:c>
      <x:c r="D589" s="14" t="str">
        <x:v>Grace</x:v>
      </x:c>
      <x:c r="E589" s="14" t="n">
        <x:v>247</x:v>
      </x:c>
      <x:c r="F589" s="14" t="str">
        <x:v>Grace</x:v>
      </x:c>
      <x:c r="G589" s="14" t="str">
        <x:v>tt11639300</x:v>
      </x:c>
      <x:c r="H589" s="14" t="n">
        <x:v>2021</x:v>
      </x:c>
      <x:c r="I589" s="14" t="n">
        <x:v>2023</x:v>
      </x:c>
      <x:c r="J589" s="14" t="str">
        <x:v>Future Carry-Forward Cohort</x:v>
      </x:c>
      <x:c r="K589" s="14" t="n">
        <x:v>2021</x:v>
      </x:c>
      <x:c r="L589" s="14" t="str">
        <x:v>Available from 2021 analysis</x:v>
      </x:c>
      <x:c r="M589" s="15" t="n">
        <x:v>240</x:v>
      </x:c>
      <x:c r="N589" s="14" t="str">
        <x:v>Hasan Dixon</x:v>
      </x:c>
      <x:c r="O589" s="14" t="str">
        <x:v>nm3456623</x:v>
      </x:c>
      <x:c r="P589" s="14" t="str">
        <x:v>Tom Driver</x:v>
      </x:c>
      <x:c r="Q589" s="15" t="n">
        <x:v>1</x:v>
      </x:c>
      <x:c r="R589" s="14" t="str">
        <x:v>2025</x:v>
      </x:c>
      <x:c r="S589" s="14" t="n">
        <x:v>2025</x:v>
      </x:c>
      <x:c r="T589" s="14" t="n">
        <x:v>2025</x:v>
      </x:c>
      <x:c r="U589" s="14" t="str">
        <x:v>Post-2021 casting excluded</x:v>
      </x:c>
      <x:c r="V589" s="14" t="str">
        <x:v>Earliest supplied year is 2025, later than the 2021 study year.</x:v>
      </x:c>
      <x:c r="W589" s="14"/>
      <x:c r="X589" s="14" t="str">
        <x:v>Carried forward to 2025</x:v>
      </x:c>
      <x:c r="Y589" s="14"/>
      <x:c r="Z589" s="14" t="str">
        <x:v>Grace.docx</x:v>
      </x:c>
      <x:c r="AA5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ITV / ITVX</x:v>
      </x:c>
      <x:c r="AI589" s="14" t="str">
        <x:v>UK original 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uk original commission.</x:v>
      </x:c>
      <x:c r="AM589" s="17" t="e">
        <x:f>HYPERLINK("https://en.wikipedia.org/wiki/Grace","Open source")</x:f>
        <x:v>HYPERLINK is not implemented. linkLocation=https://en.wikipedia.org/wiki/Grace, friendlyName=Open source</x:v>
      </x:c>
      <x:c r="AN589" s="14" t="str">
        <x:v>No qualifying BBC relationship</x:v>
      </x:c>
      <x:c r="AO589" s="14" t="str">
        <x:v>No</x:v>
      </x:c>
      <x:c r="AP589" s="14" t="str">
        <x:v>Out of scope</x:v>
      </x:c>
      <x:c r="AQ589" s="14" t="str">
        <x:v>No</x:v>
      </x:c>
      <x:c r="AR589" s="14" t="str">
        <x:v>Resolved from master register</x:v>
      </x:c>
      <x:c r="AS589" s="14" t="str">
        <x:v>No established-register match</x:v>
      </x:c>
      <x:c r="AT589" s="14"/>
      <x:c r="AU589" s="14"/>
      <x:c r="AV589" s="14" t="str">
        <x:v>No established apparent-disability match</x:v>
      </x:c>
      <x:c r="AW589" s="14"/>
      <x:c r="AX589" s="14" t="str">
        <x:v>No</x:v>
      </x:c>
      <x:c r="AY589" s="14" t="str">
        <x:v>Unmatched</x:v>
      </x:c>
      <x:c r="AZ589" s="14" t="str">
        <x:v>Final supplied register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20</x:v>
      </x:c>
      <x:c r="BP589" s="14" t="str">
        <x:v>Maximum eligible IMDb cast-credit total (20), shared by 4 performer(s); not independently verified as a 2021-only episode total.</x:v>
      </x:c>
      <x:c r="BQ589" s="14" t="str">
        <x:v>Medium</x:v>
      </x:c>
      <x:c r="BR589" s="15" t="n">
        <x:v>1</x:v>
      </x:c>
      <x:c r="BS589" s="16" t="n">
        <x:v>0.05</x:v>
      </x:c>
      <x:c r="BT589" s="14" t="str">
        <x:v>One episode</x:v>
      </x:c>
      <x:c r="BU589" s="14" t="str">
        <x:v>Medium</x:v>
      </x:c>
      <x:c r="BV589" s="14" t="str">
        <x:v>Derived from supplied IMDb episode count and the documented production-total proxy.</x:v>
      </x:c>
      <x:c r="BW589" s="14" t="str">
        <x:v>Unable to determine</x:v>
      </x:c>
      <x:c r="BX589" s="14" t="str">
        <x:v>Supplied cast data establishes the credit and episode presence but does not establish narrative prominence.</x:v>
      </x:c>
      <x:c r="BY589" s="14" t="str">
        <x:v>Supplied IMDb cast-list workbook</x:v>
      </x:c>
      <x:c r="BZ5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tt11639300|nm4411162|hugo pink</x:v>
      </x:c>
      <x:c r="B590" s="14" t="str">
        <x:v>02</x:v>
      </x:c>
      <x:c r="C590" s="14" t="str">
        <x:v>2021_IMDb_Cast_Lists_Batch_02(1).xlsx</x:v>
      </x:c>
      <x:c r="D590" s="14" t="str">
        <x:v>Grace</x:v>
      </x:c>
      <x:c r="E590" s="14" t="n">
        <x:v>260</x:v>
      </x:c>
      <x:c r="F590" s="14" t="str">
        <x:v>Grace</x:v>
      </x:c>
      <x:c r="G590" s="14" t="str">
        <x:v>tt11639300</x:v>
      </x:c>
      <x:c r="H590" s="14" t="n">
        <x:v>2021</x:v>
      </x:c>
      <x:c r="I590" s="14" t="n">
        <x:v>2023</x:v>
      </x:c>
      <x:c r="J590" s="14" t="str">
        <x:v>Future Carry-Forward Cohort</x:v>
      </x:c>
      <x:c r="K590" s="14" t="n">
        <x:v>2021</x:v>
      </x:c>
      <x:c r="L590" s="14" t="str">
        <x:v>Available from 2021 analysis</x:v>
      </x:c>
      <x:c r="M590" s="15" t="n">
        <x:v>253</x:v>
      </x:c>
      <x:c r="N590" s="14" t="str">
        <x:v>Danny Mac</x:v>
      </x:c>
      <x:c r="O590" s="14" t="str">
        <x:v>nm4411162</x:v>
      </x:c>
      <x:c r="P590" s="14" t="str">
        <x:v>Hugo Pink</x:v>
      </x:c>
      <x:c r="Q590" s="15" t="n">
        <x:v>1</x:v>
      </x:c>
      <x:c r="R590" s="14" t="str">
        <x:v>2025</x:v>
      </x:c>
      <x:c r="S590" s="14" t="n">
        <x:v>2025</x:v>
      </x:c>
      <x:c r="T590" s="14" t="n">
        <x:v>2025</x:v>
      </x:c>
      <x:c r="U590" s="14" t="str">
        <x:v>Post-2021 casting excluded</x:v>
      </x:c>
      <x:c r="V590" s="14" t="str">
        <x:v>Earliest supplied year is 2025, later than the 2021 study year.</x:v>
      </x:c>
      <x:c r="W590" s="14"/>
      <x:c r="X590" s="14" t="str">
        <x:v>Carried forward to 2025</x:v>
      </x:c>
      <x:c r="Y590" s="14"/>
      <x:c r="Z590" s="14" t="str">
        <x:v>Grace.docx</x:v>
      </x:c>
      <x:c r="AA5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ITV / ITVX</x:v>
      </x:c>
      <x:c r="AI590" s="14" t="str">
        <x:v>UK original 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uk original commission.</x:v>
      </x:c>
      <x:c r="AM590" s="17" t="e">
        <x:f>HYPERLINK("https://en.wikipedia.org/wiki/Grace","Open source")</x:f>
        <x:v>HYPERLINK is not implemented. linkLocation=https://en.wikipedia.org/wiki/Grace, friendlyName=Open source</x:v>
      </x:c>
      <x:c r="AN590" s="14" t="str">
        <x:v>No qualifying BBC relationship</x:v>
      </x:c>
      <x:c r="AO590" s="14" t="str">
        <x:v>No</x:v>
      </x:c>
      <x:c r="AP590" s="14" t="str">
        <x:v>Out of scope</x:v>
      </x:c>
      <x:c r="AQ590" s="14" t="str">
        <x:v>No</x:v>
      </x:c>
      <x:c r="AR590" s="14" t="str">
        <x:v>Resolved from master register</x:v>
      </x:c>
      <x:c r="AS590" s="14" t="str">
        <x:v>No established-register match</x:v>
      </x:c>
      <x:c r="AT590" s="14"/>
      <x:c r="AU590" s="14"/>
      <x:c r="AV590" s="14" t="str">
        <x:v>No established apparent-disability match</x:v>
      </x:c>
      <x:c r="AW590" s="14"/>
      <x:c r="AX590" s="14" t="str">
        <x:v>No</x:v>
      </x:c>
      <x:c r="AY590" s="14" t="str">
        <x:v>Unmatched</x:v>
      </x:c>
      <x:c r="AZ590" s="14" t="str">
        <x:v>Final supplied register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20</x:v>
      </x:c>
      <x:c r="BP590" s="14" t="str">
        <x:v>Maximum eligible IMDb cast-credit total (20), shared by 4 performer(s); not independently verified as a 2021-only episode total.</x:v>
      </x:c>
      <x:c r="BQ590" s="14" t="str">
        <x:v>Medium</x:v>
      </x:c>
      <x:c r="BR590" s="15" t="n">
        <x:v>1</x:v>
      </x:c>
      <x:c r="BS590" s="16" t="n">
        <x:v>0.05</x:v>
      </x:c>
      <x:c r="BT590" s="14" t="str">
        <x:v>One episode</x:v>
      </x:c>
      <x:c r="BU590" s="14" t="str">
        <x:v>Medium</x:v>
      </x:c>
      <x:c r="BV590" s="14" t="str">
        <x:v>Derived from supplied IMDb episode count and the documented production-total proxy.</x:v>
      </x:c>
      <x:c r="BW590" s="14" t="str">
        <x:v>Unable to determine</x:v>
      </x:c>
      <x:c r="BX590" s="14" t="str">
        <x:v>Supplied cast data establishes the credit and episode presence but does not establish narrative prominence.</x:v>
      </x:c>
      <x:c r="BY590" s="14" t="str">
        <x:v>Supplied IMDb cast-list workbook</x:v>
      </x:c>
      <x:c r="BZ5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tt11639300|nm2929105|elena ludlow</x:v>
      </x:c>
      <x:c r="B591" s="14" t="str">
        <x:v>02</x:v>
      </x:c>
      <x:c r="C591" s="14" t="str">
        <x:v>2021_IMDb_Cast_Lists_Batch_02(1).xlsx</x:v>
      </x:c>
      <x:c r="D591" s="14" t="str">
        <x:v>Grace</x:v>
      </x:c>
      <x:c r="E591" s="14" t="n">
        <x:v>261</x:v>
      </x:c>
      <x:c r="F591" s="14" t="str">
        <x:v>Grace</x:v>
      </x:c>
      <x:c r="G591" s="14" t="str">
        <x:v>tt11639300</x:v>
      </x:c>
      <x:c r="H591" s="14" t="n">
        <x:v>2021</x:v>
      </x:c>
      <x:c r="I591" s="14" t="n">
        <x:v>2023</x:v>
      </x:c>
      <x:c r="J591" s="14" t="str">
        <x:v>Future Carry-Forward Cohort</x:v>
      </x:c>
      <x:c r="K591" s="14" t="n">
        <x:v>2021</x:v>
      </x:c>
      <x:c r="L591" s="14" t="str">
        <x:v>Available from 2021 analysis</x:v>
      </x:c>
      <x:c r="M591" s="15" t="n">
        <x:v>254</x:v>
      </x:c>
      <x:c r="N591" s="14" t="str">
        <x:v>Kaisa Hammarlund</x:v>
      </x:c>
      <x:c r="O591" s="14" t="str">
        <x:v>nm2929105</x:v>
      </x:c>
      <x:c r="P591" s="14" t="str">
        <x:v>Elena Ludlow</x:v>
      </x:c>
      <x:c r="Q591" s="15" t="n">
        <x:v>1</x:v>
      </x:c>
      <x:c r="R591" s="14" t="str">
        <x:v>2025</x:v>
      </x:c>
      <x:c r="S591" s="14" t="n">
        <x:v>2025</x:v>
      </x:c>
      <x:c r="T591" s="14" t="n">
        <x:v>2025</x:v>
      </x:c>
      <x:c r="U591" s="14" t="str">
        <x:v>Post-2021 casting excluded</x:v>
      </x:c>
      <x:c r="V591" s="14" t="str">
        <x:v>Earliest supplied year is 2025, later than the 2021 study year.</x:v>
      </x:c>
      <x:c r="W591" s="14"/>
      <x:c r="X591" s="14" t="str">
        <x:v>Carried forward to 2025</x:v>
      </x:c>
      <x:c r="Y591" s="14"/>
      <x:c r="Z591" s="14" t="str">
        <x:v>Grace.docx</x:v>
      </x:c>
      <x:c r="AA5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ITV / ITVX</x:v>
      </x:c>
      <x:c r="AI591" s="14" t="str">
        <x:v>UK original 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uk original commission.</x:v>
      </x:c>
      <x:c r="AM591" s="17" t="e">
        <x:f>HYPERLINK("https://en.wikipedia.org/wiki/Grace","Open source")</x:f>
        <x:v>HYPERLINK is not implemented. linkLocation=https://en.wikipedia.org/wiki/Grace, friendlyName=Open source</x:v>
      </x:c>
      <x:c r="AN591" s="14" t="str">
        <x:v>No qualifying BBC relationship</x:v>
      </x:c>
      <x:c r="AO591" s="14" t="str">
        <x:v>No</x:v>
      </x:c>
      <x:c r="AP591" s="14" t="str">
        <x:v>Out of scope</x:v>
      </x:c>
      <x:c r="AQ591" s="14" t="str">
        <x:v>No</x:v>
      </x:c>
      <x:c r="AR591" s="14" t="str">
        <x:v>Resolved from master register</x:v>
      </x:c>
      <x:c r="AS591" s="14" t="str">
        <x:v>No established-register match</x:v>
      </x:c>
      <x:c r="AT591" s="14"/>
      <x:c r="AU591" s="14"/>
      <x:c r="AV591" s="14" t="str">
        <x:v>No established apparent-disability match</x:v>
      </x:c>
      <x:c r="AW591" s="14"/>
      <x:c r="AX591" s="14" t="str">
        <x:v>No</x:v>
      </x:c>
      <x:c r="AY591" s="14" t="str">
        <x:v>Unmatched</x:v>
      </x:c>
      <x:c r="AZ591" s="14" t="str">
        <x:v>Final supplied register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20</x:v>
      </x:c>
      <x:c r="BP591" s="14" t="str">
        <x:v>Maximum eligible IMDb cast-credit total (20), shared by 4 performer(s); not independently verified as a 2021-only episode total.</x:v>
      </x:c>
      <x:c r="BQ591" s="14" t="str">
        <x:v>Medium</x:v>
      </x:c>
      <x:c r="BR591" s="15" t="n">
        <x:v>1</x:v>
      </x:c>
      <x:c r="BS591" s="16" t="n">
        <x:v>0.05</x:v>
      </x:c>
      <x:c r="BT591" s="14" t="str">
        <x:v>One episode</x:v>
      </x:c>
      <x:c r="BU591" s="14" t="str">
        <x:v>Medium</x:v>
      </x:c>
      <x:c r="BV591" s="14" t="str">
        <x:v>Derived from supplied IMDb episode count and the documented production-total proxy.</x:v>
      </x:c>
      <x:c r="BW591" s="14" t="str">
        <x:v>Unable to determine</x:v>
      </x:c>
      <x:c r="BX591" s="14" t="str">
        <x:v>Supplied cast data establishes the credit and episode presence but does not establish narrative prominence.</x:v>
      </x:c>
      <x:c r="BY591" s="14" t="str">
        <x:v>Supplied IMDb cast-list workbook</x:v>
      </x:c>
      <x:c r="BZ5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tt11639300|nm9962079|aisha</x:v>
      </x:c>
      <x:c r="B592" s="14" t="str">
        <x:v>02</x:v>
      </x:c>
      <x:c r="C592" s="14" t="str">
        <x:v>2021_IMDb_Cast_Lists_Batch_02(1).xlsx</x:v>
      </x:c>
      <x:c r="D592" s="14" t="str">
        <x:v>Grace</x:v>
      </x:c>
      <x:c r="E592" s="14" t="n">
        <x:v>262</x:v>
      </x:c>
      <x:c r="F592" s="14" t="str">
        <x:v>Grace</x:v>
      </x:c>
      <x:c r="G592" s="14" t="str">
        <x:v>tt11639300</x:v>
      </x:c>
      <x:c r="H592" s="14" t="n">
        <x:v>2021</x:v>
      </x:c>
      <x:c r="I592" s="14" t="n">
        <x:v>2023</x:v>
      </x:c>
      <x:c r="J592" s="14" t="str">
        <x:v>Future Carry-Forward Cohort</x:v>
      </x:c>
      <x:c r="K592" s="14" t="n">
        <x:v>2021</x:v>
      </x:c>
      <x:c r="L592" s="14" t="str">
        <x:v>Available from 2021 analysis</x:v>
      </x:c>
      <x:c r="M592" s="15" t="n">
        <x:v>255</x:v>
      </x:c>
      <x:c r="N592" s="14" t="str">
        <x:v>Briony Scarlett</x:v>
      </x:c>
      <x:c r="O592" s="14" t="str">
        <x:v>nm9962079</x:v>
      </x:c>
      <x:c r="P592" s="14" t="str">
        <x:v>Aisha</x:v>
      </x:c>
      <x:c r="Q592" s="15" t="n">
        <x:v>1</x:v>
      </x:c>
      <x:c r="R592" s="14" t="str">
        <x:v>2025</x:v>
      </x:c>
      <x:c r="S592" s="14" t="n">
        <x:v>2025</x:v>
      </x:c>
      <x:c r="T592" s="14" t="n">
        <x:v>2025</x:v>
      </x:c>
      <x:c r="U592" s="14" t="str">
        <x:v>Post-2021 casting excluded</x:v>
      </x:c>
      <x:c r="V592" s="14" t="str">
        <x:v>Earliest supplied year is 2025, later than the 2021 study year.</x:v>
      </x:c>
      <x:c r="W592" s="14"/>
      <x:c r="X592" s="14" t="str">
        <x:v>Carried forward to 2025</x:v>
      </x:c>
      <x:c r="Y592" s="14"/>
      <x:c r="Z592" s="14" t="str">
        <x:v>Grace.docx</x:v>
      </x:c>
      <x:c r="AA5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ITV / ITVX</x:v>
      </x:c>
      <x:c r="AI592" s="14" t="str">
        <x:v>UK original 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uk original commission.</x:v>
      </x:c>
      <x:c r="AM592" s="17" t="e">
        <x:f>HYPERLINK("https://en.wikipedia.org/wiki/Grace","Open source")</x:f>
        <x:v>HYPERLINK is not implemented. linkLocation=https://en.wikipedia.org/wiki/Grace, friendlyName=Open source</x:v>
      </x:c>
      <x:c r="AN592" s="14" t="str">
        <x:v>No qualifying BBC relationship</x:v>
      </x:c>
      <x:c r="AO592" s="14" t="str">
        <x:v>No</x:v>
      </x:c>
      <x:c r="AP592" s="14" t="str">
        <x:v>Out of scope</x:v>
      </x:c>
      <x:c r="AQ592" s="14" t="str">
        <x:v>No</x:v>
      </x:c>
      <x:c r="AR592" s="14" t="str">
        <x:v>Resolved from master register</x:v>
      </x:c>
      <x:c r="AS592" s="14" t="str">
        <x:v>No established-register match</x:v>
      </x:c>
      <x:c r="AT592" s="14"/>
      <x:c r="AU592" s="14"/>
      <x:c r="AV592" s="14" t="str">
        <x:v>No established apparent-disability match</x:v>
      </x:c>
      <x:c r="AW592" s="14"/>
      <x:c r="AX592" s="14" t="str">
        <x:v>No</x:v>
      </x:c>
      <x:c r="AY592" s="14" t="str">
        <x:v>Unmatched</x:v>
      </x:c>
      <x:c r="AZ592" s="14" t="str">
        <x:v>Final supplied register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20</x:v>
      </x:c>
      <x:c r="BP592" s="14" t="str">
        <x:v>Maximum eligible IMDb cast-credit total (20), shared by 4 performer(s); not independently verified as a 2021-only episode total.</x:v>
      </x:c>
      <x:c r="BQ592" s="14" t="str">
        <x:v>Medium</x:v>
      </x:c>
      <x:c r="BR592" s="15" t="n">
        <x:v>1</x:v>
      </x:c>
      <x:c r="BS592" s="16" t="n">
        <x:v>0.05</x:v>
      </x:c>
      <x:c r="BT592" s="14" t="str">
        <x:v>One episode</x:v>
      </x:c>
      <x:c r="BU592" s="14" t="str">
        <x:v>Medium</x:v>
      </x:c>
      <x:c r="BV592" s="14" t="str">
        <x:v>Derived from supplied IMDb episode count and the documented production-total proxy.</x:v>
      </x:c>
      <x:c r="BW592" s="14" t="str">
        <x:v>Unable to determine</x:v>
      </x:c>
      <x:c r="BX592" s="14" t="str">
        <x:v>Supplied cast data establishes the credit and episode presence but does not establish narrative prominence.</x:v>
      </x:c>
      <x:c r="BY592" s="14" t="str">
        <x:v>Supplied IMDb cast-list workbook</x:v>
      </x:c>
      <x:c r="BZ5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tt11639300|nm13794517|ava packham</x:v>
      </x:c>
      <x:c r="B593" s="14" t="str">
        <x:v>02</x:v>
      </x:c>
      <x:c r="C593" s="14" t="str">
        <x:v>2021_IMDb_Cast_Lists_Batch_02(1).xlsx</x:v>
      </x:c>
      <x:c r="D593" s="14" t="str">
        <x:v>Grace</x:v>
      </x:c>
      <x:c r="E593" s="14" t="n">
        <x:v>263</x:v>
      </x:c>
      <x:c r="F593" s="14" t="str">
        <x:v>Grace</x:v>
      </x:c>
      <x:c r="G593" s="14" t="str">
        <x:v>tt11639300</x:v>
      </x:c>
      <x:c r="H593" s="14" t="n">
        <x:v>2021</x:v>
      </x:c>
      <x:c r="I593" s="14" t="n">
        <x:v>2023</x:v>
      </x:c>
      <x:c r="J593" s="14" t="str">
        <x:v>Future Carry-Forward Cohort</x:v>
      </x:c>
      <x:c r="K593" s="14" t="n">
        <x:v>2021</x:v>
      </x:c>
      <x:c r="L593" s="14" t="str">
        <x:v>Available from 2021 analysis</x:v>
      </x:c>
      <x:c r="M593" s="15" t="n">
        <x:v>256</x:v>
      </x:c>
      <x:c r="N593" s="14" t="str">
        <x:v>Luna Blue Delandro-Abraham</x:v>
      </x:c>
      <x:c r="O593" s="14" t="str">
        <x:v>nm13794517</x:v>
      </x:c>
      <x:c r="P593" s="14" t="str">
        <x:v>Ava Packham</x:v>
      </x:c>
      <x:c r="Q593" s="15" t="n">
        <x:v>1</x:v>
      </x:c>
      <x:c r="R593" s="14" t="str">
        <x:v>2025</x:v>
      </x:c>
      <x:c r="S593" s="14" t="n">
        <x:v>2025</x:v>
      </x:c>
      <x:c r="T593" s="14" t="n">
        <x:v>2025</x:v>
      </x:c>
      <x:c r="U593" s="14" t="str">
        <x:v>Post-2021 casting excluded</x:v>
      </x:c>
      <x:c r="V593" s="14" t="str">
        <x:v>Earliest supplied year is 2025, later than the 2021 study year.</x:v>
      </x:c>
      <x:c r="W593" s="14"/>
      <x:c r="X593" s="14" t="str">
        <x:v>Carried forward to 2025</x:v>
      </x:c>
      <x:c r="Y593" s="14"/>
      <x:c r="Z593" s="14" t="str">
        <x:v>Grace.docx</x:v>
      </x:c>
      <x:c r="AA5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ITV / ITVX</x:v>
      </x:c>
      <x:c r="AI593" s="14" t="str">
        <x:v>UK original 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uk original commission.</x:v>
      </x:c>
      <x:c r="AM593" s="17" t="e">
        <x:f>HYPERLINK("https://en.wikipedia.org/wiki/Grace","Open source")</x:f>
        <x:v>HYPERLINK is not implemented. linkLocation=https://en.wikipedia.org/wiki/Grace, friendlyName=Open source</x:v>
      </x:c>
      <x:c r="AN593" s="14" t="str">
        <x:v>No qualifying BBC relationship</x:v>
      </x:c>
      <x:c r="AO593" s="14" t="str">
        <x:v>No</x:v>
      </x:c>
      <x:c r="AP593" s="14" t="str">
        <x:v>Out of scope</x:v>
      </x:c>
      <x:c r="AQ593" s="14" t="str">
        <x:v>No</x:v>
      </x:c>
      <x:c r="AR593" s="14" t="str">
        <x:v>Resolved from master register</x:v>
      </x:c>
      <x:c r="AS593" s="14" t="str">
        <x:v>No established-register match</x:v>
      </x:c>
      <x:c r="AT593" s="14"/>
      <x:c r="AU593" s="14"/>
      <x:c r="AV593" s="14" t="str">
        <x:v>No established apparent-disability match</x:v>
      </x:c>
      <x:c r="AW593" s="14"/>
      <x:c r="AX593" s="14" t="str">
        <x:v>No</x:v>
      </x:c>
      <x:c r="AY593" s="14" t="str">
        <x:v>Unmatched</x:v>
      </x:c>
      <x:c r="AZ593" s="14" t="str">
        <x:v>Final supplied register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20</x:v>
      </x:c>
      <x:c r="BP593" s="14" t="str">
        <x:v>Maximum eligible IMDb cast-credit total (20), shared by 4 performer(s); not independently verified as a 2021-only episode total.</x:v>
      </x:c>
      <x:c r="BQ593" s="14" t="str">
        <x:v>Medium</x:v>
      </x:c>
      <x:c r="BR593" s="15" t="n">
        <x:v>1</x:v>
      </x:c>
      <x:c r="BS593" s="16" t="n">
        <x:v>0.05</x:v>
      </x:c>
      <x:c r="BT593" s="14" t="str">
        <x:v>One episode</x:v>
      </x:c>
      <x:c r="BU593" s="14" t="str">
        <x:v>Medium</x:v>
      </x:c>
      <x:c r="BV593" s="14" t="str">
        <x:v>Derived from supplied IMDb episode count and the documented production-total proxy.</x:v>
      </x:c>
      <x:c r="BW593" s="14" t="str">
        <x:v>Unable to determine</x:v>
      </x:c>
      <x:c r="BX593" s="14" t="str">
        <x:v>Supplied cast data establishes the credit and episode presence but does not establish narrative prominence.</x:v>
      </x:c>
      <x:c r="BY593" s="14" t="str">
        <x:v>Supplied IMDb cast-list workbook</x:v>
      </x:c>
      <x:c r="BZ5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tt11639300|nm4024520|sam fordwater</x:v>
      </x:c>
      <x:c r="B594" s="14" t="str">
        <x:v>02</x:v>
      </x:c>
      <x:c r="C594" s="14" t="str">
        <x:v>2021_IMDb_Cast_Lists_Batch_02(1).xlsx</x:v>
      </x:c>
      <x:c r="D594" s="14" t="str">
        <x:v>Grace</x:v>
      </x:c>
      <x:c r="E594" s="14" t="n">
        <x:v>276</x:v>
      </x:c>
      <x:c r="F594" s="14" t="str">
        <x:v>Grace</x:v>
      </x:c>
      <x:c r="G594" s="14" t="str">
        <x:v>tt11639300</x:v>
      </x:c>
      <x:c r="H594" s="14" t="n">
        <x:v>2021</x:v>
      </x:c>
      <x:c r="I594" s="14" t="n">
        <x:v>2023</x:v>
      </x:c>
      <x:c r="J594" s="14" t="str">
        <x:v>Future Carry-Forward Cohort</x:v>
      </x:c>
      <x:c r="K594" s="14" t="n">
        <x:v>2021</x:v>
      </x:c>
      <x:c r="L594" s="14" t="str">
        <x:v>Available from 2021 analysis</x:v>
      </x:c>
      <x:c r="M594" s="15" t="n">
        <x:v>269</x:v>
      </x:c>
      <x:c r="N594" s="14" t="str">
        <x:v>Holli Dempsey</x:v>
      </x:c>
      <x:c r="O594" s="14" t="str">
        <x:v>nm4024520</x:v>
      </x:c>
      <x:c r="P594" s="14" t="str">
        <x:v>Sam Fordwater</x:v>
      </x:c>
      <x:c r="Q594" s="15" t="n">
        <x:v>1</x:v>
      </x:c>
      <x:c r="R594" s="14" t="str">
        <x:v>2025</x:v>
      </x:c>
      <x:c r="S594" s="14" t="n">
        <x:v>2025</x:v>
      </x:c>
      <x:c r="T594" s="14" t="n">
        <x:v>2025</x:v>
      </x:c>
      <x:c r="U594" s="14" t="str">
        <x:v>Post-2021 casting excluded</x:v>
      </x:c>
      <x:c r="V594" s="14" t="str">
        <x:v>Earliest supplied year is 2025, later than the 2021 study year.</x:v>
      </x:c>
      <x:c r="W594" s="14"/>
      <x:c r="X594" s="14" t="str">
        <x:v>Carried forward to 2025</x:v>
      </x:c>
      <x:c r="Y594" s="14"/>
      <x:c r="Z594" s="14" t="str">
        <x:v>Grace.docx</x:v>
      </x:c>
      <x:c r="AA5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ITV / ITVX</x:v>
      </x:c>
      <x:c r="AI594" s="14" t="str">
        <x:v>UK original 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uk original commission.</x:v>
      </x:c>
      <x:c r="AM594" s="17" t="e">
        <x:f>HYPERLINK("https://en.wikipedia.org/wiki/Grace","Open source")</x:f>
        <x:v>HYPERLINK is not implemented. linkLocation=https://en.wikipedia.org/wiki/Grace, friendlyName=Open source</x:v>
      </x:c>
      <x:c r="AN594" s="14" t="str">
        <x:v>No qualifying BBC relationship</x:v>
      </x:c>
      <x:c r="AO594" s="14" t="str">
        <x:v>No</x:v>
      </x:c>
      <x:c r="AP594" s="14" t="str">
        <x:v>Out of scope</x:v>
      </x:c>
      <x:c r="AQ594" s="14" t="str">
        <x:v>No</x:v>
      </x:c>
      <x:c r="AR594" s="14" t="str">
        <x:v>Resolved from master register</x:v>
      </x:c>
      <x:c r="AS594" s="14" t="str">
        <x:v>No established-register match</x:v>
      </x:c>
      <x:c r="AT594" s="14"/>
      <x:c r="AU594" s="14"/>
      <x:c r="AV594" s="14" t="str">
        <x:v>No established apparent-disability match</x:v>
      </x:c>
      <x:c r="AW594" s="14"/>
      <x:c r="AX594" s="14" t="str">
        <x:v>No</x:v>
      </x:c>
      <x:c r="AY594" s="14" t="str">
        <x:v>Unmatched</x:v>
      </x:c>
      <x:c r="AZ594" s="14" t="str">
        <x:v>Final supplied register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20</x:v>
      </x:c>
      <x:c r="BP594" s="14" t="str">
        <x:v>Maximum eligible IMDb cast-credit total (20), shared by 4 performer(s); not independently verified as a 2021-only episode total.</x:v>
      </x:c>
      <x:c r="BQ594" s="14" t="str">
        <x:v>Medium</x:v>
      </x:c>
      <x:c r="BR594" s="15" t="n">
        <x:v>1</x:v>
      </x:c>
      <x:c r="BS594" s="16" t="n">
        <x:v>0.05</x:v>
      </x:c>
      <x:c r="BT594" s="14" t="str">
        <x:v>One episode</x:v>
      </x:c>
      <x:c r="BU594" s="14" t="str">
        <x:v>Medium</x:v>
      </x:c>
      <x:c r="BV594" s="14" t="str">
        <x:v>Derived from supplied IMDb episode count and the documented production-total proxy.</x:v>
      </x:c>
      <x:c r="BW594" s="14" t="str">
        <x:v>Unable to determine</x:v>
      </x:c>
      <x:c r="BX594" s="14" t="str">
        <x:v>Supplied cast data establishes the credit and episode presence but does not establish narrative prominence.</x:v>
      </x:c>
      <x:c r="BY594" s="14" t="str">
        <x:v>Supplied IMDb cast-list workbook</x:v>
      </x:c>
      <x:c r="BZ5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tt11639300|nm0227681|joseph ludlow</x:v>
      </x:c>
      <x:c r="B595" s="14" t="str">
        <x:v>02</x:v>
      </x:c>
      <x:c r="C595" s="14" t="str">
        <x:v>2021_IMDb_Cast_Lists_Batch_02(1).xlsx</x:v>
      </x:c>
      <x:c r="D595" s="14" t="str">
        <x:v>Grace</x:v>
      </x:c>
      <x:c r="E595" s="14" t="n">
        <x:v>277</x:v>
      </x:c>
      <x:c r="F595" s="14" t="str">
        <x:v>Grace</x:v>
      </x:c>
      <x:c r="G595" s="14" t="str">
        <x:v>tt11639300</x:v>
      </x:c>
      <x:c r="H595" s="14" t="n">
        <x:v>2021</x:v>
      </x:c>
      <x:c r="I595" s="14" t="n">
        <x:v>2023</x:v>
      </x:c>
      <x:c r="J595" s="14" t="str">
        <x:v>Future Carry-Forward Cohort</x:v>
      </x:c>
      <x:c r="K595" s="14" t="n">
        <x:v>2021</x:v>
      </x:c>
      <x:c r="L595" s="14" t="str">
        <x:v>Available from 2021 analysis</x:v>
      </x:c>
      <x:c r="M595" s="15" t="n">
        <x:v>270</x:v>
      </x:c>
      <x:c r="N595" s="14" t="str">
        <x:v>Shaun Dingwall</x:v>
      </x:c>
      <x:c r="O595" s="14" t="str">
        <x:v>nm0227681</x:v>
      </x:c>
      <x:c r="P595" s="14" t="str">
        <x:v>Joseph Ludlow</x:v>
      </x:c>
      <x:c r="Q595" s="15" t="n">
        <x:v>1</x:v>
      </x:c>
      <x:c r="R595" s="14" t="str">
        <x:v>2025</x:v>
      </x:c>
      <x:c r="S595" s="14" t="n">
        <x:v>2025</x:v>
      </x:c>
      <x:c r="T595" s="14" t="n">
        <x:v>2025</x:v>
      </x:c>
      <x:c r="U595" s="14" t="str">
        <x:v>Post-2021 casting excluded</x:v>
      </x:c>
      <x:c r="V595" s="14" t="str">
        <x:v>Earliest supplied year is 2025, later than the 2021 study year.</x:v>
      </x:c>
      <x:c r="W595" s="14"/>
      <x:c r="X595" s="14" t="str">
        <x:v>Carried forward to 2025</x:v>
      </x:c>
      <x:c r="Y595" s="14"/>
      <x:c r="Z595" s="14" t="str">
        <x:v>Grace.docx</x:v>
      </x:c>
      <x:c r="AA5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ITV / ITVX</x:v>
      </x:c>
      <x:c r="AI595" s="14" t="str">
        <x:v>UK original 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uk original commission.</x:v>
      </x:c>
      <x:c r="AM595" s="17" t="e">
        <x:f>HYPERLINK("https://en.wikipedia.org/wiki/Grace","Open source")</x:f>
        <x:v>HYPERLINK is not implemented. linkLocation=https://en.wikipedia.org/wiki/Grace, friendlyName=Open source</x:v>
      </x:c>
      <x:c r="AN595" s="14" t="str">
        <x:v>No qualifying BBC relationship</x:v>
      </x:c>
      <x:c r="AO595" s="14" t="str">
        <x:v>No</x:v>
      </x:c>
      <x:c r="AP595" s="14" t="str">
        <x:v>Out of scope</x:v>
      </x:c>
      <x:c r="AQ595" s="14" t="str">
        <x:v>No</x:v>
      </x:c>
      <x:c r="AR595" s="14" t="str">
        <x:v>Resolved from master register</x:v>
      </x:c>
      <x:c r="AS595" s="14" t="str">
        <x:v>No established-register match</x:v>
      </x:c>
      <x:c r="AT595" s="14"/>
      <x:c r="AU595" s="14"/>
      <x:c r="AV595" s="14" t="str">
        <x:v>No established apparent-disability match</x:v>
      </x:c>
      <x:c r="AW595" s="14"/>
      <x:c r="AX595" s="14" t="str">
        <x:v>No</x:v>
      </x:c>
      <x:c r="AY595" s="14" t="str">
        <x:v>Unmatched</x:v>
      </x:c>
      <x:c r="AZ595" s="14" t="str">
        <x:v>Final supplied register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20</x:v>
      </x:c>
      <x:c r="BP595" s="14" t="str">
        <x:v>Maximum eligible IMDb cast-credit total (20), shared by 4 performer(s); not independently verified as a 2021-only episode total.</x:v>
      </x:c>
      <x:c r="BQ595" s="14" t="str">
        <x:v>Medium</x:v>
      </x:c>
      <x:c r="BR595" s="15" t="n">
        <x:v>1</x:v>
      </x:c>
      <x:c r="BS595" s="16" t="n">
        <x:v>0.05</x:v>
      </x:c>
      <x:c r="BT595" s="14" t="str">
        <x:v>One episode</x:v>
      </x:c>
      <x:c r="BU595" s="14" t="str">
        <x:v>Medium</x:v>
      </x:c>
      <x:c r="BV595" s="14" t="str">
        <x:v>Derived from supplied IMDb episode count and the documented production-total proxy.</x:v>
      </x:c>
      <x:c r="BW595" s="14" t="str">
        <x:v>Unable to determine</x:v>
      </x:c>
      <x:c r="BX595" s="14" t="str">
        <x:v>Supplied cast data establishes the credit and episode presence but does not establish narrative prominence.</x:v>
      </x:c>
      <x:c r="BY595" s="14" t="str">
        <x:v>Supplied IMDb cast-list workbook</x:v>
      </x:c>
      <x:c r="BZ5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tt11639300|nm0545324|margaret packham</x:v>
      </x:c>
      <x:c r="B596" s="14" t="str">
        <x:v>02</x:v>
      </x:c>
      <x:c r="C596" s="14" t="str">
        <x:v>2021_IMDb_Cast_Lists_Batch_02(1).xlsx</x:v>
      </x:c>
      <x:c r="D596" s="14" t="str">
        <x:v>Grace</x:v>
      </x:c>
      <x:c r="E596" s="14" t="n">
        <x:v>278</x:v>
      </x:c>
      <x:c r="F596" s="14" t="str">
        <x:v>Grace</x:v>
      </x:c>
      <x:c r="G596" s="14" t="str">
        <x:v>tt11639300</x:v>
      </x:c>
      <x:c r="H596" s="14" t="n">
        <x:v>2021</x:v>
      </x:c>
      <x:c r="I596" s="14" t="n">
        <x:v>2023</x:v>
      </x:c>
      <x:c r="J596" s="14" t="str">
        <x:v>Future Carry-Forward Cohort</x:v>
      </x:c>
      <x:c r="K596" s="14" t="n">
        <x:v>2021</x:v>
      </x:c>
      <x:c r="L596" s="14" t="str">
        <x:v>Available from 2021 analysis</x:v>
      </x:c>
      <x:c r="M596" s="15" t="n">
        <x:v>271</x:v>
      </x:c>
      <x:c r="N596" s="14" t="str">
        <x:v>Nimmy March</x:v>
      </x:c>
      <x:c r="O596" s="14" t="str">
        <x:v>nm0545324</x:v>
      </x:c>
      <x:c r="P596" s="14" t="str">
        <x:v>Margaret Packham</x:v>
      </x:c>
      <x:c r="Q596" s="15" t="n">
        <x:v>1</x:v>
      </x:c>
      <x:c r="R596" s="14" t="str">
        <x:v>2025</x:v>
      </x:c>
      <x:c r="S596" s="14" t="n">
        <x:v>2025</x:v>
      </x:c>
      <x:c r="T596" s="14" t="n">
        <x:v>2025</x:v>
      </x:c>
      <x:c r="U596" s="14" t="str">
        <x:v>Post-2021 casting excluded</x:v>
      </x:c>
      <x:c r="V596" s="14" t="str">
        <x:v>Earliest supplied year is 2025, later than the 2021 study year.</x:v>
      </x:c>
      <x:c r="W596" s="14"/>
      <x:c r="X596" s="14" t="str">
        <x:v>Carried forward to 2025</x:v>
      </x:c>
      <x:c r="Y596" s="14"/>
      <x:c r="Z596" s="14" t="str">
        <x:v>Grace.docx</x:v>
      </x:c>
      <x:c r="AA5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ITV / ITVX</x:v>
      </x:c>
      <x:c r="AI596" s="14" t="str">
        <x:v>UK original 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uk original commission.</x:v>
      </x:c>
      <x:c r="AM596" s="17" t="e">
        <x:f>HYPERLINK("https://en.wikipedia.org/wiki/Grace","Open source")</x:f>
        <x:v>HYPERLINK is not implemented. linkLocation=https://en.wikipedia.org/wiki/Grace, friendlyName=Open source</x:v>
      </x:c>
      <x:c r="AN596" s="14" t="str">
        <x:v>No qualifying BBC relationship</x:v>
      </x:c>
      <x:c r="AO596" s="14" t="str">
        <x:v>No</x:v>
      </x:c>
      <x:c r="AP596" s="14" t="str">
        <x:v>Out of scope</x:v>
      </x:c>
      <x:c r="AQ596" s="14" t="str">
        <x:v>No</x:v>
      </x:c>
      <x:c r="AR596" s="14" t="str">
        <x:v>Resolved from master register</x:v>
      </x:c>
      <x:c r="AS596" s="14" t="str">
        <x:v>No established-register match</x:v>
      </x:c>
      <x:c r="AT596" s="14"/>
      <x:c r="AU596" s="14"/>
      <x:c r="AV596" s="14" t="str">
        <x:v>No established apparent-disability match</x:v>
      </x:c>
      <x:c r="AW596" s="14"/>
      <x:c r="AX596" s="14" t="str">
        <x:v>No</x:v>
      </x:c>
      <x:c r="AY596" s="14" t="str">
        <x:v>Unmatched</x:v>
      </x:c>
      <x:c r="AZ596" s="14" t="str">
        <x:v>Final supplied register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20</x:v>
      </x:c>
      <x:c r="BP596" s="14" t="str">
        <x:v>Maximum eligible IMDb cast-credit total (20), shared by 4 performer(s); not independently verified as a 2021-only episode total.</x:v>
      </x:c>
      <x:c r="BQ596" s="14" t="str">
        <x:v>Medium</x:v>
      </x:c>
      <x:c r="BR596" s="15" t="n">
        <x:v>1</x:v>
      </x:c>
      <x:c r="BS596" s="16" t="n">
        <x:v>0.05</x:v>
      </x:c>
      <x:c r="BT596" s="14" t="str">
        <x:v>One episode</x:v>
      </x:c>
      <x:c r="BU596" s="14" t="str">
        <x:v>Medium</x:v>
      </x:c>
      <x:c r="BV596" s="14" t="str">
        <x:v>Derived from supplied IMDb episode count and the documented production-total proxy.</x:v>
      </x:c>
      <x:c r="BW596" s="14" t="str">
        <x:v>Unable to determine</x:v>
      </x:c>
      <x:c r="BX596" s="14" t="str">
        <x:v>Supplied cast data establishes the credit and episode presence but does not establish narrative prominence.</x:v>
      </x:c>
      <x:c r="BY596" s="14" t="str">
        <x:v>Supplied IMDb cast-list workbook</x:v>
      </x:c>
      <x:c r="BZ5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tt11639300|nm1646345|johnny fordwater</x:v>
      </x:c>
      <x:c r="B597" s="14" t="str">
        <x:v>02</x:v>
      </x:c>
      <x:c r="C597" s="14" t="str">
        <x:v>2021_IMDb_Cast_Lists_Batch_02(1).xlsx</x:v>
      </x:c>
      <x:c r="D597" s="14" t="str">
        <x:v>Grace</x:v>
      </x:c>
      <x:c r="E597" s="14" t="n">
        <x:v>288</x:v>
      </x:c>
      <x:c r="F597" s="14" t="str">
        <x:v>Grace</x:v>
      </x:c>
      <x:c r="G597" s="14" t="str">
        <x:v>tt11639300</x:v>
      </x:c>
      <x:c r="H597" s="14" t="n">
        <x:v>2021</x:v>
      </x:c>
      <x:c r="I597" s="14" t="n">
        <x:v>2023</x:v>
      </x:c>
      <x:c r="J597" s="14" t="str">
        <x:v>Future Carry-Forward Cohort</x:v>
      </x:c>
      <x:c r="K597" s="14" t="n">
        <x:v>2021</x:v>
      </x:c>
      <x:c r="L597" s="14" t="str">
        <x:v>Available from 2021 analysis</x:v>
      </x:c>
      <x:c r="M597" s="15" t="n">
        <x:v>281</x:v>
      </x:c>
      <x:c r="N597" s="14" t="str">
        <x:v>Mark Noble</x:v>
      </x:c>
      <x:c r="O597" s="14" t="str">
        <x:v>nm1646345</x:v>
      </x:c>
      <x:c r="P597" s="14" t="str">
        <x:v>Johnny Fordwater</x:v>
      </x:c>
      <x:c r="Q597" s="15" t="n">
        <x:v>1</x:v>
      </x:c>
      <x:c r="R597" s="14" t="str">
        <x:v>2025</x:v>
      </x:c>
      <x:c r="S597" s="14" t="n">
        <x:v>2025</x:v>
      </x:c>
      <x:c r="T597" s="14" t="n">
        <x:v>2025</x:v>
      </x:c>
      <x:c r="U597" s="14" t="str">
        <x:v>Post-2021 casting excluded</x:v>
      </x:c>
      <x:c r="V597" s="14" t="str">
        <x:v>Earliest supplied year is 2025, later than the 2021 study year.</x:v>
      </x:c>
      <x:c r="W597" s="14"/>
      <x:c r="X597" s="14" t="str">
        <x:v>Carried forward to 2025</x:v>
      </x:c>
      <x:c r="Y597" s="14"/>
      <x:c r="Z597" s="14" t="str">
        <x:v>Grace.docx</x:v>
      </x:c>
      <x:c r="AA5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ITV / ITVX</x:v>
      </x:c>
      <x:c r="AI597" s="14" t="str">
        <x:v>UK original 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uk original commission.</x:v>
      </x:c>
      <x:c r="AM597" s="17" t="e">
        <x:f>HYPERLINK("https://en.wikipedia.org/wiki/Grace","Open source")</x:f>
        <x:v>HYPERLINK is not implemented. linkLocation=https://en.wikipedia.org/wiki/Grace, friendlyName=Open source</x:v>
      </x:c>
      <x:c r="AN597" s="14" t="str">
        <x:v>No qualifying BBC relationship</x:v>
      </x:c>
      <x:c r="AO597" s="14" t="str">
        <x:v>No</x:v>
      </x:c>
      <x:c r="AP597" s="14" t="str">
        <x:v>Out of scope</x:v>
      </x:c>
      <x:c r="AQ597" s="14" t="str">
        <x:v>No</x:v>
      </x:c>
      <x:c r="AR597" s="14" t="str">
        <x:v>Resolved from master register</x:v>
      </x:c>
      <x:c r="AS597" s="14" t="str">
        <x:v>No established-register match</x:v>
      </x:c>
      <x:c r="AT597" s="14"/>
      <x:c r="AU597" s="14"/>
      <x:c r="AV597" s="14" t="str">
        <x:v>No established apparent-disability match</x:v>
      </x:c>
      <x:c r="AW597" s="14"/>
      <x:c r="AX597" s="14" t="str">
        <x:v>No</x:v>
      </x:c>
      <x:c r="AY597" s="14" t="str">
        <x:v>Unmatched</x:v>
      </x:c>
      <x:c r="AZ597" s="14" t="str">
        <x:v>Final supplied register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20</x:v>
      </x:c>
      <x:c r="BP597" s="14" t="str">
        <x:v>Maximum eligible IMDb cast-credit total (20), shared by 4 performer(s); not independently verified as a 2021-only episode total.</x:v>
      </x:c>
      <x:c r="BQ597" s="14" t="str">
        <x:v>Medium</x:v>
      </x:c>
      <x:c r="BR597" s="15" t="n">
        <x:v>1</x:v>
      </x:c>
      <x:c r="BS597" s="16" t="n">
        <x:v>0.05</x:v>
      </x:c>
      <x:c r="BT597" s="14" t="str">
        <x:v>One episode</x:v>
      </x:c>
      <x:c r="BU597" s="14" t="str">
        <x:v>Medium</x:v>
      </x:c>
      <x:c r="BV597" s="14" t="str">
        <x:v>Derived from supplied IMDb episode count and the documented production-total proxy.</x:v>
      </x:c>
      <x:c r="BW597" s="14" t="str">
        <x:v>Unable to determine</x:v>
      </x:c>
      <x:c r="BX597" s="14" t="str">
        <x:v>Supplied cast data establishes the credit and episode presence but does not establish narrative prominence.</x:v>
      </x:c>
      <x:c r="BY597" s="14" t="str">
        <x:v>Supplied IMDb cast-list workbook</x:v>
      </x:c>
      <x:c r="BZ5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tt11639300|nm3618494|woman in van</x:v>
      </x:c>
      <x:c r="B598" s="14" t="str">
        <x:v>02</x:v>
      </x:c>
      <x:c r="C598" s="14" t="str">
        <x:v>2021_IMDb_Cast_Lists_Batch_02(1).xlsx</x:v>
      </x:c>
      <x:c r="D598" s="14" t="str">
        <x:v>Grace</x:v>
      </x:c>
      <x:c r="E598" s="14" t="n">
        <x:v>289</x:v>
      </x:c>
      <x:c r="F598" s="14" t="str">
        <x:v>Grace</x:v>
      </x:c>
      <x:c r="G598" s="14" t="str">
        <x:v>tt11639300</x:v>
      </x:c>
      <x:c r="H598" s="14" t="n">
        <x:v>2021</x:v>
      </x:c>
      <x:c r="I598" s="14" t="n">
        <x:v>2023</x:v>
      </x:c>
      <x:c r="J598" s="14" t="str">
        <x:v>Future Carry-Forward Cohort</x:v>
      </x:c>
      <x:c r="K598" s="14" t="n">
        <x:v>2021</x:v>
      </x:c>
      <x:c r="L598" s="14" t="str">
        <x:v>Available from 2021 analysis</x:v>
      </x:c>
      <x:c r="M598" s="15" t="n">
        <x:v>282</x:v>
      </x:c>
      <x:c r="N598" s="14" t="str">
        <x:v>Rebecca Crankshaw</x:v>
      </x:c>
      <x:c r="O598" s="14" t="str">
        <x:v>nm3618494</x:v>
      </x:c>
      <x:c r="P598" s="14" t="str">
        <x:v>Woman in Van</x:v>
      </x:c>
      <x:c r="Q598" s="15" t="n">
        <x:v>1</x:v>
      </x:c>
      <x:c r="R598" s="14" t="str">
        <x:v>2025</x:v>
      </x:c>
      <x:c r="S598" s="14" t="n">
        <x:v>2025</x:v>
      </x:c>
      <x:c r="T598" s="14" t="n">
        <x:v>2025</x:v>
      </x:c>
      <x:c r="U598" s="14" t="str">
        <x:v>Post-2021 casting excluded</x:v>
      </x:c>
      <x:c r="V598" s="14" t="str">
        <x:v>Earliest supplied year is 2025, later than the 2021 study year.</x:v>
      </x:c>
      <x:c r="W598" s="14"/>
      <x:c r="X598" s="14" t="str">
        <x:v>Carried forward to 2025</x:v>
      </x:c>
      <x:c r="Y598" s="14"/>
      <x:c r="Z598" s="14" t="str">
        <x:v>Grace.docx</x:v>
      </x:c>
      <x:c r="AA5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ITV / ITVX</x:v>
      </x:c>
      <x:c r="AI598" s="14" t="str">
        <x:v>UK original 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uk original commission.</x:v>
      </x:c>
      <x:c r="AM598" s="17" t="e">
        <x:f>HYPERLINK("https://en.wikipedia.org/wiki/Grace","Open source")</x:f>
        <x:v>HYPERLINK is not implemented. linkLocation=https://en.wikipedia.org/wiki/Grace, friendlyName=Open source</x:v>
      </x:c>
      <x:c r="AN598" s="14" t="str">
        <x:v>No qualifying BBC relationship</x:v>
      </x:c>
      <x:c r="AO598" s="14" t="str">
        <x:v>No</x:v>
      </x:c>
      <x:c r="AP598" s="14" t="str">
        <x:v>Out of scope</x:v>
      </x:c>
      <x:c r="AQ598" s="14" t="str">
        <x:v>No</x:v>
      </x:c>
      <x:c r="AR598" s="14" t="str">
        <x:v>Resolved from master register</x:v>
      </x:c>
      <x:c r="AS598" s="14" t="str">
        <x:v>No established-register match</x:v>
      </x:c>
      <x:c r="AT598" s="14"/>
      <x:c r="AU598" s="14"/>
      <x:c r="AV598" s="14" t="str">
        <x:v>No established apparent-disability match</x:v>
      </x:c>
      <x:c r="AW598" s="14"/>
      <x:c r="AX598" s="14" t="str">
        <x:v>No</x:v>
      </x:c>
      <x:c r="AY598" s="14" t="str">
        <x:v>Unmatched</x:v>
      </x:c>
      <x:c r="AZ598" s="14" t="str">
        <x:v>Final supplied register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20</x:v>
      </x:c>
      <x:c r="BP598" s="14" t="str">
        <x:v>Maximum eligible IMDb cast-credit total (20), shared by 4 performer(s); not independently verified as a 2021-only episode total.</x:v>
      </x:c>
      <x:c r="BQ598" s="14" t="str">
        <x:v>Medium</x:v>
      </x:c>
      <x:c r="BR598" s="15" t="n">
        <x:v>1</x:v>
      </x:c>
      <x:c r="BS598" s="16" t="n">
        <x:v>0.05</x:v>
      </x:c>
      <x:c r="BT598" s="14" t="str">
        <x:v>One episode</x:v>
      </x:c>
      <x:c r="BU598" s="14" t="str">
        <x:v>Medium</x:v>
      </x:c>
      <x:c r="BV598" s="14" t="str">
        <x:v>Derived from supplied IMDb episode count and the documented production-total proxy.</x:v>
      </x:c>
      <x:c r="BW598" s="14" t="str">
        <x:v>Unable to determine</x:v>
      </x:c>
      <x:c r="BX598" s="14" t="str">
        <x:v>Supplied cast data establishes the credit and episode presence but does not establish narrative prominence.</x:v>
      </x:c>
      <x:c r="BY598" s="14" t="str">
        <x:v>Supplied IMDb cast-list workbook</x:v>
      </x:c>
      <x:c r="BZ5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tt11639300|nm0038526|janet smythson</x:v>
      </x:c>
      <x:c r="B599" s="14" t="str">
        <x:v>02</x:v>
      </x:c>
      <x:c r="C599" s="14" t="str">
        <x:v>2021_IMDb_Cast_Lists_Batch_02(1).xlsx</x:v>
      </x:c>
      <x:c r="D599" s="14" t="str">
        <x:v>Grace</x:v>
      </x:c>
      <x:c r="E599" s="14" t="n">
        <x:v>297</x:v>
      </x:c>
      <x:c r="F599" s="14" t="str">
        <x:v>Grace</x:v>
      </x:c>
      <x:c r="G599" s="14" t="str">
        <x:v>tt11639300</x:v>
      </x:c>
      <x:c r="H599" s="14" t="n">
        <x:v>2021</x:v>
      </x:c>
      <x:c r="I599" s="14" t="n">
        <x:v>2023</x:v>
      </x:c>
      <x:c r="J599" s="14" t="str">
        <x:v>Future Carry-Forward Cohort</x:v>
      </x:c>
      <x:c r="K599" s="14" t="n">
        <x:v>2021</x:v>
      </x:c>
      <x:c r="L599" s="14" t="str">
        <x:v>Available from 2021 analysis</x:v>
      </x:c>
      <x:c r="M599" s="15" t="n">
        <x:v>290</x:v>
      </x:c>
      <x:c r="N599" s="14" t="str">
        <x:v>Karen Ascoe</x:v>
      </x:c>
      <x:c r="O599" s="14" t="str">
        <x:v>nm0038526</x:v>
      </x:c>
      <x:c r="P599" s="14" t="str">
        <x:v>Janet Smythson</x:v>
      </x:c>
      <x:c r="Q599" s="15" t="n">
        <x:v>1</x:v>
      </x:c>
      <x:c r="R599" s="14" t="str">
        <x:v>2025</x:v>
      </x:c>
      <x:c r="S599" s="14" t="n">
        <x:v>2025</x:v>
      </x:c>
      <x:c r="T599" s="14" t="n">
        <x:v>2025</x:v>
      </x:c>
      <x:c r="U599" s="14" t="str">
        <x:v>Post-2021 casting excluded</x:v>
      </x:c>
      <x:c r="V599" s="14" t="str">
        <x:v>Earliest supplied year is 2025, later than the 2021 study year.</x:v>
      </x:c>
      <x:c r="W599" s="14"/>
      <x:c r="X599" s="14" t="str">
        <x:v>Carried forward to 2025</x:v>
      </x:c>
      <x:c r="Y599" s="14"/>
      <x:c r="Z599" s="14" t="str">
        <x:v>Grace.docx</x:v>
      </x:c>
      <x:c r="AA5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ITV / ITVX</x:v>
      </x:c>
      <x:c r="AI599" s="14" t="str">
        <x:v>UK original 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uk original commission.</x:v>
      </x:c>
      <x:c r="AM599" s="17" t="e">
        <x:f>HYPERLINK("https://en.wikipedia.org/wiki/Grace","Open source")</x:f>
        <x:v>HYPERLINK is not implemented. linkLocation=https://en.wikipedia.org/wiki/Grace, friendlyName=Open source</x:v>
      </x:c>
      <x:c r="AN599" s="14" t="str">
        <x:v>No qualifying BBC relationship</x:v>
      </x:c>
      <x:c r="AO599" s="14" t="str">
        <x:v>No</x:v>
      </x:c>
      <x:c r="AP599" s="14" t="str">
        <x:v>Out of scope</x:v>
      </x:c>
      <x:c r="AQ599" s="14" t="str">
        <x:v>No</x:v>
      </x:c>
      <x:c r="AR599" s="14" t="str">
        <x:v>Resolved from master register</x:v>
      </x:c>
      <x:c r="AS599" s="14" t="str">
        <x:v>No established-register match</x:v>
      </x:c>
      <x:c r="AT599" s="14"/>
      <x:c r="AU599" s="14"/>
      <x:c r="AV599" s="14" t="str">
        <x:v>No established apparent-disability match</x:v>
      </x:c>
      <x:c r="AW599" s="14"/>
      <x:c r="AX599" s="14" t="str">
        <x:v>No</x:v>
      </x:c>
      <x:c r="AY599" s="14" t="str">
        <x:v>Unmatched</x:v>
      </x:c>
      <x:c r="AZ599" s="14" t="str">
        <x:v>Final supplied register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20</x:v>
      </x:c>
      <x:c r="BP599" s="14" t="str">
        <x:v>Maximum eligible IMDb cast-credit total (20), shared by 4 performer(s); not independently verified as a 2021-only episode total.</x:v>
      </x:c>
      <x:c r="BQ599" s="14" t="str">
        <x:v>Medium</x:v>
      </x:c>
      <x:c r="BR599" s="15" t="n">
        <x:v>1</x:v>
      </x:c>
      <x:c r="BS599" s="16" t="n">
        <x:v>0.05</x:v>
      </x:c>
      <x:c r="BT599" s="14" t="str">
        <x:v>One episode</x:v>
      </x:c>
      <x:c r="BU599" s="14" t="str">
        <x:v>Medium</x:v>
      </x:c>
      <x:c r="BV599" s="14" t="str">
        <x:v>Derived from supplied IMDb episode count and the documented production-total proxy.</x:v>
      </x:c>
      <x:c r="BW599" s="14" t="str">
        <x:v>Unable to determine</x:v>
      </x:c>
      <x:c r="BX599" s="14" t="str">
        <x:v>Supplied cast data establishes the credit and episode presence but does not establish narrative prominence.</x:v>
      </x:c>
      <x:c r="BY599" s="14" t="str">
        <x:v>Supplied IMDb cast-list workbook</x:v>
      </x:c>
      <x:c r="BZ5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tt11639300|nm7478688|louise fordwater</x:v>
      </x:c>
      <x:c r="B600" s="14" t="str">
        <x:v>02</x:v>
      </x:c>
      <x:c r="C600" s="14" t="str">
        <x:v>2021_IMDb_Cast_Lists_Batch_02(1).xlsx</x:v>
      </x:c>
      <x:c r="D600" s="14" t="str">
        <x:v>Grace</x:v>
      </x:c>
      <x:c r="E600" s="14" t="n">
        <x:v>298</x:v>
      </x:c>
      <x:c r="F600" s="14" t="str">
        <x:v>Grace</x:v>
      </x:c>
      <x:c r="G600" s="14" t="str">
        <x:v>tt11639300</x:v>
      </x:c>
      <x:c r="H600" s="14" t="n">
        <x:v>2021</x:v>
      </x:c>
      <x:c r="I600" s="14" t="n">
        <x:v>2023</x:v>
      </x:c>
      <x:c r="J600" s="14" t="str">
        <x:v>Future Carry-Forward Cohort</x:v>
      </x:c>
      <x:c r="K600" s="14" t="n">
        <x:v>2021</x:v>
      </x:c>
      <x:c r="L600" s="14" t="str">
        <x:v>Available from 2021 analysis</x:v>
      </x:c>
      <x:c r="M600" s="15" t="n">
        <x:v>291</x:v>
      </x:c>
      <x:c r="N600" s="14" t="str">
        <x:v>Amy Trigg</x:v>
      </x:c>
      <x:c r="O600" s="14" t="str">
        <x:v>nm7478688</x:v>
      </x:c>
      <x:c r="P600" s="14" t="str">
        <x:v>Louise Fordwater</x:v>
      </x:c>
      <x:c r="Q600" s="15" t="n">
        <x:v>1</x:v>
      </x:c>
      <x:c r="R600" s="14" t="str">
        <x:v>2025</x:v>
      </x:c>
      <x:c r="S600" s="14" t="n">
        <x:v>2025</x:v>
      </x:c>
      <x:c r="T600" s="14" t="n">
        <x:v>2025</x:v>
      </x:c>
      <x:c r="U600" s="14" t="str">
        <x:v>Post-2021 casting excluded</x:v>
      </x:c>
      <x:c r="V600" s="14" t="str">
        <x:v>Earliest supplied year is 2025, later than the 2021 study year.</x:v>
      </x:c>
      <x:c r="W600" s="14"/>
      <x:c r="X600" s="14" t="str">
        <x:v>Carried forward to 2025</x:v>
      </x:c>
      <x:c r="Y600" s="14"/>
      <x:c r="Z600" s="14" t="str">
        <x:v>Grace.docx</x:v>
      </x:c>
      <x:c r="AA6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0" s="14" t="str">
        <x:v>Existing established-register match</x:v>
      </x:c>
      <x:c r="AC600" s="14" t="str">
        <x:v>Wheelchair user | Physical disability</x:v>
      </x:c>
      <x:c r="AD600" s="14" t="str">
        <x:v>Existing register classification: Wheelchair user | Physical disability</x:v>
      </x:c>
      <x:c r="AE600" s="14" t="str">
        <x:v>Established_Disability_Category_Register V1.1.xlsx</x:v>
      </x:c>
      <x:c r="AF600" s="14"/>
      <x:c r="AG600" s="14" t="str">
        <x:v>Established user-supplied classification retained for deduplication; evidence was not re-researched in this batch.</x:v>
      </x:c>
      <x:c r="AH600" s="14" t="str">
        <x:v>ITV / ITVX</x:v>
      </x:c>
      <x:c r="AI600" s="14" t="str">
        <x:v>UK original 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uk original commission.</x:v>
      </x:c>
      <x:c r="AM600" s="17" t="e">
        <x:f>HYPERLINK("https://en.wikipedia.org/wiki/Grace","Open source")</x:f>
        <x:v>HYPERLINK is not implemented. linkLocation=https://en.wikipedia.org/wiki/Grace, friendlyName=Open source</x:v>
      </x:c>
      <x:c r="AN600" s="14" t="str">
        <x:v>No qualifying BBC relationship</x:v>
      </x:c>
      <x:c r="AO600" s="14" t="str">
        <x:v>No</x:v>
      </x:c>
      <x:c r="AP600" s="14" t="str">
        <x:v>Out of scope</x:v>
      </x:c>
      <x:c r="AQ600" s="14" t="str">
        <x:v>No</x:v>
      </x:c>
      <x:c r="AR600" s="14" t="str">
        <x:v>Resolved from master register</x:v>
      </x:c>
      <x:c r="AS600" s="14" t="str">
        <x:v>Exact IMDb performer ID match</x:v>
      </x:c>
      <x:c r="AT600" s="14" t="str">
        <x:v>nm7478688</x:v>
      </x:c>
      <x:c r="AU600" s="14" t="str">
        <x:v>Wheelchair user | Physical disability</x:v>
      </x:c>
      <x:c r="AV600" s="14" t="str">
        <x:v>Yes</x:v>
      </x:c>
      <x:c r="AW600" s="14" t="str">
        <x:v>Wheelchair user | Physical disability</x:v>
      </x:c>
      <x:c r="AX600" s="14" t="str">
        <x:v>No</x:v>
      </x:c>
      <x:c r="AY600" s="14" t="str">
        <x:v>Matched</x:v>
      </x:c>
      <x:c r="AZ600" s="14" t="str">
        <x:v>Final supplied register</x:v>
      </x:c>
      <x:c r="BA600" s="14"/>
      <x:c r="BB600" s="14" t="str">
        <x:v>Exact IMDb performer ID match</x:v>
      </x:c>
      <x:c r="BC600" s="14" t="str">
        <x:v>nm7478688</x:v>
      </x:c>
      <x:c r="BD600" s="14" t="str">
        <x:v>Amy Trigg</x:v>
      </x:c>
      <x:c r="BE600" s="14" t="str">
        <x:v>Wheelchair user | Physical disability</x:v>
      </x:c>
      <x:c r="BF600" s="14" t="str">
        <x:v>Yes</x:v>
      </x:c>
      <x:c r="BG600" s="14" t="str">
        <x:v>Wheelchair user | Physical disability</x:v>
      </x:c>
      <x:c r="BH600" s="14" t="str">
        <x:v>No</x:v>
      </x:c>
      <x:c r="BI600" s="14" t="str">
        <x:v>User-supplied established classification</x:v>
      </x:c>
      <x:c r="BJ600" s="14" t="str">
        <x:v>03_Wheelchair_user.csv | 04_Physical_disability.csv</x:v>
      </x:c>
      <x:c r="BK600" s="14"/>
      <x:c r="BL600" s="14" t="str">
        <x:v>Matched</x:v>
      </x:c>
      <x:c r="BM600" s="14" t="str">
        <x:v>Final supplied register</x:v>
      </x:c>
      <x:c r="BN600" s="14"/>
      <x:c r="BO600" s="14" t="n">
        <x:v>20</x:v>
      </x:c>
      <x:c r="BP600" s="14" t="str">
        <x:v>Maximum eligible IMDb cast-credit total (20), shared by 4 performer(s); not independently verified as a 2021-only episode total.</x:v>
      </x:c>
      <x:c r="BQ600" s="14" t="str">
        <x:v>Medium</x:v>
      </x:c>
      <x:c r="BR600" s="15" t="n">
        <x:v>1</x:v>
      </x:c>
      <x:c r="BS600" s="16" t="n">
        <x:v>0.05</x:v>
      </x:c>
      <x:c r="BT600" s="14" t="str">
        <x:v>One episode</x:v>
      </x:c>
      <x:c r="BU600" s="14" t="str">
        <x:v>Medium</x:v>
      </x:c>
      <x:c r="BV600" s="14" t="str">
        <x:v>Derived from supplied IMDb episode count and the documented production-total proxy.</x:v>
      </x:c>
      <x:c r="BW600" s="14" t="str">
        <x:v>Unable to determine</x:v>
      </x:c>
      <x:c r="BX600" s="14" t="str">
        <x:v>Supplied cast data establishes the credit and episode presence but does not establish narrative prominence.</x:v>
      </x:c>
      <x:c r="BY600" s="14" t="str">
        <x:v>Supplied IMDb cast-list workbook</x:v>
      </x:c>
      <x:c r="BZ6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tt11639300|nm2247681|nora davis</x:v>
      </x:c>
      <x:c r="B601" s="14" t="str">
        <x:v>02</x:v>
      </x:c>
      <x:c r="C601" s="14" t="str">
        <x:v>2021_IMDb_Cast_Lists_Batch_02(1).xlsx</x:v>
      </x:c>
      <x:c r="D601" s="14" t="str">
        <x:v>Grace</x:v>
      </x:c>
      <x:c r="E601" s="14" t="n">
        <x:v>299</x:v>
      </x:c>
      <x:c r="F601" s="14" t="str">
        <x:v>Grace</x:v>
      </x:c>
      <x:c r="G601" s="14" t="str">
        <x:v>tt11639300</x:v>
      </x:c>
      <x:c r="H601" s="14" t="n">
        <x:v>2021</x:v>
      </x:c>
      <x:c r="I601" s="14" t="n">
        <x:v>2023</x:v>
      </x:c>
      <x:c r="J601" s="14" t="str">
        <x:v>Future Carry-Forward Cohort</x:v>
      </x:c>
      <x:c r="K601" s="14" t="n">
        <x:v>2021</x:v>
      </x:c>
      <x:c r="L601" s="14" t="str">
        <x:v>Available from 2021 analysis</x:v>
      </x:c>
      <x:c r="M601" s="15" t="n">
        <x:v>292</x:v>
      </x:c>
      <x:c r="N601" s="14" t="str">
        <x:v>Anne Kavanagh</x:v>
      </x:c>
      <x:c r="O601" s="14" t="str">
        <x:v>nm2247681</x:v>
      </x:c>
      <x:c r="P601" s="14" t="str">
        <x:v>Nora Davis</x:v>
      </x:c>
      <x:c r="Q601" s="15" t="n">
        <x:v>1</x:v>
      </x:c>
      <x:c r="R601" s="14" t="str">
        <x:v>2025</x:v>
      </x:c>
      <x:c r="S601" s="14" t="n">
        <x:v>2025</x:v>
      </x:c>
      <x:c r="T601" s="14" t="n">
        <x:v>2025</x:v>
      </x:c>
      <x:c r="U601" s="14" t="str">
        <x:v>Post-2021 casting excluded</x:v>
      </x:c>
      <x:c r="V601" s="14" t="str">
        <x:v>Earliest supplied year is 2025, later than the 2021 study year.</x:v>
      </x:c>
      <x:c r="W601" s="14"/>
      <x:c r="X601" s="14" t="str">
        <x:v>Carried forward to 2025</x:v>
      </x:c>
      <x:c r="Y601" s="14"/>
      <x:c r="Z601" s="14" t="str">
        <x:v>Grace.docx</x:v>
      </x:c>
      <x:c r="AA6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ITV / ITVX</x:v>
      </x:c>
      <x:c r="AI601" s="14" t="str">
        <x:v>UK original 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uk original commission.</x:v>
      </x:c>
      <x:c r="AM601" s="17" t="e">
        <x:f>HYPERLINK("https://en.wikipedia.org/wiki/Grace","Open source")</x:f>
        <x:v>HYPERLINK is not implemented. linkLocation=https://en.wikipedia.org/wiki/Grace, friendlyName=Open source</x:v>
      </x:c>
      <x:c r="AN601" s="14" t="str">
        <x:v>No qualifying BBC relationship</x:v>
      </x:c>
      <x:c r="AO601" s="14" t="str">
        <x:v>No</x:v>
      </x:c>
      <x:c r="AP601" s="14" t="str">
        <x:v>Out of scope</x:v>
      </x:c>
      <x:c r="AQ601" s="14" t="str">
        <x:v>No</x:v>
      </x:c>
      <x:c r="AR601" s="14" t="str">
        <x:v>Resolved from master register</x:v>
      </x:c>
      <x:c r="AS601" s="14" t="str">
        <x:v>No established-register match</x:v>
      </x:c>
      <x:c r="AT601" s="14"/>
      <x:c r="AU601" s="14"/>
      <x:c r="AV601" s="14" t="str">
        <x:v>No established apparent-disability match</x:v>
      </x:c>
      <x:c r="AW601" s="14"/>
      <x:c r="AX601" s="14" t="str">
        <x:v>No</x:v>
      </x:c>
      <x:c r="AY601" s="14" t="str">
        <x:v>Unmatched</x:v>
      </x:c>
      <x:c r="AZ601" s="14" t="str">
        <x:v>Final supplied register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20</x:v>
      </x:c>
      <x:c r="BP601" s="14" t="str">
        <x:v>Maximum eligible IMDb cast-credit total (20), shared by 4 performer(s); not independently verified as a 2021-only episode total.</x:v>
      </x:c>
      <x:c r="BQ601" s="14" t="str">
        <x:v>Medium</x:v>
      </x:c>
      <x:c r="BR601" s="15" t="n">
        <x:v>1</x:v>
      </x:c>
      <x:c r="BS601" s="16" t="n">
        <x:v>0.05</x:v>
      </x:c>
      <x:c r="BT601" s="14" t="str">
        <x:v>One episode</x:v>
      </x:c>
      <x:c r="BU601" s="14" t="str">
        <x:v>Medium</x:v>
      </x:c>
      <x:c r="BV601" s="14" t="str">
        <x:v>Derived from supplied IMDb episode count and the documented production-total proxy.</x:v>
      </x:c>
      <x:c r="BW601" s="14" t="str">
        <x:v>Unable to determine</x:v>
      </x:c>
      <x:c r="BX601" s="14" t="str">
        <x:v>Supplied cast data establishes the credit and episode presence but does not establish narrative prominence.</x:v>
      </x:c>
      <x:c r="BY601" s="14" t="str">
        <x:v>Supplied IMDb cast-list workbook</x:v>
      </x:c>
      <x:c r="BZ6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tt11639300|nm1225475|gym staff member</x:v>
      </x:c>
      <x:c r="B602" s="14" t="str">
        <x:v>02</x:v>
      </x:c>
      <x:c r="C602" s="14" t="str">
        <x:v>2021_IMDb_Cast_Lists_Batch_02(1).xlsx</x:v>
      </x:c>
      <x:c r="D602" s="14" t="str">
        <x:v>Grace</x:v>
      </x:c>
      <x:c r="E602" s="14" t="n">
        <x:v>306</x:v>
      </x:c>
      <x:c r="F602" s="14" t="str">
        <x:v>Grace</x:v>
      </x:c>
      <x:c r="G602" s="14" t="str">
        <x:v>tt11639300</x:v>
      </x:c>
      <x:c r="H602" s="14" t="n">
        <x:v>2021</x:v>
      </x:c>
      <x:c r="I602" s="14" t="n">
        <x:v>2023</x:v>
      </x:c>
      <x:c r="J602" s="14" t="str">
        <x:v>Future Carry-Forward Cohort</x:v>
      </x:c>
      <x:c r="K602" s="14" t="n">
        <x:v>2021</x:v>
      </x:c>
      <x:c r="L602" s="14" t="str">
        <x:v>Available from 2021 analysis</x:v>
      </x:c>
      <x:c r="M602" s="15" t="n">
        <x:v>299</x:v>
      </x:c>
      <x:c r="N602" s="14" t="str">
        <x:v>Bobby Lockwood</x:v>
      </x:c>
      <x:c r="O602" s="14" t="str">
        <x:v>nm1225475</x:v>
      </x:c>
      <x:c r="P602" s="14" t="str">
        <x:v>Gym Staff Member</x:v>
      </x:c>
      <x:c r="Q602" s="15" t="n">
        <x:v>1</x:v>
      </x:c>
      <x:c r="R602" s="14" t="str">
        <x:v>2025</x:v>
      </x:c>
      <x:c r="S602" s="14" t="n">
        <x:v>2025</x:v>
      </x:c>
      <x:c r="T602" s="14" t="n">
        <x:v>2025</x:v>
      </x:c>
      <x:c r="U602" s="14" t="str">
        <x:v>Post-2021 casting excluded</x:v>
      </x:c>
      <x:c r="V602" s="14" t="str">
        <x:v>Earliest supplied year is 2025, later than the 2021 study year.</x:v>
      </x:c>
      <x:c r="W602" s="14"/>
      <x:c r="X602" s="14" t="str">
        <x:v>Carried forward to 2025</x:v>
      </x:c>
      <x:c r="Y602" s="14"/>
      <x:c r="Z602" s="14" t="str">
        <x:v>Grace.docx</x:v>
      </x:c>
      <x:c r="AA6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ITV / ITVX</x:v>
      </x:c>
      <x:c r="AI602" s="14" t="str">
        <x:v>UK original 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uk original commission.</x:v>
      </x:c>
      <x:c r="AM602" s="17" t="e">
        <x:f>HYPERLINK("https://en.wikipedia.org/wiki/Grace","Open source")</x:f>
        <x:v>HYPERLINK is not implemented. linkLocation=https://en.wikipedia.org/wiki/Grace, friendlyName=Open source</x:v>
      </x:c>
      <x:c r="AN602" s="14" t="str">
        <x:v>No qualifying BBC relationship</x:v>
      </x:c>
      <x:c r="AO602" s="14" t="str">
        <x:v>No</x:v>
      </x:c>
      <x:c r="AP602" s="14" t="str">
        <x:v>Out of scope</x:v>
      </x:c>
      <x:c r="AQ602" s="14" t="str">
        <x:v>No</x:v>
      </x:c>
      <x:c r="AR602" s="14" t="str">
        <x:v>Resolved from master register</x:v>
      </x:c>
      <x:c r="AS602" s="14" t="str">
        <x:v>No established-register match</x:v>
      </x:c>
      <x:c r="AT602" s="14"/>
      <x:c r="AU602" s="14"/>
      <x:c r="AV602" s="14" t="str">
        <x:v>No established apparent-disability match</x:v>
      </x:c>
      <x:c r="AW602" s="14"/>
      <x:c r="AX602" s="14" t="str">
        <x:v>No</x:v>
      </x:c>
      <x:c r="AY602" s="14" t="str">
        <x:v>Unmatched</x:v>
      </x:c>
      <x:c r="AZ602" s="14" t="str">
        <x:v>Final supplied register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20</x:v>
      </x:c>
      <x:c r="BP602" s="14" t="str">
        <x:v>Maximum eligible IMDb cast-credit total (20), shared by 4 performer(s); not independently verified as a 2021-only episode total.</x:v>
      </x:c>
      <x:c r="BQ602" s="14" t="str">
        <x:v>Medium</x:v>
      </x:c>
      <x:c r="BR602" s="15" t="n">
        <x:v>1</x:v>
      </x:c>
      <x:c r="BS602" s="16" t="n">
        <x:v>0.05</x:v>
      </x:c>
      <x:c r="BT602" s="14" t="str">
        <x:v>One episode</x:v>
      </x:c>
      <x:c r="BU602" s="14" t="str">
        <x:v>Medium</x:v>
      </x:c>
      <x:c r="BV602" s="14" t="str">
        <x:v>Derived from supplied IMDb episode count and the documented production-total proxy.</x:v>
      </x:c>
      <x:c r="BW602" s="14" t="str">
        <x:v>Unable to determine</x:v>
      </x:c>
      <x:c r="BX602" s="14" t="str">
        <x:v>Supplied cast data establishes the credit and episode presence but does not establish narrative prominence.</x:v>
      </x:c>
      <x:c r="BY602" s="14" t="str">
        <x:v>Supplied IMDb cast-list workbook</x:v>
      </x:c>
      <x:c r="BZ6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tt11639300|nm0167334|primrose morley kc</x:v>
      </x:c>
      <x:c r="B603" s="14" t="str">
        <x:v>02</x:v>
      </x:c>
      <x:c r="C603" s="14" t="str">
        <x:v>2021_IMDb_Cast_Lists_Batch_02(1).xlsx</x:v>
      </x:c>
      <x:c r="D603" s="14" t="str">
        <x:v>Grace</x:v>
      </x:c>
      <x:c r="E603" s="14" t="n">
        <x:v>307</x:v>
      </x:c>
      <x:c r="F603" s="14" t="str">
        <x:v>Grace</x:v>
      </x:c>
      <x:c r="G603" s="14" t="str">
        <x:v>tt11639300</x:v>
      </x:c>
      <x:c r="H603" s="14" t="n">
        <x:v>2021</x:v>
      </x:c>
      <x:c r="I603" s="14" t="n">
        <x:v>2023</x:v>
      </x:c>
      <x:c r="J603" s="14" t="str">
        <x:v>Future Carry-Forward Cohort</x:v>
      </x:c>
      <x:c r="K603" s="14" t="n">
        <x:v>2021</x:v>
      </x:c>
      <x:c r="L603" s="14" t="str">
        <x:v>Available from 2021 analysis</x:v>
      </x:c>
      <x:c r="M603" s="15" t="n">
        <x:v>300</x:v>
      </x:c>
      <x:c r="N603" s="14" t="str">
        <x:v>Jackie Clune</x:v>
      </x:c>
      <x:c r="O603" s="14" t="str">
        <x:v>nm0167334</x:v>
      </x:c>
      <x:c r="P603" s="14" t="str">
        <x:v>Primrose Morley KC</x:v>
      </x:c>
      <x:c r="Q603" s="15" t="n">
        <x:v>1</x:v>
      </x:c>
      <x:c r="R603" s="14" t="str">
        <x:v>2025</x:v>
      </x:c>
      <x:c r="S603" s="14" t="n">
        <x:v>2025</x:v>
      </x:c>
      <x:c r="T603" s="14" t="n">
        <x:v>2025</x:v>
      </x:c>
      <x:c r="U603" s="14" t="str">
        <x:v>Post-2021 casting excluded</x:v>
      </x:c>
      <x:c r="V603" s="14" t="str">
        <x:v>Earliest supplied year is 2025, later than the 2021 study year.</x:v>
      </x:c>
      <x:c r="W603" s="14"/>
      <x:c r="X603" s="14" t="str">
        <x:v>Carried forward to 2025</x:v>
      </x:c>
      <x:c r="Y603" s="14"/>
      <x:c r="Z603" s="14" t="str">
        <x:v>Grace.docx</x:v>
      </x:c>
      <x:c r="AA6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ITV / ITVX</x:v>
      </x:c>
      <x:c r="AI603" s="14" t="str">
        <x:v>UK original 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uk original commission.</x:v>
      </x:c>
      <x:c r="AM603" s="17" t="e">
        <x:f>HYPERLINK("https://en.wikipedia.org/wiki/Grace","Open source")</x:f>
        <x:v>HYPERLINK is not implemented. linkLocation=https://en.wikipedia.org/wiki/Grace, friendlyName=Open source</x:v>
      </x:c>
      <x:c r="AN603" s="14" t="str">
        <x:v>No qualifying BBC relationship</x:v>
      </x:c>
      <x:c r="AO603" s="14" t="str">
        <x:v>No</x:v>
      </x:c>
      <x:c r="AP603" s="14" t="str">
        <x:v>Out of scope</x:v>
      </x:c>
      <x:c r="AQ603" s="14" t="str">
        <x:v>No</x:v>
      </x:c>
      <x:c r="AR603" s="14" t="str">
        <x:v>Resolved from master register</x:v>
      </x:c>
      <x:c r="AS603" s="14" t="str">
        <x:v>No established-register match</x:v>
      </x:c>
      <x:c r="AT603" s="14"/>
      <x:c r="AU603" s="14"/>
      <x:c r="AV603" s="14" t="str">
        <x:v>No established apparent-disability match</x:v>
      </x:c>
      <x:c r="AW603" s="14"/>
      <x:c r="AX603" s="14" t="str">
        <x:v>No</x:v>
      </x:c>
      <x:c r="AY603" s="14" t="str">
        <x:v>Unmatched</x:v>
      </x:c>
      <x:c r="AZ603" s="14" t="str">
        <x:v>Final supplied register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20</x:v>
      </x:c>
      <x:c r="BP603" s="14" t="str">
        <x:v>Maximum eligible IMDb cast-credit total (20), shared by 4 performer(s); not independently verified as a 2021-only episode total.</x:v>
      </x:c>
      <x:c r="BQ603" s="14" t="str">
        <x:v>Medium</x:v>
      </x:c>
      <x:c r="BR603" s="15" t="n">
        <x:v>1</x:v>
      </x:c>
      <x:c r="BS603" s="16" t="n">
        <x:v>0.05</x:v>
      </x:c>
      <x:c r="BT603" s="14" t="str">
        <x:v>One episode</x:v>
      </x:c>
      <x:c r="BU603" s="14" t="str">
        <x:v>Medium</x:v>
      </x:c>
      <x:c r="BV603" s="14" t="str">
        <x:v>Derived from supplied IMDb episode count and the documented production-total proxy.</x:v>
      </x:c>
      <x:c r="BW603" s="14" t="str">
        <x:v>Unable to determine</x:v>
      </x:c>
      <x:c r="BX603" s="14" t="str">
        <x:v>Supplied cast data establishes the credit and episode presence but does not establish narrative prominence.</x:v>
      </x:c>
      <x:c r="BY603" s="14" t="str">
        <x:v>Supplied IMDb cast-list workbook</x:v>
      </x:c>
      <x:c r="BZ6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tt11639300|nm0942682|angela</x:v>
      </x:c>
      <x:c r="B604" s="14" t="str">
        <x:v>02</x:v>
      </x:c>
      <x:c r="C604" s="14" t="str">
        <x:v>2021_IMDb_Cast_Lists_Batch_02(1).xlsx</x:v>
      </x:c>
      <x:c r="D604" s="14" t="str">
        <x:v>Grace</x:v>
      </x:c>
      <x:c r="E604" s="14" t="n">
        <x:v>313</x:v>
      </x:c>
      <x:c r="F604" s="14" t="str">
        <x:v>Grace</x:v>
      </x:c>
      <x:c r="G604" s="14" t="str">
        <x:v>tt11639300</x:v>
      </x:c>
      <x:c r="H604" s="14" t="n">
        <x:v>2021</x:v>
      </x:c>
      <x:c r="I604" s="14" t="n">
        <x:v>2023</x:v>
      </x:c>
      <x:c r="J604" s="14" t="str">
        <x:v>Future Carry-Forward Cohort</x:v>
      </x:c>
      <x:c r="K604" s="14" t="n">
        <x:v>2021</x:v>
      </x:c>
      <x:c r="L604" s="14" t="str">
        <x:v>Available from 2021 analysis</x:v>
      </x:c>
      <x:c r="M604" s="15" t="n">
        <x:v>306</x:v>
      </x:c>
      <x:c r="N604" s="14" t="str">
        <x:v>Nicola Wright</x:v>
      </x:c>
      <x:c r="O604" s="14" t="str">
        <x:v>nm0942682</x:v>
      </x:c>
      <x:c r="P604" s="14" t="str">
        <x:v>Angela</x:v>
      </x:c>
      <x:c r="Q604" s="15" t="n">
        <x:v>1</x:v>
      </x:c>
      <x:c r="R604" s="14" t="str">
        <x:v>2025</x:v>
      </x:c>
      <x:c r="S604" s="14" t="n">
        <x:v>2025</x:v>
      </x:c>
      <x:c r="T604" s="14" t="n">
        <x:v>2025</x:v>
      </x:c>
      <x:c r="U604" s="14" t="str">
        <x:v>Post-2021 casting excluded</x:v>
      </x:c>
      <x:c r="V604" s="14" t="str">
        <x:v>Earliest supplied year is 2025, later than the 2021 study year.</x:v>
      </x:c>
      <x:c r="W604" s="14"/>
      <x:c r="X604" s="14" t="str">
        <x:v>Carried forward to 2025</x:v>
      </x:c>
      <x:c r="Y604" s="14"/>
      <x:c r="Z604" s="14" t="str">
        <x:v>Grace.docx</x:v>
      </x:c>
      <x:c r="AA6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ITV / ITVX</x:v>
      </x:c>
      <x:c r="AI604" s="14" t="str">
        <x:v>UK original 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uk original commission.</x:v>
      </x:c>
      <x:c r="AM604" s="17" t="e">
        <x:f>HYPERLINK("https://en.wikipedia.org/wiki/Grace","Open source")</x:f>
        <x:v>HYPERLINK is not implemented. linkLocation=https://en.wikipedia.org/wiki/Grace, friendlyName=Open source</x:v>
      </x:c>
      <x:c r="AN604" s="14" t="str">
        <x:v>No qualifying BBC relationship</x:v>
      </x:c>
      <x:c r="AO604" s="14" t="str">
        <x:v>No</x:v>
      </x:c>
      <x:c r="AP604" s="14" t="str">
        <x:v>Out of scope</x:v>
      </x:c>
      <x:c r="AQ604" s="14" t="str">
        <x:v>No</x:v>
      </x:c>
      <x:c r="AR604" s="14" t="str">
        <x:v>Resolved from master register</x:v>
      </x:c>
      <x:c r="AS604" s="14" t="str">
        <x:v>No established-register match</x:v>
      </x:c>
      <x:c r="AT604" s="14"/>
      <x:c r="AU604" s="14"/>
      <x:c r="AV604" s="14" t="str">
        <x:v>No established apparent-disability match</x:v>
      </x:c>
      <x:c r="AW604" s="14"/>
      <x:c r="AX604" s="14" t="str">
        <x:v>No</x:v>
      </x:c>
      <x:c r="AY604" s="14" t="str">
        <x:v>Unmatched</x:v>
      </x:c>
      <x:c r="AZ604" s="14" t="str">
        <x:v>Final supplied register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20</x:v>
      </x:c>
      <x:c r="BP604" s="14" t="str">
        <x:v>Maximum eligible IMDb cast-credit total (20), shared by 4 performer(s); not independently verified as a 2021-only episode total.</x:v>
      </x:c>
      <x:c r="BQ604" s="14" t="str">
        <x:v>Medium</x:v>
      </x:c>
      <x:c r="BR604" s="15" t="n">
        <x:v>1</x:v>
      </x:c>
      <x:c r="BS604" s="16" t="n">
        <x:v>0.05</x:v>
      </x:c>
      <x:c r="BT604" s="14" t="str">
        <x:v>One episode</x:v>
      </x:c>
      <x:c r="BU604" s="14" t="str">
        <x:v>Medium</x:v>
      </x:c>
      <x:c r="BV604" s="14" t="str">
        <x:v>Derived from supplied IMDb episode count and the documented production-total proxy.</x:v>
      </x:c>
      <x:c r="BW604" s="14" t="str">
        <x:v>Unable to determine</x:v>
      </x:c>
      <x:c r="BX604" s="14" t="str">
        <x:v>Supplied cast data establishes the credit and episode presence but does not establish narrative prominence.</x:v>
      </x:c>
      <x:c r="BY604" s="14" t="str">
        <x:v>Supplied IMDb cast-list workbook</x:v>
      </x:c>
      <x:c r="BZ6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tt11639300|nm5854936|deepak singh</x:v>
      </x:c>
      <x:c r="B605" s="14" t="str">
        <x:v>02</x:v>
      </x:c>
      <x:c r="C605" s="14" t="str">
        <x:v>2021_IMDb_Cast_Lists_Batch_02(1).xlsx</x:v>
      </x:c>
      <x:c r="D605" s="14" t="str">
        <x:v>Grace</x:v>
      </x:c>
      <x:c r="E605" s="14" t="n">
        <x:v>314</x:v>
      </x:c>
      <x:c r="F605" s="14" t="str">
        <x:v>Grace</x:v>
      </x:c>
      <x:c r="G605" s="14" t="str">
        <x:v>tt11639300</x:v>
      </x:c>
      <x:c r="H605" s="14" t="n">
        <x:v>2021</x:v>
      </x:c>
      <x:c r="I605" s="14" t="n">
        <x:v>2023</x:v>
      </x:c>
      <x:c r="J605" s="14" t="str">
        <x:v>Future Carry-Forward Cohort</x:v>
      </x:c>
      <x:c r="K605" s="14" t="n">
        <x:v>2021</x:v>
      </x:c>
      <x:c r="L605" s="14" t="str">
        <x:v>Available from 2021 analysis</x:v>
      </x:c>
      <x:c r="M605" s="15" t="n">
        <x:v>307</x:v>
      </x:c>
      <x:c r="N605" s="14" t="str">
        <x:v>Mikhael DeVille</x:v>
      </x:c>
      <x:c r="O605" s="14" t="str">
        <x:v>nm5854936</x:v>
      </x:c>
      <x:c r="P605" s="14" t="str">
        <x:v>Deepak Singh</x:v>
      </x:c>
      <x:c r="Q605" s="15" t="n">
        <x:v>1</x:v>
      </x:c>
      <x:c r="R605" s="14" t="str">
        <x:v>2025</x:v>
      </x:c>
      <x:c r="S605" s="14" t="n">
        <x:v>2025</x:v>
      </x:c>
      <x:c r="T605" s="14" t="n">
        <x:v>2025</x:v>
      </x:c>
      <x:c r="U605" s="14" t="str">
        <x:v>Post-2021 casting excluded</x:v>
      </x:c>
      <x:c r="V605" s="14" t="str">
        <x:v>Earliest supplied year is 2025, later than the 2021 study year.</x:v>
      </x:c>
      <x:c r="W605" s="14"/>
      <x:c r="X605" s="14" t="str">
        <x:v>Carried forward to 2025</x:v>
      </x:c>
      <x:c r="Y605" s="14"/>
      <x:c r="Z605" s="14" t="str">
        <x:v>Grace.docx</x:v>
      </x:c>
      <x:c r="AA6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ITV / ITVX</x:v>
      </x:c>
      <x:c r="AI605" s="14" t="str">
        <x:v>UK original 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uk original commission.</x:v>
      </x:c>
      <x:c r="AM605" s="17" t="e">
        <x:f>HYPERLINK("https://en.wikipedia.org/wiki/Grace","Open source")</x:f>
        <x:v>HYPERLINK is not implemented. linkLocation=https://en.wikipedia.org/wiki/Grace, friendlyName=Open source</x:v>
      </x:c>
      <x:c r="AN605" s="14" t="str">
        <x:v>No qualifying BBC relationship</x:v>
      </x:c>
      <x:c r="AO605" s="14" t="str">
        <x:v>No</x:v>
      </x:c>
      <x:c r="AP605" s="14" t="str">
        <x:v>Out of scope</x:v>
      </x:c>
      <x:c r="AQ605" s="14" t="str">
        <x:v>No</x:v>
      </x:c>
      <x:c r="AR605" s="14" t="str">
        <x:v>Resolved from master register</x:v>
      </x:c>
      <x:c r="AS605" s="14" t="str">
        <x:v>No established-register match</x:v>
      </x:c>
      <x:c r="AT605" s="14"/>
      <x:c r="AU605" s="14"/>
      <x:c r="AV605" s="14" t="str">
        <x:v>No established apparent-disability match</x:v>
      </x:c>
      <x:c r="AW605" s="14"/>
      <x:c r="AX605" s="14" t="str">
        <x:v>No</x:v>
      </x:c>
      <x:c r="AY605" s="14" t="str">
        <x:v>Unmatched</x:v>
      </x:c>
      <x:c r="AZ605" s="14" t="str">
        <x:v>Final supplied register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20</x:v>
      </x:c>
      <x:c r="BP605" s="14" t="str">
        <x:v>Maximum eligible IMDb cast-credit total (20), shared by 4 performer(s); not independently verified as a 2021-only episode total.</x:v>
      </x:c>
      <x:c r="BQ605" s="14" t="str">
        <x:v>Medium</x:v>
      </x:c>
      <x:c r="BR605" s="15" t="n">
        <x:v>1</x:v>
      </x:c>
      <x:c r="BS605" s="16" t="n">
        <x:v>0.05</x:v>
      </x:c>
      <x:c r="BT605" s="14" t="str">
        <x:v>One episode</x:v>
      </x:c>
      <x:c r="BU605" s="14" t="str">
        <x:v>Medium</x:v>
      </x:c>
      <x:c r="BV605" s="14" t="str">
        <x:v>Derived from supplied IMDb episode count and the documented production-total proxy.</x:v>
      </x:c>
      <x:c r="BW605" s="14" t="str">
        <x:v>Unable to determine</x:v>
      </x:c>
      <x:c r="BX605" s="14" t="str">
        <x:v>Supplied cast data establishes the credit and episode presence but does not establish narrative prominence.</x:v>
      </x:c>
      <x:c r="BY605" s="14" t="str">
        <x:v>Supplied IMDb cast-list workbook</x:v>
      </x:c>
      <x:c r="BZ6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tt11639300|nm0165757|judge channing</x:v>
      </x:c>
      <x:c r="B606" s="14" t="str">
        <x:v>02</x:v>
      </x:c>
      <x:c r="C606" s="14" t="str">
        <x:v>2021_IMDb_Cast_Lists_Batch_02(1).xlsx</x:v>
      </x:c>
      <x:c r="D606" s="14" t="str">
        <x:v>Grace</x:v>
      </x:c>
      <x:c r="E606" s="14" t="n">
        <x:v>321</x:v>
      </x:c>
      <x:c r="F606" s="14" t="str">
        <x:v>Grace</x:v>
      </x:c>
      <x:c r="G606" s="14" t="str">
        <x:v>tt11639300</x:v>
      </x:c>
      <x:c r="H606" s="14" t="n">
        <x:v>2021</x:v>
      </x:c>
      <x:c r="I606" s="14" t="n">
        <x:v>2023</x:v>
      </x:c>
      <x:c r="J606" s="14" t="str">
        <x:v>Future Carry-Forward Cohort</x:v>
      </x:c>
      <x:c r="K606" s="14" t="n">
        <x:v>2021</x:v>
      </x:c>
      <x:c r="L606" s="14" t="str">
        <x:v>Available from 2021 analysis</x:v>
      </x:c>
      <x:c r="M606" s="15" t="n">
        <x:v>314</x:v>
      </x:c>
      <x:c r="N606" s="14" t="str">
        <x:v>Paul Clayton</x:v>
      </x:c>
      <x:c r="O606" s="14" t="str">
        <x:v>nm0165757</x:v>
      </x:c>
      <x:c r="P606" s="14" t="str">
        <x:v>Judge Channing</x:v>
      </x:c>
      <x:c r="Q606" s="15" t="n">
        <x:v>1</x:v>
      </x:c>
      <x:c r="R606" s="14" t="str">
        <x:v>2025</x:v>
      </x:c>
      <x:c r="S606" s="14" t="n">
        <x:v>2025</x:v>
      </x:c>
      <x:c r="T606" s="14" t="n">
        <x:v>2025</x:v>
      </x:c>
      <x:c r="U606" s="14" t="str">
        <x:v>Post-2021 casting excluded</x:v>
      </x:c>
      <x:c r="V606" s="14" t="str">
        <x:v>Earliest supplied year is 2025, later than the 2021 study year.</x:v>
      </x:c>
      <x:c r="W606" s="14"/>
      <x:c r="X606" s="14" t="str">
        <x:v>Carried forward to 2025</x:v>
      </x:c>
      <x:c r="Y606" s="14"/>
      <x:c r="Z606" s="14" t="str">
        <x:v>Grace.docx</x:v>
      </x:c>
      <x:c r="AA6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ITV / ITVX</x:v>
      </x:c>
      <x:c r="AI606" s="14" t="str">
        <x:v>UK original 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uk original commission.</x:v>
      </x:c>
      <x:c r="AM606" s="17" t="e">
        <x:f>HYPERLINK("https://en.wikipedia.org/wiki/Grace","Open source")</x:f>
        <x:v>HYPERLINK is not implemented. linkLocation=https://en.wikipedia.org/wiki/Grace, friendlyName=Open source</x:v>
      </x:c>
      <x:c r="AN606" s="14" t="str">
        <x:v>No qualifying BBC relationship</x:v>
      </x:c>
      <x:c r="AO606" s="14" t="str">
        <x:v>No</x:v>
      </x:c>
      <x:c r="AP606" s="14" t="str">
        <x:v>Out of scope</x:v>
      </x:c>
      <x:c r="AQ606" s="14" t="str">
        <x:v>No</x:v>
      </x:c>
      <x:c r="AR606" s="14" t="str">
        <x:v>Resolved from master register</x:v>
      </x:c>
      <x:c r="AS606" s="14" t="str">
        <x:v>No established-register match</x:v>
      </x:c>
      <x:c r="AT606" s="14"/>
      <x:c r="AU606" s="14"/>
      <x:c r="AV606" s="14" t="str">
        <x:v>No established apparent-disability match</x:v>
      </x:c>
      <x:c r="AW606" s="14"/>
      <x:c r="AX606" s="14" t="str">
        <x:v>No</x:v>
      </x:c>
      <x:c r="AY606" s="14" t="str">
        <x:v>Unmatched</x:v>
      </x:c>
      <x:c r="AZ606" s="14" t="str">
        <x:v>Final supplied register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20</x:v>
      </x:c>
      <x:c r="BP606" s="14" t="str">
        <x:v>Maximum eligible IMDb cast-credit total (20), shared by 4 performer(s); not independently verified as a 2021-only episode total.</x:v>
      </x:c>
      <x:c r="BQ606" s="14" t="str">
        <x:v>Medium</x:v>
      </x:c>
      <x:c r="BR606" s="15" t="n">
        <x:v>1</x:v>
      </x:c>
      <x:c r="BS606" s="16" t="n">
        <x:v>0.05</x:v>
      </x:c>
      <x:c r="BT606" s="14" t="str">
        <x:v>One episode</x:v>
      </x:c>
      <x:c r="BU606" s="14" t="str">
        <x:v>Medium</x:v>
      </x:c>
      <x:c r="BV606" s="14" t="str">
        <x:v>Derived from supplied IMDb episode count and the documented production-total proxy.</x:v>
      </x:c>
      <x:c r="BW606" s="14" t="str">
        <x:v>Unable to determine</x:v>
      </x:c>
      <x:c r="BX606" s="14" t="str">
        <x:v>Supplied cast data establishes the credit and episode presence but does not establish narrative prominence.</x:v>
      </x:c>
      <x:c r="BY606" s="14" t="str">
        <x:v>Supplied IMDb cast-list workbook</x:v>
      </x:c>
      <x:c r="BZ6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tt11639300|nm6457179|ben close / rupert thomas</x:v>
      </x:c>
      <x:c r="B607" s="14" t="str">
        <x:v>02</x:v>
      </x:c>
      <x:c r="C607" s="14" t="str">
        <x:v>2021_IMDb_Cast_Lists_Batch_02(1).xlsx</x:v>
      </x:c>
      <x:c r="D607" s="14" t="str">
        <x:v>Grace</x:v>
      </x:c>
      <x:c r="E607" s="14" t="n">
        <x:v>322</x:v>
      </x:c>
      <x:c r="F607" s="14" t="str">
        <x:v>Grace</x:v>
      </x:c>
      <x:c r="G607" s="14" t="str">
        <x:v>tt11639300</x:v>
      </x:c>
      <x:c r="H607" s="14" t="n">
        <x:v>2021</x:v>
      </x:c>
      <x:c r="I607" s="14" t="n">
        <x:v>2023</x:v>
      </x:c>
      <x:c r="J607" s="14" t="str">
        <x:v>Future Carry-Forward Cohort</x:v>
      </x:c>
      <x:c r="K607" s="14" t="n">
        <x:v>2021</x:v>
      </x:c>
      <x:c r="L607" s="14" t="str">
        <x:v>Available from 2021 analysis</x:v>
      </x:c>
      <x:c r="M607" s="15" t="n">
        <x:v>315</x:v>
      </x:c>
      <x:c r="N607" s="14" t="str">
        <x:v>Michael Shea</x:v>
      </x:c>
      <x:c r="O607" s="14" t="str">
        <x:v>nm6457179</x:v>
      </x:c>
      <x:c r="P607" s="14" t="str">
        <x:v>Ben Close / Rupert Thomas</x:v>
      </x:c>
      <x:c r="Q607" s="15" t="n">
        <x:v>1</x:v>
      </x:c>
      <x:c r="R607" s="14" t="str">
        <x:v>2025</x:v>
      </x:c>
      <x:c r="S607" s="14" t="n">
        <x:v>2025</x:v>
      </x:c>
      <x:c r="T607" s="14" t="n">
        <x:v>2025</x:v>
      </x:c>
      <x:c r="U607" s="14" t="str">
        <x:v>Post-2021 casting excluded</x:v>
      </x:c>
      <x:c r="V607" s="14" t="str">
        <x:v>Earliest supplied year is 2025, later than the 2021 study year.</x:v>
      </x:c>
      <x:c r="W607" s="14"/>
      <x:c r="X607" s="14" t="str">
        <x:v>Carried forward to 2025</x:v>
      </x:c>
      <x:c r="Y607" s="14"/>
      <x:c r="Z607" s="14" t="str">
        <x:v>Grace.docx</x:v>
      </x:c>
      <x:c r="AA6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ITV / ITVX</x:v>
      </x:c>
      <x:c r="AI607" s="14" t="str">
        <x:v>UK original 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uk original commission.</x:v>
      </x:c>
      <x:c r="AM607" s="17" t="e">
        <x:f>HYPERLINK("https://en.wikipedia.org/wiki/Grace","Open source")</x:f>
        <x:v>HYPERLINK is not implemented. linkLocation=https://en.wikipedia.org/wiki/Grace, friendlyName=Open source</x:v>
      </x:c>
      <x:c r="AN607" s="14" t="str">
        <x:v>No qualifying BBC relationship</x:v>
      </x:c>
      <x:c r="AO607" s="14" t="str">
        <x:v>No</x:v>
      </x:c>
      <x:c r="AP607" s="14" t="str">
        <x:v>Out of scope</x:v>
      </x:c>
      <x:c r="AQ607" s="14" t="str">
        <x:v>No</x:v>
      </x:c>
      <x:c r="AR607" s="14" t="str">
        <x:v>Resolved from master register</x:v>
      </x:c>
      <x:c r="AS607" s="14" t="str">
        <x:v>No established-register match</x:v>
      </x:c>
      <x:c r="AT607" s="14"/>
      <x:c r="AU607" s="14"/>
      <x:c r="AV607" s="14" t="str">
        <x:v>No established apparent-disability match</x:v>
      </x:c>
      <x:c r="AW607" s="14"/>
      <x:c r="AX607" s="14" t="str">
        <x:v>No</x:v>
      </x:c>
      <x:c r="AY607" s="14" t="str">
        <x:v>Unmatched</x:v>
      </x:c>
      <x:c r="AZ607" s="14" t="str">
        <x:v>Final supplied register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20</x:v>
      </x:c>
      <x:c r="BP607" s="14" t="str">
        <x:v>Maximum eligible IMDb cast-credit total (20), shared by 4 performer(s); not independently verified as a 2021-only episode total.</x:v>
      </x:c>
      <x:c r="BQ607" s="14" t="str">
        <x:v>Medium</x:v>
      </x:c>
      <x:c r="BR607" s="15" t="n">
        <x:v>1</x:v>
      </x:c>
      <x:c r="BS607" s="16" t="n">
        <x:v>0.05</x:v>
      </x:c>
      <x:c r="BT607" s="14" t="str">
        <x:v>One episode</x:v>
      </x:c>
      <x:c r="BU607" s="14" t="str">
        <x:v>Medium</x:v>
      </x:c>
      <x:c r="BV607" s="14" t="str">
        <x:v>Derived from supplied IMDb episode count and the documented production-total proxy.</x:v>
      </x:c>
      <x:c r="BW607" s="14" t="str">
        <x:v>Unable to determine</x:v>
      </x:c>
      <x:c r="BX607" s="14" t="str">
        <x:v>Supplied cast data establishes the credit and episode presence but does not establish narrative prominence.</x:v>
      </x:c>
      <x:c r="BY607" s="14" t="str">
        <x:v>Supplied IMDb cast-list workbook</x:v>
      </x:c>
      <x:c r="BZ6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tt11639300|nm1683073|chris hadcock</x:v>
      </x:c>
      <x:c r="B608" s="14" t="str">
        <x:v>02</x:v>
      </x:c>
      <x:c r="C608" s="14" t="str">
        <x:v>2021_IMDb_Cast_Lists_Batch_02(1).xlsx</x:v>
      </x:c>
      <x:c r="D608" s="14" t="str">
        <x:v>Grace</x:v>
      </x:c>
      <x:c r="E608" s="14" t="n">
        <x:v>323</x:v>
      </x:c>
      <x:c r="F608" s="14" t="str">
        <x:v>Grace</x:v>
      </x:c>
      <x:c r="G608" s="14" t="str">
        <x:v>tt11639300</x:v>
      </x:c>
      <x:c r="H608" s="14" t="n">
        <x:v>2021</x:v>
      </x:c>
      <x:c r="I608" s="14" t="n">
        <x:v>2023</x:v>
      </x:c>
      <x:c r="J608" s="14" t="str">
        <x:v>Future Carry-Forward Cohort</x:v>
      </x:c>
      <x:c r="K608" s="14" t="n">
        <x:v>2021</x:v>
      </x:c>
      <x:c r="L608" s="14" t="str">
        <x:v>Available from 2021 analysis</x:v>
      </x:c>
      <x:c r="M608" s="15" t="n">
        <x:v>316</x:v>
      </x:c>
      <x:c r="N608" s="14" t="str">
        <x:v>Tony Wadham</x:v>
      </x:c>
      <x:c r="O608" s="14" t="str">
        <x:v>nm1683073</x:v>
      </x:c>
      <x:c r="P608" s="14" t="str">
        <x:v>Chris Hadcock</x:v>
      </x:c>
      <x:c r="Q608" s="15" t="n">
        <x:v>1</x:v>
      </x:c>
      <x:c r="R608" s="14" t="str">
        <x:v>2025</x:v>
      </x:c>
      <x:c r="S608" s="14" t="n">
        <x:v>2025</x:v>
      </x:c>
      <x:c r="T608" s="14" t="n">
        <x:v>2025</x:v>
      </x:c>
      <x:c r="U608" s="14" t="str">
        <x:v>Post-2021 casting excluded</x:v>
      </x:c>
      <x:c r="V608" s="14" t="str">
        <x:v>Earliest supplied year is 2025, later than the 2021 study year.</x:v>
      </x:c>
      <x:c r="W608" s="14"/>
      <x:c r="X608" s="14" t="str">
        <x:v>Carried forward to 2025</x:v>
      </x:c>
      <x:c r="Y608" s="14"/>
      <x:c r="Z608" s="14" t="str">
        <x:v>Grace.docx</x:v>
      </x:c>
      <x:c r="AA6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ITV / ITVX</x:v>
      </x:c>
      <x:c r="AI608" s="14" t="str">
        <x:v>UK original 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uk original commission.</x:v>
      </x:c>
      <x:c r="AM608" s="17" t="e">
        <x:f>HYPERLINK("https://en.wikipedia.org/wiki/Grace","Open source")</x:f>
        <x:v>HYPERLINK is not implemented. linkLocation=https://en.wikipedia.org/wiki/Grace, friendlyName=Open source</x:v>
      </x:c>
      <x:c r="AN608" s="14" t="str">
        <x:v>No qualifying BBC relationship</x:v>
      </x:c>
      <x:c r="AO608" s="14" t="str">
        <x:v>No</x:v>
      </x:c>
      <x:c r="AP608" s="14" t="str">
        <x:v>Out of scope</x:v>
      </x:c>
      <x:c r="AQ608" s="14" t="str">
        <x:v>No</x:v>
      </x:c>
      <x:c r="AR608" s="14" t="str">
        <x:v>Resolved from master register</x:v>
      </x:c>
      <x:c r="AS608" s="14" t="str">
        <x:v>No established-register match</x:v>
      </x:c>
      <x:c r="AT608" s="14"/>
      <x:c r="AU608" s="14"/>
      <x:c r="AV608" s="14" t="str">
        <x:v>No established apparent-disability match</x:v>
      </x:c>
      <x:c r="AW608" s="14"/>
      <x:c r="AX608" s="14" t="str">
        <x:v>No</x:v>
      </x:c>
      <x:c r="AY608" s="14" t="str">
        <x:v>Unmatched</x:v>
      </x:c>
      <x:c r="AZ608" s="14" t="str">
        <x:v>Final supplied register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20</x:v>
      </x:c>
      <x:c r="BP608" s="14" t="str">
        <x:v>Maximum eligible IMDb cast-credit total (20), shared by 4 performer(s); not independently verified as a 2021-only episode total.</x:v>
      </x:c>
      <x:c r="BQ608" s="14" t="str">
        <x:v>Medium</x:v>
      </x:c>
      <x:c r="BR608" s="15" t="n">
        <x:v>1</x:v>
      </x:c>
      <x:c r="BS608" s="16" t="n">
        <x:v>0.05</x:v>
      </x:c>
      <x:c r="BT608" s="14" t="str">
        <x:v>One episode</x:v>
      </x:c>
      <x:c r="BU608" s="14" t="str">
        <x:v>Medium</x:v>
      </x:c>
      <x:c r="BV608" s="14" t="str">
        <x:v>Derived from supplied IMDb episode count and the documented production-total proxy.</x:v>
      </x:c>
      <x:c r="BW608" s="14" t="str">
        <x:v>Unable to determine</x:v>
      </x:c>
      <x:c r="BX608" s="14" t="str">
        <x:v>Supplied cast data establishes the credit and episode presence but does not establish narrative prominence.</x:v>
      </x:c>
      <x:c r="BY608" s="14" t="str">
        <x:v>Supplied IMDb cast-list workbook</x:v>
      </x:c>
      <x:c r="BZ6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tt11639300|nm9186401|forensic scientist</x:v>
      </x:c>
      <x:c r="B609" s="14" t="str">
        <x:v>02</x:v>
      </x:c>
      <x:c r="C609" s="14" t="str">
        <x:v>2021_IMDb_Cast_Lists_Batch_02(1).xlsx</x:v>
      </x:c>
      <x:c r="D609" s="14" t="str">
        <x:v>Grace</x:v>
      </x:c>
      <x:c r="E609" s="14" t="n">
        <x:v>330</x:v>
      </x:c>
      <x:c r="F609" s="14" t="str">
        <x:v>Grace</x:v>
      </x:c>
      <x:c r="G609" s="14" t="str">
        <x:v>tt11639300</x:v>
      </x:c>
      <x:c r="H609" s="14" t="n">
        <x:v>2021</x:v>
      </x:c>
      <x:c r="I609" s="14" t="n">
        <x:v>2023</x:v>
      </x:c>
      <x:c r="J609" s="14" t="str">
        <x:v>Future Carry-Forward Cohort</x:v>
      </x:c>
      <x:c r="K609" s="14" t="n">
        <x:v>2021</x:v>
      </x:c>
      <x:c r="L609" s="14" t="str">
        <x:v>Available from 2021 analysis</x:v>
      </x:c>
      <x:c r="M609" s="15" t="n">
        <x:v>323</x:v>
      </x:c>
      <x:c r="N609" s="14" t="str">
        <x:v>Cavan Clarke</x:v>
      </x:c>
      <x:c r="O609" s="14" t="str">
        <x:v>nm9186401</x:v>
      </x:c>
      <x:c r="P609" s="14" t="str">
        <x:v>Forensic Scientist</x:v>
      </x:c>
      <x:c r="Q609" s="15" t="n">
        <x:v>1</x:v>
      </x:c>
      <x:c r="R609" s="14" t="str">
        <x:v>2025</x:v>
      </x:c>
      <x:c r="S609" s="14" t="n">
        <x:v>2025</x:v>
      </x:c>
      <x:c r="T609" s="14" t="n">
        <x:v>2025</x:v>
      </x:c>
      <x:c r="U609" s="14" t="str">
        <x:v>Post-2021 casting excluded</x:v>
      </x:c>
      <x:c r="V609" s="14" t="str">
        <x:v>Earliest supplied year is 2025, later than the 2021 study year.</x:v>
      </x:c>
      <x:c r="W609" s="14"/>
      <x:c r="X609" s="14" t="str">
        <x:v>Carried forward to 2025</x:v>
      </x:c>
      <x:c r="Y609" s="14"/>
      <x:c r="Z609" s="14" t="str">
        <x:v>Grace.docx</x:v>
      </x:c>
      <x:c r="AA6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ITV / ITVX</x:v>
      </x:c>
      <x:c r="AI609" s="14" t="str">
        <x:v>UK original 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uk original commission.</x:v>
      </x:c>
      <x:c r="AM609" s="17" t="e">
        <x:f>HYPERLINK("https://en.wikipedia.org/wiki/Grace","Open source")</x:f>
        <x:v>HYPERLINK is not implemented. linkLocation=https://en.wikipedia.org/wiki/Grace, friendlyName=Open source</x:v>
      </x:c>
      <x:c r="AN609" s="14" t="str">
        <x:v>No qualifying BBC relationship</x:v>
      </x:c>
      <x:c r="AO609" s="14" t="str">
        <x:v>No</x:v>
      </x:c>
      <x:c r="AP609" s="14" t="str">
        <x:v>Out of scope</x:v>
      </x:c>
      <x:c r="AQ609" s="14" t="str">
        <x:v>No</x:v>
      </x:c>
      <x:c r="AR609" s="14" t="str">
        <x:v>Resolved from master register</x:v>
      </x:c>
      <x:c r="AS609" s="14" t="str">
        <x:v>No established-register match</x:v>
      </x:c>
      <x:c r="AT609" s="14"/>
      <x:c r="AU609" s="14"/>
      <x:c r="AV609" s="14" t="str">
        <x:v>No established apparent-disability match</x:v>
      </x:c>
      <x:c r="AW609" s="14"/>
      <x:c r="AX609" s="14" t="str">
        <x:v>No</x:v>
      </x:c>
      <x:c r="AY609" s="14" t="str">
        <x:v>Unmatched</x:v>
      </x:c>
      <x:c r="AZ609" s="14" t="str">
        <x:v>Final supplied register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20</x:v>
      </x:c>
      <x:c r="BP609" s="14" t="str">
        <x:v>Maximum eligible IMDb cast-credit total (20), shared by 4 performer(s); not independently verified as a 2021-only episode total.</x:v>
      </x:c>
      <x:c r="BQ609" s="14" t="str">
        <x:v>Medium</x:v>
      </x:c>
      <x:c r="BR609" s="15" t="n">
        <x:v>1</x:v>
      </x:c>
      <x:c r="BS609" s="16" t="n">
        <x:v>0.05</x:v>
      </x:c>
      <x:c r="BT609" s="14" t="str">
        <x:v>One episode</x:v>
      </x:c>
      <x:c r="BU609" s="14" t="str">
        <x:v>Medium</x:v>
      </x:c>
      <x:c r="BV609" s="14" t="str">
        <x:v>Derived from supplied IMDb episode count and the documented production-total proxy.</x:v>
      </x:c>
      <x:c r="BW609" s="14" t="str">
        <x:v>Unable to determine</x:v>
      </x:c>
      <x:c r="BX609" s="14" t="str">
        <x:v>Supplied cast data establishes the credit and episode presence but does not establish narrative prominence.</x:v>
      </x:c>
      <x:c r="BY609" s="14" t="str">
        <x:v>Supplied IMDb cast-list workbook</x:v>
      </x:c>
      <x:c r="BZ6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tt11639300|nm1056798|brendan drewett</x:v>
      </x:c>
      <x:c r="B610" s="14" t="str">
        <x:v>02</x:v>
      </x:c>
      <x:c r="C610" s="14" t="str">
        <x:v>2021_IMDb_Cast_Lists_Batch_02(1).xlsx</x:v>
      </x:c>
      <x:c r="D610" s="14" t="str">
        <x:v>Grace</x:v>
      </x:c>
      <x:c r="E610" s="14" t="n">
        <x:v>331</x:v>
      </x:c>
      <x:c r="F610" s="14" t="str">
        <x:v>Grace</x:v>
      </x:c>
      <x:c r="G610" s="14" t="str">
        <x:v>tt11639300</x:v>
      </x:c>
      <x:c r="H610" s="14" t="n">
        <x:v>2021</x:v>
      </x:c>
      <x:c r="I610" s="14" t="n">
        <x:v>2023</x:v>
      </x:c>
      <x:c r="J610" s="14" t="str">
        <x:v>Future Carry-Forward Cohort</x:v>
      </x:c>
      <x:c r="K610" s="14" t="n">
        <x:v>2021</x:v>
      </x:c>
      <x:c r="L610" s="14" t="str">
        <x:v>Available from 2021 analysis</x:v>
      </x:c>
      <x:c r="M610" s="15" t="n">
        <x:v>324</x:v>
      </x:c>
      <x:c r="N610" s="14" t="str">
        <x:v>Andonis Anthony</x:v>
      </x:c>
      <x:c r="O610" s="14" t="str">
        <x:v>nm1056798</x:v>
      </x:c>
      <x:c r="P610" s="14" t="str">
        <x:v>Brendan Drewett</x:v>
      </x:c>
      <x:c r="Q610" s="15" t="n">
        <x:v>1</x:v>
      </x:c>
      <x:c r="R610" s="14" t="str">
        <x:v>2025</x:v>
      </x:c>
      <x:c r="S610" s="14" t="n">
        <x:v>2025</x:v>
      </x:c>
      <x:c r="T610" s="14" t="n">
        <x:v>2025</x:v>
      </x:c>
      <x:c r="U610" s="14" t="str">
        <x:v>Post-2021 casting excluded</x:v>
      </x:c>
      <x:c r="V610" s="14" t="str">
        <x:v>Earliest supplied year is 2025, later than the 2021 study year.</x:v>
      </x:c>
      <x:c r="W610" s="14"/>
      <x:c r="X610" s="14" t="str">
        <x:v>Carried forward to 2025</x:v>
      </x:c>
      <x:c r="Y610" s="14" t="str">
        <x:v>(as Adonis James Anthony)</x:v>
      </x:c>
      <x:c r="Z610" s="14" t="str">
        <x:v>Grace.docx</x:v>
      </x:c>
      <x:c r="AA6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ITV / ITVX</x:v>
      </x:c>
      <x:c r="AI610" s="14" t="str">
        <x:v>UK original 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uk original commission.</x:v>
      </x:c>
      <x:c r="AM610" s="17" t="e">
        <x:f>HYPERLINK("https://en.wikipedia.org/wiki/Grace","Open source")</x:f>
        <x:v>HYPERLINK is not implemented. linkLocation=https://en.wikipedia.org/wiki/Grace, friendlyName=Open source</x:v>
      </x:c>
      <x:c r="AN610" s="14" t="str">
        <x:v>No qualifying BBC relationship</x:v>
      </x:c>
      <x:c r="AO610" s="14" t="str">
        <x:v>No</x:v>
      </x:c>
      <x:c r="AP610" s="14" t="str">
        <x:v>Out of scope</x:v>
      </x:c>
      <x:c r="AQ610" s="14" t="str">
        <x:v>No</x:v>
      </x:c>
      <x:c r="AR610" s="14" t="str">
        <x:v>Resolved from master register</x:v>
      </x:c>
      <x:c r="AS610" s="14" t="str">
        <x:v>No established-register match</x:v>
      </x:c>
      <x:c r="AT610" s="14"/>
      <x:c r="AU610" s="14"/>
      <x:c r="AV610" s="14" t="str">
        <x:v>No established apparent-disability match</x:v>
      </x:c>
      <x:c r="AW610" s="14"/>
      <x:c r="AX610" s="14" t="str">
        <x:v>No</x:v>
      </x:c>
      <x:c r="AY610" s="14" t="str">
        <x:v>Unmatched</x:v>
      </x:c>
      <x:c r="AZ610" s="14" t="str">
        <x:v>Final supplied register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20</x:v>
      </x:c>
      <x:c r="BP610" s="14" t="str">
        <x:v>Maximum eligible IMDb cast-credit total (20), shared by 4 performer(s); not independently verified as a 2021-only episode total.</x:v>
      </x:c>
      <x:c r="BQ610" s="14" t="str">
        <x:v>Medium</x:v>
      </x:c>
      <x:c r="BR610" s="15" t="n">
        <x:v>1</x:v>
      </x:c>
      <x:c r="BS610" s="16" t="n">
        <x:v>0.05</x:v>
      </x:c>
      <x:c r="BT610" s="14" t="str">
        <x:v>One episode</x:v>
      </x:c>
      <x:c r="BU610" s="14" t="str">
        <x:v>Medium</x:v>
      </x:c>
      <x:c r="BV610" s="14" t="str">
        <x:v>Derived from supplied IMDb episode count and the documented production-total proxy.</x:v>
      </x:c>
      <x:c r="BW610" s="14" t="str">
        <x:v>Unable to determine</x:v>
      </x:c>
      <x:c r="BX610" s="14" t="str">
        <x:v>Supplied cast data establishes the credit and episode presence but does not establish narrative prominence.</x:v>
      </x:c>
      <x:c r="BY610" s="14" t="str">
        <x:v>Supplied IMDb cast-list workbook</x:v>
      </x:c>
      <x:c r="BZ6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tt11639300|nm6359524|dan</x:v>
      </x:c>
      <x:c r="B611" s="14" t="str">
        <x:v>02</x:v>
      </x:c>
      <x:c r="C611" s="14" t="str">
        <x:v>2021_IMDb_Cast_Lists_Batch_02(1).xlsx</x:v>
      </x:c>
      <x:c r="D611" s="14" t="str">
        <x:v>Grace</x:v>
      </x:c>
      <x:c r="E611" s="14" t="n">
        <x:v>332</x:v>
      </x:c>
      <x:c r="F611" s="14" t="str">
        <x:v>Grace</x:v>
      </x:c>
      <x:c r="G611" s="14" t="str">
        <x:v>tt11639300</x:v>
      </x:c>
      <x:c r="H611" s="14" t="n">
        <x:v>2021</x:v>
      </x:c>
      <x:c r="I611" s="14" t="n">
        <x:v>2023</x:v>
      </x:c>
      <x:c r="J611" s="14" t="str">
        <x:v>Future Carry-Forward Cohort</x:v>
      </x:c>
      <x:c r="K611" s="14" t="n">
        <x:v>2021</x:v>
      </x:c>
      <x:c r="L611" s="14" t="str">
        <x:v>Available from 2021 analysis</x:v>
      </x:c>
      <x:c r="M611" s="15" t="n">
        <x:v>325</x:v>
      </x:c>
      <x:c r="N611" s="14" t="str">
        <x:v>Rob Compton</x:v>
      </x:c>
      <x:c r="O611" s="14" t="str">
        <x:v>nm6359524</x:v>
      </x:c>
      <x:c r="P611" s="14" t="str">
        <x:v>Dan</x:v>
      </x:c>
      <x:c r="Q611" s="15" t="n">
        <x:v>1</x:v>
      </x:c>
      <x:c r="R611" s="14" t="str">
        <x:v>2025</x:v>
      </x:c>
      <x:c r="S611" s="14" t="n">
        <x:v>2025</x:v>
      </x:c>
      <x:c r="T611" s="14" t="n">
        <x:v>2025</x:v>
      </x:c>
      <x:c r="U611" s="14" t="str">
        <x:v>Post-2021 casting excluded</x:v>
      </x:c>
      <x:c r="V611" s="14" t="str">
        <x:v>Earliest supplied year is 2025, later than the 2021 study year.</x:v>
      </x:c>
      <x:c r="W611" s="14"/>
      <x:c r="X611" s="14" t="str">
        <x:v>Carried forward to 2025</x:v>
      </x:c>
      <x:c r="Y611" s="14"/>
      <x:c r="Z611" s="14" t="str">
        <x:v>Grace.docx</x:v>
      </x:c>
      <x:c r="AA6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ITV / ITVX</x:v>
      </x:c>
      <x:c r="AI611" s="14" t="str">
        <x:v>UK original 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uk original commission.</x:v>
      </x:c>
      <x:c r="AM611" s="17" t="e">
        <x:f>HYPERLINK("https://en.wikipedia.org/wiki/Grace","Open source")</x:f>
        <x:v>HYPERLINK is not implemented. linkLocation=https://en.wikipedia.org/wiki/Grace, friendlyName=Open source</x:v>
      </x:c>
      <x:c r="AN611" s="14" t="str">
        <x:v>No qualifying BBC relationship</x:v>
      </x:c>
      <x:c r="AO611" s="14" t="str">
        <x:v>No</x:v>
      </x:c>
      <x:c r="AP611" s="14" t="str">
        <x:v>Out of scope</x:v>
      </x:c>
      <x:c r="AQ611" s="14" t="str">
        <x:v>No</x:v>
      </x:c>
      <x:c r="AR611" s="14" t="str">
        <x:v>Resolved from master register</x:v>
      </x:c>
      <x:c r="AS611" s="14" t="str">
        <x:v>No established-register match</x:v>
      </x:c>
      <x:c r="AT611" s="14"/>
      <x:c r="AU611" s="14"/>
      <x:c r="AV611" s="14" t="str">
        <x:v>No established apparent-disability match</x:v>
      </x:c>
      <x:c r="AW611" s="14"/>
      <x:c r="AX611" s="14" t="str">
        <x:v>No</x:v>
      </x:c>
      <x:c r="AY611" s="14" t="str">
        <x:v>Unmatched</x:v>
      </x:c>
      <x:c r="AZ611" s="14" t="str">
        <x:v>Final supplied register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20</x:v>
      </x:c>
      <x:c r="BP611" s="14" t="str">
        <x:v>Maximum eligible IMDb cast-credit total (20), shared by 4 performer(s); not independently verified as a 2021-only episode total.</x:v>
      </x:c>
      <x:c r="BQ611" s="14" t="str">
        <x:v>Medium</x:v>
      </x:c>
      <x:c r="BR611" s="15" t="n">
        <x:v>1</x:v>
      </x:c>
      <x:c r="BS611" s="16" t="n">
        <x:v>0.05</x:v>
      </x:c>
      <x:c r="BT611" s="14" t="str">
        <x:v>One episode</x:v>
      </x:c>
      <x:c r="BU611" s="14" t="str">
        <x:v>Medium</x:v>
      </x:c>
      <x:c r="BV611" s="14" t="str">
        <x:v>Derived from supplied IMDb episode count and the documented production-total proxy.</x:v>
      </x:c>
      <x:c r="BW611" s="14" t="str">
        <x:v>Unable to determine</x:v>
      </x:c>
      <x:c r="BX611" s="14" t="str">
        <x:v>Supplied cast data establishes the credit and episode presence but does not establish narrative prominence.</x:v>
      </x:c>
      <x:c r="BY611" s="14" t="str">
        <x:v>Supplied IMDb cast-list workbook</x:v>
      </x:c>
      <x:c r="BZ6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tt11639300|nm6177817|tim weatherley</x:v>
      </x:c>
      <x:c r="B612" s="14" t="str">
        <x:v>02</x:v>
      </x:c>
      <x:c r="C612" s="14" t="str">
        <x:v>2021_IMDb_Cast_Lists_Batch_02(1).xlsx</x:v>
      </x:c>
      <x:c r="D612" s="14" t="str">
        <x:v>Grace</x:v>
      </x:c>
      <x:c r="E612" s="14" t="n">
        <x:v>338</x:v>
      </x:c>
      <x:c r="F612" s="14" t="str">
        <x:v>Grace</x:v>
      </x:c>
      <x:c r="G612" s="14" t="str">
        <x:v>tt11639300</x:v>
      </x:c>
      <x:c r="H612" s="14" t="n">
        <x:v>2021</x:v>
      </x:c>
      <x:c r="I612" s="14" t="n">
        <x:v>2023</x:v>
      </x:c>
      <x:c r="J612" s="14" t="str">
        <x:v>Future Carry-Forward Cohort</x:v>
      </x:c>
      <x:c r="K612" s="14" t="n">
        <x:v>2021</x:v>
      </x:c>
      <x:c r="L612" s="14" t="str">
        <x:v>Available from 2021 analysis</x:v>
      </x:c>
      <x:c r="M612" s="15" t="n">
        <x:v>331</x:v>
      </x:c>
      <x:c r="N612" s="14" t="str">
        <x:v>Joseph Potter</x:v>
      </x:c>
      <x:c r="O612" s="14" t="str">
        <x:v>nm6177817</x:v>
      </x:c>
      <x:c r="P612" s="14" t="str">
        <x:v>Tim Weatherley</x:v>
      </x:c>
      <x:c r="Q612" s="15" t="n">
        <x:v>1</x:v>
      </x:c>
      <x:c r="R612" s="14" t="str">
        <x:v>2025</x:v>
      </x:c>
      <x:c r="S612" s="14" t="n">
        <x:v>2025</x:v>
      </x:c>
      <x:c r="T612" s="14" t="n">
        <x:v>2025</x:v>
      </x:c>
      <x:c r="U612" s="14" t="str">
        <x:v>Post-2021 casting excluded</x:v>
      </x:c>
      <x:c r="V612" s="14" t="str">
        <x:v>Earliest supplied year is 2025, later than the 2021 study year.</x:v>
      </x:c>
      <x:c r="W612" s="14"/>
      <x:c r="X612" s="14" t="str">
        <x:v>Carried forward to 2025</x:v>
      </x:c>
      <x:c r="Y612" s="14"/>
      <x:c r="Z612" s="14" t="str">
        <x:v>Grace.docx</x:v>
      </x:c>
      <x:c r="AA6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ITV / ITVX</x:v>
      </x:c>
      <x:c r="AI612" s="14" t="str">
        <x:v>UK original 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uk original commission.</x:v>
      </x:c>
      <x:c r="AM612" s="17" t="e">
        <x:f>HYPERLINK("https://en.wikipedia.org/wiki/Grace","Open source")</x:f>
        <x:v>HYPERLINK is not implemented. linkLocation=https://en.wikipedia.org/wiki/Grace, friendlyName=Open source</x:v>
      </x:c>
      <x:c r="AN612" s="14" t="str">
        <x:v>No qualifying BBC relationship</x:v>
      </x:c>
      <x:c r="AO612" s="14" t="str">
        <x:v>No</x:v>
      </x:c>
      <x:c r="AP612" s="14" t="str">
        <x:v>Out of scope</x:v>
      </x:c>
      <x:c r="AQ612" s="14" t="str">
        <x:v>No</x:v>
      </x:c>
      <x:c r="AR612" s="14" t="str">
        <x:v>Resolved from master register</x:v>
      </x:c>
      <x:c r="AS612" s="14" t="str">
        <x:v>No established-register match</x:v>
      </x:c>
      <x:c r="AT612" s="14"/>
      <x:c r="AU612" s="14"/>
      <x:c r="AV612" s="14" t="str">
        <x:v>No established apparent-disability match</x:v>
      </x:c>
      <x:c r="AW612" s="14"/>
      <x:c r="AX612" s="14" t="str">
        <x:v>No</x:v>
      </x:c>
      <x:c r="AY612" s="14" t="str">
        <x:v>Unmatched</x:v>
      </x:c>
      <x:c r="AZ612" s="14" t="str">
        <x:v>Final supplied register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20</x:v>
      </x:c>
      <x:c r="BP612" s="14" t="str">
        <x:v>Maximum eligible IMDb cast-credit total (20), shared by 4 performer(s); not independently verified as a 2021-only episode total.</x:v>
      </x:c>
      <x:c r="BQ612" s="14" t="str">
        <x:v>Medium</x:v>
      </x:c>
      <x:c r="BR612" s="15" t="n">
        <x:v>1</x:v>
      </x:c>
      <x:c r="BS612" s="16" t="n">
        <x:v>0.05</x:v>
      </x:c>
      <x:c r="BT612" s="14" t="str">
        <x:v>One episode</x:v>
      </x:c>
      <x:c r="BU612" s="14" t="str">
        <x:v>Medium</x:v>
      </x:c>
      <x:c r="BV612" s="14" t="str">
        <x:v>Derived from supplied IMDb episode count and the documented production-total proxy.</x:v>
      </x:c>
      <x:c r="BW612" s="14" t="str">
        <x:v>Unable to determine</x:v>
      </x:c>
      <x:c r="BX612" s="14" t="str">
        <x:v>Supplied cast data establishes the credit and episode presence but does not establish narrative prominence.</x:v>
      </x:c>
      <x:c r="BY612" s="14" t="str">
        <x:v>Supplied IMDb cast-list workbook</x:v>
      </x:c>
      <x:c r="BZ6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tt11639300|nm1765971|colin</x:v>
      </x:c>
      <x:c r="B613" s="14" t="str">
        <x:v>02</x:v>
      </x:c>
      <x:c r="C613" s="14" t="str">
        <x:v>2021_IMDb_Cast_Lists_Batch_02(1).xlsx</x:v>
      </x:c>
      <x:c r="D613" s="14" t="str">
        <x:v>Grace</x:v>
      </x:c>
      <x:c r="E613" s="14" t="n">
        <x:v>339</x:v>
      </x:c>
      <x:c r="F613" s="14" t="str">
        <x:v>Grace</x:v>
      </x:c>
      <x:c r="G613" s="14" t="str">
        <x:v>tt11639300</x:v>
      </x:c>
      <x:c r="H613" s="14" t="n">
        <x:v>2021</x:v>
      </x:c>
      <x:c r="I613" s="14" t="n">
        <x:v>2023</x:v>
      </x:c>
      <x:c r="J613" s="14" t="str">
        <x:v>Future Carry-Forward Cohort</x:v>
      </x:c>
      <x:c r="K613" s="14" t="n">
        <x:v>2021</x:v>
      </x:c>
      <x:c r="L613" s="14" t="str">
        <x:v>Available from 2021 analysis</x:v>
      </x:c>
      <x:c r="M613" s="15" t="n">
        <x:v>332</x:v>
      </x:c>
      <x:c r="N613" s="14" t="str">
        <x:v>Russell Barnett</x:v>
      </x:c>
      <x:c r="O613" s="14" t="str">
        <x:v>nm1765971</x:v>
      </x:c>
      <x:c r="P613" s="14" t="str">
        <x:v>Colin</x:v>
      </x:c>
      <x:c r="Q613" s="15" t="n">
        <x:v>1</x:v>
      </x:c>
      <x:c r="R613" s="14" t="str">
        <x:v>2025</x:v>
      </x:c>
      <x:c r="S613" s="14" t="n">
        <x:v>2025</x:v>
      </x:c>
      <x:c r="T613" s="14" t="n">
        <x:v>2025</x:v>
      </x:c>
      <x:c r="U613" s="14" t="str">
        <x:v>Post-2021 casting excluded</x:v>
      </x:c>
      <x:c r="V613" s="14" t="str">
        <x:v>Earliest supplied year is 2025, later than the 2021 study year.</x:v>
      </x:c>
      <x:c r="W613" s="14"/>
      <x:c r="X613" s="14" t="str">
        <x:v>Carried forward to 2025</x:v>
      </x:c>
      <x:c r="Y613" s="14"/>
      <x:c r="Z613" s="14" t="str">
        <x:v>Grace.docx</x:v>
      </x:c>
      <x:c r="AA6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ITV / ITVX</x:v>
      </x:c>
      <x:c r="AI613" s="14" t="str">
        <x:v>UK original 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uk original commission.</x:v>
      </x:c>
      <x:c r="AM613" s="17" t="e">
        <x:f>HYPERLINK("https://en.wikipedia.org/wiki/Grace","Open source")</x:f>
        <x:v>HYPERLINK is not implemented. linkLocation=https://en.wikipedia.org/wiki/Grace, friendlyName=Open source</x:v>
      </x:c>
      <x:c r="AN613" s="14" t="str">
        <x:v>No qualifying BBC relationship</x:v>
      </x:c>
      <x:c r="AO613" s="14" t="str">
        <x:v>No</x:v>
      </x:c>
      <x:c r="AP613" s="14" t="str">
        <x:v>Out of scope</x:v>
      </x:c>
      <x:c r="AQ613" s="14" t="str">
        <x:v>No</x:v>
      </x:c>
      <x:c r="AR613" s="14" t="str">
        <x:v>Resolved from master register</x:v>
      </x:c>
      <x:c r="AS613" s="14" t="str">
        <x:v>No established-register match</x:v>
      </x:c>
      <x:c r="AT613" s="14"/>
      <x:c r="AU613" s="14"/>
      <x:c r="AV613" s="14" t="str">
        <x:v>No established apparent-disability match</x:v>
      </x:c>
      <x:c r="AW613" s="14"/>
      <x:c r="AX613" s="14" t="str">
        <x:v>No</x:v>
      </x:c>
      <x:c r="AY613" s="14" t="str">
        <x:v>Unmatched</x:v>
      </x:c>
      <x:c r="AZ613" s="14" t="str">
        <x:v>Final supplied register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20</x:v>
      </x:c>
      <x:c r="BP613" s="14" t="str">
        <x:v>Maximum eligible IMDb cast-credit total (20), shared by 4 performer(s); not independently verified as a 2021-only episode total.</x:v>
      </x:c>
      <x:c r="BQ613" s="14" t="str">
        <x:v>Medium</x:v>
      </x:c>
      <x:c r="BR613" s="15" t="n">
        <x:v>1</x:v>
      </x:c>
      <x:c r="BS613" s="16" t="n">
        <x:v>0.05</x:v>
      </x:c>
      <x:c r="BT613" s="14" t="str">
        <x:v>One episode</x:v>
      </x:c>
      <x:c r="BU613" s="14" t="str">
        <x:v>Medium</x:v>
      </x:c>
      <x:c r="BV613" s="14" t="str">
        <x:v>Derived from supplied IMDb episode count and the documented production-total proxy.</x:v>
      </x:c>
      <x:c r="BW613" s="14" t="str">
        <x:v>Unable to determine</x:v>
      </x:c>
      <x:c r="BX613" s="14" t="str">
        <x:v>Supplied cast data establishes the credit and episode presence but does not establish narrative prominence.</x:v>
      </x:c>
      <x:c r="BY613" s="14" t="str">
        <x:v>Supplied IMDb cast-list workbook</x:v>
      </x:c>
      <x:c r="BZ6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tt11639300|nm0086324|colin mackaye</x:v>
      </x:c>
      <x:c r="B614" s="14" t="str">
        <x:v>02</x:v>
      </x:c>
      <x:c r="C614" s="14" t="str">
        <x:v>2021_IMDb_Cast_Lists_Batch_02(1).xlsx</x:v>
      </x:c>
      <x:c r="D614" s="14" t="str">
        <x:v>Grace</x:v>
      </x:c>
      <x:c r="E614" s="14" t="n">
        <x:v>345</x:v>
      </x:c>
      <x:c r="F614" s="14" t="str">
        <x:v>Grace</x:v>
      </x:c>
      <x:c r="G614" s="14" t="str">
        <x:v>tt11639300</x:v>
      </x:c>
      <x:c r="H614" s="14" t="n">
        <x:v>2021</x:v>
      </x:c>
      <x:c r="I614" s="14" t="n">
        <x:v>2023</x:v>
      </x:c>
      <x:c r="J614" s="14" t="str">
        <x:v>Future Carry-Forward Cohort</x:v>
      </x:c>
      <x:c r="K614" s="14" t="n">
        <x:v>2021</x:v>
      </x:c>
      <x:c r="L614" s="14" t="str">
        <x:v>Available from 2021 analysis</x:v>
      </x:c>
      <x:c r="M614" s="15" t="n">
        <x:v>338</x:v>
      </x:c>
      <x:c r="N614" s="14" t="str">
        <x:v>Paul Blair</x:v>
      </x:c>
      <x:c r="O614" s="14" t="str">
        <x:v>nm0086324</x:v>
      </x:c>
      <x:c r="P614" s="14" t="str">
        <x:v>Colin MacKaye</x:v>
      </x:c>
      <x:c r="Q614" s="15" t="n">
        <x:v>1</x:v>
      </x:c>
      <x:c r="R614" s="14" t="str">
        <x:v>2025</x:v>
      </x:c>
      <x:c r="S614" s="14" t="n">
        <x:v>2025</x:v>
      </x:c>
      <x:c r="T614" s="14" t="n">
        <x:v>2025</x:v>
      </x:c>
      <x:c r="U614" s="14" t="str">
        <x:v>Post-2021 casting excluded</x:v>
      </x:c>
      <x:c r="V614" s="14" t="str">
        <x:v>Earliest supplied year is 2025, later than the 2021 study year.</x:v>
      </x:c>
      <x:c r="W614" s="14"/>
      <x:c r="X614" s="14" t="str">
        <x:v>Carried forward to 2025</x:v>
      </x:c>
      <x:c r="Y614" s="14"/>
      <x:c r="Z614" s="14" t="str">
        <x:v>Grace.docx</x:v>
      </x:c>
      <x:c r="AA61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ITV / ITVX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7" t="e">
        <x:f>HYPERLINK("https://en.wikipedia.org/wiki/Grace","Open source")</x:f>
        <x:v>HYPERLINK is not implemented. linkLocation=https://en.wikipedia.org/wiki/Grace, friendlyName=Open source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 t="str">
        <x:v>No established-register match</x:v>
      </x:c>
      <x:c r="AT614" s="14"/>
      <x:c r="AU614" s="14"/>
      <x:c r="AV614" s="14" t="str">
        <x:v>No established apparent-disability match</x:v>
      </x:c>
      <x:c r="AW614" s="14"/>
      <x:c r="AX614" s="14" t="str">
        <x:v>No</x:v>
      </x:c>
      <x:c r="AY614" s="14" t="str">
        <x:v>Unmatched</x:v>
      </x:c>
      <x:c r="AZ614" s="14" t="str">
        <x:v>Final supplied register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 t="n">
        <x:v>20</x:v>
      </x:c>
      <x:c r="BP614" s="14" t="str">
        <x:v>Maximum eligible IMDb cast-credit total (20), shared by 4 performer(s); not independently verified as a 2021-only episode total.</x:v>
      </x:c>
      <x:c r="BQ614" s="14" t="str">
        <x:v>Medium</x:v>
      </x:c>
      <x:c r="BR614" s="15" t="n">
        <x:v>1</x:v>
      </x:c>
      <x:c r="BS614" s="16" t="n">
        <x:v>0.05</x:v>
      </x:c>
      <x:c r="BT614" s="14" t="str">
        <x:v>One episode</x:v>
      </x:c>
      <x:c r="BU614" s="14" t="str">
        <x:v>Medium</x:v>
      </x:c>
      <x:c r="BV614" s="14" t="str">
        <x:v>Derived from supplied IMDb episode count and the documented production-total proxy.</x:v>
      </x:c>
      <x:c r="BW614" s="14" t="str">
        <x:v>Unable to determine</x:v>
      </x:c>
      <x:c r="BX614" s="14" t="str">
        <x:v>Supplied cast data establishes the credit and episode presence but does not establish narrative prominence.</x:v>
      </x:c>
      <x:c r="BY614" s="14" t="str">
        <x:v>Supplied IMDb cast-list workbook</x:v>
      </x:c>
      <x:c r="BZ61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tt11639300|nm0382657|chaplain</x:v>
      </x:c>
      <x:c r="B615" s="14" t="str">
        <x:v>02</x:v>
      </x:c>
      <x:c r="C615" s="14" t="str">
        <x:v>2021_IMDb_Cast_Lists_Batch_02(1).xlsx</x:v>
      </x:c>
      <x:c r="D615" s="14" t="str">
        <x:v>Grace</x:v>
      </x:c>
      <x:c r="E615" s="14" t="n">
        <x:v>351</x:v>
      </x:c>
      <x:c r="F615" s="14" t="str">
        <x:v>Grace</x:v>
      </x:c>
      <x:c r="G615" s="14" t="str">
        <x:v>tt11639300</x:v>
      </x:c>
      <x:c r="H615" s="14" t="n">
        <x:v>2021</x:v>
      </x:c>
      <x:c r="I615" s="14" t="n">
        <x:v>2023</x:v>
      </x:c>
      <x:c r="J615" s="14" t="str">
        <x:v>Future Carry-Forward Cohort</x:v>
      </x:c>
      <x:c r="K615" s="14" t="n">
        <x:v>2021</x:v>
      </x:c>
      <x:c r="L615" s="14" t="str">
        <x:v>Available from 2021 analysis</x:v>
      </x:c>
      <x:c r="M615" s="15" t="n">
        <x:v>344</x:v>
      </x:c>
      <x:c r="N615" s="14" t="str">
        <x:v>Paul Hickey</x:v>
      </x:c>
      <x:c r="O615" s="14" t="str">
        <x:v>nm0382657</x:v>
      </x:c>
      <x:c r="P615" s="14" t="str">
        <x:v>Chaplain</x:v>
      </x:c>
      <x:c r="Q615" s="15" t="n">
        <x:v>1</x:v>
      </x:c>
      <x:c r="R615" s="14" t="str">
        <x:v>2025</x:v>
      </x:c>
      <x:c r="S615" s="14" t="n">
        <x:v>2025</x:v>
      </x:c>
      <x:c r="T615" s="14" t="n">
        <x:v>2025</x:v>
      </x:c>
      <x:c r="U615" s="14" t="str">
        <x:v>Post-2021 casting excluded</x:v>
      </x:c>
      <x:c r="V615" s="14" t="str">
        <x:v>Earliest supplied year is 2025, later than the 2021 study year.</x:v>
      </x:c>
      <x:c r="W615" s="14"/>
      <x:c r="X615" s="14" t="str">
        <x:v>Carried forward to 2025</x:v>
      </x:c>
      <x:c r="Y615" s="14"/>
      <x:c r="Z615" s="14" t="str">
        <x:v>Grace.docx</x:v>
      </x:c>
      <x:c r="AA61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ITV / ITVX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7" t="e">
        <x:f>HYPERLINK("https://en.wikipedia.org/wiki/Grace","Open source")</x:f>
        <x:v>HYPERLINK is not implemented. linkLocation=https://en.wikipedia.org/wiki/Grace, friendlyName=Open source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 t="str">
        <x:v>No established-register match</x:v>
      </x:c>
      <x:c r="AT615" s="14"/>
      <x:c r="AU615" s="14"/>
      <x:c r="AV615" s="14" t="str">
        <x:v>No established apparent-disability match</x:v>
      </x:c>
      <x:c r="AW615" s="14"/>
      <x:c r="AX615" s="14" t="str">
        <x:v>No</x:v>
      </x:c>
      <x:c r="AY615" s="14" t="str">
        <x:v>Unmatched</x:v>
      </x:c>
      <x:c r="AZ615" s="14" t="str">
        <x:v>Final supplied register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 t="n">
        <x:v>20</x:v>
      </x:c>
      <x:c r="BP615" s="14" t="str">
        <x:v>Maximum eligible IMDb cast-credit total (20), shared by 4 performer(s); not independently verified as a 2021-only episode total.</x:v>
      </x:c>
      <x:c r="BQ615" s="14" t="str">
        <x:v>Medium</x:v>
      </x:c>
      <x:c r="BR615" s="15" t="n">
        <x:v>1</x:v>
      </x:c>
      <x:c r="BS615" s="16" t="n">
        <x:v>0.05</x:v>
      </x:c>
      <x:c r="BT615" s="14" t="str">
        <x:v>One episode</x:v>
      </x:c>
      <x:c r="BU615" s="14" t="str">
        <x:v>Medium</x:v>
      </x:c>
      <x:c r="BV615" s="14" t="str">
        <x:v>Derived from supplied IMDb episode count and the documented production-total proxy.</x:v>
      </x:c>
      <x:c r="BW615" s="14" t="str">
        <x:v>Unable to determine</x:v>
      </x:c>
      <x:c r="BX615" s="14" t="str">
        <x:v>Supplied cast data establishes the credit and episode presence but does not establish narrative prominence.</x:v>
      </x:c>
      <x:c r="BY615" s="14" t="str">
        <x:v>Supplied IMDb cast-list workbook</x:v>
      </x:c>
      <x:c r="BZ61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tt11639300|nm1986581|ronnie close</x:v>
      </x:c>
      <x:c r="B616" s="14" t="str">
        <x:v>02</x:v>
      </x:c>
      <x:c r="C616" s="14" t="str">
        <x:v>2021_IMDb_Cast_Lists_Batch_02(1).xlsx</x:v>
      </x:c>
      <x:c r="D616" s="14" t="str">
        <x:v>Grace</x:v>
      </x:c>
      <x:c r="E616" s="14" t="n">
        <x:v>356</x:v>
      </x:c>
      <x:c r="F616" s="14" t="str">
        <x:v>Grace</x:v>
      </x:c>
      <x:c r="G616" s="14" t="str">
        <x:v>tt11639300</x:v>
      </x:c>
      <x:c r="H616" s="14" t="n">
        <x:v>2021</x:v>
      </x:c>
      <x:c r="I616" s="14" t="n">
        <x:v>2023</x:v>
      </x:c>
      <x:c r="J616" s="14" t="str">
        <x:v>Future Carry-Forward Cohort</x:v>
      </x:c>
      <x:c r="K616" s="14" t="n">
        <x:v>2021</x:v>
      </x:c>
      <x:c r="L616" s="14" t="str">
        <x:v>Available from 2021 analysis</x:v>
      </x:c>
      <x:c r="M616" s="15" t="n">
        <x:v>349</x:v>
      </x:c>
      <x:c r="N616" s="14" t="str">
        <x:v>Liam Smith</x:v>
      </x:c>
      <x:c r="O616" s="14" t="str">
        <x:v>nm1986581</x:v>
      </x:c>
      <x:c r="P616" s="14" t="str">
        <x:v>Ronnie Close</x:v>
      </x:c>
      <x:c r="Q616" s="15" t="n">
        <x:v>1</x:v>
      </x:c>
      <x:c r="R616" s="14" t="str">
        <x:v>2025</x:v>
      </x:c>
      <x:c r="S616" s="14" t="n">
        <x:v>2025</x:v>
      </x:c>
      <x:c r="T616" s="14" t="n">
        <x:v>2025</x:v>
      </x:c>
      <x:c r="U616" s="14" t="str">
        <x:v>Post-2021 casting excluded</x:v>
      </x:c>
      <x:c r="V616" s="14" t="str">
        <x:v>Earliest supplied year is 2025, later than the 2021 study year.</x:v>
      </x:c>
      <x:c r="W616" s="14"/>
      <x:c r="X616" s="14" t="str">
        <x:v>Carried forward to 2025</x:v>
      </x:c>
      <x:c r="Y616" s="14"/>
      <x:c r="Z616" s="14" t="str">
        <x:v>Grace.docx</x:v>
      </x:c>
      <x:c r="AA61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ITV / ITVX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7" t="e">
        <x:f>HYPERLINK("https://en.wikipedia.org/wiki/Grace","Open source")</x:f>
        <x:v>HYPERLINK is not implemented. linkLocation=https://en.wikipedia.org/wiki/Grace, friendlyName=Open source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 t="str">
        <x:v>No established-register match</x:v>
      </x:c>
      <x:c r="AT616" s="14"/>
      <x:c r="AU616" s="14"/>
      <x:c r="AV616" s="14" t="str">
        <x:v>No established apparent-disability match</x:v>
      </x:c>
      <x:c r="AW616" s="14"/>
      <x:c r="AX616" s="14" t="str">
        <x:v>No</x:v>
      </x:c>
      <x:c r="AY616" s="14" t="str">
        <x:v>Unmatched</x:v>
      </x:c>
      <x:c r="AZ616" s="14" t="str">
        <x:v>Final supplied register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 t="n">
        <x:v>20</x:v>
      </x:c>
      <x:c r="BP616" s="14" t="str">
        <x:v>Maximum eligible IMDb cast-credit total (20), shared by 4 performer(s); not independently verified as a 2021-only episode total.</x:v>
      </x:c>
      <x:c r="BQ616" s="14" t="str">
        <x:v>Medium</x:v>
      </x:c>
      <x:c r="BR616" s="15" t="n">
        <x:v>1</x:v>
      </x:c>
      <x:c r="BS616" s="16" t="n">
        <x:v>0.05</x:v>
      </x:c>
      <x:c r="BT616" s="14" t="str">
        <x:v>One episode</x:v>
      </x:c>
      <x:c r="BU616" s="14" t="str">
        <x:v>Medium</x:v>
      </x:c>
      <x:c r="BV616" s="14" t="str">
        <x:v>Derived from supplied IMDb episode count and the documented production-total proxy.</x:v>
      </x:c>
      <x:c r="BW616" s="14" t="str">
        <x:v>Unable to determine</x:v>
      </x:c>
      <x:c r="BX616" s="14" t="str">
        <x:v>Supplied cast data establishes the credit and episode presence but does not establish narrative prominence.</x:v>
      </x:c>
      <x:c r="BY616" s="14" t="str">
        <x:v>Supplied IMDb cast-list workbook</x:v>
      </x:c>
      <x:c r="BZ61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tt11639300|nm7551452|nurse</x:v>
      </x:c>
      <x:c r="B617" s="14" t="str">
        <x:v>02</x:v>
      </x:c>
      <x:c r="C617" s="14" t="str">
        <x:v>2021_IMDb_Cast_Lists_Batch_02(1).xlsx</x:v>
      </x:c>
      <x:c r="D617" s="14" t="str">
        <x:v>Grace</x:v>
      </x:c>
      <x:c r="E617" s="14" t="n">
        <x:v>360</x:v>
      </x:c>
      <x:c r="F617" s="14" t="str">
        <x:v>Grace</x:v>
      </x:c>
      <x:c r="G617" s="14" t="str">
        <x:v>tt11639300</x:v>
      </x:c>
      <x:c r="H617" s="14" t="n">
        <x:v>2021</x:v>
      </x:c>
      <x:c r="I617" s="14" t="n">
        <x:v>2023</x:v>
      </x:c>
      <x:c r="J617" s="14" t="str">
        <x:v>Future Carry-Forward Cohort</x:v>
      </x:c>
      <x:c r="K617" s="14" t="n">
        <x:v>2021</x:v>
      </x:c>
      <x:c r="L617" s="14" t="str">
        <x:v>Available from 2021 analysis</x:v>
      </x:c>
      <x:c r="M617" s="15" t="n">
        <x:v>353</x:v>
      </x:c>
      <x:c r="N617" s="14" t="str">
        <x:v>Kate Kelly Flood</x:v>
      </x:c>
      <x:c r="O617" s="14" t="str">
        <x:v>nm7551452</x:v>
      </x:c>
      <x:c r="P617" s="14" t="str">
        <x:v>Nurse</x:v>
      </x:c>
      <x:c r="Q617" s="15" t="n">
        <x:v>1</x:v>
      </x:c>
      <x:c r="R617" s="14" t="str">
        <x:v>2025</x:v>
      </x:c>
      <x:c r="S617" s="14" t="n">
        <x:v>2025</x:v>
      </x:c>
      <x:c r="T617" s="14" t="n">
        <x:v>2025</x:v>
      </x:c>
      <x:c r="U617" s="14" t="str">
        <x:v>Post-2021 casting excluded</x:v>
      </x:c>
      <x:c r="V617" s="14" t="str">
        <x:v>Earliest supplied year is 2025, later than the 2021 study year.</x:v>
      </x:c>
      <x:c r="W617" s="14"/>
      <x:c r="X617" s="14" t="str">
        <x:v>Carried forward to 2025</x:v>
      </x:c>
      <x:c r="Y617" s="14"/>
      <x:c r="Z617" s="14" t="str">
        <x:v>Grace.docx</x:v>
      </x:c>
      <x:c r="AA61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ITV / ITVX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7" t="e">
        <x:f>HYPERLINK("https://en.wikipedia.org/wiki/Grace","Open source")</x:f>
        <x:v>HYPERLINK is not implemented. linkLocation=https://en.wikipedia.org/wiki/Grace, friendlyName=Open source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 t="str">
        <x:v>No established-register match</x:v>
      </x:c>
      <x:c r="AT617" s="14"/>
      <x:c r="AU617" s="14"/>
      <x:c r="AV617" s="14" t="str">
        <x:v>No established apparent-disability match</x:v>
      </x:c>
      <x:c r="AW617" s="14"/>
      <x:c r="AX617" s="14" t="str">
        <x:v>No</x:v>
      </x:c>
      <x:c r="AY617" s="14" t="str">
        <x:v>Unmatched</x:v>
      </x:c>
      <x:c r="AZ617" s="14" t="str">
        <x:v>Final supplied register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 t="n">
        <x:v>20</x:v>
      </x:c>
      <x:c r="BP617" s="14" t="str">
        <x:v>Maximum eligible IMDb cast-credit total (20), shared by 4 performer(s); not independently verified as a 2021-only episode total.</x:v>
      </x:c>
      <x:c r="BQ617" s="14" t="str">
        <x:v>Medium</x:v>
      </x:c>
      <x:c r="BR617" s="15" t="n">
        <x:v>1</x:v>
      </x:c>
      <x:c r="BS617" s="16" t="n">
        <x:v>0.05</x:v>
      </x:c>
      <x:c r="BT617" s="14" t="str">
        <x:v>One episode</x:v>
      </x:c>
      <x:c r="BU617" s="14" t="str">
        <x:v>Medium</x:v>
      </x:c>
      <x:c r="BV617" s="14" t="str">
        <x:v>Derived from supplied IMDb episode count and the documented production-total proxy.</x:v>
      </x:c>
      <x:c r="BW617" s="14" t="str">
        <x:v>Unable to determine</x:v>
      </x:c>
      <x:c r="BX617" s="14" t="str">
        <x:v>Supplied cast data establishes the credit and episode presence but does not establish narrative prominence.</x:v>
      </x:c>
      <x:c r="BY617" s="14" t="str">
        <x:v>Supplied IMDb cast-list workbook</x:v>
      </x:c>
      <x:c r="BZ61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tt11639300|nm16434628|richard bailey</x:v>
      </x:c>
      <x:c r="B618" s="14" t="str">
        <x:v>02</x:v>
      </x:c>
      <x:c r="C618" s="14" t="str">
        <x:v>2021_IMDb_Cast_Lists_Batch_02(1).xlsx</x:v>
      </x:c>
      <x:c r="D618" s="14" t="str">
        <x:v>Grace</x:v>
      </x:c>
      <x:c r="E618" s="14" t="n">
        <x:v>361</x:v>
      </x:c>
      <x:c r="F618" s="14" t="str">
        <x:v>Grace</x:v>
      </x:c>
      <x:c r="G618" s="14" t="str">
        <x:v>tt11639300</x:v>
      </x:c>
      <x:c r="H618" s="14" t="n">
        <x:v>2021</x:v>
      </x:c>
      <x:c r="I618" s="14" t="n">
        <x:v>2023</x:v>
      </x:c>
      <x:c r="J618" s="14" t="str">
        <x:v>Future Carry-Forward Cohort</x:v>
      </x:c>
      <x:c r="K618" s="14" t="n">
        <x:v>2021</x:v>
      </x:c>
      <x:c r="L618" s="14" t="str">
        <x:v>Available from 2021 analysis</x:v>
      </x:c>
      <x:c r="M618" s="15" t="n">
        <x:v>354</x:v>
      </x:c>
      <x:c r="N618" s="14" t="str">
        <x:v>Luke Azille</x:v>
      </x:c>
      <x:c r="O618" s="14" t="str">
        <x:v>nm16434628</x:v>
      </x:c>
      <x:c r="P618" s="14" t="str">
        <x:v>Richard Bailey</x:v>
      </x:c>
      <x:c r="Q618" s="15" t="n">
        <x:v>1</x:v>
      </x:c>
      <x:c r="R618" s="14" t="str">
        <x:v>2025</x:v>
      </x:c>
      <x:c r="S618" s="14" t="n">
        <x:v>2025</x:v>
      </x:c>
      <x:c r="T618" s="14" t="n">
        <x:v>2025</x:v>
      </x:c>
      <x:c r="U618" s="14" t="str">
        <x:v>Post-2021 casting excluded</x:v>
      </x:c>
      <x:c r="V618" s="14" t="str">
        <x:v>Earliest supplied year is 2025, later than the 2021 study year.</x:v>
      </x:c>
      <x:c r="W618" s="14"/>
      <x:c r="X618" s="14" t="str">
        <x:v>Carried forward to 2025</x:v>
      </x:c>
      <x:c r="Y618" s="14"/>
      <x:c r="Z618" s="14" t="str">
        <x:v>Grace.docx</x:v>
      </x:c>
      <x:c r="AA61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ITV / ITVX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7" t="e">
        <x:f>HYPERLINK("https://en.wikipedia.org/wiki/Grace","Open source")</x:f>
        <x:v>HYPERLINK is not implemented. linkLocation=https://en.wikipedia.org/wiki/Grace, friendlyName=Open source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 t="str">
        <x:v>No established-register match</x:v>
      </x:c>
      <x:c r="AT618" s="14"/>
      <x:c r="AU618" s="14"/>
      <x:c r="AV618" s="14" t="str">
        <x:v>No established apparent-disability match</x:v>
      </x:c>
      <x:c r="AW618" s="14"/>
      <x:c r="AX618" s="14" t="str">
        <x:v>No</x:v>
      </x:c>
      <x:c r="AY618" s="14" t="str">
        <x:v>Unmatched</x:v>
      </x:c>
      <x:c r="AZ618" s="14" t="str">
        <x:v>Final supplied register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 t="n">
        <x:v>20</x:v>
      </x:c>
      <x:c r="BP618" s="14" t="str">
        <x:v>Maximum eligible IMDb cast-credit total (20), shared by 4 performer(s); not independently verified as a 2021-only episode total.</x:v>
      </x:c>
      <x:c r="BQ618" s="14" t="str">
        <x:v>Medium</x:v>
      </x:c>
      <x:c r="BR618" s="15" t="n">
        <x:v>1</x:v>
      </x:c>
      <x:c r="BS618" s="16" t="n">
        <x:v>0.05</x:v>
      </x:c>
      <x:c r="BT618" s="14" t="str">
        <x:v>One episode</x:v>
      </x:c>
      <x:c r="BU618" s="14" t="str">
        <x:v>Medium</x:v>
      </x:c>
      <x:c r="BV618" s="14" t="str">
        <x:v>Derived from supplied IMDb episode count and the documented production-total proxy.</x:v>
      </x:c>
      <x:c r="BW618" s="14" t="str">
        <x:v>Unable to determine</x:v>
      </x:c>
      <x:c r="BX618" s="14" t="str">
        <x:v>Supplied cast data establishes the credit and episode presence but does not establish narrative prominence.</x:v>
      </x:c>
      <x:c r="BY618" s="14" t="str">
        <x:v>Supplied IMDb cast-list workbook</x:v>
      </x:c>
      <x:c r="BZ61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tt11639300|nm8073026|sally jacobs</x:v>
      </x:c>
      <x:c r="B619" s="14" t="str">
        <x:v>02</x:v>
      </x:c>
      <x:c r="C619" s="14" t="str">
        <x:v>2021_IMDb_Cast_Lists_Batch_02(1).xlsx</x:v>
      </x:c>
      <x:c r="D619" s="14" t="str">
        <x:v>Grace</x:v>
      </x:c>
      <x:c r="E619" s="14" t="n">
        <x:v>364</x:v>
      </x:c>
      <x:c r="F619" s="14" t="str">
        <x:v>Grace</x:v>
      </x:c>
      <x:c r="G619" s="14" t="str">
        <x:v>tt11639300</x:v>
      </x:c>
      <x:c r="H619" s="14" t="n">
        <x:v>2021</x:v>
      </x:c>
      <x:c r="I619" s="14" t="n">
        <x:v>2023</x:v>
      </x:c>
      <x:c r="J619" s="14" t="str">
        <x:v>Future Carry-Forward Cohort</x:v>
      </x:c>
      <x:c r="K619" s="14" t="n">
        <x:v>2021</x:v>
      </x:c>
      <x:c r="L619" s="14" t="str">
        <x:v>Available from 2021 analysis</x:v>
      </x:c>
      <x:c r="M619" s="15" t="n">
        <x:v>357</x:v>
      </x:c>
      <x:c r="N619" s="14" t="str">
        <x:v>Connie Jenkins-Greig</x:v>
      </x:c>
      <x:c r="O619" s="14" t="str">
        <x:v>nm8073026</x:v>
      </x:c>
      <x:c r="P619" s="14" t="str">
        <x:v>Sally Jacobs</x:v>
      </x:c>
      <x:c r="Q619" s="15" t="n">
        <x:v>1</x:v>
      </x:c>
      <x:c r="R619" s="14" t="str">
        <x:v>2025</x:v>
      </x:c>
      <x:c r="S619" s="14" t="n">
        <x:v>2025</x:v>
      </x:c>
      <x:c r="T619" s="14" t="n">
        <x:v>2025</x:v>
      </x:c>
      <x:c r="U619" s="14" t="str">
        <x:v>Post-2021 casting excluded</x:v>
      </x:c>
      <x:c r="V619" s="14" t="str">
        <x:v>Earliest supplied year is 2025, later than the 2021 study year.</x:v>
      </x:c>
      <x:c r="W619" s="14"/>
      <x:c r="X619" s="14" t="str">
        <x:v>Carried forward to 2025</x:v>
      </x:c>
      <x:c r="Y619" s="14"/>
      <x:c r="Z619" s="14" t="str">
        <x:v>Grace.docx</x:v>
      </x:c>
      <x:c r="AA61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ITV / ITVX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7" t="e">
        <x:f>HYPERLINK("https://en.wikipedia.org/wiki/Grace","Open source")</x:f>
        <x:v>HYPERLINK is not implemented. linkLocation=https://en.wikipedia.org/wiki/Grace, friendlyName=Open source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 t="str">
        <x:v>No established-register match</x:v>
      </x:c>
      <x:c r="AT619" s="14"/>
      <x:c r="AU619" s="14"/>
      <x:c r="AV619" s="14" t="str">
        <x:v>No established apparent-disability match</x:v>
      </x:c>
      <x:c r="AW619" s="14"/>
      <x:c r="AX619" s="14" t="str">
        <x:v>No</x:v>
      </x:c>
      <x:c r="AY619" s="14" t="str">
        <x:v>Unmatched</x:v>
      </x:c>
      <x:c r="AZ619" s="14" t="str">
        <x:v>Final supplied register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 t="n">
        <x:v>20</x:v>
      </x:c>
      <x:c r="BP619" s="14" t="str">
        <x:v>Maximum eligible IMDb cast-credit total (20), shared by 4 performer(s); not independently verified as a 2021-only episode total.</x:v>
      </x:c>
      <x:c r="BQ619" s="14" t="str">
        <x:v>Medium</x:v>
      </x:c>
      <x:c r="BR619" s="15" t="n">
        <x:v>1</x:v>
      </x:c>
      <x:c r="BS619" s="16" t="n">
        <x:v>0.05</x:v>
      </x:c>
      <x:c r="BT619" s="14" t="str">
        <x:v>One episode</x:v>
      </x:c>
      <x:c r="BU619" s="14" t="str">
        <x:v>Medium</x:v>
      </x:c>
      <x:c r="BV619" s="14" t="str">
        <x:v>Derived from supplied IMDb episode count and the documented production-total proxy.</x:v>
      </x:c>
      <x:c r="BW619" s="14" t="str">
        <x:v>Unable to determine</x:v>
      </x:c>
      <x:c r="BX619" s="14" t="str">
        <x:v>Supplied cast data establishes the credit and episode presence but does not establish narrative prominence.</x:v>
      </x:c>
      <x:c r="BY619" s="14" t="str">
        <x:v>Supplied IMDb cast-list workbook</x:v>
      </x:c>
      <x:c r="BZ61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tt11639300|nm4745270|kirsty mackaye</x:v>
      </x:c>
      <x:c r="B620" s="14" t="str">
        <x:v>02</x:v>
      </x:c>
      <x:c r="C620" s="14" t="str">
        <x:v>2021_IMDb_Cast_Lists_Batch_02(1).xlsx</x:v>
      </x:c>
      <x:c r="D620" s="14" t="str">
        <x:v>Grace</x:v>
      </x:c>
      <x:c r="E620" s="14" t="n">
        <x:v>365</x:v>
      </x:c>
      <x:c r="F620" s="14" t="str">
        <x:v>Grace</x:v>
      </x:c>
      <x:c r="G620" s="14" t="str">
        <x:v>tt11639300</x:v>
      </x:c>
      <x:c r="H620" s="14" t="n">
        <x:v>2021</x:v>
      </x:c>
      <x:c r="I620" s="14" t="n">
        <x:v>2023</x:v>
      </x:c>
      <x:c r="J620" s="14" t="str">
        <x:v>Future Carry-Forward Cohort</x:v>
      </x:c>
      <x:c r="K620" s="14" t="n">
        <x:v>2021</x:v>
      </x:c>
      <x:c r="L620" s="14" t="str">
        <x:v>Available from 2021 analysis</x:v>
      </x:c>
      <x:c r="M620" s="15" t="n">
        <x:v>358</x:v>
      </x:c>
      <x:c r="N620" s="14" t="str">
        <x:v>Ashley Hope Allan</x:v>
      </x:c>
      <x:c r="O620" s="14" t="str">
        <x:v>nm4745270</x:v>
      </x:c>
      <x:c r="P620" s="14" t="str">
        <x:v>Kirsty MacKaye</x:v>
      </x:c>
      <x:c r="Q620" s="15" t="n">
        <x:v>1</x:v>
      </x:c>
      <x:c r="R620" s="14" t="str">
        <x:v>2025</x:v>
      </x:c>
      <x:c r="S620" s="14" t="n">
        <x:v>2025</x:v>
      </x:c>
      <x:c r="T620" s="14" t="n">
        <x:v>2025</x:v>
      </x:c>
      <x:c r="U620" s="14" t="str">
        <x:v>Post-2021 casting excluded</x:v>
      </x:c>
      <x:c r="V620" s="14" t="str">
        <x:v>Earliest supplied year is 2025, later than the 2021 study year.</x:v>
      </x:c>
      <x:c r="W620" s="14"/>
      <x:c r="X620" s="14" t="str">
        <x:v>Carried forward to 2025</x:v>
      </x:c>
      <x:c r="Y620" s="14"/>
      <x:c r="Z620" s="14" t="str">
        <x:v>Grace.docx</x:v>
      </x:c>
      <x:c r="AA62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ITV / ITVX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7" t="e">
        <x:f>HYPERLINK("https://en.wikipedia.org/wiki/Grace","Open source")</x:f>
        <x:v>HYPERLINK is not implemented. linkLocation=https://en.wikipedia.org/wiki/Grace, friendlyName=Open source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 t="str">
        <x:v>No established-register match</x:v>
      </x:c>
      <x:c r="AT620" s="14"/>
      <x:c r="AU620" s="14"/>
      <x:c r="AV620" s="14" t="str">
        <x:v>No established apparent-disability match</x:v>
      </x:c>
      <x:c r="AW620" s="14"/>
      <x:c r="AX620" s="14" t="str">
        <x:v>No</x:v>
      </x:c>
      <x:c r="AY620" s="14" t="str">
        <x:v>Unmatched</x:v>
      </x:c>
      <x:c r="AZ620" s="14" t="str">
        <x:v>Final supplied register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 t="n">
        <x:v>20</x:v>
      </x:c>
      <x:c r="BP620" s="14" t="str">
        <x:v>Maximum eligible IMDb cast-credit total (20), shared by 4 performer(s); not independently verified as a 2021-only episode total.</x:v>
      </x:c>
      <x:c r="BQ620" s="14" t="str">
        <x:v>Medium</x:v>
      </x:c>
      <x:c r="BR620" s="15" t="n">
        <x:v>1</x:v>
      </x:c>
      <x:c r="BS620" s="16" t="n">
        <x:v>0.05</x:v>
      </x:c>
      <x:c r="BT620" s="14" t="str">
        <x:v>One episode</x:v>
      </x:c>
      <x:c r="BU620" s="14" t="str">
        <x:v>Medium</x:v>
      </x:c>
      <x:c r="BV620" s="14" t="str">
        <x:v>Derived from supplied IMDb episode count and the documented production-total proxy.</x:v>
      </x:c>
      <x:c r="BW620" s="14" t="str">
        <x:v>Unable to determine</x:v>
      </x:c>
      <x:c r="BX620" s="14" t="str">
        <x:v>Supplied cast data establishes the credit and episode presence but does not establish narrative prominence.</x:v>
      </x:c>
      <x:c r="BY620" s="14" t="str">
        <x:v>Supplied IMDb cast-list workbook</x:v>
      </x:c>
      <x:c r="BZ62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tt11639300|nm6879878|ali</x:v>
      </x:c>
      <x:c r="B621" s="14" t="str">
        <x:v>02</x:v>
      </x:c>
      <x:c r="C621" s="14" t="str">
        <x:v>2021_IMDb_Cast_Lists_Batch_02(1).xlsx</x:v>
      </x:c>
      <x:c r="D621" s="14" t="str">
        <x:v>Grace</x:v>
      </x:c>
      <x:c r="E621" s="14" t="n">
        <x:v>367</x:v>
      </x:c>
      <x:c r="F621" s="14" t="str">
        <x:v>Grace</x:v>
      </x:c>
      <x:c r="G621" s="14" t="str">
        <x:v>tt11639300</x:v>
      </x:c>
      <x:c r="H621" s="14" t="n">
        <x:v>2021</x:v>
      </x:c>
      <x:c r="I621" s="14" t="n">
        <x:v>2023</x:v>
      </x:c>
      <x:c r="J621" s="14" t="str">
        <x:v>Future Carry-Forward Cohort</x:v>
      </x:c>
      <x:c r="K621" s="14" t="n">
        <x:v>2021</x:v>
      </x:c>
      <x:c r="L621" s="14" t="str">
        <x:v>Available from 2021 analysis</x:v>
      </x:c>
      <x:c r="M621" s="15" t="n">
        <x:v>360</x:v>
      </x:c>
      <x:c r="N621" s="14" t="str">
        <x:v>Laura Hanna</x:v>
      </x:c>
      <x:c r="O621" s="14" t="str">
        <x:v>nm6879878</x:v>
      </x:c>
      <x:c r="P621" s="14" t="str">
        <x:v>Ali</x:v>
      </x:c>
      <x:c r="Q621" s="15" t="n">
        <x:v>1</x:v>
      </x:c>
      <x:c r="R621" s="14" t="str">
        <x:v>2025</x:v>
      </x:c>
      <x:c r="S621" s="14" t="n">
        <x:v>2025</x:v>
      </x:c>
      <x:c r="T621" s="14" t="n">
        <x:v>2025</x:v>
      </x:c>
      <x:c r="U621" s="14" t="str">
        <x:v>Post-2021 casting excluded</x:v>
      </x:c>
      <x:c r="V621" s="14" t="str">
        <x:v>Earliest supplied year is 2025, later than the 2021 study year.</x:v>
      </x:c>
      <x:c r="W621" s="14"/>
      <x:c r="X621" s="14" t="str">
        <x:v>Carried forward to 2025</x:v>
      </x:c>
      <x:c r="Y621" s="14"/>
      <x:c r="Z621" s="14" t="str">
        <x:v>Grace.docx</x:v>
      </x:c>
      <x:c r="AA62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ITV / ITVX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7" t="e">
        <x:f>HYPERLINK("https://en.wikipedia.org/wiki/Grace","Open source")</x:f>
        <x:v>HYPERLINK is not implemented. linkLocation=https://en.wikipedia.org/wiki/Grace, friendlyName=Open source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 t="str">
        <x:v>No established-register match</x:v>
      </x:c>
      <x:c r="AT621" s="14"/>
      <x:c r="AU621" s="14"/>
      <x:c r="AV621" s="14" t="str">
        <x:v>No established apparent-disability match</x:v>
      </x:c>
      <x:c r="AW621" s="14"/>
      <x:c r="AX621" s="14" t="str">
        <x:v>No</x:v>
      </x:c>
      <x:c r="AY621" s="14" t="str">
        <x:v>Unmatched</x:v>
      </x:c>
      <x:c r="AZ621" s="14" t="str">
        <x:v>Final supplied register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 t="n">
        <x:v>20</x:v>
      </x:c>
      <x:c r="BP621" s="14" t="str">
        <x:v>Maximum eligible IMDb cast-credit total (20), shared by 4 performer(s); not independently verified as a 2021-only episode total.</x:v>
      </x:c>
      <x:c r="BQ621" s="14" t="str">
        <x:v>Medium</x:v>
      </x:c>
      <x:c r="BR621" s="15" t="n">
        <x:v>1</x:v>
      </x:c>
      <x:c r="BS621" s="16" t="n">
        <x:v>0.05</x:v>
      </x:c>
      <x:c r="BT621" s="14" t="str">
        <x:v>One episode</x:v>
      </x:c>
      <x:c r="BU621" s="14" t="str">
        <x:v>Medium</x:v>
      </x:c>
      <x:c r="BV621" s="14" t="str">
        <x:v>Derived from supplied IMDb episode count and the documented production-total proxy.</x:v>
      </x:c>
      <x:c r="BW621" s="14" t="str">
        <x:v>Unable to determine</x:v>
      </x:c>
      <x:c r="BX621" s="14" t="str">
        <x:v>Supplied cast data establishes the credit and episode presence but does not establish narrative prominence.</x:v>
      </x:c>
      <x:c r="BY621" s="14" t="str">
        <x:v>Supplied IMDb cast-list workbook</x:v>
      </x:c>
      <x:c r="BZ62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tt11639300|nm2553899|derren skinner</x:v>
      </x:c>
      <x:c r="B622" s="14" t="str">
        <x:v>02</x:v>
      </x:c>
      <x:c r="C622" s="14" t="str">
        <x:v>2021_IMDb_Cast_Lists_Batch_02(1).xlsx</x:v>
      </x:c>
      <x:c r="D622" s="14" t="str">
        <x:v>Grace</x:v>
      </x:c>
      <x:c r="E622" s="14" t="n">
        <x:v>369</x:v>
      </x:c>
      <x:c r="F622" s="14" t="str">
        <x:v>Grace</x:v>
      </x:c>
      <x:c r="G622" s="14" t="str">
        <x:v>tt11639300</x:v>
      </x:c>
      <x:c r="H622" s="14" t="n">
        <x:v>2021</x:v>
      </x:c>
      <x:c r="I622" s="14" t="n">
        <x:v>2023</x:v>
      </x:c>
      <x:c r="J622" s="14" t="str">
        <x:v>Future Carry-Forward Cohort</x:v>
      </x:c>
      <x:c r="K622" s="14" t="n">
        <x:v>2021</x:v>
      </x:c>
      <x:c r="L622" s="14" t="str">
        <x:v>Available from 2021 analysis</x:v>
      </x:c>
      <x:c r="M622" s="15" t="n">
        <x:v>362</x:v>
      </x:c>
      <x:c r="N622" s="14" t="str">
        <x:v>Paul Marlon</x:v>
      </x:c>
      <x:c r="O622" s="14" t="str">
        <x:v>nm2553899</x:v>
      </x:c>
      <x:c r="P622" s="14" t="str">
        <x:v>Derren Skinner</x:v>
      </x:c>
      <x:c r="Q622" s="15" t="n">
        <x:v>1</x:v>
      </x:c>
      <x:c r="R622" s="14" t="str">
        <x:v>2025</x:v>
      </x:c>
      <x:c r="S622" s="14" t="n">
        <x:v>2025</x:v>
      </x:c>
      <x:c r="T622" s="14" t="n">
        <x:v>2025</x:v>
      </x:c>
      <x:c r="U622" s="14" t="str">
        <x:v>Post-2021 casting excluded</x:v>
      </x:c>
      <x:c r="V622" s="14" t="str">
        <x:v>Earliest supplied year is 2025, later than the 2021 study year.</x:v>
      </x:c>
      <x:c r="W622" s="14"/>
      <x:c r="X622" s="14" t="str">
        <x:v>Carried forward to 2025</x:v>
      </x:c>
      <x:c r="Y622" s="14"/>
      <x:c r="Z622" s="14" t="str">
        <x:v>Grace.docx</x:v>
      </x:c>
      <x:c r="AA62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ITV / ITVX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7" t="e">
        <x:f>HYPERLINK("https://en.wikipedia.org/wiki/Grace","Open source")</x:f>
        <x:v>HYPERLINK is not implemented. linkLocation=https://en.wikipedia.org/wiki/Grace, friendlyName=Open source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 t="str">
        <x:v>No established-register match</x:v>
      </x:c>
      <x:c r="AT622" s="14"/>
      <x:c r="AU622" s="14"/>
      <x:c r="AV622" s="14" t="str">
        <x:v>No established apparent-disability match</x:v>
      </x:c>
      <x:c r="AW622" s="14"/>
      <x:c r="AX622" s="14" t="str">
        <x:v>No</x:v>
      </x:c>
      <x:c r="AY622" s="14" t="str">
        <x:v>Unmatched</x:v>
      </x:c>
      <x:c r="AZ622" s="14" t="str">
        <x:v>Final supplied register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 t="n">
        <x:v>20</x:v>
      </x:c>
      <x:c r="BP622" s="14" t="str">
        <x:v>Maximum eligible IMDb cast-credit total (20), shared by 4 performer(s); not independently verified as a 2021-only episode total.</x:v>
      </x:c>
      <x:c r="BQ622" s="14" t="str">
        <x:v>Medium</x:v>
      </x:c>
      <x:c r="BR622" s="15" t="n">
        <x:v>1</x:v>
      </x:c>
      <x:c r="BS622" s="16" t="n">
        <x:v>0.05</x:v>
      </x:c>
      <x:c r="BT622" s="14" t="str">
        <x:v>One episode</x:v>
      </x:c>
      <x:c r="BU622" s="14" t="str">
        <x:v>Medium</x:v>
      </x:c>
      <x:c r="BV622" s="14" t="str">
        <x:v>Derived from supplied IMDb episode count and the documented production-total proxy.</x:v>
      </x:c>
      <x:c r="BW622" s="14" t="str">
        <x:v>Unable to determine</x:v>
      </x:c>
      <x:c r="BX622" s="14" t="str">
        <x:v>Supplied cast data establishes the credit and episode presence but does not establish narrative prominence.</x:v>
      </x:c>
      <x:c r="BY622" s="14" t="str">
        <x:v>Supplied IMDb cast-list workbook</x:v>
      </x:c>
      <x:c r="BZ62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tt11981644|nm9955820|dc chloe highsmith / chloe highsmith</x:v>
      </x:c>
      <x:c r="B623" s="14" t="str">
        <x:v>02</x:v>
      </x:c>
      <x:c r="C623" s="14" t="str">
        <x:v>2021_IMDb_Cast_Lists_Batch_02(1).xlsx</x:v>
      </x:c>
      <x:c r="D623" s="14" t="str">
        <x:v>Professor T</x:v>
      </x:c>
      <x:c r="E623" s="14" t="n">
        <x:v>18</x:v>
      </x:c>
      <x:c r="F623" s="14" t="str">
        <x:v>Professor T</x:v>
      </x:c>
      <x:c r="G623" s="14" t="str">
        <x:v>tt11981644</x:v>
      </x:c>
      <x:c r="H623" s="14" t="n">
        <x:v>2021</x:v>
      </x:c>
      <x:c r="I623" s="14" t="n">
        <x:v>2023</x:v>
      </x:c>
      <x:c r="J623" s="14" t="str">
        <x:v>Future Carry-Forward Cohort</x:v>
      </x:c>
      <x:c r="K623" s="14" t="n">
        <x:v>2021</x:v>
      </x:c>
      <x:c r="L623" s="14" t="str">
        <x:v>Available from 2021 analysis</x:v>
      </x:c>
      <x:c r="M623" s="15" t="n">
        <x:v>11</x:v>
      </x:c>
      <x:c r="N623" s="14" t="str">
        <x:v>Rhian Blundell</x:v>
      </x:c>
      <x:c r="O623" s="14" t="str">
        <x:v>nm9955820</x:v>
      </x:c>
      <x:c r="P623" s="14" t="str">
        <x:v>DC Chloe Highsmith / Chloe Highsmith</x:v>
      </x:c>
      <x:c r="Q623" s="15" t="n">
        <x:v>12</x:v>
      </x:c>
      <x:c r="R623" s="14" t="str">
        <x:v>2025–2026</x:v>
      </x:c>
      <x:c r="S623" s="14" t="n">
        <x:v>2025</x:v>
      </x:c>
      <x:c r="T623" s="14" t="n">
        <x:v>2025</x:v>
      </x:c>
      <x:c r="U623" s="14" t="str">
        <x:v>Post-2021 casting excluded</x:v>
      </x:c>
      <x:c r="V623" s="14" t="str">
        <x:v>Earliest supplied year is 2025, later than the 2021 study year.</x:v>
      </x:c>
      <x:c r="W623" s="14"/>
      <x:c r="X623" s="14" t="str">
        <x:v>Carried forward to 2025</x:v>
      </x:c>
      <x:c r="Y623" s="14"/>
      <x:c r="Z623" s="14" t="str">
        <x:v>Professor T.docx</x:v>
      </x:c>
      <x:c r="AA62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ITV / ITVX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7" t="e">
        <x:f>HYPERLINK("https://en.wikipedia.org/wiki/Professor_T.","Open source")</x:f>
        <x:v>HYPERLINK is not implemented. linkLocation=https://en.wikipedia.org/wiki/Professor_T., friendlyName=Open source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 t="str">
        <x:v>No established-register match</x:v>
      </x:c>
      <x:c r="AT623" s="14"/>
      <x:c r="AU623" s="14"/>
      <x:c r="AV623" s="14" t="str">
        <x:v>No established apparent-disability match</x:v>
      </x:c>
      <x:c r="AW623" s="14"/>
      <x:c r="AX623" s="14" t="str">
        <x:v>No</x:v>
      </x:c>
      <x:c r="AY623" s="14" t="str">
        <x:v>Unmatched</x:v>
      </x:c>
      <x:c r="AZ623" s="14" t="str">
        <x:v>Final supplied register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 t="n">
        <x:v>30</x:v>
      </x:c>
      <x:c r="BP623" s="14" t="str">
        <x:v>Maximum eligible IMDb cast-credit total (30), shared by 2 performer(s); not independently verified as a 2021-only episode total.</x:v>
      </x:c>
      <x:c r="BQ623" s="14" t="str">
        <x:v>Medium</x:v>
      </x:c>
      <x:c r="BR623" s="15" t="n">
        <x:v>12</x:v>
      </x:c>
      <x:c r="BS623" s="16" t="n">
        <x:v>0.4</x:v>
      </x:c>
      <x:c r="BT623" s="14" t="str">
        <x:v>Minority of episodes</x:v>
      </x:c>
      <x:c r="BU623" s="14" t="str">
        <x:v>Medium</x:v>
      </x:c>
      <x:c r="BV623" s="14" t="str">
        <x:v>Derived from supplied IMDb episode count and the documented production-total proxy.</x:v>
      </x:c>
      <x:c r="BW623" s="14" t="str">
        <x:v>Unable to determine</x:v>
      </x:c>
      <x:c r="BX623" s="14" t="str">
        <x:v>Supplied cast data establishes the credit and episode presence but does not establish narrative prominence.</x:v>
      </x:c>
      <x:c r="BY623" s="14" t="str">
        <x:v>Supplied IMDb cast-list workbook</x:v>
      </x:c>
      <x:c r="BZ62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tt11981644|nm0910738|zelda radclyffe</x:v>
      </x:c>
      <x:c r="B624" s="14" t="str">
        <x:v>02</x:v>
      </x:c>
      <x:c r="C624" s="14" t="str">
        <x:v>2021_IMDb_Cast_Lists_Batch_02(1).xlsx</x:v>
      </x:c>
      <x:c r="D624" s="14" t="str">
        <x:v>Professor T</x:v>
      </x:c>
      <x:c r="E624" s="14" t="n">
        <x:v>21</x:v>
      </x:c>
      <x:c r="F624" s="14" t="str">
        <x:v>Professor T</x:v>
      </x:c>
      <x:c r="G624" s="14" t="str">
        <x:v>tt11981644</x:v>
      </x:c>
      <x:c r="H624" s="14" t="n">
        <x:v>2021</x:v>
      </x:c>
      <x:c r="I624" s="14" t="n">
        <x:v>2023</x:v>
      </x:c>
      <x:c r="J624" s="14" t="str">
        <x:v>Future Carry-Forward Cohort</x:v>
      </x:c>
      <x:c r="K624" s="14" t="n">
        <x:v>2021</x:v>
      </x:c>
      <x:c r="L624" s="14" t="str">
        <x:v>Available from 2021 analysis</x:v>
      </x:c>
      <x:c r="M624" s="15" t="n">
        <x:v>14</x:v>
      </x:c>
      <x:c r="N624" s="14" t="str">
        <x:v>Zoë Wanamaker</x:v>
      </x:c>
      <x:c r="O624" s="14" t="str">
        <x:v>nm0910738</x:v>
      </x:c>
      <x:c r="P624" s="14" t="str">
        <x:v>Zelda Radclyffe</x:v>
      </x:c>
      <x:c r="Q624" s="15" t="n">
        <x:v>10</x:v>
      </x:c>
      <x:c r="R624" s="14" t="str">
        <x:v>2025–2026</x:v>
      </x:c>
      <x:c r="S624" s="14" t="n">
        <x:v>2025</x:v>
      </x:c>
      <x:c r="T624" s="14" t="n">
        <x:v>2025</x:v>
      </x:c>
      <x:c r="U624" s="14" t="str">
        <x:v>Post-2021 casting excluded</x:v>
      </x:c>
      <x:c r="V624" s="14" t="str">
        <x:v>Earliest supplied year is 2025, later than the 2021 study year.</x:v>
      </x:c>
      <x:c r="W624" s="14"/>
      <x:c r="X624" s="14" t="str">
        <x:v>Carried forward to 2025</x:v>
      </x:c>
      <x:c r="Y624" s="14"/>
      <x:c r="Z624" s="14" t="str">
        <x:v>Professor T.docx</x:v>
      </x:c>
      <x:c r="AA62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ITV / ITVX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7" t="e">
        <x:f>HYPERLINK("https://en.wikipedia.org/wiki/Professor_T.","Open source")</x:f>
        <x:v>HYPERLINK is not implemented. linkLocation=https://en.wikipedia.org/wiki/Professor_T., friendlyName=Open source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 t="str">
        <x:v>No established-register match</x:v>
      </x:c>
      <x:c r="AT624" s="14"/>
      <x:c r="AU624" s="14"/>
      <x:c r="AV624" s="14" t="str">
        <x:v>No established apparent-disability match</x:v>
      </x:c>
      <x:c r="AW624" s="14"/>
      <x:c r="AX624" s="14" t="str">
        <x:v>No</x:v>
      </x:c>
      <x:c r="AY624" s="14" t="str">
        <x:v>Unmatched</x:v>
      </x:c>
      <x:c r="AZ624" s="14" t="str">
        <x:v>Final supplied register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 t="n">
        <x:v>30</x:v>
      </x:c>
      <x:c r="BP624" s="14" t="str">
        <x:v>Maximum eligible IMDb cast-credit total (30), shared by 2 performer(s); not independently verified as a 2021-only episode total.</x:v>
      </x:c>
      <x:c r="BQ624" s="14" t="str">
        <x:v>Medium</x:v>
      </x:c>
      <x:c r="BR624" s="15" t="n">
        <x:v>10</x:v>
      </x:c>
      <x:c r="BS624" s="16" t="n">
        <x:v>0.3333333333333333</x:v>
      </x:c>
      <x:c r="BT624" s="14" t="str">
        <x:v>Minority of episodes</x:v>
      </x:c>
      <x:c r="BU624" s="14" t="str">
        <x:v>Medium</x:v>
      </x:c>
      <x:c r="BV624" s="14" t="str">
        <x:v>Derived from supplied IMDb episode count and the documented production-total proxy.</x:v>
      </x:c>
      <x:c r="BW624" s="14" t="str">
        <x:v>Unable to determine</x:v>
      </x:c>
      <x:c r="BX624" s="14" t="str">
        <x:v>Supplied cast data establishes the credit and episode presence but does not establish narrative prominence.</x:v>
      </x:c>
      <x:c r="BY624" s="14" t="str">
        <x:v>Supplied IMDb cast-list workbook</x:v>
      </x:c>
      <x:c r="BZ62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tt11981644|nm0428933|peter snares</x:v>
      </x:c>
      <x:c r="B625" s="14" t="str">
        <x:v>02</x:v>
      </x:c>
      <x:c r="C625" s="14" t="str">
        <x:v>2021_IMDb_Cast_Lists_Batch_02(1).xlsx</x:v>
      </x:c>
      <x:c r="D625" s="14" t="str">
        <x:v>Professor T</x:v>
      </x:c>
      <x:c r="E625" s="14" t="n">
        <x:v>28</x:v>
      </x:c>
      <x:c r="F625" s="14" t="str">
        <x:v>Professor T</x:v>
      </x:c>
      <x:c r="G625" s="14" t="str">
        <x:v>tt11981644</x:v>
      </x:c>
      <x:c r="H625" s="14" t="n">
        <x:v>2021</x:v>
      </x:c>
      <x:c r="I625" s="14" t="n">
        <x:v>2023</x:v>
      </x:c>
      <x:c r="J625" s="14" t="str">
        <x:v>Future Carry-Forward Cohort</x:v>
      </x:c>
      <x:c r="K625" s="14" t="n">
        <x:v>2021</x:v>
      </x:c>
      <x:c r="L625" s="14" t="str">
        <x:v>Available from 2021 analysis</x:v>
      </x:c>
      <x:c r="M625" s="15" t="n">
        <x:v>21</x:v>
      </x:c>
      <x:c r="N625" s="14" t="str">
        <x:v>Nicholas Jones</x:v>
      </x:c>
      <x:c r="O625" s="14" t="str">
        <x:v>nm0428933</x:v>
      </x:c>
      <x:c r="P625" s="14" t="str">
        <x:v>Peter Snares</x:v>
      </x:c>
      <x:c r="Q625" s="15" t="n">
        <x:v>4</x:v>
      </x:c>
      <x:c r="R625" s="14" t="str">
        <x:v>2025</x:v>
      </x:c>
      <x:c r="S625" s="14" t="n">
        <x:v>2025</x:v>
      </x:c>
      <x:c r="T625" s="14" t="n">
        <x:v>2025</x:v>
      </x:c>
      <x:c r="U625" s="14" t="str">
        <x:v>Post-2021 casting excluded</x:v>
      </x:c>
      <x:c r="V625" s="14" t="str">
        <x:v>Earliest supplied year is 2025, later than the 2021 study year.</x:v>
      </x:c>
      <x:c r="W625" s="14"/>
      <x:c r="X625" s="14" t="str">
        <x:v>Carried forward to 2025</x:v>
      </x:c>
      <x:c r="Y625" s="14"/>
      <x:c r="Z625" s="14" t="str">
        <x:v>Professor T.docx</x:v>
      </x:c>
      <x:c r="AA62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ITV / ITVX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7" t="e">
        <x:f>HYPERLINK("https://en.wikipedia.org/wiki/Professor_T.","Open source")</x:f>
        <x:v>HYPERLINK is not implemented. linkLocation=https://en.wikipedia.org/wiki/Professor_T., friendlyName=Open source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 t="str">
        <x:v>No established-register match</x:v>
      </x:c>
      <x:c r="AT625" s="14"/>
      <x:c r="AU625" s="14"/>
      <x:c r="AV625" s="14" t="str">
        <x:v>No established apparent-disability match</x:v>
      </x:c>
      <x:c r="AW625" s="14"/>
      <x:c r="AX625" s="14" t="str">
        <x:v>No</x:v>
      </x:c>
      <x:c r="AY625" s="14" t="str">
        <x:v>Unmatched</x:v>
      </x:c>
      <x:c r="AZ625" s="14" t="str">
        <x:v>Final supplied register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 t="n">
        <x:v>30</x:v>
      </x:c>
      <x:c r="BP625" s="14" t="str">
        <x:v>Maximum eligible IMDb cast-credit total (30), shared by 2 performer(s); not independently verified as a 2021-only episode total.</x:v>
      </x:c>
      <x:c r="BQ625" s="14" t="str">
        <x:v>Medium</x:v>
      </x:c>
      <x:c r="BR625" s="15" t="n">
        <x:v>4</x:v>
      </x:c>
      <x:c r="BS625" s="16" t="n">
        <x:v>0.1333333333333333</x:v>
      </x:c>
      <x:c r="BT625" s="14" t="str">
        <x:v>Minority of episodes</x:v>
      </x:c>
      <x:c r="BU625" s="14" t="str">
        <x:v>Medium</x:v>
      </x:c>
      <x:c r="BV625" s="14" t="str">
        <x:v>Derived from supplied IMDb episode count and the documented production-total proxy.</x:v>
      </x:c>
      <x:c r="BW625" s="14" t="str">
        <x:v>Unable to determine</x:v>
      </x:c>
      <x:c r="BX625" s="14" t="str">
        <x:v>Supplied cast data establishes the credit and episode presence but does not establish narrative prominence.</x:v>
      </x:c>
      <x:c r="BY625" s="14" t="str">
        <x:v>Supplied IMDb cast-list workbook</x:v>
      </x:c>
      <x:c r="BZ62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tt11981644|nm0688275|imelda</x:v>
      </x:c>
      <x:c r="B626" s="14" t="str">
        <x:v>02</x:v>
      </x:c>
      <x:c r="C626" s="14" t="str">
        <x:v>2021_IMDb_Cast_Lists_Batch_02(1).xlsx</x:v>
      </x:c>
      <x:c r="D626" s="14" t="str">
        <x:v>Professor T</x:v>
      </x:c>
      <x:c r="E626" s="14" t="n">
        <x:v>32</x:v>
      </x:c>
      <x:c r="F626" s="14" t="str">
        <x:v>Professor T</x:v>
      </x:c>
      <x:c r="G626" s="14" t="str">
        <x:v>tt11981644</x:v>
      </x:c>
      <x:c r="H626" s="14" t="n">
        <x:v>2021</x:v>
      </x:c>
      <x:c r="I626" s="14" t="n">
        <x:v>2023</x:v>
      </x:c>
      <x:c r="J626" s="14" t="str">
        <x:v>Future Carry-Forward Cohort</x:v>
      </x:c>
      <x:c r="K626" s="14" t="n">
        <x:v>2021</x:v>
      </x:c>
      <x:c r="L626" s="14" t="str">
        <x:v>Available from 2021 analysis</x:v>
      </x:c>
      <x:c r="M626" s="15" t="n">
        <x:v>25</x:v>
      </x:c>
      <x:c r="N626" s="14" t="str">
        <x:v>Kathryn Pogson</x:v>
      </x:c>
      <x:c r="O626" s="14" t="str">
        <x:v>nm0688275</x:v>
      </x:c>
      <x:c r="P626" s="14" t="str">
        <x:v>Imelda</x:v>
      </x:c>
      <x:c r="Q626" s="15" t="n">
        <x:v>4</x:v>
      </x:c>
      <x:c r="R626" s="14" t="str">
        <x:v>2025–2026</x:v>
      </x:c>
      <x:c r="S626" s="14" t="n">
        <x:v>2025</x:v>
      </x:c>
      <x:c r="T626" s="14" t="n">
        <x:v>2025</x:v>
      </x:c>
      <x:c r="U626" s="14" t="str">
        <x:v>Post-2021 casting excluded</x:v>
      </x:c>
      <x:c r="V626" s="14" t="str">
        <x:v>Earliest supplied year is 2025, later than the 2021 study year.</x:v>
      </x:c>
      <x:c r="W626" s="14"/>
      <x:c r="X626" s="14" t="str">
        <x:v>Carried forward to 2025</x:v>
      </x:c>
      <x:c r="Y626" s="14"/>
      <x:c r="Z626" s="14" t="str">
        <x:v>Professor T.docx</x:v>
      </x:c>
      <x:c r="AA62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ITV / ITVX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7" t="e">
        <x:f>HYPERLINK("https://en.wikipedia.org/wiki/Professor_T.","Open source")</x:f>
        <x:v>HYPERLINK is not implemented. linkLocation=https://en.wikipedia.org/wiki/Professor_T., friendlyName=Open source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 t="str">
        <x:v>No established-register match</x:v>
      </x:c>
      <x:c r="AT626" s="14"/>
      <x:c r="AU626" s="14"/>
      <x:c r="AV626" s="14" t="str">
        <x:v>No established apparent-disability match</x:v>
      </x:c>
      <x:c r="AW626" s="14"/>
      <x:c r="AX626" s="14" t="str">
        <x:v>No</x:v>
      </x:c>
      <x:c r="AY626" s="14" t="str">
        <x:v>Unmatched</x:v>
      </x:c>
      <x:c r="AZ626" s="14" t="str">
        <x:v>Final supplied register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 t="n">
        <x:v>30</x:v>
      </x:c>
      <x:c r="BP626" s="14" t="str">
        <x:v>Maximum eligible IMDb cast-credit total (30), shared by 2 performer(s); not independently verified as a 2021-only episode total.</x:v>
      </x:c>
      <x:c r="BQ626" s="14" t="str">
        <x:v>Medium</x:v>
      </x:c>
      <x:c r="BR626" s="15" t="n">
        <x:v>4</x:v>
      </x:c>
      <x:c r="BS626" s="16" t="n">
        <x:v>0.1333333333333333</x:v>
      </x:c>
      <x:c r="BT626" s="14" t="str">
        <x:v>Minority of episodes</x:v>
      </x:c>
      <x:c r="BU626" s="14" t="str">
        <x:v>Medium</x:v>
      </x:c>
      <x:c r="BV626" s="14" t="str">
        <x:v>Derived from supplied IMDb episode count and the documented production-total proxy.</x:v>
      </x:c>
      <x:c r="BW626" s="14" t="str">
        <x:v>Unable to determine</x:v>
      </x:c>
      <x:c r="BX626" s="14" t="str">
        <x:v>Supplied cast data establishes the credit and episode presence but does not establish narrative prominence.</x:v>
      </x:c>
      <x:c r="BY626" s="14" t="str">
        <x:v>Supplied IMDb cast-list workbook</x:v>
      </x:c>
      <x:c r="BZ62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tt11981644|nm0141324|lyndon collins</x:v>
      </x:c>
      <x:c r="B627" s="14" t="str">
        <x:v>02</x:v>
      </x:c>
      <x:c r="C627" s="14" t="str">
        <x:v>2021_IMDb_Cast_Lists_Batch_02(1).xlsx</x:v>
      </x:c>
      <x:c r="D627" s="14" t="str">
        <x:v>Professor T</x:v>
      </x:c>
      <x:c r="E627" s="14" t="n">
        <x:v>37</x:v>
      </x:c>
      <x:c r="F627" s="14" t="str">
        <x:v>Professor T</x:v>
      </x:c>
      <x:c r="G627" s="14" t="str">
        <x:v>tt11981644</x:v>
      </x:c>
      <x:c r="H627" s="14" t="n">
        <x:v>2021</x:v>
      </x:c>
      <x:c r="I627" s="14" t="n">
        <x:v>2023</x:v>
      </x:c>
      <x:c r="J627" s="14" t="str">
        <x:v>Future Carry-Forward Cohort</x:v>
      </x:c>
      <x:c r="K627" s="14" t="n">
        <x:v>2021</x:v>
      </x:c>
      <x:c r="L627" s="14" t="str">
        <x:v>Available from 2021 analysis</x:v>
      </x:c>
      <x:c r="M627" s="15" t="n">
        <x:v>30</x:v>
      </x:c>
      <x:c r="N627" s="14" t="str">
        <x:v>Silas Carson</x:v>
      </x:c>
      <x:c r="O627" s="14" t="str">
        <x:v>nm0141324</x:v>
      </x:c>
      <x:c r="P627" s="14" t="str">
        <x:v>Lyndon Collins</x:v>
      </x:c>
      <x:c r="Q627" s="15" t="n">
        <x:v>3</x:v>
      </x:c>
      <x:c r="R627" s="14" t="str">
        <x:v>2025</x:v>
      </x:c>
      <x:c r="S627" s="14" t="n">
        <x:v>2025</x:v>
      </x:c>
      <x:c r="T627" s="14" t="n">
        <x:v>2025</x:v>
      </x:c>
      <x:c r="U627" s="14" t="str">
        <x:v>Post-2021 casting excluded</x:v>
      </x:c>
      <x:c r="V627" s="14" t="str">
        <x:v>Earliest supplied year is 2025, later than the 2021 study year.</x:v>
      </x:c>
      <x:c r="W627" s="14"/>
      <x:c r="X627" s="14" t="str">
        <x:v>Carried forward to 2025</x:v>
      </x:c>
      <x:c r="Y627" s="14"/>
      <x:c r="Z627" s="14" t="str">
        <x:v>Professor T.docx</x:v>
      </x:c>
      <x:c r="AA62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ITV / ITVX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7" t="e">
        <x:f>HYPERLINK("https://en.wikipedia.org/wiki/Professor_T.","Open source")</x:f>
        <x:v>HYPERLINK is not implemented. linkLocation=https://en.wikipedia.org/wiki/Professor_T., friendlyName=Open source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 t="str">
        <x:v>No established-register match</x:v>
      </x:c>
      <x:c r="AT627" s="14"/>
      <x:c r="AU627" s="14"/>
      <x:c r="AV627" s="14" t="str">
        <x:v>No established apparent-disability match</x:v>
      </x:c>
      <x:c r="AW627" s="14"/>
      <x:c r="AX627" s="14" t="str">
        <x:v>No</x:v>
      </x:c>
      <x:c r="AY627" s="14" t="str">
        <x:v>Unmatched</x:v>
      </x:c>
      <x:c r="AZ627" s="14" t="str">
        <x:v>Final supplied register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 t="n">
        <x:v>30</x:v>
      </x:c>
      <x:c r="BP627" s="14" t="str">
        <x:v>Maximum eligible IMDb cast-credit total (30), shared by 2 performer(s); not independently verified as a 2021-only episode total.</x:v>
      </x:c>
      <x:c r="BQ627" s="14" t="str">
        <x:v>Medium</x:v>
      </x:c>
      <x:c r="BR627" s="15" t="n">
        <x:v>3</x:v>
      </x:c>
      <x:c r="BS627" s="16" t="n">
        <x:v>0.1</x:v>
      </x:c>
      <x:c r="BT627" s="14" t="str">
        <x:v>Minority of episodes</x:v>
      </x:c>
      <x:c r="BU627" s="14" t="str">
        <x:v>Medium</x:v>
      </x:c>
      <x:c r="BV627" s="14" t="str">
        <x:v>Derived from supplied IMDb episode count and the documented production-total proxy.</x:v>
      </x:c>
      <x:c r="BW627" s="14" t="str">
        <x:v>Unable to determine</x:v>
      </x:c>
      <x:c r="BX627" s="14" t="str">
        <x:v>Supplied cast data establishes the credit and episode presence but does not establish narrative prominence.</x:v>
      </x:c>
      <x:c r="BY627" s="14" t="str">
        <x:v>Supplied IMDb cast-list workbook</x:v>
      </x:c>
      <x:c r="BZ62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tt11981644|nm4115473|lydia birdsong</x:v>
      </x:c>
      <x:c r="B628" s="14" t="str">
        <x:v>02</x:v>
      </x:c>
      <x:c r="C628" s="14" t="str">
        <x:v>2021_IMDb_Cast_Lists_Batch_02(1).xlsx</x:v>
      </x:c>
      <x:c r="D628" s="14" t="str">
        <x:v>Professor T</x:v>
      </x:c>
      <x:c r="E628" s="14" t="n">
        <x:v>40</x:v>
      </x:c>
      <x:c r="F628" s="14" t="str">
        <x:v>Professor T</x:v>
      </x:c>
      <x:c r="G628" s="14" t="str">
        <x:v>tt11981644</x:v>
      </x:c>
      <x:c r="H628" s="14" t="n">
        <x:v>2021</x:v>
      </x:c>
      <x:c r="I628" s="14" t="n">
        <x:v>2023</x:v>
      </x:c>
      <x:c r="J628" s="14" t="str">
        <x:v>Future Carry-Forward Cohort</x:v>
      </x:c>
      <x:c r="K628" s="14" t="n">
        <x:v>2021</x:v>
      </x:c>
      <x:c r="L628" s="14" t="str">
        <x:v>Available from 2021 analysis</x:v>
      </x:c>
      <x:c r="M628" s="15" t="n">
        <x:v>33</x:v>
      </x:c>
      <x:c r="N628" s="14" t="str">
        <x:v>Kerry Bennett</x:v>
      </x:c>
      <x:c r="O628" s="14" t="str">
        <x:v>nm4115473</x:v>
      </x:c>
      <x:c r="P628" s="14" t="str">
        <x:v>Lydia Birdsong</x:v>
      </x:c>
      <x:c r="Q628" s="15" t="n">
        <x:v>3</x:v>
      </x:c>
      <x:c r="R628" s="14" t="str">
        <x:v>2025</x:v>
      </x:c>
      <x:c r="S628" s="14" t="n">
        <x:v>2025</x:v>
      </x:c>
      <x:c r="T628" s="14" t="n">
        <x:v>2025</x:v>
      </x:c>
      <x:c r="U628" s="14" t="str">
        <x:v>Post-2021 casting excluded</x:v>
      </x:c>
      <x:c r="V628" s="14" t="str">
        <x:v>Earliest supplied year is 2025, later than the 2021 study year.</x:v>
      </x:c>
      <x:c r="W628" s="14"/>
      <x:c r="X628" s="14" t="str">
        <x:v>Carried forward to 2025</x:v>
      </x:c>
      <x:c r="Y628" s="14"/>
      <x:c r="Z628" s="14" t="str">
        <x:v>Professor T.docx</x:v>
      </x:c>
      <x:c r="AA62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ITV / ITVX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7" t="e">
        <x:f>HYPERLINK("https://en.wikipedia.org/wiki/Professor_T.","Open source")</x:f>
        <x:v>HYPERLINK is not implemented. linkLocation=https://en.wikipedia.org/wiki/Professor_T., friendlyName=Open source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 t="str">
        <x:v>No established-register match</x:v>
      </x:c>
      <x:c r="AT628" s="14"/>
      <x:c r="AU628" s="14"/>
      <x:c r="AV628" s="14" t="str">
        <x:v>No established apparent-disability match</x:v>
      </x:c>
      <x:c r="AW628" s="14"/>
      <x:c r="AX628" s="14" t="str">
        <x:v>No</x:v>
      </x:c>
      <x:c r="AY628" s="14" t="str">
        <x:v>Unmatched</x:v>
      </x:c>
      <x:c r="AZ628" s="14" t="str">
        <x:v>Final supplied register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 t="n">
        <x:v>30</x:v>
      </x:c>
      <x:c r="BP628" s="14" t="str">
        <x:v>Maximum eligible IMDb cast-credit total (30), shared by 2 performer(s); not independently verified as a 2021-only episode total.</x:v>
      </x:c>
      <x:c r="BQ628" s="14" t="str">
        <x:v>Medium</x:v>
      </x:c>
      <x:c r="BR628" s="15" t="n">
        <x:v>3</x:v>
      </x:c>
      <x:c r="BS628" s="16" t="n">
        <x:v>0.1</x:v>
      </x:c>
      <x:c r="BT628" s="14" t="str">
        <x:v>Minority of episodes</x:v>
      </x:c>
      <x:c r="BU628" s="14" t="str">
        <x:v>Medium</x:v>
      </x:c>
      <x:c r="BV628" s="14" t="str">
        <x:v>Derived from supplied IMDb episode count and the documented production-total proxy.</x:v>
      </x:c>
      <x:c r="BW628" s="14" t="str">
        <x:v>Unable to determine</x:v>
      </x:c>
      <x:c r="BX628" s="14" t="str">
        <x:v>Supplied cast data establishes the credit and episode presence but does not establish narrative prominence.</x:v>
      </x:c>
      <x:c r="BY628" s="14" t="str">
        <x:v>Supplied IMDb cast-list workbook</x:v>
      </x:c>
      <x:c r="BZ62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tt11981644|nm3956491|nolan demarco</x:v>
      </x:c>
      <x:c r="B629" s="14" t="str">
        <x:v>02</x:v>
      </x:c>
      <x:c r="C629" s="14" t="str">
        <x:v>2021_IMDb_Cast_Lists_Batch_02(1).xlsx</x:v>
      </x:c>
      <x:c r="D629" s="14" t="str">
        <x:v>Professor T</x:v>
      </x:c>
      <x:c r="E629" s="14" t="n">
        <x:v>58</x:v>
      </x:c>
      <x:c r="F629" s="14" t="str">
        <x:v>Professor T</x:v>
      </x:c>
      <x:c r="G629" s="14" t="str">
        <x:v>tt11981644</x:v>
      </x:c>
      <x:c r="H629" s="14" t="n">
        <x:v>2021</x:v>
      </x:c>
      <x:c r="I629" s="14" t="n">
        <x:v>2023</x:v>
      </x:c>
      <x:c r="J629" s="14" t="str">
        <x:v>Future Carry-Forward Cohort</x:v>
      </x:c>
      <x:c r="K629" s="14" t="n">
        <x:v>2021</x:v>
      </x:c>
      <x:c r="L629" s="14" t="str">
        <x:v>Available from 2021 analysis</x:v>
      </x:c>
      <x:c r="M629" s="15" t="n">
        <x:v>51</x:v>
      </x:c>
      <x:c r="N629" s="14" t="str">
        <x:v>Conor Donelan</x:v>
      </x:c>
      <x:c r="O629" s="14" t="str">
        <x:v>nm3956491</x:v>
      </x:c>
      <x:c r="P629" s="14" t="str">
        <x:v>Nolan DeMarco</x:v>
      </x:c>
      <x:c r="Q629" s="15" t="n">
        <x:v>1</x:v>
      </x:c>
      <x:c r="R629" s="14" t="str">
        <x:v>2025</x:v>
      </x:c>
      <x:c r="S629" s="14" t="n">
        <x:v>2025</x:v>
      </x:c>
      <x:c r="T629" s="14" t="n">
        <x:v>2025</x:v>
      </x:c>
      <x:c r="U629" s="14" t="str">
        <x:v>Post-2021 casting excluded</x:v>
      </x:c>
      <x:c r="V629" s="14" t="str">
        <x:v>Earliest supplied year is 2025, later than the 2021 study year.</x:v>
      </x:c>
      <x:c r="W629" s="14"/>
      <x:c r="X629" s="14" t="str">
        <x:v>Carried forward to 2025</x:v>
      </x:c>
      <x:c r="Y629" s="14"/>
      <x:c r="Z629" s="14" t="str">
        <x:v>Professor T.docx</x:v>
      </x:c>
      <x:c r="AA62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ITV / ITVX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7" t="e">
        <x:f>HYPERLINK("https://en.wikipedia.org/wiki/Professor_T.","Open source")</x:f>
        <x:v>HYPERLINK is not implemented. linkLocation=https://en.wikipedia.org/wiki/Professor_T., friendlyName=Open source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 t="str">
        <x:v>No established-register match</x:v>
      </x:c>
      <x:c r="AT629" s="14"/>
      <x:c r="AU629" s="14"/>
      <x:c r="AV629" s="14" t="str">
        <x:v>No established apparent-disability match</x:v>
      </x:c>
      <x:c r="AW629" s="14"/>
      <x:c r="AX629" s="14" t="str">
        <x:v>No</x:v>
      </x:c>
      <x:c r="AY629" s="14" t="str">
        <x:v>Unmatched</x:v>
      </x:c>
      <x:c r="AZ629" s="14" t="str">
        <x:v>Final supplied register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 t="n">
        <x:v>30</x:v>
      </x:c>
      <x:c r="BP629" s="14" t="str">
        <x:v>Maximum eligible IMDb cast-credit total (30), shared by 2 performer(s); not independently verified as a 2021-only episode total.</x:v>
      </x:c>
      <x:c r="BQ629" s="14" t="str">
        <x:v>Medium</x:v>
      </x:c>
      <x:c r="BR629" s="15" t="n">
        <x:v>1</x:v>
      </x:c>
      <x:c r="BS629" s="16" t="n">
        <x:v>0.03333333333333333</x:v>
      </x:c>
      <x:c r="BT629" s="14" t="str">
        <x:v>One episode</x:v>
      </x:c>
      <x:c r="BU629" s="14" t="str">
        <x:v>Medium</x:v>
      </x:c>
      <x:c r="BV629" s="14" t="str">
        <x:v>Derived from supplied IMDb episode count and the documented production-total proxy.</x:v>
      </x:c>
      <x:c r="BW629" s="14" t="str">
        <x:v>Unable to determine</x:v>
      </x:c>
      <x:c r="BX629" s="14" t="str">
        <x:v>Supplied cast data establishes the credit and episode presence but does not establish narrative prominence.</x:v>
      </x:c>
      <x:c r="BY629" s="14" t="str">
        <x:v>Supplied IMDb cast-list workbook</x:v>
      </x:c>
      <x:c r="BZ62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tt11981644|nm10130390|student</x:v>
      </x:c>
      <x:c r="B630" s="14" t="str">
        <x:v>02</x:v>
      </x:c>
      <x:c r="C630" s="14" t="str">
        <x:v>2021_IMDb_Cast_Lists_Batch_02(1).xlsx</x:v>
      </x:c>
      <x:c r="D630" s="14" t="str">
        <x:v>Professor T</x:v>
      </x:c>
      <x:c r="E630" s="14" t="n">
        <x:v>63</x:v>
      </x:c>
      <x:c r="F630" s="14" t="str">
        <x:v>Professor T</x:v>
      </x:c>
      <x:c r="G630" s="14" t="str">
        <x:v>tt11981644</x:v>
      </x:c>
      <x:c r="H630" s="14" t="n">
        <x:v>2021</x:v>
      </x:c>
      <x:c r="I630" s="14" t="n">
        <x:v>2023</x:v>
      </x:c>
      <x:c r="J630" s="14" t="str">
        <x:v>Future Carry-Forward Cohort</x:v>
      </x:c>
      <x:c r="K630" s="14" t="n">
        <x:v>2021</x:v>
      </x:c>
      <x:c r="L630" s="14" t="str">
        <x:v>Available from 2021 analysis</x:v>
      </x:c>
      <x:c r="M630" s="15" t="n">
        <x:v>56</x:v>
      </x:c>
      <x:c r="N630" s="14" t="str">
        <x:v>Junes Callaert</x:v>
      </x:c>
      <x:c r="O630" s="14" t="str">
        <x:v>nm10130390</x:v>
      </x:c>
      <x:c r="P630" s="14" t="str">
        <x:v>Student</x:v>
      </x:c>
      <x:c r="Q630" s="15" t="n">
        <x:v>1</x:v>
      </x:c>
      <x:c r="R630" s="14" t="str">
        <x:v>2025</x:v>
      </x:c>
      <x:c r="S630" s="14" t="n">
        <x:v>2025</x:v>
      </x:c>
      <x:c r="T630" s="14" t="n">
        <x:v>2025</x:v>
      </x:c>
      <x:c r="U630" s="14" t="str">
        <x:v>Post-2021 casting excluded</x:v>
      </x:c>
      <x:c r="V630" s="14" t="str">
        <x:v>Earliest supplied year is 2025, later than the 2021 study year.</x:v>
      </x:c>
      <x:c r="W630" s="14"/>
      <x:c r="X630" s="14" t="str">
        <x:v>Carried forward to 2025</x:v>
      </x:c>
      <x:c r="Y630" s="14"/>
      <x:c r="Z630" s="14" t="str">
        <x:v>Professor T.docx</x:v>
      </x:c>
      <x:c r="AA63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ITV / ITVX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7" t="e">
        <x:f>HYPERLINK("https://en.wikipedia.org/wiki/Professor_T.","Open source")</x:f>
        <x:v>HYPERLINK is not implemented. linkLocation=https://en.wikipedia.org/wiki/Professor_T., friendlyName=Open source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 t="str">
        <x:v>No established-register match</x:v>
      </x:c>
      <x:c r="AT630" s="14"/>
      <x:c r="AU630" s="14"/>
      <x:c r="AV630" s="14" t="str">
        <x:v>No established apparent-disability match</x:v>
      </x:c>
      <x:c r="AW630" s="14"/>
      <x:c r="AX630" s="14" t="str">
        <x:v>No</x:v>
      </x:c>
      <x:c r="AY630" s="14" t="str">
        <x:v>Unmatched</x:v>
      </x:c>
      <x:c r="AZ630" s="14" t="str">
        <x:v>Final supplied register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 t="n">
        <x:v>30</x:v>
      </x:c>
      <x:c r="BP630" s="14" t="str">
        <x:v>Maximum eligible IMDb cast-credit total (30), shared by 2 performer(s); not independently verified as a 2021-only episode total.</x:v>
      </x:c>
      <x:c r="BQ630" s="14" t="str">
        <x:v>Medium</x:v>
      </x:c>
      <x:c r="BR630" s="15" t="n">
        <x:v>1</x:v>
      </x:c>
      <x:c r="BS630" s="16" t="n">
        <x:v>0.03333333333333333</x:v>
      </x:c>
      <x:c r="BT630" s="14" t="str">
        <x:v>One episode</x:v>
      </x:c>
      <x:c r="BU630" s="14" t="str">
        <x:v>Medium</x:v>
      </x:c>
      <x:c r="BV630" s="14" t="str">
        <x:v>Derived from supplied IMDb episode count and the documented production-total proxy.</x:v>
      </x:c>
      <x:c r="BW630" s="14" t="str">
        <x:v>Unable to determine</x:v>
      </x:c>
      <x:c r="BX630" s="14" t="str">
        <x:v>Supplied cast data establishes the credit and episode presence but does not establish narrative prominence.</x:v>
      </x:c>
      <x:c r="BY630" s="14" t="str">
        <x:v>Supplied IMDb cast-list workbook</x:v>
      </x:c>
      <x:c r="BZ63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tt11981644|nm0799850|kate bryant</x:v>
      </x:c>
      <x:c r="B631" s="14" t="str">
        <x:v>02</x:v>
      </x:c>
      <x:c r="C631" s="14" t="str">
        <x:v>2021_IMDb_Cast_Lists_Batch_02(1).xlsx</x:v>
      </x:c>
      <x:c r="D631" s="14" t="str">
        <x:v>Professor T</x:v>
      </x:c>
      <x:c r="E631" s="14" t="n">
        <x:v>66</x:v>
      </x:c>
      <x:c r="F631" s="14" t="str">
        <x:v>Professor T</x:v>
      </x:c>
      <x:c r="G631" s="14" t="str">
        <x:v>tt11981644</x:v>
      </x:c>
      <x:c r="H631" s="14" t="n">
        <x:v>2021</x:v>
      </x:c>
      <x:c r="I631" s="14" t="n">
        <x:v>2023</x:v>
      </x:c>
      <x:c r="J631" s="14" t="str">
        <x:v>Future Carry-Forward Cohort</x:v>
      </x:c>
      <x:c r="K631" s="14" t="n">
        <x:v>2021</x:v>
      </x:c>
      <x:c r="L631" s="14" t="str">
        <x:v>Available from 2021 analysis</x:v>
      </x:c>
      <x:c r="M631" s="15" t="n">
        <x:v>59</x:v>
      </x:c>
      <x:c r="N631" s="14" t="str">
        <x:v>Mika Simmons</x:v>
      </x:c>
      <x:c r="O631" s="14" t="str">
        <x:v>nm0799850</x:v>
      </x:c>
      <x:c r="P631" s="14" t="str">
        <x:v>Kate Bryant</x:v>
      </x:c>
      <x:c r="Q631" s="15" t="n">
        <x:v>1</x:v>
      </x:c>
      <x:c r="R631" s="14" t="str">
        <x:v>2025</x:v>
      </x:c>
      <x:c r="S631" s="14" t="n">
        <x:v>2025</x:v>
      </x:c>
      <x:c r="T631" s="14" t="n">
        <x:v>2025</x:v>
      </x:c>
      <x:c r="U631" s="14" t="str">
        <x:v>Post-2021 casting excluded</x:v>
      </x:c>
      <x:c r="V631" s="14" t="str">
        <x:v>Earliest supplied year is 2025, later than the 2021 study year.</x:v>
      </x:c>
      <x:c r="W631" s="14"/>
      <x:c r="X631" s="14" t="str">
        <x:v>Carried forward to 2025</x:v>
      </x:c>
      <x:c r="Y631" s="14"/>
      <x:c r="Z631" s="14" t="str">
        <x:v>Professor T.docx</x:v>
      </x:c>
      <x:c r="AA63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ITV / ITVX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7" t="e">
        <x:f>HYPERLINK("https://en.wikipedia.org/wiki/Professor_T.","Open source")</x:f>
        <x:v>HYPERLINK is not implemented. linkLocation=https://en.wikipedia.org/wiki/Professor_T., friendlyName=Open source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 t="str">
        <x:v>No established-register match</x:v>
      </x:c>
      <x:c r="AT631" s="14"/>
      <x:c r="AU631" s="14"/>
      <x:c r="AV631" s="14" t="str">
        <x:v>No established apparent-disability match</x:v>
      </x:c>
      <x:c r="AW631" s="14"/>
      <x:c r="AX631" s="14" t="str">
        <x:v>No</x:v>
      </x:c>
      <x:c r="AY631" s="14" t="str">
        <x:v>Unmatched</x:v>
      </x:c>
      <x:c r="AZ631" s="14" t="str">
        <x:v>Final supplied register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 t="n">
        <x:v>30</x:v>
      </x:c>
      <x:c r="BP631" s="14" t="str">
        <x:v>Maximum eligible IMDb cast-credit total (30), shared by 2 performer(s); not independently verified as a 2021-only episode total.</x:v>
      </x:c>
      <x:c r="BQ631" s="14" t="str">
        <x:v>Medium</x:v>
      </x:c>
      <x:c r="BR631" s="15" t="n">
        <x:v>1</x:v>
      </x:c>
      <x:c r="BS631" s="16" t="n">
        <x:v>0.03333333333333333</x:v>
      </x:c>
      <x:c r="BT631" s="14" t="str">
        <x:v>One episode</x:v>
      </x:c>
      <x:c r="BU631" s="14" t="str">
        <x:v>Medium</x:v>
      </x:c>
      <x:c r="BV631" s="14" t="str">
        <x:v>Derived from supplied IMDb episode count and the documented production-total proxy.</x:v>
      </x:c>
      <x:c r="BW631" s="14" t="str">
        <x:v>Unable to determine</x:v>
      </x:c>
      <x:c r="BX631" s="14" t="str">
        <x:v>Supplied cast data establishes the credit and episode presence but does not establish narrative prominence.</x:v>
      </x:c>
      <x:c r="BY631" s="14" t="str">
        <x:v>Supplied IMDb cast-list workbook</x:v>
      </x:c>
      <x:c r="BZ63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tt11981644|nm0562116|vance markham</x:v>
      </x:c>
      <x:c r="B632" s="14" t="str">
        <x:v>02</x:v>
      </x:c>
      <x:c r="C632" s="14" t="str">
        <x:v>2021_IMDb_Cast_Lists_Batch_02(1).xlsx</x:v>
      </x:c>
      <x:c r="D632" s="14" t="str">
        <x:v>Professor T</x:v>
      </x:c>
      <x:c r="E632" s="14" t="n">
        <x:v>67</x:v>
      </x:c>
      <x:c r="F632" s="14" t="str">
        <x:v>Professor T</x:v>
      </x:c>
      <x:c r="G632" s="14" t="str">
        <x:v>tt11981644</x:v>
      </x:c>
      <x:c r="H632" s="14" t="n">
        <x:v>2021</x:v>
      </x:c>
      <x:c r="I632" s="14" t="n">
        <x:v>2023</x:v>
      </x:c>
      <x:c r="J632" s="14" t="str">
        <x:v>Future Carry-Forward Cohort</x:v>
      </x:c>
      <x:c r="K632" s="14" t="n">
        <x:v>2021</x:v>
      </x:c>
      <x:c r="L632" s="14" t="str">
        <x:v>Available from 2021 analysis</x:v>
      </x:c>
      <x:c r="M632" s="15" t="n">
        <x:v>60</x:v>
      </x:c>
      <x:c r="N632" s="14" t="str">
        <x:v>Roger May</x:v>
      </x:c>
      <x:c r="O632" s="14" t="str">
        <x:v>nm0562116</x:v>
      </x:c>
      <x:c r="P632" s="14" t="str">
        <x:v>Vance Markham</x:v>
      </x:c>
      <x:c r="Q632" s="15" t="n">
        <x:v>1</x:v>
      </x:c>
      <x:c r="R632" s="14" t="str">
        <x:v>2025</x:v>
      </x:c>
      <x:c r="S632" s="14" t="n">
        <x:v>2025</x:v>
      </x:c>
      <x:c r="T632" s="14" t="n">
        <x:v>2025</x:v>
      </x:c>
      <x:c r="U632" s="14" t="str">
        <x:v>Post-2021 casting excluded</x:v>
      </x:c>
      <x:c r="V632" s="14" t="str">
        <x:v>Earliest supplied year is 2025, later than the 2021 study year.</x:v>
      </x:c>
      <x:c r="W632" s="14"/>
      <x:c r="X632" s="14" t="str">
        <x:v>Carried forward to 2025</x:v>
      </x:c>
      <x:c r="Y632" s="14"/>
      <x:c r="Z632" s="14" t="str">
        <x:v>Professor T.docx</x:v>
      </x:c>
      <x:c r="AA63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ITV / ITVX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7" t="e">
        <x:f>HYPERLINK("https://en.wikipedia.org/wiki/Professor_T.","Open source")</x:f>
        <x:v>HYPERLINK is not implemented. linkLocation=https://en.wikipedia.org/wiki/Professor_T., friendlyName=Open source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 t="str">
        <x:v>No established-register match</x:v>
      </x:c>
      <x:c r="AT632" s="14"/>
      <x:c r="AU632" s="14"/>
      <x:c r="AV632" s="14" t="str">
        <x:v>No established apparent-disability match</x:v>
      </x:c>
      <x:c r="AW632" s="14"/>
      <x:c r="AX632" s="14" t="str">
        <x:v>No</x:v>
      </x:c>
      <x:c r="AY632" s="14" t="str">
        <x:v>Unmatched</x:v>
      </x:c>
      <x:c r="AZ632" s="14" t="str">
        <x:v>Final supplied register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 t="n">
        <x:v>30</x:v>
      </x:c>
      <x:c r="BP632" s="14" t="str">
        <x:v>Maximum eligible IMDb cast-credit total (30), shared by 2 performer(s); not independently verified as a 2021-only episode total.</x:v>
      </x:c>
      <x:c r="BQ632" s="14" t="str">
        <x:v>Medium</x:v>
      </x:c>
      <x:c r="BR632" s="15" t="n">
        <x:v>1</x:v>
      </x:c>
      <x:c r="BS632" s="16" t="n">
        <x:v>0.03333333333333333</x:v>
      </x:c>
      <x:c r="BT632" s="14" t="str">
        <x:v>One episode</x:v>
      </x:c>
      <x:c r="BU632" s="14" t="str">
        <x:v>Medium</x:v>
      </x:c>
      <x:c r="BV632" s="14" t="str">
        <x:v>Derived from supplied IMDb episode count and the documented production-total proxy.</x:v>
      </x:c>
      <x:c r="BW632" s="14" t="str">
        <x:v>Unable to determine</x:v>
      </x:c>
      <x:c r="BX632" s="14" t="str">
        <x:v>Supplied cast data establishes the credit and episode presence but does not establish narrative prominence.</x:v>
      </x:c>
      <x:c r="BY632" s="14" t="str">
        <x:v>Supplied IMDb cast-list workbook</x:v>
      </x:c>
      <x:c r="BZ63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tt11981644|nm9010877|henry doyle</x:v>
      </x:c>
      <x:c r="B633" s="14" t="str">
        <x:v>02</x:v>
      </x:c>
      <x:c r="C633" s="14" t="str">
        <x:v>2021_IMDb_Cast_Lists_Batch_02(1).xlsx</x:v>
      </x:c>
      <x:c r="D633" s="14" t="str">
        <x:v>Professor T</x:v>
      </x:c>
      <x:c r="E633" s="14" t="n">
        <x:v>68</x:v>
      </x:c>
      <x:c r="F633" s="14" t="str">
        <x:v>Professor T</x:v>
      </x:c>
      <x:c r="G633" s="14" t="str">
        <x:v>tt11981644</x:v>
      </x:c>
      <x:c r="H633" s="14" t="n">
        <x:v>2021</x:v>
      </x:c>
      <x:c r="I633" s="14" t="n">
        <x:v>2023</x:v>
      </x:c>
      <x:c r="J633" s="14" t="str">
        <x:v>Future Carry-Forward Cohort</x:v>
      </x:c>
      <x:c r="K633" s="14" t="n">
        <x:v>2021</x:v>
      </x:c>
      <x:c r="L633" s="14" t="str">
        <x:v>Available from 2021 analysis</x:v>
      </x:c>
      <x:c r="M633" s="15" t="n">
        <x:v>61</x:v>
      </x:c>
      <x:c r="N633" s="14" t="str">
        <x:v>Merch Husey</x:v>
      </x:c>
      <x:c r="O633" s="14" t="str">
        <x:v>nm9010877</x:v>
      </x:c>
      <x:c r="P633" s="14" t="str">
        <x:v>Henry Doyle</x:v>
      </x:c>
      <x:c r="Q633" s="15" t="n">
        <x:v>1</x:v>
      </x:c>
      <x:c r="R633" s="14" t="str">
        <x:v>2025</x:v>
      </x:c>
      <x:c r="S633" s="14" t="n">
        <x:v>2025</x:v>
      </x:c>
      <x:c r="T633" s="14" t="n">
        <x:v>2025</x:v>
      </x:c>
      <x:c r="U633" s="14" t="str">
        <x:v>Post-2021 casting excluded</x:v>
      </x:c>
      <x:c r="V633" s="14" t="str">
        <x:v>Earliest supplied year is 2025, later than the 2021 study year.</x:v>
      </x:c>
      <x:c r="W633" s="14"/>
      <x:c r="X633" s="14" t="str">
        <x:v>Carried forward to 2025</x:v>
      </x:c>
      <x:c r="Y633" s="14" t="str">
        <x:v>(as MerchHüsey)</x:v>
      </x:c>
      <x:c r="Z633" s="14" t="str">
        <x:v>Professor T.docx</x:v>
      </x:c>
      <x:c r="AA63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ITV / ITVX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7" t="e">
        <x:f>HYPERLINK("https://en.wikipedia.org/wiki/Professor_T.","Open source")</x:f>
        <x:v>HYPERLINK is not implemented. linkLocation=https://en.wikipedia.org/wiki/Professor_T., friendlyName=Open source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 t="str">
        <x:v>No established-register match</x:v>
      </x:c>
      <x:c r="AT633" s="14"/>
      <x:c r="AU633" s="14"/>
      <x:c r="AV633" s="14" t="str">
        <x:v>No established apparent-disability match</x:v>
      </x:c>
      <x:c r="AW633" s="14"/>
      <x:c r="AX633" s="14" t="str">
        <x:v>No</x:v>
      </x:c>
      <x:c r="AY633" s="14" t="str">
        <x:v>Unmatched</x:v>
      </x:c>
      <x:c r="AZ633" s="14" t="str">
        <x:v>Final supplied register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 t="n">
        <x:v>30</x:v>
      </x:c>
      <x:c r="BP633" s="14" t="str">
        <x:v>Maximum eligible IMDb cast-credit total (30), shared by 2 performer(s); not independently verified as a 2021-only episode total.</x:v>
      </x:c>
      <x:c r="BQ633" s="14" t="str">
        <x:v>Medium</x:v>
      </x:c>
      <x:c r="BR633" s="15" t="n">
        <x:v>1</x:v>
      </x:c>
      <x:c r="BS633" s="16" t="n">
        <x:v>0.03333333333333333</x:v>
      </x:c>
      <x:c r="BT633" s="14" t="str">
        <x:v>One episode</x:v>
      </x:c>
      <x:c r="BU633" s="14" t="str">
        <x:v>Medium</x:v>
      </x:c>
      <x:c r="BV633" s="14" t="str">
        <x:v>Derived from supplied IMDb episode count and the documented production-total proxy.</x:v>
      </x:c>
      <x:c r="BW633" s="14" t="str">
        <x:v>Unable to determine</x:v>
      </x:c>
      <x:c r="BX633" s="14" t="str">
        <x:v>Supplied cast data establishes the credit and episode presence but does not establish narrative prominence.</x:v>
      </x:c>
      <x:c r="BY633" s="14" t="str">
        <x:v>Supplied IMDb cast-list workbook</x:v>
      </x:c>
      <x:c r="BZ63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tt11981644|nm8832545|pc1</x:v>
      </x:c>
      <x:c r="B634" s="14" t="str">
        <x:v>02</x:v>
      </x:c>
      <x:c r="C634" s="14" t="str">
        <x:v>2021_IMDb_Cast_Lists_Batch_02(1).xlsx</x:v>
      </x:c>
      <x:c r="D634" s="14" t="str">
        <x:v>Professor T</x:v>
      </x:c>
      <x:c r="E634" s="14" t="n">
        <x:v>69</x:v>
      </x:c>
      <x:c r="F634" s="14" t="str">
        <x:v>Professor T</x:v>
      </x:c>
      <x:c r="G634" s="14" t="str">
        <x:v>tt11981644</x:v>
      </x:c>
      <x:c r="H634" s="14" t="n">
        <x:v>2021</x:v>
      </x:c>
      <x:c r="I634" s="14" t="n">
        <x:v>2023</x:v>
      </x:c>
      <x:c r="J634" s="14" t="str">
        <x:v>Future Carry-Forward Cohort</x:v>
      </x:c>
      <x:c r="K634" s="14" t="n">
        <x:v>2021</x:v>
      </x:c>
      <x:c r="L634" s="14" t="str">
        <x:v>Available from 2021 analysis</x:v>
      </x:c>
      <x:c r="M634" s="15" t="n">
        <x:v>62</x:v>
      </x:c>
      <x:c r="N634" s="14" t="str">
        <x:v>Steven Morgan</x:v>
      </x:c>
      <x:c r="O634" s="14" t="str">
        <x:v>nm8832545</x:v>
      </x:c>
      <x:c r="P634" s="14" t="str">
        <x:v>PC1</x:v>
      </x:c>
      <x:c r="Q634" s="15" t="n">
        <x:v>1</x:v>
      </x:c>
      <x:c r="R634" s="14" t="str">
        <x:v>2025</x:v>
      </x:c>
      <x:c r="S634" s="14" t="n">
        <x:v>2025</x:v>
      </x:c>
      <x:c r="T634" s="14" t="n">
        <x:v>2025</x:v>
      </x:c>
      <x:c r="U634" s="14" t="str">
        <x:v>Post-2021 casting excluded</x:v>
      </x:c>
      <x:c r="V634" s="14" t="str">
        <x:v>Earliest supplied year is 2025, later than the 2021 study year.</x:v>
      </x:c>
      <x:c r="W634" s="14"/>
      <x:c r="X634" s="14" t="str">
        <x:v>Carried forward to 2025</x:v>
      </x:c>
      <x:c r="Y634" s="14"/>
      <x:c r="Z634" s="14" t="str">
        <x:v>Professor T.docx</x:v>
      </x:c>
      <x:c r="AA6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ITV / ITVX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7" t="e">
        <x:f>HYPERLINK("https://en.wikipedia.org/wiki/Professor_T.","Open source")</x:f>
        <x:v>HYPERLINK is not implemented. linkLocation=https://en.wikipedia.org/wiki/Professor_T., friendlyName=Open source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 t="str">
        <x:v>No established-register match</x:v>
      </x:c>
      <x:c r="AT634" s="14"/>
      <x:c r="AU634" s="14"/>
      <x:c r="AV634" s="14" t="str">
        <x:v>No established apparent-disability match</x:v>
      </x:c>
      <x:c r="AW634" s="14"/>
      <x:c r="AX634" s="14" t="str">
        <x:v>No</x:v>
      </x:c>
      <x:c r="AY634" s="14" t="str">
        <x:v>Unmatched</x:v>
      </x:c>
      <x:c r="AZ634" s="14" t="str">
        <x:v>Final supplied register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 t="n">
        <x:v>30</x:v>
      </x:c>
      <x:c r="BP634" s="14" t="str">
        <x:v>Maximum eligible IMDb cast-credit total (30), shared by 2 performer(s); not independently verified as a 2021-only episode total.</x:v>
      </x:c>
      <x:c r="BQ634" s="14" t="str">
        <x:v>Medium</x:v>
      </x:c>
      <x:c r="BR634" s="15" t="n">
        <x:v>1</x:v>
      </x:c>
      <x:c r="BS634" s="16" t="n">
        <x:v>0.03333333333333333</x:v>
      </x:c>
      <x:c r="BT634" s="14" t="str">
        <x:v>One episode</x:v>
      </x:c>
      <x:c r="BU634" s="14" t="str">
        <x:v>Medium</x:v>
      </x:c>
      <x:c r="BV634" s="14" t="str">
        <x:v>Derived from supplied IMDb episode count and the documented production-total proxy.</x:v>
      </x:c>
      <x:c r="BW634" s="14" t="str">
        <x:v>Unable to determine</x:v>
      </x:c>
      <x:c r="BX634" s="14" t="str">
        <x:v>Supplied cast data establishes the credit and episode presence but does not establish narrative prominence.</x:v>
      </x:c>
      <x:c r="BY634" s="14" t="str">
        <x:v>Supplied IMDb cast-list workbook</x:v>
      </x:c>
      <x:c r="BZ6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tt11981644|nm2393646|bruno sommers</x:v>
      </x:c>
      <x:c r="B635" s="14" t="str">
        <x:v>02</x:v>
      </x:c>
      <x:c r="C635" s="14" t="str">
        <x:v>2021_IMDb_Cast_Lists_Batch_02(1).xlsx</x:v>
      </x:c>
      <x:c r="D635" s="14" t="str">
        <x:v>Professor T</x:v>
      </x:c>
      <x:c r="E635" s="14" t="n">
        <x:v>72</x:v>
      </x:c>
      <x:c r="F635" s="14" t="str">
        <x:v>Professor T</x:v>
      </x:c>
      <x:c r="G635" s="14" t="str">
        <x:v>tt11981644</x:v>
      </x:c>
      <x:c r="H635" s="14" t="n">
        <x:v>2021</x:v>
      </x:c>
      <x:c r="I635" s="14" t="n">
        <x:v>2023</x:v>
      </x:c>
      <x:c r="J635" s="14" t="str">
        <x:v>Future Carry-Forward Cohort</x:v>
      </x:c>
      <x:c r="K635" s="14" t="n">
        <x:v>2021</x:v>
      </x:c>
      <x:c r="L635" s="14" t="str">
        <x:v>Available from 2021 analysis</x:v>
      </x:c>
      <x:c r="M635" s="15" t="n">
        <x:v>65</x:v>
      </x:c>
      <x:c r="N635" s="14" t="str">
        <x:v>James Anderson</x:v>
      </x:c>
      <x:c r="O635" s="14" t="str">
        <x:v>nm2393646</x:v>
      </x:c>
      <x:c r="P635" s="14" t="str">
        <x:v>Bruno Sommers</x:v>
      </x:c>
      <x:c r="Q635" s="15" t="n">
        <x:v>1</x:v>
      </x:c>
      <x:c r="R635" s="14" t="str">
        <x:v>2025</x:v>
      </x:c>
      <x:c r="S635" s="14" t="n">
        <x:v>2025</x:v>
      </x:c>
      <x:c r="T635" s="14" t="n">
        <x:v>2025</x:v>
      </x:c>
      <x:c r="U635" s="14" t="str">
        <x:v>Post-2021 casting excluded</x:v>
      </x:c>
      <x:c r="V635" s="14" t="str">
        <x:v>Earliest supplied year is 2025, later than the 2021 study year.</x:v>
      </x:c>
      <x:c r="W635" s="14"/>
      <x:c r="X635" s="14" t="str">
        <x:v>Carried forward to 2025</x:v>
      </x:c>
      <x:c r="Y635" s="14"/>
      <x:c r="Z635" s="14" t="str">
        <x:v>Professor T.docx</x:v>
      </x:c>
      <x:c r="AA6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ITV / ITVX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7" t="e">
        <x:f>HYPERLINK("https://en.wikipedia.org/wiki/Professor_T.","Open source")</x:f>
        <x:v>HYPERLINK is not implemented. linkLocation=https://en.wikipedia.org/wiki/Professor_T., friendlyName=Open source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 t="str">
        <x:v>No established-register match</x:v>
      </x:c>
      <x:c r="AT635" s="14"/>
      <x:c r="AU635" s="14"/>
      <x:c r="AV635" s="14" t="str">
        <x:v>No established apparent-disability match</x:v>
      </x:c>
      <x:c r="AW635" s="14"/>
      <x:c r="AX635" s="14" t="str">
        <x:v>No</x:v>
      </x:c>
      <x:c r="AY635" s="14" t="str">
        <x:v>Unmatched</x:v>
      </x:c>
      <x:c r="AZ635" s="14" t="str">
        <x:v>Final supplied register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 t="n">
        <x:v>30</x:v>
      </x:c>
      <x:c r="BP635" s="14" t="str">
        <x:v>Maximum eligible IMDb cast-credit total (30), shared by 2 performer(s); not independently verified as a 2021-only episode total.</x:v>
      </x:c>
      <x:c r="BQ635" s="14" t="str">
        <x:v>Medium</x:v>
      </x:c>
      <x:c r="BR635" s="15" t="n">
        <x:v>1</x:v>
      </x:c>
      <x:c r="BS635" s="16" t="n">
        <x:v>0.03333333333333333</x:v>
      </x:c>
      <x:c r="BT635" s="14" t="str">
        <x:v>One episode</x:v>
      </x:c>
      <x:c r="BU635" s="14" t="str">
        <x:v>Medium</x:v>
      </x:c>
      <x:c r="BV635" s="14" t="str">
        <x:v>Derived from supplied IMDb episode count and the documented production-total proxy.</x:v>
      </x:c>
      <x:c r="BW635" s="14" t="str">
        <x:v>Unable to determine</x:v>
      </x:c>
      <x:c r="BX635" s="14" t="str">
        <x:v>Supplied cast data establishes the credit and episode presence but does not establish narrative prominence.</x:v>
      </x:c>
      <x:c r="BY635" s="14" t="str">
        <x:v>Supplied IMDb cast-list workbook</x:v>
      </x:c>
      <x:c r="BZ6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tt11981644|nm9944131|jc lewis</x:v>
      </x:c>
      <x:c r="B636" s="14" t="str">
        <x:v>02</x:v>
      </x:c>
      <x:c r="C636" s="14" t="str">
        <x:v>2021_IMDb_Cast_Lists_Batch_02(1).xlsx</x:v>
      </x:c>
      <x:c r="D636" s="14" t="str">
        <x:v>Professor T</x:v>
      </x:c>
      <x:c r="E636" s="14" t="n">
        <x:v>73</x:v>
      </x:c>
      <x:c r="F636" s="14" t="str">
        <x:v>Professor T</x:v>
      </x:c>
      <x:c r="G636" s="14" t="str">
        <x:v>tt11981644</x:v>
      </x:c>
      <x:c r="H636" s="14" t="n">
        <x:v>2021</x:v>
      </x:c>
      <x:c r="I636" s="14" t="n">
        <x:v>2023</x:v>
      </x:c>
      <x:c r="J636" s="14" t="str">
        <x:v>Future Carry-Forward Cohort</x:v>
      </x:c>
      <x:c r="K636" s="14" t="n">
        <x:v>2021</x:v>
      </x:c>
      <x:c r="L636" s="14" t="str">
        <x:v>Available from 2021 analysis</x:v>
      </x:c>
      <x:c r="M636" s="15" t="n">
        <x:v>66</x:v>
      </x:c>
      <x:c r="N636" s="14" t="str">
        <x:v>Angus Yellowlees</x:v>
      </x:c>
      <x:c r="O636" s="14" t="str">
        <x:v>nm9944131</x:v>
      </x:c>
      <x:c r="P636" s="14" t="str">
        <x:v>JC Lewis</x:v>
      </x:c>
      <x:c r="Q636" s="15" t="n">
        <x:v>1</x:v>
      </x:c>
      <x:c r="R636" s="14" t="str">
        <x:v>2025</x:v>
      </x:c>
      <x:c r="S636" s="14" t="n">
        <x:v>2025</x:v>
      </x:c>
      <x:c r="T636" s="14" t="n">
        <x:v>2025</x:v>
      </x:c>
      <x:c r="U636" s="14" t="str">
        <x:v>Post-2021 casting excluded</x:v>
      </x:c>
      <x:c r="V636" s="14" t="str">
        <x:v>Earliest supplied year is 2025, later than the 2021 study year.</x:v>
      </x:c>
      <x:c r="W636" s="14"/>
      <x:c r="X636" s="14" t="str">
        <x:v>Carried forward to 2025</x:v>
      </x:c>
      <x:c r="Y636" s="14"/>
      <x:c r="Z636" s="14" t="str">
        <x:v>Professor T.docx</x:v>
      </x:c>
      <x:c r="AA6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ITV / ITVX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7" t="e">
        <x:f>HYPERLINK("https://en.wikipedia.org/wiki/Professor_T.","Open source")</x:f>
        <x:v>HYPERLINK is not implemented. linkLocation=https://en.wikipedia.org/wiki/Professor_T., friendlyName=Open source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 t="str">
        <x:v>No established-register match</x:v>
      </x:c>
      <x:c r="AT636" s="14"/>
      <x:c r="AU636" s="14"/>
      <x:c r="AV636" s="14" t="str">
        <x:v>No established apparent-disability match</x:v>
      </x:c>
      <x:c r="AW636" s="14"/>
      <x:c r="AX636" s="14" t="str">
        <x:v>No</x:v>
      </x:c>
      <x:c r="AY636" s="14" t="str">
        <x:v>Unmatched</x:v>
      </x:c>
      <x:c r="AZ636" s="14" t="str">
        <x:v>Final supplied register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 t="n">
        <x:v>30</x:v>
      </x:c>
      <x:c r="BP636" s="14" t="str">
        <x:v>Maximum eligible IMDb cast-credit total (30), shared by 2 performer(s); not independently verified as a 2021-only episode total.</x:v>
      </x:c>
      <x:c r="BQ636" s="14" t="str">
        <x:v>Medium</x:v>
      </x:c>
      <x:c r="BR636" s="15" t="n">
        <x:v>1</x:v>
      </x:c>
      <x:c r="BS636" s="16" t="n">
        <x:v>0.03333333333333333</x:v>
      </x:c>
      <x:c r="BT636" s="14" t="str">
        <x:v>One episode</x:v>
      </x:c>
      <x:c r="BU636" s="14" t="str">
        <x:v>Medium</x:v>
      </x:c>
      <x:c r="BV636" s="14" t="str">
        <x:v>Derived from supplied IMDb episode count and the documented production-total proxy.</x:v>
      </x:c>
      <x:c r="BW636" s="14" t="str">
        <x:v>Unable to determine</x:v>
      </x:c>
      <x:c r="BX636" s="14" t="str">
        <x:v>Supplied cast data establishes the credit and episode presence but does not establish narrative prominence.</x:v>
      </x:c>
      <x:c r="BY636" s="14" t="str">
        <x:v>Supplied IMDb cast-list workbook</x:v>
      </x:c>
      <x:c r="BZ6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tt11981644|nm12832881|tanya loomis</x:v>
      </x:c>
      <x:c r="B637" s="14" t="str">
        <x:v>02</x:v>
      </x:c>
      <x:c r="C637" s="14" t="str">
        <x:v>2021_IMDb_Cast_Lists_Batch_02(1).xlsx</x:v>
      </x:c>
      <x:c r="D637" s="14" t="str">
        <x:v>Professor T</x:v>
      </x:c>
      <x:c r="E637" s="14" t="n">
        <x:v>74</x:v>
      </x:c>
      <x:c r="F637" s="14" t="str">
        <x:v>Professor T</x:v>
      </x:c>
      <x:c r="G637" s="14" t="str">
        <x:v>tt11981644</x:v>
      </x:c>
      <x:c r="H637" s="14" t="n">
        <x:v>2021</x:v>
      </x:c>
      <x:c r="I637" s="14" t="n">
        <x:v>2023</x:v>
      </x:c>
      <x:c r="J637" s="14" t="str">
        <x:v>Future Carry-Forward Cohort</x:v>
      </x:c>
      <x:c r="K637" s="14" t="n">
        <x:v>2021</x:v>
      </x:c>
      <x:c r="L637" s="14" t="str">
        <x:v>Available from 2021 analysis</x:v>
      </x:c>
      <x:c r="M637" s="15" t="n">
        <x:v>67</x:v>
      </x:c>
      <x:c r="N637" s="14" t="str">
        <x:v>Sinay Bavurhe</x:v>
      </x:c>
      <x:c r="O637" s="14" t="str">
        <x:v>nm12832881</x:v>
      </x:c>
      <x:c r="P637" s="14" t="str">
        <x:v>Tanya Loomis</x:v>
      </x:c>
      <x:c r="Q637" s="15" t="n">
        <x:v>1</x:v>
      </x:c>
      <x:c r="R637" s="14" t="str">
        <x:v>2025</x:v>
      </x:c>
      <x:c r="S637" s="14" t="n">
        <x:v>2025</x:v>
      </x:c>
      <x:c r="T637" s="14" t="n">
        <x:v>2025</x:v>
      </x:c>
      <x:c r="U637" s="14" t="str">
        <x:v>Post-2021 casting excluded</x:v>
      </x:c>
      <x:c r="V637" s="14" t="str">
        <x:v>Earliest supplied year is 2025, later than the 2021 study year.</x:v>
      </x:c>
      <x:c r="W637" s="14"/>
      <x:c r="X637" s="14" t="str">
        <x:v>Carried forward to 2025</x:v>
      </x:c>
      <x:c r="Y637" s="14"/>
      <x:c r="Z637" s="14" t="str">
        <x:v>Professor T.docx</x:v>
      </x:c>
      <x:c r="AA6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ITV / ITVX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7" t="e">
        <x:f>HYPERLINK("https://en.wikipedia.org/wiki/Professor_T.","Open source")</x:f>
        <x:v>HYPERLINK is not implemented. linkLocation=https://en.wikipedia.org/wiki/Professor_T., friendlyName=Open source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 t="str">
        <x:v>No established-register match</x:v>
      </x:c>
      <x:c r="AT637" s="14"/>
      <x:c r="AU637" s="14"/>
      <x:c r="AV637" s="14" t="str">
        <x:v>No established apparent-disability match</x:v>
      </x:c>
      <x:c r="AW637" s="14"/>
      <x:c r="AX637" s="14" t="str">
        <x:v>No</x:v>
      </x:c>
      <x:c r="AY637" s="14" t="str">
        <x:v>Unmatched</x:v>
      </x:c>
      <x:c r="AZ637" s="14" t="str">
        <x:v>Final supplied register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 t="n">
        <x:v>30</x:v>
      </x:c>
      <x:c r="BP637" s="14" t="str">
        <x:v>Maximum eligible IMDb cast-credit total (30), shared by 2 performer(s); not independently verified as a 2021-only episode total.</x:v>
      </x:c>
      <x:c r="BQ637" s="14" t="str">
        <x:v>Medium</x:v>
      </x:c>
      <x:c r="BR637" s="15" t="n">
        <x:v>1</x:v>
      </x:c>
      <x:c r="BS637" s="16" t="n">
        <x:v>0.03333333333333333</x:v>
      </x:c>
      <x:c r="BT637" s="14" t="str">
        <x:v>One episode</x:v>
      </x:c>
      <x:c r="BU637" s="14" t="str">
        <x:v>Medium</x:v>
      </x:c>
      <x:c r="BV637" s="14" t="str">
        <x:v>Derived from supplied IMDb episode count and the documented production-total proxy.</x:v>
      </x:c>
      <x:c r="BW637" s="14" t="str">
        <x:v>Unable to determine</x:v>
      </x:c>
      <x:c r="BX637" s="14" t="str">
        <x:v>Supplied cast data establishes the credit and episode presence but does not establish narrative prominence.</x:v>
      </x:c>
      <x:c r="BY637" s="14" t="str">
        <x:v>Supplied IMDb cast-list workbook</x:v>
      </x:c>
      <x:c r="BZ6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tt11981644|nm17593077|jay morgan</x:v>
      </x:c>
      <x:c r="B638" s="14" t="str">
        <x:v>02</x:v>
      </x:c>
      <x:c r="C638" s="14" t="str">
        <x:v>2021_IMDb_Cast_Lists_Batch_02(1).xlsx</x:v>
      </x:c>
      <x:c r="D638" s="14" t="str">
        <x:v>Professor T</x:v>
      </x:c>
      <x:c r="E638" s="14" t="n">
        <x:v>75</x:v>
      </x:c>
      <x:c r="F638" s="14" t="str">
        <x:v>Professor T</x:v>
      </x:c>
      <x:c r="G638" s="14" t="str">
        <x:v>tt11981644</x:v>
      </x:c>
      <x:c r="H638" s="14" t="n">
        <x:v>2021</x:v>
      </x:c>
      <x:c r="I638" s="14" t="n">
        <x:v>2023</x:v>
      </x:c>
      <x:c r="J638" s="14" t="str">
        <x:v>Future Carry-Forward Cohort</x:v>
      </x:c>
      <x:c r="K638" s="14" t="n">
        <x:v>2021</x:v>
      </x:c>
      <x:c r="L638" s="14" t="str">
        <x:v>Available from 2021 analysis</x:v>
      </x:c>
      <x:c r="M638" s="15" t="n">
        <x:v>68</x:v>
      </x:c>
      <x:c r="N638" s="14" t="str">
        <x:v>Ludovic Lhoest</x:v>
      </x:c>
      <x:c r="O638" s="14" t="str">
        <x:v>nm17593077</x:v>
      </x:c>
      <x:c r="P638" s="14" t="str">
        <x:v>Jay Morgan</x:v>
      </x:c>
      <x:c r="Q638" s="15" t="n">
        <x:v>1</x:v>
      </x:c>
      <x:c r="R638" s="14" t="str">
        <x:v>2025</x:v>
      </x:c>
      <x:c r="S638" s="14" t="n">
        <x:v>2025</x:v>
      </x:c>
      <x:c r="T638" s="14" t="n">
        <x:v>2025</x:v>
      </x:c>
      <x:c r="U638" s="14" t="str">
        <x:v>Post-2021 casting excluded</x:v>
      </x:c>
      <x:c r="V638" s="14" t="str">
        <x:v>Earliest supplied year is 2025, later than the 2021 study year.</x:v>
      </x:c>
      <x:c r="W638" s="14"/>
      <x:c r="X638" s="14" t="str">
        <x:v>Carried forward to 2025</x:v>
      </x:c>
      <x:c r="Y638" s="14"/>
      <x:c r="Z638" s="14" t="str">
        <x:v>Professor T.docx</x:v>
      </x:c>
      <x:c r="AA6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ITV / ITVX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7" t="e">
        <x:f>HYPERLINK("https://en.wikipedia.org/wiki/Professor_T.","Open source")</x:f>
        <x:v>HYPERLINK is not implemented. linkLocation=https://en.wikipedia.org/wiki/Professor_T., friendlyName=Open source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 t="str">
        <x:v>No established-register match</x:v>
      </x:c>
      <x:c r="AT638" s="14"/>
      <x:c r="AU638" s="14"/>
      <x:c r="AV638" s="14" t="str">
        <x:v>No established apparent-disability match</x:v>
      </x:c>
      <x:c r="AW638" s="14"/>
      <x:c r="AX638" s="14" t="str">
        <x:v>No</x:v>
      </x:c>
      <x:c r="AY638" s="14" t="str">
        <x:v>Unmatched</x:v>
      </x:c>
      <x:c r="AZ638" s="14" t="str">
        <x:v>Final supplied register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 t="n">
        <x:v>30</x:v>
      </x:c>
      <x:c r="BP638" s="14" t="str">
        <x:v>Maximum eligible IMDb cast-credit total (30), shared by 2 performer(s); not independently verified as a 2021-only episode total.</x:v>
      </x:c>
      <x:c r="BQ638" s="14" t="str">
        <x:v>Medium</x:v>
      </x:c>
      <x:c r="BR638" s="15" t="n">
        <x:v>1</x:v>
      </x:c>
      <x:c r="BS638" s="16" t="n">
        <x:v>0.03333333333333333</x:v>
      </x:c>
      <x:c r="BT638" s="14" t="str">
        <x:v>One episode</x:v>
      </x:c>
      <x:c r="BU638" s="14" t="str">
        <x:v>Medium</x:v>
      </x:c>
      <x:c r="BV638" s="14" t="str">
        <x:v>Derived from supplied IMDb episode count and the documented production-total proxy.</x:v>
      </x:c>
      <x:c r="BW638" s="14" t="str">
        <x:v>Unable to determine</x:v>
      </x:c>
      <x:c r="BX638" s="14" t="str">
        <x:v>Supplied cast data establishes the credit and episode presence but does not establish narrative prominence.</x:v>
      </x:c>
      <x:c r="BY638" s="14" t="str">
        <x:v>Supplied IMDb cast-list workbook</x:v>
      </x:c>
      <x:c r="BZ6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tt11981644|nm4622214|pc2</x:v>
      </x:c>
      <x:c r="B639" s="14" t="str">
        <x:v>02</x:v>
      </x:c>
      <x:c r="C639" s="14" t="str">
        <x:v>2021_IMDb_Cast_Lists_Batch_02(1).xlsx</x:v>
      </x:c>
      <x:c r="D639" s="14" t="str">
        <x:v>Professor T</x:v>
      </x:c>
      <x:c r="E639" s="14" t="n">
        <x:v>76</x:v>
      </x:c>
      <x:c r="F639" s="14" t="str">
        <x:v>Professor T</x:v>
      </x:c>
      <x:c r="G639" s="14" t="str">
        <x:v>tt11981644</x:v>
      </x:c>
      <x:c r="H639" s="14" t="n">
        <x:v>2021</x:v>
      </x:c>
      <x:c r="I639" s="14" t="n">
        <x:v>2023</x:v>
      </x:c>
      <x:c r="J639" s="14" t="str">
        <x:v>Future Carry-Forward Cohort</x:v>
      </x:c>
      <x:c r="K639" s="14" t="n">
        <x:v>2021</x:v>
      </x:c>
      <x:c r="L639" s="14" t="str">
        <x:v>Available from 2021 analysis</x:v>
      </x:c>
      <x:c r="M639" s="15" t="n">
        <x:v>69</x:v>
      </x:c>
      <x:c r="N639" s="14" t="str">
        <x:v>Yva Lake</x:v>
      </x:c>
      <x:c r="O639" s="14" t="str">
        <x:v>nm4622214</x:v>
      </x:c>
      <x:c r="P639" s="14" t="str">
        <x:v>PC2</x:v>
      </x:c>
      <x:c r="Q639" s="15" t="n">
        <x:v>1</x:v>
      </x:c>
      <x:c r="R639" s="14" t="str">
        <x:v>2025</x:v>
      </x:c>
      <x:c r="S639" s="14" t="n">
        <x:v>2025</x:v>
      </x:c>
      <x:c r="T639" s="14" t="n">
        <x:v>2025</x:v>
      </x:c>
      <x:c r="U639" s="14" t="str">
        <x:v>Post-2021 casting excluded</x:v>
      </x:c>
      <x:c r="V639" s="14" t="str">
        <x:v>Earliest supplied year is 2025, later than the 2021 study year.</x:v>
      </x:c>
      <x:c r="W639" s="14"/>
      <x:c r="X639" s="14" t="str">
        <x:v>Carried forward to 2025</x:v>
      </x:c>
      <x:c r="Y639" s="14" t="str">
        <x:v>(as Yvonne Lake)</x:v>
      </x:c>
      <x:c r="Z639" s="14" t="str">
        <x:v>Professor T.docx</x:v>
      </x:c>
      <x:c r="AA6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ITV / ITVX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7" t="e">
        <x:f>HYPERLINK("https://en.wikipedia.org/wiki/Professor_T.","Open source")</x:f>
        <x:v>HYPERLINK is not implemented. linkLocation=https://en.wikipedia.org/wiki/Professor_T., friendlyName=Open source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 t="str">
        <x:v>No established-register match</x:v>
      </x:c>
      <x:c r="AT639" s="14"/>
      <x:c r="AU639" s="14"/>
      <x:c r="AV639" s="14" t="str">
        <x:v>No established apparent-disability match</x:v>
      </x:c>
      <x:c r="AW639" s="14"/>
      <x:c r="AX639" s="14" t="str">
        <x:v>No</x:v>
      </x:c>
      <x:c r="AY639" s="14" t="str">
        <x:v>Unmatched</x:v>
      </x:c>
      <x:c r="AZ639" s="14" t="str">
        <x:v>Final supplied register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 t="n">
        <x:v>30</x:v>
      </x:c>
      <x:c r="BP639" s="14" t="str">
        <x:v>Maximum eligible IMDb cast-credit total (30), shared by 2 performer(s); not independently verified as a 2021-only episode total.</x:v>
      </x:c>
      <x:c r="BQ639" s="14" t="str">
        <x:v>Medium</x:v>
      </x:c>
      <x:c r="BR639" s="15" t="n">
        <x:v>1</x:v>
      </x:c>
      <x:c r="BS639" s="16" t="n">
        <x:v>0.03333333333333333</x:v>
      </x:c>
      <x:c r="BT639" s="14" t="str">
        <x:v>One episode</x:v>
      </x:c>
      <x:c r="BU639" s="14" t="str">
        <x:v>Medium</x:v>
      </x:c>
      <x:c r="BV639" s="14" t="str">
        <x:v>Derived from supplied IMDb episode count and the documented production-total proxy.</x:v>
      </x:c>
      <x:c r="BW639" s="14" t="str">
        <x:v>Unable to determine</x:v>
      </x:c>
      <x:c r="BX639" s="14" t="str">
        <x:v>Supplied cast data establishes the credit and episode presence but does not establish narrative prominence.</x:v>
      </x:c>
      <x:c r="BY639" s="14" t="str">
        <x:v>Supplied IMDb cast-list workbook</x:v>
      </x:c>
      <x:c r="BZ6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tt11981644|nm3008893|phoebe sanders</x:v>
      </x:c>
      <x:c r="B640" s="14" t="str">
        <x:v>02</x:v>
      </x:c>
      <x:c r="C640" s="14" t="str">
        <x:v>2021_IMDb_Cast_Lists_Batch_02(1).xlsx</x:v>
      </x:c>
      <x:c r="D640" s="14" t="str">
        <x:v>Professor T</x:v>
      </x:c>
      <x:c r="E640" s="14" t="n">
        <x:v>78</x:v>
      </x:c>
      <x:c r="F640" s="14" t="str">
        <x:v>Professor T</x:v>
      </x:c>
      <x:c r="G640" s="14" t="str">
        <x:v>tt11981644</x:v>
      </x:c>
      <x:c r="H640" s="14" t="n">
        <x:v>2021</x:v>
      </x:c>
      <x:c r="I640" s="14" t="n">
        <x:v>2023</x:v>
      </x:c>
      <x:c r="J640" s="14" t="str">
        <x:v>Future Carry-Forward Cohort</x:v>
      </x:c>
      <x:c r="K640" s="14" t="n">
        <x:v>2021</x:v>
      </x:c>
      <x:c r="L640" s="14" t="str">
        <x:v>Available from 2021 analysis</x:v>
      </x:c>
      <x:c r="M640" s="15" t="n">
        <x:v>71</x:v>
      </x:c>
      <x:c r="N640" s="14" t="str">
        <x:v>Emily Taaffe</x:v>
      </x:c>
      <x:c r="O640" s="14" t="str">
        <x:v>nm3008893</x:v>
      </x:c>
      <x:c r="P640" s="14" t="str">
        <x:v>Phoebe Sanders</x:v>
      </x:c>
      <x:c r="Q640" s="15" t="n">
        <x:v>1</x:v>
      </x:c>
      <x:c r="R640" s="14" t="str">
        <x:v>2025</x:v>
      </x:c>
      <x:c r="S640" s="14" t="n">
        <x:v>2025</x:v>
      </x:c>
      <x:c r="T640" s="14" t="n">
        <x:v>2025</x:v>
      </x:c>
      <x:c r="U640" s="14" t="str">
        <x:v>Post-2021 casting excluded</x:v>
      </x:c>
      <x:c r="V640" s="14" t="str">
        <x:v>Earliest supplied year is 2025, later than the 2021 study year.</x:v>
      </x:c>
      <x:c r="W640" s="14"/>
      <x:c r="X640" s="14" t="str">
        <x:v>Carried forward to 2025</x:v>
      </x:c>
      <x:c r="Y640" s="14"/>
      <x:c r="Z640" s="14" t="str">
        <x:v>Professor T.docx</x:v>
      </x:c>
      <x:c r="AA6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7" t="e">
        <x:f>HYPERLINK("https://en.wikipedia.org/wiki/Professor_T.","Open source")</x:f>
        <x:v>HYPERLINK is not implemented. linkLocation=https://en.wikipedia.org/wiki/Professor_T., friendlyName=Open source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 t="str">
        <x:v>No established-register match</x:v>
      </x:c>
      <x:c r="AT640" s="14"/>
      <x:c r="AU640" s="14"/>
      <x:c r="AV640" s="14" t="str">
        <x:v>No established apparent-disability match</x:v>
      </x:c>
      <x:c r="AW640" s="14"/>
      <x:c r="AX640" s="14" t="str">
        <x:v>No</x:v>
      </x:c>
      <x:c r="AY640" s="14" t="str">
        <x:v>Unmatched</x:v>
      </x:c>
      <x:c r="AZ640" s="14" t="str">
        <x:v>Final supplied register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30</x:v>
      </x:c>
      <x:c r="BP640" s="14" t="str">
        <x:v>Maximum eligible IMDb cast-credit total (30), shared by 2 performer(s); not independently verified as a 2021-only episode total.</x:v>
      </x:c>
      <x:c r="BQ640" s="14" t="str">
        <x:v>Medium</x:v>
      </x:c>
      <x:c r="BR640" s="15" t="n">
        <x:v>1</x:v>
      </x:c>
      <x:c r="BS640" s="16" t="n">
        <x:v>0.03333333333333333</x:v>
      </x:c>
      <x:c r="BT640" s="14" t="str">
        <x:v>One episode</x:v>
      </x:c>
      <x:c r="BU640" s="14" t="str">
        <x:v>Medium</x:v>
      </x:c>
      <x:c r="BV640" s="14" t="str">
        <x:v>Derived from supplied IMDb episode count and the documented production-total proxy.</x:v>
      </x:c>
      <x:c r="BW640" s="14" t="str">
        <x:v>Unable to determine</x:v>
      </x:c>
      <x:c r="BX640" s="14" t="str">
        <x:v>Supplied cast data establishes the credit and episode presence but does not establish narrative prominence.</x:v>
      </x:c>
      <x:c r="BY640" s="14" t="str">
        <x:v>Supplied IMDb cast-list workbook</x:v>
      </x:c>
      <x:c r="BZ6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tt11981644|nm15747518|ramona stubbs</x:v>
      </x:c>
      <x:c r="B641" s="14" t="str">
        <x:v>02</x:v>
      </x:c>
      <x:c r="C641" s="14" t="str">
        <x:v>2021_IMDb_Cast_Lists_Batch_02(1).xlsx</x:v>
      </x:c>
      <x:c r="D641" s="14" t="str">
        <x:v>Professor T</x:v>
      </x:c>
      <x:c r="E641" s="14" t="n">
        <x:v>79</x:v>
      </x:c>
      <x:c r="F641" s="14" t="str">
        <x:v>Professor T</x:v>
      </x:c>
      <x:c r="G641" s="14" t="str">
        <x:v>tt11981644</x:v>
      </x:c>
      <x:c r="H641" s="14" t="n">
        <x:v>2021</x:v>
      </x:c>
      <x:c r="I641" s="14" t="n">
        <x:v>2023</x:v>
      </x:c>
      <x:c r="J641" s="14" t="str">
        <x:v>Future Carry-Forward Cohort</x:v>
      </x:c>
      <x:c r="K641" s="14" t="n">
        <x:v>2021</x:v>
      </x:c>
      <x:c r="L641" s="14" t="str">
        <x:v>Available from 2021 analysis</x:v>
      </x:c>
      <x:c r="M641" s="15" t="n">
        <x:v>72</x:v>
      </x:c>
      <x:c r="N641" s="14" t="str">
        <x:v>Mia Gill</x:v>
      </x:c>
      <x:c r="O641" s="14" t="str">
        <x:v>nm15747518</x:v>
      </x:c>
      <x:c r="P641" s="14" t="str">
        <x:v>Ramona Stubbs</x:v>
      </x:c>
      <x:c r="Q641" s="15" t="n">
        <x:v>1</x:v>
      </x:c>
      <x:c r="R641" s="14" t="str">
        <x:v>2025</x:v>
      </x:c>
      <x:c r="S641" s="14" t="n">
        <x:v>2025</x:v>
      </x:c>
      <x:c r="T641" s="14" t="n">
        <x:v>2025</x:v>
      </x:c>
      <x:c r="U641" s="14" t="str">
        <x:v>Post-2021 casting excluded</x:v>
      </x:c>
      <x:c r="V641" s="14" t="str">
        <x:v>Earliest supplied year is 2025, later than the 2021 study year.</x:v>
      </x:c>
      <x:c r="W641" s="14"/>
      <x:c r="X641" s="14" t="str">
        <x:v>Carried forward to 2025</x:v>
      </x:c>
      <x:c r="Y641" s="14"/>
      <x:c r="Z641" s="14" t="str">
        <x:v>Professor T.docx</x:v>
      </x:c>
      <x:c r="AA6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7" t="e">
        <x:f>HYPERLINK("https://en.wikipedia.org/wiki/Professor_T.","Open source")</x:f>
        <x:v>HYPERLINK is not implemented. linkLocation=https://en.wikipedia.org/wiki/Professor_T., friendlyName=Open source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 t="str">
        <x:v>No established-register match</x:v>
      </x:c>
      <x:c r="AT641" s="14"/>
      <x:c r="AU641" s="14"/>
      <x:c r="AV641" s="14" t="str">
        <x:v>No established apparent-disability match</x:v>
      </x:c>
      <x:c r="AW641" s="14"/>
      <x:c r="AX641" s="14" t="str">
        <x:v>No</x:v>
      </x:c>
      <x:c r="AY641" s="14" t="str">
        <x:v>Unmatched</x:v>
      </x:c>
      <x:c r="AZ641" s="14" t="str">
        <x:v>Final supplied register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30</x:v>
      </x:c>
      <x:c r="BP641" s="14" t="str">
        <x:v>Maximum eligible IMDb cast-credit total (30), shared by 2 performer(s); not independently verified as a 2021-only episode total.</x:v>
      </x:c>
      <x:c r="BQ641" s="14" t="str">
        <x:v>Medium</x:v>
      </x:c>
      <x:c r="BR641" s="15" t="n">
        <x:v>1</x:v>
      </x:c>
      <x:c r="BS641" s="16" t="n">
        <x:v>0.03333333333333333</x:v>
      </x:c>
      <x:c r="BT641" s="14" t="str">
        <x:v>One episode</x:v>
      </x:c>
      <x:c r="BU641" s="14" t="str">
        <x:v>Medium</x:v>
      </x:c>
      <x:c r="BV641" s="14" t="str">
        <x:v>Derived from supplied IMDb episode count and the documented production-total proxy.</x:v>
      </x:c>
      <x:c r="BW641" s="14" t="str">
        <x:v>Unable to determine</x:v>
      </x:c>
      <x:c r="BX641" s="14" t="str">
        <x:v>Supplied cast data establishes the credit and episode presence but does not establish narrative prominence.</x:v>
      </x:c>
      <x:c r="BY641" s="14" t="str">
        <x:v>Supplied IMDb cast-list workbook</x:v>
      </x:c>
      <x:c r="BZ6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tt11981644|nm6340110|abbey sommers</x:v>
      </x:c>
      <x:c r="B642" s="14" t="str">
        <x:v>02</x:v>
      </x:c>
      <x:c r="C642" s="14" t="str">
        <x:v>2021_IMDb_Cast_Lists_Batch_02(1).xlsx</x:v>
      </x:c>
      <x:c r="D642" s="14" t="str">
        <x:v>Professor T</x:v>
      </x:c>
      <x:c r="E642" s="14" t="n">
        <x:v>80</x:v>
      </x:c>
      <x:c r="F642" s="14" t="str">
        <x:v>Professor T</x:v>
      </x:c>
      <x:c r="G642" s="14" t="str">
        <x:v>tt11981644</x:v>
      </x:c>
      <x:c r="H642" s="14" t="n">
        <x:v>2021</x:v>
      </x:c>
      <x:c r="I642" s="14" t="n">
        <x:v>2023</x:v>
      </x:c>
      <x:c r="J642" s="14" t="str">
        <x:v>Future Carry-Forward Cohort</x:v>
      </x:c>
      <x:c r="K642" s="14" t="n">
        <x:v>2021</x:v>
      </x:c>
      <x:c r="L642" s="14" t="str">
        <x:v>Available from 2021 analysis</x:v>
      </x:c>
      <x:c r="M642" s="15" t="n">
        <x:v>73</x:v>
      </x:c>
      <x:c r="N642" s="14" t="str">
        <x:v>Aude Ruyter</x:v>
      </x:c>
      <x:c r="O642" s="14" t="str">
        <x:v>nm6340110</x:v>
      </x:c>
      <x:c r="P642" s="14" t="str">
        <x:v>Abbey Sommers</x:v>
      </x:c>
      <x:c r="Q642" s="15" t="n">
        <x:v>1</x:v>
      </x:c>
      <x:c r="R642" s="14" t="str">
        <x:v>2025</x:v>
      </x:c>
      <x:c r="S642" s="14" t="n">
        <x:v>2025</x:v>
      </x:c>
      <x:c r="T642" s="14" t="n">
        <x:v>2025</x:v>
      </x:c>
      <x:c r="U642" s="14" t="str">
        <x:v>Post-2021 casting excluded</x:v>
      </x:c>
      <x:c r="V642" s="14" t="str">
        <x:v>Earliest supplied year is 2025, later than the 2021 study year.</x:v>
      </x:c>
      <x:c r="W642" s="14"/>
      <x:c r="X642" s="14" t="str">
        <x:v>Carried forward to 2025</x:v>
      </x:c>
      <x:c r="Y642" s="14"/>
      <x:c r="Z642" s="14" t="str">
        <x:v>Professor T.docx</x:v>
      </x:c>
      <x:c r="AA6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7" t="e">
        <x:f>HYPERLINK("https://en.wikipedia.org/wiki/Professor_T.","Open source")</x:f>
        <x:v>HYPERLINK is not implemented. linkLocation=https://en.wikipedia.org/wiki/Professor_T., friendlyName=Open source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 t="str">
        <x:v>No established-register match</x:v>
      </x:c>
      <x:c r="AT642" s="14"/>
      <x:c r="AU642" s="14"/>
      <x:c r="AV642" s="14" t="str">
        <x:v>No established apparent-disability match</x:v>
      </x:c>
      <x:c r="AW642" s="14"/>
      <x:c r="AX642" s="14" t="str">
        <x:v>No</x:v>
      </x:c>
      <x:c r="AY642" s="14" t="str">
        <x:v>Unmatched</x:v>
      </x:c>
      <x:c r="AZ642" s="14" t="str">
        <x:v>Final supplied register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30</x:v>
      </x:c>
      <x:c r="BP642" s="14" t="str">
        <x:v>Maximum eligible IMDb cast-credit total (30), shared by 2 performer(s); not independently verified as a 2021-only episode total.</x:v>
      </x:c>
      <x:c r="BQ642" s="14" t="str">
        <x:v>Medium</x:v>
      </x:c>
      <x:c r="BR642" s="15" t="n">
        <x:v>1</x:v>
      </x:c>
      <x:c r="BS642" s="16" t="n">
        <x:v>0.03333333333333333</x:v>
      </x:c>
      <x:c r="BT642" s="14" t="str">
        <x:v>One episode</x:v>
      </x:c>
      <x:c r="BU642" s="14" t="str">
        <x:v>Medium</x:v>
      </x:c>
      <x:c r="BV642" s="14" t="str">
        <x:v>Derived from supplied IMDb episode count and the documented production-total proxy.</x:v>
      </x:c>
      <x:c r="BW642" s="14" t="str">
        <x:v>Unable to determine</x:v>
      </x:c>
      <x:c r="BX642" s="14" t="str">
        <x:v>Supplied cast data establishes the credit and episode presence but does not establish narrative prominence.</x:v>
      </x:c>
      <x:c r="BY642" s="14" t="str">
        <x:v>Supplied IMDb cast-list workbook</x:v>
      </x:c>
      <x:c r="BZ6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tt11981644|nm0942021|bradley sanders</x:v>
      </x:c>
      <x:c r="B643" s="14" t="str">
        <x:v>02</x:v>
      </x:c>
      <x:c r="C643" s="14" t="str">
        <x:v>2021_IMDb_Cast_Lists_Batch_02(1).xlsx</x:v>
      </x:c>
      <x:c r="D643" s="14" t="str">
        <x:v>Professor T</x:v>
      </x:c>
      <x:c r="E643" s="14" t="n">
        <x:v>85</x:v>
      </x:c>
      <x:c r="F643" s="14" t="str">
        <x:v>Professor T</x:v>
      </x:c>
      <x:c r="G643" s="14" t="str">
        <x:v>tt11981644</x:v>
      </x:c>
      <x:c r="H643" s="14" t="n">
        <x:v>2021</x:v>
      </x:c>
      <x:c r="I643" s="14" t="n">
        <x:v>2023</x:v>
      </x:c>
      <x:c r="J643" s="14" t="str">
        <x:v>Future Carry-Forward Cohort</x:v>
      </x:c>
      <x:c r="K643" s="14" t="n">
        <x:v>2021</x:v>
      </x:c>
      <x:c r="L643" s="14" t="str">
        <x:v>Available from 2021 analysis</x:v>
      </x:c>
      <x:c r="M643" s="15" t="n">
        <x:v>78</x:v>
      </x:c>
      <x:c r="N643" s="14" t="str">
        <x:v>Jonathan Wrather</x:v>
      </x:c>
      <x:c r="O643" s="14" t="str">
        <x:v>nm0942021</x:v>
      </x:c>
      <x:c r="P643" s="14" t="str">
        <x:v>Bradley Sanders</x:v>
      </x:c>
      <x:c r="Q643" s="15" t="n">
        <x:v>1</x:v>
      </x:c>
      <x:c r="R643" s="14" t="str">
        <x:v>2025</x:v>
      </x:c>
      <x:c r="S643" s="14" t="n">
        <x:v>2025</x:v>
      </x:c>
      <x:c r="T643" s="14" t="n">
        <x:v>2025</x:v>
      </x:c>
      <x:c r="U643" s="14" t="str">
        <x:v>Post-2021 casting excluded</x:v>
      </x:c>
      <x:c r="V643" s="14" t="str">
        <x:v>Earliest supplied year is 2025, later than the 2021 study year.</x:v>
      </x:c>
      <x:c r="W643" s="14"/>
      <x:c r="X643" s="14" t="str">
        <x:v>Carried forward to 2025</x:v>
      </x:c>
      <x:c r="Y643" s="14"/>
      <x:c r="Z643" s="14" t="str">
        <x:v>Professor T.docx</x:v>
      </x:c>
      <x:c r="AA6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7" t="e">
        <x:f>HYPERLINK("https://en.wikipedia.org/wiki/Professor_T.","Open source")</x:f>
        <x:v>HYPERLINK is not implemented. linkLocation=https://en.wikipedia.org/wiki/Professor_T., friendlyName=Open source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 t="str">
        <x:v>No established-register match</x:v>
      </x:c>
      <x:c r="AT643" s="14"/>
      <x:c r="AU643" s="14"/>
      <x:c r="AV643" s="14" t="str">
        <x:v>No established apparent-disability match</x:v>
      </x:c>
      <x:c r="AW643" s="14"/>
      <x:c r="AX643" s="14" t="str">
        <x:v>No</x:v>
      </x:c>
      <x:c r="AY643" s="14" t="str">
        <x:v>Unmatched</x:v>
      </x:c>
      <x:c r="AZ643" s="14" t="str">
        <x:v>Final supplied register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30</x:v>
      </x:c>
      <x:c r="BP643" s="14" t="str">
        <x:v>Maximum eligible IMDb cast-credit total (30), shared by 2 performer(s); not independently verified as a 2021-only episode total.</x:v>
      </x:c>
      <x:c r="BQ643" s="14" t="str">
        <x:v>Medium</x:v>
      </x:c>
      <x:c r="BR643" s="15" t="n">
        <x:v>1</x:v>
      </x:c>
      <x:c r="BS643" s="16" t="n">
        <x:v>0.03333333333333333</x:v>
      </x:c>
      <x:c r="BT643" s="14" t="str">
        <x:v>One episode</x:v>
      </x:c>
      <x:c r="BU643" s="14" t="str">
        <x:v>Medium</x:v>
      </x:c>
      <x:c r="BV643" s="14" t="str">
        <x:v>Derived from supplied IMDb episode count and the documented production-total proxy.</x:v>
      </x:c>
      <x:c r="BW643" s="14" t="str">
        <x:v>Unable to determine</x:v>
      </x:c>
      <x:c r="BX643" s="14" t="str">
        <x:v>Supplied cast data establishes the credit and episode presence but does not establish narrative prominence.</x:v>
      </x:c>
      <x:c r="BY643" s="14" t="str">
        <x:v>Supplied IMDb cast-list workbook</x:v>
      </x:c>
      <x:c r="BZ6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tt11981644|nm5534935|captain</x:v>
      </x:c>
      <x:c r="B644" s="14" t="str">
        <x:v>02</x:v>
      </x:c>
      <x:c r="C644" s="14" t="str">
        <x:v>2021_IMDb_Cast_Lists_Batch_02(1).xlsx</x:v>
      </x:c>
      <x:c r="D644" s="14" t="str">
        <x:v>Professor T</x:v>
      </x:c>
      <x:c r="E644" s="14" t="n">
        <x:v>86</x:v>
      </x:c>
      <x:c r="F644" s="14" t="str">
        <x:v>Professor T</x:v>
      </x:c>
      <x:c r="G644" s="14" t="str">
        <x:v>tt11981644</x:v>
      </x:c>
      <x:c r="H644" s="14" t="n">
        <x:v>2021</x:v>
      </x:c>
      <x:c r="I644" s="14" t="n">
        <x:v>2023</x:v>
      </x:c>
      <x:c r="J644" s="14" t="str">
        <x:v>Future Carry-Forward Cohort</x:v>
      </x:c>
      <x:c r="K644" s="14" t="n">
        <x:v>2021</x:v>
      </x:c>
      <x:c r="L644" s="14" t="str">
        <x:v>Available from 2021 analysis</x:v>
      </x:c>
      <x:c r="M644" s="15" t="n">
        <x:v>79</x:v>
      </x:c>
      <x:c r="N644" s="14" t="str">
        <x:v>Gareth Kennerley</x:v>
      </x:c>
      <x:c r="O644" s="14" t="str">
        <x:v>nm5534935</x:v>
      </x:c>
      <x:c r="P644" s="14" t="str">
        <x:v>Captain</x:v>
      </x:c>
      <x:c r="Q644" s="15" t="n">
        <x:v>1</x:v>
      </x:c>
      <x:c r="R644" s="14" t="str">
        <x:v>2025</x:v>
      </x:c>
      <x:c r="S644" s="14" t="n">
        <x:v>2025</x:v>
      </x:c>
      <x:c r="T644" s="14" t="n">
        <x:v>2025</x:v>
      </x:c>
      <x:c r="U644" s="14" t="str">
        <x:v>Post-2021 casting excluded</x:v>
      </x:c>
      <x:c r="V644" s="14" t="str">
        <x:v>Earliest supplied year is 2025, later than the 2021 study year.</x:v>
      </x:c>
      <x:c r="W644" s="14"/>
      <x:c r="X644" s="14" t="str">
        <x:v>Carried forward to 2025</x:v>
      </x:c>
      <x:c r="Y644" s="14"/>
      <x:c r="Z644" s="14" t="str">
        <x:v>Professor T.docx</x:v>
      </x:c>
      <x:c r="AA6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7" t="e">
        <x:f>HYPERLINK("https://en.wikipedia.org/wiki/Professor_T.","Open source")</x:f>
        <x:v>HYPERLINK is not implemented. linkLocation=https://en.wikipedia.org/wiki/Professor_T., friendlyName=Open source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 t="str">
        <x:v>No established-register match</x:v>
      </x:c>
      <x:c r="AT644" s="14"/>
      <x:c r="AU644" s="14"/>
      <x:c r="AV644" s="14" t="str">
        <x:v>No established apparent-disability match</x:v>
      </x:c>
      <x:c r="AW644" s="14"/>
      <x:c r="AX644" s="14" t="str">
        <x:v>No</x:v>
      </x:c>
      <x:c r="AY644" s="14" t="str">
        <x:v>Unmatched</x:v>
      </x:c>
      <x:c r="AZ644" s="14" t="str">
        <x:v>Final supplied register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30</x:v>
      </x:c>
      <x:c r="BP644" s="14" t="str">
        <x:v>Maximum eligible IMDb cast-credit total (30), shared by 2 performer(s); not independently verified as a 2021-only episode total.</x:v>
      </x:c>
      <x:c r="BQ644" s="14" t="str">
        <x:v>Medium</x:v>
      </x:c>
      <x:c r="BR644" s="15" t="n">
        <x:v>1</x:v>
      </x:c>
      <x:c r="BS644" s="16" t="n">
        <x:v>0.03333333333333333</x:v>
      </x:c>
      <x:c r="BT644" s="14" t="str">
        <x:v>One episode</x:v>
      </x:c>
      <x:c r="BU644" s="14" t="str">
        <x:v>Medium</x:v>
      </x:c>
      <x:c r="BV644" s="14" t="str">
        <x:v>Derived from supplied IMDb episode count and the documented production-total proxy.</x:v>
      </x:c>
      <x:c r="BW644" s="14" t="str">
        <x:v>Unable to determine</x:v>
      </x:c>
      <x:c r="BX644" s="14" t="str">
        <x:v>Supplied cast data establishes the credit and episode presence but does not establish narrative prominence.</x:v>
      </x:c>
      <x:c r="BY644" s="14" t="str">
        <x:v>Supplied IMDb cast-list workbook</x:v>
      </x:c>
      <x:c r="BZ6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tt11981644|nm16855287|elderly tennis man</x:v>
      </x:c>
      <x:c r="B645" s="14" t="str">
        <x:v>02</x:v>
      </x:c>
      <x:c r="C645" s="14" t="str">
        <x:v>2021_IMDb_Cast_Lists_Batch_02(1).xlsx</x:v>
      </x:c>
      <x:c r="D645" s="14" t="str">
        <x:v>Professor T</x:v>
      </x:c>
      <x:c r="E645" s="14" t="n">
        <x:v>87</x:v>
      </x:c>
      <x:c r="F645" s="14" t="str">
        <x:v>Professor T</x:v>
      </x:c>
      <x:c r="G645" s="14" t="str">
        <x:v>tt11981644</x:v>
      </x:c>
      <x:c r="H645" s="14" t="n">
        <x:v>2021</x:v>
      </x:c>
      <x:c r="I645" s="14" t="n">
        <x:v>2023</x:v>
      </x:c>
      <x:c r="J645" s="14" t="str">
        <x:v>Future Carry-Forward Cohort</x:v>
      </x:c>
      <x:c r="K645" s="14" t="n">
        <x:v>2021</x:v>
      </x:c>
      <x:c r="L645" s="14" t="str">
        <x:v>Available from 2021 analysis</x:v>
      </x:c>
      <x:c r="M645" s="15" t="n">
        <x:v>80</x:v>
      </x:c>
      <x:c r="N645" s="14" t="str">
        <x:v>Bill J. Martin</x:v>
      </x:c>
      <x:c r="O645" s="14" t="str">
        <x:v>nm16855287</x:v>
      </x:c>
      <x:c r="P645" s="14" t="str">
        <x:v>Elderly Tennis Man</x:v>
      </x:c>
      <x:c r="Q645" s="15" t="n">
        <x:v>1</x:v>
      </x:c>
      <x:c r="R645" s="14" t="str">
        <x:v>2025</x:v>
      </x:c>
      <x:c r="S645" s="14" t="n">
        <x:v>2025</x:v>
      </x:c>
      <x:c r="T645" s="14" t="n">
        <x:v>2025</x:v>
      </x:c>
      <x:c r="U645" s="14" t="str">
        <x:v>Post-2021 casting excluded</x:v>
      </x:c>
      <x:c r="V645" s="14" t="str">
        <x:v>Earliest supplied year is 2025, later than the 2021 study year.</x:v>
      </x:c>
      <x:c r="W645" s="14"/>
      <x:c r="X645" s="14" t="str">
        <x:v>Carried forward to 2025</x:v>
      </x:c>
      <x:c r="Y645" s="14" t="str">
        <x:v>(as Bill Martin)</x:v>
      </x:c>
      <x:c r="Z645" s="14" t="str">
        <x:v>Professor T.docx</x:v>
      </x:c>
      <x:c r="AA6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7" t="e">
        <x:f>HYPERLINK("https://en.wikipedia.org/wiki/Professor_T.","Open source")</x:f>
        <x:v>HYPERLINK is not implemented. linkLocation=https://en.wikipedia.org/wiki/Professor_T., friendlyName=Open source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 t="str">
        <x:v>No established-register match</x:v>
      </x:c>
      <x:c r="AT645" s="14"/>
      <x:c r="AU645" s="14"/>
      <x:c r="AV645" s="14" t="str">
        <x:v>No established apparent-disability match</x:v>
      </x:c>
      <x:c r="AW645" s="14"/>
      <x:c r="AX645" s="14" t="str">
        <x:v>No</x:v>
      </x:c>
      <x:c r="AY645" s="14" t="str">
        <x:v>Unmatched</x:v>
      </x:c>
      <x:c r="AZ645" s="14" t="str">
        <x:v>Final supplied register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30</x:v>
      </x:c>
      <x:c r="BP645" s="14" t="str">
        <x:v>Maximum eligible IMDb cast-credit total (30), shared by 2 performer(s); not independently verified as a 2021-only episode total.</x:v>
      </x:c>
      <x:c r="BQ645" s="14" t="str">
        <x:v>Medium</x:v>
      </x:c>
      <x:c r="BR645" s="15" t="n">
        <x:v>1</x:v>
      </x:c>
      <x:c r="BS645" s="16" t="n">
        <x:v>0.03333333333333333</x:v>
      </x:c>
      <x:c r="BT645" s="14" t="str">
        <x:v>One episode</x:v>
      </x:c>
      <x:c r="BU645" s="14" t="str">
        <x:v>Medium</x:v>
      </x:c>
      <x:c r="BV645" s="14" t="str">
        <x:v>Derived from supplied IMDb episode count and the documented production-total proxy.</x:v>
      </x:c>
      <x:c r="BW645" s="14" t="str">
        <x:v>Unable to determine</x:v>
      </x:c>
      <x:c r="BX645" s="14" t="str">
        <x:v>Supplied cast data establishes the credit and episode presence but does not establish narrative prominence.</x:v>
      </x:c>
      <x:c r="BY645" s="14" t="str">
        <x:v>Supplied IMDb cast-list workbook</x:v>
      </x:c>
      <x:c r="BZ6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tt11981644|nm2390340|julie norman</x:v>
      </x:c>
      <x:c r="B646" s="14" t="str">
        <x:v>02</x:v>
      </x:c>
      <x:c r="C646" s="14" t="str">
        <x:v>2021_IMDb_Cast_Lists_Batch_02(1).xlsx</x:v>
      </x:c>
      <x:c r="D646" s="14" t="str">
        <x:v>Professor T</x:v>
      </x:c>
      <x:c r="E646" s="14" t="n">
        <x:v>89</x:v>
      </x:c>
      <x:c r="F646" s="14" t="str">
        <x:v>Professor T</x:v>
      </x:c>
      <x:c r="G646" s="14" t="str">
        <x:v>tt11981644</x:v>
      </x:c>
      <x:c r="H646" s="14" t="n">
        <x:v>2021</x:v>
      </x:c>
      <x:c r="I646" s="14" t="n">
        <x:v>2023</x:v>
      </x:c>
      <x:c r="J646" s="14" t="str">
        <x:v>Future Carry-Forward Cohort</x:v>
      </x:c>
      <x:c r="K646" s="14" t="n">
        <x:v>2021</x:v>
      </x:c>
      <x:c r="L646" s="14" t="str">
        <x:v>Available from 2021 analysis</x:v>
      </x:c>
      <x:c r="M646" s="15" t="n">
        <x:v>82</x:v>
      </x:c>
      <x:c r="N646" s="14" t="str">
        <x:v>Rebecca Night</x:v>
      </x:c>
      <x:c r="O646" s="14" t="str">
        <x:v>nm2390340</x:v>
      </x:c>
      <x:c r="P646" s="14" t="str">
        <x:v>Julie Norman</x:v>
      </x:c>
      <x:c r="Q646" s="15" t="n">
        <x:v>1</x:v>
      </x:c>
      <x:c r="R646" s="14" t="str">
        <x:v>2025</x:v>
      </x:c>
      <x:c r="S646" s="14" t="n">
        <x:v>2025</x:v>
      </x:c>
      <x:c r="T646" s="14" t="n">
        <x:v>2025</x:v>
      </x:c>
      <x:c r="U646" s="14" t="str">
        <x:v>Post-2021 casting excluded</x:v>
      </x:c>
      <x:c r="V646" s="14" t="str">
        <x:v>Earliest supplied year is 2025, later than the 2021 study year.</x:v>
      </x:c>
      <x:c r="W646" s="14"/>
      <x:c r="X646" s="14" t="str">
        <x:v>Carried forward to 2025</x:v>
      </x:c>
      <x:c r="Y646" s="14"/>
      <x:c r="Z646" s="14" t="str">
        <x:v>Professor T.docx</x:v>
      </x:c>
      <x:c r="AA6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7" t="e">
        <x:f>HYPERLINK("https://en.wikipedia.org/wiki/Professor_T.","Open source")</x:f>
        <x:v>HYPERLINK is not implemented. linkLocation=https://en.wikipedia.org/wiki/Professor_T., friendlyName=Open source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 t="str">
        <x:v>No established-register match</x:v>
      </x:c>
      <x:c r="AT646" s="14"/>
      <x:c r="AU646" s="14"/>
      <x:c r="AV646" s="14" t="str">
        <x:v>No established apparent-disability match</x:v>
      </x:c>
      <x:c r="AW646" s="14"/>
      <x:c r="AX646" s="14" t="str">
        <x:v>No</x:v>
      </x:c>
      <x:c r="AY646" s="14" t="str">
        <x:v>Unmatched</x:v>
      </x:c>
      <x:c r="AZ646" s="14" t="str">
        <x:v>Final supplied register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30</x:v>
      </x:c>
      <x:c r="BP646" s="14" t="str">
        <x:v>Maximum eligible IMDb cast-credit total (30), shared by 2 performer(s); not independently verified as a 2021-only episode total.</x:v>
      </x:c>
      <x:c r="BQ646" s="14" t="str">
        <x:v>Medium</x:v>
      </x:c>
      <x:c r="BR646" s="15" t="n">
        <x:v>1</x:v>
      </x:c>
      <x:c r="BS646" s="16" t="n">
        <x:v>0.03333333333333333</x:v>
      </x:c>
      <x:c r="BT646" s="14" t="str">
        <x:v>One episode</x:v>
      </x:c>
      <x:c r="BU646" s="14" t="str">
        <x:v>Medium</x:v>
      </x:c>
      <x:c r="BV646" s="14" t="str">
        <x:v>Derived from supplied IMDb episode count and the documented production-total proxy.</x:v>
      </x:c>
      <x:c r="BW646" s="14" t="str">
        <x:v>Unable to determine</x:v>
      </x:c>
      <x:c r="BX646" s="14" t="str">
        <x:v>Supplied cast data establishes the credit and episode presence but does not establish narrative prominence.</x:v>
      </x:c>
      <x:c r="BY646" s="14" t="str">
        <x:v>Supplied IMDb cast-list workbook</x:v>
      </x:c>
      <x:c r="BZ6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tt11981644|nm7306987|byram stafford</x:v>
      </x:c>
      <x:c r="B647" s="14" t="str">
        <x:v>02</x:v>
      </x:c>
      <x:c r="C647" s="14" t="str">
        <x:v>2021_IMDb_Cast_Lists_Batch_02(1).xlsx</x:v>
      </x:c>
      <x:c r="D647" s="14" t="str">
        <x:v>Professor T</x:v>
      </x:c>
      <x:c r="E647" s="14" t="n">
        <x:v>90</x:v>
      </x:c>
      <x:c r="F647" s="14" t="str">
        <x:v>Professor T</x:v>
      </x:c>
      <x:c r="G647" s="14" t="str">
        <x:v>tt11981644</x:v>
      </x:c>
      <x:c r="H647" s="14" t="n">
        <x:v>2021</x:v>
      </x:c>
      <x:c r="I647" s="14" t="n">
        <x:v>2023</x:v>
      </x:c>
      <x:c r="J647" s="14" t="str">
        <x:v>Future Carry-Forward Cohort</x:v>
      </x:c>
      <x:c r="K647" s="14" t="n">
        <x:v>2021</x:v>
      </x:c>
      <x:c r="L647" s="14" t="str">
        <x:v>Available from 2021 analysis</x:v>
      </x:c>
      <x:c r="M647" s="15" t="n">
        <x:v>83</x:v>
      </x:c>
      <x:c r="N647" s="14" t="str">
        <x:v>CJ Beckford</x:v>
      </x:c>
      <x:c r="O647" s="14" t="str">
        <x:v>nm7306987</x:v>
      </x:c>
      <x:c r="P647" s="14" t="str">
        <x:v>Byram Stafford</x:v>
      </x:c>
      <x:c r="Q647" s="15" t="n">
        <x:v>1</x:v>
      </x:c>
      <x:c r="R647" s="14" t="str">
        <x:v>2025</x:v>
      </x:c>
      <x:c r="S647" s="14" t="n">
        <x:v>2025</x:v>
      </x:c>
      <x:c r="T647" s="14" t="n">
        <x:v>2025</x:v>
      </x:c>
      <x:c r="U647" s="14" t="str">
        <x:v>Post-2021 casting excluded</x:v>
      </x:c>
      <x:c r="V647" s="14" t="str">
        <x:v>Earliest supplied year is 2025, later than the 2021 study year.</x:v>
      </x:c>
      <x:c r="W647" s="14"/>
      <x:c r="X647" s="14" t="str">
        <x:v>Carried forward to 2025</x:v>
      </x:c>
      <x:c r="Y647" s="14"/>
      <x:c r="Z647" s="14" t="str">
        <x:v>Professor T.docx</x:v>
      </x:c>
      <x:c r="AA6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7" t="e">
        <x:f>HYPERLINK("https://en.wikipedia.org/wiki/Professor_T.","Open source")</x:f>
        <x:v>HYPERLINK is not implemented. linkLocation=https://en.wikipedia.org/wiki/Professor_T., friendlyName=Open source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 t="str">
        <x:v>No established-register match</x:v>
      </x:c>
      <x:c r="AT647" s="14"/>
      <x:c r="AU647" s="14"/>
      <x:c r="AV647" s="14" t="str">
        <x:v>No established apparent-disability match</x:v>
      </x:c>
      <x:c r="AW647" s="14"/>
      <x:c r="AX647" s="14" t="str">
        <x:v>No</x:v>
      </x:c>
      <x:c r="AY647" s="14" t="str">
        <x:v>Unmatched</x:v>
      </x:c>
      <x:c r="AZ647" s="14" t="str">
        <x:v>Final supplied register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30</x:v>
      </x:c>
      <x:c r="BP647" s="14" t="str">
        <x:v>Maximum eligible IMDb cast-credit total (30), shared by 2 performer(s); not independently verified as a 2021-only episode total.</x:v>
      </x:c>
      <x:c r="BQ647" s="14" t="str">
        <x:v>Medium</x:v>
      </x:c>
      <x:c r="BR647" s="15" t="n">
        <x:v>1</x:v>
      </x:c>
      <x:c r="BS647" s="16" t="n">
        <x:v>0.03333333333333333</x:v>
      </x:c>
      <x:c r="BT647" s="14" t="str">
        <x:v>One episode</x:v>
      </x:c>
      <x:c r="BU647" s="14" t="str">
        <x:v>Medium</x:v>
      </x:c>
      <x:c r="BV647" s="14" t="str">
        <x:v>Derived from supplied IMDb episode count and the documented production-total proxy.</x:v>
      </x:c>
      <x:c r="BW647" s="14" t="str">
        <x:v>Unable to determine</x:v>
      </x:c>
      <x:c r="BX647" s="14" t="str">
        <x:v>Supplied cast data establishes the credit and episode presence but does not establish narrative prominence.</x:v>
      </x:c>
      <x:c r="BY647" s="14" t="str">
        <x:v>Supplied IMDb cast-list workbook</x:v>
      </x:c>
      <x:c r="BZ6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tt11981644|nm3335085|tyrone walsh</x:v>
      </x:c>
      <x:c r="B648" s="14" t="str">
        <x:v>02</x:v>
      </x:c>
      <x:c r="C648" s="14" t="str">
        <x:v>2021_IMDb_Cast_Lists_Batch_02(1).xlsx</x:v>
      </x:c>
      <x:c r="D648" s="14" t="str">
        <x:v>Professor T</x:v>
      </x:c>
      <x:c r="E648" s="14" t="n">
        <x:v>91</x:v>
      </x:c>
      <x:c r="F648" s="14" t="str">
        <x:v>Professor T</x:v>
      </x:c>
      <x:c r="G648" s="14" t="str">
        <x:v>tt11981644</x:v>
      </x:c>
      <x:c r="H648" s="14" t="n">
        <x:v>2021</x:v>
      </x:c>
      <x:c r="I648" s="14" t="n">
        <x:v>2023</x:v>
      </x:c>
      <x:c r="J648" s="14" t="str">
        <x:v>Future Carry-Forward Cohort</x:v>
      </x:c>
      <x:c r="K648" s="14" t="n">
        <x:v>2021</x:v>
      </x:c>
      <x:c r="L648" s="14" t="str">
        <x:v>Available from 2021 analysis</x:v>
      </x:c>
      <x:c r="M648" s="15" t="n">
        <x:v>84</x:v>
      </x:c>
      <x:c r="N648" s="14" t="str">
        <x:v>Simon Rhodes</x:v>
      </x:c>
      <x:c r="O648" s="14" t="str">
        <x:v>nm3335085</x:v>
      </x:c>
      <x:c r="P648" s="14" t="str">
        <x:v>Tyrone Walsh</x:v>
      </x:c>
      <x:c r="Q648" s="15" t="n">
        <x:v>1</x:v>
      </x:c>
      <x:c r="R648" s="14" t="str">
        <x:v>2025</x:v>
      </x:c>
      <x:c r="S648" s="14" t="n">
        <x:v>2025</x:v>
      </x:c>
      <x:c r="T648" s="14" t="n">
        <x:v>2025</x:v>
      </x:c>
      <x:c r="U648" s="14" t="str">
        <x:v>Post-2021 casting excluded</x:v>
      </x:c>
      <x:c r="V648" s="14" t="str">
        <x:v>Earliest supplied year is 2025, later than the 2021 study year.</x:v>
      </x:c>
      <x:c r="W648" s="14"/>
      <x:c r="X648" s="14" t="str">
        <x:v>Carried forward to 2025</x:v>
      </x:c>
      <x:c r="Y648" s="14"/>
      <x:c r="Z648" s="14" t="str">
        <x:v>Professor T.docx</x:v>
      </x:c>
      <x:c r="AA6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7" t="e">
        <x:f>HYPERLINK("https://en.wikipedia.org/wiki/Professor_T.","Open source")</x:f>
        <x:v>HYPERLINK is not implemented. linkLocation=https://en.wikipedia.org/wiki/Professor_T., friendlyName=Open source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 t="str">
        <x:v>No established-register match</x:v>
      </x:c>
      <x:c r="AT648" s="14"/>
      <x:c r="AU648" s="14"/>
      <x:c r="AV648" s="14" t="str">
        <x:v>No established apparent-disability match</x:v>
      </x:c>
      <x:c r="AW648" s="14"/>
      <x:c r="AX648" s="14" t="str">
        <x:v>No</x:v>
      </x:c>
      <x:c r="AY648" s="14" t="str">
        <x:v>Unmatched</x:v>
      </x:c>
      <x:c r="AZ648" s="14" t="str">
        <x:v>Final supplied register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30</x:v>
      </x:c>
      <x:c r="BP648" s="14" t="str">
        <x:v>Maximum eligible IMDb cast-credit total (30), shared by 2 performer(s); not independently verified as a 2021-only episode total.</x:v>
      </x:c>
      <x:c r="BQ648" s="14" t="str">
        <x:v>Medium</x:v>
      </x:c>
      <x:c r="BR648" s="15" t="n">
        <x:v>1</x:v>
      </x:c>
      <x:c r="BS648" s="16" t="n">
        <x:v>0.03333333333333333</x:v>
      </x:c>
      <x:c r="BT648" s="14" t="str">
        <x:v>One episode</x:v>
      </x:c>
      <x:c r="BU648" s="14" t="str">
        <x:v>Medium</x:v>
      </x:c>
      <x:c r="BV648" s="14" t="str">
        <x:v>Derived from supplied IMDb episode count and the documented production-total proxy.</x:v>
      </x:c>
      <x:c r="BW648" s="14" t="str">
        <x:v>Unable to determine</x:v>
      </x:c>
      <x:c r="BX648" s="14" t="str">
        <x:v>Supplied cast data establishes the credit and episode presence but does not establish narrative prominence.</x:v>
      </x:c>
      <x:c r="BY648" s="14" t="str">
        <x:v>Supplied IMDb cast-list workbook</x:v>
      </x:c>
      <x:c r="BZ6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tt11981644|nm7658803|vicky stafford</x:v>
      </x:c>
      <x:c r="B649" s="14" t="str">
        <x:v>02</x:v>
      </x:c>
      <x:c r="C649" s="14" t="str">
        <x:v>2021_IMDb_Cast_Lists_Batch_02(1).xlsx</x:v>
      </x:c>
      <x:c r="D649" s="14" t="str">
        <x:v>Professor T</x:v>
      </x:c>
      <x:c r="E649" s="14" t="n">
        <x:v>95</x:v>
      </x:c>
      <x:c r="F649" s="14" t="str">
        <x:v>Professor T</x:v>
      </x:c>
      <x:c r="G649" s="14" t="str">
        <x:v>tt11981644</x:v>
      </x:c>
      <x:c r="H649" s="14" t="n">
        <x:v>2021</x:v>
      </x:c>
      <x:c r="I649" s="14" t="n">
        <x:v>2023</x:v>
      </x:c>
      <x:c r="J649" s="14" t="str">
        <x:v>Future Carry-Forward Cohort</x:v>
      </x:c>
      <x:c r="K649" s="14" t="n">
        <x:v>2021</x:v>
      </x:c>
      <x:c r="L649" s="14" t="str">
        <x:v>Available from 2021 analysis</x:v>
      </x:c>
      <x:c r="M649" s="15" t="n">
        <x:v>88</x:v>
      </x:c>
      <x:c r="N649" s="14" t="str">
        <x:v>Phoebe Sparrow</x:v>
      </x:c>
      <x:c r="O649" s="14" t="str">
        <x:v>nm7658803</x:v>
      </x:c>
      <x:c r="P649" s="14" t="str">
        <x:v>Vicky Stafford</x:v>
      </x:c>
      <x:c r="Q649" s="15" t="n">
        <x:v>1</x:v>
      </x:c>
      <x:c r="R649" s="14" t="str">
        <x:v>2025</x:v>
      </x:c>
      <x:c r="S649" s="14" t="n">
        <x:v>2025</x:v>
      </x:c>
      <x:c r="T649" s="14" t="n">
        <x:v>2025</x:v>
      </x:c>
      <x:c r="U649" s="14" t="str">
        <x:v>Post-2021 casting excluded</x:v>
      </x:c>
      <x:c r="V649" s="14" t="str">
        <x:v>Earliest supplied year is 2025, later than the 2021 study year.</x:v>
      </x:c>
      <x:c r="W649" s="14"/>
      <x:c r="X649" s="14" t="str">
        <x:v>Carried forward to 2025</x:v>
      </x:c>
      <x:c r="Y649" s="14"/>
      <x:c r="Z649" s="14" t="str">
        <x:v>Professor T.docx</x:v>
      </x:c>
      <x:c r="AA6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49" s="14" t="str">
        <x:v>No established-register match</x:v>
      </x:c>
      <x:c r="AC649" s="14"/>
      <x:c r="AD649" s="14"/>
      <x:c r="AE649" s="14"/>
      <x:c r="AF649" s="14"/>
      <x:c r="AG649" s="14" t="str">
        <x:v>No qualifying conclusion recorded. Absence from the register is not evidence that the performer is not disabled.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7" t="e">
        <x:f>HYPERLINK("https://en.wikipedia.org/wiki/Professor_T.","Open source")</x:f>
        <x:v>HYPERLINK is not implemented. linkLocation=https://en.wikipedia.org/wiki/Professor_T., friendlyName=Open source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No established-register match</x:v>
      </x:c>
      <x:c r="AT649" s="14"/>
      <x:c r="AU649" s="14"/>
      <x:c r="AV649" s="14" t="str">
        <x:v>No established apparent-disability match</x:v>
      </x:c>
      <x:c r="AW649" s="14"/>
      <x:c r="AX649" s="14" t="str">
        <x:v>No</x:v>
      </x:c>
      <x:c r="AY649" s="14" t="str">
        <x:v>Unmatched</x:v>
      </x:c>
      <x:c r="AZ649" s="14" t="str">
        <x:v>Final supplied register</x:v>
      </x:c>
      <x:c r="BA649" s="14" t="str">
        <x:v>Absence from the register is not evidence that the performer is not disabled.</x:v>
      </x:c>
      <x:c r="BB649" s="14" t="str">
        <x:v>No established-register match</x:v>
      </x:c>
      <x:c r="BC649" s="14"/>
      <x:c r="BD649" s="14"/>
      <x:c r="BE649" s="14"/>
      <x:c r="BF649" s="14" t="str">
        <x:v>No established apparent-disability match</x:v>
      </x:c>
      <x:c r="BG649" s="14"/>
      <x:c r="BH649" s="14" t="str">
        <x:v>No</x:v>
      </x:c>
      <x:c r="BI649" s="14"/>
      <x:c r="BJ649" s="14"/>
      <x:c r="BK649" s="14"/>
      <x:c r="BL649" s="14" t="str">
        <x:v>Unmatched</x:v>
      </x:c>
      <x:c r="BM649" s="14" t="str">
        <x:v>Final supplied register</x:v>
      </x:c>
      <x:c r="BN649" s="14" t="str">
        <x:v>Absence from the register is not evidence that the performer is not disabled.</x:v>
      </x:c>
      <x:c r="BO649" s="14" t="n">
        <x:v>30</x:v>
      </x:c>
      <x:c r="BP649" s="14" t="str">
        <x:v>Maximum eligible IMDb cast-credit total (30), shared by 2 performer(s); not independently verified as a 2021-only episode total.</x:v>
      </x:c>
      <x:c r="BQ649" s="14" t="str">
        <x:v>Medium</x:v>
      </x:c>
      <x:c r="BR649" s="15" t="n">
        <x:v>1</x:v>
      </x:c>
      <x:c r="BS649" s="16" t="n">
        <x:v>0.03333333333333333</x:v>
      </x:c>
      <x:c r="BT649" s="14" t="str">
        <x:v>One episode</x:v>
      </x:c>
      <x:c r="BU649" s="14" t="str">
        <x:v>Medium</x:v>
      </x:c>
      <x:c r="BV649" s="14" t="str">
        <x:v>Derived from supplied IMDb episode count and the documented production-total proxy.</x:v>
      </x:c>
      <x:c r="BW649" s="14" t="str">
        <x:v>Unable to determine</x:v>
      </x:c>
      <x:c r="BX649" s="14" t="str">
        <x:v>Supplied cast data establishes the credit and episode presence but does not establish narrative prominence.</x:v>
      </x:c>
      <x:c r="BY649" s="14" t="str">
        <x:v>Supplied IMDb cast-list workbook</x:v>
      </x:c>
      <x:c r="BZ6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tt11981644|nm12493278|georgina galvin</x:v>
      </x:c>
      <x:c r="B650" s="14" t="str">
        <x:v>02</x:v>
      </x:c>
      <x:c r="C650" s="14" t="str">
        <x:v>2021_IMDb_Cast_Lists_Batch_02(1).xlsx</x:v>
      </x:c>
      <x:c r="D650" s="14" t="str">
        <x:v>Professor T</x:v>
      </x:c>
      <x:c r="E650" s="14" t="n">
        <x:v>96</x:v>
      </x:c>
      <x:c r="F650" s="14" t="str">
        <x:v>Professor T</x:v>
      </x:c>
      <x:c r="G650" s="14" t="str">
        <x:v>tt11981644</x:v>
      </x:c>
      <x:c r="H650" s="14" t="n">
        <x:v>2021</x:v>
      </x:c>
      <x:c r="I650" s="14" t="n">
        <x:v>2023</x:v>
      </x:c>
      <x:c r="J650" s="14" t="str">
        <x:v>Future Carry-Forward Cohort</x:v>
      </x:c>
      <x:c r="K650" s="14" t="n">
        <x:v>2021</x:v>
      </x:c>
      <x:c r="L650" s="14" t="str">
        <x:v>Available from 2021 analysis</x:v>
      </x:c>
      <x:c r="M650" s="15" t="n">
        <x:v>89</x:v>
      </x:c>
      <x:c r="N650" s="14" t="str">
        <x:v>Keturah Chambers</x:v>
      </x:c>
      <x:c r="O650" s="14" t="str">
        <x:v>nm12493278</x:v>
      </x:c>
      <x:c r="P650" s="14" t="str">
        <x:v>Georgina Galvin</x:v>
      </x:c>
      <x:c r="Q650" s="15" t="n">
        <x:v>1</x:v>
      </x:c>
      <x:c r="R650" s="14" t="str">
        <x:v>2025</x:v>
      </x:c>
      <x:c r="S650" s="14" t="n">
        <x:v>2025</x:v>
      </x:c>
      <x:c r="T650" s="14" t="n">
        <x:v>2025</x:v>
      </x:c>
      <x:c r="U650" s="14" t="str">
        <x:v>Post-2021 casting excluded</x:v>
      </x:c>
      <x:c r="V650" s="14" t="str">
        <x:v>Earliest supplied year is 2025, later than the 2021 study year.</x:v>
      </x:c>
      <x:c r="W650" s="14"/>
      <x:c r="X650" s="14" t="str">
        <x:v>Carried forward to 2025</x:v>
      </x:c>
      <x:c r="Y650" s="14"/>
      <x:c r="Z650" s="14" t="str">
        <x:v>Professor T.docx</x:v>
      </x:c>
      <x:c r="AA6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7" t="e">
        <x:f>HYPERLINK("https://en.wikipedia.org/wiki/Professor_T.","Open source")</x:f>
        <x:v>HYPERLINK is not implemented. linkLocation=https://en.wikipedia.org/wiki/Professor_T., friendlyName=Open source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 t="str">
        <x:v>No established-register match</x:v>
      </x:c>
      <x:c r="AT650" s="14"/>
      <x:c r="AU650" s="14"/>
      <x:c r="AV650" s="14" t="str">
        <x:v>No established apparent-disability match</x:v>
      </x:c>
      <x:c r="AW650" s="14"/>
      <x:c r="AX650" s="14" t="str">
        <x:v>No</x:v>
      </x:c>
      <x:c r="AY650" s="14" t="str">
        <x:v>Unmatched</x:v>
      </x:c>
      <x:c r="AZ650" s="14" t="str">
        <x:v>Final supplied register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30</x:v>
      </x:c>
      <x:c r="BP650" s="14" t="str">
        <x:v>Maximum eligible IMDb cast-credit total (30), shared by 2 performer(s); not independently verified as a 2021-only episode total.</x:v>
      </x:c>
      <x:c r="BQ650" s="14" t="str">
        <x:v>Medium</x:v>
      </x:c>
      <x:c r="BR650" s="15" t="n">
        <x:v>1</x:v>
      </x:c>
      <x:c r="BS650" s="16" t="n">
        <x:v>0.03333333333333333</x:v>
      </x:c>
      <x:c r="BT650" s="14" t="str">
        <x:v>One episode</x:v>
      </x:c>
      <x:c r="BU650" s="14" t="str">
        <x:v>Medium</x:v>
      </x:c>
      <x:c r="BV650" s="14" t="str">
        <x:v>Derived from supplied IMDb episode count and the documented production-total proxy.</x:v>
      </x:c>
      <x:c r="BW650" s="14" t="str">
        <x:v>Unable to determine</x:v>
      </x:c>
      <x:c r="BX650" s="14" t="str">
        <x:v>Supplied cast data establishes the credit and episode presence but does not establish narrative prominence.</x:v>
      </x:c>
      <x:c r="BY650" s="14" t="str">
        <x:v>Supplied IMDb cast-list workbook</x:v>
      </x:c>
      <x:c r="BZ6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tt11981644|nm11073106|francesca sanders</x:v>
      </x:c>
      <x:c r="B651" s="14" t="str">
        <x:v>02</x:v>
      </x:c>
      <x:c r="C651" s="14" t="str">
        <x:v>2021_IMDb_Cast_Lists_Batch_02(1).xlsx</x:v>
      </x:c>
      <x:c r="D651" s="14" t="str">
        <x:v>Professor T</x:v>
      </x:c>
      <x:c r="E651" s="14" t="n">
        <x:v>108</x:v>
      </x:c>
      <x:c r="F651" s="14" t="str">
        <x:v>Professor T</x:v>
      </x:c>
      <x:c r="G651" s="14" t="str">
        <x:v>tt11981644</x:v>
      </x:c>
      <x:c r="H651" s="14" t="n">
        <x:v>2021</x:v>
      </x:c>
      <x:c r="I651" s="14" t="n">
        <x:v>2023</x:v>
      </x:c>
      <x:c r="J651" s="14" t="str">
        <x:v>Future Carry-Forward Cohort</x:v>
      </x:c>
      <x:c r="K651" s="14" t="n">
        <x:v>2021</x:v>
      </x:c>
      <x:c r="L651" s="14" t="str">
        <x:v>Available from 2021 analysis</x:v>
      </x:c>
      <x:c r="M651" s="15" t="n">
        <x:v>101</x:v>
      </x:c>
      <x:c r="N651" s="14" t="str">
        <x:v>Kiki May</x:v>
      </x:c>
      <x:c r="O651" s="14" t="str">
        <x:v>nm11073106</x:v>
      </x:c>
      <x:c r="P651" s="14" t="str">
        <x:v>Francesca Sanders</x:v>
      </x:c>
      <x:c r="Q651" s="15" t="n">
        <x:v>1</x:v>
      </x:c>
      <x:c r="R651" s="14" t="str">
        <x:v>2025</x:v>
      </x:c>
      <x:c r="S651" s="14" t="n">
        <x:v>2025</x:v>
      </x:c>
      <x:c r="T651" s="14" t="n">
        <x:v>2025</x:v>
      </x:c>
      <x:c r="U651" s="14" t="str">
        <x:v>Post-2021 casting excluded</x:v>
      </x:c>
      <x:c r="V651" s="14" t="str">
        <x:v>Earliest supplied year is 2025, later than the 2021 study year.</x:v>
      </x:c>
      <x:c r="W651" s="14"/>
      <x:c r="X651" s="14" t="str">
        <x:v>Carried forward to 2025</x:v>
      </x:c>
      <x:c r="Y651" s="14"/>
      <x:c r="Z651" s="14" t="str">
        <x:v>Professor T.docx</x:v>
      </x:c>
      <x:c r="AA6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7" t="e">
        <x:f>HYPERLINK("https://en.wikipedia.org/wiki/Professor_T.","Open source")</x:f>
        <x:v>HYPERLINK is not implemented. linkLocation=https://en.wikipedia.org/wiki/Professor_T., friendlyName=Open source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 t="str">
        <x:v>No established-register match</x:v>
      </x:c>
      <x:c r="AT651" s="14"/>
      <x:c r="AU651" s="14"/>
      <x:c r="AV651" s="14" t="str">
        <x:v>No established apparent-disability match</x:v>
      </x:c>
      <x:c r="AW651" s="14"/>
      <x:c r="AX651" s="14" t="str">
        <x:v>No</x:v>
      </x:c>
      <x:c r="AY651" s="14" t="str">
        <x:v>Unmatched</x:v>
      </x:c>
      <x:c r="AZ651" s="14" t="str">
        <x:v>Final supplied register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30</x:v>
      </x:c>
      <x:c r="BP651" s="14" t="str">
        <x:v>Maximum eligible IMDb cast-credit total (30), shared by 2 performer(s); not independently verified as a 2021-only episode total.</x:v>
      </x:c>
      <x:c r="BQ651" s="14" t="str">
        <x:v>Medium</x:v>
      </x:c>
      <x:c r="BR651" s="15" t="n">
        <x:v>1</x:v>
      </x:c>
      <x:c r="BS651" s="16" t="n">
        <x:v>0.03333333333333333</x:v>
      </x:c>
      <x:c r="BT651" s="14" t="str">
        <x:v>One episode</x:v>
      </x:c>
      <x:c r="BU651" s="14" t="str">
        <x:v>Medium</x:v>
      </x:c>
      <x:c r="BV651" s="14" t="str">
        <x:v>Derived from supplied IMDb episode count and the documented production-total proxy.</x:v>
      </x:c>
      <x:c r="BW651" s="14" t="str">
        <x:v>Unable to determine</x:v>
      </x:c>
      <x:c r="BX651" s="14" t="str">
        <x:v>Supplied cast data establishes the credit and episode presence but does not establish narrative prominence.</x:v>
      </x:c>
      <x:c r="BY651" s="14" t="str">
        <x:v>Supplied IMDb cast-list workbook</x:v>
      </x:c>
      <x:c r="BZ6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tt11981644|nm0349708|tilly walsh</x:v>
      </x:c>
      <x:c r="B652" s="14" t="str">
        <x:v>02</x:v>
      </x:c>
      <x:c r="C652" s="14" t="str">
        <x:v>2021_IMDb_Cast_Lists_Batch_02(1).xlsx</x:v>
      </x:c>
      <x:c r="D652" s="14" t="str">
        <x:v>Professor T</x:v>
      </x:c>
      <x:c r="E652" s="14" t="n">
        <x:v>109</x:v>
      </x:c>
      <x:c r="F652" s="14" t="str">
        <x:v>Professor T</x:v>
      </x:c>
      <x:c r="G652" s="14" t="str">
        <x:v>tt11981644</x:v>
      </x:c>
      <x:c r="H652" s="14" t="n">
        <x:v>2021</x:v>
      </x:c>
      <x:c r="I652" s="14" t="n">
        <x:v>2023</x:v>
      </x:c>
      <x:c r="J652" s="14" t="str">
        <x:v>Future Carry-Forward Cohort</x:v>
      </x:c>
      <x:c r="K652" s="14" t="n">
        <x:v>2021</x:v>
      </x:c>
      <x:c r="L652" s="14" t="str">
        <x:v>Available from 2021 analysis</x:v>
      </x:c>
      <x:c r="M652" s="15" t="n">
        <x:v>102</x:v>
      </x:c>
      <x:c r="N652" s="14" t="str">
        <x:v>Melanie Gutteridge</x:v>
      </x:c>
      <x:c r="O652" s="14" t="str">
        <x:v>nm0349708</x:v>
      </x:c>
      <x:c r="P652" s="14" t="str">
        <x:v>Tilly Walsh</x:v>
      </x:c>
      <x:c r="Q652" s="15" t="n">
        <x:v>1</x:v>
      </x:c>
      <x:c r="R652" s="14" t="str">
        <x:v>2025</x:v>
      </x:c>
      <x:c r="S652" s="14" t="n">
        <x:v>2025</x:v>
      </x:c>
      <x:c r="T652" s="14" t="n">
        <x:v>2025</x:v>
      </x:c>
      <x:c r="U652" s="14" t="str">
        <x:v>Post-2021 casting excluded</x:v>
      </x:c>
      <x:c r="V652" s="14" t="str">
        <x:v>Earliest supplied year is 2025, later than the 2021 study year.</x:v>
      </x:c>
      <x:c r="W652" s="14"/>
      <x:c r="X652" s="14" t="str">
        <x:v>Carried forward to 2025</x:v>
      </x:c>
      <x:c r="Y652" s="14"/>
      <x:c r="Z652" s="14" t="str">
        <x:v>Professor T.docx</x:v>
      </x:c>
      <x:c r="AA6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7" t="e">
        <x:f>HYPERLINK("https://en.wikipedia.org/wiki/Professor_T.","Open source")</x:f>
        <x:v>HYPERLINK is not implemented. linkLocation=https://en.wikipedia.org/wiki/Professor_T., friendlyName=Open source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 t="str">
        <x:v>No established-register match</x:v>
      </x:c>
      <x:c r="AT652" s="14"/>
      <x:c r="AU652" s="14"/>
      <x:c r="AV652" s="14" t="str">
        <x:v>No established apparent-disability match</x:v>
      </x:c>
      <x:c r="AW652" s="14"/>
      <x:c r="AX652" s="14" t="str">
        <x:v>No</x:v>
      </x:c>
      <x:c r="AY652" s="14" t="str">
        <x:v>Unmatched</x:v>
      </x:c>
      <x:c r="AZ652" s="14" t="str">
        <x:v>Final supplied register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30</x:v>
      </x:c>
      <x:c r="BP652" s="14" t="str">
        <x:v>Maximum eligible IMDb cast-credit total (30), shared by 2 performer(s); not independently verified as a 2021-only episode total.</x:v>
      </x:c>
      <x:c r="BQ652" s="14" t="str">
        <x:v>Medium</x:v>
      </x:c>
      <x:c r="BR652" s="15" t="n">
        <x:v>1</x:v>
      </x:c>
      <x:c r="BS652" s="16" t="n">
        <x:v>0.03333333333333333</x:v>
      </x:c>
      <x:c r="BT652" s="14" t="str">
        <x:v>One episode</x:v>
      </x:c>
      <x:c r="BU652" s="14" t="str">
        <x:v>Medium</x:v>
      </x:c>
      <x:c r="BV652" s="14" t="str">
        <x:v>Derived from supplied IMDb episode count and the documented production-total proxy.</x:v>
      </x:c>
      <x:c r="BW652" s="14" t="str">
        <x:v>Unable to determine</x:v>
      </x:c>
      <x:c r="BX652" s="14" t="str">
        <x:v>Supplied cast data establishes the credit and episode presence but does not establish narrative prominence.</x:v>
      </x:c>
      <x:c r="BY652" s="14" t="str">
        <x:v>Supplied IMDb cast-list workbook</x:v>
      </x:c>
      <x:c r="BZ6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tt11981644|nm0105210|forensic pathologist</x:v>
      </x:c>
      <x:c r="B653" s="14" t="str">
        <x:v>02</x:v>
      </x:c>
      <x:c r="C653" s="14" t="str">
        <x:v>2021_IMDb_Cast_Lists_Batch_02(1).xlsx</x:v>
      </x:c>
      <x:c r="D653" s="14" t="str">
        <x:v>Professor T</x:v>
      </x:c>
      <x:c r="E653" s="14" t="n">
        <x:v>110</x:v>
      </x:c>
      <x:c r="F653" s="14" t="str">
        <x:v>Professor T</x:v>
      </x:c>
      <x:c r="G653" s="14" t="str">
        <x:v>tt11981644</x:v>
      </x:c>
      <x:c r="H653" s="14" t="n">
        <x:v>2021</x:v>
      </x:c>
      <x:c r="I653" s="14" t="n">
        <x:v>2023</x:v>
      </x:c>
      <x:c r="J653" s="14" t="str">
        <x:v>Future Carry-Forward Cohort</x:v>
      </x:c>
      <x:c r="K653" s="14" t="n">
        <x:v>2021</x:v>
      </x:c>
      <x:c r="L653" s="14" t="str">
        <x:v>Available from 2021 analysis</x:v>
      </x:c>
      <x:c r="M653" s="15" t="n">
        <x:v>103</x:v>
      </x:c>
      <x:c r="N653" s="14" t="str">
        <x:v>Darren J. Bransford</x:v>
      </x:c>
      <x:c r="O653" s="14" t="str">
        <x:v>nm0105210</x:v>
      </x:c>
      <x:c r="P653" s="14" t="str">
        <x:v>Forensic Pathologist</x:v>
      </x:c>
      <x:c r="Q653" s="15" t="n">
        <x:v>1</x:v>
      </x:c>
      <x:c r="R653" s="14" t="str">
        <x:v>2025</x:v>
      </x:c>
      <x:c r="S653" s="14" t="n">
        <x:v>2025</x:v>
      </x:c>
      <x:c r="T653" s="14" t="n">
        <x:v>2025</x:v>
      </x:c>
      <x:c r="U653" s="14" t="str">
        <x:v>Post-2021 casting excluded</x:v>
      </x:c>
      <x:c r="V653" s="14" t="str">
        <x:v>Earliest supplied year is 2025, later than the 2021 study year.</x:v>
      </x:c>
      <x:c r="W653" s="14"/>
      <x:c r="X653" s="14" t="str">
        <x:v>Carried forward to 2025</x:v>
      </x:c>
      <x:c r="Y653" s="14"/>
      <x:c r="Z653" s="14" t="str">
        <x:v>Professor T.docx</x:v>
      </x:c>
      <x:c r="AA6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7" t="e">
        <x:f>HYPERLINK("https://en.wikipedia.org/wiki/Professor_T.","Open source")</x:f>
        <x:v>HYPERLINK is not implemented. linkLocation=https://en.wikipedia.org/wiki/Professor_T., friendlyName=Open source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 t="str">
        <x:v>Exact IMDb performer ID match</x:v>
      </x:c>
      <x:c r="AT653" s="14" t="str">
        <x:v>nm0105210</x:v>
      </x:c>
      <x:c r="AU653" s="14" t="str">
        <x:v>Neurodivergent</x:v>
      </x:c>
      <x:c r="AV653" s="14" t="str">
        <x:v>No</x:v>
      </x:c>
      <x:c r="AW653" s="14"/>
      <x:c r="AX653" s="14" t="str">
        <x:v>Yes</x:v>
      </x:c>
      <x:c r="AY653" s="14" t="str">
        <x:v>Matched</x:v>
      </x:c>
      <x:c r="AZ653" s="14" t="str">
        <x:v>Final supplied register</x:v>
      </x:c>
      <x:c r="BA653" s="14"/>
      <x:c r="BB653" s="14" t="str">
        <x:v>Exact IMDb performer ID match</x:v>
      </x:c>
      <x:c r="BC653" s="14" t="str">
        <x:v>nm0105210</x:v>
      </x:c>
      <x:c r="BD653" s="14" t="str">
        <x:v>Darren J. Bransford</x:v>
      </x:c>
      <x:c r="BE653" s="14" t="str">
        <x:v>Neurodivergent</x:v>
      </x:c>
      <x:c r="BF653" s="14" t="str">
        <x:v>No</x:v>
      </x:c>
      <x:c r="BG653" s="14"/>
      <x:c r="BH653" s="14" t="str">
        <x:v>Yes</x:v>
      </x:c>
      <x:c r="BI653" s="14" t="str">
        <x:v>User-supplied established classification</x:v>
      </x:c>
      <x:c r="BJ653" s="14" t="str">
        <x:v>New IMDB Data.csv</x:v>
      </x:c>
      <x:c r="BK653" s="14"/>
      <x:c r="BL653" s="14" t="str">
        <x:v>Matched</x:v>
      </x:c>
      <x:c r="BM653" s="14" t="str">
        <x:v>Final supplied register</x:v>
      </x:c>
      <x:c r="BN653" s="14"/>
      <x:c r="BO653" s="14" t="n">
        <x:v>30</x:v>
      </x:c>
      <x:c r="BP653" s="14" t="str">
        <x:v>Maximum eligible IMDb cast-credit total (30), shared by 2 performer(s); not independently verified as a 2021-only episode total.</x:v>
      </x:c>
      <x:c r="BQ653" s="14" t="str">
        <x:v>Medium</x:v>
      </x:c>
      <x:c r="BR653" s="15" t="n">
        <x:v>1</x:v>
      </x:c>
      <x:c r="BS653" s="16" t="n">
        <x:v>0.03333333333333333</x:v>
      </x:c>
      <x:c r="BT653" s="14" t="str">
        <x:v>One episode</x:v>
      </x:c>
      <x:c r="BU653" s="14" t="str">
        <x:v>Medium</x:v>
      </x:c>
      <x:c r="BV653" s="14" t="str">
        <x:v>Derived from supplied IMDb episode count and the documented production-total proxy.</x:v>
      </x:c>
      <x:c r="BW653" s="14" t="str">
        <x:v>Unable to determine</x:v>
      </x:c>
      <x:c r="BX653" s="14" t="str">
        <x:v>Supplied cast data establishes the credit and episode presence but does not establish narrative prominence.</x:v>
      </x:c>
      <x:c r="BY653" s="14" t="str">
        <x:v>Supplied IMDb cast-list workbook</x:v>
      </x:c>
      <x:c r="BZ6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tt11981644|nm0850414|ken swales</x:v>
      </x:c>
      <x:c r="B654" s="14" t="str">
        <x:v>02</x:v>
      </x:c>
      <x:c r="C654" s="14" t="str">
        <x:v>2021_IMDb_Cast_Lists_Batch_02(1).xlsx</x:v>
      </x:c>
      <x:c r="D654" s="14" t="str">
        <x:v>Professor T</x:v>
      </x:c>
      <x:c r="E654" s="14" t="n">
        <x:v>122</x:v>
      </x:c>
      <x:c r="F654" s="14" t="str">
        <x:v>Professor T</x:v>
      </x:c>
      <x:c r="G654" s="14" t="str">
        <x:v>tt11981644</x:v>
      </x:c>
      <x:c r="H654" s="14" t="n">
        <x:v>2021</x:v>
      </x:c>
      <x:c r="I654" s="14" t="n">
        <x:v>2023</x:v>
      </x:c>
      <x:c r="J654" s="14" t="str">
        <x:v>Future Carry-Forward Cohort</x:v>
      </x:c>
      <x:c r="K654" s="14" t="n">
        <x:v>2021</x:v>
      </x:c>
      <x:c r="L654" s="14" t="str">
        <x:v>Available from 2021 analysis</x:v>
      </x:c>
      <x:c r="M654" s="15" t="n">
        <x:v>115</x:v>
      </x:c>
      <x:c r="N654" s="14" t="str">
        <x:v>Ian Targett</x:v>
      </x:c>
      <x:c r="O654" s="14" t="str">
        <x:v>nm0850414</x:v>
      </x:c>
      <x:c r="P654" s="14" t="str">
        <x:v>Ken Swales</x:v>
      </x:c>
      <x:c r="Q654" s="15" t="n">
        <x:v>1</x:v>
      </x:c>
      <x:c r="R654" s="14" t="str">
        <x:v>2025</x:v>
      </x:c>
      <x:c r="S654" s="14" t="n">
        <x:v>2025</x:v>
      </x:c>
      <x:c r="T654" s="14" t="n">
        <x:v>2025</x:v>
      </x:c>
      <x:c r="U654" s="14" t="str">
        <x:v>Post-2021 casting excluded</x:v>
      </x:c>
      <x:c r="V654" s="14" t="str">
        <x:v>Earliest supplied year is 2025, later than the 2021 study year.</x:v>
      </x:c>
      <x:c r="W654" s="14"/>
      <x:c r="X654" s="14" t="str">
        <x:v>Carried forward to 2025</x:v>
      </x:c>
      <x:c r="Y654" s="14"/>
      <x:c r="Z654" s="14" t="str">
        <x:v>Professor T.docx</x:v>
      </x:c>
      <x:c r="AA6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7" t="e">
        <x:f>HYPERLINK("https://en.wikipedia.org/wiki/Professor_T.","Open source")</x:f>
        <x:v>HYPERLINK is not implemented. linkLocation=https://en.wikipedia.org/wiki/Professor_T., friendlyName=Open source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 t="str">
        <x:v>No established-register match</x:v>
      </x:c>
      <x:c r="AT654" s="14"/>
      <x:c r="AU654" s="14"/>
      <x:c r="AV654" s="14" t="str">
        <x:v>No established apparent-disability match</x:v>
      </x:c>
      <x:c r="AW654" s="14"/>
      <x:c r="AX654" s="14" t="str">
        <x:v>No</x:v>
      </x:c>
      <x:c r="AY654" s="14" t="str">
        <x:v>Unmatched</x:v>
      </x:c>
      <x:c r="AZ654" s="14" t="str">
        <x:v>Final supplied register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30</x:v>
      </x:c>
      <x:c r="BP654" s="14" t="str">
        <x:v>Maximum eligible IMDb cast-credit total (30), shared by 2 performer(s); not independently verified as a 2021-only episode total.</x:v>
      </x:c>
      <x:c r="BQ654" s="14" t="str">
        <x:v>Medium</x:v>
      </x:c>
      <x:c r="BR654" s="15" t="n">
        <x:v>1</x:v>
      </x:c>
      <x:c r="BS654" s="16" t="n">
        <x:v>0.03333333333333333</x:v>
      </x:c>
      <x:c r="BT654" s="14" t="str">
        <x:v>One episode</x:v>
      </x:c>
      <x:c r="BU654" s="14" t="str">
        <x:v>Medium</x:v>
      </x:c>
      <x:c r="BV654" s="14" t="str">
        <x:v>Derived from supplied IMDb episode count and the documented production-total proxy.</x:v>
      </x:c>
      <x:c r="BW654" s="14" t="str">
        <x:v>Unable to determine</x:v>
      </x:c>
      <x:c r="BX654" s="14" t="str">
        <x:v>Supplied cast data establishes the credit and episode presence but does not establish narrative prominence.</x:v>
      </x:c>
      <x:c r="BY654" s="14" t="str">
        <x:v>Supplied IMDb cast-list workbook</x:v>
      </x:c>
      <x:c r="BZ6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tt11981644|nm11277900|cameron heath</x:v>
      </x:c>
      <x:c r="B655" s="14" t="str">
        <x:v>02</x:v>
      </x:c>
      <x:c r="C655" s="14" t="str">
        <x:v>2021_IMDb_Cast_Lists_Batch_02(1).xlsx</x:v>
      </x:c>
      <x:c r="D655" s="14" t="str">
        <x:v>Professor T</x:v>
      </x:c>
      <x:c r="E655" s="14" t="n">
        <x:v>123</x:v>
      </x:c>
      <x:c r="F655" s="14" t="str">
        <x:v>Professor T</x:v>
      </x:c>
      <x:c r="G655" s="14" t="str">
        <x:v>tt11981644</x:v>
      </x:c>
      <x:c r="H655" s="14" t="n">
        <x:v>2021</x:v>
      </x:c>
      <x:c r="I655" s="14" t="n">
        <x:v>2023</x:v>
      </x:c>
      <x:c r="J655" s="14" t="str">
        <x:v>Future Carry-Forward Cohort</x:v>
      </x:c>
      <x:c r="K655" s="14" t="n">
        <x:v>2021</x:v>
      </x:c>
      <x:c r="L655" s="14" t="str">
        <x:v>Available from 2021 analysis</x:v>
      </x:c>
      <x:c r="M655" s="15" t="n">
        <x:v>116</x:v>
      </x:c>
      <x:c r="N655" s="14" t="str">
        <x:v>Tom Cray</x:v>
      </x:c>
      <x:c r="O655" s="14" t="str">
        <x:v>nm11277900</x:v>
      </x:c>
      <x:c r="P655" s="14" t="str">
        <x:v>Cameron Heath</x:v>
      </x:c>
      <x:c r="Q655" s="15" t="n">
        <x:v>1</x:v>
      </x:c>
      <x:c r="R655" s="14" t="str">
        <x:v>2025</x:v>
      </x:c>
      <x:c r="S655" s="14" t="n">
        <x:v>2025</x:v>
      </x:c>
      <x:c r="T655" s="14" t="n">
        <x:v>2025</x:v>
      </x:c>
      <x:c r="U655" s="14" t="str">
        <x:v>Post-2021 casting excluded</x:v>
      </x:c>
      <x:c r="V655" s="14" t="str">
        <x:v>Earliest supplied year is 2025, later than the 2021 study year.</x:v>
      </x:c>
      <x:c r="W655" s="14"/>
      <x:c r="X655" s="14" t="str">
        <x:v>Carried forward to 2025</x:v>
      </x:c>
      <x:c r="Y655" s="14"/>
      <x:c r="Z655" s="14" t="str">
        <x:v>Professor T.docx</x:v>
      </x:c>
      <x:c r="AA6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7" t="e">
        <x:f>HYPERLINK("https://en.wikipedia.org/wiki/Professor_T.","Open source")</x:f>
        <x:v>HYPERLINK is not implemented. linkLocation=https://en.wikipedia.org/wiki/Professor_T., friendlyName=Open source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 t="str">
        <x:v>No established-register match</x:v>
      </x:c>
      <x:c r="AT655" s="14"/>
      <x:c r="AU655" s="14"/>
      <x:c r="AV655" s="14" t="str">
        <x:v>No established apparent-disability match</x:v>
      </x:c>
      <x:c r="AW655" s="14"/>
      <x:c r="AX655" s="14" t="str">
        <x:v>No</x:v>
      </x:c>
      <x:c r="AY655" s="14" t="str">
        <x:v>Unmatched</x:v>
      </x:c>
      <x:c r="AZ655" s="14" t="str">
        <x:v>Final supplied register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30</x:v>
      </x:c>
      <x:c r="BP655" s="14" t="str">
        <x:v>Maximum eligible IMDb cast-credit total (30), shared by 2 performer(s); not independently verified as a 2021-only episode total.</x:v>
      </x:c>
      <x:c r="BQ655" s="14" t="str">
        <x:v>Medium</x:v>
      </x:c>
      <x:c r="BR655" s="15" t="n">
        <x:v>1</x:v>
      </x:c>
      <x:c r="BS655" s="16" t="n">
        <x:v>0.03333333333333333</x:v>
      </x:c>
      <x:c r="BT655" s="14" t="str">
        <x:v>One episode</x:v>
      </x:c>
      <x:c r="BU655" s="14" t="str">
        <x:v>Medium</x:v>
      </x:c>
      <x:c r="BV655" s="14" t="str">
        <x:v>Derived from supplied IMDb episode count and the documented production-total proxy.</x:v>
      </x:c>
      <x:c r="BW655" s="14" t="str">
        <x:v>Unable to determine</x:v>
      </x:c>
      <x:c r="BX655" s="14" t="str">
        <x:v>Supplied cast data establishes the credit and episode presence but does not establish narrative prominence.</x:v>
      </x:c>
      <x:c r="BY655" s="14" t="str">
        <x:v>Supplied IMDb cast-list workbook</x:v>
      </x:c>
      <x:c r="BZ6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tt11981644|nm2417360|viv morgan</x:v>
      </x:c>
      <x:c r="B656" s="14" t="str">
        <x:v>02</x:v>
      </x:c>
      <x:c r="C656" s="14" t="str">
        <x:v>2021_IMDb_Cast_Lists_Batch_02(1).xlsx</x:v>
      </x:c>
      <x:c r="D656" s="14" t="str">
        <x:v>Professor T</x:v>
      </x:c>
      <x:c r="E656" s="14" t="n">
        <x:v>131</x:v>
      </x:c>
      <x:c r="F656" s="14" t="str">
        <x:v>Professor T</x:v>
      </x:c>
      <x:c r="G656" s="14" t="str">
        <x:v>tt11981644</x:v>
      </x:c>
      <x:c r="H656" s="14" t="n">
        <x:v>2021</x:v>
      </x:c>
      <x:c r="I656" s="14" t="n">
        <x:v>2023</x:v>
      </x:c>
      <x:c r="J656" s="14" t="str">
        <x:v>Future Carry-Forward Cohort</x:v>
      </x:c>
      <x:c r="K656" s="14" t="n">
        <x:v>2021</x:v>
      </x:c>
      <x:c r="L656" s="14" t="str">
        <x:v>Available from 2021 analysis</x:v>
      </x:c>
      <x:c r="M656" s="15" t="n">
        <x:v>124</x:v>
      </x:c>
      <x:c r="N656" s="14" t="str">
        <x:v>Laura Doddington</x:v>
      </x:c>
      <x:c r="O656" s="14" t="str">
        <x:v>nm2417360</x:v>
      </x:c>
      <x:c r="P656" s="14" t="str">
        <x:v>Viv Morgan</x:v>
      </x:c>
      <x:c r="Q656" s="15" t="n">
        <x:v>1</x:v>
      </x:c>
      <x:c r="R656" s="14" t="str">
        <x:v>2025</x:v>
      </x:c>
      <x:c r="S656" s="14" t="n">
        <x:v>2025</x:v>
      </x:c>
      <x:c r="T656" s="14" t="n">
        <x:v>2025</x:v>
      </x:c>
      <x:c r="U656" s="14" t="str">
        <x:v>Post-2021 casting excluded</x:v>
      </x:c>
      <x:c r="V656" s="14" t="str">
        <x:v>Earliest supplied year is 2025, later than the 2021 study year.</x:v>
      </x:c>
      <x:c r="W656" s="14"/>
      <x:c r="X656" s="14" t="str">
        <x:v>Carried forward to 2025</x:v>
      </x:c>
      <x:c r="Y656" s="14"/>
      <x:c r="Z656" s="14" t="str">
        <x:v>Professor T.docx</x:v>
      </x:c>
      <x:c r="AA6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7" t="e">
        <x:f>HYPERLINK("https://en.wikipedia.org/wiki/Professor_T.","Open source")</x:f>
        <x:v>HYPERLINK is not implemented. linkLocation=https://en.wikipedia.org/wiki/Professor_T., friendlyName=Open source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 t="str">
        <x:v>No established-register match</x:v>
      </x:c>
      <x:c r="AT656" s="14"/>
      <x:c r="AU656" s="14"/>
      <x:c r="AV656" s="14" t="str">
        <x:v>No established apparent-disability match</x:v>
      </x:c>
      <x:c r="AW656" s="14"/>
      <x:c r="AX656" s="14" t="str">
        <x:v>No</x:v>
      </x:c>
      <x:c r="AY656" s="14" t="str">
        <x:v>Unmatched</x:v>
      </x:c>
      <x:c r="AZ656" s="14" t="str">
        <x:v>Final supplied register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30</x:v>
      </x:c>
      <x:c r="BP656" s="14" t="str">
        <x:v>Maximum eligible IMDb cast-credit total (30), shared by 2 performer(s); not independently verified as a 2021-only episode total.</x:v>
      </x:c>
      <x:c r="BQ656" s="14" t="str">
        <x:v>Medium</x:v>
      </x:c>
      <x:c r="BR656" s="15" t="n">
        <x:v>1</x:v>
      </x:c>
      <x:c r="BS656" s="16" t="n">
        <x:v>0.03333333333333333</x:v>
      </x:c>
      <x:c r="BT656" s="14" t="str">
        <x:v>One episode</x:v>
      </x:c>
      <x:c r="BU656" s="14" t="str">
        <x:v>Medium</x:v>
      </x:c>
      <x:c r="BV656" s="14" t="str">
        <x:v>Derived from supplied IMDb episode count and the documented production-total proxy.</x:v>
      </x:c>
      <x:c r="BW656" s="14" t="str">
        <x:v>Unable to determine</x:v>
      </x:c>
      <x:c r="BX656" s="14" t="str">
        <x:v>Supplied cast data establishes the credit and episode presence but does not establish narrative prominence.</x:v>
      </x:c>
      <x:c r="BY656" s="14" t="str">
        <x:v>Supplied IMDb cast-list workbook</x:v>
      </x:c>
      <x:c r="BZ6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tt11981644|nm3230224|anna wallace</x:v>
      </x:c>
      <x:c r="B657" s="14" t="str">
        <x:v>02</x:v>
      </x:c>
      <x:c r="C657" s="14" t="str">
        <x:v>2021_IMDb_Cast_Lists_Batch_02(1).xlsx</x:v>
      </x:c>
      <x:c r="D657" s="14" t="str">
        <x:v>Professor T</x:v>
      </x:c>
      <x:c r="E657" s="14" t="n">
        <x:v>132</x:v>
      </x:c>
      <x:c r="F657" s="14" t="str">
        <x:v>Professor T</x:v>
      </x:c>
      <x:c r="G657" s="14" t="str">
        <x:v>tt11981644</x:v>
      </x:c>
      <x:c r="H657" s="14" t="n">
        <x:v>2021</x:v>
      </x:c>
      <x:c r="I657" s="14" t="n">
        <x:v>2023</x:v>
      </x:c>
      <x:c r="J657" s="14" t="str">
        <x:v>Future Carry-Forward Cohort</x:v>
      </x:c>
      <x:c r="K657" s="14" t="n">
        <x:v>2021</x:v>
      </x:c>
      <x:c r="L657" s="14" t="str">
        <x:v>Available from 2021 analysis</x:v>
      </x:c>
      <x:c r="M657" s="15" t="n">
        <x:v>125</x:v>
      </x:c>
      <x:c r="N657" s="14" t="str">
        <x:v>Renu Brindle</x:v>
      </x:c>
      <x:c r="O657" s="14" t="str">
        <x:v>nm3230224</x:v>
      </x:c>
      <x:c r="P657" s="14" t="str">
        <x:v>Anna Wallace</x:v>
      </x:c>
      <x:c r="Q657" s="15" t="n">
        <x:v>1</x:v>
      </x:c>
      <x:c r="R657" s="14" t="str">
        <x:v>2025</x:v>
      </x:c>
      <x:c r="S657" s="14" t="n">
        <x:v>2025</x:v>
      </x:c>
      <x:c r="T657" s="14" t="n">
        <x:v>2025</x:v>
      </x:c>
      <x:c r="U657" s="14" t="str">
        <x:v>Post-2021 casting excluded</x:v>
      </x:c>
      <x:c r="V657" s="14" t="str">
        <x:v>Earliest supplied year is 2025, later than the 2021 study year.</x:v>
      </x:c>
      <x:c r="W657" s="14"/>
      <x:c r="X657" s="14" t="str">
        <x:v>Carried forward to 2025</x:v>
      </x:c>
      <x:c r="Y657" s="14"/>
      <x:c r="Z657" s="14" t="str">
        <x:v>Professor T.docx</x:v>
      </x:c>
      <x:c r="AA6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7" t="e">
        <x:f>HYPERLINK("https://en.wikipedia.org/wiki/Professor_T.","Open source")</x:f>
        <x:v>HYPERLINK is not implemented. linkLocation=https://en.wikipedia.org/wiki/Professor_T., friendlyName=Open source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 t="str">
        <x:v>No established-register match</x:v>
      </x:c>
      <x:c r="AT657" s="14"/>
      <x:c r="AU657" s="14"/>
      <x:c r="AV657" s="14" t="str">
        <x:v>No established apparent-disability match</x:v>
      </x:c>
      <x:c r="AW657" s="14"/>
      <x:c r="AX657" s="14" t="str">
        <x:v>No</x:v>
      </x:c>
      <x:c r="AY657" s="14" t="str">
        <x:v>Unmatched</x:v>
      </x:c>
      <x:c r="AZ657" s="14" t="str">
        <x:v>Final supplied register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30</x:v>
      </x:c>
      <x:c r="BP657" s="14" t="str">
        <x:v>Maximum eligible IMDb cast-credit total (30), shared by 2 performer(s); not independently verified as a 2021-only episode total.</x:v>
      </x:c>
      <x:c r="BQ657" s="14" t="str">
        <x:v>Medium</x:v>
      </x:c>
      <x:c r="BR657" s="15" t="n">
        <x:v>1</x:v>
      </x:c>
      <x:c r="BS657" s="16" t="n">
        <x:v>0.03333333333333333</x:v>
      </x:c>
      <x:c r="BT657" s="14" t="str">
        <x:v>One episode</x:v>
      </x:c>
      <x:c r="BU657" s="14" t="str">
        <x:v>Medium</x:v>
      </x:c>
      <x:c r="BV657" s="14" t="str">
        <x:v>Derived from supplied IMDb episode count and the documented production-total proxy.</x:v>
      </x:c>
      <x:c r="BW657" s="14" t="str">
        <x:v>Unable to determine</x:v>
      </x:c>
      <x:c r="BX657" s="14" t="str">
        <x:v>Supplied cast data establishes the credit and episode presence but does not establish narrative prominence.</x:v>
      </x:c>
      <x:c r="BY657" s="14" t="str">
        <x:v>Supplied IMDb cast-list workbook</x:v>
      </x:c>
      <x:c r="BZ6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tt11981644|nm17091033|marie bryant</x:v>
      </x:c>
      <x:c r="B658" s="14" t="str">
        <x:v>02</x:v>
      </x:c>
      <x:c r="C658" s="14" t="str">
        <x:v>2021_IMDb_Cast_Lists_Batch_02(1).xlsx</x:v>
      </x:c>
      <x:c r="D658" s="14" t="str">
        <x:v>Professor T</x:v>
      </x:c>
      <x:c r="E658" s="14" t="n">
        <x:v>133</x:v>
      </x:c>
      <x:c r="F658" s="14" t="str">
        <x:v>Professor T</x:v>
      </x:c>
      <x:c r="G658" s="14" t="str">
        <x:v>tt11981644</x:v>
      </x:c>
      <x:c r="H658" s="14" t="n">
        <x:v>2021</x:v>
      </x:c>
      <x:c r="I658" s="14" t="n">
        <x:v>2023</x:v>
      </x:c>
      <x:c r="J658" s="14" t="str">
        <x:v>Future Carry-Forward Cohort</x:v>
      </x:c>
      <x:c r="K658" s="14" t="n">
        <x:v>2021</x:v>
      </x:c>
      <x:c r="L658" s="14" t="str">
        <x:v>Available from 2021 analysis</x:v>
      </x:c>
      <x:c r="M658" s="15" t="n">
        <x:v>126</x:v>
      </x:c>
      <x:c r="N658" s="14" t="str">
        <x:v>Madelief Sannen</x:v>
      </x:c>
      <x:c r="O658" s="14" t="str">
        <x:v>nm17091033</x:v>
      </x:c>
      <x:c r="P658" s="14" t="str">
        <x:v>Marie Bryant</x:v>
      </x:c>
      <x:c r="Q658" s="15" t="n">
        <x:v>1</x:v>
      </x:c>
      <x:c r="R658" s="14" t="str">
        <x:v>2025</x:v>
      </x:c>
      <x:c r="S658" s="14" t="n">
        <x:v>2025</x:v>
      </x:c>
      <x:c r="T658" s="14" t="n">
        <x:v>2025</x:v>
      </x:c>
      <x:c r="U658" s="14" t="str">
        <x:v>Post-2021 casting excluded</x:v>
      </x:c>
      <x:c r="V658" s="14" t="str">
        <x:v>Earliest supplied year is 2025, later than the 2021 study year.</x:v>
      </x:c>
      <x:c r="W658" s="14"/>
      <x:c r="X658" s="14" t="str">
        <x:v>Carried forward to 2025</x:v>
      </x:c>
      <x:c r="Y658" s="14"/>
      <x:c r="Z658" s="14" t="str">
        <x:v>Professor T.docx</x:v>
      </x:c>
      <x:c r="AA6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7" t="e">
        <x:f>HYPERLINK("https://en.wikipedia.org/wiki/Professor_T.","Open source")</x:f>
        <x:v>HYPERLINK is not implemented. linkLocation=https://en.wikipedia.org/wiki/Professor_T., friendlyName=Open source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 t="str">
        <x:v>No established-register match</x:v>
      </x:c>
      <x:c r="AT658" s="14"/>
      <x:c r="AU658" s="14"/>
      <x:c r="AV658" s="14" t="str">
        <x:v>No established apparent-disability match</x:v>
      </x:c>
      <x:c r="AW658" s="14"/>
      <x:c r="AX658" s="14" t="str">
        <x:v>No</x:v>
      </x:c>
      <x:c r="AY658" s="14" t="str">
        <x:v>Unmatched</x:v>
      </x:c>
      <x:c r="AZ658" s="14" t="str">
        <x:v>Final supplied register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30</x:v>
      </x:c>
      <x:c r="BP658" s="14" t="str">
        <x:v>Maximum eligible IMDb cast-credit total (30), shared by 2 performer(s); not independently verified as a 2021-only episode total.</x:v>
      </x:c>
      <x:c r="BQ658" s="14" t="str">
        <x:v>Medium</x:v>
      </x:c>
      <x:c r="BR658" s="15" t="n">
        <x:v>1</x:v>
      </x:c>
      <x:c r="BS658" s="16" t="n">
        <x:v>0.03333333333333333</x:v>
      </x:c>
      <x:c r="BT658" s="14" t="str">
        <x:v>One episode</x:v>
      </x:c>
      <x:c r="BU658" s="14" t="str">
        <x:v>Medium</x:v>
      </x:c>
      <x:c r="BV658" s="14" t="str">
        <x:v>Derived from supplied IMDb episode count and the documented production-total proxy.</x:v>
      </x:c>
      <x:c r="BW658" s="14" t="str">
        <x:v>Unable to determine</x:v>
      </x:c>
      <x:c r="BX658" s="14" t="str">
        <x:v>Supplied cast data establishes the credit and episode presence but does not establish narrative prominence.</x:v>
      </x:c>
      <x:c r="BY658" s="14" t="str">
        <x:v>Supplied IMDb cast-list workbook</x:v>
      </x:c>
      <x:c r="BZ6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tt11981644|nm17592132|yacht barman</x:v>
      </x:c>
      <x:c r="B659" s="14" t="str">
        <x:v>02</x:v>
      </x:c>
      <x:c r="C659" s="14" t="str">
        <x:v>2021_IMDb_Cast_Lists_Batch_02(1).xlsx</x:v>
      </x:c>
      <x:c r="D659" s="14" t="str">
        <x:v>Professor T</x:v>
      </x:c>
      <x:c r="E659" s="14" t="n">
        <x:v>134</x:v>
      </x:c>
      <x:c r="F659" s="14" t="str">
        <x:v>Professor T</x:v>
      </x:c>
      <x:c r="G659" s="14" t="str">
        <x:v>tt11981644</x:v>
      </x:c>
      <x:c r="H659" s="14" t="n">
        <x:v>2021</x:v>
      </x:c>
      <x:c r="I659" s="14" t="n">
        <x:v>2023</x:v>
      </x:c>
      <x:c r="J659" s="14" t="str">
        <x:v>Future Carry-Forward Cohort</x:v>
      </x:c>
      <x:c r="K659" s="14" t="n">
        <x:v>2021</x:v>
      </x:c>
      <x:c r="L659" s="14" t="str">
        <x:v>Available from 2021 analysis</x:v>
      </x:c>
      <x:c r="M659" s="15" t="n">
        <x:v>127</x:v>
      </x:c>
      <x:c r="N659" s="14" t="str">
        <x:v>James Hogan</x:v>
      </x:c>
      <x:c r="O659" s="14" t="str">
        <x:v>nm17592132</x:v>
      </x:c>
      <x:c r="P659" s="14" t="str">
        <x:v>Yacht Barman</x:v>
      </x:c>
      <x:c r="Q659" s="15" t="n">
        <x:v>1</x:v>
      </x:c>
      <x:c r="R659" s="14" t="str">
        <x:v>2025</x:v>
      </x:c>
      <x:c r="S659" s="14" t="n">
        <x:v>2025</x:v>
      </x:c>
      <x:c r="T659" s="14" t="n">
        <x:v>2025</x:v>
      </x:c>
      <x:c r="U659" s="14" t="str">
        <x:v>Post-2021 casting excluded</x:v>
      </x:c>
      <x:c r="V659" s="14" t="str">
        <x:v>Earliest supplied year is 2025, later than the 2021 study year.</x:v>
      </x:c>
      <x:c r="W659" s="14"/>
      <x:c r="X659" s="14" t="str">
        <x:v>Carried forward to 2025</x:v>
      </x:c>
      <x:c r="Y659" s="14"/>
      <x:c r="Z659" s="14" t="str">
        <x:v>Professor T.docx</x:v>
      </x:c>
      <x:c r="AA6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7" t="e">
        <x:f>HYPERLINK("https://en.wikipedia.org/wiki/Professor_T.","Open source")</x:f>
        <x:v>HYPERLINK is not implemented. linkLocation=https://en.wikipedia.org/wiki/Professor_T., friendlyName=Open source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 t="str">
        <x:v>No established-register match</x:v>
      </x:c>
      <x:c r="AT659" s="14"/>
      <x:c r="AU659" s="14"/>
      <x:c r="AV659" s="14" t="str">
        <x:v>No established apparent-disability match</x:v>
      </x:c>
      <x:c r="AW659" s="14"/>
      <x:c r="AX659" s="14" t="str">
        <x:v>No</x:v>
      </x:c>
      <x:c r="AY659" s="14" t="str">
        <x:v>Unmatched</x:v>
      </x:c>
      <x:c r="AZ659" s="14" t="str">
        <x:v>Final supplied register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30</x:v>
      </x:c>
      <x:c r="BP659" s="14" t="str">
        <x:v>Maximum eligible IMDb cast-credit total (30), shared by 2 performer(s); not independently verified as a 2021-only episode total.</x:v>
      </x:c>
      <x:c r="BQ659" s="14" t="str">
        <x:v>Medium</x:v>
      </x:c>
      <x:c r="BR659" s="15" t="n">
        <x:v>1</x:v>
      </x:c>
      <x:c r="BS659" s="16" t="n">
        <x:v>0.03333333333333333</x:v>
      </x:c>
      <x:c r="BT659" s="14" t="str">
        <x:v>One episode</x:v>
      </x:c>
      <x:c r="BU659" s="14" t="str">
        <x:v>Medium</x:v>
      </x:c>
      <x:c r="BV659" s="14" t="str">
        <x:v>Derived from supplied IMDb episode count and the documented production-total proxy.</x:v>
      </x:c>
      <x:c r="BW659" s="14" t="str">
        <x:v>Unable to determine</x:v>
      </x:c>
      <x:c r="BX659" s="14" t="str">
        <x:v>Supplied cast data establishes the credit and episode presence but does not establish narrative prominence.</x:v>
      </x:c>
      <x:c r="BY659" s="14" t="str">
        <x:v>Supplied IMDb cast-list workbook</x:v>
      </x:c>
      <x:c r="BZ6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tt11981644|nm0691928|dennis baines</x:v>
      </x:c>
      <x:c r="B660" s="14" t="str">
        <x:v>02</x:v>
      </x:c>
      <x:c r="C660" s="14" t="str">
        <x:v>2021_IMDb_Cast_Lists_Batch_02(1).xlsx</x:v>
      </x:c>
      <x:c r="D660" s="14" t="str">
        <x:v>Professor T</x:v>
      </x:c>
      <x:c r="E660" s="14" t="n">
        <x:v>144</x:v>
      </x:c>
      <x:c r="F660" s="14" t="str">
        <x:v>Professor T</x:v>
      </x:c>
      <x:c r="G660" s="14" t="str">
        <x:v>tt11981644</x:v>
      </x:c>
      <x:c r="H660" s="14" t="n">
        <x:v>2021</x:v>
      </x:c>
      <x:c r="I660" s="14" t="n">
        <x:v>2023</x:v>
      </x:c>
      <x:c r="J660" s="14" t="str">
        <x:v>Future Carry-Forward Cohort</x:v>
      </x:c>
      <x:c r="K660" s="14" t="n">
        <x:v>2021</x:v>
      </x:c>
      <x:c r="L660" s="14" t="str">
        <x:v>Available from 2021 analysis</x:v>
      </x:c>
      <x:c r="M660" s="15" t="n">
        <x:v>137</x:v>
      </x:c>
      <x:c r="N660" s="14" t="str">
        <x:v>Robert Portal</x:v>
      </x:c>
      <x:c r="O660" s="14" t="str">
        <x:v>nm0691928</x:v>
      </x:c>
      <x:c r="P660" s="14" t="str">
        <x:v>Dennis Baines</x:v>
      </x:c>
      <x:c r="Q660" s="15" t="n">
        <x:v>1</x:v>
      </x:c>
      <x:c r="R660" s="14" t="str">
        <x:v>2025</x:v>
      </x:c>
      <x:c r="S660" s="14" t="n">
        <x:v>2025</x:v>
      </x:c>
      <x:c r="T660" s="14" t="n">
        <x:v>2025</x:v>
      </x:c>
      <x:c r="U660" s="14" t="str">
        <x:v>Post-2021 casting excluded</x:v>
      </x:c>
      <x:c r="V660" s="14" t="str">
        <x:v>Earliest supplied year is 2025, later than the 2021 study year.</x:v>
      </x:c>
      <x:c r="W660" s="14"/>
      <x:c r="X660" s="14" t="str">
        <x:v>Carried forward to 2025</x:v>
      </x:c>
      <x:c r="Y660" s="14"/>
      <x:c r="Z660" s="14" t="str">
        <x:v>Professor T.docx</x:v>
      </x:c>
      <x:c r="AA6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7" t="e">
        <x:f>HYPERLINK("https://en.wikipedia.org/wiki/Professor_T.","Open source")</x:f>
        <x:v>HYPERLINK is not implemented. linkLocation=https://en.wikipedia.org/wiki/Professor_T., friendlyName=Open source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 t="str">
        <x:v>No established-register match</x:v>
      </x:c>
      <x:c r="AT660" s="14"/>
      <x:c r="AU660" s="14"/>
      <x:c r="AV660" s="14" t="str">
        <x:v>No established apparent-disability match</x:v>
      </x:c>
      <x:c r="AW660" s="14"/>
      <x:c r="AX660" s="14" t="str">
        <x:v>No</x:v>
      </x:c>
      <x:c r="AY660" s="14" t="str">
        <x:v>Unmatched</x:v>
      </x:c>
      <x:c r="AZ660" s="14" t="str">
        <x:v>Final supplied register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30</x:v>
      </x:c>
      <x:c r="BP660" s="14" t="str">
        <x:v>Maximum eligible IMDb cast-credit total (30), shared by 2 performer(s); not independently verified as a 2021-only episode total.</x:v>
      </x:c>
      <x:c r="BQ660" s="14" t="str">
        <x:v>Medium</x:v>
      </x:c>
      <x:c r="BR660" s="15" t="n">
        <x:v>1</x:v>
      </x:c>
      <x:c r="BS660" s="16" t="n">
        <x:v>0.03333333333333333</x:v>
      </x:c>
      <x:c r="BT660" s="14" t="str">
        <x:v>One episode</x:v>
      </x:c>
      <x:c r="BU660" s="14" t="str">
        <x:v>Medium</x:v>
      </x:c>
      <x:c r="BV660" s="14" t="str">
        <x:v>Derived from supplied IMDb episode count and the documented production-total proxy.</x:v>
      </x:c>
      <x:c r="BW660" s="14" t="str">
        <x:v>Unable to determine</x:v>
      </x:c>
      <x:c r="BX660" s="14" t="str">
        <x:v>Supplied cast data establishes the credit and episode presence but does not establish narrative prominence.</x:v>
      </x:c>
      <x:c r="BY660" s="14" t="str">
        <x:v>Supplied IMDb cast-list workbook</x:v>
      </x:c>
      <x:c r="BZ6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tt11981644|nm10167119|tina northam</x:v>
      </x:c>
      <x:c r="B661" s="14" t="str">
        <x:v>02</x:v>
      </x:c>
      <x:c r="C661" s="14" t="str">
        <x:v>2021_IMDb_Cast_Lists_Batch_02(1).xlsx</x:v>
      </x:c>
      <x:c r="D661" s="14" t="str">
        <x:v>Professor T</x:v>
      </x:c>
      <x:c r="E661" s="14" t="n">
        <x:v>145</x:v>
      </x:c>
      <x:c r="F661" s="14" t="str">
        <x:v>Professor T</x:v>
      </x:c>
      <x:c r="G661" s="14" t="str">
        <x:v>tt11981644</x:v>
      </x:c>
      <x:c r="H661" s="14" t="n">
        <x:v>2021</x:v>
      </x:c>
      <x:c r="I661" s="14" t="n">
        <x:v>2023</x:v>
      </x:c>
      <x:c r="J661" s="14" t="str">
        <x:v>Future Carry-Forward Cohort</x:v>
      </x:c>
      <x:c r="K661" s="14" t="n">
        <x:v>2021</x:v>
      </x:c>
      <x:c r="L661" s="14" t="str">
        <x:v>Available from 2021 analysis</x:v>
      </x:c>
      <x:c r="M661" s="15" t="n">
        <x:v>138</x:v>
      </x:c>
      <x:c r="N661" s="14" t="str">
        <x:v>Gemma Knight Jones</x:v>
      </x:c>
      <x:c r="O661" s="14" t="str">
        <x:v>nm10167119</x:v>
      </x:c>
      <x:c r="P661" s="14" t="str">
        <x:v>Tina Northam</x:v>
      </x:c>
      <x:c r="Q661" s="15" t="n">
        <x:v>1</x:v>
      </x:c>
      <x:c r="R661" s="14" t="str">
        <x:v>2025</x:v>
      </x:c>
      <x:c r="S661" s="14" t="n">
        <x:v>2025</x:v>
      </x:c>
      <x:c r="T661" s="14" t="n">
        <x:v>2025</x:v>
      </x:c>
      <x:c r="U661" s="14" t="str">
        <x:v>Post-2021 casting excluded</x:v>
      </x:c>
      <x:c r="V661" s="14" t="str">
        <x:v>Earliest supplied year is 2025, later than the 2021 study year.</x:v>
      </x:c>
      <x:c r="W661" s="14"/>
      <x:c r="X661" s="14" t="str">
        <x:v>Carried forward to 2025</x:v>
      </x:c>
      <x:c r="Y661" s="14" t="str">
        <x:v>(as Gemma Knight-Jones)</x:v>
      </x:c>
      <x:c r="Z661" s="14" t="str">
        <x:v>Professor T.docx</x:v>
      </x:c>
      <x:c r="AA6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7" t="e">
        <x:f>HYPERLINK("https://en.wikipedia.org/wiki/Professor_T.","Open source")</x:f>
        <x:v>HYPERLINK is not implemented. linkLocation=https://en.wikipedia.org/wiki/Professor_T., friendlyName=Open source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 t="str">
        <x:v>No established-register match</x:v>
      </x:c>
      <x:c r="AT661" s="14"/>
      <x:c r="AU661" s="14"/>
      <x:c r="AV661" s="14" t="str">
        <x:v>No established apparent-disability match</x:v>
      </x:c>
      <x:c r="AW661" s="14"/>
      <x:c r="AX661" s="14" t="str">
        <x:v>No</x:v>
      </x:c>
      <x:c r="AY661" s="14" t="str">
        <x:v>Unmatched</x:v>
      </x:c>
      <x:c r="AZ661" s="14" t="str">
        <x:v>Final supplied register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30</x:v>
      </x:c>
      <x:c r="BP661" s="14" t="str">
        <x:v>Maximum eligible IMDb cast-credit total (30), shared by 2 performer(s); not independently verified as a 2021-only episode total.</x:v>
      </x:c>
      <x:c r="BQ661" s="14" t="str">
        <x:v>Medium</x:v>
      </x:c>
      <x:c r="BR661" s="15" t="n">
        <x:v>1</x:v>
      </x:c>
      <x:c r="BS661" s="16" t="n">
        <x:v>0.03333333333333333</x:v>
      </x:c>
      <x:c r="BT661" s="14" t="str">
        <x:v>One episode</x:v>
      </x:c>
      <x:c r="BU661" s="14" t="str">
        <x:v>Medium</x:v>
      </x:c>
      <x:c r="BV661" s="14" t="str">
        <x:v>Derived from supplied IMDb episode count and the documented production-total proxy.</x:v>
      </x:c>
      <x:c r="BW661" s="14" t="str">
        <x:v>Unable to determine</x:v>
      </x:c>
      <x:c r="BX661" s="14" t="str">
        <x:v>Supplied cast data establishes the credit and episode presence but does not establish narrative prominence.</x:v>
      </x:c>
      <x:c r="BY661" s="14" t="str">
        <x:v>Supplied IMDb cast-list workbook</x:v>
      </x:c>
      <x:c r="BZ6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tt11981644|nm17110644|marvellous marvin</x:v>
      </x:c>
      <x:c r="B662" s="14" t="str">
        <x:v>02</x:v>
      </x:c>
      <x:c r="C662" s="14" t="str">
        <x:v>2021_IMDb_Cast_Lists_Batch_02(1).xlsx</x:v>
      </x:c>
      <x:c r="D662" s="14" t="str">
        <x:v>Professor T</x:v>
      </x:c>
      <x:c r="E662" s="14" t="n">
        <x:v>146</x:v>
      </x:c>
      <x:c r="F662" s="14" t="str">
        <x:v>Professor T</x:v>
      </x:c>
      <x:c r="G662" s="14" t="str">
        <x:v>tt11981644</x:v>
      </x:c>
      <x:c r="H662" s="14" t="n">
        <x:v>2021</x:v>
      </x:c>
      <x:c r="I662" s="14" t="n">
        <x:v>2023</x:v>
      </x:c>
      <x:c r="J662" s="14" t="str">
        <x:v>Future Carry-Forward Cohort</x:v>
      </x:c>
      <x:c r="K662" s="14" t="n">
        <x:v>2021</x:v>
      </x:c>
      <x:c r="L662" s="14" t="str">
        <x:v>Available from 2021 analysis</x:v>
      </x:c>
      <x:c r="M662" s="15" t="n">
        <x:v>139</x:v>
      </x:c>
      <x:c r="N662" s="14" t="str">
        <x:v>Athila Struys</x:v>
      </x:c>
      <x:c r="O662" s="14" t="str">
        <x:v>nm17110644</x:v>
      </x:c>
      <x:c r="P662" s="14" t="str">
        <x:v>Marvellous Marvin</x:v>
      </x:c>
      <x:c r="Q662" s="15" t="n">
        <x:v>1</x:v>
      </x:c>
      <x:c r="R662" s="14" t="str">
        <x:v>2025</x:v>
      </x:c>
      <x:c r="S662" s="14" t="n">
        <x:v>2025</x:v>
      </x:c>
      <x:c r="T662" s="14" t="n">
        <x:v>2025</x:v>
      </x:c>
      <x:c r="U662" s="14" t="str">
        <x:v>Post-2021 casting excluded</x:v>
      </x:c>
      <x:c r="V662" s="14" t="str">
        <x:v>Earliest supplied year is 2025, later than the 2021 study year.</x:v>
      </x:c>
      <x:c r="W662" s="14"/>
      <x:c r="X662" s="14" t="str">
        <x:v>Carried forward to 2025</x:v>
      </x:c>
      <x:c r="Y662" s="14"/>
      <x:c r="Z662" s="14" t="str">
        <x:v>Professor T.docx</x:v>
      </x:c>
      <x:c r="AA6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7" t="e">
        <x:f>HYPERLINK("https://en.wikipedia.org/wiki/Professor_T.","Open source")</x:f>
        <x:v>HYPERLINK is not implemented. linkLocation=https://en.wikipedia.org/wiki/Professor_T., friendlyName=Open source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 t="str">
        <x:v>No established-register match</x:v>
      </x:c>
      <x:c r="AT662" s="14"/>
      <x:c r="AU662" s="14"/>
      <x:c r="AV662" s="14" t="str">
        <x:v>No established apparent-disability match</x:v>
      </x:c>
      <x:c r="AW662" s="14"/>
      <x:c r="AX662" s="14" t="str">
        <x:v>No</x:v>
      </x:c>
      <x:c r="AY662" s="14" t="str">
        <x:v>Unmatched</x:v>
      </x:c>
      <x:c r="AZ662" s="14" t="str">
        <x:v>Final supplied register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30</x:v>
      </x:c>
      <x:c r="BP662" s="14" t="str">
        <x:v>Maximum eligible IMDb cast-credit total (30), shared by 2 performer(s); not independently verified as a 2021-only episode total.</x:v>
      </x:c>
      <x:c r="BQ662" s="14" t="str">
        <x:v>Medium</x:v>
      </x:c>
      <x:c r="BR662" s="15" t="n">
        <x:v>1</x:v>
      </x:c>
      <x:c r="BS662" s="16" t="n">
        <x:v>0.03333333333333333</x:v>
      </x:c>
      <x:c r="BT662" s="14" t="str">
        <x:v>One episode</x:v>
      </x:c>
      <x:c r="BU662" s="14" t="str">
        <x:v>Medium</x:v>
      </x:c>
      <x:c r="BV662" s="14" t="str">
        <x:v>Derived from supplied IMDb episode count and the documented production-total proxy.</x:v>
      </x:c>
      <x:c r="BW662" s="14" t="str">
        <x:v>Unable to determine</x:v>
      </x:c>
      <x:c r="BX662" s="14" t="str">
        <x:v>Supplied cast data establishes the credit and episode presence but does not establish narrative prominence.</x:v>
      </x:c>
      <x:c r="BY662" s="14" t="str">
        <x:v>Supplied IMDb cast-list workbook</x:v>
      </x:c>
      <x:c r="BZ6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tt11981644|nm17592435|eddy baines</x:v>
      </x:c>
      <x:c r="B663" s="14" t="str">
        <x:v>02</x:v>
      </x:c>
      <x:c r="C663" s="14" t="str">
        <x:v>2021_IMDb_Cast_Lists_Batch_02(1).xlsx</x:v>
      </x:c>
      <x:c r="D663" s="14" t="str">
        <x:v>Professor T</x:v>
      </x:c>
      <x:c r="E663" s="14" t="n">
        <x:v>159</x:v>
      </x:c>
      <x:c r="F663" s="14" t="str">
        <x:v>Professor T</x:v>
      </x:c>
      <x:c r="G663" s="14" t="str">
        <x:v>tt11981644</x:v>
      </x:c>
      <x:c r="H663" s="14" t="n">
        <x:v>2021</x:v>
      </x:c>
      <x:c r="I663" s="14" t="n">
        <x:v>2023</x:v>
      </x:c>
      <x:c r="J663" s="14" t="str">
        <x:v>Future Carry-Forward Cohort</x:v>
      </x:c>
      <x:c r="K663" s="14" t="n">
        <x:v>2021</x:v>
      </x:c>
      <x:c r="L663" s="14" t="str">
        <x:v>Available from 2021 analysis</x:v>
      </x:c>
      <x:c r="M663" s="15" t="n">
        <x:v>152</x:v>
      </x:c>
      <x:c r="N663" s="14" t="str">
        <x:v>John O'Toole</x:v>
      </x:c>
      <x:c r="O663" s="14" t="str">
        <x:v>nm17592435</x:v>
      </x:c>
      <x:c r="P663" s="14" t="str">
        <x:v>Eddy Baines</x:v>
      </x:c>
      <x:c r="Q663" s="15" t="n">
        <x:v>1</x:v>
      </x:c>
      <x:c r="R663" s="14" t="str">
        <x:v>2025</x:v>
      </x:c>
      <x:c r="S663" s="14" t="n">
        <x:v>2025</x:v>
      </x:c>
      <x:c r="T663" s="14" t="n">
        <x:v>2025</x:v>
      </x:c>
      <x:c r="U663" s="14" t="str">
        <x:v>Post-2021 casting excluded</x:v>
      </x:c>
      <x:c r="V663" s="14" t="str">
        <x:v>Earliest supplied year is 2025, later than the 2021 study year.</x:v>
      </x:c>
      <x:c r="W663" s="14"/>
      <x:c r="X663" s="14" t="str">
        <x:v>Carried forward to 2025</x:v>
      </x:c>
      <x:c r="Y663" s="14"/>
      <x:c r="Z663" s="14" t="str">
        <x:v>Professor T.docx</x:v>
      </x:c>
      <x:c r="AA6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7" t="e">
        <x:f>HYPERLINK("https://en.wikipedia.org/wiki/Professor_T.","Open source")</x:f>
        <x:v>HYPERLINK is not implemented. linkLocation=https://en.wikipedia.org/wiki/Professor_T., friendlyName=Open source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 t="str">
        <x:v>No established-register match</x:v>
      </x:c>
      <x:c r="AT663" s="14"/>
      <x:c r="AU663" s="14"/>
      <x:c r="AV663" s="14" t="str">
        <x:v>No established apparent-disability match</x:v>
      </x:c>
      <x:c r="AW663" s="14"/>
      <x:c r="AX663" s="14" t="str">
        <x:v>No</x:v>
      </x:c>
      <x:c r="AY663" s="14" t="str">
        <x:v>Unmatched</x:v>
      </x:c>
      <x:c r="AZ663" s="14" t="str">
        <x:v>Final supplied register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30</x:v>
      </x:c>
      <x:c r="BP663" s="14" t="str">
        <x:v>Maximum eligible IMDb cast-credit total (30), shared by 2 performer(s); not independently verified as a 2021-only episode total.</x:v>
      </x:c>
      <x:c r="BQ663" s="14" t="str">
        <x:v>Medium</x:v>
      </x:c>
      <x:c r="BR663" s="15" t="n">
        <x:v>1</x:v>
      </x:c>
      <x:c r="BS663" s="16" t="n">
        <x:v>0.03333333333333333</x:v>
      </x:c>
      <x:c r="BT663" s="14" t="str">
        <x:v>One episode</x:v>
      </x:c>
      <x:c r="BU663" s="14" t="str">
        <x:v>Medium</x:v>
      </x:c>
      <x:c r="BV663" s="14" t="str">
        <x:v>Derived from supplied IMDb episode count and the documented production-total proxy.</x:v>
      </x:c>
      <x:c r="BW663" s="14" t="str">
        <x:v>Unable to determine</x:v>
      </x:c>
      <x:c r="BX663" s="14" t="str">
        <x:v>Supplied cast data establishes the credit and episode presence but does not establish narrative prominence.</x:v>
      </x:c>
      <x:c r="BY663" s="14" t="str">
        <x:v>Supplied IMDb cast-list workbook</x:v>
      </x:c>
      <x:c r="BZ6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tt11981644|nm1528511|margo mcqueen</x:v>
      </x:c>
      <x:c r="B664" s="14" t="str">
        <x:v>02</x:v>
      </x:c>
      <x:c r="C664" s="14" t="str">
        <x:v>2021_IMDb_Cast_Lists_Batch_02(1).xlsx</x:v>
      </x:c>
      <x:c r="D664" s="14" t="str">
        <x:v>Professor T</x:v>
      </x:c>
      <x:c r="E664" s="14" t="n">
        <x:v>172</x:v>
      </x:c>
      <x:c r="F664" s="14" t="str">
        <x:v>Professor T</x:v>
      </x:c>
      <x:c r="G664" s="14" t="str">
        <x:v>tt11981644</x:v>
      </x:c>
      <x:c r="H664" s="14" t="n">
        <x:v>2021</x:v>
      </x:c>
      <x:c r="I664" s="14" t="n">
        <x:v>2023</x:v>
      </x:c>
      <x:c r="J664" s="14" t="str">
        <x:v>Future Carry-Forward Cohort</x:v>
      </x:c>
      <x:c r="K664" s="14" t="n">
        <x:v>2021</x:v>
      </x:c>
      <x:c r="L664" s="14" t="str">
        <x:v>Available from 2021 analysis</x:v>
      </x:c>
      <x:c r="M664" s="15" t="n">
        <x:v>165</x:v>
      </x:c>
      <x:c r="N664" s="14" t="str">
        <x:v>Loveday Smith</x:v>
      </x:c>
      <x:c r="O664" s="14" t="str">
        <x:v>nm1528511</x:v>
      </x:c>
      <x:c r="P664" s="14" t="str">
        <x:v>Margo McQueen</x:v>
      </x:c>
      <x:c r="Q664" s="15" t="n">
        <x:v>1</x:v>
      </x:c>
      <x:c r="R664" s="14" t="str">
        <x:v>2025</x:v>
      </x:c>
      <x:c r="S664" s="14" t="n">
        <x:v>2025</x:v>
      </x:c>
      <x:c r="T664" s="14" t="n">
        <x:v>2025</x:v>
      </x:c>
      <x:c r="U664" s="14" t="str">
        <x:v>Post-2021 casting excluded</x:v>
      </x:c>
      <x:c r="V664" s="14" t="str">
        <x:v>Earliest supplied year is 2025, later than the 2021 study year.</x:v>
      </x:c>
      <x:c r="W664" s="14"/>
      <x:c r="X664" s="14" t="str">
        <x:v>Carried forward to 2025</x:v>
      </x:c>
      <x:c r="Y664" s="14"/>
      <x:c r="Z664" s="14" t="str">
        <x:v>Professor T.docx</x:v>
      </x:c>
      <x:c r="AA6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7" t="e">
        <x:f>HYPERLINK("https://en.wikipedia.org/wiki/Professor_T.","Open source")</x:f>
        <x:v>HYPERLINK is not implemented. linkLocation=https://en.wikipedia.org/wiki/Professor_T., friendlyName=Open source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 t="str">
        <x:v>No established-register match</x:v>
      </x:c>
      <x:c r="AT664" s="14"/>
      <x:c r="AU664" s="14"/>
      <x:c r="AV664" s="14" t="str">
        <x:v>No established apparent-disability match</x:v>
      </x:c>
      <x:c r="AW664" s="14"/>
      <x:c r="AX664" s="14" t="str">
        <x:v>No</x:v>
      </x:c>
      <x:c r="AY664" s="14" t="str">
        <x:v>Unmatched</x:v>
      </x:c>
      <x:c r="AZ664" s="14" t="str">
        <x:v>Final supplied register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30</x:v>
      </x:c>
      <x:c r="BP664" s="14" t="str">
        <x:v>Maximum eligible IMDb cast-credit total (30), shared by 2 performer(s); not independently verified as a 2021-only episode total.</x:v>
      </x:c>
      <x:c r="BQ664" s="14" t="str">
        <x:v>Medium</x:v>
      </x:c>
      <x:c r="BR664" s="15" t="n">
        <x:v>1</x:v>
      </x:c>
      <x:c r="BS664" s="16" t="n">
        <x:v>0.03333333333333333</x:v>
      </x:c>
      <x:c r="BT664" s="14" t="str">
        <x:v>One episode</x:v>
      </x:c>
      <x:c r="BU664" s="14" t="str">
        <x:v>Medium</x:v>
      </x:c>
      <x:c r="BV664" s="14" t="str">
        <x:v>Derived from supplied IMDb episode count and the documented production-total proxy.</x:v>
      </x:c>
      <x:c r="BW664" s="14" t="str">
        <x:v>Unable to determine</x:v>
      </x:c>
      <x:c r="BX664" s="14" t="str">
        <x:v>Supplied cast data establishes the credit and episode presence but does not establish narrative prominence.</x:v>
      </x:c>
      <x:c r="BY664" s="14" t="str">
        <x:v>Supplied IMDb cast-list workbook</x:v>
      </x:c>
      <x:c r="BZ6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tt11981644|nm0488271|dsu milton droy</x:v>
      </x:c>
      <x:c r="B665" s="14" t="str">
        <x:v>02</x:v>
      </x:c>
      <x:c r="C665" s="14" t="str">
        <x:v>2021_IMDb_Cast_Lists_Batch_02(1).xlsx</x:v>
      </x:c>
      <x:c r="D665" s="14" t="str">
        <x:v>Professor T</x:v>
      </x:c>
      <x:c r="E665" s="14" t="n">
        <x:v>184</x:v>
      </x:c>
      <x:c r="F665" s="14" t="str">
        <x:v>Professor T</x:v>
      </x:c>
      <x:c r="G665" s="14" t="str">
        <x:v>tt11981644</x:v>
      </x:c>
      <x:c r="H665" s="14" t="n">
        <x:v>2021</x:v>
      </x:c>
      <x:c r="I665" s="14" t="n">
        <x:v>2023</x:v>
      </x:c>
      <x:c r="J665" s="14" t="str">
        <x:v>Future Carry-Forward Cohort</x:v>
      </x:c>
      <x:c r="K665" s="14" t="n">
        <x:v>2021</x:v>
      </x:c>
      <x:c r="L665" s="14" t="str">
        <x:v>Available from 2021 analysis</x:v>
      </x:c>
      <x:c r="M665" s="15" t="n">
        <x:v>177</x:v>
      </x:c>
      <x:c r="N665" s="14" t="str">
        <x:v>Chris Larkin</x:v>
      </x:c>
      <x:c r="O665" s="14" t="str">
        <x:v>nm0488271</x:v>
      </x:c>
      <x:c r="P665" s="14" t="str">
        <x:v>DSU Milton Droy</x:v>
      </x:c>
      <x:c r="Q665" s="15" t="n">
        <x:v>1</x:v>
      </x:c>
      <x:c r="R665" s="14" t="str">
        <x:v>2025</x:v>
      </x:c>
      <x:c r="S665" s="14" t="n">
        <x:v>2025</x:v>
      </x:c>
      <x:c r="T665" s="14" t="n">
        <x:v>2025</x:v>
      </x:c>
      <x:c r="U665" s="14" t="str">
        <x:v>Post-2021 casting excluded</x:v>
      </x:c>
      <x:c r="V665" s="14" t="str">
        <x:v>Earliest supplied year is 2025, later than the 2021 study year.</x:v>
      </x:c>
      <x:c r="W665" s="14"/>
      <x:c r="X665" s="14" t="str">
        <x:v>Carried forward to 2025</x:v>
      </x:c>
      <x:c r="Y665" s="14"/>
      <x:c r="Z665" s="14" t="str">
        <x:v>Professor T.docx</x:v>
      </x:c>
      <x:c r="AA6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7" t="e">
        <x:f>HYPERLINK("https://en.wikipedia.org/wiki/Professor_T.","Open source")</x:f>
        <x:v>HYPERLINK is not implemented. linkLocation=https://en.wikipedia.org/wiki/Professor_T., friendlyName=Open source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 t="str">
        <x:v>No established-register match</x:v>
      </x:c>
      <x:c r="AT665" s="14"/>
      <x:c r="AU665" s="14"/>
      <x:c r="AV665" s="14" t="str">
        <x:v>No established apparent-disability match</x:v>
      </x:c>
      <x:c r="AW665" s="14"/>
      <x:c r="AX665" s="14" t="str">
        <x:v>No</x:v>
      </x:c>
      <x:c r="AY665" s="14" t="str">
        <x:v>Unmatched</x:v>
      </x:c>
      <x:c r="AZ665" s="14" t="str">
        <x:v>Final supplied register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30</x:v>
      </x:c>
      <x:c r="BP665" s="14" t="str">
        <x:v>Maximum eligible IMDb cast-credit total (30), shared by 2 performer(s); not independently verified as a 2021-only episode total.</x:v>
      </x:c>
      <x:c r="BQ665" s="14" t="str">
        <x:v>Medium</x:v>
      </x:c>
      <x:c r="BR665" s="15" t="n">
        <x:v>1</x:v>
      </x:c>
      <x:c r="BS665" s="16" t="n">
        <x:v>0.03333333333333333</x:v>
      </x:c>
      <x:c r="BT665" s="14" t="str">
        <x:v>One episode</x:v>
      </x:c>
      <x:c r="BU665" s="14" t="str">
        <x:v>Medium</x:v>
      </x:c>
      <x:c r="BV665" s="14" t="str">
        <x:v>Derived from supplied IMDb episode count and the documented production-total proxy.</x:v>
      </x:c>
      <x:c r="BW665" s="14" t="str">
        <x:v>Unable to determine</x:v>
      </x:c>
      <x:c r="BX665" s="14" t="str">
        <x:v>Supplied cast data establishes the credit and episode presence but does not establish narrative prominence.</x:v>
      </x:c>
      <x:c r="BY665" s="14" t="str">
        <x:v>Supplied IMDb cast-list workbook</x:v>
      </x:c>
      <x:c r="BZ6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tt11981644|nm10526984|fabian royle</x:v>
      </x:c>
      <x:c r="B666" s="14" t="str">
        <x:v>02</x:v>
      </x:c>
      <x:c r="C666" s="14" t="str">
        <x:v>2021_IMDb_Cast_Lists_Batch_02(1).xlsx</x:v>
      </x:c>
      <x:c r="D666" s="14" t="str">
        <x:v>Professor T</x:v>
      </x:c>
      <x:c r="E666" s="14" t="n">
        <x:v>185</x:v>
      </x:c>
      <x:c r="F666" s="14" t="str">
        <x:v>Professor T</x:v>
      </x:c>
      <x:c r="G666" s="14" t="str">
        <x:v>tt11981644</x:v>
      </x:c>
      <x:c r="H666" s="14" t="n">
        <x:v>2021</x:v>
      </x:c>
      <x:c r="I666" s="14" t="n">
        <x:v>2023</x:v>
      </x:c>
      <x:c r="J666" s="14" t="str">
        <x:v>Future Carry-Forward Cohort</x:v>
      </x:c>
      <x:c r="K666" s="14" t="n">
        <x:v>2021</x:v>
      </x:c>
      <x:c r="L666" s="14" t="str">
        <x:v>Available from 2021 analysis</x:v>
      </x:c>
      <x:c r="M666" s="15" t="n">
        <x:v>178</x:v>
      </x:c>
      <x:c r="N666" s="14" t="str">
        <x:v>Ruben Francq</x:v>
      </x:c>
      <x:c r="O666" s="14" t="str">
        <x:v>nm10526984</x:v>
      </x:c>
      <x:c r="P666" s="14" t="str">
        <x:v>Fabian Royle</x:v>
      </x:c>
      <x:c r="Q666" s="15" t="n">
        <x:v>1</x:v>
      </x:c>
      <x:c r="R666" s="14" t="str">
        <x:v>2025</x:v>
      </x:c>
      <x:c r="S666" s="14" t="n">
        <x:v>2025</x:v>
      </x:c>
      <x:c r="T666" s="14" t="n">
        <x:v>2025</x:v>
      </x:c>
      <x:c r="U666" s="14" t="str">
        <x:v>Post-2021 casting excluded</x:v>
      </x:c>
      <x:c r="V666" s="14" t="str">
        <x:v>Earliest supplied year is 2025, later than the 2021 study year.</x:v>
      </x:c>
      <x:c r="W666" s="14"/>
      <x:c r="X666" s="14" t="str">
        <x:v>Carried forward to 2025</x:v>
      </x:c>
      <x:c r="Y666" s="14"/>
      <x:c r="Z666" s="14" t="str">
        <x:v>Professor T.docx</x:v>
      </x:c>
      <x:c r="AA6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7" t="e">
        <x:f>HYPERLINK("https://en.wikipedia.org/wiki/Professor_T.","Open source")</x:f>
        <x:v>HYPERLINK is not implemented. linkLocation=https://en.wikipedia.org/wiki/Professor_T., friendlyName=Open source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 t="str">
        <x:v>No established-register match</x:v>
      </x:c>
      <x:c r="AT666" s="14"/>
      <x:c r="AU666" s="14"/>
      <x:c r="AV666" s="14" t="str">
        <x:v>No established apparent-disability match</x:v>
      </x:c>
      <x:c r="AW666" s="14"/>
      <x:c r="AX666" s="14" t="str">
        <x:v>No</x:v>
      </x:c>
      <x:c r="AY666" s="14" t="str">
        <x:v>Unmatched</x:v>
      </x:c>
      <x:c r="AZ666" s="14" t="str">
        <x:v>Final supplied register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30</x:v>
      </x:c>
      <x:c r="BP666" s="14" t="str">
        <x:v>Maximum eligible IMDb cast-credit total (30), shared by 2 performer(s); not independently verified as a 2021-only episode total.</x:v>
      </x:c>
      <x:c r="BQ666" s="14" t="str">
        <x:v>Medium</x:v>
      </x:c>
      <x:c r="BR666" s="15" t="n">
        <x:v>1</x:v>
      </x:c>
      <x:c r="BS666" s="16" t="n">
        <x:v>0.03333333333333333</x:v>
      </x:c>
      <x:c r="BT666" s="14" t="str">
        <x:v>One episode</x:v>
      </x:c>
      <x:c r="BU666" s="14" t="str">
        <x:v>Medium</x:v>
      </x:c>
      <x:c r="BV666" s="14" t="str">
        <x:v>Derived from supplied IMDb episode count and the documented production-total proxy.</x:v>
      </x:c>
      <x:c r="BW666" s="14" t="str">
        <x:v>Unable to determine</x:v>
      </x:c>
      <x:c r="BX666" s="14" t="str">
        <x:v>Supplied cast data establishes the credit and episode presence but does not establish narrative prominence.</x:v>
      </x:c>
      <x:c r="BY666" s="14" t="str">
        <x:v>Supplied IMDb cast-list workbook</x:v>
      </x:c>
      <x:c r="BZ6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tt11981644|nm16371643|jill finch</x:v>
      </x:c>
      <x:c r="B667" s="14" t="str">
        <x:v>02</x:v>
      </x:c>
      <x:c r="C667" s="14" t="str">
        <x:v>2021_IMDb_Cast_Lists_Batch_02(1).xlsx</x:v>
      </x:c>
      <x:c r="D667" s="14" t="str">
        <x:v>Professor T</x:v>
      </x:c>
      <x:c r="E667" s="14" t="n">
        <x:v>196</x:v>
      </x:c>
      <x:c r="F667" s="14" t="str">
        <x:v>Professor T</x:v>
      </x:c>
      <x:c r="G667" s="14" t="str">
        <x:v>tt11981644</x:v>
      </x:c>
      <x:c r="H667" s="14" t="n">
        <x:v>2021</x:v>
      </x:c>
      <x:c r="I667" s="14" t="n">
        <x:v>2023</x:v>
      </x:c>
      <x:c r="J667" s="14" t="str">
        <x:v>Future Carry-Forward Cohort</x:v>
      </x:c>
      <x:c r="K667" s="14" t="n">
        <x:v>2021</x:v>
      </x:c>
      <x:c r="L667" s="14" t="str">
        <x:v>Available from 2021 analysis</x:v>
      </x:c>
      <x:c r="M667" s="15" t="n">
        <x:v>189</x:v>
      </x:c>
      <x:c r="N667" s="14" t="str">
        <x:v>Esme Hough</x:v>
      </x:c>
      <x:c r="O667" s="14" t="str">
        <x:v>nm16371643</x:v>
      </x:c>
      <x:c r="P667" s="14" t="str">
        <x:v>Jill Finch</x:v>
      </x:c>
      <x:c r="Q667" s="15" t="n">
        <x:v>1</x:v>
      </x:c>
      <x:c r="R667" s="14" t="str">
        <x:v>2025</x:v>
      </x:c>
      <x:c r="S667" s="14" t="n">
        <x:v>2025</x:v>
      </x:c>
      <x:c r="T667" s="14" t="n">
        <x:v>2025</x:v>
      </x:c>
      <x:c r="U667" s="14" t="str">
        <x:v>Post-2021 casting excluded</x:v>
      </x:c>
      <x:c r="V667" s="14" t="str">
        <x:v>Earliest supplied year is 2025, later than the 2021 study year.</x:v>
      </x:c>
      <x:c r="W667" s="14"/>
      <x:c r="X667" s="14" t="str">
        <x:v>Carried forward to 2025</x:v>
      </x:c>
      <x:c r="Y667" s="14"/>
      <x:c r="Z667" s="14" t="str">
        <x:v>Professor T.docx</x:v>
      </x:c>
      <x:c r="AA6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7" t="e">
        <x:f>HYPERLINK("https://en.wikipedia.org/wiki/Professor_T.","Open source")</x:f>
        <x:v>HYPERLINK is not implemented. linkLocation=https://en.wikipedia.org/wiki/Professor_T., friendlyName=Open source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 t="str">
        <x:v>No established-register match</x:v>
      </x:c>
      <x:c r="AT667" s="14"/>
      <x:c r="AU667" s="14"/>
      <x:c r="AV667" s="14" t="str">
        <x:v>No established apparent-disability match</x:v>
      </x:c>
      <x:c r="AW667" s="14"/>
      <x:c r="AX667" s="14" t="str">
        <x:v>No</x:v>
      </x:c>
      <x:c r="AY667" s="14" t="str">
        <x:v>Unmatched</x:v>
      </x:c>
      <x:c r="AZ667" s="14" t="str">
        <x:v>Final supplied register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30</x:v>
      </x:c>
      <x:c r="BP667" s="14" t="str">
        <x:v>Maximum eligible IMDb cast-credit total (30), shared by 2 performer(s); not independently verified as a 2021-only episode total.</x:v>
      </x:c>
      <x:c r="BQ667" s="14" t="str">
        <x:v>Medium</x:v>
      </x:c>
      <x:c r="BR667" s="15" t="n">
        <x:v>1</x:v>
      </x:c>
      <x:c r="BS667" s="16" t="n">
        <x:v>0.03333333333333333</x:v>
      </x:c>
      <x:c r="BT667" s="14" t="str">
        <x:v>One episode</x:v>
      </x:c>
      <x:c r="BU667" s="14" t="str">
        <x:v>Medium</x:v>
      </x:c>
      <x:c r="BV667" s="14" t="str">
        <x:v>Derived from supplied IMDb episode count and the documented production-total proxy.</x:v>
      </x:c>
      <x:c r="BW667" s="14" t="str">
        <x:v>Unable to determine</x:v>
      </x:c>
      <x:c r="BX667" s="14" t="str">
        <x:v>Supplied cast data establishes the credit and episode presence but does not establish narrative prominence.</x:v>
      </x:c>
      <x:c r="BY667" s="14" t="str">
        <x:v>Supplied IMDb cast-list workbook</x:v>
      </x:c>
      <x:c r="BZ6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tt11981644|nm17592434|lucien hailsham</x:v>
      </x:c>
      <x:c r="B668" s="14" t="str">
        <x:v>02</x:v>
      </x:c>
      <x:c r="C668" s="14" t="str">
        <x:v>2021_IMDb_Cast_Lists_Batch_02(1).xlsx</x:v>
      </x:c>
      <x:c r="D668" s="14" t="str">
        <x:v>Professor T</x:v>
      </x:c>
      <x:c r="E668" s="14" t="n">
        <x:v>197</x:v>
      </x:c>
      <x:c r="F668" s="14" t="str">
        <x:v>Professor T</x:v>
      </x:c>
      <x:c r="G668" s="14" t="str">
        <x:v>tt11981644</x:v>
      </x:c>
      <x:c r="H668" s="14" t="n">
        <x:v>2021</x:v>
      </x:c>
      <x:c r="I668" s="14" t="n">
        <x:v>2023</x:v>
      </x:c>
      <x:c r="J668" s="14" t="str">
        <x:v>Future Carry-Forward Cohort</x:v>
      </x:c>
      <x:c r="K668" s="14" t="n">
        <x:v>2021</x:v>
      </x:c>
      <x:c r="L668" s="14" t="str">
        <x:v>Available from 2021 analysis</x:v>
      </x:c>
      <x:c r="M668" s="15" t="n">
        <x:v>190</x:v>
      </x:c>
      <x:c r="N668" s="14" t="str">
        <x:v>Martin Turner</x:v>
      </x:c>
      <x:c r="O668" s="14" t="str">
        <x:v>nm17592434</x:v>
      </x:c>
      <x:c r="P668" s="14" t="str">
        <x:v>Lucien Hailsham</x:v>
      </x:c>
      <x:c r="Q668" s="15" t="n">
        <x:v>1</x:v>
      </x:c>
      <x:c r="R668" s="14" t="str">
        <x:v>2025</x:v>
      </x:c>
      <x:c r="S668" s="14" t="n">
        <x:v>2025</x:v>
      </x:c>
      <x:c r="T668" s="14" t="n">
        <x:v>2025</x:v>
      </x:c>
      <x:c r="U668" s="14" t="str">
        <x:v>Post-2021 casting excluded</x:v>
      </x:c>
      <x:c r="V668" s="14" t="str">
        <x:v>Earliest supplied year is 2025, later than the 2021 study year.</x:v>
      </x:c>
      <x:c r="W668" s="14"/>
      <x:c r="X668" s="14" t="str">
        <x:v>Carried forward to 2025</x:v>
      </x:c>
      <x:c r="Y668" s="14"/>
      <x:c r="Z668" s="14" t="str">
        <x:v>Professor T.docx</x:v>
      </x:c>
      <x:c r="AA6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7" t="e">
        <x:f>HYPERLINK("https://en.wikipedia.org/wiki/Professor_T.","Open source")</x:f>
        <x:v>HYPERLINK is not implemented. linkLocation=https://en.wikipedia.org/wiki/Professor_T., friendlyName=Open source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 t="str">
        <x:v>No established-register match</x:v>
      </x:c>
      <x:c r="AT668" s="14"/>
      <x:c r="AU668" s="14"/>
      <x:c r="AV668" s="14" t="str">
        <x:v>No established apparent-disability match</x:v>
      </x:c>
      <x:c r="AW668" s="14"/>
      <x:c r="AX668" s="14" t="str">
        <x:v>No</x:v>
      </x:c>
      <x:c r="AY668" s="14" t="str">
        <x:v>Unmatched</x:v>
      </x:c>
      <x:c r="AZ668" s="14" t="str">
        <x:v>Final supplied register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30</x:v>
      </x:c>
      <x:c r="BP668" s="14" t="str">
        <x:v>Maximum eligible IMDb cast-credit total (30), shared by 2 performer(s); not independently verified as a 2021-only episode total.</x:v>
      </x:c>
      <x:c r="BQ668" s="14" t="str">
        <x:v>Medium</x:v>
      </x:c>
      <x:c r="BR668" s="15" t="n">
        <x:v>1</x:v>
      </x:c>
      <x:c r="BS668" s="16" t="n">
        <x:v>0.03333333333333333</x:v>
      </x:c>
      <x:c r="BT668" s="14" t="str">
        <x:v>One episode</x:v>
      </x:c>
      <x:c r="BU668" s="14" t="str">
        <x:v>Medium</x:v>
      </x:c>
      <x:c r="BV668" s="14" t="str">
        <x:v>Derived from supplied IMDb episode count and the documented production-total proxy.</x:v>
      </x:c>
      <x:c r="BW668" s="14" t="str">
        <x:v>Unable to determine</x:v>
      </x:c>
      <x:c r="BX668" s="14" t="str">
        <x:v>Supplied cast data establishes the credit and episode presence but does not establish narrative prominence.</x:v>
      </x:c>
      <x:c r="BY668" s="14" t="str">
        <x:v>Supplied IMDb cast-list workbook</x:v>
      </x:c>
      <x:c r="BZ6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tt11981644|nm17593078|memorial brass band</x:v>
      </x:c>
      <x:c r="B669" s="14" t="str">
        <x:v>02</x:v>
      </x:c>
      <x:c r="C669" s="14" t="str">
        <x:v>2021_IMDb_Cast_Lists_Batch_02(1).xlsx</x:v>
      </x:c>
      <x:c r="D669" s="14" t="str">
        <x:v>Professor T</x:v>
      </x:c>
      <x:c r="E669" s="14" t="n">
        <x:v>198</x:v>
      </x:c>
      <x:c r="F669" s="14" t="str">
        <x:v>Professor T</x:v>
      </x:c>
      <x:c r="G669" s="14" t="str">
        <x:v>tt11981644</x:v>
      </x:c>
      <x:c r="H669" s="14" t="n">
        <x:v>2021</x:v>
      </x:c>
      <x:c r="I669" s="14" t="n">
        <x:v>2023</x:v>
      </x:c>
      <x:c r="J669" s="14" t="str">
        <x:v>Future Carry-Forward Cohort</x:v>
      </x:c>
      <x:c r="K669" s="14" t="n">
        <x:v>2021</x:v>
      </x:c>
      <x:c r="L669" s="14" t="str">
        <x:v>Available from 2021 analysis</x:v>
      </x:c>
      <x:c r="M669" s="15" t="n">
        <x:v>191</x:v>
      </x:c>
      <x:c r="N669" s="14" t="str">
        <x:v>Festival Brass Band</x:v>
      </x:c>
      <x:c r="O669" s="14" t="str">
        <x:v>nm17593078</x:v>
      </x:c>
      <x:c r="P669" s="14" t="str">
        <x:v>Memorial Brass Band</x:v>
      </x:c>
      <x:c r="Q669" s="15" t="n">
        <x:v>1</x:v>
      </x:c>
      <x:c r="R669" s="14" t="str">
        <x:v>2025</x:v>
      </x:c>
      <x:c r="S669" s="14" t="n">
        <x:v>2025</x:v>
      </x:c>
      <x:c r="T669" s="14" t="n">
        <x:v>2025</x:v>
      </x:c>
      <x:c r="U669" s="14" t="str">
        <x:v>Post-2021 casting excluded</x:v>
      </x:c>
      <x:c r="V669" s="14" t="str">
        <x:v>Earliest supplied year is 2025, later than the 2021 study year.</x:v>
      </x:c>
      <x:c r="W669" s="14"/>
      <x:c r="X669" s="14" t="str">
        <x:v>Carried forward to 2025</x:v>
      </x:c>
      <x:c r="Y669" s="14"/>
      <x:c r="Z669" s="14" t="str">
        <x:v>Professor T.docx</x:v>
      </x:c>
      <x:c r="AA66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7" t="e">
        <x:f>HYPERLINK("https://en.wikipedia.org/wiki/Professor_T.","Open source")</x:f>
        <x:v>HYPERLINK is not implemented. linkLocation=https://en.wikipedia.org/wiki/Professor_T., friendlyName=Open source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 t="str">
        <x:v>No established-register match</x:v>
      </x:c>
      <x:c r="AT669" s="14"/>
      <x:c r="AU669" s="14"/>
      <x:c r="AV669" s="14" t="str">
        <x:v>No established apparent-disability match</x:v>
      </x:c>
      <x:c r="AW669" s="14"/>
      <x:c r="AX669" s="14" t="str">
        <x:v>No</x:v>
      </x:c>
      <x:c r="AY669" s="14" t="str">
        <x:v>Unmatched</x:v>
      </x:c>
      <x:c r="AZ669" s="14" t="str">
        <x:v>Final supplied register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30</x:v>
      </x:c>
      <x:c r="BP669" s="14" t="str">
        <x:v>Maximum eligible IMDb cast-credit total (30), shared by 2 performer(s); not independently verified as a 2021-only episode total.</x:v>
      </x:c>
      <x:c r="BQ669" s="14" t="str">
        <x:v>Medium</x:v>
      </x:c>
      <x:c r="BR669" s="15" t="n">
        <x:v>1</x:v>
      </x:c>
      <x:c r="BS669" s="16" t="n">
        <x:v>0.03333333333333333</x:v>
      </x:c>
      <x:c r="BT669" s="14" t="str">
        <x:v>One episode</x:v>
      </x:c>
      <x:c r="BU669" s="14" t="str">
        <x:v>Medium</x:v>
      </x:c>
      <x:c r="BV669" s="14" t="str">
        <x:v>Derived from supplied IMDb episode count and the documented production-total proxy.</x:v>
      </x:c>
      <x:c r="BW669" s="14" t="str">
        <x:v>Unable to determine</x:v>
      </x:c>
      <x:c r="BX669" s="14" t="str">
        <x:v>Supplied cast data establishes the credit and episode presence but does not establish narrative prominence.</x:v>
      </x:c>
      <x:c r="BY669" s="14" t="str">
        <x:v>Supplied IMDb cast-list workbook</x:v>
      </x:c>
      <x:c r="BZ66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tt11981644|nm6151681|uk registrar</x:v>
      </x:c>
      <x:c r="B670" s="14" t="str">
        <x:v>02</x:v>
      </x:c>
      <x:c r="C670" s="14" t="str">
        <x:v>2021_IMDb_Cast_Lists_Batch_02(1).xlsx</x:v>
      </x:c>
      <x:c r="D670" s="14" t="str">
        <x:v>Professor T</x:v>
      </x:c>
      <x:c r="E670" s="14" t="n">
        <x:v>208</x:v>
      </x:c>
      <x:c r="F670" s="14" t="str">
        <x:v>Professor T</x:v>
      </x:c>
      <x:c r="G670" s="14" t="str">
        <x:v>tt11981644</x:v>
      </x:c>
      <x:c r="H670" s="14" t="n">
        <x:v>2021</x:v>
      </x:c>
      <x:c r="I670" s="14" t="n">
        <x:v>2023</x:v>
      </x:c>
      <x:c r="J670" s="14" t="str">
        <x:v>Future Carry-Forward Cohort</x:v>
      </x:c>
      <x:c r="K670" s="14" t="n">
        <x:v>2021</x:v>
      </x:c>
      <x:c r="L670" s="14" t="str">
        <x:v>Available from 2021 analysis</x:v>
      </x:c>
      <x:c r="M670" s="15" t="n">
        <x:v>201</x:v>
      </x:c>
      <x:c r="N670" s="14" t="str">
        <x:v>Karoline Newman</x:v>
      </x:c>
      <x:c r="O670" s="14" t="str">
        <x:v>nm6151681</x:v>
      </x:c>
      <x:c r="P670" s="14" t="str">
        <x:v>UK Registrar</x:v>
      </x:c>
      <x:c r="Q670" s="15" t="n">
        <x:v>1</x:v>
      </x:c>
      <x:c r="R670" s="14" t="str">
        <x:v>2025</x:v>
      </x:c>
      <x:c r="S670" s="14" t="n">
        <x:v>2025</x:v>
      </x:c>
      <x:c r="T670" s="14" t="n">
        <x:v>2025</x:v>
      </x:c>
      <x:c r="U670" s="14" t="str">
        <x:v>Post-2021 casting excluded</x:v>
      </x:c>
      <x:c r="V670" s="14" t="str">
        <x:v>Earliest supplied year is 2025, later than the 2021 study year.</x:v>
      </x:c>
      <x:c r="W670" s="14"/>
      <x:c r="X670" s="14" t="str">
        <x:v>Carried forward to 2025</x:v>
      </x:c>
      <x:c r="Y670" s="14"/>
      <x:c r="Z670" s="14" t="str">
        <x:v>Professor T.docx</x:v>
      </x:c>
      <x:c r="AA67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7" t="e">
        <x:f>HYPERLINK("https://en.wikipedia.org/wiki/Professor_T.","Open source")</x:f>
        <x:v>HYPERLINK is not implemented. linkLocation=https://en.wikipedia.org/wiki/Professor_T., friendlyName=Open source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 t="str">
        <x:v>No established-register match</x:v>
      </x:c>
      <x:c r="AT670" s="14"/>
      <x:c r="AU670" s="14"/>
      <x:c r="AV670" s="14" t="str">
        <x:v>No established apparent-disability match</x:v>
      </x:c>
      <x:c r="AW670" s="14"/>
      <x:c r="AX670" s="14" t="str">
        <x:v>No</x:v>
      </x:c>
      <x:c r="AY670" s="14" t="str">
        <x:v>Unmatched</x:v>
      </x:c>
      <x:c r="AZ670" s="14" t="str">
        <x:v>Final supplied register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30</x:v>
      </x:c>
      <x:c r="BP670" s="14" t="str">
        <x:v>Maximum eligible IMDb cast-credit total (30), shared by 2 performer(s); not independently verified as a 2021-only episode total.</x:v>
      </x:c>
      <x:c r="BQ670" s="14" t="str">
        <x:v>Medium</x:v>
      </x:c>
      <x:c r="BR670" s="15" t="n">
        <x:v>1</x:v>
      </x:c>
      <x:c r="BS670" s="16" t="n">
        <x:v>0.03333333333333333</x:v>
      </x:c>
      <x:c r="BT670" s="14" t="str">
        <x:v>One episode</x:v>
      </x:c>
      <x:c r="BU670" s="14" t="str">
        <x:v>Medium</x:v>
      </x:c>
      <x:c r="BV670" s="14" t="str">
        <x:v>Derived from supplied IMDb episode count and the documented production-total proxy.</x:v>
      </x:c>
      <x:c r="BW670" s="14" t="str">
        <x:v>Unable to determine</x:v>
      </x:c>
      <x:c r="BX670" s="14" t="str">
        <x:v>Supplied cast data establishes the credit and episode presence but does not establish narrative prominence.</x:v>
      </x:c>
      <x:c r="BY670" s="14" t="str">
        <x:v>Supplied IMDb cast-list workbook</x:v>
      </x:c>
      <x:c r="BZ67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tt11981644|nm1682272|ash robertson</x:v>
      </x:c>
      <x:c r="B671" s="14" t="str">
        <x:v>02</x:v>
      </x:c>
      <x:c r="C671" s="14" t="str">
        <x:v>2021_IMDb_Cast_Lists_Batch_02(1).xlsx</x:v>
      </x:c>
      <x:c r="D671" s="14" t="str">
        <x:v>Professor T</x:v>
      </x:c>
      <x:c r="E671" s="14" t="n">
        <x:v>216</x:v>
      </x:c>
      <x:c r="F671" s="14" t="str">
        <x:v>Professor T</x:v>
      </x:c>
      <x:c r="G671" s="14" t="str">
        <x:v>tt11981644</x:v>
      </x:c>
      <x:c r="H671" s="14" t="n">
        <x:v>2021</x:v>
      </x:c>
      <x:c r="I671" s="14" t="n">
        <x:v>2023</x:v>
      </x:c>
      <x:c r="J671" s="14" t="str">
        <x:v>Future Carry-Forward Cohort</x:v>
      </x:c>
      <x:c r="K671" s="14" t="n">
        <x:v>2021</x:v>
      </x:c>
      <x:c r="L671" s="14" t="str">
        <x:v>Available from 2021 analysis</x:v>
      </x:c>
      <x:c r="M671" s="15" t="n">
        <x:v>209</x:v>
      </x:c>
      <x:c r="N671" s="14" t="str">
        <x:v>Lace Akpojaro</x:v>
      </x:c>
      <x:c r="O671" s="14" t="str">
        <x:v>nm1682272</x:v>
      </x:c>
      <x:c r="P671" s="14" t="str">
        <x:v>Ash Robertson</x:v>
      </x:c>
      <x:c r="Q671" s="15" t="n">
        <x:v>1</x:v>
      </x:c>
      <x:c r="R671" s="14" t="str">
        <x:v>2025</x:v>
      </x:c>
      <x:c r="S671" s="14" t="n">
        <x:v>2025</x:v>
      </x:c>
      <x:c r="T671" s="14" t="n">
        <x:v>2025</x:v>
      </x:c>
      <x:c r="U671" s="14" t="str">
        <x:v>Post-2021 casting excluded</x:v>
      </x:c>
      <x:c r="V671" s="14" t="str">
        <x:v>Earliest supplied year is 2025, later than the 2021 study year.</x:v>
      </x:c>
      <x:c r="W671" s="14"/>
      <x:c r="X671" s="14" t="str">
        <x:v>Carried forward to 2025</x:v>
      </x:c>
      <x:c r="Y671" s="14"/>
      <x:c r="Z671" s="14" t="str">
        <x:v>Professor T.docx</x:v>
      </x:c>
      <x:c r="AA67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7" t="e">
        <x:f>HYPERLINK("https://en.wikipedia.org/wiki/Professor_T.","Open source")</x:f>
        <x:v>HYPERLINK is not implemented. linkLocation=https://en.wikipedia.org/wiki/Professor_T., friendlyName=Open source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 t="str">
        <x:v>No established-register match</x:v>
      </x:c>
      <x:c r="AT671" s="14"/>
      <x:c r="AU671" s="14"/>
      <x:c r="AV671" s="14" t="str">
        <x:v>No established apparent-disability match</x:v>
      </x:c>
      <x:c r="AW671" s="14"/>
      <x:c r="AX671" s="14" t="str">
        <x:v>No</x:v>
      </x:c>
      <x:c r="AY671" s="14" t="str">
        <x:v>Unmatched</x:v>
      </x:c>
      <x:c r="AZ671" s="14" t="str">
        <x:v>Final supplied register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30</x:v>
      </x:c>
      <x:c r="BP671" s="14" t="str">
        <x:v>Maximum eligible IMDb cast-credit total (30), shared by 2 performer(s); not independently verified as a 2021-only episode total.</x:v>
      </x:c>
      <x:c r="BQ671" s="14" t="str">
        <x:v>Medium</x:v>
      </x:c>
      <x:c r="BR671" s="15" t="n">
        <x:v>1</x:v>
      </x:c>
      <x:c r="BS671" s="16" t="n">
        <x:v>0.03333333333333333</x:v>
      </x:c>
      <x:c r="BT671" s="14" t="str">
        <x:v>One episode</x:v>
      </x:c>
      <x:c r="BU671" s="14" t="str">
        <x:v>Medium</x:v>
      </x:c>
      <x:c r="BV671" s="14" t="str">
        <x:v>Derived from supplied IMDb episode count and the documented production-total proxy.</x:v>
      </x:c>
      <x:c r="BW671" s="14" t="str">
        <x:v>Unable to determine</x:v>
      </x:c>
      <x:c r="BX671" s="14" t="str">
        <x:v>Supplied cast data establishes the credit and episode presence but does not establish narrative prominence.</x:v>
      </x:c>
      <x:c r="BY671" s="14" t="str">
        <x:v>Supplied IMDb cast-list workbook</x:v>
      </x:c>
      <x:c r="BZ67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tt11981644|nm17592130|librarian</x:v>
      </x:c>
      <x:c r="B672" s="14" t="str">
        <x:v>02</x:v>
      </x:c>
      <x:c r="C672" s="14" t="str">
        <x:v>2021_IMDb_Cast_Lists_Batch_02(1).xlsx</x:v>
      </x:c>
      <x:c r="D672" s="14" t="str">
        <x:v>Professor T</x:v>
      </x:c>
      <x:c r="E672" s="14" t="n">
        <x:v>217</x:v>
      </x:c>
      <x:c r="F672" s="14" t="str">
        <x:v>Professor T</x:v>
      </x:c>
      <x:c r="G672" s="14" t="str">
        <x:v>tt11981644</x:v>
      </x:c>
      <x:c r="H672" s="14" t="n">
        <x:v>2021</x:v>
      </x:c>
      <x:c r="I672" s="14" t="n">
        <x:v>2023</x:v>
      </x:c>
      <x:c r="J672" s="14" t="str">
        <x:v>Future Carry-Forward Cohort</x:v>
      </x:c>
      <x:c r="K672" s="14" t="n">
        <x:v>2021</x:v>
      </x:c>
      <x:c r="L672" s="14" t="str">
        <x:v>Available from 2021 analysis</x:v>
      </x:c>
      <x:c r="M672" s="15" t="n">
        <x:v>210</x:v>
      </x:c>
      <x:c r="N672" s="14" t="str">
        <x:v>Maria Lamont</x:v>
      </x:c>
      <x:c r="O672" s="14" t="str">
        <x:v>nm17592130</x:v>
      </x:c>
      <x:c r="P672" s="14" t="str">
        <x:v>Librarian</x:v>
      </x:c>
      <x:c r="Q672" s="15" t="n">
        <x:v>1</x:v>
      </x:c>
      <x:c r="R672" s="14" t="str">
        <x:v>2025</x:v>
      </x:c>
      <x:c r="S672" s="14" t="n">
        <x:v>2025</x:v>
      </x:c>
      <x:c r="T672" s="14" t="n">
        <x:v>2025</x:v>
      </x:c>
      <x:c r="U672" s="14" t="str">
        <x:v>Post-2021 casting excluded</x:v>
      </x:c>
      <x:c r="V672" s="14" t="str">
        <x:v>Earliest supplied year is 2025, later than the 2021 study year.</x:v>
      </x:c>
      <x:c r="W672" s="14"/>
      <x:c r="X672" s="14" t="str">
        <x:v>Carried forward to 2025</x:v>
      </x:c>
      <x:c r="Y672" s="14"/>
      <x:c r="Z672" s="14" t="str">
        <x:v>Professor T.docx</x:v>
      </x:c>
      <x:c r="AA67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ITV / ITVX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7" t="e">
        <x:f>HYPERLINK("https://en.wikipedia.org/wiki/Professor_T.","Open source")</x:f>
        <x:v>HYPERLINK is not implemented. linkLocation=https://en.wikipedia.org/wiki/Professor_T., friendlyName=Open source</x:v>
      </x:c>
      <x:c r="AN672" s="14" t="str">
        <x:v>No qualifying BBC relationship</x:v>
      </x:c>
      <x:c r="AO672" s="14" t="str">
        <x:v>No</x:v>
      </x:c>
      <x:c r="AP672" s="14" t="str">
        <x:v>Out of scope</x:v>
      </x:c>
      <x:c r="AQ672" s="14" t="str">
        <x:v>No</x:v>
      </x:c>
      <x:c r="AR672" s="14" t="str">
        <x:v>Resolved from master register</x:v>
      </x:c>
      <x:c r="AS672" s="14" t="str">
        <x:v>No established-register match</x:v>
      </x:c>
      <x:c r="AT672" s="14"/>
      <x:c r="AU672" s="14"/>
      <x:c r="AV672" s="14" t="str">
        <x:v>No established apparent-disability match</x:v>
      </x:c>
      <x:c r="AW672" s="14"/>
      <x:c r="AX672" s="14" t="str">
        <x:v>No</x:v>
      </x:c>
      <x:c r="AY672" s="14" t="str">
        <x:v>Unmatched</x:v>
      </x:c>
      <x:c r="AZ672" s="14" t="str">
        <x:v>Final supplied register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30</x:v>
      </x:c>
      <x:c r="BP672" s="14" t="str">
        <x:v>Maximum eligible IMDb cast-credit total (30), shared by 2 performer(s); not independently verified as a 2021-only episode total.</x:v>
      </x:c>
      <x:c r="BQ672" s="14" t="str">
        <x:v>Medium</x:v>
      </x:c>
      <x:c r="BR672" s="15" t="n">
        <x:v>1</x:v>
      </x:c>
      <x:c r="BS672" s="16" t="n">
        <x:v>0.03333333333333333</x:v>
      </x:c>
      <x:c r="BT672" s="14" t="str">
        <x:v>One episode</x:v>
      </x:c>
      <x:c r="BU672" s="14" t="str">
        <x:v>Medium</x:v>
      </x:c>
      <x:c r="BV672" s="14" t="str">
        <x:v>Derived from supplied IMDb episode count and the documented production-total proxy.</x:v>
      </x:c>
      <x:c r="BW672" s="14" t="str">
        <x:v>Unable to determine</x:v>
      </x:c>
      <x:c r="BX672" s="14" t="str">
        <x:v>Supplied cast data establishes the credit and episode presence but does not establish narrative prominence.</x:v>
      </x:c>
      <x:c r="BY672" s="14" t="str">
        <x:v>Supplied IMDb cast-list workbook</x:v>
      </x:c>
      <x:c r="BZ67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tt11981644|nm1477786|harman redpath</x:v>
      </x:c>
      <x:c r="B673" s="14" t="str">
        <x:v>02</x:v>
      </x:c>
      <x:c r="C673" s="14" t="str">
        <x:v>2021_IMDb_Cast_Lists_Batch_02(1).xlsx</x:v>
      </x:c>
      <x:c r="D673" s="14" t="str">
        <x:v>Professor T</x:v>
      </x:c>
      <x:c r="E673" s="14" t="n">
        <x:v>228</x:v>
      </x:c>
      <x:c r="F673" s="14" t="str">
        <x:v>Professor T</x:v>
      </x:c>
      <x:c r="G673" s="14" t="str">
        <x:v>tt11981644</x:v>
      </x:c>
      <x:c r="H673" s="14" t="n">
        <x:v>2021</x:v>
      </x:c>
      <x:c r="I673" s="14" t="n">
        <x:v>2023</x:v>
      </x:c>
      <x:c r="J673" s="14" t="str">
        <x:v>Future Carry-Forward Cohort</x:v>
      </x:c>
      <x:c r="K673" s="14" t="n">
        <x:v>2021</x:v>
      </x:c>
      <x:c r="L673" s="14" t="str">
        <x:v>Available from 2021 analysis</x:v>
      </x:c>
      <x:c r="M673" s="15" t="n">
        <x:v>221</x:v>
      </x:c>
      <x:c r="N673" s="14" t="str">
        <x:v>Nicholas Asbury</x:v>
      </x:c>
      <x:c r="O673" s="14" t="str">
        <x:v>nm1477786</x:v>
      </x:c>
      <x:c r="P673" s="14" t="str">
        <x:v>Harman Redpath</x:v>
      </x:c>
      <x:c r="Q673" s="15" t="n">
        <x:v>1</x:v>
      </x:c>
      <x:c r="R673" s="14" t="str">
        <x:v>2025</x:v>
      </x:c>
      <x:c r="S673" s="14" t="n">
        <x:v>2025</x:v>
      </x:c>
      <x:c r="T673" s="14" t="n">
        <x:v>2025</x:v>
      </x:c>
      <x:c r="U673" s="14" t="str">
        <x:v>Post-2021 casting excluded</x:v>
      </x:c>
      <x:c r="V673" s="14" t="str">
        <x:v>Earliest supplied year is 2025, later than the 2021 study year.</x:v>
      </x:c>
      <x:c r="W673" s="14"/>
      <x:c r="X673" s="14" t="str">
        <x:v>Carried forward to 2025</x:v>
      </x:c>
      <x:c r="Y673" s="14"/>
      <x:c r="Z673" s="14" t="str">
        <x:v>Professor T.docx</x:v>
      </x:c>
      <x:c r="AA67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ITV / ITVX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7" t="e">
        <x:f>HYPERLINK("https://en.wikipedia.org/wiki/Professor_T.","Open source")</x:f>
        <x:v>HYPERLINK is not implemented. linkLocation=https://en.wikipedia.org/wiki/Professor_T., friendlyName=Open source</x:v>
      </x:c>
      <x:c r="AN673" s="14" t="str">
        <x:v>No qualifying BBC relationship</x:v>
      </x:c>
      <x:c r="AO673" s="14" t="str">
        <x:v>No</x:v>
      </x:c>
      <x:c r="AP673" s="14" t="str">
        <x:v>Out of scope</x:v>
      </x:c>
      <x:c r="AQ673" s="14" t="str">
        <x:v>No</x:v>
      </x:c>
      <x:c r="AR673" s="14" t="str">
        <x:v>Resolved from master register</x:v>
      </x:c>
      <x:c r="AS673" s="14" t="str">
        <x:v>No established-register match</x:v>
      </x:c>
      <x:c r="AT673" s="14"/>
      <x:c r="AU673" s="14"/>
      <x:c r="AV673" s="14" t="str">
        <x:v>No established apparent-disability match</x:v>
      </x:c>
      <x:c r="AW673" s="14"/>
      <x:c r="AX673" s="14" t="str">
        <x:v>No</x:v>
      </x:c>
      <x:c r="AY673" s="14" t="str">
        <x:v>Unmatched</x:v>
      </x:c>
      <x:c r="AZ673" s="14" t="str">
        <x:v>Final supplied register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30</x:v>
      </x:c>
      <x:c r="BP673" s="14" t="str">
        <x:v>Maximum eligible IMDb cast-credit total (30), shared by 2 performer(s); not independently verified as a 2021-only episode total.</x:v>
      </x:c>
      <x:c r="BQ673" s="14" t="str">
        <x:v>Medium</x:v>
      </x:c>
      <x:c r="BR673" s="15" t="n">
        <x:v>1</x:v>
      </x:c>
      <x:c r="BS673" s="16" t="n">
        <x:v>0.03333333333333333</x:v>
      </x:c>
      <x:c r="BT673" s="14" t="str">
        <x:v>One episode</x:v>
      </x:c>
      <x:c r="BU673" s="14" t="str">
        <x:v>Medium</x:v>
      </x:c>
      <x:c r="BV673" s="14" t="str">
        <x:v>Derived from supplied IMDb episode count and the documented production-total proxy.</x:v>
      </x:c>
      <x:c r="BW673" s="14" t="str">
        <x:v>Unable to determine</x:v>
      </x:c>
      <x:c r="BX673" s="14" t="str">
        <x:v>Supplied cast data establishes the credit and episode presence but does not establish narrative prominence.</x:v>
      </x:c>
      <x:c r="BY673" s="14" t="str">
        <x:v>Supplied IMDb cast-list workbook</x:v>
      </x:c>
      <x:c r="BZ67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tt11981644|nm4510373|ophelia mcqueen</x:v>
      </x:c>
      <x:c r="B674" s="14" t="str">
        <x:v>02</x:v>
      </x:c>
      <x:c r="C674" s="14" t="str">
        <x:v>2021_IMDb_Cast_Lists_Batch_02(1).xlsx</x:v>
      </x:c>
      <x:c r="D674" s="14" t="str">
        <x:v>Professor T</x:v>
      </x:c>
      <x:c r="E674" s="14" t="n">
        <x:v>229</x:v>
      </x:c>
      <x:c r="F674" s="14" t="str">
        <x:v>Professor T</x:v>
      </x:c>
      <x:c r="G674" s="14" t="str">
        <x:v>tt11981644</x:v>
      </x:c>
      <x:c r="H674" s="14" t="n">
        <x:v>2021</x:v>
      </x:c>
      <x:c r="I674" s="14" t="n">
        <x:v>2023</x:v>
      </x:c>
      <x:c r="J674" s="14" t="str">
        <x:v>Future Carry-Forward Cohort</x:v>
      </x:c>
      <x:c r="K674" s="14" t="n">
        <x:v>2021</x:v>
      </x:c>
      <x:c r="L674" s="14" t="str">
        <x:v>Available from 2021 analysis</x:v>
      </x:c>
      <x:c r="M674" s="15" t="n">
        <x:v>222</x:v>
      </x:c>
      <x:c r="N674" s="14" t="str">
        <x:v>Helena Barlow</x:v>
      </x:c>
      <x:c r="O674" s="14" t="str">
        <x:v>nm4510373</x:v>
      </x:c>
      <x:c r="P674" s="14" t="str">
        <x:v>Ophelia McQueen</x:v>
      </x:c>
      <x:c r="Q674" s="15" t="n">
        <x:v>1</x:v>
      </x:c>
      <x:c r="R674" s="14" t="str">
        <x:v>2025</x:v>
      </x:c>
      <x:c r="S674" s="14" t="n">
        <x:v>2025</x:v>
      </x:c>
      <x:c r="T674" s="14" t="n">
        <x:v>2025</x:v>
      </x:c>
      <x:c r="U674" s="14" t="str">
        <x:v>Post-2021 casting excluded</x:v>
      </x:c>
      <x:c r="V674" s="14" t="str">
        <x:v>Earliest supplied year is 2025, later than the 2021 study year.</x:v>
      </x:c>
      <x:c r="W674" s="14"/>
      <x:c r="X674" s="14" t="str">
        <x:v>Carried forward to 2025</x:v>
      </x:c>
      <x:c r="Y674" s="14"/>
      <x:c r="Z674" s="14" t="str">
        <x:v>Professor T.docx</x:v>
      </x:c>
      <x:c r="AA67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ITV / ITVX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7" t="e">
        <x:f>HYPERLINK("https://en.wikipedia.org/wiki/Professor_T.","Open source")</x:f>
        <x:v>HYPERLINK is not implemented. linkLocation=https://en.wikipedia.org/wiki/Professor_T., friendlyName=Open source</x:v>
      </x:c>
      <x:c r="AN674" s="14" t="str">
        <x:v>No qualifying BBC relationship</x:v>
      </x:c>
      <x:c r="AO674" s="14" t="str">
        <x:v>No</x:v>
      </x:c>
      <x:c r="AP674" s="14" t="str">
        <x:v>Out of scope</x:v>
      </x:c>
      <x:c r="AQ674" s="14" t="str">
        <x:v>No</x:v>
      </x:c>
      <x:c r="AR674" s="14" t="str">
        <x:v>Resolved from master register</x:v>
      </x:c>
      <x:c r="AS674" s="14" t="str">
        <x:v>No established-register match</x:v>
      </x:c>
      <x:c r="AT674" s="14"/>
      <x:c r="AU674" s="14"/>
      <x:c r="AV674" s="14" t="str">
        <x:v>No established apparent-disability match</x:v>
      </x:c>
      <x:c r="AW674" s="14"/>
      <x:c r="AX674" s="14" t="str">
        <x:v>No</x:v>
      </x:c>
      <x:c r="AY674" s="14" t="str">
        <x:v>Unmatched</x:v>
      </x:c>
      <x:c r="AZ674" s="14" t="str">
        <x:v>Final supplied register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30</x:v>
      </x:c>
      <x:c r="BP674" s="14" t="str">
        <x:v>Maximum eligible IMDb cast-credit total (30), shared by 2 performer(s); not independently verified as a 2021-only episode total.</x:v>
      </x:c>
      <x:c r="BQ674" s="14" t="str">
        <x:v>Medium</x:v>
      </x:c>
      <x:c r="BR674" s="15" t="n">
        <x:v>1</x:v>
      </x:c>
      <x:c r="BS674" s="16" t="n">
        <x:v>0.03333333333333333</x:v>
      </x:c>
      <x:c r="BT674" s="14" t="str">
        <x:v>One episode</x:v>
      </x:c>
      <x:c r="BU674" s="14" t="str">
        <x:v>Medium</x:v>
      </x:c>
      <x:c r="BV674" s="14" t="str">
        <x:v>Derived from supplied IMDb episode count and the documented production-total proxy.</x:v>
      </x:c>
      <x:c r="BW674" s="14" t="str">
        <x:v>Unable to determine</x:v>
      </x:c>
      <x:c r="BX674" s="14" t="str">
        <x:v>Supplied cast data establishes the credit and episode presence but does not establish narrative prominence.</x:v>
      </x:c>
      <x:c r="BY674" s="14" t="str">
        <x:v>Supplied IMDb cast-list workbook</x:v>
      </x:c>
      <x:c r="BZ67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tt11981644|nm17086875|elderly woman 1</x:v>
      </x:c>
      <x:c r="B675" s="14" t="str">
        <x:v>02</x:v>
      </x:c>
      <x:c r="C675" s="14" t="str">
        <x:v>2021_IMDb_Cast_Lists_Batch_02(1).xlsx</x:v>
      </x:c>
      <x:c r="D675" s="14" t="str">
        <x:v>Professor T</x:v>
      </x:c>
      <x:c r="E675" s="14" t="n">
        <x:v>230</x:v>
      </x:c>
      <x:c r="F675" s="14" t="str">
        <x:v>Professor T</x:v>
      </x:c>
      <x:c r="G675" s="14" t="str">
        <x:v>tt11981644</x:v>
      </x:c>
      <x:c r="H675" s="14" t="n">
        <x:v>2021</x:v>
      </x:c>
      <x:c r="I675" s="14" t="n">
        <x:v>2023</x:v>
      </x:c>
      <x:c r="J675" s="14" t="str">
        <x:v>Future Carry-Forward Cohort</x:v>
      </x:c>
      <x:c r="K675" s="14" t="n">
        <x:v>2021</x:v>
      </x:c>
      <x:c r="L675" s="14" t="str">
        <x:v>Available from 2021 analysis</x:v>
      </x:c>
      <x:c r="M675" s="15" t="n">
        <x:v>223</x:v>
      </x:c>
      <x:c r="N675" s="14" t="str">
        <x:v>Marion Tomkins</x:v>
      </x:c>
      <x:c r="O675" s="14" t="str">
        <x:v>nm17086875</x:v>
      </x:c>
      <x:c r="P675" s="14" t="str">
        <x:v>Elderly Woman 1</x:v>
      </x:c>
      <x:c r="Q675" s="15" t="n">
        <x:v>1</x:v>
      </x:c>
      <x:c r="R675" s="14" t="str">
        <x:v>2025</x:v>
      </x:c>
      <x:c r="S675" s="14" t="n">
        <x:v>2025</x:v>
      </x:c>
      <x:c r="T675" s="14" t="n">
        <x:v>2025</x:v>
      </x:c>
      <x:c r="U675" s="14" t="str">
        <x:v>Post-2021 casting excluded</x:v>
      </x:c>
      <x:c r="V675" s="14" t="str">
        <x:v>Earliest supplied year is 2025, later than the 2021 study year.</x:v>
      </x:c>
      <x:c r="W675" s="14"/>
      <x:c r="X675" s="14" t="str">
        <x:v>Carried forward to 2025</x:v>
      </x:c>
      <x:c r="Y675" s="14"/>
      <x:c r="Z675" s="14" t="str">
        <x:v>Professor T.docx</x:v>
      </x:c>
      <x:c r="AA67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ITV / ITVX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7" t="e">
        <x:f>HYPERLINK("https://en.wikipedia.org/wiki/Professor_T.","Open source")</x:f>
        <x:v>HYPERLINK is not implemented. linkLocation=https://en.wikipedia.org/wiki/Professor_T., friendlyName=Open source</x:v>
      </x:c>
      <x:c r="AN675" s="14" t="str">
        <x:v>No qualifying BBC relationship</x:v>
      </x:c>
      <x:c r="AO675" s="14" t="str">
        <x:v>No</x:v>
      </x:c>
      <x:c r="AP675" s="14" t="str">
        <x:v>Out of scope</x:v>
      </x:c>
      <x:c r="AQ675" s="14" t="str">
        <x:v>No</x:v>
      </x:c>
      <x:c r="AR675" s="14" t="str">
        <x:v>Resolved from master register</x:v>
      </x:c>
      <x:c r="AS675" s="14" t="str">
        <x:v>No established-register match</x:v>
      </x:c>
      <x:c r="AT675" s="14"/>
      <x:c r="AU675" s="14"/>
      <x:c r="AV675" s="14" t="str">
        <x:v>No established apparent-disability match</x:v>
      </x:c>
      <x:c r="AW675" s="14"/>
      <x:c r="AX675" s="14" t="str">
        <x:v>No</x:v>
      </x:c>
      <x:c r="AY675" s="14" t="str">
        <x:v>Unmatched</x:v>
      </x:c>
      <x:c r="AZ675" s="14" t="str">
        <x:v>Final supplied register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30</x:v>
      </x:c>
      <x:c r="BP675" s="14" t="str">
        <x:v>Maximum eligible IMDb cast-credit total (30), shared by 2 performer(s); not independently verified as a 2021-only episode total.</x:v>
      </x:c>
      <x:c r="BQ675" s="14" t="str">
        <x:v>Medium</x:v>
      </x:c>
      <x:c r="BR675" s="15" t="n">
        <x:v>1</x:v>
      </x:c>
      <x:c r="BS675" s="16" t="n">
        <x:v>0.03333333333333333</x:v>
      </x:c>
      <x:c r="BT675" s="14" t="str">
        <x:v>One episode</x:v>
      </x:c>
      <x:c r="BU675" s="14" t="str">
        <x:v>Medium</x:v>
      </x:c>
      <x:c r="BV675" s="14" t="str">
        <x:v>Derived from supplied IMDb episode count and the documented production-total proxy.</x:v>
      </x:c>
      <x:c r="BW675" s="14" t="str">
        <x:v>Unable to determine</x:v>
      </x:c>
      <x:c r="BX675" s="14" t="str">
        <x:v>Supplied cast data establishes the credit and episode presence but does not establish narrative prominence.</x:v>
      </x:c>
      <x:c r="BY675" s="14" t="str">
        <x:v>Supplied IMDb cast-list workbook</x:v>
      </x:c>
      <x:c r="BZ67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tt11981644|nm17086874|elderly woman 2</x:v>
      </x:c>
      <x:c r="B676" s="14" t="str">
        <x:v>02</x:v>
      </x:c>
      <x:c r="C676" s="14" t="str">
        <x:v>2021_IMDb_Cast_Lists_Batch_02(1).xlsx</x:v>
      </x:c>
      <x:c r="D676" s="14" t="str">
        <x:v>Professor T</x:v>
      </x:c>
      <x:c r="E676" s="14" t="n">
        <x:v>238</x:v>
      </x:c>
      <x:c r="F676" s="14" t="str">
        <x:v>Professor T</x:v>
      </x:c>
      <x:c r="G676" s="14" t="str">
        <x:v>tt11981644</x:v>
      </x:c>
      <x:c r="H676" s="14" t="n">
        <x:v>2021</x:v>
      </x:c>
      <x:c r="I676" s="14" t="n">
        <x:v>2023</x:v>
      </x:c>
      <x:c r="J676" s="14" t="str">
        <x:v>Future Carry-Forward Cohort</x:v>
      </x:c>
      <x:c r="K676" s="14" t="n">
        <x:v>2021</x:v>
      </x:c>
      <x:c r="L676" s="14" t="str">
        <x:v>Available from 2021 analysis</x:v>
      </x:c>
      <x:c r="M676" s="15" t="n">
        <x:v>231</x:v>
      </x:c>
      <x:c r="N676" s="14" t="str">
        <x:v>Catriona White</x:v>
      </x:c>
      <x:c r="O676" s="14" t="str">
        <x:v>nm17086874</x:v>
      </x:c>
      <x:c r="P676" s="14" t="str">
        <x:v>Elderly Woman 2</x:v>
      </x:c>
      <x:c r="Q676" s="15" t="n">
        <x:v>1</x:v>
      </x:c>
      <x:c r="R676" s="14" t="str">
        <x:v>2025</x:v>
      </x:c>
      <x:c r="S676" s="14" t="n">
        <x:v>2025</x:v>
      </x:c>
      <x:c r="T676" s="14" t="n">
        <x:v>2025</x:v>
      </x:c>
      <x:c r="U676" s="14" t="str">
        <x:v>Post-2021 casting excluded</x:v>
      </x:c>
      <x:c r="V676" s="14" t="str">
        <x:v>Earliest supplied year is 2025, later than the 2021 study year.</x:v>
      </x:c>
      <x:c r="W676" s="14"/>
      <x:c r="X676" s="14" t="str">
        <x:v>Carried forward to 2025</x:v>
      </x:c>
      <x:c r="Y676" s="14"/>
      <x:c r="Z676" s="14" t="str">
        <x:v>Professor T.docx</x:v>
      </x:c>
      <x:c r="AA67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ITV / ITVX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7" t="e">
        <x:f>HYPERLINK("https://en.wikipedia.org/wiki/Professor_T.","Open source")</x:f>
        <x:v>HYPERLINK is not implemented. linkLocation=https://en.wikipedia.org/wiki/Professor_T., friendlyName=Open source</x:v>
      </x:c>
      <x:c r="AN676" s="14" t="str">
        <x:v>No qualifying BBC relationship</x:v>
      </x:c>
      <x:c r="AO676" s="14" t="str">
        <x:v>No</x:v>
      </x:c>
      <x:c r="AP676" s="14" t="str">
        <x:v>Out of scope</x:v>
      </x:c>
      <x:c r="AQ676" s="14" t="str">
        <x:v>No</x:v>
      </x:c>
      <x:c r="AR676" s="14" t="str">
        <x:v>Resolved from master register</x:v>
      </x:c>
      <x:c r="AS676" s="14" t="str">
        <x:v>No established-register match</x:v>
      </x:c>
      <x:c r="AT676" s="14"/>
      <x:c r="AU676" s="14"/>
      <x:c r="AV676" s="14" t="str">
        <x:v>No established apparent-disability match</x:v>
      </x:c>
      <x:c r="AW676" s="14"/>
      <x:c r="AX676" s="14" t="str">
        <x:v>No</x:v>
      </x:c>
      <x:c r="AY676" s="14" t="str">
        <x:v>Unmatched</x:v>
      </x:c>
      <x:c r="AZ676" s="14" t="str">
        <x:v>Final supplied register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30</x:v>
      </x:c>
      <x:c r="BP676" s="14" t="str">
        <x:v>Maximum eligible IMDb cast-credit total (30), shared by 2 performer(s); not independently verified as a 2021-only episode total.</x:v>
      </x:c>
      <x:c r="BQ676" s="14" t="str">
        <x:v>Medium</x:v>
      </x:c>
      <x:c r="BR676" s="15" t="n">
        <x:v>1</x:v>
      </x:c>
      <x:c r="BS676" s="16" t="n">
        <x:v>0.03333333333333333</x:v>
      </x:c>
      <x:c r="BT676" s="14" t="str">
        <x:v>One episode</x:v>
      </x:c>
      <x:c r="BU676" s="14" t="str">
        <x:v>Medium</x:v>
      </x:c>
      <x:c r="BV676" s="14" t="str">
        <x:v>Derived from supplied IMDb episode count and the documented production-total proxy.</x:v>
      </x:c>
      <x:c r="BW676" s="14" t="str">
        <x:v>Unable to determine</x:v>
      </x:c>
      <x:c r="BX676" s="14" t="str">
        <x:v>Supplied cast data establishes the credit and episode presence but does not establish narrative prominence.</x:v>
      </x:c>
      <x:c r="BY676" s="14" t="str">
        <x:v>Supplied IMDb cast-list workbook</x:v>
      </x:c>
      <x:c r="BZ67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tt11981644|nm6107587|jill finch's lawyer</x:v>
      </x:c>
      <x:c r="B677" s="14" t="str">
        <x:v>02</x:v>
      </x:c>
      <x:c r="C677" s="14" t="str">
        <x:v>2021_IMDb_Cast_Lists_Batch_02(1).xlsx</x:v>
      </x:c>
      <x:c r="D677" s="14" t="str">
        <x:v>Professor T</x:v>
      </x:c>
      <x:c r="E677" s="14" t="n">
        <x:v>243</x:v>
      </x:c>
      <x:c r="F677" s="14" t="str">
        <x:v>Professor T</x:v>
      </x:c>
      <x:c r="G677" s="14" t="str">
        <x:v>tt11981644</x:v>
      </x:c>
      <x:c r="H677" s="14" t="n">
        <x:v>2021</x:v>
      </x:c>
      <x:c r="I677" s="14" t="n">
        <x:v>2023</x:v>
      </x:c>
      <x:c r="J677" s="14" t="str">
        <x:v>Future Carry-Forward Cohort</x:v>
      </x:c>
      <x:c r="K677" s="14" t="n">
        <x:v>2021</x:v>
      </x:c>
      <x:c r="L677" s="14" t="str">
        <x:v>Available from 2021 analysis</x:v>
      </x:c>
      <x:c r="M677" s="15" t="n">
        <x:v>236</x:v>
      </x:c>
      <x:c r="N677" s="14" t="str">
        <x:v>Melina Theo</x:v>
      </x:c>
      <x:c r="O677" s="14" t="str">
        <x:v>nm6107587</x:v>
      </x:c>
      <x:c r="P677" s="14" t="str">
        <x:v>Jill Finch's Lawyer</x:v>
      </x:c>
      <x:c r="Q677" s="15" t="n">
        <x:v>1</x:v>
      </x:c>
      <x:c r="R677" s="14" t="str">
        <x:v>2025</x:v>
      </x:c>
      <x:c r="S677" s="14" t="n">
        <x:v>2025</x:v>
      </x:c>
      <x:c r="T677" s="14" t="n">
        <x:v>2025</x:v>
      </x:c>
      <x:c r="U677" s="14" t="str">
        <x:v>Post-2021 casting excluded</x:v>
      </x:c>
      <x:c r="V677" s="14" t="str">
        <x:v>Earliest supplied year is 2025, later than the 2021 study year.</x:v>
      </x:c>
      <x:c r="W677" s="14"/>
      <x:c r="X677" s="14" t="str">
        <x:v>Carried forward to 2025</x:v>
      </x:c>
      <x:c r="Y677" s="14"/>
      <x:c r="Z677" s="14" t="str">
        <x:v>Professor T.docx</x:v>
      </x:c>
      <x:c r="AA67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ITV / ITVX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7" t="e">
        <x:f>HYPERLINK("https://en.wikipedia.org/wiki/Professor_T.","Open source")</x:f>
        <x:v>HYPERLINK is not implemented. linkLocation=https://en.wikipedia.org/wiki/Professor_T., friendlyName=Open source</x:v>
      </x:c>
      <x:c r="AN677" s="14" t="str">
        <x:v>No qualifying BBC relationship</x:v>
      </x:c>
      <x:c r="AO677" s="14" t="str">
        <x:v>No</x:v>
      </x:c>
      <x:c r="AP677" s="14" t="str">
        <x:v>Out of scope</x:v>
      </x:c>
      <x:c r="AQ677" s="14" t="str">
        <x:v>No</x:v>
      </x:c>
      <x:c r="AR677" s="14" t="str">
        <x:v>Resolved from master register</x:v>
      </x:c>
      <x:c r="AS677" s="14" t="str">
        <x:v>No established-register match</x:v>
      </x:c>
      <x:c r="AT677" s="14"/>
      <x:c r="AU677" s="14"/>
      <x:c r="AV677" s="14" t="str">
        <x:v>No established apparent-disability match</x:v>
      </x:c>
      <x:c r="AW677" s="14"/>
      <x:c r="AX677" s="14" t="str">
        <x:v>No</x:v>
      </x:c>
      <x:c r="AY677" s="14" t="str">
        <x:v>Unmatched</x:v>
      </x:c>
      <x:c r="AZ677" s="14" t="str">
        <x:v>Final supplied register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30</x:v>
      </x:c>
      <x:c r="BP677" s="14" t="str">
        <x:v>Maximum eligible IMDb cast-credit total (30), shared by 2 performer(s); not independently verified as a 2021-only episode total.</x:v>
      </x:c>
      <x:c r="BQ677" s="14" t="str">
        <x:v>Medium</x:v>
      </x:c>
      <x:c r="BR677" s="15" t="n">
        <x:v>1</x:v>
      </x:c>
      <x:c r="BS677" s="16" t="n">
        <x:v>0.03333333333333333</x:v>
      </x:c>
      <x:c r="BT677" s="14" t="str">
        <x:v>One episode</x:v>
      </x:c>
      <x:c r="BU677" s="14" t="str">
        <x:v>Medium</x:v>
      </x:c>
      <x:c r="BV677" s="14" t="str">
        <x:v>Derived from supplied IMDb episode count and the documented production-total proxy.</x:v>
      </x:c>
      <x:c r="BW677" s="14" t="str">
        <x:v>Unable to determine</x:v>
      </x:c>
      <x:c r="BX677" s="14" t="str">
        <x:v>Supplied cast data establishes the credit and episode presence but does not establish narrative prominence.</x:v>
      </x:c>
      <x:c r="BY677" s="14" t="str">
        <x:v>Supplied IMDb cast-list workbook</x:v>
      </x:c>
      <x:c r="BZ67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tt11981644|nm12284911|solicitor</x:v>
      </x:c>
      <x:c r="B678" s="14" t="str">
        <x:v>02</x:v>
      </x:c>
      <x:c r="C678" s="14" t="str">
        <x:v>2021_IMDb_Cast_Lists_Batch_02(1).xlsx</x:v>
      </x:c>
      <x:c r="D678" s="14" t="str">
        <x:v>Professor T</x:v>
      </x:c>
      <x:c r="E678" s="14" t="n">
        <x:v>246</x:v>
      </x:c>
      <x:c r="F678" s="14" t="str">
        <x:v>Professor T</x:v>
      </x:c>
      <x:c r="G678" s="14" t="str">
        <x:v>tt11981644</x:v>
      </x:c>
      <x:c r="H678" s="14" t="n">
        <x:v>2021</x:v>
      </x:c>
      <x:c r="I678" s="14" t="n">
        <x:v>2023</x:v>
      </x:c>
      <x:c r="J678" s="14" t="str">
        <x:v>Future Carry-Forward Cohort</x:v>
      </x:c>
      <x:c r="K678" s="14" t="n">
        <x:v>2021</x:v>
      </x:c>
      <x:c r="L678" s="14" t="str">
        <x:v>Available from 2021 analysis</x:v>
      </x:c>
      <x:c r="M678" s="15" t="n">
        <x:v>239</x:v>
      </x:c>
      <x:c r="N678" s="14" t="str">
        <x:v>Bernard Gallant</x:v>
      </x:c>
      <x:c r="O678" s="14" t="str">
        <x:v>nm12284911</x:v>
      </x:c>
      <x:c r="P678" s="14" t="str">
        <x:v>Solicitor</x:v>
      </x:c>
      <x:c r="Q678" s="15" t="n">
        <x:v>1</x:v>
      </x:c>
      <x:c r="R678" s="14" t="str">
        <x:v>2025</x:v>
      </x:c>
      <x:c r="S678" s="14" t="n">
        <x:v>2025</x:v>
      </x:c>
      <x:c r="T678" s="14" t="n">
        <x:v>2025</x:v>
      </x:c>
      <x:c r="U678" s="14" t="str">
        <x:v>Post-2021 casting excluded</x:v>
      </x:c>
      <x:c r="V678" s="14" t="str">
        <x:v>Earliest supplied year is 2025, later than the 2021 study year.</x:v>
      </x:c>
      <x:c r="W678" s="14"/>
      <x:c r="X678" s="14" t="str">
        <x:v>Carried forward to 2025</x:v>
      </x:c>
      <x:c r="Y678" s="14"/>
      <x:c r="Z678" s="14" t="str">
        <x:v>Professor T.docx</x:v>
      </x:c>
      <x:c r="AA67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ITV / ITVX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7" t="e">
        <x:f>HYPERLINK("https://en.wikipedia.org/wiki/Professor_T.","Open source")</x:f>
        <x:v>HYPERLINK is not implemented. linkLocation=https://en.wikipedia.org/wiki/Professor_T., friendlyName=Open source</x:v>
      </x:c>
      <x:c r="AN678" s="14" t="str">
        <x:v>No qualifying BBC relationship</x:v>
      </x:c>
      <x:c r="AO678" s="14" t="str">
        <x:v>No</x:v>
      </x:c>
      <x:c r="AP678" s="14" t="str">
        <x:v>Out of scope</x:v>
      </x:c>
      <x:c r="AQ678" s="14" t="str">
        <x:v>No</x:v>
      </x:c>
      <x:c r="AR678" s="14" t="str">
        <x:v>Resolved from master register</x:v>
      </x:c>
      <x:c r="AS678" s="14" t="str">
        <x:v>No established-register match</x:v>
      </x:c>
      <x:c r="AT678" s="14"/>
      <x:c r="AU678" s="14"/>
      <x:c r="AV678" s="14" t="str">
        <x:v>No established apparent-disability match</x:v>
      </x:c>
      <x:c r="AW678" s="14"/>
      <x:c r="AX678" s="14" t="str">
        <x:v>No</x:v>
      </x:c>
      <x:c r="AY678" s="14" t="str">
        <x:v>Unmatched</x:v>
      </x:c>
      <x:c r="AZ678" s="14" t="str">
        <x:v>Final supplied register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30</x:v>
      </x:c>
      <x:c r="BP678" s="14" t="str">
        <x:v>Maximum eligible IMDb cast-credit total (30), shared by 2 performer(s); not independently verified as a 2021-only episode total.</x:v>
      </x:c>
      <x:c r="BQ678" s="14" t="str">
        <x:v>Medium</x:v>
      </x:c>
      <x:c r="BR678" s="15" t="n">
        <x:v>1</x:v>
      </x:c>
      <x:c r="BS678" s="16" t="n">
        <x:v>0.03333333333333333</x:v>
      </x:c>
      <x:c r="BT678" s="14" t="str">
        <x:v>One episode</x:v>
      </x:c>
      <x:c r="BU678" s="14" t="str">
        <x:v>Medium</x:v>
      </x:c>
      <x:c r="BV678" s="14" t="str">
        <x:v>Derived from supplied IMDb episode count and the documented production-total proxy.</x:v>
      </x:c>
      <x:c r="BW678" s="14" t="str">
        <x:v>Unable to determine</x:v>
      </x:c>
      <x:c r="BX678" s="14" t="str">
        <x:v>Supplied cast data establishes the credit and episode presence but does not establish narrative prominence.</x:v>
      </x:c>
      <x:c r="BY678" s="14" t="str">
        <x:v>Supplied IMDb cast-list workbook</x:v>
      </x:c>
      <x:c r="BZ67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tt11981644|nm15782750|poppy sommers</x:v>
      </x:c>
      <x:c r="B679" s="14" t="str">
        <x:v>02</x:v>
      </x:c>
      <x:c r="C679" s="14" t="str">
        <x:v>2021_IMDb_Cast_Lists_Batch_02(1).xlsx</x:v>
      </x:c>
      <x:c r="D679" s="14" t="str">
        <x:v>Professor T</x:v>
      </x:c>
      <x:c r="E679" s="14" t="n">
        <x:v>247</x:v>
      </x:c>
      <x:c r="F679" s="14" t="str">
        <x:v>Professor T</x:v>
      </x:c>
      <x:c r="G679" s="14" t="str">
        <x:v>tt11981644</x:v>
      </x:c>
      <x:c r="H679" s="14" t="n">
        <x:v>2021</x:v>
      </x:c>
      <x:c r="I679" s="14" t="n">
        <x:v>2023</x:v>
      </x:c>
      <x:c r="J679" s="14" t="str">
        <x:v>Future Carry-Forward Cohort</x:v>
      </x:c>
      <x:c r="K679" s="14" t="n">
        <x:v>2021</x:v>
      </x:c>
      <x:c r="L679" s="14" t="str">
        <x:v>Available from 2021 analysis</x:v>
      </x:c>
      <x:c r="M679" s="15" t="n">
        <x:v>240</x:v>
      </x:c>
      <x:c r="N679" s="14" t="str">
        <x:v>Sam Michiels</x:v>
      </x:c>
      <x:c r="O679" s="14" t="str">
        <x:v>nm15782750</x:v>
      </x:c>
      <x:c r="P679" s="14" t="str">
        <x:v>Poppy Sommers</x:v>
      </x:c>
      <x:c r="Q679" s="15" t="n">
        <x:v>1</x:v>
      </x:c>
      <x:c r="R679" s="14" t="str">
        <x:v>2025</x:v>
      </x:c>
      <x:c r="S679" s="14" t="n">
        <x:v>2025</x:v>
      </x:c>
      <x:c r="T679" s="14" t="n">
        <x:v>2025</x:v>
      </x:c>
      <x:c r="U679" s="14" t="str">
        <x:v>Post-2021 casting excluded</x:v>
      </x:c>
      <x:c r="V679" s="14" t="str">
        <x:v>Earliest supplied year is 2025, later than the 2021 study year.</x:v>
      </x:c>
      <x:c r="W679" s="14"/>
      <x:c r="X679" s="14" t="str">
        <x:v>Carried forward to 2025</x:v>
      </x:c>
      <x:c r="Y679" s="14"/>
      <x:c r="Z679" s="14" t="str">
        <x:v>Professor T.docx</x:v>
      </x:c>
      <x:c r="AA67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ITV / ITVX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7" t="e">
        <x:f>HYPERLINK("https://en.wikipedia.org/wiki/Professor_T.","Open source")</x:f>
        <x:v>HYPERLINK is not implemented. linkLocation=https://en.wikipedia.org/wiki/Professor_T., friendlyName=Open source</x:v>
      </x:c>
      <x:c r="AN679" s="14" t="str">
        <x:v>No qualifying BBC relationship</x:v>
      </x:c>
      <x:c r="AO679" s="14" t="str">
        <x:v>No</x:v>
      </x:c>
      <x:c r="AP679" s="14" t="str">
        <x:v>Out of scope</x:v>
      </x:c>
      <x:c r="AQ679" s="14" t="str">
        <x:v>No</x:v>
      </x:c>
      <x:c r="AR679" s="14" t="str">
        <x:v>Resolved from master register</x:v>
      </x:c>
      <x:c r="AS679" s="14" t="str">
        <x:v>No established-register match</x:v>
      </x:c>
      <x:c r="AT679" s="14"/>
      <x:c r="AU679" s="14"/>
      <x:c r="AV679" s="14" t="str">
        <x:v>No established apparent-disability match</x:v>
      </x:c>
      <x:c r="AW679" s="14"/>
      <x:c r="AX679" s="14" t="str">
        <x:v>No</x:v>
      </x:c>
      <x:c r="AY679" s="14" t="str">
        <x:v>Unmatched</x:v>
      </x:c>
      <x:c r="AZ679" s="14" t="str">
        <x:v>Final supplied register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30</x:v>
      </x:c>
      <x:c r="BP679" s="14" t="str">
        <x:v>Maximum eligible IMDb cast-credit total (30), shared by 2 performer(s); not independently verified as a 2021-only episode total.</x:v>
      </x:c>
      <x:c r="BQ679" s="14" t="str">
        <x:v>Medium</x:v>
      </x:c>
      <x:c r="BR679" s="15" t="n">
        <x:v>1</x:v>
      </x:c>
      <x:c r="BS679" s="16" t="n">
        <x:v>0.03333333333333333</x:v>
      </x:c>
      <x:c r="BT679" s="14" t="str">
        <x:v>One episode</x:v>
      </x:c>
      <x:c r="BU679" s="14" t="str">
        <x:v>Medium</x:v>
      </x:c>
      <x:c r="BV679" s="14" t="str">
        <x:v>Derived from supplied IMDb episode count and the documented production-total proxy.</x:v>
      </x:c>
      <x:c r="BW679" s="14" t="str">
        <x:v>Unable to determine</x:v>
      </x:c>
      <x:c r="BX679" s="14" t="str">
        <x:v>Supplied cast data establishes the credit and episode presence but does not establish narrative prominence.</x:v>
      </x:c>
      <x:c r="BY679" s="14" t="str">
        <x:v>Supplied IMDb cast-list workbook</x:v>
      </x:c>
      <x:c r="BZ67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tt11981644|nm7501456|september gardens assistant</x:v>
      </x:c>
      <x:c r="B680" s="14" t="str">
        <x:v>02</x:v>
      </x:c>
      <x:c r="C680" s="14" t="str">
        <x:v>2021_IMDb_Cast_Lists_Batch_02(1).xlsx</x:v>
      </x:c>
      <x:c r="D680" s="14" t="str">
        <x:v>Professor T</x:v>
      </x:c>
      <x:c r="E680" s="14" t="n">
        <x:v>250</x:v>
      </x:c>
      <x:c r="F680" s="14" t="str">
        <x:v>Professor T</x:v>
      </x:c>
      <x:c r="G680" s="14" t="str">
        <x:v>tt11981644</x:v>
      </x:c>
      <x:c r="H680" s="14" t="n">
        <x:v>2021</x:v>
      </x:c>
      <x:c r="I680" s="14" t="n">
        <x:v>2023</x:v>
      </x:c>
      <x:c r="J680" s="14" t="str">
        <x:v>Future Carry-Forward Cohort</x:v>
      </x:c>
      <x:c r="K680" s="14" t="n">
        <x:v>2021</x:v>
      </x:c>
      <x:c r="L680" s="14" t="str">
        <x:v>Available from 2021 analysis</x:v>
      </x:c>
      <x:c r="M680" s="15" t="n">
        <x:v>243</x:v>
      </x:c>
      <x:c r="N680" s="14" t="str">
        <x:v>Carina de Vroome</x:v>
      </x:c>
      <x:c r="O680" s="14" t="str">
        <x:v>nm7501456</x:v>
      </x:c>
      <x:c r="P680" s="14" t="str">
        <x:v>September Gardens assistant</x:v>
      </x:c>
      <x:c r="Q680" s="15" t="n">
        <x:v>1</x:v>
      </x:c>
      <x:c r="R680" s="14" t="str">
        <x:v>2025</x:v>
      </x:c>
      <x:c r="S680" s="14" t="n">
        <x:v>2025</x:v>
      </x:c>
      <x:c r="T680" s="14" t="n">
        <x:v>2025</x:v>
      </x:c>
      <x:c r="U680" s="14" t="str">
        <x:v>Post-2021 casting excluded</x:v>
      </x:c>
      <x:c r="V680" s="14" t="str">
        <x:v>Earliest supplied year is 2025, later than the 2021 study year.</x:v>
      </x:c>
      <x:c r="W680" s="14"/>
      <x:c r="X680" s="14" t="str">
        <x:v>Carried forward to 2025</x:v>
      </x:c>
      <x:c r="Y680" s="14"/>
      <x:c r="Z680" s="14" t="str">
        <x:v>Professor T.docx</x:v>
      </x:c>
      <x:c r="AA68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ITV / ITVX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7" t="e">
        <x:f>HYPERLINK("https://en.wikipedia.org/wiki/Professor_T.","Open source")</x:f>
        <x:v>HYPERLINK is not implemented. linkLocation=https://en.wikipedia.org/wiki/Professor_T., friendlyName=Open source</x:v>
      </x:c>
      <x:c r="AN680" s="14" t="str">
        <x:v>No qualifying BBC relationship</x:v>
      </x:c>
      <x:c r="AO680" s="14" t="str">
        <x:v>No</x:v>
      </x:c>
      <x:c r="AP680" s="14" t="str">
        <x:v>Out of scope</x:v>
      </x:c>
      <x:c r="AQ680" s="14" t="str">
        <x:v>No</x:v>
      </x:c>
      <x:c r="AR680" s="14" t="str">
        <x:v>Resolved from master register</x:v>
      </x:c>
      <x:c r="AS680" s="14" t="str">
        <x:v>No established-register match</x:v>
      </x:c>
      <x:c r="AT680" s="14"/>
      <x:c r="AU680" s="14"/>
      <x:c r="AV680" s="14" t="str">
        <x:v>No established apparent-disability match</x:v>
      </x:c>
      <x:c r="AW680" s="14"/>
      <x:c r="AX680" s="14" t="str">
        <x:v>No</x:v>
      </x:c>
      <x:c r="AY680" s="14" t="str">
        <x:v>Unmatched</x:v>
      </x:c>
      <x:c r="AZ680" s="14" t="str">
        <x:v>Final supplied register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30</x:v>
      </x:c>
      <x:c r="BP680" s="14" t="str">
        <x:v>Maximum eligible IMDb cast-credit total (30), shared by 2 performer(s); not independently verified as a 2021-only episode total.</x:v>
      </x:c>
      <x:c r="BQ680" s="14" t="str">
        <x:v>Medium</x:v>
      </x:c>
      <x:c r="BR680" s="15" t="n">
        <x:v>1</x:v>
      </x:c>
      <x:c r="BS680" s="16" t="n">
        <x:v>0.03333333333333333</x:v>
      </x:c>
      <x:c r="BT680" s="14" t="str">
        <x:v>One episode</x:v>
      </x:c>
      <x:c r="BU680" s="14" t="str">
        <x:v>Medium</x:v>
      </x:c>
      <x:c r="BV680" s="14" t="str">
        <x:v>Derived from supplied IMDb episode count and the documented production-total proxy.</x:v>
      </x:c>
      <x:c r="BW680" s="14" t="str">
        <x:v>Unable to determine</x:v>
      </x:c>
      <x:c r="BX680" s="14" t="str">
        <x:v>Supplied cast data establishes the credit and episode presence but does not establish narrative prominence.</x:v>
      </x:c>
      <x:c r="BY680" s="14" t="str">
        <x:v>Supplied IMDb cast-list workbook</x:v>
      </x:c>
      <x:c r="BZ68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tt11981644|nm0774160|alaric goldberg</x:v>
      </x:c>
      <x:c r="B681" s="14" t="str">
        <x:v>02</x:v>
      </x:c>
      <x:c r="C681" s="14" t="str">
        <x:v>2021_IMDb_Cast_Lists_Batch_02(1).xlsx</x:v>
      </x:c>
      <x:c r="D681" s="14" t="str">
        <x:v>Professor T</x:v>
      </x:c>
      <x:c r="E681" s="14" t="n">
        <x:v>255</x:v>
      </x:c>
      <x:c r="F681" s="14" t="str">
        <x:v>Professor T</x:v>
      </x:c>
      <x:c r="G681" s="14" t="str">
        <x:v>tt11981644</x:v>
      </x:c>
      <x:c r="H681" s="14" t="n">
        <x:v>2021</x:v>
      </x:c>
      <x:c r="I681" s="14" t="n">
        <x:v>2023</x:v>
      </x:c>
      <x:c r="J681" s="14" t="str">
        <x:v>Future Carry-Forward Cohort</x:v>
      </x:c>
      <x:c r="K681" s="14" t="n">
        <x:v>2021</x:v>
      </x:c>
      <x:c r="L681" s="14" t="str">
        <x:v>Available from 2021 analysis</x:v>
      </x:c>
      <x:c r="M681" s="15" t="n">
        <x:v>248</x:v>
      </x:c>
      <x:c r="N681" s="14" t="str">
        <x:v>Jobst Schnibbe</x:v>
      </x:c>
      <x:c r="O681" s="14" t="str">
        <x:v>nm0774160</x:v>
      </x:c>
      <x:c r="P681" s="14" t="str">
        <x:v>Alaric Goldberg</x:v>
      </x:c>
      <x:c r="Q681" s="15" t="n">
        <x:v>1</x:v>
      </x:c>
      <x:c r="R681" s="14" t="str">
        <x:v>2025</x:v>
      </x:c>
      <x:c r="S681" s="14" t="n">
        <x:v>2025</x:v>
      </x:c>
      <x:c r="T681" s="14" t="n">
        <x:v>2025</x:v>
      </x:c>
      <x:c r="U681" s="14" t="str">
        <x:v>Post-2021 casting excluded</x:v>
      </x:c>
      <x:c r="V681" s="14" t="str">
        <x:v>Earliest supplied year is 2025, later than the 2021 study year.</x:v>
      </x:c>
      <x:c r="W681" s="14"/>
      <x:c r="X681" s="14" t="str">
        <x:v>Carried forward to 2025</x:v>
      </x:c>
      <x:c r="Y681" s="14"/>
      <x:c r="Z681" s="14" t="str">
        <x:v>Professor T.docx</x:v>
      </x:c>
      <x:c r="AA68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ITV / ITVX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7" t="e">
        <x:f>HYPERLINK("https://en.wikipedia.org/wiki/Professor_T.","Open source")</x:f>
        <x:v>HYPERLINK is not implemented. linkLocation=https://en.wikipedia.org/wiki/Professor_T., friendlyName=Open source</x:v>
      </x:c>
      <x:c r="AN681" s="14" t="str">
        <x:v>No qualifying BBC relationship</x:v>
      </x:c>
      <x:c r="AO681" s="14" t="str">
        <x:v>No</x:v>
      </x:c>
      <x:c r="AP681" s="14" t="str">
        <x:v>Out of scope</x:v>
      </x:c>
      <x:c r="AQ681" s="14" t="str">
        <x:v>No</x:v>
      </x:c>
      <x:c r="AR681" s="14" t="str">
        <x:v>Resolved from master register</x:v>
      </x:c>
      <x:c r="AS681" s="14" t="str">
        <x:v>No established-register match</x:v>
      </x:c>
      <x:c r="AT681" s="14"/>
      <x:c r="AU681" s="14"/>
      <x:c r="AV681" s="14" t="str">
        <x:v>No established apparent-disability match</x:v>
      </x:c>
      <x:c r="AW681" s="14"/>
      <x:c r="AX681" s="14" t="str">
        <x:v>No</x:v>
      </x:c>
      <x:c r="AY681" s="14" t="str">
        <x:v>Unmatched</x:v>
      </x:c>
      <x:c r="AZ681" s="14" t="str">
        <x:v>Final supplied register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30</x:v>
      </x:c>
      <x:c r="BP681" s="14" t="str">
        <x:v>Maximum eligible IMDb cast-credit total (30), shared by 2 performer(s); not independently verified as a 2021-only episode total.</x:v>
      </x:c>
      <x:c r="BQ681" s="14" t="str">
        <x:v>Medium</x:v>
      </x:c>
      <x:c r="BR681" s="15" t="n">
        <x:v>1</x:v>
      </x:c>
      <x:c r="BS681" s="16" t="n">
        <x:v>0.03333333333333333</x:v>
      </x:c>
      <x:c r="BT681" s="14" t="str">
        <x:v>One episode</x:v>
      </x:c>
      <x:c r="BU681" s="14" t="str">
        <x:v>Medium</x:v>
      </x:c>
      <x:c r="BV681" s="14" t="str">
        <x:v>Derived from supplied IMDb episode count and the documented production-total proxy.</x:v>
      </x:c>
      <x:c r="BW681" s="14" t="str">
        <x:v>Unable to determine</x:v>
      </x:c>
      <x:c r="BX681" s="14" t="str">
        <x:v>Supplied cast data establishes the credit and episode presence but does not establish narrative prominence.</x:v>
      </x:c>
      <x:c r="BY681" s="14" t="str">
        <x:v>Supplied IMDb cast-list workbook</x:v>
      </x:c>
      <x:c r="BZ68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tt11981644|nm14569347|maddie</x:v>
      </x:c>
      <x:c r="B682" s="14" t="str">
        <x:v>02</x:v>
      </x:c>
      <x:c r="C682" s="14" t="str">
        <x:v>2021_IMDb_Cast_Lists_Batch_02(1).xlsx</x:v>
      </x:c>
      <x:c r="D682" s="14" t="str">
        <x:v>Professor T</x:v>
      </x:c>
      <x:c r="E682" s="14" t="n">
        <x:v>260</x:v>
      </x:c>
      <x:c r="F682" s="14" t="str">
        <x:v>Professor T</x:v>
      </x:c>
      <x:c r="G682" s="14" t="str">
        <x:v>tt11981644</x:v>
      </x:c>
      <x:c r="H682" s="14" t="n">
        <x:v>2021</x:v>
      </x:c>
      <x:c r="I682" s="14" t="n">
        <x:v>2023</x:v>
      </x:c>
      <x:c r="J682" s="14" t="str">
        <x:v>Future Carry-Forward Cohort</x:v>
      </x:c>
      <x:c r="K682" s="14" t="n">
        <x:v>2021</x:v>
      </x:c>
      <x:c r="L682" s="14" t="str">
        <x:v>Available from 2021 analysis</x:v>
      </x:c>
      <x:c r="M682" s="15" t="n">
        <x:v>253</x:v>
      </x:c>
      <x:c r="N682" s="14" t="str">
        <x:v>Samantha Fadahunsi</x:v>
      </x:c>
      <x:c r="O682" s="14" t="str">
        <x:v>nm14569347</x:v>
      </x:c>
      <x:c r="P682" s="14" t="str">
        <x:v>Maddie</x:v>
      </x:c>
      <x:c r="Q682" s="15" t="n">
        <x:v>1</x:v>
      </x:c>
      <x:c r="R682" s="14" t="str">
        <x:v>2025</x:v>
      </x:c>
      <x:c r="S682" s="14" t="n">
        <x:v>2025</x:v>
      </x:c>
      <x:c r="T682" s="14" t="n">
        <x:v>2025</x:v>
      </x:c>
      <x:c r="U682" s="14" t="str">
        <x:v>Post-2021 casting excluded</x:v>
      </x:c>
      <x:c r="V682" s="14" t="str">
        <x:v>Earliest supplied year is 2025, later than the 2021 study year.</x:v>
      </x:c>
      <x:c r="W682" s="14"/>
      <x:c r="X682" s="14" t="str">
        <x:v>Carried forward to 2025</x:v>
      </x:c>
      <x:c r="Y682" s="14"/>
      <x:c r="Z682" s="14" t="str">
        <x:v>Professor T.docx</x:v>
      </x:c>
      <x:c r="AA68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ITV / ITVX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7" t="e">
        <x:f>HYPERLINK("https://en.wikipedia.org/wiki/Professor_T.","Open source")</x:f>
        <x:v>HYPERLINK is not implemented. linkLocation=https://en.wikipedia.org/wiki/Professor_T., friendlyName=Open source</x:v>
      </x:c>
      <x:c r="AN682" s="14" t="str">
        <x:v>No qualifying BBC relationship</x:v>
      </x:c>
      <x:c r="AO682" s="14" t="str">
        <x:v>No</x:v>
      </x:c>
      <x:c r="AP682" s="14" t="str">
        <x:v>Out of scope</x:v>
      </x:c>
      <x:c r="AQ682" s="14" t="str">
        <x:v>No</x:v>
      </x:c>
      <x:c r="AR682" s="14" t="str">
        <x:v>Resolved from master register</x:v>
      </x:c>
      <x:c r="AS682" s="14" t="str">
        <x:v>No established-register match</x:v>
      </x:c>
      <x:c r="AT682" s="14"/>
      <x:c r="AU682" s="14"/>
      <x:c r="AV682" s="14" t="str">
        <x:v>No established apparent-disability match</x:v>
      </x:c>
      <x:c r="AW682" s="14"/>
      <x:c r="AX682" s="14" t="str">
        <x:v>No</x:v>
      </x:c>
      <x:c r="AY682" s="14" t="str">
        <x:v>Unmatched</x:v>
      </x:c>
      <x:c r="AZ682" s="14" t="str">
        <x:v>Final supplied register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30</x:v>
      </x:c>
      <x:c r="BP682" s="14" t="str">
        <x:v>Maximum eligible IMDb cast-credit total (30), shared by 2 performer(s); not independently verified as a 2021-only episode total.</x:v>
      </x:c>
      <x:c r="BQ682" s="14" t="str">
        <x:v>Medium</x:v>
      </x:c>
      <x:c r="BR682" s="15" t="n">
        <x:v>1</x:v>
      </x:c>
      <x:c r="BS682" s="16" t="n">
        <x:v>0.03333333333333333</x:v>
      </x:c>
      <x:c r="BT682" s="14" t="str">
        <x:v>One episode</x:v>
      </x:c>
      <x:c r="BU682" s="14" t="str">
        <x:v>Medium</x:v>
      </x:c>
      <x:c r="BV682" s="14" t="str">
        <x:v>Derived from supplied IMDb episode count and the documented production-total proxy.</x:v>
      </x:c>
      <x:c r="BW682" s="14" t="str">
        <x:v>Unable to determine</x:v>
      </x:c>
      <x:c r="BX682" s="14" t="str">
        <x:v>Supplied cast data establishes the credit and episode presence but does not establish narrative prominence.</x:v>
      </x:c>
      <x:c r="BY682" s="14" t="str">
        <x:v>Supplied IMDb cast-list workbook</x:v>
      </x:c>
      <x:c r="BZ68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tt15499118|nm0014735|aurielle alfonse</x:v>
      </x:c>
      <x:c r="B683" s="14" t="str">
        <x:v>03</x:v>
      </x:c>
      <x:c r="C683" s="14" t="str">
        <x:v>2021_IMDb_Cast_Lists_Batch_03(1).xlsx</x:v>
      </x:c>
      <x:c r="D683" s="14" t="str">
        <x:v>The Madame Blanc Mysteries</x:v>
      </x:c>
      <x:c r="E683" s="14" t="n">
        <x:v>36</x:v>
      </x:c>
      <x:c r="F683" s="14" t="str">
        <x:v>The Madame Blanc Mysteries</x:v>
      </x:c>
      <x:c r="G683" s="14" t="str">
        <x:v>tt15499118</x:v>
      </x:c>
      <x:c r="H683" s="14" t="n">
        <x:v>2021</x:v>
      </x:c>
      <x:c r="I683" s="14" t="n">
        <x:v>2023</x:v>
      </x:c>
      <x:c r="J683" s="14" t="str">
        <x:v>Future Carry-Forward Cohort</x:v>
      </x:c>
      <x:c r="K683" s="14" t="n">
        <x:v>2021</x:v>
      </x:c>
      <x:c r="L683" s="14" t="str">
        <x:v>Available from 2021 analysis</x:v>
      </x:c>
      <x:c r="M683" s="15" t="n">
        <x:v>29</x:v>
      </x:c>
      <x:c r="N683" s="14" t="str">
        <x:v>Kacey Ainsworth</x:v>
      </x:c>
      <x:c r="O683" s="14" t="str">
        <x:v>nm0014735</x:v>
      </x:c>
      <x:c r="P683" s="14" t="str">
        <x:v>Aurielle Alfonse</x:v>
      </x:c>
      <x:c r="Q683" s="15" t="n">
        <x:v>1</x:v>
      </x:c>
      <x:c r="R683" s="14" t="str">
        <x:v>2025</x:v>
      </x:c>
      <x:c r="S683" s="14" t="n">
        <x:v>2025</x:v>
      </x:c>
      <x:c r="T683" s="14" t="n">
        <x:v>2025</x:v>
      </x:c>
      <x:c r="U683" s="14" t="str">
        <x:v>Post-2021 casting excluded</x:v>
      </x:c>
      <x:c r="V683" s="14" t="str">
        <x:v>Earliest supplied year is 2025, later than the 2021 study year.</x:v>
      </x:c>
      <x:c r="W683" s="14"/>
      <x:c r="X683" s="14" t="str">
        <x:v>Carried forward to 2025</x:v>
      </x:c>
      <x:c r="Y683" s="14"/>
      <x:c r="Z683" s="14" t="str">
        <x:v>The Madame Blanc Mysteries.docx</x:v>
      </x:c>
      <x:c r="AA68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Channel 5 / 5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3" s="14" t="str">
        <x:v>No qualifying BBC relationship</x:v>
      </x:c>
      <x:c r="AO683" s="14" t="str">
        <x:v>No</x:v>
      </x:c>
      <x:c r="AP683" s="14" t="str">
        <x:v>Out of scope</x:v>
      </x:c>
      <x:c r="AQ683" s="14" t="str">
        <x:v>No</x:v>
      </x:c>
      <x:c r="AR683" s="14" t="str">
        <x:v>Resolved from master register</x:v>
      </x:c>
      <x:c r="AS683" s="14" t="str">
        <x:v>No established-register match</x:v>
      </x:c>
      <x:c r="AT683" s="14"/>
      <x:c r="AU683" s="14"/>
      <x:c r="AV683" s="14" t="str">
        <x:v>No established apparent-disability match</x:v>
      </x:c>
      <x:c r="AW683" s="14"/>
      <x:c r="AX683" s="14" t="str">
        <x:v>No</x:v>
      </x:c>
      <x:c r="AY683" s="14" t="str">
        <x:v>Unmatched</x:v>
      </x:c>
      <x:c r="AZ683" s="14" t="str">
        <x:v>Final supplied register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28</x:v>
      </x:c>
      <x:c r="BP683" s="14" t="str">
        <x:v>Maximum eligible IMDb cast-credit total (28), shared by 4 performer(s); not independently verified as a 2021-only episode total.</x:v>
      </x:c>
      <x:c r="BQ683" s="14" t="str">
        <x:v>Medium</x:v>
      </x:c>
      <x:c r="BR683" s="15" t="n">
        <x:v>1</x:v>
      </x:c>
      <x:c r="BS683" s="16" t="n">
        <x:v>0.03571428571428571</x:v>
      </x:c>
      <x:c r="BT683" s="14" t="str">
        <x:v>One episode</x:v>
      </x:c>
      <x:c r="BU683" s="14" t="str">
        <x:v>Medium</x:v>
      </x:c>
      <x:c r="BV683" s="14" t="str">
        <x:v>Derived from supplied IMDb episode count and the documented production-total proxy.</x:v>
      </x:c>
      <x:c r="BW683" s="14" t="str">
        <x:v>Unable to determine</x:v>
      </x:c>
      <x:c r="BX683" s="14" t="str">
        <x:v>Supplied cast data establishes the credit and episode presence but does not establish narrative prominence.</x:v>
      </x:c>
      <x:c r="BY683" s="14" t="str">
        <x:v>Supplied IMDb cast-list workbook</x:v>
      </x:c>
      <x:c r="BZ68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tt15499118|nm9131964|vinnie</x:v>
      </x:c>
      <x:c r="B684" s="14" t="str">
        <x:v>03</x:v>
      </x:c>
      <x:c r="C684" s="14" t="str">
        <x:v>2021_IMDb_Cast_Lists_Batch_03(1).xlsx</x:v>
      </x:c>
      <x:c r="D684" s="14" t="str">
        <x:v>The Madame Blanc Mysteries</x:v>
      </x:c>
      <x:c r="E684" s="14" t="n">
        <x:v>37</x:v>
      </x:c>
      <x:c r="F684" s="14" t="str">
        <x:v>The Madame Blanc Mysteries</x:v>
      </x:c>
      <x:c r="G684" s="14" t="str">
        <x:v>tt15499118</x:v>
      </x:c>
      <x:c r="H684" s="14" t="n">
        <x:v>2021</x:v>
      </x:c>
      <x:c r="I684" s="14" t="n">
        <x:v>2023</x:v>
      </x:c>
      <x:c r="J684" s="14" t="str">
        <x:v>Future Carry-Forward Cohort</x:v>
      </x:c>
      <x:c r="K684" s="14" t="n">
        <x:v>2021</x:v>
      </x:c>
      <x:c r="L684" s="14" t="str">
        <x:v>Available from 2021 analysis</x:v>
      </x:c>
      <x:c r="M684" s="15" t="n">
        <x:v>30</x:v>
      </x:c>
      <x:c r="N684" s="14" t="str">
        <x:v>Atilla Akinci</x:v>
      </x:c>
      <x:c r="O684" s="14" t="str">
        <x:v>nm9131964</x:v>
      </x:c>
      <x:c r="P684" s="14" t="str">
        <x:v>Vinnie</x:v>
      </x:c>
      <x:c r="Q684" s="15" t="n">
        <x:v>1</x:v>
      </x:c>
      <x:c r="R684" s="14" t="str">
        <x:v>2025</x:v>
      </x:c>
      <x:c r="S684" s="14" t="n">
        <x:v>2025</x:v>
      </x:c>
      <x:c r="T684" s="14" t="n">
        <x:v>2025</x:v>
      </x:c>
      <x:c r="U684" s="14" t="str">
        <x:v>Post-2021 casting excluded</x:v>
      </x:c>
      <x:c r="V684" s="14" t="str">
        <x:v>Earliest supplied year is 2025, later than the 2021 study year.</x:v>
      </x:c>
      <x:c r="W684" s="14"/>
      <x:c r="X684" s="14" t="str">
        <x:v>Carried forward to 2025</x:v>
      </x:c>
      <x:c r="Y684" s="14"/>
      <x:c r="Z684" s="14" t="str">
        <x:v>The Madame Blanc Mysteries.docx</x:v>
      </x:c>
      <x:c r="AA68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Channel 5 / 5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4" s="14" t="str">
        <x:v>No qualifying BBC relationship</x:v>
      </x:c>
      <x:c r="AO684" s="14" t="str">
        <x:v>No</x:v>
      </x:c>
      <x:c r="AP684" s="14" t="str">
        <x:v>Out of scope</x:v>
      </x:c>
      <x:c r="AQ684" s="14" t="str">
        <x:v>No</x:v>
      </x:c>
      <x:c r="AR684" s="14" t="str">
        <x:v>Resolved from master register</x:v>
      </x:c>
      <x:c r="AS684" s="14" t="str">
        <x:v>No established-register match</x:v>
      </x:c>
      <x:c r="AT684" s="14"/>
      <x:c r="AU684" s="14"/>
      <x:c r="AV684" s="14" t="str">
        <x:v>No established apparent-disability match</x:v>
      </x:c>
      <x:c r="AW684" s="14"/>
      <x:c r="AX684" s="14" t="str">
        <x:v>No</x:v>
      </x:c>
      <x:c r="AY684" s="14" t="str">
        <x:v>Unmatched</x:v>
      </x:c>
      <x:c r="AZ684" s="14" t="str">
        <x:v>Final supplied register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28</x:v>
      </x:c>
      <x:c r="BP684" s="14" t="str">
        <x:v>Maximum eligible IMDb cast-credit total (28), shared by 4 performer(s); not independently verified as a 2021-only episode total.</x:v>
      </x:c>
      <x:c r="BQ684" s="14" t="str">
        <x:v>Medium</x:v>
      </x:c>
      <x:c r="BR684" s="15" t="n">
        <x:v>1</x:v>
      </x:c>
      <x:c r="BS684" s="16" t="n">
        <x:v>0.03571428571428571</x:v>
      </x:c>
      <x:c r="BT684" s="14" t="str">
        <x:v>One episode</x:v>
      </x:c>
      <x:c r="BU684" s="14" t="str">
        <x:v>Medium</x:v>
      </x:c>
      <x:c r="BV684" s="14" t="str">
        <x:v>Derived from supplied IMDb episode count and the documented production-total proxy.</x:v>
      </x:c>
      <x:c r="BW684" s="14" t="str">
        <x:v>Unable to determine</x:v>
      </x:c>
      <x:c r="BX684" s="14" t="str">
        <x:v>Supplied cast data establishes the credit and episode presence but does not establish narrative prominence.</x:v>
      </x:c>
      <x:c r="BY684" s="14" t="str">
        <x:v>Supplied IMDb cast-list workbook</x:v>
      </x:c>
      <x:c r="BZ68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tt15499118|nm0085990|nick</x:v>
      </x:c>
      <x:c r="B685" s="14" t="str">
        <x:v>03</x:v>
      </x:c>
      <x:c r="C685" s="14" t="str">
        <x:v>2021_IMDb_Cast_Lists_Batch_03(1).xlsx</x:v>
      </x:c>
      <x:c r="D685" s="14" t="str">
        <x:v>The Madame Blanc Mysteries</x:v>
      </x:c>
      <x:c r="E685" s="14" t="n">
        <x:v>42</x:v>
      </x:c>
      <x:c r="F685" s="14" t="str">
        <x:v>The Madame Blanc Mysteries</x:v>
      </x:c>
      <x:c r="G685" s="14" t="str">
        <x:v>tt15499118</x:v>
      </x:c>
      <x:c r="H685" s="14" t="n">
        <x:v>2021</x:v>
      </x:c>
      <x:c r="I685" s="14" t="n">
        <x:v>2023</x:v>
      </x:c>
      <x:c r="J685" s="14" t="str">
        <x:v>Future Carry-Forward Cohort</x:v>
      </x:c>
      <x:c r="K685" s="14" t="n">
        <x:v>2021</x:v>
      </x:c>
      <x:c r="L685" s="14" t="str">
        <x:v>Available from 2021 analysis</x:v>
      </x:c>
      <x:c r="M685" s="15" t="n">
        <x:v>35</x:v>
      </x:c>
      <x:c r="N685" s="14" t="str">
        <x:v>Richard Blackwood</x:v>
      </x:c>
      <x:c r="O685" s="14" t="str">
        <x:v>nm0085990</x:v>
      </x:c>
      <x:c r="P685" s="14" t="str">
        <x:v>Nick</x:v>
      </x:c>
      <x:c r="Q685" s="15" t="n">
        <x:v>1</x:v>
      </x:c>
      <x:c r="R685" s="14" t="str">
        <x:v>2025</x:v>
      </x:c>
      <x:c r="S685" s="14" t="n">
        <x:v>2025</x:v>
      </x:c>
      <x:c r="T685" s="14" t="n">
        <x:v>2025</x:v>
      </x:c>
      <x:c r="U685" s="14" t="str">
        <x:v>Post-2021 casting excluded</x:v>
      </x:c>
      <x:c r="V685" s="14" t="str">
        <x:v>Earliest supplied year is 2025, later than the 2021 study year.</x:v>
      </x:c>
      <x:c r="W685" s="14"/>
      <x:c r="X685" s="14" t="str">
        <x:v>Carried forward to 2025</x:v>
      </x:c>
      <x:c r="Y685" s="14"/>
      <x:c r="Z685" s="14" t="str">
        <x:v>The Madame Blanc Mysteries.docx</x:v>
      </x:c>
      <x:c r="AA68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Channel 5 / 5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5" s="14" t="str">
        <x:v>No qualifying BBC relationship</x:v>
      </x:c>
      <x:c r="AO685" s="14" t="str">
        <x:v>No</x:v>
      </x:c>
      <x:c r="AP685" s="14" t="str">
        <x:v>Out of scope</x:v>
      </x:c>
      <x:c r="AQ685" s="14" t="str">
        <x:v>No</x:v>
      </x:c>
      <x:c r="AR685" s="14" t="str">
        <x:v>Resolved from master register</x:v>
      </x:c>
      <x:c r="AS685" s="14" t="str">
        <x:v>No established-register match</x:v>
      </x:c>
      <x:c r="AT685" s="14"/>
      <x:c r="AU685" s="14"/>
      <x:c r="AV685" s="14" t="str">
        <x:v>No established apparent-disability match</x:v>
      </x:c>
      <x:c r="AW685" s="14"/>
      <x:c r="AX685" s="14" t="str">
        <x:v>No</x:v>
      </x:c>
      <x:c r="AY685" s="14" t="str">
        <x:v>Unmatched</x:v>
      </x:c>
      <x:c r="AZ685" s="14" t="str">
        <x:v>Final supplied register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28</x:v>
      </x:c>
      <x:c r="BP685" s="14" t="str">
        <x:v>Maximum eligible IMDb cast-credit total (28), shared by 4 performer(s); not independently verified as a 2021-only episode total.</x:v>
      </x:c>
      <x:c r="BQ685" s="14" t="str">
        <x:v>Medium</x:v>
      </x:c>
      <x:c r="BR685" s="15" t="n">
        <x:v>1</x:v>
      </x:c>
      <x:c r="BS685" s="16" t="n">
        <x:v>0.03571428571428571</x:v>
      </x:c>
      <x:c r="BT685" s="14" t="str">
        <x:v>One episode</x:v>
      </x:c>
      <x:c r="BU685" s="14" t="str">
        <x:v>Medium</x:v>
      </x:c>
      <x:c r="BV685" s="14" t="str">
        <x:v>Derived from supplied IMDb episode count and the documented production-total proxy.</x:v>
      </x:c>
      <x:c r="BW685" s="14" t="str">
        <x:v>Unable to determine</x:v>
      </x:c>
      <x:c r="BX685" s="14" t="str">
        <x:v>Supplied cast data establishes the credit and episode presence but does not establish narrative prominence.</x:v>
      </x:c>
      <x:c r="BY685" s="14" t="str">
        <x:v>Supplied IMDb cast-list workbook</x:v>
      </x:c>
      <x:c r="BZ68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tt15499118|nm1513510|colin</x:v>
      </x:c>
      <x:c r="B686" s="14" t="str">
        <x:v>03</x:v>
      </x:c>
      <x:c r="C686" s="14" t="str">
        <x:v>2021_IMDb_Cast_Lists_Batch_03(1).xlsx</x:v>
      </x:c>
      <x:c r="D686" s="14" t="str">
        <x:v>The Madame Blanc Mysteries</x:v>
      </x:c>
      <x:c r="E686" s="14" t="n">
        <x:v>43</x:v>
      </x:c>
      <x:c r="F686" s="14" t="str">
        <x:v>The Madame Blanc Mysteries</x:v>
      </x:c>
      <x:c r="G686" s="14" t="str">
        <x:v>tt15499118</x:v>
      </x:c>
      <x:c r="H686" s="14" t="n">
        <x:v>2021</x:v>
      </x:c>
      <x:c r="I686" s="14" t="n">
        <x:v>2023</x:v>
      </x:c>
      <x:c r="J686" s="14" t="str">
        <x:v>Future Carry-Forward Cohort</x:v>
      </x:c>
      <x:c r="K686" s="14" t="n">
        <x:v>2021</x:v>
      </x:c>
      <x:c r="L686" s="14" t="str">
        <x:v>Available from 2021 analysis</x:v>
      </x:c>
      <x:c r="M686" s="15" t="n">
        <x:v>36</x:v>
      </x:c>
      <x:c r="N686" s="14" t="str">
        <x:v>Marc Cabourdin</x:v>
      </x:c>
      <x:c r="O686" s="14" t="str">
        <x:v>nm1513510</x:v>
      </x:c>
      <x:c r="P686" s="14" t="str">
        <x:v>Colin</x:v>
      </x:c>
      <x:c r="Q686" s="15" t="n">
        <x:v>1</x:v>
      </x:c>
      <x:c r="R686" s="14" t="str">
        <x:v>2025</x:v>
      </x:c>
      <x:c r="S686" s="14" t="n">
        <x:v>2025</x:v>
      </x:c>
      <x:c r="T686" s="14" t="n">
        <x:v>2025</x:v>
      </x:c>
      <x:c r="U686" s="14" t="str">
        <x:v>Post-2021 casting excluded</x:v>
      </x:c>
      <x:c r="V686" s="14" t="str">
        <x:v>Earliest supplied year is 2025, later than the 2021 study year.</x:v>
      </x:c>
      <x:c r="W686" s="14"/>
      <x:c r="X686" s="14" t="str">
        <x:v>Carried forward to 2025</x:v>
      </x:c>
      <x:c r="Y686" s="14"/>
      <x:c r="Z686" s="14" t="str">
        <x:v>The Madame Blanc Mysteries.docx</x:v>
      </x:c>
      <x:c r="AA68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Channel 5 / 5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6" s="14" t="str">
        <x:v>No qualifying BBC relationship</x:v>
      </x:c>
      <x:c r="AO686" s="14" t="str">
        <x:v>No</x:v>
      </x:c>
      <x:c r="AP686" s="14" t="str">
        <x:v>Out of scope</x:v>
      </x:c>
      <x:c r="AQ686" s="14" t="str">
        <x:v>No</x:v>
      </x:c>
      <x:c r="AR686" s="14" t="str">
        <x:v>Resolved from master register</x:v>
      </x:c>
      <x:c r="AS686" s="14" t="str">
        <x:v>No established-register match</x:v>
      </x:c>
      <x:c r="AT686" s="14"/>
      <x:c r="AU686" s="14"/>
      <x:c r="AV686" s="14" t="str">
        <x:v>No established apparent-disability match</x:v>
      </x:c>
      <x:c r="AW686" s="14"/>
      <x:c r="AX686" s="14" t="str">
        <x:v>No</x:v>
      </x:c>
      <x:c r="AY686" s="14" t="str">
        <x:v>Unmatched</x:v>
      </x:c>
      <x:c r="AZ686" s="14" t="str">
        <x:v>Final supplied register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28</x:v>
      </x:c>
      <x:c r="BP686" s="14" t="str">
        <x:v>Maximum eligible IMDb cast-credit total (28), shared by 4 performer(s); not independently verified as a 2021-only episode total.</x:v>
      </x:c>
      <x:c r="BQ686" s="14" t="str">
        <x:v>Medium</x:v>
      </x:c>
      <x:c r="BR686" s="15" t="n">
        <x:v>1</x:v>
      </x:c>
      <x:c r="BS686" s="16" t="n">
        <x:v>0.03571428571428571</x:v>
      </x:c>
      <x:c r="BT686" s="14" t="str">
        <x:v>One episode</x:v>
      </x:c>
      <x:c r="BU686" s="14" t="str">
        <x:v>Medium</x:v>
      </x:c>
      <x:c r="BV686" s="14" t="str">
        <x:v>Derived from supplied IMDb episode count and the documented production-total proxy.</x:v>
      </x:c>
      <x:c r="BW686" s="14" t="str">
        <x:v>Unable to determine</x:v>
      </x:c>
      <x:c r="BX686" s="14" t="str">
        <x:v>Supplied cast data establishes the credit and episode presence but does not establish narrative prominence.</x:v>
      </x:c>
      <x:c r="BY686" s="14" t="str">
        <x:v>Supplied IMDb cast-list workbook</x:v>
      </x:c>
      <x:c r="BZ68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tt15499118|nm1561415|elaine</x:v>
      </x:c>
      <x:c r="B687" s="14" t="str">
        <x:v>03</x:v>
      </x:c>
      <x:c r="C687" s="14" t="str">
        <x:v>2021_IMDb_Cast_Lists_Batch_03(1).xlsx</x:v>
      </x:c>
      <x:c r="D687" s="14" t="str">
        <x:v>The Madame Blanc Mysteries</x:v>
      </x:c>
      <x:c r="E687" s="14" t="n">
        <x:v>53</x:v>
      </x:c>
      <x:c r="F687" s="14" t="str">
        <x:v>The Madame Blanc Mysteries</x:v>
      </x:c>
      <x:c r="G687" s="14" t="str">
        <x:v>tt15499118</x:v>
      </x:c>
      <x:c r="H687" s="14" t="n">
        <x:v>2021</x:v>
      </x:c>
      <x:c r="I687" s="14" t="n">
        <x:v>2023</x:v>
      </x:c>
      <x:c r="J687" s="14" t="str">
        <x:v>Future Carry-Forward Cohort</x:v>
      </x:c>
      <x:c r="K687" s="14" t="n">
        <x:v>2021</x:v>
      </x:c>
      <x:c r="L687" s="14" t="str">
        <x:v>Available from 2021 analysis</x:v>
      </x:c>
      <x:c r="M687" s="15" t="n">
        <x:v>46</x:v>
      </x:c>
      <x:c r="N687" s="14" t="str">
        <x:v>Lorraine Burroughs</x:v>
      </x:c>
      <x:c r="O687" s="14" t="str">
        <x:v>nm1561415</x:v>
      </x:c>
      <x:c r="P687" s="14" t="str">
        <x:v>Elaine</x:v>
      </x:c>
      <x:c r="Q687" s="15" t="n">
        <x:v>1</x:v>
      </x:c>
      <x:c r="R687" s="14" t="str">
        <x:v>2025</x:v>
      </x:c>
      <x:c r="S687" s="14" t="n">
        <x:v>2025</x:v>
      </x:c>
      <x:c r="T687" s="14" t="n">
        <x:v>2025</x:v>
      </x:c>
      <x:c r="U687" s="14" t="str">
        <x:v>Post-2021 casting excluded</x:v>
      </x:c>
      <x:c r="V687" s="14" t="str">
        <x:v>Earliest supplied year is 2025, later than the 2021 study year.</x:v>
      </x:c>
      <x:c r="W687" s="14"/>
      <x:c r="X687" s="14" t="str">
        <x:v>Carried forward to 2025</x:v>
      </x:c>
      <x:c r="Y687" s="14"/>
      <x:c r="Z687" s="14" t="str">
        <x:v>The Madame Blanc Mysteries.docx</x:v>
      </x:c>
      <x:c r="AA68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Channel 5 / 5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7" s="14" t="str">
        <x:v>No qualifying BBC relationship</x:v>
      </x:c>
      <x:c r="AO687" s="14" t="str">
        <x:v>No</x:v>
      </x:c>
      <x:c r="AP687" s="14" t="str">
        <x:v>Out of scope</x:v>
      </x:c>
      <x:c r="AQ687" s="14" t="str">
        <x:v>No</x:v>
      </x:c>
      <x:c r="AR687" s="14" t="str">
        <x:v>Resolved from master register</x:v>
      </x:c>
      <x:c r="AS687" s="14" t="str">
        <x:v>No established-register match</x:v>
      </x:c>
      <x:c r="AT687" s="14"/>
      <x:c r="AU687" s="14"/>
      <x:c r="AV687" s="14" t="str">
        <x:v>No established apparent-disability match</x:v>
      </x:c>
      <x:c r="AW687" s="14"/>
      <x:c r="AX687" s="14" t="str">
        <x:v>No</x:v>
      </x:c>
      <x:c r="AY687" s="14" t="str">
        <x:v>Unmatched</x:v>
      </x:c>
      <x:c r="AZ687" s="14" t="str">
        <x:v>Final supplied register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28</x:v>
      </x:c>
      <x:c r="BP687" s="14" t="str">
        <x:v>Maximum eligible IMDb cast-credit total (28), shared by 4 performer(s); not independently verified as a 2021-only episode total.</x:v>
      </x:c>
      <x:c r="BQ687" s="14" t="str">
        <x:v>Medium</x:v>
      </x:c>
      <x:c r="BR687" s="15" t="n">
        <x:v>1</x:v>
      </x:c>
      <x:c r="BS687" s="16" t="n">
        <x:v>0.03571428571428571</x:v>
      </x:c>
      <x:c r="BT687" s="14" t="str">
        <x:v>One episode</x:v>
      </x:c>
      <x:c r="BU687" s="14" t="str">
        <x:v>Medium</x:v>
      </x:c>
      <x:c r="BV687" s="14" t="str">
        <x:v>Derived from supplied IMDb episode count and the documented production-total proxy.</x:v>
      </x:c>
      <x:c r="BW687" s="14" t="str">
        <x:v>Unable to determine</x:v>
      </x:c>
      <x:c r="BX687" s="14" t="str">
        <x:v>Supplied cast data establishes the credit and episode presence but does not establish narrative prominence.</x:v>
      </x:c>
      <x:c r="BY687" s="14" t="str">
        <x:v>Supplied IMDb cast-list workbook</x:v>
      </x:c>
      <x:c r="BZ68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tt15499118|nm0003626|pierre</x:v>
      </x:c>
      <x:c r="B688" s="14" t="str">
        <x:v>03</x:v>
      </x:c>
      <x:c r="C688" s="14" t="str">
        <x:v>2021_IMDb_Cast_Lists_Batch_03(1).xlsx</x:v>
      </x:c>
      <x:c r="D688" s="14" t="str">
        <x:v>The Madame Blanc Mysteries</x:v>
      </x:c>
      <x:c r="E688" s="14" t="n">
        <x:v>54</x:v>
      </x:c>
      <x:c r="F688" s="14" t="str">
        <x:v>The Madame Blanc Mysteries</x:v>
      </x:c>
      <x:c r="G688" s="14" t="str">
        <x:v>tt15499118</x:v>
      </x:c>
      <x:c r="H688" s="14" t="n">
        <x:v>2021</x:v>
      </x:c>
      <x:c r="I688" s="14" t="n">
        <x:v>2023</x:v>
      </x:c>
      <x:c r="J688" s="14" t="str">
        <x:v>Future Carry-Forward Cohort</x:v>
      </x:c>
      <x:c r="K688" s="14" t="n">
        <x:v>2021</x:v>
      </x:c>
      <x:c r="L688" s="14" t="str">
        <x:v>Available from 2021 analysis</x:v>
      </x:c>
      <x:c r="M688" s="15" t="n">
        <x:v>47</x:v>
      </x:c>
      <x:c r="N688" s="14" t="str">
        <x:v>Charlie Condou</x:v>
      </x:c>
      <x:c r="O688" s="14" t="str">
        <x:v>nm0003626</x:v>
      </x:c>
      <x:c r="P688" s="14" t="str">
        <x:v>Pierre</x:v>
      </x:c>
      <x:c r="Q688" s="15" t="n">
        <x:v>1</x:v>
      </x:c>
      <x:c r="R688" s="14" t="str">
        <x:v>2025</x:v>
      </x:c>
      <x:c r="S688" s="14" t="n">
        <x:v>2025</x:v>
      </x:c>
      <x:c r="T688" s="14" t="n">
        <x:v>2025</x:v>
      </x:c>
      <x:c r="U688" s="14" t="str">
        <x:v>Post-2021 casting excluded</x:v>
      </x:c>
      <x:c r="V688" s="14" t="str">
        <x:v>Earliest supplied year is 2025, later than the 2021 study year.</x:v>
      </x:c>
      <x:c r="W688" s="14"/>
      <x:c r="X688" s="14" t="str">
        <x:v>Carried forward to 2025</x:v>
      </x:c>
      <x:c r="Y688" s="14"/>
      <x:c r="Z688" s="14" t="str">
        <x:v>The Madame Blanc Mysteries.docx</x:v>
      </x:c>
      <x:c r="AA68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Channel 5 / 5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8" s="14" t="str">
        <x:v>No qualifying BBC relationship</x:v>
      </x:c>
      <x:c r="AO688" s="14" t="str">
        <x:v>No</x:v>
      </x:c>
      <x:c r="AP688" s="14" t="str">
        <x:v>Out of scope</x:v>
      </x:c>
      <x:c r="AQ688" s="14" t="str">
        <x:v>No</x:v>
      </x:c>
      <x:c r="AR688" s="14" t="str">
        <x:v>Resolved from master register</x:v>
      </x:c>
      <x:c r="AS688" s="14" t="str">
        <x:v>No established-register match</x:v>
      </x:c>
      <x:c r="AT688" s="14"/>
      <x:c r="AU688" s="14"/>
      <x:c r="AV688" s="14" t="str">
        <x:v>No established apparent-disability match</x:v>
      </x:c>
      <x:c r="AW688" s="14"/>
      <x:c r="AX688" s="14" t="str">
        <x:v>No</x:v>
      </x:c>
      <x:c r="AY688" s="14" t="str">
        <x:v>Unmatched</x:v>
      </x:c>
      <x:c r="AZ688" s="14" t="str">
        <x:v>Final supplied register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28</x:v>
      </x:c>
      <x:c r="BP688" s="14" t="str">
        <x:v>Maximum eligible IMDb cast-credit total (28), shared by 4 performer(s); not independently verified as a 2021-only episode total.</x:v>
      </x:c>
      <x:c r="BQ688" s="14" t="str">
        <x:v>Medium</x:v>
      </x:c>
      <x:c r="BR688" s="15" t="n">
        <x:v>1</x:v>
      </x:c>
      <x:c r="BS688" s="16" t="n">
        <x:v>0.03571428571428571</x:v>
      </x:c>
      <x:c r="BT688" s="14" t="str">
        <x:v>One episode</x:v>
      </x:c>
      <x:c r="BU688" s="14" t="str">
        <x:v>Medium</x:v>
      </x:c>
      <x:c r="BV688" s="14" t="str">
        <x:v>Derived from supplied IMDb episode count and the documented production-total proxy.</x:v>
      </x:c>
      <x:c r="BW688" s="14" t="str">
        <x:v>Unable to determine</x:v>
      </x:c>
      <x:c r="BX688" s="14" t="str">
        <x:v>Supplied cast data establishes the credit and episode presence but does not establish narrative prominence.</x:v>
      </x:c>
      <x:c r="BY688" s="14" t="str">
        <x:v>Supplied IMDb cast-list workbook</x:v>
      </x:c>
      <x:c r="BZ68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tt15499118|nm14743328|hugo leve</x:v>
      </x:c>
      <x:c r="B689" s="14" t="str">
        <x:v>03</x:v>
      </x:c>
      <x:c r="C689" s="14" t="str">
        <x:v>2021_IMDb_Cast_Lists_Batch_03(1).xlsx</x:v>
      </x:c>
      <x:c r="D689" s="14" t="str">
        <x:v>The Madame Blanc Mysteries</x:v>
      </x:c>
      <x:c r="E689" s="14" t="n">
        <x:v>55</x:v>
      </x:c>
      <x:c r="F689" s="14" t="str">
        <x:v>The Madame Blanc Mysteries</x:v>
      </x:c>
      <x:c r="G689" s="14" t="str">
        <x:v>tt15499118</x:v>
      </x:c>
      <x:c r="H689" s="14" t="n">
        <x:v>2021</x:v>
      </x:c>
      <x:c r="I689" s="14" t="n">
        <x:v>2023</x:v>
      </x:c>
      <x:c r="J689" s="14" t="str">
        <x:v>Future Carry-Forward Cohort</x:v>
      </x:c>
      <x:c r="K689" s="14" t="n">
        <x:v>2021</x:v>
      </x:c>
      <x:c r="L689" s="14" t="str">
        <x:v>Available from 2021 analysis</x:v>
      </x:c>
      <x:c r="M689" s="15" t="n">
        <x:v>48</x:v>
      </x:c>
      <x:c r="N689" s="14" t="str">
        <x:v>Miguel Formosa</x:v>
      </x:c>
      <x:c r="O689" s="14" t="str">
        <x:v>nm14743328</x:v>
      </x:c>
      <x:c r="P689" s="14" t="str">
        <x:v>Hugo Leve</x:v>
      </x:c>
      <x:c r="Q689" s="15" t="n">
        <x:v>1</x:v>
      </x:c>
      <x:c r="R689" s="14" t="str">
        <x:v>2025</x:v>
      </x:c>
      <x:c r="S689" s="14" t="n">
        <x:v>2025</x:v>
      </x:c>
      <x:c r="T689" s="14" t="n">
        <x:v>2025</x:v>
      </x:c>
      <x:c r="U689" s="14" t="str">
        <x:v>Post-2021 casting excluded</x:v>
      </x:c>
      <x:c r="V689" s="14" t="str">
        <x:v>Earliest supplied year is 2025, later than the 2021 study year.</x:v>
      </x:c>
      <x:c r="W689" s="14"/>
      <x:c r="X689" s="14" t="str">
        <x:v>Carried forward to 2025</x:v>
      </x:c>
      <x:c r="Y689" s="14"/>
      <x:c r="Z689" s="14" t="str">
        <x:v>The Madame Blanc Mysteries.docx</x:v>
      </x:c>
      <x:c r="AA68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Channel 5 / 5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89" s="14" t="str">
        <x:v>No qualifying BBC relationship</x:v>
      </x:c>
      <x:c r="AO689" s="14" t="str">
        <x:v>No</x:v>
      </x:c>
      <x:c r="AP689" s="14" t="str">
        <x:v>Out of scope</x:v>
      </x:c>
      <x:c r="AQ689" s="14" t="str">
        <x:v>No</x:v>
      </x:c>
      <x:c r="AR689" s="14" t="str">
        <x:v>Resolved from master register</x:v>
      </x:c>
      <x:c r="AS689" s="14" t="str">
        <x:v>No established-register match</x:v>
      </x:c>
      <x:c r="AT689" s="14"/>
      <x:c r="AU689" s="14"/>
      <x:c r="AV689" s="14" t="str">
        <x:v>No established apparent-disability match</x:v>
      </x:c>
      <x:c r="AW689" s="14"/>
      <x:c r="AX689" s="14" t="str">
        <x:v>No</x:v>
      </x:c>
      <x:c r="AY689" s="14" t="str">
        <x:v>Unmatched</x:v>
      </x:c>
      <x:c r="AZ689" s="14" t="str">
        <x:v>Final supplied register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28</x:v>
      </x:c>
      <x:c r="BP689" s="14" t="str">
        <x:v>Maximum eligible IMDb cast-credit total (28), shared by 4 performer(s); not independently verified as a 2021-only episode total.</x:v>
      </x:c>
      <x:c r="BQ689" s="14" t="str">
        <x:v>Medium</x:v>
      </x:c>
      <x:c r="BR689" s="15" t="n">
        <x:v>1</x:v>
      </x:c>
      <x:c r="BS689" s="16" t="n">
        <x:v>0.03571428571428571</x:v>
      </x:c>
      <x:c r="BT689" s="14" t="str">
        <x:v>One episode</x:v>
      </x:c>
      <x:c r="BU689" s="14" t="str">
        <x:v>Medium</x:v>
      </x:c>
      <x:c r="BV689" s="14" t="str">
        <x:v>Derived from supplied IMDb episode count and the documented production-total proxy.</x:v>
      </x:c>
      <x:c r="BW689" s="14" t="str">
        <x:v>Unable to determine</x:v>
      </x:c>
      <x:c r="BX689" s="14" t="str">
        <x:v>Supplied cast data establishes the credit and episode presence but does not establish narrative prominence.</x:v>
      </x:c>
      <x:c r="BY689" s="14" t="str">
        <x:v>Supplied IMDb cast-list workbook</x:v>
      </x:c>
      <x:c r="BZ68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tt15499118|nm17183595|matteo</x:v>
      </x:c>
      <x:c r="B690" s="14" t="str">
        <x:v>03</x:v>
      </x:c>
      <x:c r="C690" s="14" t="str">
        <x:v>2021_IMDb_Cast_Lists_Batch_03(1).xlsx</x:v>
      </x:c>
      <x:c r="D690" s="14" t="str">
        <x:v>The Madame Blanc Mysteries</x:v>
      </x:c>
      <x:c r="E690" s="14" t="n">
        <x:v>56</x:v>
      </x:c>
      <x:c r="F690" s="14" t="str">
        <x:v>The Madame Blanc Mysteries</x:v>
      </x:c>
      <x:c r="G690" s="14" t="str">
        <x:v>tt15499118</x:v>
      </x:c>
      <x:c r="H690" s="14" t="n">
        <x:v>2021</x:v>
      </x:c>
      <x:c r="I690" s="14" t="n">
        <x:v>2023</x:v>
      </x:c>
      <x:c r="J690" s="14" t="str">
        <x:v>Future Carry-Forward Cohort</x:v>
      </x:c>
      <x:c r="K690" s="14" t="n">
        <x:v>2021</x:v>
      </x:c>
      <x:c r="L690" s="14" t="str">
        <x:v>Available from 2021 analysis</x:v>
      </x:c>
      <x:c r="M690" s="15" t="n">
        <x:v>49</x:v>
      </x:c>
      <x:c r="N690" s="14" t="str">
        <x:v>Lou Busittil</x:v>
      </x:c>
      <x:c r="O690" s="14" t="str">
        <x:v>nm17183595</x:v>
      </x:c>
      <x:c r="P690" s="14" t="str">
        <x:v>Matteo</x:v>
      </x:c>
      <x:c r="Q690" s="15" t="n">
        <x:v>1</x:v>
      </x:c>
      <x:c r="R690" s="14" t="str">
        <x:v>2025</x:v>
      </x:c>
      <x:c r="S690" s="14" t="n">
        <x:v>2025</x:v>
      </x:c>
      <x:c r="T690" s="14" t="n">
        <x:v>2025</x:v>
      </x:c>
      <x:c r="U690" s="14" t="str">
        <x:v>Post-2021 casting excluded</x:v>
      </x:c>
      <x:c r="V690" s="14" t="str">
        <x:v>Earliest supplied year is 2025, later than the 2021 study year.</x:v>
      </x:c>
      <x:c r="W690" s="14"/>
      <x:c r="X690" s="14" t="str">
        <x:v>Carried forward to 2025</x:v>
      </x:c>
      <x:c r="Y690" s="14"/>
      <x:c r="Z690" s="14" t="str">
        <x:v>The Madame Blanc Mysteries.docx</x:v>
      </x:c>
      <x:c r="AA69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Channel 5 / 5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0" s="14" t="str">
        <x:v>No qualifying BBC relationship</x:v>
      </x:c>
      <x:c r="AO690" s="14" t="str">
        <x:v>No</x:v>
      </x:c>
      <x:c r="AP690" s="14" t="str">
        <x:v>Out of scope</x:v>
      </x:c>
      <x:c r="AQ690" s="14" t="str">
        <x:v>No</x:v>
      </x:c>
      <x:c r="AR690" s="14" t="str">
        <x:v>Resolved from master register</x:v>
      </x:c>
      <x:c r="AS690" s="14" t="str">
        <x:v>No established-register match</x:v>
      </x:c>
      <x:c r="AT690" s="14"/>
      <x:c r="AU690" s="14"/>
      <x:c r="AV690" s="14" t="str">
        <x:v>No established apparent-disability match</x:v>
      </x:c>
      <x:c r="AW690" s="14"/>
      <x:c r="AX690" s="14" t="str">
        <x:v>No</x:v>
      </x:c>
      <x:c r="AY690" s="14" t="str">
        <x:v>Unmatched</x:v>
      </x:c>
      <x:c r="AZ690" s="14" t="str">
        <x:v>Final supplied register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28</x:v>
      </x:c>
      <x:c r="BP690" s="14" t="str">
        <x:v>Maximum eligible IMDb cast-credit total (28), shared by 4 performer(s); not independently verified as a 2021-only episode total.</x:v>
      </x:c>
      <x:c r="BQ690" s="14" t="str">
        <x:v>Medium</x:v>
      </x:c>
      <x:c r="BR690" s="15" t="n">
        <x:v>1</x:v>
      </x:c>
      <x:c r="BS690" s="16" t="n">
        <x:v>0.03571428571428571</x:v>
      </x:c>
      <x:c r="BT690" s="14" t="str">
        <x:v>One episode</x:v>
      </x:c>
      <x:c r="BU690" s="14" t="str">
        <x:v>Medium</x:v>
      </x:c>
      <x:c r="BV690" s="14" t="str">
        <x:v>Derived from supplied IMDb episode count and the documented production-total proxy.</x:v>
      </x:c>
      <x:c r="BW690" s="14" t="str">
        <x:v>Unable to determine</x:v>
      </x:c>
      <x:c r="BX690" s="14" t="str">
        <x:v>Supplied cast data establishes the credit and episode presence but does not establish narrative prominence.</x:v>
      </x:c>
      <x:c r="BY690" s="14" t="str">
        <x:v>Supplied IMDb cast-list workbook</x:v>
      </x:c>
      <x:c r="BZ69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tt15499118|nm5727558|thomas</x:v>
      </x:c>
      <x:c r="B691" s="14" t="str">
        <x:v>03</x:v>
      </x:c>
      <x:c r="C691" s="14" t="str">
        <x:v>2021_IMDb_Cast_Lists_Batch_03(1).xlsx</x:v>
      </x:c>
      <x:c r="D691" s="14" t="str">
        <x:v>The Madame Blanc Mysteries</x:v>
      </x:c>
      <x:c r="E691" s="14" t="n">
        <x:v>63</x:v>
      </x:c>
      <x:c r="F691" s="14" t="str">
        <x:v>The Madame Blanc Mysteries</x:v>
      </x:c>
      <x:c r="G691" s="14" t="str">
        <x:v>tt15499118</x:v>
      </x:c>
      <x:c r="H691" s="14" t="n">
        <x:v>2021</x:v>
      </x:c>
      <x:c r="I691" s="14" t="n">
        <x:v>2023</x:v>
      </x:c>
      <x:c r="J691" s="14" t="str">
        <x:v>Future Carry-Forward Cohort</x:v>
      </x:c>
      <x:c r="K691" s="14" t="n">
        <x:v>2021</x:v>
      </x:c>
      <x:c r="L691" s="14" t="str">
        <x:v>Available from 2021 analysis</x:v>
      </x:c>
      <x:c r="M691" s="15" t="n">
        <x:v>56</x:v>
      </x:c>
      <x:c r="N691" s="14" t="str">
        <x:v>Henry Zammit Cordina</x:v>
      </x:c>
      <x:c r="O691" s="14" t="str">
        <x:v>nm5727558</x:v>
      </x:c>
      <x:c r="P691" s="14" t="str">
        <x:v>Thomas</x:v>
      </x:c>
      <x:c r="Q691" s="15" t="n">
        <x:v>1</x:v>
      </x:c>
      <x:c r="R691" s="14" t="str">
        <x:v>2025</x:v>
      </x:c>
      <x:c r="S691" s="14" t="n">
        <x:v>2025</x:v>
      </x:c>
      <x:c r="T691" s="14" t="n">
        <x:v>2025</x:v>
      </x:c>
      <x:c r="U691" s="14" t="str">
        <x:v>Post-2021 casting excluded</x:v>
      </x:c>
      <x:c r="V691" s="14" t="str">
        <x:v>Earliest supplied year is 2025, later than the 2021 study year.</x:v>
      </x:c>
      <x:c r="W691" s="14"/>
      <x:c r="X691" s="14" t="str">
        <x:v>Carried forward to 2025</x:v>
      </x:c>
      <x:c r="Y691" s="14"/>
      <x:c r="Z691" s="14" t="str">
        <x:v>The Madame Blanc Mysteries.docx</x:v>
      </x:c>
      <x:c r="AA69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1" s="14" t="str">
        <x:v>No established-register match</x:v>
      </x:c>
      <x:c r="AC691" s="14"/>
      <x:c r="AD691" s="14"/>
      <x:c r="AE691" s="14"/>
      <x:c r="AF691" s="14"/>
      <x:c r="AG691" s="14" t="str">
        <x:v>No qualifying conclusion recorded. Absence from the register is not evidence that the performer is not disabled.</x:v>
      </x:c>
      <x:c r="AH691" s="14" t="str">
        <x:v>Channel 5 / 5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1" s="14" t="str">
        <x:v>No qualifying BBC relationship</x:v>
      </x:c>
      <x:c r="AO691" s="14" t="str">
        <x:v>No</x:v>
      </x:c>
      <x:c r="AP691" s="14" t="str">
        <x:v>Out of scope</x:v>
      </x:c>
      <x:c r="AQ691" s="14" t="str">
        <x:v>No</x:v>
      </x:c>
      <x:c r="AR691" s="14" t="str">
        <x:v>Resolved from master register</x:v>
      </x:c>
      <x:c r="AS691" s="14" t="str">
        <x:v>No established-register match</x:v>
      </x:c>
      <x:c r="AT691" s="14"/>
      <x:c r="AU691" s="14"/>
      <x:c r="AV691" s="14" t="str">
        <x:v>No established apparent-disability match</x:v>
      </x:c>
      <x:c r="AW691" s="14"/>
      <x:c r="AX691" s="14" t="str">
        <x:v>No</x:v>
      </x:c>
      <x:c r="AY691" s="14" t="str">
        <x:v>Unmatched</x:v>
      </x:c>
      <x:c r="AZ691" s="14" t="str">
        <x:v>Final supplied register</x:v>
      </x:c>
      <x:c r="BA691" s="14" t="str">
        <x:v>Absence from the register is not evidence that the performer is not disabled.</x:v>
      </x:c>
      <x:c r="BB691" s="14" t="str">
        <x:v>No established-register match</x:v>
      </x:c>
      <x:c r="BC691" s="14"/>
      <x:c r="BD691" s="14"/>
      <x:c r="BE691" s="14"/>
      <x:c r="BF691" s="14" t="str">
        <x:v>No established apparent-disability match</x:v>
      </x:c>
      <x:c r="BG691" s="14"/>
      <x:c r="BH691" s="14" t="str">
        <x:v>No</x:v>
      </x:c>
      <x:c r="BI691" s="14"/>
      <x:c r="BJ691" s="14"/>
      <x:c r="BK691" s="14"/>
      <x:c r="BL691" s="14" t="str">
        <x:v>Unmatched</x:v>
      </x:c>
      <x:c r="BM691" s="14" t="str">
        <x:v>Final supplied register</x:v>
      </x:c>
      <x:c r="BN691" s="14" t="str">
        <x:v>Absence from the register is not evidence that the performer is not disabled.</x:v>
      </x:c>
      <x:c r="BO691" s="14" t="n">
        <x:v>28</x:v>
      </x:c>
      <x:c r="BP691" s="14" t="str">
        <x:v>Maximum eligible IMDb cast-credit total (28), shared by 4 performer(s); not independently verified as a 2021-only episode total.</x:v>
      </x:c>
      <x:c r="BQ691" s="14" t="str">
        <x:v>Medium</x:v>
      </x:c>
      <x:c r="BR691" s="15" t="n">
        <x:v>1</x:v>
      </x:c>
      <x:c r="BS691" s="16" t="n">
        <x:v>0.03571428571428571</x:v>
      </x:c>
      <x:c r="BT691" s="14" t="str">
        <x:v>One episode</x:v>
      </x:c>
      <x:c r="BU691" s="14" t="str">
        <x:v>Medium</x:v>
      </x:c>
      <x:c r="BV691" s="14" t="str">
        <x:v>Derived from supplied IMDb episode count and the documented production-total proxy.</x:v>
      </x:c>
      <x:c r="BW691" s="14" t="str">
        <x:v>Unable to determine</x:v>
      </x:c>
      <x:c r="BX691" s="14" t="str">
        <x:v>Supplied cast data establishes the credit and episode presence but does not establish narrative prominence.</x:v>
      </x:c>
      <x:c r="BY691" s="14" t="str">
        <x:v>Supplied IMDb cast-list workbook</x:v>
      </x:c>
      <x:c r="BZ69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tt15499118|nm2925934|gabriel jelbart</x:v>
      </x:c>
      <x:c r="B692" s="14" t="str">
        <x:v>03</x:v>
      </x:c>
      <x:c r="C692" s="14" t="str">
        <x:v>2021_IMDb_Cast_Lists_Batch_03(1).xlsx</x:v>
      </x:c>
      <x:c r="D692" s="14" t="str">
        <x:v>The Madame Blanc Mysteries</x:v>
      </x:c>
      <x:c r="E692" s="14" t="n">
        <x:v>64</x:v>
      </x:c>
      <x:c r="F692" s="14" t="str">
        <x:v>The Madame Blanc Mysteries</x:v>
      </x:c>
      <x:c r="G692" s="14" t="str">
        <x:v>tt15499118</x:v>
      </x:c>
      <x:c r="H692" s="14" t="n">
        <x:v>2021</x:v>
      </x:c>
      <x:c r="I692" s="14" t="n">
        <x:v>2023</x:v>
      </x:c>
      <x:c r="J692" s="14" t="str">
        <x:v>Future Carry-Forward Cohort</x:v>
      </x:c>
      <x:c r="K692" s="14" t="n">
        <x:v>2021</x:v>
      </x:c>
      <x:c r="L692" s="14" t="str">
        <x:v>Available from 2021 analysis</x:v>
      </x:c>
      <x:c r="M692" s="15" t="n">
        <x:v>57</x:v>
      </x:c>
      <x:c r="N692" s="14" t="str">
        <x:v>Bartholomew Boutellis</x:v>
      </x:c>
      <x:c r="O692" s="14" t="str">
        <x:v>nm2925934</x:v>
      </x:c>
      <x:c r="P692" s="14" t="str">
        <x:v>Gabriel Jelbart</x:v>
      </x:c>
      <x:c r="Q692" s="15" t="n">
        <x:v>1</x:v>
      </x:c>
      <x:c r="R692" s="14" t="str">
        <x:v>2025</x:v>
      </x:c>
      <x:c r="S692" s="14" t="n">
        <x:v>2025</x:v>
      </x:c>
      <x:c r="T692" s="14" t="n">
        <x:v>2025</x:v>
      </x:c>
      <x:c r="U692" s="14" t="str">
        <x:v>Post-2021 casting excluded</x:v>
      </x:c>
      <x:c r="V692" s="14" t="str">
        <x:v>Earliest supplied year is 2025, later than the 2021 study year.</x:v>
      </x:c>
      <x:c r="W692" s="14"/>
      <x:c r="X692" s="14" t="str">
        <x:v>Carried forward to 2025</x:v>
      </x:c>
      <x:c r="Y692" s="14"/>
      <x:c r="Z692" s="14" t="str">
        <x:v>The Madame Blanc Mysteries.docx</x:v>
      </x:c>
      <x:c r="AA69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Channel 5 / 5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2" s="14" t="str">
        <x:v>No qualifying BBC relationship</x:v>
      </x:c>
      <x:c r="AO692" s="14" t="str">
        <x:v>No</x:v>
      </x:c>
      <x:c r="AP692" s="14" t="str">
        <x:v>Out of scope</x:v>
      </x:c>
      <x:c r="AQ692" s="14" t="str">
        <x:v>No</x:v>
      </x:c>
      <x:c r="AR692" s="14" t="str">
        <x:v>Resolved from master register</x:v>
      </x:c>
      <x:c r="AS692" s="14" t="str">
        <x:v>No established-register match</x:v>
      </x:c>
      <x:c r="AT692" s="14"/>
      <x:c r="AU692" s="14"/>
      <x:c r="AV692" s="14" t="str">
        <x:v>No established apparent-disability match</x:v>
      </x:c>
      <x:c r="AW692" s="14"/>
      <x:c r="AX692" s="14" t="str">
        <x:v>No</x:v>
      </x:c>
      <x:c r="AY692" s="14" t="str">
        <x:v>Unmatched</x:v>
      </x:c>
      <x:c r="AZ692" s="14" t="str">
        <x:v>Final supplied register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28</x:v>
      </x:c>
      <x:c r="BP692" s="14" t="str">
        <x:v>Maximum eligible IMDb cast-credit total (28), shared by 4 performer(s); not independently verified as a 2021-only episode total.</x:v>
      </x:c>
      <x:c r="BQ692" s="14" t="str">
        <x:v>Medium</x:v>
      </x:c>
      <x:c r="BR692" s="15" t="n">
        <x:v>1</x:v>
      </x:c>
      <x:c r="BS692" s="16" t="n">
        <x:v>0.03571428571428571</x:v>
      </x:c>
      <x:c r="BT692" s="14" t="str">
        <x:v>One episode</x:v>
      </x:c>
      <x:c r="BU692" s="14" t="str">
        <x:v>Medium</x:v>
      </x:c>
      <x:c r="BV692" s="14" t="str">
        <x:v>Derived from supplied IMDb episode count and the documented production-total proxy.</x:v>
      </x:c>
      <x:c r="BW692" s="14" t="str">
        <x:v>Unable to determine</x:v>
      </x:c>
      <x:c r="BX692" s="14" t="str">
        <x:v>Supplied cast data establishes the credit and episode presence but does not establish narrative prominence.</x:v>
      </x:c>
      <x:c r="BY692" s="14" t="str">
        <x:v>Supplied IMDb cast-list workbook</x:v>
      </x:c>
      <x:c r="BZ69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tt15499118|nm17138921|dr. martin</x:v>
      </x:c>
      <x:c r="B693" s="14" t="str">
        <x:v>03</x:v>
      </x:c>
      <x:c r="C693" s="14" t="str">
        <x:v>2021_IMDb_Cast_Lists_Batch_03(1).xlsx</x:v>
      </x:c>
      <x:c r="D693" s="14" t="str">
        <x:v>The Madame Blanc Mysteries</x:v>
      </x:c>
      <x:c r="E693" s="14" t="n">
        <x:v>65</x:v>
      </x:c>
      <x:c r="F693" s="14" t="str">
        <x:v>The Madame Blanc Mysteries</x:v>
      </x:c>
      <x:c r="G693" s="14" t="str">
        <x:v>tt15499118</x:v>
      </x:c>
      <x:c r="H693" s="14" t="n">
        <x:v>2021</x:v>
      </x:c>
      <x:c r="I693" s="14" t="n">
        <x:v>2023</x:v>
      </x:c>
      <x:c r="J693" s="14" t="str">
        <x:v>Future Carry-Forward Cohort</x:v>
      </x:c>
      <x:c r="K693" s="14" t="n">
        <x:v>2021</x:v>
      </x:c>
      <x:c r="L693" s="14" t="str">
        <x:v>Available from 2021 analysis</x:v>
      </x:c>
      <x:c r="M693" s="15" t="n">
        <x:v>58</x:v>
      </x:c>
      <x:c r="N693" s="14" t="str">
        <x:v>Malcolm Galeo</x:v>
      </x:c>
      <x:c r="O693" s="14" t="str">
        <x:v>nm17138921</x:v>
      </x:c>
      <x:c r="P693" s="14" t="str">
        <x:v>Dr. Martin</x:v>
      </x:c>
      <x:c r="Q693" s="15" t="n">
        <x:v>1</x:v>
      </x:c>
      <x:c r="R693" s="14" t="str">
        <x:v>2025</x:v>
      </x:c>
      <x:c r="S693" s="14" t="n">
        <x:v>2025</x:v>
      </x:c>
      <x:c r="T693" s="14" t="n">
        <x:v>2025</x:v>
      </x:c>
      <x:c r="U693" s="14" t="str">
        <x:v>Post-2021 casting excluded</x:v>
      </x:c>
      <x:c r="V693" s="14" t="str">
        <x:v>Earliest supplied year is 2025, later than the 2021 study year.</x:v>
      </x:c>
      <x:c r="W693" s="14"/>
      <x:c r="X693" s="14" t="str">
        <x:v>Carried forward to 2025</x:v>
      </x:c>
      <x:c r="Y693" s="14"/>
      <x:c r="Z693" s="14" t="str">
        <x:v>The Madame Blanc Mysteries.docx</x:v>
      </x:c>
      <x:c r="AA69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Channel 5 / 5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3" s="14" t="str">
        <x:v>No qualifying BBC relationship</x:v>
      </x:c>
      <x:c r="AO693" s="14" t="str">
        <x:v>No</x:v>
      </x:c>
      <x:c r="AP693" s="14" t="str">
        <x:v>Out of scope</x:v>
      </x:c>
      <x:c r="AQ693" s="14" t="str">
        <x:v>No</x:v>
      </x:c>
      <x:c r="AR693" s="14" t="str">
        <x:v>Resolved from master register</x:v>
      </x:c>
      <x:c r="AS693" s="14" t="str">
        <x:v>No established-register match</x:v>
      </x:c>
      <x:c r="AT693" s="14"/>
      <x:c r="AU693" s="14"/>
      <x:c r="AV693" s="14" t="str">
        <x:v>No established apparent-disability match</x:v>
      </x:c>
      <x:c r="AW693" s="14"/>
      <x:c r="AX693" s="14" t="str">
        <x:v>No</x:v>
      </x:c>
      <x:c r="AY693" s="14" t="str">
        <x:v>Unmatched</x:v>
      </x:c>
      <x:c r="AZ693" s="14" t="str">
        <x:v>Final supplied register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28</x:v>
      </x:c>
      <x:c r="BP693" s="14" t="str">
        <x:v>Maximum eligible IMDb cast-credit total (28), shared by 4 performer(s); not independently verified as a 2021-only episode total.</x:v>
      </x:c>
      <x:c r="BQ693" s="14" t="str">
        <x:v>Medium</x:v>
      </x:c>
      <x:c r="BR693" s="15" t="n">
        <x:v>1</x:v>
      </x:c>
      <x:c r="BS693" s="16" t="n">
        <x:v>0.03571428571428571</x:v>
      </x:c>
      <x:c r="BT693" s="14" t="str">
        <x:v>One episode</x:v>
      </x:c>
      <x:c r="BU693" s="14" t="str">
        <x:v>Medium</x:v>
      </x:c>
      <x:c r="BV693" s="14" t="str">
        <x:v>Derived from supplied IMDb episode count and the documented production-total proxy.</x:v>
      </x:c>
      <x:c r="BW693" s="14" t="str">
        <x:v>Unable to determine</x:v>
      </x:c>
      <x:c r="BX693" s="14" t="str">
        <x:v>Supplied cast data establishes the credit and episode presence but does not establish narrative prominence.</x:v>
      </x:c>
      <x:c r="BY693" s="14" t="str">
        <x:v>Supplied IMDb cast-list workbook</x:v>
      </x:c>
      <x:c r="BZ69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tt15499118|nm11683717|necklace thief</x:v>
      </x:c>
      <x:c r="B694" s="14" t="str">
        <x:v>03</x:v>
      </x:c>
      <x:c r="C694" s="14" t="str">
        <x:v>2021_IMDb_Cast_Lists_Batch_03(1).xlsx</x:v>
      </x:c>
      <x:c r="D694" s="14" t="str">
        <x:v>The Madame Blanc Mysteries</x:v>
      </x:c>
      <x:c r="E694" s="14" t="n">
        <x:v>73</x:v>
      </x:c>
      <x:c r="F694" s="14" t="str">
        <x:v>The Madame Blanc Mysteries</x:v>
      </x:c>
      <x:c r="G694" s="14" t="str">
        <x:v>tt15499118</x:v>
      </x:c>
      <x:c r="H694" s="14" t="n">
        <x:v>2021</x:v>
      </x:c>
      <x:c r="I694" s="14" t="n">
        <x:v>2023</x:v>
      </x:c>
      <x:c r="J694" s="14" t="str">
        <x:v>Future Carry-Forward Cohort</x:v>
      </x:c>
      <x:c r="K694" s="14" t="n">
        <x:v>2021</x:v>
      </x:c>
      <x:c r="L694" s="14" t="str">
        <x:v>Available from 2021 analysis</x:v>
      </x:c>
      <x:c r="M694" s="15" t="n">
        <x:v>66</x:v>
      </x:c>
      <x:c r="N694" s="14" t="str">
        <x:v>Maxime Durand</x:v>
      </x:c>
      <x:c r="O694" s="14" t="str">
        <x:v>nm11683717</x:v>
      </x:c>
      <x:c r="P694" s="14" t="str">
        <x:v>Necklace Thief</x:v>
      </x:c>
      <x:c r="Q694" s="15" t="n">
        <x:v>1</x:v>
      </x:c>
      <x:c r="R694" s="14" t="str">
        <x:v>2025</x:v>
      </x:c>
      <x:c r="S694" s="14" t="n">
        <x:v>2025</x:v>
      </x:c>
      <x:c r="T694" s="14" t="n">
        <x:v>2025</x:v>
      </x:c>
      <x:c r="U694" s="14" t="str">
        <x:v>Post-2021 casting excluded</x:v>
      </x:c>
      <x:c r="V694" s="14" t="str">
        <x:v>Earliest supplied year is 2025, later than the 2021 study year.</x:v>
      </x:c>
      <x:c r="W694" s="14"/>
      <x:c r="X694" s="14" t="str">
        <x:v>Carried forward to 2025</x:v>
      </x:c>
      <x:c r="Y694" s="14"/>
      <x:c r="Z694" s="14" t="str">
        <x:v>The Madame Blanc Mysteries.docx</x:v>
      </x:c>
      <x:c r="AA69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Channel 5 / 5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4" s="14" t="str">
        <x:v>No qualifying BBC relationship</x:v>
      </x:c>
      <x:c r="AO694" s="14" t="str">
        <x:v>No</x:v>
      </x:c>
      <x:c r="AP694" s="14" t="str">
        <x:v>Out of scope</x:v>
      </x:c>
      <x:c r="AQ694" s="14" t="str">
        <x:v>No</x:v>
      </x:c>
      <x:c r="AR694" s="14" t="str">
        <x:v>Resolved from master register</x:v>
      </x:c>
      <x:c r="AS694" s="14" t="str">
        <x:v>No established-register match</x:v>
      </x:c>
      <x:c r="AT694" s="14"/>
      <x:c r="AU694" s="14"/>
      <x:c r="AV694" s="14" t="str">
        <x:v>No established apparent-disability match</x:v>
      </x:c>
      <x:c r="AW694" s="14"/>
      <x:c r="AX694" s="14" t="str">
        <x:v>No</x:v>
      </x:c>
      <x:c r="AY694" s="14" t="str">
        <x:v>Unmatched</x:v>
      </x:c>
      <x:c r="AZ694" s="14" t="str">
        <x:v>Final supplied register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28</x:v>
      </x:c>
      <x:c r="BP694" s="14" t="str">
        <x:v>Maximum eligible IMDb cast-credit total (28), shared by 4 performer(s); not independently verified as a 2021-only episode total.</x:v>
      </x:c>
      <x:c r="BQ694" s="14" t="str">
        <x:v>Medium</x:v>
      </x:c>
      <x:c r="BR694" s="15" t="n">
        <x:v>1</x:v>
      </x:c>
      <x:c r="BS694" s="16" t="n">
        <x:v>0.03571428571428571</x:v>
      </x:c>
      <x:c r="BT694" s="14" t="str">
        <x:v>One episode</x:v>
      </x:c>
      <x:c r="BU694" s="14" t="str">
        <x:v>Medium</x:v>
      </x:c>
      <x:c r="BV694" s="14" t="str">
        <x:v>Derived from supplied IMDb episode count and the documented production-total proxy.</x:v>
      </x:c>
      <x:c r="BW694" s="14" t="str">
        <x:v>Unable to determine</x:v>
      </x:c>
      <x:c r="BX694" s="14" t="str">
        <x:v>Supplied cast data establishes the credit and episode presence but does not establish narrative prominence.</x:v>
      </x:c>
      <x:c r="BY694" s="14" t="str">
        <x:v>Supplied IMDb cast-list workbook</x:v>
      </x:c>
      <x:c r="BZ69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tt15499118|nm6391442|jovan smith</x:v>
      </x:c>
      <x:c r="B695" s="14" t="str">
        <x:v>03</x:v>
      </x:c>
      <x:c r="C695" s="14" t="str">
        <x:v>2021_IMDb_Cast_Lists_Batch_03(1).xlsx</x:v>
      </x:c>
      <x:c r="D695" s="14" t="str">
        <x:v>The Madame Blanc Mysteries</x:v>
      </x:c>
      <x:c r="E695" s="14" t="n">
        <x:v>78</x:v>
      </x:c>
      <x:c r="F695" s="14" t="str">
        <x:v>The Madame Blanc Mysteries</x:v>
      </x:c>
      <x:c r="G695" s="14" t="str">
        <x:v>tt15499118</x:v>
      </x:c>
      <x:c r="H695" s="14" t="n">
        <x:v>2021</x:v>
      </x:c>
      <x:c r="I695" s="14" t="n">
        <x:v>2023</x:v>
      </x:c>
      <x:c r="J695" s="14" t="str">
        <x:v>Future Carry-Forward Cohort</x:v>
      </x:c>
      <x:c r="K695" s="14" t="n">
        <x:v>2021</x:v>
      </x:c>
      <x:c r="L695" s="14" t="str">
        <x:v>Available from 2021 analysis</x:v>
      </x:c>
      <x:c r="M695" s="15" t="n">
        <x:v>71</x:v>
      </x:c>
      <x:c r="N695" s="14" t="str">
        <x:v>Danny Hatchard</x:v>
      </x:c>
      <x:c r="O695" s="14" t="str">
        <x:v>nm6391442</x:v>
      </x:c>
      <x:c r="P695" s="14" t="str">
        <x:v>Jovan Smith</x:v>
      </x:c>
      <x:c r="Q695" s="15" t="n">
        <x:v>1</x:v>
      </x:c>
      <x:c r="R695" s="14" t="str">
        <x:v>2025</x:v>
      </x:c>
      <x:c r="S695" s="14" t="n">
        <x:v>2025</x:v>
      </x:c>
      <x:c r="T695" s="14" t="n">
        <x:v>2025</x:v>
      </x:c>
      <x:c r="U695" s="14" t="str">
        <x:v>Post-2021 casting excluded</x:v>
      </x:c>
      <x:c r="V695" s="14" t="str">
        <x:v>Earliest supplied year is 2025, later than the 2021 study year.</x:v>
      </x:c>
      <x:c r="W695" s="14"/>
      <x:c r="X695" s="14" t="str">
        <x:v>Carried forward to 2025</x:v>
      </x:c>
      <x:c r="Y695" s="14"/>
      <x:c r="Z695" s="14" t="str">
        <x:v>The Madame Blanc Mysteries.docx</x:v>
      </x:c>
      <x:c r="AA69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5" s="14" t="str">
        <x:v>Existing established-register match</x:v>
      </x:c>
      <x:c r="AC695" s="14"/>
      <x:c r="AD695" s="14" t="str">
        <x:v>Existing register classification: Neurodivergent. Not treated as an apparent-disability finding here.</x:v>
      </x:c>
      <x:c r="AE695" s="14" t="str">
        <x:v>Established_Disability_Category_Register V1.1.xlsx</x:v>
      </x:c>
      <x:c r="AF695" s="14"/>
      <x:c r="AG695" s="14" t="str">
        <x:v>Established user-supplied classification retained for deduplication; evidence was not re-researched in this batch.</x:v>
      </x:c>
      <x:c r="AH695" s="14" t="str">
        <x:v>Channel 5 / 5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5" s="14" t="str">
        <x:v>No qualifying BBC relationship</x:v>
      </x:c>
      <x:c r="AO695" s="14" t="str">
        <x:v>No</x:v>
      </x:c>
      <x:c r="AP695" s="14" t="str">
        <x:v>Out of scope</x:v>
      </x:c>
      <x:c r="AQ695" s="14" t="str">
        <x:v>No</x:v>
      </x:c>
      <x:c r="AR695" s="14" t="str">
        <x:v>Resolved from master register</x:v>
      </x:c>
      <x:c r="AS695" s="14" t="str">
        <x:v>Exact IMDb performer ID match</x:v>
      </x:c>
      <x:c r="AT695" s="14" t="str">
        <x:v>nm6391442</x:v>
      </x:c>
      <x:c r="AU695" s="14" t="str">
        <x:v>Neurodivergent</x:v>
      </x:c>
      <x:c r="AV695" s="14" t="str">
        <x:v>No</x:v>
      </x:c>
      <x:c r="AW695" s="14"/>
      <x:c r="AX695" s="14" t="str">
        <x:v>Yes</x:v>
      </x:c>
      <x:c r="AY695" s="14" t="str">
        <x:v>Matched</x:v>
      </x:c>
      <x:c r="AZ695" s="14" t="str">
        <x:v>Final supplied register</x:v>
      </x:c>
      <x:c r="BA695" s="14"/>
      <x:c r="BB695" s="14" t="str">
        <x:v>Exact IMDb performer ID match</x:v>
      </x:c>
      <x:c r="BC695" s="14" t="str">
        <x:v>nm6391442</x:v>
      </x:c>
      <x:c r="BD695" s="14" t="str">
        <x:v>Danny Hatchard</x:v>
      </x:c>
      <x:c r="BE695" s="14" t="str">
        <x:v>Neurodivergent</x:v>
      </x:c>
      <x:c r="BF695" s="14" t="str">
        <x:v>No</x:v>
      </x:c>
      <x:c r="BG695" s="14"/>
      <x:c r="BH695" s="14" t="str">
        <x:v>Yes</x:v>
      </x:c>
      <x:c r="BI695" s="14" t="str">
        <x:v>User-supplied established classification</x:v>
      </x:c>
      <x:c r="BJ695" s="14" t="str">
        <x:v>11_Neurodivergent..csv</x:v>
      </x:c>
      <x:c r="BK695" s="14"/>
      <x:c r="BL695" s="14" t="str">
        <x:v>Matched</x:v>
      </x:c>
      <x:c r="BM695" s="14" t="str">
        <x:v>Final supplied register</x:v>
      </x:c>
      <x:c r="BN695" s="14"/>
      <x:c r="BO695" s="14" t="n">
        <x:v>28</x:v>
      </x:c>
      <x:c r="BP695" s="14" t="str">
        <x:v>Maximum eligible IMDb cast-credit total (28), shared by 4 performer(s); not independently verified as a 2021-only episode total.</x:v>
      </x:c>
      <x:c r="BQ695" s="14" t="str">
        <x:v>Medium</x:v>
      </x:c>
      <x:c r="BR695" s="15" t="n">
        <x:v>1</x:v>
      </x:c>
      <x:c r="BS695" s="16" t="n">
        <x:v>0.03571428571428571</x:v>
      </x:c>
      <x:c r="BT695" s="14" t="str">
        <x:v>One episode</x:v>
      </x:c>
      <x:c r="BU695" s="14" t="str">
        <x:v>Medium</x:v>
      </x:c>
      <x:c r="BV695" s="14" t="str">
        <x:v>Derived from supplied IMDb episode count and the documented production-total proxy.</x:v>
      </x:c>
      <x:c r="BW695" s="14" t="str">
        <x:v>Unable to determine</x:v>
      </x:c>
      <x:c r="BX695" s="14" t="str">
        <x:v>Supplied cast data establishes the credit and episode presence but does not establish narrative prominence.</x:v>
      </x:c>
      <x:c r="BY695" s="14" t="str">
        <x:v>Supplied IMDb cast-list workbook</x:v>
      </x:c>
      <x:c r="BZ69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tt15499118|nm5272631|inspector aguis</x:v>
      </x:c>
      <x:c r="B696" s="14" t="str">
        <x:v>03</x:v>
      </x:c>
      <x:c r="C696" s="14" t="str">
        <x:v>2021_IMDb_Cast_Lists_Batch_03(1).xlsx</x:v>
      </x:c>
      <x:c r="D696" s="14" t="str">
        <x:v>The Madame Blanc Mysteries</x:v>
      </x:c>
      <x:c r="E696" s="14" t="n">
        <x:v>79</x:v>
      </x:c>
      <x:c r="F696" s="14" t="str">
        <x:v>The Madame Blanc Mysteries</x:v>
      </x:c>
      <x:c r="G696" s="14" t="str">
        <x:v>tt15499118</x:v>
      </x:c>
      <x:c r="H696" s="14" t="n">
        <x:v>2021</x:v>
      </x:c>
      <x:c r="I696" s="14" t="n">
        <x:v>2023</x:v>
      </x:c>
      <x:c r="J696" s="14" t="str">
        <x:v>Future Carry-Forward Cohort</x:v>
      </x:c>
      <x:c r="K696" s="14" t="n">
        <x:v>2021</x:v>
      </x:c>
      <x:c r="L696" s="14" t="str">
        <x:v>Available from 2021 analysis</x:v>
      </x:c>
      <x:c r="M696" s="15" t="n">
        <x:v>72</x:v>
      </x:c>
      <x:c r="N696" s="14" t="str">
        <x:v>Chantelle Micallef Grimaud</x:v>
      </x:c>
      <x:c r="O696" s="14" t="str">
        <x:v>nm5272631</x:v>
      </x:c>
      <x:c r="P696" s="14" t="str">
        <x:v>Inspector Aguis</x:v>
      </x:c>
      <x:c r="Q696" s="15" t="n">
        <x:v>1</x:v>
      </x:c>
      <x:c r="R696" s="14" t="str">
        <x:v>2025</x:v>
      </x:c>
      <x:c r="S696" s="14" t="n">
        <x:v>2025</x:v>
      </x:c>
      <x:c r="T696" s="14" t="n">
        <x:v>2025</x:v>
      </x:c>
      <x:c r="U696" s="14" t="str">
        <x:v>Post-2021 casting excluded</x:v>
      </x:c>
      <x:c r="V696" s="14" t="str">
        <x:v>Earliest supplied year is 2025, later than the 2021 study year.</x:v>
      </x:c>
      <x:c r="W696" s="14"/>
      <x:c r="X696" s="14" t="str">
        <x:v>Carried forward to 2025</x:v>
      </x:c>
      <x:c r="Y696" s="14" t="str">
        <x:v>(as Chantelle Grimaud)</x:v>
      </x:c>
      <x:c r="Z696" s="14" t="str">
        <x:v>The Madame Blanc Mysteries.docx</x:v>
      </x:c>
      <x:c r="AA69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Channel 5 / 5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6" s="14" t="str">
        <x:v>No qualifying BBC relationship</x:v>
      </x:c>
      <x:c r="AO696" s="14" t="str">
        <x:v>No</x:v>
      </x:c>
      <x:c r="AP696" s="14" t="str">
        <x:v>Out of scope</x:v>
      </x:c>
      <x:c r="AQ696" s="14" t="str">
        <x:v>No</x:v>
      </x:c>
      <x:c r="AR696" s="14" t="str">
        <x:v>Resolved from master register</x:v>
      </x:c>
      <x:c r="AS696" s="14" t="str">
        <x:v>No established-register match</x:v>
      </x:c>
      <x:c r="AT696" s="14"/>
      <x:c r="AU696" s="14"/>
      <x:c r="AV696" s="14" t="str">
        <x:v>No established apparent-disability match</x:v>
      </x:c>
      <x:c r="AW696" s="14"/>
      <x:c r="AX696" s="14" t="str">
        <x:v>No</x:v>
      </x:c>
      <x:c r="AY696" s="14" t="str">
        <x:v>Unmatched</x:v>
      </x:c>
      <x:c r="AZ696" s="14" t="str">
        <x:v>Final supplied register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28</x:v>
      </x:c>
      <x:c r="BP696" s="14" t="str">
        <x:v>Maximum eligible IMDb cast-credit total (28), shared by 4 performer(s); not independently verified as a 2021-only episode total.</x:v>
      </x:c>
      <x:c r="BQ696" s="14" t="str">
        <x:v>Medium</x:v>
      </x:c>
      <x:c r="BR696" s="15" t="n">
        <x:v>1</x:v>
      </x:c>
      <x:c r="BS696" s="16" t="n">
        <x:v>0.03571428571428571</x:v>
      </x:c>
      <x:c r="BT696" s="14" t="str">
        <x:v>One episode</x:v>
      </x:c>
      <x:c r="BU696" s="14" t="str">
        <x:v>Medium</x:v>
      </x:c>
      <x:c r="BV696" s="14" t="str">
        <x:v>Derived from supplied IMDb episode count and the documented production-total proxy.</x:v>
      </x:c>
      <x:c r="BW696" s="14" t="str">
        <x:v>Unable to determine</x:v>
      </x:c>
      <x:c r="BX696" s="14" t="str">
        <x:v>Supplied cast data establishes the credit and episode presence but does not establish narrative prominence.</x:v>
      </x:c>
      <x:c r="BY696" s="14" t="str">
        <x:v>Supplied IMDb cast-list workbook</x:v>
      </x:c>
      <x:c r="BZ69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tt15499118|nm17164266|alan</x:v>
      </x:c>
      <x:c r="B697" s="14" t="str">
        <x:v>03</x:v>
      </x:c>
      <x:c r="C697" s="14" t="str">
        <x:v>2021_IMDb_Cast_Lists_Batch_03(1).xlsx</x:v>
      </x:c>
      <x:c r="D697" s="14" t="str">
        <x:v>The Madame Blanc Mysteries</x:v>
      </x:c>
      <x:c r="E697" s="14" t="n">
        <x:v>80</x:v>
      </x:c>
      <x:c r="F697" s="14" t="str">
        <x:v>The Madame Blanc Mysteries</x:v>
      </x:c>
      <x:c r="G697" s="14" t="str">
        <x:v>tt15499118</x:v>
      </x:c>
      <x:c r="H697" s="14" t="n">
        <x:v>2021</x:v>
      </x:c>
      <x:c r="I697" s="14" t="n">
        <x:v>2023</x:v>
      </x:c>
      <x:c r="J697" s="14" t="str">
        <x:v>Future Carry-Forward Cohort</x:v>
      </x:c>
      <x:c r="K697" s="14" t="n">
        <x:v>2021</x:v>
      </x:c>
      <x:c r="L697" s="14" t="str">
        <x:v>Available from 2021 analysis</x:v>
      </x:c>
      <x:c r="M697" s="15" t="n">
        <x:v>73</x:v>
      </x:c>
      <x:c r="N697" s="14" t="str">
        <x:v>Simon Green</x:v>
      </x:c>
      <x:c r="O697" s="14" t="str">
        <x:v>nm17164266</x:v>
      </x:c>
      <x:c r="P697" s="14" t="str">
        <x:v>Alan</x:v>
      </x:c>
      <x:c r="Q697" s="15" t="n">
        <x:v>1</x:v>
      </x:c>
      <x:c r="R697" s="14" t="str">
        <x:v>2025</x:v>
      </x:c>
      <x:c r="S697" s="14" t="n">
        <x:v>2025</x:v>
      </x:c>
      <x:c r="T697" s="14" t="n">
        <x:v>2025</x:v>
      </x:c>
      <x:c r="U697" s="14" t="str">
        <x:v>Post-2021 casting excluded</x:v>
      </x:c>
      <x:c r="V697" s="14" t="str">
        <x:v>Earliest supplied year is 2025, later than the 2021 study year.</x:v>
      </x:c>
      <x:c r="W697" s="14"/>
      <x:c r="X697" s="14" t="str">
        <x:v>Carried forward to 2025</x:v>
      </x:c>
      <x:c r="Y697" s="14"/>
      <x:c r="Z697" s="14" t="str">
        <x:v>The Madame Blanc Mysteries.docx</x:v>
      </x:c>
      <x:c r="AA69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Channel 5 / 5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7" s="14" t="str">
        <x:v>No qualifying BBC relationship</x:v>
      </x:c>
      <x:c r="AO697" s="14" t="str">
        <x:v>No</x:v>
      </x:c>
      <x:c r="AP697" s="14" t="str">
        <x:v>Out of scope</x:v>
      </x:c>
      <x:c r="AQ697" s="14" t="str">
        <x:v>No</x:v>
      </x:c>
      <x:c r="AR697" s="14" t="str">
        <x:v>Resolved from master register</x:v>
      </x:c>
      <x:c r="AS697" s="14" t="str">
        <x:v>No established-register match</x:v>
      </x:c>
      <x:c r="AT697" s="14"/>
      <x:c r="AU697" s="14"/>
      <x:c r="AV697" s="14" t="str">
        <x:v>No established apparent-disability match</x:v>
      </x:c>
      <x:c r="AW697" s="14"/>
      <x:c r="AX697" s="14" t="str">
        <x:v>No</x:v>
      </x:c>
      <x:c r="AY697" s="14" t="str">
        <x:v>Unmatched</x:v>
      </x:c>
      <x:c r="AZ697" s="14" t="str">
        <x:v>Final supplied register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28</x:v>
      </x:c>
      <x:c r="BP697" s="14" t="str">
        <x:v>Maximum eligible IMDb cast-credit total (28), shared by 4 performer(s); not independently verified as a 2021-only episode total.</x:v>
      </x:c>
      <x:c r="BQ697" s="14" t="str">
        <x:v>Medium</x:v>
      </x:c>
      <x:c r="BR697" s="15" t="n">
        <x:v>1</x:v>
      </x:c>
      <x:c r="BS697" s="16" t="n">
        <x:v>0.03571428571428571</x:v>
      </x:c>
      <x:c r="BT697" s="14" t="str">
        <x:v>One episode</x:v>
      </x:c>
      <x:c r="BU697" s="14" t="str">
        <x:v>Medium</x:v>
      </x:c>
      <x:c r="BV697" s="14" t="str">
        <x:v>Derived from supplied IMDb episode count and the documented production-total proxy.</x:v>
      </x:c>
      <x:c r="BW697" s="14" t="str">
        <x:v>Unable to determine</x:v>
      </x:c>
      <x:c r="BX697" s="14" t="str">
        <x:v>Supplied cast data establishes the credit and episode presence but does not establish narrative prominence.</x:v>
      </x:c>
      <x:c r="BY697" s="14" t="str">
        <x:v>Supplied IMDb cast-list workbook</x:v>
      </x:c>
      <x:c r="BZ69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tt15499118|nm0370319|nigel</x:v>
      </x:c>
      <x:c r="B698" s="14" t="str">
        <x:v>03</x:v>
      </x:c>
      <x:c r="C698" s="14" t="str">
        <x:v>2021_IMDb_Cast_Lists_Batch_03(1).xlsx</x:v>
      </x:c>
      <x:c r="D698" s="14" t="str">
        <x:v>The Madame Blanc Mysteries</x:v>
      </x:c>
      <x:c r="E698" s="14" t="n">
        <x:v>88</x:v>
      </x:c>
      <x:c r="F698" s="14" t="str">
        <x:v>The Madame Blanc Mysteries</x:v>
      </x:c>
      <x:c r="G698" s="14" t="str">
        <x:v>tt15499118</x:v>
      </x:c>
      <x:c r="H698" s="14" t="n">
        <x:v>2021</x:v>
      </x:c>
      <x:c r="I698" s="14" t="n">
        <x:v>2023</x:v>
      </x:c>
      <x:c r="J698" s="14" t="str">
        <x:v>Future Carry-Forward Cohort</x:v>
      </x:c>
      <x:c r="K698" s="14" t="n">
        <x:v>2021</x:v>
      </x:c>
      <x:c r="L698" s="14" t="str">
        <x:v>Available from 2021 analysis</x:v>
      </x:c>
      <x:c r="M698" s="15" t="n">
        <x:v>81</x:v>
      </x:c>
      <x:c r="N698" s="14" t="str">
        <x:v>Graeme Hawley</x:v>
      </x:c>
      <x:c r="O698" s="14" t="str">
        <x:v>nm0370319</x:v>
      </x:c>
      <x:c r="P698" s="14" t="str">
        <x:v>Nigel</x:v>
      </x:c>
      <x:c r="Q698" s="15" t="n">
        <x:v>1</x:v>
      </x:c>
      <x:c r="R698" s="14" t="str">
        <x:v>2025</x:v>
      </x:c>
      <x:c r="S698" s="14" t="n">
        <x:v>2025</x:v>
      </x:c>
      <x:c r="T698" s="14" t="n">
        <x:v>2025</x:v>
      </x:c>
      <x:c r="U698" s="14" t="str">
        <x:v>Post-2021 casting excluded</x:v>
      </x:c>
      <x:c r="V698" s="14" t="str">
        <x:v>Earliest supplied year is 2025, later than the 2021 study year.</x:v>
      </x:c>
      <x:c r="W698" s="14"/>
      <x:c r="X698" s="14" t="str">
        <x:v>Carried forward to 2025</x:v>
      </x:c>
      <x:c r="Y698" s="14"/>
      <x:c r="Z698" s="14" t="str">
        <x:v>The Madame Blanc Mysteries.docx</x:v>
      </x:c>
      <x:c r="AA69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Channel 5 / 5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 t="str">
        <x:v>No established-register match</x:v>
      </x:c>
      <x:c r="AT698" s="14"/>
      <x:c r="AU698" s="14"/>
      <x:c r="AV698" s="14" t="str">
        <x:v>No established apparent-disability match</x:v>
      </x:c>
      <x:c r="AW698" s="14"/>
      <x:c r="AX698" s="14" t="str">
        <x:v>No</x:v>
      </x:c>
      <x:c r="AY698" s="14" t="str">
        <x:v>Unmatched</x:v>
      </x:c>
      <x:c r="AZ698" s="14" t="str">
        <x:v>Final supplied register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28</x:v>
      </x:c>
      <x:c r="BP698" s="14" t="str">
        <x:v>Maximum eligible IMDb cast-credit total (28), shared by 4 performer(s); not independently verified as a 2021-only episode total.</x:v>
      </x:c>
      <x:c r="BQ698" s="14" t="str">
        <x:v>Medium</x:v>
      </x:c>
      <x:c r="BR698" s="15" t="n">
        <x:v>1</x:v>
      </x:c>
      <x:c r="BS698" s="16" t="n">
        <x:v>0.03571428571428571</x:v>
      </x:c>
      <x:c r="BT698" s="14" t="str">
        <x:v>One episode</x:v>
      </x:c>
      <x:c r="BU698" s="14" t="str">
        <x:v>Medium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tt15499118|nm12235519|xena</x:v>
      </x:c>
      <x:c r="B699" s="14" t="str">
        <x:v>03</x:v>
      </x:c>
      <x:c r="C699" s="14" t="str">
        <x:v>2021_IMDb_Cast_Lists_Batch_03(1).xlsx</x:v>
      </x:c>
      <x:c r="D699" s="14" t="str">
        <x:v>The Madame Blanc Mysteries</x:v>
      </x:c>
      <x:c r="E699" s="14" t="n">
        <x:v>89</x:v>
      </x:c>
      <x:c r="F699" s="14" t="str">
        <x:v>The Madame Blanc Mysteries</x:v>
      </x:c>
      <x:c r="G699" s="14" t="str">
        <x:v>tt15499118</x:v>
      </x:c>
      <x:c r="H699" s="14" t="n">
        <x:v>2021</x:v>
      </x:c>
      <x:c r="I699" s="14" t="n">
        <x:v>2023</x:v>
      </x:c>
      <x:c r="J699" s="14" t="str">
        <x:v>Future Carry-Forward Cohort</x:v>
      </x:c>
      <x:c r="K699" s="14" t="n">
        <x:v>2021</x:v>
      </x:c>
      <x:c r="L699" s="14" t="str">
        <x:v>Available from 2021 analysis</x:v>
      </x:c>
      <x:c r="M699" s="15" t="n">
        <x:v>82</x:v>
      </x:c>
      <x:c r="N699" s="14" t="str">
        <x:v>Greta Holland</x:v>
      </x:c>
      <x:c r="O699" s="14" t="str">
        <x:v>nm12235519</x:v>
      </x:c>
      <x:c r="P699" s="14" t="str">
        <x:v>Xena</x:v>
      </x:c>
      <x:c r="Q699" s="15" t="n">
        <x:v>1</x:v>
      </x:c>
      <x:c r="R699" s="14" t="str">
        <x:v>2025</x:v>
      </x:c>
      <x:c r="S699" s="14" t="n">
        <x:v>2025</x:v>
      </x:c>
      <x:c r="T699" s="14" t="n">
        <x:v>2025</x:v>
      </x:c>
      <x:c r="U699" s="14" t="str">
        <x:v>Post-2021 casting excluded</x:v>
      </x:c>
      <x:c r="V699" s="14" t="str">
        <x:v>Earliest supplied year is 2025, later than the 2021 study year.</x:v>
      </x:c>
      <x:c r="W699" s="14"/>
      <x:c r="X699" s="14" t="str">
        <x:v>Carried forward to 2025</x:v>
      </x:c>
      <x:c r="Y699" s="14"/>
      <x:c r="Z699" s="14" t="str">
        <x:v>The Madame Blanc Mysteries.docx</x:v>
      </x:c>
      <x:c r="AA69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699" s="14" t="str">
        <x:v>No established-register match</x:v>
      </x:c>
      <x:c r="AC699" s="14"/>
      <x:c r="AD699" s="14"/>
      <x:c r="AE699" s="14"/>
      <x:c r="AF699" s="14"/>
      <x:c r="AG699" s="14" t="str">
        <x:v>No qualifying conclusion recorded. Absence from the register is not evidence that the performer is not disabled.</x:v>
      </x:c>
      <x:c r="AH699" s="14" t="str">
        <x:v>Channel 5 / 5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 t="str">
        <x:v>No established-register match</x:v>
      </x:c>
      <x:c r="AT699" s="14"/>
      <x:c r="AU699" s="14"/>
      <x:c r="AV699" s="14" t="str">
        <x:v>No established apparent-disability match</x:v>
      </x:c>
      <x:c r="AW699" s="14"/>
      <x:c r="AX699" s="14" t="str">
        <x:v>No</x:v>
      </x:c>
      <x:c r="AY699" s="14" t="str">
        <x:v>Unmatched</x:v>
      </x:c>
      <x:c r="AZ699" s="14" t="str">
        <x:v>Final supplied register</x:v>
      </x:c>
      <x:c r="BA699" s="14" t="str">
        <x:v>Absence from the register is not evidence that the performer is not disabled.</x:v>
      </x:c>
      <x:c r="BB699" s="14" t="str">
        <x:v>No established-register match</x:v>
      </x:c>
      <x:c r="BC699" s="14"/>
      <x:c r="BD699" s="14"/>
      <x:c r="BE699" s="14"/>
      <x:c r="BF699" s="14" t="str">
        <x:v>No established apparent-disability match</x:v>
      </x:c>
      <x:c r="BG699" s="14"/>
      <x:c r="BH699" s="14" t="str">
        <x:v>No</x:v>
      </x:c>
      <x:c r="BI699" s="14"/>
      <x:c r="BJ699" s="14"/>
      <x:c r="BK699" s="14"/>
      <x:c r="BL699" s="14" t="str">
        <x:v>Unmatched</x:v>
      </x:c>
      <x:c r="BM699" s="14" t="str">
        <x:v>Final supplied register</x:v>
      </x:c>
      <x:c r="BN699" s="14" t="str">
        <x:v>Absence from the register is not evidence that the performer is not disabled.</x:v>
      </x:c>
      <x:c r="BO699" s="14" t="n">
        <x:v>28</x:v>
      </x:c>
      <x:c r="BP699" s="14" t="str">
        <x:v>Maximum eligible IMDb cast-credit total (28), shared by 4 performer(s); not independently verified as a 2021-only episode total.</x:v>
      </x:c>
      <x:c r="BQ699" s="14" t="str">
        <x:v>Medium</x:v>
      </x:c>
      <x:c r="BR699" s="15" t="n">
        <x:v>1</x:v>
      </x:c>
      <x:c r="BS699" s="16" t="n">
        <x:v>0.03571428571428571</x:v>
      </x:c>
      <x:c r="BT699" s="14" t="str">
        <x:v>One episode</x:v>
      </x:c>
      <x:c r="BU699" s="14" t="str">
        <x:v>Medium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tt15499118|nm4232620|dr. aligiah</x:v>
      </x:c>
      <x:c r="B700" s="14" t="str">
        <x:v>03</x:v>
      </x:c>
      <x:c r="C700" s="14" t="str">
        <x:v>2021_IMDb_Cast_Lists_Batch_03(1).xlsx</x:v>
      </x:c>
      <x:c r="D700" s="14" t="str">
        <x:v>The Madame Blanc Mysteries</x:v>
      </x:c>
      <x:c r="E700" s="14" t="n">
        <x:v>90</x:v>
      </x:c>
      <x:c r="F700" s="14" t="str">
        <x:v>The Madame Blanc Mysteries</x:v>
      </x:c>
      <x:c r="G700" s="14" t="str">
        <x:v>tt15499118</x:v>
      </x:c>
      <x:c r="H700" s="14" t="n">
        <x:v>2021</x:v>
      </x:c>
      <x:c r="I700" s="14" t="n">
        <x:v>2023</x:v>
      </x:c>
      <x:c r="J700" s="14" t="str">
        <x:v>Future Carry-Forward Cohort</x:v>
      </x:c>
      <x:c r="K700" s="14" t="n">
        <x:v>2021</x:v>
      </x:c>
      <x:c r="L700" s="14" t="str">
        <x:v>Available from 2021 analysis</x:v>
      </x:c>
      <x:c r="M700" s="15" t="n">
        <x:v>83</x:v>
      </x:c>
      <x:c r="N700" s="14" t="str">
        <x:v>Anthony Ellul</x:v>
      </x:c>
      <x:c r="O700" s="14" t="str">
        <x:v>nm4232620</x:v>
      </x:c>
      <x:c r="P700" s="14" t="str">
        <x:v>Dr. Aligiah</x:v>
      </x:c>
      <x:c r="Q700" s="15" t="n">
        <x:v>1</x:v>
      </x:c>
      <x:c r="R700" s="14" t="str">
        <x:v>2025</x:v>
      </x:c>
      <x:c r="S700" s="14" t="n">
        <x:v>2025</x:v>
      </x:c>
      <x:c r="T700" s="14" t="n">
        <x:v>2025</x:v>
      </x:c>
      <x:c r="U700" s="14" t="str">
        <x:v>Post-2021 casting excluded</x:v>
      </x:c>
      <x:c r="V700" s="14" t="str">
        <x:v>Earliest supplied year is 2025, later than the 2021 study year.</x:v>
      </x:c>
      <x:c r="W700" s="14"/>
      <x:c r="X700" s="14" t="str">
        <x:v>Carried forward to 2025</x:v>
      </x:c>
      <x:c r="Y700" s="14"/>
      <x:c r="Z700" s="14" t="str">
        <x:v>The Madame Blanc Mysteries.docx</x:v>
      </x:c>
      <x:c r="AA70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Channel 5 / 5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 t="str">
        <x:v>No established-register match</x:v>
      </x:c>
      <x:c r="AT700" s="14"/>
      <x:c r="AU700" s="14"/>
      <x:c r="AV700" s="14" t="str">
        <x:v>No established apparent-disability match</x:v>
      </x:c>
      <x:c r="AW700" s="14"/>
      <x:c r="AX700" s="14" t="str">
        <x:v>No</x:v>
      </x:c>
      <x:c r="AY700" s="14" t="str">
        <x:v>Unmatched</x:v>
      </x:c>
      <x:c r="AZ700" s="14" t="str">
        <x:v>Final supplied register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28</x:v>
      </x:c>
      <x:c r="BP700" s="14" t="str">
        <x:v>Maximum eligible IMDb cast-credit total (28), shared by 4 performer(s); not independently verified as a 2021-only episode total.</x:v>
      </x:c>
      <x:c r="BQ700" s="14" t="str">
        <x:v>Medium</x:v>
      </x:c>
      <x:c r="BR700" s="15" t="n">
        <x:v>1</x:v>
      </x:c>
      <x:c r="BS700" s="16" t="n">
        <x:v>0.03571428571428571</x:v>
      </x:c>
      <x:c r="BT700" s="14" t="str">
        <x:v>One episode</x:v>
      </x:c>
      <x:c r="BU700" s="14" t="str">
        <x:v>Medium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tt15499118|nm2471942|bobby</x:v>
      </x:c>
      <x:c r="B701" s="14" t="str">
        <x:v>03</x:v>
      </x:c>
      <x:c r="C701" s="14" t="str">
        <x:v>2021_IMDb_Cast_Lists_Batch_03(1).xlsx</x:v>
      </x:c>
      <x:c r="D701" s="14" t="str">
        <x:v>The Madame Blanc Mysteries</x:v>
      </x:c>
      <x:c r="E701" s="14" t="n">
        <x:v>97</x:v>
      </x:c>
      <x:c r="F701" s="14" t="str">
        <x:v>The Madame Blanc Mysteries</x:v>
      </x:c>
      <x:c r="G701" s="14" t="str">
        <x:v>tt15499118</x:v>
      </x:c>
      <x:c r="H701" s="14" t="n">
        <x:v>2021</x:v>
      </x:c>
      <x:c r="I701" s="14" t="n">
        <x:v>2023</x:v>
      </x:c>
      <x:c r="J701" s="14" t="str">
        <x:v>Future Carry-Forward Cohort</x:v>
      </x:c>
      <x:c r="K701" s="14" t="n">
        <x:v>2021</x:v>
      </x:c>
      <x:c r="L701" s="14" t="str">
        <x:v>Available from 2021 analysis</x:v>
      </x:c>
      <x:c r="M701" s="15" t="n">
        <x:v>90</x:v>
      </x:c>
      <x:c r="N701" s="14" t="str">
        <x:v>Derek Horsham</x:v>
      </x:c>
      <x:c r="O701" s="14" t="str">
        <x:v>nm2471942</x:v>
      </x:c>
      <x:c r="P701" s="14" t="str">
        <x:v>Bobby</x:v>
      </x:c>
      <x:c r="Q701" s="15" t="n">
        <x:v>1</x:v>
      </x:c>
      <x:c r="R701" s="14" t="str">
        <x:v>2025</x:v>
      </x:c>
      <x:c r="S701" s="14" t="n">
        <x:v>2025</x:v>
      </x:c>
      <x:c r="T701" s="14" t="n">
        <x:v>2025</x:v>
      </x:c>
      <x:c r="U701" s="14" t="str">
        <x:v>Post-2021 casting excluded</x:v>
      </x:c>
      <x:c r="V701" s="14" t="str">
        <x:v>Earliest supplied year is 2025, later than the 2021 study year.</x:v>
      </x:c>
      <x:c r="W701" s="14"/>
      <x:c r="X701" s="14" t="str">
        <x:v>Carried forward to 2025</x:v>
      </x:c>
      <x:c r="Y701" s="14"/>
      <x:c r="Z701" s="14" t="str">
        <x:v>The Madame Blanc Mysteries.docx</x:v>
      </x:c>
      <x:c r="AA70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Channel 5 / 5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 t="str">
        <x:v>No established-register match</x:v>
      </x:c>
      <x:c r="AT701" s="14"/>
      <x:c r="AU701" s="14"/>
      <x:c r="AV701" s="14" t="str">
        <x:v>No established apparent-disability match</x:v>
      </x:c>
      <x:c r="AW701" s="14"/>
      <x:c r="AX701" s="14" t="str">
        <x:v>No</x:v>
      </x:c>
      <x:c r="AY701" s="14" t="str">
        <x:v>Unmatched</x:v>
      </x:c>
      <x:c r="AZ701" s="14" t="str">
        <x:v>Final supplied register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28</x:v>
      </x:c>
      <x:c r="BP701" s="14" t="str">
        <x:v>Maximum eligible IMDb cast-credit total (28), shared by 4 performer(s); not independently verified as a 2021-only episode total.</x:v>
      </x:c>
      <x:c r="BQ701" s="14" t="str">
        <x:v>Medium</x:v>
      </x:c>
      <x:c r="BR701" s="15" t="n">
        <x:v>1</x:v>
      </x:c>
      <x:c r="BS701" s="16" t="n">
        <x:v>0.03571428571428571</x:v>
      </x:c>
      <x:c r="BT701" s="14" t="str">
        <x:v>One episode</x:v>
      </x:c>
      <x:c r="BU701" s="14" t="str">
        <x:v>Medium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tt15499118|nm16496242|freddie</x:v>
      </x:c>
      <x:c r="B702" s="14" t="str">
        <x:v>03</x:v>
      </x:c>
      <x:c r="C702" s="14" t="str">
        <x:v>2021_IMDb_Cast_Lists_Batch_03(1).xlsx</x:v>
      </x:c>
      <x:c r="D702" s="14" t="str">
        <x:v>The Madame Blanc Mysteries</x:v>
      </x:c>
      <x:c r="E702" s="14" t="n">
        <x:v>98</x:v>
      </x:c>
      <x:c r="F702" s="14" t="str">
        <x:v>The Madame Blanc Mysteries</x:v>
      </x:c>
      <x:c r="G702" s="14" t="str">
        <x:v>tt15499118</x:v>
      </x:c>
      <x:c r="H702" s="14" t="n">
        <x:v>2021</x:v>
      </x:c>
      <x:c r="I702" s="14" t="n">
        <x:v>2023</x:v>
      </x:c>
      <x:c r="J702" s="14" t="str">
        <x:v>Future Carry-Forward Cohort</x:v>
      </x:c>
      <x:c r="K702" s="14" t="n">
        <x:v>2021</x:v>
      </x:c>
      <x:c r="L702" s="14" t="str">
        <x:v>Available from 2021 analysis</x:v>
      </x:c>
      <x:c r="M702" s="15" t="n">
        <x:v>91</x:v>
      </x:c>
      <x:c r="N702" s="14" t="str">
        <x:v>Antony Irons</x:v>
      </x:c>
      <x:c r="O702" s="14" t="str">
        <x:v>nm16496242</x:v>
      </x:c>
      <x:c r="P702" s="14" t="str">
        <x:v>Freddie</x:v>
      </x:c>
      <x:c r="Q702" s="15" t="n">
        <x:v>1</x:v>
      </x:c>
      <x:c r="R702" s="14" t="str">
        <x:v>2025</x:v>
      </x:c>
      <x:c r="S702" s="14" t="n">
        <x:v>2025</x:v>
      </x:c>
      <x:c r="T702" s="14" t="n">
        <x:v>2025</x:v>
      </x:c>
      <x:c r="U702" s="14" t="str">
        <x:v>Post-2021 casting excluded</x:v>
      </x:c>
      <x:c r="V702" s="14" t="str">
        <x:v>Earliest supplied year is 2025, later than the 2021 study year.</x:v>
      </x:c>
      <x:c r="W702" s="14"/>
      <x:c r="X702" s="14" t="str">
        <x:v>Carried forward to 2025</x:v>
      </x:c>
      <x:c r="Y702" s="14"/>
      <x:c r="Z702" s="14" t="str">
        <x:v>The Madame Blanc Mysteries.docx</x:v>
      </x:c>
      <x:c r="AA70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Channel 5 / 5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 t="str">
        <x:v>No established-register match</x:v>
      </x:c>
      <x:c r="AT702" s="14"/>
      <x:c r="AU702" s="14"/>
      <x:c r="AV702" s="14" t="str">
        <x:v>No established apparent-disability match</x:v>
      </x:c>
      <x:c r="AW702" s="14"/>
      <x:c r="AX702" s="14" t="str">
        <x:v>No</x:v>
      </x:c>
      <x:c r="AY702" s="14" t="str">
        <x:v>Unmatched</x:v>
      </x:c>
      <x:c r="AZ702" s="14" t="str">
        <x:v>Final supplied register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28</x:v>
      </x:c>
      <x:c r="BP702" s="14" t="str">
        <x:v>Maximum eligible IMDb cast-credit total (28), shared by 4 performer(s); not independently verified as a 2021-only episode total.</x:v>
      </x:c>
      <x:c r="BQ702" s="14" t="str">
        <x:v>Medium</x:v>
      </x:c>
      <x:c r="BR702" s="15" t="n">
        <x:v>1</x:v>
      </x:c>
      <x:c r="BS702" s="16" t="n">
        <x:v>0.03571428571428571</x:v>
      </x:c>
      <x:c r="BT702" s="14" t="str">
        <x:v>One episode</x:v>
      </x:c>
      <x:c r="BU702" s="14" t="str">
        <x:v>Medium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tt15499118|nm0416849|dr. ali pardeep</x:v>
      </x:c>
      <x:c r="B703" s="14" t="str">
        <x:v>03</x:v>
      </x:c>
      <x:c r="C703" s="14" t="str">
        <x:v>2021_IMDb_Cast_Lists_Batch_03(1).xlsx</x:v>
      </x:c>
      <x:c r="D703" s="14" t="str">
        <x:v>The Madame Blanc Mysteries</x:v>
      </x:c>
      <x:c r="E703" s="14" t="n">
        <x:v>105</x:v>
      </x:c>
      <x:c r="F703" s="14" t="str">
        <x:v>The Madame Blanc Mysteries</x:v>
      </x:c>
      <x:c r="G703" s="14" t="str">
        <x:v>tt15499118</x:v>
      </x:c>
      <x:c r="H703" s="14" t="n">
        <x:v>2021</x:v>
      </x:c>
      <x:c r="I703" s="14" t="n">
        <x:v>2023</x:v>
      </x:c>
      <x:c r="J703" s="14" t="str">
        <x:v>Future Carry-Forward Cohort</x:v>
      </x:c>
      <x:c r="K703" s="14" t="n">
        <x:v>2021</x:v>
      </x:c>
      <x:c r="L703" s="14" t="str">
        <x:v>Available from 2021 analysis</x:v>
      </x:c>
      <x:c r="M703" s="15" t="n">
        <x:v>98</x:v>
      </x:c>
      <x:c r="N703" s="14" t="str">
        <x:v>Raji James</x:v>
      </x:c>
      <x:c r="O703" s="14" t="str">
        <x:v>nm0416849</x:v>
      </x:c>
      <x:c r="P703" s="14" t="str">
        <x:v>Dr. Ali Pardeep</x:v>
      </x:c>
      <x:c r="Q703" s="15" t="n">
        <x:v>1</x:v>
      </x:c>
      <x:c r="R703" s="14" t="str">
        <x:v>2025</x:v>
      </x:c>
      <x:c r="S703" s="14" t="n">
        <x:v>2025</x:v>
      </x:c>
      <x:c r="T703" s="14" t="n">
        <x:v>2025</x:v>
      </x:c>
      <x:c r="U703" s="14" t="str">
        <x:v>Post-2021 casting excluded</x:v>
      </x:c>
      <x:c r="V703" s="14" t="str">
        <x:v>Earliest supplied year is 2025, later than the 2021 study year.</x:v>
      </x:c>
      <x:c r="W703" s="14"/>
      <x:c r="X703" s="14" t="str">
        <x:v>Carried forward to 2025</x:v>
      </x:c>
      <x:c r="Y703" s="14"/>
      <x:c r="Z703" s="14" t="str">
        <x:v>The Madame Blanc Mysteries.docx</x:v>
      </x:c>
      <x:c r="AA70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Channel 5 / 5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 t="str">
        <x:v>No established-register match</x:v>
      </x:c>
      <x:c r="AT703" s="14"/>
      <x:c r="AU703" s="14"/>
      <x:c r="AV703" s="14" t="str">
        <x:v>No established apparent-disability match</x:v>
      </x:c>
      <x:c r="AW703" s="14"/>
      <x:c r="AX703" s="14" t="str">
        <x:v>No</x:v>
      </x:c>
      <x:c r="AY703" s="14" t="str">
        <x:v>Unmatched</x:v>
      </x:c>
      <x:c r="AZ703" s="14" t="str">
        <x:v>Final supplied register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28</x:v>
      </x:c>
      <x:c r="BP703" s="14" t="str">
        <x:v>Maximum eligible IMDb cast-credit total (28), shared by 4 performer(s); not independently verified as a 2021-only episode total.</x:v>
      </x:c>
      <x:c r="BQ703" s="14" t="str">
        <x:v>Medium</x:v>
      </x:c>
      <x:c r="BR703" s="15" t="n">
        <x:v>1</x:v>
      </x:c>
      <x:c r="BS703" s="16" t="n">
        <x:v>0.03571428571428571</x:v>
      </x:c>
      <x:c r="BT703" s="14" t="str">
        <x:v>One episode</x:v>
      </x:c>
      <x:c r="BU703" s="14" t="str">
        <x:v>Medium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tt15499118|nm2336071|otto moncrief</x:v>
      </x:c>
      <x:c r="B704" s="14" t="str">
        <x:v>03</x:v>
      </x:c>
      <x:c r="C704" s="14" t="str">
        <x:v>2021_IMDb_Cast_Lists_Batch_03(1).xlsx</x:v>
      </x:c>
      <x:c r="D704" s="14" t="str">
        <x:v>The Madame Blanc Mysteries</x:v>
      </x:c>
      <x:c r="E704" s="14" t="n">
        <x:v>106</x:v>
      </x:c>
      <x:c r="F704" s="14" t="str">
        <x:v>The Madame Blanc Mysteries</x:v>
      </x:c>
      <x:c r="G704" s="14" t="str">
        <x:v>tt15499118</x:v>
      </x:c>
      <x:c r="H704" s="14" t="n">
        <x:v>2021</x:v>
      </x:c>
      <x:c r="I704" s="14" t="n">
        <x:v>2023</x:v>
      </x:c>
      <x:c r="J704" s="14" t="str">
        <x:v>Future Carry-Forward Cohort</x:v>
      </x:c>
      <x:c r="K704" s="14" t="n">
        <x:v>2021</x:v>
      </x:c>
      <x:c r="L704" s="14" t="str">
        <x:v>Available from 2021 analysis</x:v>
      </x:c>
      <x:c r="M704" s="15" t="n">
        <x:v>99</x:v>
      </x:c>
      <x:c r="N704" s="14" t="str">
        <x:v>Mat Laroche</x:v>
      </x:c>
      <x:c r="O704" s="14" t="str">
        <x:v>nm2336071</x:v>
      </x:c>
      <x:c r="P704" s="14" t="str">
        <x:v>Otto Moncrief</x:v>
      </x:c>
      <x:c r="Q704" s="15" t="n">
        <x:v>1</x:v>
      </x:c>
      <x:c r="R704" s="14" t="str">
        <x:v>2025</x:v>
      </x:c>
      <x:c r="S704" s="14" t="n">
        <x:v>2025</x:v>
      </x:c>
      <x:c r="T704" s="14" t="n">
        <x:v>2025</x:v>
      </x:c>
      <x:c r="U704" s="14" t="str">
        <x:v>Post-2021 casting excluded</x:v>
      </x:c>
      <x:c r="V704" s="14" t="str">
        <x:v>Earliest supplied year is 2025, later than the 2021 study year.</x:v>
      </x:c>
      <x:c r="W704" s="14"/>
      <x:c r="X704" s="14" t="str">
        <x:v>Carried forward to 2025</x:v>
      </x:c>
      <x:c r="Y704" s="14"/>
      <x:c r="Z704" s="14" t="str">
        <x:v>The Madame Blanc Mysteries.docx</x:v>
      </x:c>
      <x:c r="AA70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Channel 5 / 5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 t="str">
        <x:v>No established-register match</x:v>
      </x:c>
      <x:c r="AT704" s="14"/>
      <x:c r="AU704" s="14"/>
      <x:c r="AV704" s="14" t="str">
        <x:v>No established apparent-disability match</x:v>
      </x:c>
      <x:c r="AW704" s="14"/>
      <x:c r="AX704" s="14" t="str">
        <x:v>No</x:v>
      </x:c>
      <x:c r="AY704" s="14" t="str">
        <x:v>Unmatched</x:v>
      </x:c>
      <x:c r="AZ704" s="14" t="str">
        <x:v>Final supplied register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28</x:v>
      </x:c>
      <x:c r="BP704" s="14" t="str">
        <x:v>Maximum eligible IMDb cast-credit total (28), shared by 4 performer(s); not independently verified as a 2021-only episode total.</x:v>
      </x:c>
      <x:c r="BQ704" s="14" t="str">
        <x:v>Medium</x:v>
      </x:c>
      <x:c r="BR704" s="15" t="n">
        <x:v>1</x:v>
      </x:c>
      <x:c r="BS704" s="16" t="n">
        <x:v>0.03571428571428571</x:v>
      </x:c>
      <x:c r="BT704" s="14" t="str">
        <x:v>One episode</x:v>
      </x:c>
      <x:c r="BU704" s="14" t="str">
        <x:v>Medium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tt15499118|nm1353802|nicholas arlez</x:v>
      </x:c>
      <x:c r="B705" s="14" t="str">
        <x:v>03</x:v>
      </x:c>
      <x:c r="C705" s="14" t="str">
        <x:v>2021_IMDb_Cast_Lists_Batch_03(1).xlsx</x:v>
      </x:c>
      <x:c r="D705" s="14" t="str">
        <x:v>The Madame Blanc Mysteries</x:v>
      </x:c>
      <x:c r="E705" s="14" t="n">
        <x:v>107</x:v>
      </x:c>
      <x:c r="F705" s="14" t="str">
        <x:v>The Madame Blanc Mysteries</x:v>
      </x:c>
      <x:c r="G705" s="14" t="str">
        <x:v>tt15499118</x:v>
      </x:c>
      <x:c r="H705" s="14" t="n">
        <x:v>2021</x:v>
      </x:c>
      <x:c r="I705" s="14" t="n">
        <x:v>2023</x:v>
      </x:c>
      <x:c r="J705" s="14" t="str">
        <x:v>Future Carry-Forward Cohort</x:v>
      </x:c>
      <x:c r="K705" s="14" t="n">
        <x:v>2021</x:v>
      </x:c>
      <x:c r="L705" s="14" t="str">
        <x:v>Available from 2021 analysis</x:v>
      </x:c>
      <x:c r="M705" s="15" t="n">
        <x:v>100</x:v>
      </x:c>
      <x:c r="N705" s="14" t="str">
        <x:v>Dan March</x:v>
      </x:c>
      <x:c r="O705" s="14" t="str">
        <x:v>nm1353802</x:v>
      </x:c>
      <x:c r="P705" s="14" t="str">
        <x:v>Nicholas Arlez</x:v>
      </x:c>
      <x:c r="Q705" s="15" t="n">
        <x:v>1</x:v>
      </x:c>
      <x:c r="R705" s="14" t="str">
        <x:v>2025</x:v>
      </x:c>
      <x:c r="S705" s="14" t="n">
        <x:v>2025</x:v>
      </x:c>
      <x:c r="T705" s="14" t="n">
        <x:v>2025</x:v>
      </x:c>
      <x:c r="U705" s="14" t="str">
        <x:v>Post-2021 casting excluded</x:v>
      </x:c>
      <x:c r="V705" s="14" t="str">
        <x:v>Earliest supplied year is 2025, later than the 2021 study year.</x:v>
      </x:c>
      <x:c r="W705" s="14"/>
      <x:c r="X705" s="14" t="str">
        <x:v>Carried forward to 2025</x:v>
      </x:c>
      <x:c r="Y705" s="14"/>
      <x:c r="Z705" s="14" t="str">
        <x:v>The Madame Blanc Mysteries.docx</x:v>
      </x:c>
      <x:c r="AA70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Channel 5 / 5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 t="str">
        <x:v>No established-register match</x:v>
      </x:c>
      <x:c r="AT705" s="14"/>
      <x:c r="AU705" s="14"/>
      <x:c r="AV705" s="14" t="str">
        <x:v>No established apparent-disability match</x:v>
      </x:c>
      <x:c r="AW705" s="14"/>
      <x:c r="AX705" s="14" t="str">
        <x:v>No</x:v>
      </x:c>
      <x:c r="AY705" s="14" t="str">
        <x:v>Unmatched</x:v>
      </x:c>
      <x:c r="AZ705" s="14" t="str">
        <x:v>Final supplied register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28</x:v>
      </x:c>
      <x:c r="BP705" s="14" t="str">
        <x:v>Maximum eligible IMDb cast-credit total (28), shared by 4 performer(s); not independently verified as a 2021-only episode total.</x:v>
      </x:c>
      <x:c r="BQ705" s="14" t="str">
        <x:v>Medium</x:v>
      </x:c>
      <x:c r="BR705" s="15" t="n">
        <x:v>1</x:v>
      </x:c>
      <x:c r="BS705" s="16" t="n">
        <x:v>0.03571428571428571</x:v>
      </x:c>
      <x:c r="BT705" s="14" t="str">
        <x:v>One episode</x:v>
      </x:c>
      <x:c r="BU705" s="14" t="str">
        <x:v>Medium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tt15499118|nm1658459|paul</x:v>
      </x:c>
      <x:c r="B706" s="14" t="str">
        <x:v>03</x:v>
      </x:c>
      <x:c r="C706" s="14" t="str">
        <x:v>2021_IMDb_Cast_Lists_Batch_03(1).xlsx</x:v>
      </x:c>
      <x:c r="D706" s="14" t="str">
        <x:v>The Madame Blanc Mysteries</x:v>
      </x:c>
      <x:c r="E706" s="14" t="n">
        <x:v>112</x:v>
      </x:c>
      <x:c r="F706" s="14" t="str">
        <x:v>The Madame Blanc Mysteries</x:v>
      </x:c>
      <x:c r="G706" s="14" t="str">
        <x:v>tt15499118</x:v>
      </x:c>
      <x:c r="H706" s="14" t="n">
        <x:v>2021</x:v>
      </x:c>
      <x:c r="I706" s="14" t="n">
        <x:v>2023</x:v>
      </x:c>
      <x:c r="J706" s="14" t="str">
        <x:v>Future Carry-Forward Cohort</x:v>
      </x:c>
      <x:c r="K706" s="14" t="n">
        <x:v>2021</x:v>
      </x:c>
      <x:c r="L706" s="14" t="str">
        <x:v>Available from 2021 analysis</x:v>
      </x:c>
      <x:c r="M706" s="15" t="n">
        <x:v>105</x:v>
      </x:c>
      <x:c r="N706" s="14" t="str">
        <x:v>Edward MacLiam</x:v>
      </x:c>
      <x:c r="O706" s="14" t="str">
        <x:v>nm1658459</x:v>
      </x:c>
      <x:c r="P706" s="14" t="str">
        <x:v>Paul</x:v>
      </x:c>
      <x:c r="Q706" s="15" t="n">
        <x:v>1</x:v>
      </x:c>
      <x:c r="R706" s="14" t="str">
        <x:v>2025</x:v>
      </x:c>
      <x:c r="S706" s="14" t="n">
        <x:v>2025</x:v>
      </x:c>
      <x:c r="T706" s="14" t="n">
        <x:v>2025</x:v>
      </x:c>
      <x:c r="U706" s="14" t="str">
        <x:v>Post-2021 casting excluded</x:v>
      </x:c>
      <x:c r="V706" s="14" t="str">
        <x:v>Earliest supplied year is 2025, later than the 2021 study year.</x:v>
      </x:c>
      <x:c r="W706" s="14"/>
      <x:c r="X706" s="14" t="str">
        <x:v>Carried forward to 2025</x:v>
      </x:c>
      <x:c r="Y706" s="14"/>
      <x:c r="Z706" s="14" t="str">
        <x:v>The Madame Blanc Mysteries.docx</x:v>
      </x:c>
      <x:c r="AA70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Channel 5 / 5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 t="str">
        <x:v>No established-register match</x:v>
      </x:c>
      <x:c r="AT706" s="14"/>
      <x:c r="AU706" s="14"/>
      <x:c r="AV706" s="14" t="str">
        <x:v>No established apparent-disability match</x:v>
      </x:c>
      <x:c r="AW706" s="14"/>
      <x:c r="AX706" s="14" t="str">
        <x:v>No</x:v>
      </x:c>
      <x:c r="AY706" s="14" t="str">
        <x:v>Unmatched</x:v>
      </x:c>
      <x:c r="AZ706" s="14" t="str">
        <x:v>Final supplied register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28</x:v>
      </x:c>
      <x:c r="BP706" s="14" t="str">
        <x:v>Maximum eligible IMDb cast-credit total (28), shared by 4 performer(s); not independently verified as a 2021-only episode total.</x:v>
      </x:c>
      <x:c r="BQ706" s="14" t="str">
        <x:v>Medium</x:v>
      </x:c>
      <x:c r="BR706" s="15" t="n">
        <x:v>1</x:v>
      </x:c>
      <x:c r="BS706" s="16" t="n">
        <x:v>0.03571428571428571</x:v>
      </x:c>
      <x:c r="BT706" s="14" t="str">
        <x:v>One episode</x:v>
      </x:c>
      <x:c r="BU706" s="14" t="str">
        <x:v>Medium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tt15499118|nm0552796|marie</x:v>
      </x:c>
      <x:c r="B707" s="14" t="str">
        <x:v>03</x:v>
      </x:c>
      <x:c r="C707" s="14" t="str">
        <x:v>2021_IMDb_Cast_Lists_Batch_03(1).xlsx</x:v>
      </x:c>
      <x:c r="D707" s="14" t="str">
        <x:v>The Madame Blanc Mysteries</x:v>
      </x:c>
      <x:c r="E707" s="14" t="n">
        <x:v>113</x:v>
      </x:c>
      <x:c r="F707" s="14" t="str">
        <x:v>The Madame Blanc Mysteries</x:v>
      </x:c>
      <x:c r="G707" s="14" t="str">
        <x:v>tt15499118</x:v>
      </x:c>
      <x:c r="H707" s="14" t="n">
        <x:v>2021</x:v>
      </x:c>
      <x:c r="I707" s="14" t="n">
        <x:v>2023</x:v>
      </x:c>
      <x:c r="J707" s="14" t="str">
        <x:v>Future Carry-Forward Cohort</x:v>
      </x:c>
      <x:c r="K707" s="14" t="n">
        <x:v>2021</x:v>
      </x:c>
      <x:c r="L707" s="14" t="str">
        <x:v>Available from 2021 analysis</x:v>
      </x:c>
      <x:c r="M707" s="15" t="n">
        <x:v>106</x:v>
      </x:c>
      <x:c r="N707" s="14" t="str">
        <x:v>Michelle Martin</x:v>
      </x:c>
      <x:c r="O707" s="14" t="str">
        <x:v>nm0552796</x:v>
      </x:c>
      <x:c r="P707" s="14" t="str">
        <x:v>Marie</x:v>
      </x:c>
      <x:c r="Q707" s="15" t="n">
        <x:v>1</x:v>
      </x:c>
      <x:c r="R707" s="14" t="str">
        <x:v>2025</x:v>
      </x:c>
      <x:c r="S707" s="14" t="n">
        <x:v>2025</x:v>
      </x:c>
      <x:c r="T707" s="14" t="n">
        <x:v>2025</x:v>
      </x:c>
      <x:c r="U707" s="14" t="str">
        <x:v>Post-2021 casting excluded</x:v>
      </x:c>
      <x:c r="V707" s="14" t="str">
        <x:v>Earliest supplied year is 2025, later than the 2021 study year.</x:v>
      </x:c>
      <x:c r="W707" s="14"/>
      <x:c r="X707" s="14" t="str">
        <x:v>Carried forward to 2025</x:v>
      </x:c>
      <x:c r="Y707" s="14"/>
      <x:c r="Z707" s="14" t="str">
        <x:v>The Madame Blanc Mysteries.docx</x:v>
      </x:c>
      <x:c r="AA70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Channel 5 / 5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 t="str">
        <x:v>No established-register match</x:v>
      </x:c>
      <x:c r="AT707" s="14"/>
      <x:c r="AU707" s="14"/>
      <x:c r="AV707" s="14" t="str">
        <x:v>No established apparent-disability match</x:v>
      </x:c>
      <x:c r="AW707" s="14"/>
      <x:c r="AX707" s="14" t="str">
        <x:v>No</x:v>
      </x:c>
      <x:c r="AY707" s="14" t="str">
        <x:v>Unmatched</x:v>
      </x:c>
      <x:c r="AZ707" s="14" t="str">
        <x:v>Final supplied register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28</x:v>
      </x:c>
      <x:c r="BP707" s="14" t="str">
        <x:v>Maximum eligible IMDb cast-credit total (28), shared by 4 performer(s); not independently verified as a 2021-only episode total.</x:v>
      </x:c>
      <x:c r="BQ707" s="14" t="str">
        <x:v>Medium</x:v>
      </x:c>
      <x:c r="BR707" s="15" t="n">
        <x:v>1</x:v>
      </x:c>
      <x:c r="BS707" s="16" t="n">
        <x:v>0.03571428571428571</x:v>
      </x:c>
      <x:c r="BT707" s="14" t="str">
        <x:v>One episode</x:v>
      </x:c>
      <x:c r="BU707" s="14" t="str">
        <x:v>Medium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tt15499118|nm11784683|ellie</x:v>
      </x:c>
      <x:c r="B708" s="14" t="str">
        <x:v>03</x:v>
      </x:c>
      <x:c r="C708" s="14" t="str">
        <x:v>2021_IMDb_Cast_Lists_Batch_03(1).xlsx</x:v>
      </x:c>
      <x:c r="D708" s="14" t="str">
        <x:v>The Madame Blanc Mysteries</x:v>
      </x:c>
      <x:c r="E708" s="14" t="n">
        <x:v>120</x:v>
      </x:c>
      <x:c r="F708" s="14" t="str">
        <x:v>The Madame Blanc Mysteries</x:v>
      </x:c>
      <x:c r="G708" s="14" t="str">
        <x:v>tt15499118</x:v>
      </x:c>
      <x:c r="H708" s="14" t="n">
        <x:v>2021</x:v>
      </x:c>
      <x:c r="I708" s="14" t="n">
        <x:v>2023</x:v>
      </x:c>
      <x:c r="J708" s="14" t="str">
        <x:v>Future Carry-Forward Cohort</x:v>
      </x:c>
      <x:c r="K708" s="14" t="n">
        <x:v>2021</x:v>
      </x:c>
      <x:c r="L708" s="14" t="str">
        <x:v>Available from 2021 analysis</x:v>
      </x:c>
      <x:c r="M708" s="15" t="n">
        <x:v>113</x:v>
      </x:c>
      <x:c r="N708" s="14" t="str">
        <x:v>Jacqueline Moré</x:v>
      </x:c>
      <x:c r="O708" s="14" t="str">
        <x:v>nm11784683</x:v>
      </x:c>
      <x:c r="P708" s="14" t="str">
        <x:v>Ellie</x:v>
      </x:c>
      <x:c r="Q708" s="15" t="n">
        <x:v>1</x:v>
      </x:c>
      <x:c r="R708" s="14" t="str">
        <x:v>2025</x:v>
      </x:c>
      <x:c r="S708" s="14" t="n">
        <x:v>2025</x:v>
      </x:c>
      <x:c r="T708" s="14" t="n">
        <x:v>2025</x:v>
      </x:c>
      <x:c r="U708" s="14" t="str">
        <x:v>Post-2021 casting excluded</x:v>
      </x:c>
      <x:c r="V708" s="14" t="str">
        <x:v>Earliest supplied year is 2025, later than the 2021 study year.</x:v>
      </x:c>
      <x:c r="W708" s="14"/>
      <x:c r="X708" s="14" t="str">
        <x:v>Carried forward to 2025</x:v>
      </x:c>
      <x:c r="Y708" s="14"/>
      <x:c r="Z708" s="14" t="str">
        <x:v>The Madame Blanc Mysteries.docx</x:v>
      </x:c>
      <x:c r="AA70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Channel 5 / 5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 t="str">
        <x:v>No established-register match</x:v>
      </x:c>
      <x:c r="AT708" s="14"/>
      <x:c r="AU708" s="14"/>
      <x:c r="AV708" s="14" t="str">
        <x:v>No established apparent-disability match</x:v>
      </x:c>
      <x:c r="AW708" s="14"/>
      <x:c r="AX708" s="14" t="str">
        <x:v>No</x:v>
      </x:c>
      <x:c r="AY708" s="14" t="str">
        <x:v>Unmatched</x:v>
      </x:c>
      <x:c r="AZ708" s="14" t="str">
        <x:v>Final supplied register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28</x:v>
      </x:c>
      <x:c r="BP708" s="14" t="str">
        <x:v>Maximum eligible IMDb cast-credit total (28), shared by 4 performer(s); not independently verified as a 2021-only episode total.</x:v>
      </x:c>
      <x:c r="BQ708" s="14" t="str">
        <x:v>Medium</x:v>
      </x:c>
      <x:c r="BR708" s="15" t="n">
        <x:v>1</x:v>
      </x:c>
      <x:c r="BS708" s="16" t="n">
        <x:v>0.03571428571428571</x:v>
      </x:c>
      <x:c r="BT708" s="14" t="str">
        <x:v>One episode</x:v>
      </x:c>
      <x:c r="BU708" s="14" t="str">
        <x:v>Medium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tt15499118|nm0622505|antoine lefevre</x:v>
      </x:c>
      <x:c r="B709" s="14" t="str">
        <x:v>03</x:v>
      </x:c>
      <x:c r="C709" s="14" t="str">
        <x:v>2021_IMDb_Cast_Lists_Batch_03(1).xlsx</x:v>
      </x:c>
      <x:c r="D709" s="14" t="str">
        <x:v>The Madame Blanc Mysteries</x:v>
      </x:c>
      <x:c r="E709" s="14" t="n">
        <x:v>121</x:v>
      </x:c>
      <x:c r="F709" s="14" t="str">
        <x:v>The Madame Blanc Mysteries</x:v>
      </x:c>
      <x:c r="G709" s="14" t="str">
        <x:v>tt15499118</x:v>
      </x:c>
      <x:c r="H709" s="14" t="n">
        <x:v>2021</x:v>
      </x:c>
      <x:c r="I709" s="14" t="n">
        <x:v>2023</x:v>
      </x:c>
      <x:c r="J709" s="14" t="str">
        <x:v>Future Carry-Forward Cohort</x:v>
      </x:c>
      <x:c r="K709" s="14" t="n">
        <x:v>2021</x:v>
      </x:c>
      <x:c r="L709" s="14" t="str">
        <x:v>Available from 2021 analysis</x:v>
      </x:c>
      <x:c r="M709" s="15" t="n">
        <x:v>114</x:v>
      </x:c>
      <x:c r="N709" s="14" t="str">
        <x:v>Nicky Naudé</x:v>
      </x:c>
      <x:c r="O709" s="14" t="str">
        <x:v>nm0622505</x:v>
      </x:c>
      <x:c r="P709" s="14" t="str">
        <x:v>Antoine Lefevre</x:v>
      </x:c>
      <x:c r="Q709" s="15" t="n">
        <x:v>1</x:v>
      </x:c>
      <x:c r="R709" s="14" t="str">
        <x:v>2025</x:v>
      </x:c>
      <x:c r="S709" s="14" t="n">
        <x:v>2025</x:v>
      </x:c>
      <x:c r="T709" s="14" t="n">
        <x:v>2025</x:v>
      </x:c>
      <x:c r="U709" s="14" t="str">
        <x:v>Post-2021 casting excluded</x:v>
      </x:c>
      <x:c r="V709" s="14" t="str">
        <x:v>Earliest supplied year is 2025, later than the 2021 study year.</x:v>
      </x:c>
      <x:c r="W709" s="14"/>
      <x:c r="X709" s="14" t="str">
        <x:v>Carried forward to 2025</x:v>
      </x:c>
      <x:c r="Y709" s="14"/>
      <x:c r="Z709" s="14" t="str">
        <x:v>The Madame Blanc Mysteries.docx</x:v>
      </x:c>
      <x:c r="AA70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Channel 5 / 5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 t="str">
        <x:v>No established-register match</x:v>
      </x:c>
      <x:c r="AT709" s="14"/>
      <x:c r="AU709" s="14"/>
      <x:c r="AV709" s="14" t="str">
        <x:v>No established apparent-disability match</x:v>
      </x:c>
      <x:c r="AW709" s="14"/>
      <x:c r="AX709" s="14" t="str">
        <x:v>No</x:v>
      </x:c>
      <x:c r="AY709" s="14" t="str">
        <x:v>Unmatched</x:v>
      </x:c>
      <x:c r="AZ709" s="14" t="str">
        <x:v>Final supplied register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28</x:v>
      </x:c>
      <x:c r="BP709" s="14" t="str">
        <x:v>Maximum eligible IMDb cast-credit total (28), shared by 4 performer(s); not independently verified as a 2021-only episode total.</x:v>
      </x:c>
      <x:c r="BQ709" s="14" t="str">
        <x:v>Medium</x:v>
      </x:c>
      <x:c r="BR709" s="15" t="n">
        <x:v>1</x:v>
      </x:c>
      <x:c r="BS709" s="16" t="n">
        <x:v>0.03571428571428571</x:v>
      </x:c>
      <x:c r="BT709" s="14" t="str">
        <x:v>One episode</x:v>
      </x:c>
      <x:c r="BU709" s="14" t="str">
        <x:v>Medium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tt15499118|nm17164267|fifi</x:v>
      </x:c>
      <x:c r="B710" s="14" t="str">
        <x:v>03</x:v>
      </x:c>
      <x:c r="C710" s="14" t="str">
        <x:v>2021_IMDb_Cast_Lists_Batch_03(1).xlsx</x:v>
      </x:c>
      <x:c r="D710" s="14" t="str">
        <x:v>The Madame Blanc Mysteries</x:v>
      </x:c>
      <x:c r="E710" s="14" t="n">
        <x:v>122</x:v>
      </x:c>
      <x:c r="F710" s="14" t="str">
        <x:v>The Madame Blanc Mysteries</x:v>
      </x:c>
      <x:c r="G710" s="14" t="str">
        <x:v>tt15499118</x:v>
      </x:c>
      <x:c r="H710" s="14" t="n">
        <x:v>2021</x:v>
      </x:c>
      <x:c r="I710" s="14" t="n">
        <x:v>2023</x:v>
      </x:c>
      <x:c r="J710" s="14" t="str">
        <x:v>Future Carry-Forward Cohort</x:v>
      </x:c>
      <x:c r="K710" s="14" t="n">
        <x:v>2021</x:v>
      </x:c>
      <x:c r="L710" s="14" t="str">
        <x:v>Available from 2021 analysis</x:v>
      </x:c>
      <x:c r="M710" s="15" t="n">
        <x:v>115</x:v>
      </x:c>
      <x:c r="N710" s="14" t="str">
        <x:v>Marcella Teuma</x:v>
      </x:c>
      <x:c r="O710" s="14" t="str">
        <x:v>nm17164267</x:v>
      </x:c>
      <x:c r="P710" s="14" t="str">
        <x:v>Fifi</x:v>
      </x:c>
      <x:c r="Q710" s="15" t="n">
        <x:v>1</x:v>
      </x:c>
      <x:c r="R710" s="14" t="str">
        <x:v>2025</x:v>
      </x:c>
      <x:c r="S710" s="14" t="n">
        <x:v>2025</x:v>
      </x:c>
      <x:c r="T710" s="14" t="n">
        <x:v>2025</x:v>
      </x:c>
      <x:c r="U710" s="14" t="str">
        <x:v>Post-2021 casting excluded</x:v>
      </x:c>
      <x:c r="V710" s="14" t="str">
        <x:v>Earliest supplied year is 2025, later than the 2021 study year.</x:v>
      </x:c>
      <x:c r="W710" s="14"/>
      <x:c r="X710" s="14" t="str">
        <x:v>Carried forward to 2025</x:v>
      </x:c>
      <x:c r="Y710" s="14"/>
      <x:c r="Z710" s="14" t="str">
        <x:v>The Madame Blanc Mysteries.docx</x:v>
      </x:c>
      <x:c r="AA71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Channel 5 / 5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 t="str">
        <x:v>No established-register match</x:v>
      </x:c>
      <x:c r="AT710" s="14"/>
      <x:c r="AU710" s="14"/>
      <x:c r="AV710" s="14" t="str">
        <x:v>No established apparent-disability match</x:v>
      </x:c>
      <x:c r="AW710" s="14"/>
      <x:c r="AX710" s="14" t="str">
        <x:v>No</x:v>
      </x:c>
      <x:c r="AY710" s="14" t="str">
        <x:v>Unmatched</x:v>
      </x:c>
      <x:c r="AZ710" s="14" t="str">
        <x:v>Final supplied register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28</x:v>
      </x:c>
      <x:c r="BP710" s="14" t="str">
        <x:v>Maximum eligible IMDb cast-credit total (28), shared by 4 performer(s); not independently verified as a 2021-only episode total.</x:v>
      </x:c>
      <x:c r="BQ710" s="14" t="str">
        <x:v>Medium</x:v>
      </x:c>
      <x:c r="BR710" s="15" t="n">
        <x:v>1</x:v>
      </x:c>
      <x:c r="BS710" s="16" t="n">
        <x:v>0.03571428571428571</x:v>
      </x:c>
      <x:c r="BT710" s="14" t="str">
        <x:v>One episode</x:v>
      </x:c>
      <x:c r="BU710" s="14" t="str">
        <x:v>Medium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tt15499118|nm3296197|mr. attard</x:v>
      </x:c>
      <x:c r="B711" s="14" t="str">
        <x:v>03</x:v>
      </x:c>
      <x:c r="C711" s="14" t="str">
        <x:v>2021_IMDb_Cast_Lists_Batch_03(1).xlsx</x:v>
      </x:c>
      <x:c r="D711" s="14" t="str">
        <x:v>The Madame Blanc Mysteries</x:v>
      </x:c>
      <x:c r="E711" s="14" t="n">
        <x:v>123</x:v>
      </x:c>
      <x:c r="F711" s="14" t="str">
        <x:v>The Madame Blanc Mysteries</x:v>
      </x:c>
      <x:c r="G711" s="14" t="str">
        <x:v>tt15499118</x:v>
      </x:c>
      <x:c r="H711" s="14" t="n">
        <x:v>2021</x:v>
      </x:c>
      <x:c r="I711" s="14" t="n">
        <x:v>2023</x:v>
      </x:c>
      <x:c r="J711" s="14" t="str">
        <x:v>Future Carry-Forward Cohort</x:v>
      </x:c>
      <x:c r="K711" s="14" t="n">
        <x:v>2021</x:v>
      </x:c>
      <x:c r="L711" s="14" t="str">
        <x:v>Available from 2021 analysis</x:v>
      </x:c>
      <x:c r="M711" s="15" t="n">
        <x:v>116</x:v>
      </x:c>
      <x:c r="N711" s="14" t="str">
        <x:v>Charles Sammut</x:v>
      </x:c>
      <x:c r="O711" s="14" t="str">
        <x:v>nm3296197</x:v>
      </x:c>
      <x:c r="P711" s="14" t="str">
        <x:v>Mr. Attard</x:v>
      </x:c>
      <x:c r="Q711" s="15" t="n">
        <x:v>1</x:v>
      </x:c>
      <x:c r="R711" s="14" t="str">
        <x:v>2025</x:v>
      </x:c>
      <x:c r="S711" s="14" t="n">
        <x:v>2025</x:v>
      </x:c>
      <x:c r="T711" s="14" t="n">
        <x:v>2025</x:v>
      </x:c>
      <x:c r="U711" s="14" t="str">
        <x:v>Post-2021 casting excluded</x:v>
      </x:c>
      <x:c r="V711" s="14" t="str">
        <x:v>Earliest supplied year is 2025, later than the 2021 study year.</x:v>
      </x:c>
      <x:c r="W711" s="14"/>
      <x:c r="X711" s="14" t="str">
        <x:v>Carried forward to 2025</x:v>
      </x:c>
      <x:c r="Y711" s="14" t="str">
        <x:v>(as Carmel Sammut)</x:v>
      </x:c>
      <x:c r="Z711" s="14" t="str">
        <x:v>The Madame Blanc Mysteries.docx</x:v>
      </x:c>
      <x:c r="AA7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1" s="14" t="str">
        <x:v>No established-register match</x:v>
      </x:c>
      <x:c r="AC711" s="14"/>
      <x:c r="AD711" s="14"/>
      <x:c r="AE711" s="14"/>
      <x:c r="AF711" s="14"/>
      <x:c r="AG711" s="14" t="str">
        <x:v>No qualifying conclusion recorded. Absence from the register is not evidence that the performer is not disabled.</x:v>
      </x:c>
      <x:c r="AH711" s="14" t="str">
        <x:v>Channel 5 / 5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No established-register match</x:v>
      </x:c>
      <x:c r="AT711" s="14"/>
      <x:c r="AU711" s="14"/>
      <x:c r="AV711" s="14" t="str">
        <x:v>No established apparent-disability match</x:v>
      </x:c>
      <x:c r="AW711" s="14"/>
      <x:c r="AX711" s="14" t="str">
        <x:v>No</x:v>
      </x:c>
      <x:c r="AY711" s="14" t="str">
        <x:v>Unmatched</x:v>
      </x:c>
      <x:c r="AZ711" s="14" t="str">
        <x:v>Final supplied register</x:v>
      </x:c>
      <x:c r="BA711" s="14" t="str">
        <x:v>Absence from the register is not evidence that the performer is not disabled.</x:v>
      </x:c>
      <x:c r="BB711" s="14" t="str">
        <x:v>No established-register match</x:v>
      </x:c>
      <x:c r="BC711" s="14"/>
      <x:c r="BD711" s="14"/>
      <x:c r="BE711" s="14"/>
      <x:c r="BF711" s="14" t="str">
        <x:v>No established apparent-disability match</x:v>
      </x:c>
      <x:c r="BG711" s="14"/>
      <x:c r="BH711" s="14" t="str">
        <x:v>No</x:v>
      </x:c>
      <x:c r="BI711" s="14"/>
      <x:c r="BJ711" s="14"/>
      <x:c r="BK711" s="14"/>
      <x:c r="BL711" s="14" t="str">
        <x:v>Unmatched</x:v>
      </x:c>
      <x:c r="BM711" s="14" t="str">
        <x:v>Final supplied register</x:v>
      </x:c>
      <x:c r="BN711" s="14" t="str">
        <x:v>Absence from the register is not evidence that the performer is not disabled.</x:v>
      </x:c>
      <x:c r="BO711" s="14" t="n">
        <x:v>28</x:v>
      </x:c>
      <x:c r="BP711" s="14" t="str">
        <x:v>Maximum eligible IMDb cast-credit total (28), shared by 4 performer(s); not independently verified as a 2021-only episode total.</x:v>
      </x:c>
      <x:c r="BQ711" s="14" t="str">
        <x:v>Medium</x:v>
      </x:c>
      <x:c r="BR711" s="15" t="n">
        <x:v>1</x:v>
      </x:c>
      <x:c r="BS711" s="16" t="n">
        <x:v>0.03571428571428571</x:v>
      </x:c>
      <x:c r="BT711" s="14" t="str">
        <x:v>One episode</x:v>
      </x:c>
      <x:c r="BU711" s="14" t="str">
        <x:v>Medium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tt15499118|nm0694459|marilyn feo</x:v>
      </x:c>
      <x:c r="B712" s="14" t="str">
        <x:v>03</x:v>
      </x:c>
      <x:c r="C712" s="14" t="str">
        <x:v>2021_IMDb_Cast_Lists_Batch_03(1).xlsx</x:v>
      </x:c>
      <x:c r="D712" s="14" t="str">
        <x:v>The Madame Blanc Mysteries</x:v>
      </x:c>
      <x:c r="E712" s="14" t="n">
        <x:v>131</x:v>
      </x:c>
      <x:c r="F712" s="14" t="str">
        <x:v>The Madame Blanc Mysteries</x:v>
      </x:c>
      <x:c r="G712" s="14" t="str">
        <x:v>tt15499118</x:v>
      </x:c>
      <x:c r="H712" s="14" t="n">
        <x:v>2021</x:v>
      </x:c>
      <x:c r="I712" s="14" t="n">
        <x:v>2023</x:v>
      </x:c>
      <x:c r="J712" s="14" t="str">
        <x:v>Future Carry-Forward Cohort</x:v>
      </x:c>
      <x:c r="K712" s="14" t="n">
        <x:v>2021</x:v>
      </x:c>
      <x:c r="L712" s="14" t="str">
        <x:v>Available from 2021 analysis</x:v>
      </x:c>
      <x:c r="M712" s="15" t="n">
        <x:v>124</x:v>
      </x:c>
      <x:c r="N712" s="14" t="str">
        <x:v>Samantha Power</x:v>
      </x:c>
      <x:c r="O712" s="14" t="str">
        <x:v>nm0694459</x:v>
      </x:c>
      <x:c r="P712" s="14" t="str">
        <x:v>Marilyn Feo</x:v>
      </x:c>
      <x:c r="Q712" s="15" t="n">
        <x:v>1</x:v>
      </x:c>
      <x:c r="R712" s="14" t="str">
        <x:v>2025</x:v>
      </x:c>
      <x:c r="S712" s="14" t="n">
        <x:v>2025</x:v>
      </x:c>
      <x:c r="T712" s="14" t="n">
        <x:v>2025</x:v>
      </x:c>
      <x:c r="U712" s="14" t="str">
        <x:v>Post-2021 casting excluded</x:v>
      </x:c>
      <x:c r="V712" s="14" t="str">
        <x:v>Earliest supplied year is 2025, later than the 2021 study year.</x:v>
      </x:c>
      <x:c r="W712" s="14"/>
      <x:c r="X712" s="14" t="str">
        <x:v>Carried forward to 2025</x:v>
      </x:c>
      <x:c r="Y712" s="14"/>
      <x:c r="Z712" s="14" t="str">
        <x:v>The Madame Blanc Mysteries.docx</x:v>
      </x:c>
      <x:c r="AA7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Channel 5 / 5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 t="str">
        <x:v>No established-register match</x:v>
      </x:c>
      <x:c r="AT712" s="14"/>
      <x:c r="AU712" s="14"/>
      <x:c r="AV712" s="14" t="str">
        <x:v>No established apparent-disability match</x:v>
      </x:c>
      <x:c r="AW712" s="14"/>
      <x:c r="AX712" s="14" t="str">
        <x:v>No</x:v>
      </x:c>
      <x:c r="AY712" s="14" t="str">
        <x:v>Unmatched</x:v>
      </x:c>
      <x:c r="AZ712" s="14" t="str">
        <x:v>Final supplied register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28</x:v>
      </x:c>
      <x:c r="BP712" s="14" t="str">
        <x:v>Maximum eligible IMDb cast-credit total (28), shared by 4 performer(s); not independently verified as a 2021-only episode total.</x:v>
      </x:c>
      <x:c r="BQ712" s="14" t="str">
        <x:v>Medium</x:v>
      </x:c>
      <x:c r="BR712" s="15" t="n">
        <x:v>1</x:v>
      </x:c>
      <x:c r="BS712" s="16" t="n">
        <x:v>0.03571428571428571</x:v>
      </x:c>
      <x:c r="BT712" s="14" t="str">
        <x:v>One episode</x:v>
      </x:c>
      <x:c r="BU712" s="14" t="str">
        <x:v>Medium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tt15499118|nm4223008|yves condu</x:v>
      </x:c>
      <x:c r="B713" s="14" t="str">
        <x:v>03</x:v>
      </x:c>
      <x:c r="C713" s="14" t="str">
        <x:v>2021_IMDb_Cast_Lists_Batch_03(1).xlsx</x:v>
      </x:c>
      <x:c r="D713" s="14" t="str">
        <x:v>The Madame Blanc Mysteries</x:v>
      </x:c>
      <x:c r="E713" s="14" t="n">
        <x:v>132</x:v>
      </x:c>
      <x:c r="F713" s="14" t="str">
        <x:v>The Madame Blanc Mysteries</x:v>
      </x:c>
      <x:c r="G713" s="14" t="str">
        <x:v>tt15499118</x:v>
      </x:c>
      <x:c r="H713" s="14" t="n">
        <x:v>2021</x:v>
      </x:c>
      <x:c r="I713" s="14" t="n">
        <x:v>2023</x:v>
      </x:c>
      <x:c r="J713" s="14" t="str">
        <x:v>Future Carry-Forward Cohort</x:v>
      </x:c>
      <x:c r="K713" s="14" t="n">
        <x:v>2021</x:v>
      </x:c>
      <x:c r="L713" s="14" t="str">
        <x:v>Available from 2021 analysis</x:v>
      </x:c>
      <x:c r="M713" s="15" t="n">
        <x:v>125</x:v>
      </x:c>
      <x:c r="N713" s="14" t="str">
        <x:v>Thierry Picaut</x:v>
      </x:c>
      <x:c r="O713" s="14" t="str">
        <x:v>nm4223008</x:v>
      </x:c>
      <x:c r="P713" s="14" t="str">
        <x:v>Yves Condu</x:v>
      </x:c>
      <x:c r="Q713" s="15" t="n">
        <x:v>1</x:v>
      </x:c>
      <x:c r="R713" s="14" t="str">
        <x:v>2025</x:v>
      </x:c>
      <x:c r="S713" s="14" t="n">
        <x:v>2025</x:v>
      </x:c>
      <x:c r="T713" s="14" t="n">
        <x:v>2025</x:v>
      </x:c>
      <x:c r="U713" s="14" t="str">
        <x:v>Post-2021 casting excluded</x:v>
      </x:c>
      <x:c r="V713" s="14" t="str">
        <x:v>Earliest supplied year is 2025, later than the 2021 study year.</x:v>
      </x:c>
      <x:c r="W713" s="14"/>
      <x:c r="X713" s="14" t="str">
        <x:v>Carried forward to 2025</x:v>
      </x:c>
      <x:c r="Y713" s="14"/>
      <x:c r="Z713" s="14" t="str">
        <x:v>The Madame Blanc Mysteries.docx</x:v>
      </x:c>
      <x:c r="AA7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Channel 5 / 5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 t="str">
        <x:v>No established-register match</x:v>
      </x:c>
      <x:c r="AT713" s="14"/>
      <x:c r="AU713" s="14"/>
      <x:c r="AV713" s="14" t="str">
        <x:v>No established apparent-disability match</x:v>
      </x:c>
      <x:c r="AW713" s="14"/>
      <x:c r="AX713" s="14" t="str">
        <x:v>No</x:v>
      </x:c>
      <x:c r="AY713" s="14" t="str">
        <x:v>Unmatched</x:v>
      </x:c>
      <x:c r="AZ713" s="14" t="str">
        <x:v>Final supplied register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28</x:v>
      </x:c>
      <x:c r="BP713" s="14" t="str">
        <x:v>Maximum eligible IMDb cast-credit total (28), shared by 4 performer(s); not independently verified as a 2021-only episode total.</x:v>
      </x:c>
      <x:c r="BQ713" s="14" t="str">
        <x:v>Medium</x:v>
      </x:c>
      <x:c r="BR713" s="15" t="n">
        <x:v>1</x:v>
      </x:c>
      <x:c r="BS713" s="16" t="n">
        <x:v>0.03571428571428571</x:v>
      </x:c>
      <x:c r="BT713" s="14" t="str">
        <x:v>One episode</x:v>
      </x:c>
      <x:c r="BU713" s="14" t="str">
        <x:v>Medium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tt15499118|nm1042014|mrs. attard</x:v>
      </x:c>
      <x:c r="B714" s="14" t="str">
        <x:v>03</x:v>
      </x:c>
      <x:c r="C714" s="14" t="str">
        <x:v>2021_IMDb_Cast_Lists_Batch_03(1).xlsx</x:v>
      </x:c>
      <x:c r="D714" s="14" t="str">
        <x:v>The Madame Blanc Mysteries</x:v>
      </x:c>
      <x:c r="E714" s="14" t="n">
        <x:v>137</x:v>
      </x:c>
      <x:c r="F714" s="14" t="str">
        <x:v>The Madame Blanc Mysteries</x:v>
      </x:c>
      <x:c r="G714" s="14" t="str">
        <x:v>tt15499118</x:v>
      </x:c>
      <x:c r="H714" s="14" t="n">
        <x:v>2021</x:v>
      </x:c>
      <x:c r="I714" s="14" t="n">
        <x:v>2023</x:v>
      </x:c>
      <x:c r="J714" s="14" t="str">
        <x:v>Future Carry-Forward Cohort</x:v>
      </x:c>
      <x:c r="K714" s="14" t="n">
        <x:v>2021</x:v>
      </x:c>
      <x:c r="L714" s="14" t="str">
        <x:v>Available from 2021 analysis</x:v>
      </x:c>
      <x:c r="M714" s="15" t="n">
        <x:v>130</x:v>
      </x:c>
      <x:c r="N714" s="14" t="str">
        <x:v>Pia Zammit</x:v>
      </x:c>
      <x:c r="O714" s="14" t="str">
        <x:v>nm1042014</x:v>
      </x:c>
      <x:c r="P714" s="14" t="str">
        <x:v>Mrs. Attard</x:v>
      </x:c>
      <x:c r="Q714" s="15" t="n">
        <x:v>1</x:v>
      </x:c>
      <x:c r="R714" s="14" t="str">
        <x:v>2025</x:v>
      </x:c>
      <x:c r="S714" s="14" t="n">
        <x:v>2025</x:v>
      </x:c>
      <x:c r="T714" s="14" t="n">
        <x:v>2025</x:v>
      </x:c>
      <x:c r="U714" s="14" t="str">
        <x:v>Post-2021 casting excluded</x:v>
      </x:c>
      <x:c r="V714" s="14" t="str">
        <x:v>Earliest supplied year is 2025, later than the 2021 study year.</x:v>
      </x:c>
      <x:c r="W714" s="14"/>
      <x:c r="X714" s="14" t="str">
        <x:v>Carried forward to 2025</x:v>
      </x:c>
      <x:c r="Y714" s="14"/>
      <x:c r="Z714" s="14" t="str">
        <x:v>The Madame Blanc Mysteries.docx</x:v>
      </x:c>
      <x:c r="AA7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Channel 5 / 5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 t="str">
        <x:v>No established-register match</x:v>
      </x:c>
      <x:c r="AT714" s="14"/>
      <x:c r="AU714" s="14"/>
      <x:c r="AV714" s="14" t="str">
        <x:v>No established apparent-disability match</x:v>
      </x:c>
      <x:c r="AW714" s="14"/>
      <x:c r="AX714" s="14" t="str">
        <x:v>No</x:v>
      </x:c>
      <x:c r="AY714" s="14" t="str">
        <x:v>Unmatched</x:v>
      </x:c>
      <x:c r="AZ714" s="14" t="str">
        <x:v>Final supplied register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28</x:v>
      </x:c>
      <x:c r="BP714" s="14" t="str">
        <x:v>Maximum eligible IMDb cast-credit total (28), shared by 4 performer(s); not independently verified as a 2021-only episode total.</x:v>
      </x:c>
      <x:c r="BQ714" s="14" t="str">
        <x:v>Medium</x:v>
      </x:c>
      <x:c r="BR714" s="15" t="n">
        <x:v>1</x:v>
      </x:c>
      <x:c r="BS714" s="16" t="n">
        <x:v>0.03571428571428571</x:v>
      </x:c>
      <x:c r="BT714" s="14" t="str">
        <x:v>One episode</x:v>
      </x:c>
      <x:c r="BU714" s="14" t="str">
        <x:v>Medium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tt15499118|nm11782525|ines</x:v>
      </x:c>
      <x:c r="B715" s="14" t="str">
        <x:v>03</x:v>
      </x:c>
      <x:c r="C715" s="14" t="str">
        <x:v>2021_IMDb_Cast_Lists_Batch_03(1).xlsx</x:v>
      </x:c>
      <x:c r="D715" s="14" t="str">
        <x:v>The Madame Blanc Mysteries</x:v>
      </x:c>
      <x:c r="E715" s="14" t="n">
        <x:v>138</x:v>
      </x:c>
      <x:c r="F715" s="14" t="str">
        <x:v>The Madame Blanc Mysteries</x:v>
      </x:c>
      <x:c r="G715" s="14" t="str">
        <x:v>tt15499118</x:v>
      </x:c>
      <x:c r="H715" s="14" t="n">
        <x:v>2021</x:v>
      </x:c>
      <x:c r="I715" s="14" t="n">
        <x:v>2023</x:v>
      </x:c>
      <x:c r="J715" s="14" t="str">
        <x:v>Future Carry-Forward Cohort</x:v>
      </x:c>
      <x:c r="K715" s="14" t="n">
        <x:v>2021</x:v>
      </x:c>
      <x:c r="L715" s="14" t="str">
        <x:v>Available from 2021 analysis</x:v>
      </x:c>
      <x:c r="M715" s="15" t="n">
        <x:v>131</x:v>
      </x:c>
      <x:c r="N715" s="14" t="str">
        <x:v>Annabelle Williams</x:v>
      </x:c>
      <x:c r="O715" s="14" t="str">
        <x:v>nm11782525</x:v>
      </x:c>
      <x:c r="P715" s="14" t="str">
        <x:v>Ines</x:v>
      </x:c>
      <x:c r="Q715" s="15" t="n">
        <x:v>1</x:v>
      </x:c>
      <x:c r="R715" s="14" t="str">
        <x:v>2025</x:v>
      </x:c>
      <x:c r="S715" s="14" t="n">
        <x:v>2025</x:v>
      </x:c>
      <x:c r="T715" s="14" t="n">
        <x:v>2025</x:v>
      </x:c>
      <x:c r="U715" s="14" t="str">
        <x:v>Post-2021 casting excluded</x:v>
      </x:c>
      <x:c r="V715" s="14" t="str">
        <x:v>Earliest supplied year is 2025, later than the 2021 study year.</x:v>
      </x:c>
      <x:c r="W715" s="14"/>
      <x:c r="X715" s="14" t="str">
        <x:v>Carried forward to 2025</x:v>
      </x:c>
      <x:c r="Y715" s="14"/>
      <x:c r="Z715" s="14" t="str">
        <x:v>The Madame Blanc Mysteries.docx</x:v>
      </x:c>
      <x:c r="AA7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Channel 5 / 5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 t="str">
        <x:v>No established-register match</x:v>
      </x:c>
      <x:c r="AT715" s="14"/>
      <x:c r="AU715" s="14"/>
      <x:c r="AV715" s="14" t="str">
        <x:v>No established apparent-disability match</x:v>
      </x:c>
      <x:c r="AW715" s="14"/>
      <x:c r="AX715" s="14" t="str">
        <x:v>No</x:v>
      </x:c>
      <x:c r="AY715" s="14" t="str">
        <x:v>Unmatched</x:v>
      </x:c>
      <x:c r="AZ715" s="14" t="str">
        <x:v>Final supplied register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28</x:v>
      </x:c>
      <x:c r="BP715" s="14" t="str">
        <x:v>Maximum eligible IMDb cast-credit total (28), shared by 4 performer(s); not independently verified as a 2021-only episode total.</x:v>
      </x:c>
      <x:c r="BQ715" s="14" t="str">
        <x:v>Medium</x:v>
      </x:c>
      <x:c r="BR715" s="15" t="n">
        <x:v>1</x:v>
      </x:c>
      <x:c r="BS715" s="16" t="n">
        <x:v>0.03571428571428571</x:v>
      </x:c>
      <x:c r="BT715" s="14" t="str">
        <x:v>One episode</x:v>
      </x:c>
      <x:c r="BU715" s="14" t="str">
        <x:v>Medium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tt15499118|nm15183311|gaynor</x:v>
      </x:c>
      <x:c r="B716" s="14" t="str">
        <x:v>03</x:v>
      </x:c>
      <x:c r="C716" s="14" t="str">
        <x:v>2021_IMDb_Cast_Lists_Batch_03(1).xlsx</x:v>
      </x:c>
      <x:c r="D716" s="14" t="str">
        <x:v>The Madame Blanc Mysteries</x:v>
      </x:c>
      <x:c r="E716" s="14" t="n">
        <x:v>139</x:v>
      </x:c>
      <x:c r="F716" s="14" t="str">
        <x:v>The Madame Blanc Mysteries</x:v>
      </x:c>
      <x:c r="G716" s="14" t="str">
        <x:v>tt15499118</x:v>
      </x:c>
      <x:c r="H716" s="14" t="n">
        <x:v>2021</x:v>
      </x:c>
      <x:c r="I716" s="14" t="n">
        <x:v>2023</x:v>
      </x:c>
      <x:c r="J716" s="14" t="str">
        <x:v>Future Carry-Forward Cohort</x:v>
      </x:c>
      <x:c r="K716" s="14" t="n">
        <x:v>2021</x:v>
      </x:c>
      <x:c r="L716" s="14" t="str">
        <x:v>Available from 2021 analysis</x:v>
      </x:c>
      <x:c r="M716" s="15" t="n">
        <x:v>132</x:v>
      </x:c>
      <x:c r="N716" s="14" t="str">
        <x:v>Marelyn Pielago</x:v>
      </x:c>
      <x:c r="O716" s="14" t="str">
        <x:v>nm15183311</x:v>
      </x:c>
      <x:c r="P716" s="14" t="str">
        <x:v>Gaynor</x:v>
      </x:c>
      <x:c r="Q716" s="15" t="n">
        <x:v>1</x:v>
      </x:c>
      <x:c r="R716" s="14" t="str">
        <x:v>2025</x:v>
      </x:c>
      <x:c r="S716" s="14" t="n">
        <x:v>2025</x:v>
      </x:c>
      <x:c r="T716" s="14" t="n">
        <x:v>2025</x:v>
      </x:c>
      <x:c r="U716" s="14" t="str">
        <x:v>Post-2021 casting excluded</x:v>
      </x:c>
      <x:c r="V716" s="14" t="str">
        <x:v>Earliest supplied year is 2025, later than the 2021 study year.</x:v>
      </x:c>
      <x:c r="W716" s="14"/>
      <x:c r="X716" s="14" t="str">
        <x:v>Carried forward to 2025</x:v>
      </x:c>
      <x:c r="Y716" s="14"/>
      <x:c r="Z716" s="14" t="str">
        <x:v>The Madame Blanc Mysteries.docx</x:v>
      </x:c>
      <x:c r="AA7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Channel 5 / 5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 t="str">
        <x:v>No established-register match</x:v>
      </x:c>
      <x:c r="AT716" s="14"/>
      <x:c r="AU716" s="14"/>
      <x:c r="AV716" s="14" t="str">
        <x:v>No established apparent-disability match</x:v>
      </x:c>
      <x:c r="AW716" s="14"/>
      <x:c r="AX716" s="14" t="str">
        <x:v>No</x:v>
      </x:c>
      <x:c r="AY716" s="14" t="str">
        <x:v>Unmatched</x:v>
      </x:c>
      <x:c r="AZ716" s="14" t="str">
        <x:v>Final supplied register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28</x:v>
      </x:c>
      <x:c r="BP716" s="14" t="str">
        <x:v>Maximum eligible IMDb cast-credit total (28), shared by 4 performer(s); not independently verified as a 2021-only episode total.</x:v>
      </x:c>
      <x:c r="BQ716" s="14" t="str">
        <x:v>Medium</x:v>
      </x:c>
      <x:c r="BR716" s="15" t="n">
        <x:v>1</x:v>
      </x:c>
      <x:c r="BS716" s="16" t="n">
        <x:v>0.03571428571428571</x:v>
      </x:c>
      <x:c r="BT716" s="14" t="str">
        <x:v>One episode</x:v>
      </x:c>
      <x:c r="BU716" s="14" t="str">
        <x:v>Medium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tt15499118|nm0861027|george alfonse</x:v>
      </x:c>
      <x:c r="B717" s="14" t="str">
        <x:v>03</x:v>
      </x:c>
      <x:c r="C717" s="14" t="str">
        <x:v>2021_IMDb_Cast_Lists_Batch_03(1).xlsx</x:v>
      </x:c>
      <x:c r="D717" s="14" t="str">
        <x:v>The Madame Blanc Mysteries</x:v>
      </x:c>
      <x:c r="E717" s="14" t="n">
        <x:v>144</x:v>
      </x:c>
      <x:c r="F717" s="14" t="str">
        <x:v>The Madame Blanc Mysteries</x:v>
      </x:c>
      <x:c r="G717" s="14" t="str">
        <x:v>tt15499118</x:v>
      </x:c>
      <x:c r="H717" s="14" t="n">
        <x:v>2021</x:v>
      </x:c>
      <x:c r="I717" s="14" t="n">
        <x:v>2023</x:v>
      </x:c>
      <x:c r="J717" s="14" t="str">
        <x:v>Future Carry-Forward Cohort</x:v>
      </x:c>
      <x:c r="K717" s="14" t="n">
        <x:v>2021</x:v>
      </x:c>
      <x:c r="L717" s="14" t="str">
        <x:v>Available from 2021 analysis</x:v>
      </x:c>
      <x:c r="M717" s="15" t="n">
        <x:v>137</x:v>
      </x:c>
      <x:c r="N717" s="14" t="str">
        <x:v>John Thomson</x:v>
      </x:c>
      <x:c r="O717" s="14" t="str">
        <x:v>nm0861027</x:v>
      </x:c>
      <x:c r="P717" s="14" t="str">
        <x:v>George Alfonse</x:v>
      </x:c>
      <x:c r="Q717" s="15" t="n">
        <x:v>1</x:v>
      </x:c>
      <x:c r="R717" s="14" t="str">
        <x:v>2025</x:v>
      </x:c>
      <x:c r="S717" s="14" t="n">
        <x:v>2025</x:v>
      </x:c>
      <x:c r="T717" s="14" t="n">
        <x:v>2025</x:v>
      </x:c>
      <x:c r="U717" s="14" t="str">
        <x:v>Post-2021 casting excluded</x:v>
      </x:c>
      <x:c r="V717" s="14" t="str">
        <x:v>Earliest supplied year is 2025, later than the 2021 study year.</x:v>
      </x:c>
      <x:c r="W717" s="14"/>
      <x:c r="X717" s="14" t="str">
        <x:v>Carried forward to 2025</x:v>
      </x:c>
      <x:c r="Y717" s="14"/>
      <x:c r="Z717" s="14" t="str">
        <x:v>The Madame Blanc Mysteries.docx</x:v>
      </x:c>
      <x:c r="AA7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Channel 5 / 5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 t="str">
        <x:v>No established-register match</x:v>
      </x:c>
      <x:c r="AT717" s="14"/>
      <x:c r="AU717" s="14"/>
      <x:c r="AV717" s="14" t="str">
        <x:v>No established apparent-disability match</x:v>
      </x:c>
      <x:c r="AW717" s="14"/>
      <x:c r="AX717" s="14" t="str">
        <x:v>No</x:v>
      </x:c>
      <x:c r="AY717" s="14" t="str">
        <x:v>Unmatched</x:v>
      </x:c>
      <x:c r="AZ717" s="14" t="str">
        <x:v>Final supplied register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28</x:v>
      </x:c>
      <x:c r="BP717" s="14" t="str">
        <x:v>Maximum eligible IMDb cast-credit total (28), shared by 4 performer(s); not independently verified as a 2021-only episode total.</x:v>
      </x:c>
      <x:c r="BQ717" s="14" t="str">
        <x:v>Medium</x:v>
      </x:c>
      <x:c r="BR717" s="15" t="n">
        <x:v>1</x:v>
      </x:c>
      <x:c r="BS717" s="16" t="n">
        <x:v>0.03571428571428571</x:v>
      </x:c>
      <x:c r="BT717" s="14" t="str">
        <x:v>One episode</x:v>
      </x:c>
      <x:c r="BU717" s="14" t="str">
        <x:v>Medium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tt15499118|nm7111262|nellie ocase</x:v>
      </x:c>
      <x:c r="B718" s="14" t="str">
        <x:v>03</x:v>
      </x:c>
      <x:c r="C718" s="14" t="str">
        <x:v>2021_IMDb_Cast_Lists_Batch_03(1).xlsx</x:v>
      </x:c>
      <x:c r="D718" s="14" t="str">
        <x:v>The Madame Blanc Mysteries</x:v>
      </x:c>
      <x:c r="E718" s="14" t="n">
        <x:v>145</x:v>
      </x:c>
      <x:c r="F718" s="14" t="str">
        <x:v>The Madame Blanc Mysteries</x:v>
      </x:c>
      <x:c r="G718" s="14" t="str">
        <x:v>tt15499118</x:v>
      </x:c>
      <x:c r="H718" s="14" t="n">
        <x:v>2021</x:v>
      </x:c>
      <x:c r="I718" s="14" t="n">
        <x:v>2023</x:v>
      </x:c>
      <x:c r="J718" s="14" t="str">
        <x:v>Future Carry-Forward Cohort</x:v>
      </x:c>
      <x:c r="K718" s="14" t="n">
        <x:v>2021</x:v>
      </x:c>
      <x:c r="L718" s="14" t="str">
        <x:v>Available from 2021 analysis</x:v>
      </x:c>
      <x:c r="M718" s="15" t="n">
        <x:v>138</x:v>
      </x:c>
      <x:c r="N718" s="14" t="str">
        <x:v>Tegen Short</x:v>
      </x:c>
      <x:c r="O718" s="14" t="str">
        <x:v>nm7111262</x:v>
      </x:c>
      <x:c r="P718" s="14" t="str">
        <x:v>Nellie Ocase</x:v>
      </x:c>
      <x:c r="Q718" s="15" t="n">
        <x:v>1</x:v>
      </x:c>
      <x:c r="R718" s="14" t="str">
        <x:v>2025</x:v>
      </x:c>
      <x:c r="S718" s="14" t="n">
        <x:v>2025</x:v>
      </x:c>
      <x:c r="T718" s="14" t="n">
        <x:v>2025</x:v>
      </x:c>
      <x:c r="U718" s="14" t="str">
        <x:v>Post-2021 casting excluded</x:v>
      </x:c>
      <x:c r="V718" s="14" t="str">
        <x:v>Earliest supplied year is 2025, later than the 2021 study year.</x:v>
      </x:c>
      <x:c r="W718" s="14"/>
      <x:c r="X718" s="14" t="str">
        <x:v>Carried forward to 2025</x:v>
      </x:c>
      <x:c r="Y718" s="14"/>
      <x:c r="Z718" s="14" t="str">
        <x:v>The Madame Blanc Mysteries.docx</x:v>
      </x:c>
      <x:c r="AA7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Channel 5 / 5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 t="str">
        <x:v>No established-register match</x:v>
      </x:c>
      <x:c r="AT718" s="14"/>
      <x:c r="AU718" s="14"/>
      <x:c r="AV718" s="14" t="str">
        <x:v>No established apparent-disability match</x:v>
      </x:c>
      <x:c r="AW718" s="14"/>
      <x:c r="AX718" s="14" t="str">
        <x:v>No</x:v>
      </x:c>
      <x:c r="AY718" s="14" t="str">
        <x:v>Unmatched</x:v>
      </x:c>
      <x:c r="AZ718" s="14" t="str">
        <x:v>Final supplied register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28</x:v>
      </x:c>
      <x:c r="BP718" s="14" t="str">
        <x:v>Maximum eligible IMDb cast-credit total (28), shared by 4 performer(s); not independently verified as a 2021-only episode total.</x:v>
      </x:c>
      <x:c r="BQ718" s="14" t="str">
        <x:v>Medium</x:v>
      </x:c>
      <x:c r="BR718" s="15" t="n">
        <x:v>1</x:v>
      </x:c>
      <x:c r="BS718" s="16" t="n">
        <x:v>0.03571428571428571</x:v>
      </x:c>
      <x:c r="BT718" s="14" t="str">
        <x:v>One episode</x:v>
      </x:c>
      <x:c r="BU718" s="14" t="str">
        <x:v>Medium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tt15499118|nm12415996|suzanne</x:v>
      </x:c>
      <x:c r="B719" s="14" t="str">
        <x:v>03</x:v>
      </x:c>
      <x:c r="C719" s="14" t="str">
        <x:v>2021_IMDb_Cast_Lists_Batch_03(1).xlsx</x:v>
      </x:c>
      <x:c r="D719" s="14" t="str">
        <x:v>The Madame Blanc Mysteries</x:v>
      </x:c>
      <x:c r="E719" s="14" t="n">
        <x:v>147</x:v>
      </x:c>
      <x:c r="F719" s="14" t="str">
        <x:v>The Madame Blanc Mysteries</x:v>
      </x:c>
      <x:c r="G719" s="14" t="str">
        <x:v>tt15499118</x:v>
      </x:c>
      <x:c r="H719" s="14" t="n">
        <x:v>2021</x:v>
      </x:c>
      <x:c r="I719" s="14" t="n">
        <x:v>2023</x:v>
      </x:c>
      <x:c r="J719" s="14" t="str">
        <x:v>Future Carry-Forward Cohort</x:v>
      </x:c>
      <x:c r="K719" s="14" t="n">
        <x:v>2021</x:v>
      </x:c>
      <x:c r="L719" s="14" t="str">
        <x:v>Available from 2021 analysis</x:v>
      </x:c>
      <x:c r="M719" s="15" t="n">
        <x:v>140</x:v>
      </x:c>
      <x:c r="N719" s="14" t="str">
        <x:v>Marta Vella</x:v>
      </x:c>
      <x:c r="O719" s="14" t="str">
        <x:v>nm12415996</x:v>
      </x:c>
      <x:c r="P719" s="14" t="str">
        <x:v>Suzanne</x:v>
      </x:c>
      <x:c r="Q719" s="15" t="n">
        <x:v>1</x:v>
      </x:c>
      <x:c r="R719" s="14" t="str">
        <x:v>2025</x:v>
      </x:c>
      <x:c r="S719" s="14" t="n">
        <x:v>2025</x:v>
      </x:c>
      <x:c r="T719" s="14" t="n">
        <x:v>2025</x:v>
      </x:c>
      <x:c r="U719" s="14" t="str">
        <x:v>Post-2021 casting excluded</x:v>
      </x:c>
      <x:c r="V719" s="14" t="str">
        <x:v>Earliest supplied year is 2025, later than the 2021 study year.</x:v>
      </x:c>
      <x:c r="W719" s="14"/>
      <x:c r="X719" s="14" t="str">
        <x:v>Carried forward to 2025</x:v>
      </x:c>
      <x:c r="Y719" s="14"/>
      <x:c r="Z719" s="14" t="str">
        <x:v>The Madame Blanc Mysteries.docx</x:v>
      </x:c>
      <x:c r="AA7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Channel 5 / 5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 t="str">
        <x:v>No established-register match</x:v>
      </x:c>
      <x:c r="AT719" s="14"/>
      <x:c r="AU719" s="14"/>
      <x:c r="AV719" s="14" t="str">
        <x:v>No established apparent-disability match</x:v>
      </x:c>
      <x:c r="AW719" s="14"/>
      <x:c r="AX719" s="14" t="str">
        <x:v>No</x:v>
      </x:c>
      <x:c r="AY719" s="14" t="str">
        <x:v>Unmatched</x:v>
      </x:c>
      <x:c r="AZ719" s="14" t="str">
        <x:v>Final supplied register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28</x:v>
      </x:c>
      <x:c r="BP719" s="14" t="str">
        <x:v>Maximum eligible IMDb cast-credit total (28), shared by 4 performer(s); not independently verified as a 2021-only episode total.</x:v>
      </x:c>
      <x:c r="BQ719" s="14" t="str">
        <x:v>Medium</x:v>
      </x:c>
      <x:c r="BR719" s="15" t="n">
        <x:v>1</x:v>
      </x:c>
      <x:c r="BS719" s="16" t="n">
        <x:v>0.03571428571428571</x:v>
      </x:c>
      <x:c r="BT719" s="14" t="str">
        <x:v>One episode</x:v>
      </x:c>
      <x:c r="BU719" s="14" t="str">
        <x:v>Medium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tt15499118|nm1528671|sangita pardeep</x:v>
      </x:c>
      <x:c r="B720" s="14" t="str">
        <x:v>03</x:v>
      </x:c>
      <x:c r="C720" s="14" t="str">
        <x:v>2021_IMDb_Cast_Lists_Batch_03(1).xlsx</x:v>
      </x:c>
      <x:c r="D720" s="14" t="str">
        <x:v>The Madame Blanc Mysteries</x:v>
      </x:c>
      <x:c r="E720" s="14" t="n">
        <x:v>148</x:v>
      </x:c>
      <x:c r="F720" s="14" t="str">
        <x:v>The Madame Blanc Mysteries</x:v>
      </x:c>
      <x:c r="G720" s="14" t="str">
        <x:v>tt15499118</x:v>
      </x:c>
      <x:c r="H720" s="14" t="n">
        <x:v>2021</x:v>
      </x:c>
      <x:c r="I720" s="14" t="n">
        <x:v>2023</x:v>
      </x:c>
      <x:c r="J720" s="14" t="str">
        <x:v>Future Carry-Forward Cohort</x:v>
      </x:c>
      <x:c r="K720" s="14" t="n">
        <x:v>2021</x:v>
      </x:c>
      <x:c r="L720" s="14" t="str">
        <x:v>Available from 2021 analysis</x:v>
      </x:c>
      <x:c r="M720" s="15" t="n">
        <x:v>141</x:v>
      </x:c>
      <x:c r="N720" s="14" t="str">
        <x:v>Manjinder Virk</x:v>
      </x:c>
      <x:c r="O720" s="14" t="str">
        <x:v>nm1528671</x:v>
      </x:c>
      <x:c r="P720" s="14" t="str">
        <x:v>Sangita Pardeep</x:v>
      </x:c>
      <x:c r="Q720" s="15" t="n">
        <x:v>1</x:v>
      </x:c>
      <x:c r="R720" s="14" t="str">
        <x:v>2025</x:v>
      </x:c>
      <x:c r="S720" s="14" t="n">
        <x:v>2025</x:v>
      </x:c>
      <x:c r="T720" s="14" t="n">
        <x:v>2025</x:v>
      </x:c>
      <x:c r="U720" s="14" t="str">
        <x:v>Post-2021 casting excluded</x:v>
      </x:c>
      <x:c r="V720" s="14" t="str">
        <x:v>Earliest supplied year is 2025, later than the 2021 study year.</x:v>
      </x:c>
      <x:c r="W720" s="14"/>
      <x:c r="X720" s="14" t="str">
        <x:v>Carried forward to 2025</x:v>
      </x:c>
      <x:c r="Y720" s="14"/>
      <x:c r="Z720" s="14" t="str">
        <x:v>The Madame Blanc Mysteries.docx</x:v>
      </x:c>
      <x:c r="AA7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Channel 5 / 5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 t="str">
        <x:v>No established-register match</x:v>
      </x:c>
      <x:c r="AT720" s="14"/>
      <x:c r="AU720" s="14"/>
      <x:c r="AV720" s="14" t="str">
        <x:v>No established apparent-disability match</x:v>
      </x:c>
      <x:c r="AW720" s="14"/>
      <x:c r="AX720" s="14" t="str">
        <x:v>No</x:v>
      </x:c>
      <x:c r="AY720" s="14" t="str">
        <x:v>Unmatched</x:v>
      </x:c>
      <x:c r="AZ720" s="14" t="str">
        <x:v>Final supplied register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28</x:v>
      </x:c>
      <x:c r="BP720" s="14" t="str">
        <x:v>Maximum eligible IMDb cast-credit total (28), shared by 4 performer(s); not independently verified as a 2021-only episode total.</x:v>
      </x:c>
      <x:c r="BQ720" s="14" t="str">
        <x:v>Medium</x:v>
      </x:c>
      <x:c r="BR720" s="15" t="n">
        <x:v>1</x:v>
      </x:c>
      <x:c r="BS720" s="16" t="n">
        <x:v>0.03571428571428571</x:v>
      </x:c>
      <x:c r="BT720" s="14" t="str">
        <x:v>One episode</x:v>
      </x:c>
      <x:c r="BU720" s="14" t="str">
        <x:v>Medium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4bdfb9715f8044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Post-2025 exclusion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170 records retained for audit but excluded from the five-year study.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tt21161156|nm0291569|james smith</x:v>
      </x:c>
      <x:c r="B6" s="14" t="str">
        <x:v>01</x:v>
      </x:c>
      <x:c r="C6" s="14" t="str">
        <x:v>2023_IMDb_Cast_Lists_Batch_01(2).xlsx</x:v>
      </x:c>
      <x:c r="D6" s="14" t="str">
        <x:v>Beyond Paradise</x:v>
      </x:c>
      <x:c r="E6" s="14" t="n">
        <x:v>22</x:v>
      </x:c>
      <x:c r="F6" s="14" t="str">
        <x:v>Beyond Paradise</x:v>
      </x:c>
      <x:c r="G6" s="14" t="str">
        <x:v>tt21161156</x:v>
      </x:c>
      <x:c r="H6" s="14" t="n">
        <x:v>2023</x:v>
      </x:c>
      <x:c r="I6" s="14" t="n">
        <x:v>2023</x:v>
      </x:c>
      <x:c r="J6" s="14" t="str">
        <x:v>Post-study cohort</x:v>
      </x:c>
      <x:c r="K6" s="14"/>
      <x:c r="L6" s="14" t="str">
        <x:v>Not inherited</x:v>
      </x:c>
      <x:c r="M6" s="15" t="n">
        <x:v>15</x:v>
      </x:c>
      <x:c r="N6" s="14" t="str">
        <x:v>Vincent Franklin</x:v>
      </x:c>
      <x:c r="O6" s="14" t="str">
        <x:v>nm0291569</x:v>
      </x:c>
      <x:c r="P6" s="14" t="str">
        <x:v>James Smith</x:v>
      </x:c>
      <x:c r="Q6" s="15" t="n">
        <x:v>4</x:v>
      </x:c>
      <x:c r="R6" s="14" t="str">
        <x:v>2026</x:v>
      </x:c>
      <x:c r="S6" s="14" t="n">
        <x:v>2026</x:v>
      </x:c>
      <x:c r="T6" s="14" t="n">
        <x:v>2026</x:v>
      </x:c>
      <x:c r="U6" s="14" t="str">
        <x:v>Explicit source first year retained</x:v>
      </x:c>
      <x:c r="V6" s="14" t="str">
        <x:v>Earliest supplied year is 2026.</x:v>
      </x:c>
      <x:c r="W6" s="14"/>
      <x:c r="X6" s="14" t="str">
        <x:v>Excluded: after 2025</x:v>
      </x:c>
      <x:c r="Y6" s="14"/>
      <x:c r="Z6" s="14" t="str">
        <x:v>Beyond Paradise.docx</x:v>
      </x:c>
      <x:c r="AA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HYPERLINK("https://en.wikipedia.org/wiki/Beyond_Paradise","Open source")</x:f>
        <x:v>HYPERLINK is not implemented. linkLocation=https://en.wikipedia.org/wiki/Beyond_Paradise,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27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4</x:v>
      </x:c>
      <x:c r="BS6" s="16" t="n">
        <x:v>0.14814814814814814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tt21161156|nm3593022|amelia</x:v>
      </x:c>
      <x:c r="B7" s="14" t="str">
        <x:v>01</x:v>
      </x:c>
      <x:c r="C7" s="14" t="str">
        <x:v>2023_IMDb_Cast_Lists_Batch_01(2).xlsx</x:v>
      </x:c>
      <x:c r="D7" s="14" t="str">
        <x:v>Beyond Paradise</x:v>
      </x:c>
      <x:c r="E7" s="14" t="n">
        <x:v>25</x:v>
      </x:c>
      <x:c r="F7" s="14" t="str">
        <x:v>Beyond Paradise</x:v>
      </x:c>
      <x:c r="G7" s="14" t="str">
        <x:v>tt21161156</x:v>
      </x:c>
      <x:c r="H7" s="14" t="n">
        <x:v>2023</x:v>
      </x:c>
      <x:c r="I7" s="14" t="n">
        <x:v>2023</x:v>
      </x:c>
      <x:c r="J7" s="14" t="str">
        <x:v>Post-study cohort</x:v>
      </x:c>
      <x:c r="K7" s="14"/>
      <x:c r="L7" s="14" t="str">
        <x:v>Not inherited</x:v>
      </x:c>
      <x:c r="M7" s="15" t="n">
        <x:v>18</x:v>
      </x:c>
      <x:c r="N7" s="14" t="str">
        <x:v>Gina Bramhill</x:v>
      </x:c>
      <x:c r="O7" s="14" t="str">
        <x:v>nm3593022</x:v>
      </x:c>
      <x:c r="P7" s="14" t="str">
        <x:v>Amelia</x:v>
      </x:c>
      <x:c r="Q7" s="15" t="n">
        <x:v>3</x:v>
      </x:c>
      <x:c r="R7" s="14" t="str">
        <x:v>2026</x:v>
      </x:c>
      <x:c r="S7" s="14" t="n">
        <x:v>2026</x:v>
      </x:c>
      <x:c r="T7" s="14" t="n">
        <x:v>2026</x:v>
      </x:c>
      <x:c r="U7" s="14" t="str">
        <x:v>Explicit source first year retained</x:v>
      </x:c>
      <x:c r="V7" s="14" t="str">
        <x:v>Earliest supplied year is 2026.</x:v>
      </x:c>
      <x:c r="W7" s="14"/>
      <x:c r="X7" s="14" t="str">
        <x:v>Excluded: after 2025</x:v>
      </x:c>
      <x:c r="Y7" s="14"/>
      <x:c r="Z7" s="14" t="str">
        <x:v>Beyond Paradise.docx</x:v>
      </x:c>
      <x:c r="AA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HYPERLINK("https://en.wikipedia.org/wiki/Beyond_Paradise","Open source")</x:f>
        <x:v>HYPERLINK is not implemented. linkLocation=https://en.wikipedia.org/wiki/Beyond_Paradise,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27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3</x:v>
      </x:c>
      <x:c r="BS7" s="16" t="n">
        <x:v>0.1111111111111111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tt21161156|nm14860341|agnieszka</x:v>
      </x:c>
      <x:c r="B8" s="14" t="str">
        <x:v>01</x:v>
      </x:c>
      <x:c r="C8" s="14" t="str">
        <x:v>2023_IMDb_Cast_Lists_Batch_01(2).xlsx</x:v>
      </x:c>
      <x:c r="D8" s="14" t="str">
        <x:v>Beyond Paradise</x:v>
      </x:c>
      <x:c r="E8" s="14" t="n">
        <x:v>26</x:v>
      </x:c>
      <x:c r="F8" s="14" t="str">
        <x:v>Beyond Paradise</x:v>
      </x:c>
      <x:c r="G8" s="14" t="str">
        <x:v>tt21161156</x:v>
      </x:c>
      <x:c r="H8" s="14" t="n">
        <x:v>2023</x:v>
      </x:c>
      <x:c r="I8" s="14" t="n">
        <x:v>2023</x:v>
      </x:c>
      <x:c r="J8" s="14" t="str">
        <x:v>Post-study cohort</x:v>
      </x:c>
      <x:c r="K8" s="14"/>
      <x:c r="L8" s="14" t="str">
        <x:v>Not inherited</x:v>
      </x:c>
      <x:c r="M8" s="15" t="n">
        <x:v>19</x:v>
      </x:c>
      <x:c r="N8" s="14" t="str">
        <x:v>Hazel Caulfield</x:v>
      </x:c>
      <x:c r="O8" s="14" t="str">
        <x:v>nm14860341</x:v>
      </x:c>
      <x:c r="P8" s="14" t="str">
        <x:v>Agnieszka</x:v>
      </x:c>
      <x:c r="Q8" s="15" t="n">
        <x:v>2</x:v>
      </x:c>
      <x:c r="R8" s="14" t="str">
        <x:v>2026</x:v>
      </x:c>
      <x:c r="S8" s="14" t="n">
        <x:v>2026</x:v>
      </x:c>
      <x:c r="T8" s="14" t="n">
        <x:v>2026</x:v>
      </x:c>
      <x:c r="U8" s="14" t="str">
        <x:v>Explicit source first year retained</x:v>
      </x:c>
      <x:c r="V8" s="14" t="str">
        <x:v>Earliest supplied year is 2026.</x:v>
      </x:c>
      <x:c r="W8" s="14"/>
      <x:c r="X8" s="14" t="str">
        <x:v>Excluded: after 2025</x:v>
      </x:c>
      <x:c r="Y8" s="14"/>
      <x:c r="Z8" s="14" t="str">
        <x:v>Beyond Paradise.docx</x:v>
      </x:c>
      <x:c r="AA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HYPERLINK("https://en.wikipedia.org/wiki/Beyond_Paradise","Open source")</x:f>
        <x:v>HYPERLINK is not implemented. linkLocation=https://en.wikipedia.org/wiki/Beyond_Paradise,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27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2</x:v>
      </x:c>
      <x:c r="BS8" s="16" t="n">
        <x:v>0.07407407407407407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tt21161156|nm0144237|june harris</x:v>
      </x:c>
      <x:c r="B9" s="14" t="str">
        <x:v>01</x:v>
      </x:c>
      <x:c r="C9" s="14" t="str">
        <x:v>2023_IMDb_Cast_Lists_Batch_01(2).xlsx</x:v>
      </x:c>
      <x:c r="D9" s="14" t="str">
        <x:v>Beyond Paradise</x:v>
      </x:c>
      <x:c r="E9" s="14" t="n">
        <x:v>45</x:v>
      </x:c>
      <x:c r="F9" s="14" t="str">
        <x:v>Beyond Paradise</x:v>
      </x:c>
      <x:c r="G9" s="14" t="str">
        <x:v>tt21161156</x:v>
      </x:c>
      <x:c r="H9" s="14" t="n">
        <x:v>2023</x:v>
      </x:c>
      <x:c r="I9" s="14" t="n">
        <x:v>2023</x:v>
      </x:c>
      <x:c r="J9" s="14" t="str">
        <x:v>Post-study cohort</x:v>
      </x:c>
      <x:c r="K9" s="14"/>
      <x:c r="L9" s="14" t="str">
        <x:v>Not inherited</x:v>
      </x:c>
      <x:c r="M9" s="15" t="n">
        <x:v>38</x:v>
      </x:c>
      <x:c r="N9" s="14" t="str">
        <x:v>Raquel Cassidy</x:v>
      </x:c>
      <x:c r="O9" s="14" t="str">
        <x:v>nm0144237</x:v>
      </x:c>
      <x:c r="P9" s="14" t="str">
        <x:v>June Harris</x:v>
      </x:c>
      <x:c r="Q9" s="15" t="n">
        <x:v>1</x:v>
      </x:c>
      <x:c r="R9" s="14" t="str">
        <x:v>2026</x:v>
      </x:c>
      <x:c r="S9" s="14" t="n">
        <x:v>2026</x:v>
      </x:c>
      <x:c r="T9" s="14" t="n">
        <x:v>2026</x:v>
      </x:c>
      <x:c r="U9" s="14" t="str">
        <x:v>Explicit source first year retained</x:v>
      </x:c>
      <x:c r="V9" s="14" t="str">
        <x:v>Earliest supplied year is 2026.</x:v>
      </x:c>
      <x:c r="W9" s="14"/>
      <x:c r="X9" s="14" t="str">
        <x:v>Excluded: after 2025</x:v>
      </x:c>
      <x:c r="Y9" s="14"/>
      <x:c r="Z9" s="14" t="str">
        <x:v>Beyond Paradise.docx</x:v>
      </x:c>
      <x:c r="AA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HYPERLINK("https://en.wikipedia.org/wiki/Beyond_Paradise","Open source")</x:f>
        <x:v>HYPERLINK is not implemented. linkLocation=https://en.wikipedia.org/wiki/Beyond_Paradise,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27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1</x:v>
      </x:c>
      <x:c r="BS9" s="16" t="n">
        <x:v>0.037037037037037035</x:v>
      </x:c>
      <x:c r="BT9" s="14" t="str">
        <x:v>One episode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tt21161156|nm2390340|holly willis</x:v>
      </x:c>
      <x:c r="B10" s="14" t="str">
        <x:v>01</x:v>
      </x:c>
      <x:c r="C10" s="14" t="str">
        <x:v>2023_IMDb_Cast_Lists_Batch_01(2).xlsx</x:v>
      </x:c>
      <x:c r="D10" s="14" t="str">
        <x:v>Beyond Paradise</x:v>
      </x:c>
      <x:c r="E10" s="14" t="n">
        <x:v>46</x:v>
      </x:c>
      <x:c r="F10" s="14" t="str">
        <x:v>Beyond Paradise</x:v>
      </x:c>
      <x:c r="G10" s="14" t="str">
        <x:v>tt21161156</x:v>
      </x:c>
      <x:c r="H10" s="14" t="n">
        <x:v>2023</x:v>
      </x:c>
      <x:c r="I10" s="14" t="n">
        <x:v>2023</x:v>
      </x:c>
      <x:c r="J10" s="14" t="str">
        <x:v>Post-study cohort</x:v>
      </x:c>
      <x:c r="K10" s="14"/>
      <x:c r="L10" s="14" t="str">
        <x:v>Not inherited</x:v>
      </x:c>
      <x:c r="M10" s="15" t="n">
        <x:v>39</x:v>
      </x:c>
      <x:c r="N10" s="14" t="str">
        <x:v>Rebecca Night</x:v>
      </x:c>
      <x:c r="O10" s="14" t="str">
        <x:v>nm2390340</x:v>
      </x:c>
      <x:c r="P10" s="14" t="str">
        <x:v>Holly Willis</x:v>
      </x:c>
      <x:c r="Q10" s="15" t="n">
        <x:v>1</x:v>
      </x:c>
      <x:c r="R10" s="14" t="str">
        <x:v>2026</x:v>
      </x:c>
      <x:c r="S10" s="14" t="n">
        <x:v>2026</x:v>
      </x:c>
      <x:c r="T10" s="14" t="n">
        <x:v>2026</x:v>
      </x:c>
      <x:c r="U10" s="14" t="str">
        <x:v>Explicit source first year retained</x:v>
      </x:c>
      <x:c r="V10" s="14" t="str">
        <x:v>Earliest supplied year is 2026.</x:v>
      </x:c>
      <x:c r="W10" s="14"/>
      <x:c r="X10" s="14" t="str">
        <x:v>Excluded: after 2025</x:v>
      </x:c>
      <x:c r="Y10" s="14"/>
      <x:c r="Z10" s="14" t="str">
        <x:v>Beyond Paradise.docx</x:v>
      </x:c>
      <x:c r="AA1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HYPERLINK("https://en.wikipedia.org/wiki/Beyond_Paradise","Open source")</x:f>
        <x:v>HYPERLINK is not implemented. linkLocation=https://en.wikipedia.org/wiki/Beyond_Paradise,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27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1</x:v>
      </x:c>
      <x:c r="BS10" s="16" t="n">
        <x:v>0.037037037037037035</x:v>
      </x:c>
      <x:c r="BT10" s="14" t="str">
        <x:v>One episode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tt21161156|nm1459494|jeff simmons</x:v>
      </x:c>
      <x:c r="B11" s="14" t="str">
        <x:v>01</x:v>
      </x:c>
      <x:c r="C11" s="14" t="str">
        <x:v>2023_IMDb_Cast_Lists_Batch_01(2).xlsx</x:v>
      </x:c>
      <x:c r="D11" s="14" t="str">
        <x:v>Beyond Paradise</x:v>
      </x:c>
      <x:c r="E11" s="14" t="n">
        <x:v>47</x:v>
      </x:c>
      <x:c r="F11" s="14" t="str">
        <x:v>Beyond Paradise</x:v>
      </x:c>
      <x:c r="G11" s="14" t="str">
        <x:v>tt21161156</x:v>
      </x:c>
      <x:c r="H11" s="14" t="n">
        <x:v>2023</x:v>
      </x:c>
      <x:c r="I11" s="14" t="n">
        <x:v>2023</x:v>
      </x:c>
      <x:c r="J11" s="14" t="str">
        <x:v>Post-study cohort</x:v>
      </x:c>
      <x:c r="K11" s="14"/>
      <x:c r="L11" s="14" t="str">
        <x:v>Not inherited</x:v>
      </x:c>
      <x:c r="M11" s="15" t="n">
        <x:v>40</x:v>
      </x:c>
      <x:c r="N11" s="14" t="str">
        <x:v>Henry Miller</x:v>
      </x:c>
      <x:c r="O11" s="14" t="str">
        <x:v>nm1459494</x:v>
      </x:c>
      <x:c r="P11" s="14" t="str">
        <x:v>Jeff Simmons</x:v>
      </x:c>
      <x:c r="Q11" s="15" t="n">
        <x:v>1</x:v>
      </x:c>
      <x:c r="R11" s="14" t="str">
        <x:v>2026</x:v>
      </x:c>
      <x:c r="S11" s="14" t="n">
        <x:v>2026</x:v>
      </x:c>
      <x:c r="T11" s="14" t="n">
        <x:v>2026</x:v>
      </x:c>
      <x:c r="U11" s="14" t="str">
        <x:v>Explicit source first year retained</x:v>
      </x:c>
      <x:c r="V11" s="14" t="str">
        <x:v>Earliest supplied year is 2026.</x:v>
      </x:c>
      <x:c r="W11" s="14"/>
      <x:c r="X11" s="14" t="str">
        <x:v>Excluded: after 2025</x:v>
      </x:c>
      <x:c r="Y11" s="14"/>
      <x:c r="Z11" s="14" t="str">
        <x:v>Beyond Paradise.docx</x:v>
      </x:c>
      <x:c r="AA1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HYPERLINK("https://en.wikipedia.org/wiki/Beyond_Paradise","Open source")</x:f>
        <x:v>HYPERLINK is not implemented. linkLocation=https://en.wikipedia.org/wiki/Beyond_Paradise,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27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1</x:v>
      </x:c>
      <x:c r="BS11" s="16" t="n">
        <x:v>0.037037037037037035</x:v>
      </x:c>
      <x:c r="BT11" s="14" t="str">
        <x:v>One episode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tt21161156|nm4726104|craig fields</x:v>
      </x:c>
      <x:c r="B12" s="14" t="str">
        <x:v>01</x:v>
      </x:c>
      <x:c r="C12" s="14" t="str">
        <x:v>2023_IMDb_Cast_Lists_Batch_01(2).xlsx</x:v>
      </x:c>
      <x:c r="D12" s="14" t="str">
        <x:v>Beyond Paradise</x:v>
      </x:c>
      <x:c r="E12" s="14" t="n">
        <x:v>57</x:v>
      </x:c>
      <x:c r="F12" s="14" t="str">
        <x:v>Beyond Paradise</x:v>
      </x:c>
      <x:c r="G12" s="14" t="str">
        <x:v>tt21161156</x:v>
      </x:c>
      <x:c r="H12" s="14" t="n">
        <x:v>2023</x:v>
      </x:c>
      <x:c r="I12" s="14" t="n">
        <x:v>2023</x:v>
      </x:c>
      <x:c r="J12" s="14" t="str">
        <x:v>Post-study cohort</x:v>
      </x:c>
      <x:c r="K12" s="14"/>
      <x:c r="L12" s="14" t="str">
        <x:v>Not inherited</x:v>
      </x:c>
      <x:c r="M12" s="15" t="n">
        <x:v>50</x:v>
      </x:c>
      <x:c r="N12" s="14" t="str">
        <x:v>Elliot Janks</x:v>
      </x:c>
      <x:c r="O12" s="14" t="str">
        <x:v>nm4726104</x:v>
      </x:c>
      <x:c r="P12" s="14" t="str">
        <x:v>Craig Fields</x:v>
      </x:c>
      <x:c r="Q12" s="15" t="n">
        <x:v>1</x:v>
      </x:c>
      <x:c r="R12" s="14" t="str">
        <x:v>2026</x:v>
      </x:c>
      <x:c r="S12" s="14" t="n">
        <x:v>2026</x:v>
      </x:c>
      <x:c r="T12" s="14" t="n">
        <x:v>2026</x:v>
      </x:c>
      <x:c r="U12" s="14" t="str">
        <x:v>Explicit source first year retained</x:v>
      </x:c>
      <x:c r="V12" s="14" t="str">
        <x:v>Earliest supplied year is 2026.</x:v>
      </x:c>
      <x:c r="W12" s="14"/>
      <x:c r="X12" s="14" t="str">
        <x:v>Excluded: after 2025</x:v>
      </x:c>
      <x:c r="Y12" s="14"/>
      <x:c r="Z12" s="14" t="str">
        <x:v>Beyond Paradise.docx</x:v>
      </x:c>
      <x:c r="AA1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HYPERLINK("https://en.wikipedia.org/wiki/Beyond_Paradise","Open source")</x:f>
        <x:v>HYPERLINK is not implemented. linkLocation=https://en.wikipedia.org/wiki/Beyond_Paradise,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27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0.037037037037037035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tt21161156|nm0522882|helen linder</x:v>
      </x:c>
      <x:c r="B13" s="14" t="str">
        <x:v>01</x:v>
      </x:c>
      <x:c r="C13" s="14" t="str">
        <x:v>2023_IMDb_Cast_Lists_Batch_01(2).xlsx</x:v>
      </x:c>
      <x:c r="D13" s="14" t="str">
        <x:v>Beyond Paradise</x:v>
      </x:c>
      <x:c r="E13" s="14" t="n">
        <x:v>64</x:v>
      </x:c>
      <x:c r="F13" s="14" t="str">
        <x:v>Beyond Paradise</x:v>
      </x:c>
      <x:c r="G13" s="14" t="str">
        <x:v>tt21161156</x:v>
      </x:c>
      <x:c r="H13" s="14" t="n">
        <x:v>2023</x:v>
      </x:c>
      <x:c r="I13" s="14" t="n">
        <x:v>2023</x:v>
      </x:c>
      <x:c r="J13" s="14" t="str">
        <x:v>Post-study cohort</x:v>
      </x:c>
      <x:c r="K13" s="14"/>
      <x:c r="L13" s="14" t="str">
        <x:v>Not inherited</x:v>
      </x:c>
      <x:c r="M13" s="15" t="n">
        <x:v>57</x:v>
      </x:c>
      <x:c r="N13" s="14" t="str">
        <x:v>Andrea Lowe</x:v>
      </x:c>
      <x:c r="O13" s="14" t="str">
        <x:v>nm0522882</x:v>
      </x:c>
      <x:c r="P13" s="14" t="str">
        <x:v>Helen Linder</x:v>
      </x:c>
      <x:c r="Q13" s="15" t="n">
        <x:v>1</x:v>
      </x:c>
      <x:c r="R13" s="14" t="str">
        <x:v>2026</x:v>
      </x:c>
      <x:c r="S13" s="14" t="n">
        <x:v>2026</x:v>
      </x:c>
      <x:c r="T13" s="14" t="n">
        <x:v>2026</x:v>
      </x:c>
      <x:c r="U13" s="14" t="str">
        <x:v>Explicit source first year retained</x:v>
      </x:c>
      <x:c r="V13" s="14" t="str">
        <x:v>Earliest supplied year is 2026.</x:v>
      </x:c>
      <x:c r="W13" s="14"/>
      <x:c r="X13" s="14" t="str">
        <x:v>Excluded: after 2025</x:v>
      </x:c>
      <x:c r="Y13" s="14"/>
      <x:c r="Z13" s="14" t="str">
        <x:v>Beyond Paradise.docx</x:v>
      </x:c>
      <x:c r="AA1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HYPERLINK("https://en.wikipedia.org/wiki/Beyond_Paradise","Open source")</x:f>
        <x:v>HYPERLINK is not implemented. linkLocation=https://en.wikipedia.org/wiki/Beyond_Paradise,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27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0.037037037037037035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tt21161156|nm0568801|dr. roger franklin</x:v>
      </x:c>
      <x:c r="B14" s="14" t="str">
        <x:v>01</x:v>
      </x:c>
      <x:c r="C14" s="14" t="str">
        <x:v>2023_IMDb_Cast_Lists_Batch_01(2).xlsx</x:v>
      </x:c>
      <x:c r="D14" s="14" t="str">
        <x:v>Beyond Paradise</x:v>
      </x:c>
      <x:c r="E14" s="14" t="n">
        <x:v>65</x:v>
      </x:c>
      <x:c r="F14" s="14" t="str">
        <x:v>Beyond Paradise</x:v>
      </x:c>
      <x:c r="G14" s="14" t="str">
        <x:v>tt21161156</x:v>
      </x:c>
      <x:c r="H14" s="14" t="n">
        <x:v>2023</x:v>
      </x:c>
      <x:c r="I14" s="14" t="n">
        <x:v>2023</x:v>
      </x:c>
      <x:c r="J14" s="14" t="str">
        <x:v>Post-study cohort</x:v>
      </x:c>
      <x:c r="K14" s="14"/>
      <x:c r="L14" s="14" t="str">
        <x:v>Not inherited</x:v>
      </x:c>
      <x:c r="M14" s="15" t="n">
        <x:v>58</x:v>
      </x:c>
      <x:c r="N14" s="14" t="str">
        <x:v>Colin McFarlane</x:v>
      </x:c>
      <x:c r="O14" s="14" t="str">
        <x:v>nm0568801</x:v>
      </x:c>
      <x:c r="P14" s="14" t="str">
        <x:v>Dr. Roger Franklin</x:v>
      </x:c>
      <x:c r="Q14" s="15" t="n">
        <x:v>1</x:v>
      </x:c>
      <x:c r="R14" s="14" t="str">
        <x:v>2026</x:v>
      </x:c>
      <x:c r="S14" s="14" t="n">
        <x:v>2026</x:v>
      </x:c>
      <x:c r="T14" s="14" t="n">
        <x:v>2026</x:v>
      </x:c>
      <x:c r="U14" s="14" t="str">
        <x:v>Explicit source first year retained</x:v>
      </x:c>
      <x:c r="V14" s="14" t="str">
        <x:v>Earliest supplied year is 2026.</x:v>
      </x:c>
      <x:c r="W14" s="14"/>
      <x:c r="X14" s="14" t="str">
        <x:v>Excluded: after 2025</x:v>
      </x:c>
      <x:c r="Y14" s="14"/>
      <x:c r="Z14" s="14" t="str">
        <x:v>Beyond Paradise.docx</x:v>
      </x:c>
      <x:c r="AA1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HYPERLINK("https://en.wikipedia.org/wiki/Beyond_Paradise","Open source")</x:f>
        <x:v>HYPERLINK is not implemented. linkLocation=https://en.wikipedia.org/wiki/Beyond_Paradise,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27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0.037037037037037035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tt21161156|nm0168253|kenneth linder</x:v>
      </x:c>
      <x:c r="B15" s="14" t="str">
        <x:v>01</x:v>
      </x:c>
      <x:c r="C15" s="14" t="str">
        <x:v>2023_IMDb_Cast_Lists_Batch_01(2).xlsx</x:v>
      </x:c>
      <x:c r="D15" s="14" t="str">
        <x:v>Beyond Paradise</x:v>
      </x:c>
      <x:c r="E15" s="14" t="n">
        <x:v>72</x:v>
      </x:c>
      <x:c r="F15" s="14" t="str">
        <x:v>Beyond Paradise</x:v>
      </x:c>
      <x:c r="G15" s="14" t="str">
        <x:v>tt21161156</x:v>
      </x:c>
      <x:c r="H15" s="14" t="n">
        <x:v>2023</x:v>
      </x:c>
      <x:c r="I15" s="14" t="n">
        <x:v>2023</x:v>
      </x:c>
      <x:c r="J15" s="14" t="str">
        <x:v>Post-study cohort</x:v>
      </x:c>
      <x:c r="K15" s="14"/>
      <x:c r="L15" s="14" t="str">
        <x:v>Not inherited</x:v>
      </x:c>
      <x:c r="M15" s="15" t="n">
        <x:v>65</x:v>
      </x:c>
      <x:c r="N15" s="14" t="str">
        <x:v>Michael Cochrane</x:v>
      </x:c>
      <x:c r="O15" s="14" t="str">
        <x:v>nm0168253</x:v>
      </x:c>
      <x:c r="P15" s="14" t="str">
        <x:v>Kenneth Linder</x:v>
      </x:c>
      <x:c r="Q15" s="15" t="n">
        <x:v>1</x:v>
      </x:c>
      <x:c r="R15" s="14" t="str">
        <x:v>2026</x:v>
      </x:c>
      <x:c r="S15" s="14" t="n">
        <x:v>2026</x:v>
      </x:c>
      <x:c r="T15" s="14" t="n">
        <x:v>2026</x:v>
      </x:c>
      <x:c r="U15" s="14" t="str">
        <x:v>Explicit source first year retained</x:v>
      </x:c>
      <x:c r="V15" s="14" t="str">
        <x:v>Earliest supplied year is 2026.</x:v>
      </x:c>
      <x:c r="W15" s="14"/>
      <x:c r="X15" s="14" t="str">
        <x:v>Excluded: after 2025</x:v>
      </x:c>
      <x:c r="Y15" s="14"/>
      <x:c r="Z15" s="14" t="str">
        <x:v>Beyond Paradise.docx</x:v>
      </x:c>
      <x:c r="AA1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HYPERLINK("https://en.wikipedia.org/wiki/Beyond_Paradise","Open source")</x:f>
        <x:v>HYPERLINK is not implemented. linkLocation=https://en.wikipedia.org/wiki/Beyond_Paradise,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27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0.037037037037037035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tt21161156|nm0165481|mavis</x:v>
      </x:c>
      <x:c r="B16" s="14" t="str">
        <x:v>01</x:v>
      </x:c>
      <x:c r="C16" s="14" t="str">
        <x:v>2023_IMDb_Cast_Lists_Batch_01(2).xlsx</x:v>
      </x:c>
      <x:c r="D16" s="14" t="str">
        <x:v>Beyond Paradise</x:v>
      </x:c>
      <x:c r="E16" s="14" t="n">
        <x:v>73</x:v>
      </x:c>
      <x:c r="F16" s="14" t="str">
        <x:v>Beyond Paradise</x:v>
      </x:c>
      <x:c r="G16" s="14" t="str">
        <x:v>tt21161156</x:v>
      </x:c>
      <x:c r="H16" s="14" t="n">
        <x:v>2023</x:v>
      </x:c>
      <x:c r="I16" s="14" t="n">
        <x:v>2023</x:v>
      </x:c>
      <x:c r="J16" s="14" t="str">
        <x:v>Post-study cohort</x:v>
      </x:c>
      <x:c r="K16" s="14"/>
      <x:c r="L16" s="14" t="str">
        <x:v>Not inherited</x:v>
      </x:c>
      <x:c r="M16" s="15" t="n">
        <x:v>66</x:v>
      </x:c>
      <x:c r="N16" s="14" t="str">
        <x:v>Elaine Claxton</x:v>
      </x:c>
      <x:c r="O16" s="14" t="str">
        <x:v>nm0165481</x:v>
      </x:c>
      <x:c r="P16" s="14" t="str">
        <x:v>Mavis</x:v>
      </x:c>
      <x:c r="Q16" s="15" t="n">
        <x:v>1</x:v>
      </x:c>
      <x:c r="R16" s="14" t="str">
        <x:v>2026</x:v>
      </x:c>
      <x:c r="S16" s="14" t="n">
        <x:v>2026</x:v>
      </x:c>
      <x:c r="T16" s="14" t="n">
        <x:v>2026</x:v>
      </x:c>
      <x:c r="U16" s="14" t="str">
        <x:v>Explicit source first year retained</x:v>
      </x:c>
      <x:c r="V16" s="14" t="str">
        <x:v>Earliest supplied year is 2026.</x:v>
      </x:c>
      <x:c r="W16" s="14"/>
      <x:c r="X16" s="14" t="str">
        <x:v>Excluded: after 2025</x:v>
      </x:c>
      <x:c r="Y16" s="14"/>
      <x:c r="Z16" s="14" t="str">
        <x:v>Beyond Paradise.docx</x:v>
      </x:c>
      <x:c r="AA1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HYPERLINK("https://en.wikipedia.org/wiki/Beyond_Paradise","Open source")</x:f>
        <x:v>HYPERLINK is not implemented. linkLocation=https://en.wikipedia.org/wiki/Beyond_Paradise,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27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0.037037037037037035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tt21161156|nm15340873|adam walsh</x:v>
      </x:c>
      <x:c r="B17" s="14" t="str">
        <x:v>01</x:v>
      </x:c>
      <x:c r="C17" s="14" t="str">
        <x:v>2023_IMDb_Cast_Lists_Batch_01(2).xlsx</x:v>
      </x:c>
      <x:c r="D17" s="14" t="str">
        <x:v>Beyond Paradise</x:v>
      </x:c>
      <x:c r="E17" s="14" t="n">
        <x:v>74</x:v>
      </x:c>
      <x:c r="F17" s="14" t="str">
        <x:v>Beyond Paradise</x:v>
      </x:c>
      <x:c r="G17" s="14" t="str">
        <x:v>tt21161156</x:v>
      </x:c>
      <x:c r="H17" s="14" t="n">
        <x:v>2023</x:v>
      </x:c>
      <x:c r="I17" s="14" t="n">
        <x:v>2023</x:v>
      </x:c>
      <x:c r="J17" s="14" t="str">
        <x:v>Post-study cohort</x:v>
      </x:c>
      <x:c r="K17" s="14"/>
      <x:c r="L17" s="14" t="str">
        <x:v>Not inherited</x:v>
      </x:c>
      <x:c r="M17" s="15" t="n">
        <x:v>67</x:v>
      </x:c>
      <x:c r="N17" s="14" t="str">
        <x:v>Noah Thomas</x:v>
      </x:c>
      <x:c r="O17" s="14" t="str">
        <x:v>nm15340873</x:v>
      </x:c>
      <x:c r="P17" s="14" t="str">
        <x:v>Adam Walsh</x:v>
      </x:c>
      <x:c r="Q17" s="15" t="n">
        <x:v>1</x:v>
      </x:c>
      <x:c r="R17" s="14" t="str">
        <x:v>2026</x:v>
      </x:c>
      <x:c r="S17" s="14" t="n">
        <x:v>2026</x:v>
      </x:c>
      <x:c r="T17" s="14" t="n">
        <x:v>2026</x:v>
      </x:c>
      <x:c r="U17" s="14" t="str">
        <x:v>Explicit source first year retained</x:v>
      </x:c>
      <x:c r="V17" s="14" t="str">
        <x:v>Earliest supplied year is 2026.</x:v>
      </x:c>
      <x:c r="W17" s="14"/>
      <x:c r="X17" s="14" t="str">
        <x:v>Excluded: after 2025</x:v>
      </x:c>
      <x:c r="Y17" s="14"/>
      <x:c r="Z17" s="14" t="str">
        <x:v>Beyond Paradise.docx</x:v>
      </x:c>
      <x:c r="AA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HYPERLINK("https://en.wikipedia.org/wiki/Beyond_Paradise","Open source")</x:f>
        <x:v>HYPERLINK is not implemented. linkLocation=https://en.wikipedia.org/wiki/Beyond_Paradise,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27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0.037037037037037035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tt21161156|nm1789930|evan cole</x:v>
      </x:c>
      <x:c r="B18" s="14" t="str">
        <x:v>01</x:v>
      </x:c>
      <x:c r="C18" s="14" t="str">
        <x:v>2023_IMDb_Cast_Lists_Batch_01(2).xlsx</x:v>
      </x:c>
      <x:c r="D18" s="14" t="str">
        <x:v>Beyond Paradise</x:v>
      </x:c>
      <x:c r="E18" s="14" t="n">
        <x:v>79</x:v>
      </x:c>
      <x:c r="F18" s="14" t="str">
        <x:v>Beyond Paradise</x:v>
      </x:c>
      <x:c r="G18" s="14" t="str">
        <x:v>tt21161156</x:v>
      </x:c>
      <x:c r="H18" s="14" t="n">
        <x:v>2023</x:v>
      </x:c>
      <x:c r="I18" s="14" t="n">
        <x:v>2023</x:v>
      </x:c>
      <x:c r="J18" s="14" t="str">
        <x:v>Post-study cohort</x:v>
      </x:c>
      <x:c r="K18" s="14"/>
      <x:c r="L18" s="14" t="str">
        <x:v>Not inherited</x:v>
      </x:c>
      <x:c r="M18" s="15" t="n">
        <x:v>72</x:v>
      </x:c>
      <x:c r="N18" s="14" t="str">
        <x:v>Ian Hughes</x:v>
      </x:c>
      <x:c r="O18" s="14" t="str">
        <x:v>nm1789930</x:v>
      </x:c>
      <x:c r="P18" s="14" t="str">
        <x:v>Evan Cole</x:v>
      </x:c>
      <x:c r="Q18" s="15" t="n">
        <x:v>1</x:v>
      </x:c>
      <x:c r="R18" s="14" t="str">
        <x:v>2026</x:v>
      </x:c>
      <x:c r="S18" s="14" t="n">
        <x:v>2026</x:v>
      </x:c>
      <x:c r="T18" s="14" t="n">
        <x:v>2026</x:v>
      </x:c>
      <x:c r="U18" s="14" t="str">
        <x:v>Explicit source first year retained</x:v>
      </x:c>
      <x:c r="V18" s="14" t="str">
        <x:v>Earliest supplied year is 2026.</x:v>
      </x:c>
      <x:c r="W18" s="14"/>
      <x:c r="X18" s="14" t="str">
        <x:v>Excluded: after 2025</x:v>
      </x:c>
      <x:c r="Y18" s="14"/>
      <x:c r="Z18" s="14" t="str">
        <x:v>Beyond Paradise.docx</x:v>
      </x:c>
      <x:c r="AA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HYPERLINK("https://en.wikipedia.org/wiki/Beyond_Paradise","Open source")</x:f>
        <x:v>HYPERLINK is not implemented. linkLocation=https://en.wikipedia.org/wiki/Beyond_Paradise,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27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0.037037037037037035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tt21161156|nm3864730|woody</x:v>
      </x:c>
      <x:c r="B19" s="14" t="str">
        <x:v>01</x:v>
      </x:c>
      <x:c r="C19" s="14" t="str">
        <x:v>2023_IMDb_Cast_Lists_Batch_01(2).xlsx</x:v>
      </x:c>
      <x:c r="D19" s="14" t="str">
        <x:v>Beyond Paradise</x:v>
      </x:c>
      <x:c r="E19" s="14" t="n">
        <x:v>83</x:v>
      </x:c>
      <x:c r="F19" s="14" t="str">
        <x:v>Beyond Paradise</x:v>
      </x:c>
      <x:c r="G19" s="14" t="str">
        <x:v>tt21161156</x:v>
      </x:c>
      <x:c r="H19" s="14" t="n">
        <x:v>2023</x:v>
      </x:c>
      <x:c r="I19" s="14" t="n">
        <x:v>2023</x:v>
      </x:c>
      <x:c r="J19" s="14" t="str">
        <x:v>Post-study cohort</x:v>
      </x:c>
      <x:c r="K19" s="14"/>
      <x:c r="L19" s="14" t="str">
        <x:v>Not inherited</x:v>
      </x:c>
      <x:c r="M19" s="15" t="n">
        <x:v>76</x:v>
      </x:c>
      <x:c r="N19" s="14" t="str">
        <x:v>Nathan Dean Williams</x:v>
      </x:c>
      <x:c r="O19" s="14" t="str">
        <x:v>nm3864730</x:v>
      </x:c>
      <x:c r="P19" s="14" t="str">
        <x:v>Woody</x:v>
      </x:c>
      <x:c r="Q19" s="15" t="n">
        <x:v>1</x:v>
      </x:c>
      <x:c r="R19" s="14" t="str">
        <x:v>2026</x:v>
      </x:c>
      <x:c r="S19" s="14" t="n">
        <x:v>2026</x:v>
      </x:c>
      <x:c r="T19" s="14" t="n">
        <x:v>2026</x:v>
      </x:c>
      <x:c r="U19" s="14" t="str">
        <x:v>Explicit source first year retained</x:v>
      </x:c>
      <x:c r="V19" s="14" t="str">
        <x:v>Earliest supplied year is 2026.</x:v>
      </x:c>
      <x:c r="W19" s="14"/>
      <x:c r="X19" s="14" t="str">
        <x:v>Excluded: after 2025</x:v>
      </x:c>
      <x:c r="Y19" s="14"/>
      <x:c r="Z19" s="14" t="str">
        <x:v>Beyond Paradise.docx</x:v>
      </x:c>
      <x:c r="AA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HYPERLINK("https://en.wikipedia.org/wiki/Beyond_Paradise","Open source")</x:f>
        <x:v>HYPERLINK is not implemented. linkLocation=https://en.wikipedia.org/wiki/Beyond_Paradise,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27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0.037037037037037035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tt21161156|nm0910312|geraldine desai</x:v>
      </x:c>
      <x:c r="B20" s="14" t="str">
        <x:v>01</x:v>
      </x:c>
      <x:c r="C20" s="14" t="str">
        <x:v>2023_IMDb_Cast_Lists_Batch_01(2).xlsx</x:v>
      </x:c>
      <x:c r="D20" s="14" t="str">
        <x:v>Beyond Paradise</x:v>
      </x:c>
      <x:c r="E20" s="14" t="n">
        <x:v>89</x:v>
      </x:c>
      <x:c r="F20" s="14" t="str">
        <x:v>Beyond Paradise</x:v>
      </x:c>
      <x:c r="G20" s="14" t="str">
        <x:v>tt21161156</x:v>
      </x:c>
      <x:c r="H20" s="14" t="n">
        <x:v>2023</x:v>
      </x:c>
      <x:c r="I20" s="14" t="n">
        <x:v>2023</x:v>
      </x:c>
      <x:c r="J20" s="14" t="str">
        <x:v>Post-study cohort</x:v>
      </x:c>
      <x:c r="K20" s="14"/>
      <x:c r="L20" s="14" t="str">
        <x:v>Not inherited</x:v>
      </x:c>
      <x:c r="M20" s="15" t="n">
        <x:v>82</x:v>
      </x:c>
      <x:c r="N20" s="14" t="str">
        <x:v>Melanie Walters</x:v>
      </x:c>
      <x:c r="O20" s="14" t="str">
        <x:v>nm0910312</x:v>
      </x:c>
      <x:c r="P20" s="14" t="str">
        <x:v>Geraldine Desai</x:v>
      </x:c>
      <x:c r="Q20" s="15" t="n">
        <x:v>1</x:v>
      </x:c>
      <x:c r="R20" s="14" t="str">
        <x:v>2026</x:v>
      </x:c>
      <x:c r="S20" s="14" t="n">
        <x:v>2026</x:v>
      </x:c>
      <x:c r="T20" s="14" t="n">
        <x:v>2026</x:v>
      </x:c>
      <x:c r="U20" s="14" t="str">
        <x:v>Explicit source first year retained</x:v>
      </x:c>
      <x:c r="V20" s="14" t="str">
        <x:v>Earliest supplied year is 2026.</x:v>
      </x:c>
      <x:c r="W20" s="14"/>
      <x:c r="X20" s="14" t="str">
        <x:v>Excluded: after 2025</x:v>
      </x:c>
      <x:c r="Y20" s="14"/>
      <x:c r="Z20" s="14" t="str">
        <x:v>Beyond Paradise.docx</x:v>
      </x:c>
      <x:c r="AA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HYPERLINK("https://en.wikipedia.org/wiki/Beyond_Paradise","Open source")</x:f>
        <x:v>HYPERLINK is not implemented. linkLocation=https://en.wikipedia.org/wiki/Beyond_Paradise,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27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0.037037037037037035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tt21161156|nm1694775|alex</x:v>
      </x:c>
      <x:c r="B21" s="14" t="str">
        <x:v>01</x:v>
      </x:c>
      <x:c r="C21" s="14" t="str">
        <x:v>2023_IMDb_Cast_Lists_Batch_01(2).xlsx</x:v>
      </x:c>
      <x:c r="D21" s="14" t="str">
        <x:v>Beyond Paradise</x:v>
      </x:c>
      <x:c r="E21" s="14" t="n">
        <x:v>90</x:v>
      </x:c>
      <x:c r="F21" s="14" t="str">
        <x:v>Beyond Paradise</x:v>
      </x:c>
      <x:c r="G21" s="14" t="str">
        <x:v>tt21161156</x:v>
      </x:c>
      <x:c r="H21" s="14" t="n">
        <x:v>2023</x:v>
      </x:c>
      <x:c r="I21" s="14" t="n">
        <x:v>2023</x:v>
      </x:c>
      <x:c r="J21" s="14" t="str">
        <x:v>Post-study cohort</x:v>
      </x:c>
      <x:c r="K21" s="14"/>
      <x:c r="L21" s="14" t="str">
        <x:v>Not inherited</x:v>
      </x:c>
      <x:c r="M21" s="15" t="n">
        <x:v>83</x:v>
      </x:c>
      <x:c r="N21" s="14" t="str">
        <x:v>Avita Jay</x:v>
      </x:c>
      <x:c r="O21" s="14" t="str">
        <x:v>nm1694775</x:v>
      </x:c>
      <x:c r="P21" s="14" t="str">
        <x:v>Alex</x:v>
      </x:c>
      <x:c r="Q21" s="15" t="n">
        <x:v>1</x:v>
      </x:c>
      <x:c r="R21" s="14" t="str">
        <x:v>2026</x:v>
      </x:c>
      <x:c r="S21" s="14" t="n">
        <x:v>2026</x:v>
      </x:c>
      <x:c r="T21" s="14" t="n">
        <x:v>2026</x:v>
      </x:c>
      <x:c r="U21" s="14" t="str">
        <x:v>Explicit source first year retained</x:v>
      </x:c>
      <x:c r="V21" s="14" t="str">
        <x:v>Earliest supplied year is 2026.</x:v>
      </x:c>
      <x:c r="W21" s="14"/>
      <x:c r="X21" s="14" t="str">
        <x:v>Excluded: after 2025</x:v>
      </x:c>
      <x:c r="Y21" s="14"/>
      <x:c r="Z21" s="14" t="str">
        <x:v>Beyond Paradise.docx</x:v>
      </x:c>
      <x:c r="AA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HYPERLINK("https://en.wikipedia.org/wiki/Beyond_Paradise","Open source")</x:f>
        <x:v>HYPERLINK is not implemented. linkLocation=https://en.wikipedia.org/wiki/Beyond_Paradise,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27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0.037037037037037035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tt21161156|nm1276507|anthony westley</x:v>
      </x:c>
      <x:c r="B22" s="14" t="str">
        <x:v>01</x:v>
      </x:c>
      <x:c r="C22" s="14" t="str">
        <x:v>2023_IMDb_Cast_Lists_Batch_01(2).xlsx</x:v>
      </x:c>
      <x:c r="D22" s="14" t="str">
        <x:v>Beyond Paradise</x:v>
      </x:c>
      <x:c r="E22" s="14" t="n">
        <x:v>96</x:v>
      </x:c>
      <x:c r="F22" s="14" t="str">
        <x:v>Beyond Paradise</x:v>
      </x:c>
      <x:c r="G22" s="14" t="str">
        <x:v>tt21161156</x:v>
      </x:c>
      <x:c r="H22" s="14" t="n">
        <x:v>2023</x:v>
      </x:c>
      <x:c r="I22" s="14" t="n">
        <x:v>2023</x:v>
      </x:c>
      <x:c r="J22" s="14" t="str">
        <x:v>Post-study cohort</x:v>
      </x:c>
      <x:c r="K22" s="14"/>
      <x:c r="L22" s="14" t="str">
        <x:v>Not inherited</x:v>
      </x:c>
      <x:c r="M22" s="15" t="n">
        <x:v>89</x:v>
      </x:c>
      <x:c r="N22" s="14" t="str">
        <x:v>Alex Macqueen</x:v>
      </x:c>
      <x:c r="O22" s="14" t="str">
        <x:v>nm1276507</x:v>
      </x:c>
      <x:c r="P22" s="14" t="str">
        <x:v>Anthony Westley</x:v>
      </x:c>
      <x:c r="Q22" s="15" t="n">
        <x:v>1</x:v>
      </x:c>
      <x:c r="R22" s="14" t="str">
        <x:v>2026</x:v>
      </x:c>
      <x:c r="S22" s="14" t="n">
        <x:v>2026</x:v>
      </x:c>
      <x:c r="T22" s="14" t="n">
        <x:v>2026</x:v>
      </x:c>
      <x:c r="U22" s="14" t="str">
        <x:v>Explicit source first year retained</x:v>
      </x:c>
      <x:c r="V22" s="14" t="str">
        <x:v>Earliest supplied year is 2026.</x:v>
      </x:c>
      <x:c r="W22" s="14"/>
      <x:c r="X22" s="14" t="str">
        <x:v>Excluded: after 2025</x:v>
      </x:c>
      <x:c r="Y22" s="14"/>
      <x:c r="Z22" s="14" t="str">
        <x:v>Beyond Paradise.docx</x:v>
      </x:c>
      <x:c r="AA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HYPERLINK("https://en.wikipedia.org/wiki/Beyond_Paradise","Open source")</x:f>
        <x:v>HYPERLINK is not implemented. linkLocation=https://en.wikipedia.org/wiki/Beyond_Paradise,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27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0.037037037037037035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tt21161156|nm1544411|diana cooper</x:v>
      </x:c>
      <x:c r="B23" s="14" t="str">
        <x:v>01</x:v>
      </x:c>
      <x:c r="C23" s="14" t="str">
        <x:v>2023_IMDb_Cast_Lists_Batch_01(2).xlsx</x:v>
      </x:c>
      <x:c r="D23" s="14" t="str">
        <x:v>Beyond Paradise</x:v>
      </x:c>
      <x:c r="E23" s="14" t="n">
        <x:v>97</x:v>
      </x:c>
      <x:c r="F23" s="14" t="str">
        <x:v>Beyond Paradise</x:v>
      </x:c>
      <x:c r="G23" s="14" t="str">
        <x:v>tt21161156</x:v>
      </x:c>
      <x:c r="H23" s="14" t="n">
        <x:v>2023</x:v>
      </x:c>
      <x:c r="I23" s="14" t="n">
        <x:v>2023</x:v>
      </x:c>
      <x:c r="J23" s="14" t="str">
        <x:v>Post-study cohort</x:v>
      </x:c>
      <x:c r="K23" s="14"/>
      <x:c r="L23" s="14" t="str">
        <x:v>Not inherited</x:v>
      </x:c>
      <x:c r="M23" s="15" t="n">
        <x:v>90</x:v>
      </x:c>
      <x:c r="N23" s="14" t="str">
        <x:v>Rina Mahoney</x:v>
      </x:c>
      <x:c r="O23" s="14" t="str">
        <x:v>nm1544411</x:v>
      </x:c>
      <x:c r="P23" s="14" t="str">
        <x:v>Diana Cooper</x:v>
      </x:c>
      <x:c r="Q23" s="15" t="n">
        <x:v>1</x:v>
      </x:c>
      <x:c r="R23" s="14" t="str">
        <x:v>2026</x:v>
      </x:c>
      <x:c r="S23" s="14" t="n">
        <x:v>2026</x:v>
      </x:c>
      <x:c r="T23" s="14" t="n">
        <x:v>2026</x:v>
      </x:c>
      <x:c r="U23" s="14" t="str">
        <x:v>Explicit source first year retained</x:v>
      </x:c>
      <x:c r="V23" s="14" t="str">
        <x:v>Earliest supplied year is 2026.</x:v>
      </x:c>
      <x:c r="W23" s="14"/>
      <x:c r="X23" s="14" t="str">
        <x:v>Excluded: after 2025</x:v>
      </x:c>
      <x:c r="Y23" s="14"/>
      <x:c r="Z23" s="14" t="str">
        <x:v>Beyond Paradise.docx</x:v>
      </x:c>
      <x:c r="AA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HYPERLINK("https://en.wikipedia.org/wiki/Beyond_Paradise","Open source")</x:f>
        <x:v>HYPERLINK is not implemented. linkLocation=https://en.wikipedia.org/wiki/Beyond_Paradise,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27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0.037037037037037035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tt21161156|nm1528713|janice</x:v>
      </x:c>
      <x:c r="B24" s="14" t="str">
        <x:v>01</x:v>
      </x:c>
      <x:c r="C24" s="14" t="str">
        <x:v>2023_IMDb_Cast_Lists_Batch_01(2).xlsx</x:v>
      </x:c>
      <x:c r="D24" s="14" t="str">
        <x:v>Beyond Paradise</x:v>
      </x:c>
      <x:c r="E24" s="14" t="n">
        <x:v>98</x:v>
      </x:c>
      <x:c r="F24" s="14" t="str">
        <x:v>Beyond Paradise</x:v>
      </x:c>
      <x:c r="G24" s="14" t="str">
        <x:v>tt21161156</x:v>
      </x:c>
      <x:c r="H24" s="14" t="n">
        <x:v>2023</x:v>
      </x:c>
      <x:c r="I24" s="14" t="n">
        <x:v>2023</x:v>
      </x:c>
      <x:c r="J24" s="14" t="str">
        <x:v>Post-study cohort</x:v>
      </x:c>
      <x:c r="K24" s="14"/>
      <x:c r="L24" s="14" t="str">
        <x:v>Not inherited</x:v>
      </x:c>
      <x:c r="M24" s="15" t="n">
        <x:v>91</x:v>
      </x:c>
      <x:c r="N24" s="14" t="str">
        <x:v>Yasmin Wilde</x:v>
      </x:c>
      <x:c r="O24" s="14" t="str">
        <x:v>nm1528713</x:v>
      </x:c>
      <x:c r="P24" s="14" t="str">
        <x:v>Janice</x:v>
      </x:c>
      <x:c r="Q24" s="15" t="n">
        <x:v>1</x:v>
      </x:c>
      <x:c r="R24" s="14" t="str">
        <x:v>2026</x:v>
      </x:c>
      <x:c r="S24" s="14" t="n">
        <x:v>2026</x:v>
      </x:c>
      <x:c r="T24" s="14" t="n">
        <x:v>2026</x:v>
      </x:c>
      <x:c r="U24" s="14" t="str">
        <x:v>Explicit source first year retained</x:v>
      </x:c>
      <x:c r="V24" s="14" t="str">
        <x:v>Earliest supplied year is 2026.</x:v>
      </x:c>
      <x:c r="W24" s="14"/>
      <x:c r="X24" s="14" t="str">
        <x:v>Excluded: after 2025</x:v>
      </x:c>
      <x:c r="Y24" s="14"/>
      <x:c r="Z24" s="14" t="str">
        <x:v>Beyond Paradise.docx</x:v>
      </x:c>
      <x:c r="AA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HYPERLINK("https://en.wikipedia.org/wiki/Beyond_Paradise","Open source")</x:f>
        <x:v>HYPERLINK is not implemented. linkLocation=https://en.wikipedia.org/wiki/Beyond_Paradise,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27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0.037037037037037035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tt21161156|nm0171674|edmund</x:v>
      </x:c>
      <x:c r="B25" s="14" t="str">
        <x:v>01</x:v>
      </x:c>
      <x:c r="C25" s="14" t="str">
        <x:v>2023_IMDb_Cast_Lists_Batch_01(2).xlsx</x:v>
      </x:c>
      <x:c r="D25" s="14" t="str">
        <x:v>Beyond Paradise</x:v>
      </x:c>
      <x:c r="E25" s="14" t="n">
        <x:v>108</x:v>
      </x:c>
      <x:c r="F25" s="14" t="str">
        <x:v>Beyond Paradise</x:v>
      </x:c>
      <x:c r="G25" s="14" t="str">
        <x:v>tt21161156</x:v>
      </x:c>
      <x:c r="H25" s="14" t="n">
        <x:v>2023</x:v>
      </x:c>
      <x:c r="I25" s="14" t="n">
        <x:v>2023</x:v>
      </x:c>
      <x:c r="J25" s="14" t="str">
        <x:v>Post-study cohort</x:v>
      </x:c>
      <x:c r="K25" s="14"/>
      <x:c r="L25" s="14" t="str">
        <x:v>Not inherited</x:v>
      </x:c>
      <x:c r="M25" s="15" t="n">
        <x:v>101</x:v>
      </x:c>
      <x:c r="N25" s="14" t="str">
        <x:v>Kenneth Collard</x:v>
      </x:c>
      <x:c r="O25" s="14" t="str">
        <x:v>nm0171674</x:v>
      </x:c>
      <x:c r="P25" s="14" t="str">
        <x:v>Edmund</x:v>
      </x:c>
      <x:c r="Q25" s="15" t="n">
        <x:v>1</x:v>
      </x:c>
      <x:c r="R25" s="14" t="str">
        <x:v>2026</x:v>
      </x:c>
      <x:c r="S25" s="14" t="n">
        <x:v>2026</x:v>
      </x:c>
      <x:c r="T25" s="14" t="n">
        <x:v>2026</x:v>
      </x:c>
      <x:c r="U25" s="14" t="str">
        <x:v>Explicit source first year retained</x:v>
      </x:c>
      <x:c r="V25" s="14" t="str">
        <x:v>Earliest supplied year is 2026.</x:v>
      </x:c>
      <x:c r="W25" s="14"/>
      <x:c r="X25" s="14" t="str">
        <x:v>Excluded: after 2025</x:v>
      </x:c>
      <x:c r="Y25" s="14"/>
      <x:c r="Z25" s="14" t="str">
        <x:v>Beyond Paradise.docx</x:v>
      </x:c>
      <x:c r="AA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HYPERLINK("https://en.wikipedia.org/wiki/Beyond_Paradise","Open source")</x:f>
        <x:v>HYPERLINK is not implemented. linkLocation=https://en.wikipedia.org/wiki/Beyond_Paradise,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27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0.037037037037037035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tt21161156|nm0836435|dr. clive harris</x:v>
      </x:c>
      <x:c r="B26" s="14" t="str">
        <x:v>01</x:v>
      </x:c>
      <x:c r="C26" s="14" t="str">
        <x:v>2023_IMDb_Cast_Lists_Batch_01(2).xlsx</x:v>
      </x:c>
      <x:c r="D26" s="14" t="str">
        <x:v>Beyond Paradise</x:v>
      </x:c>
      <x:c r="E26" s="14" t="n">
        <x:v>109</x:v>
      </x:c>
      <x:c r="F26" s="14" t="str">
        <x:v>Beyond Paradise</x:v>
      </x:c>
      <x:c r="G26" s="14" t="str">
        <x:v>tt21161156</x:v>
      </x:c>
      <x:c r="H26" s="14" t="n">
        <x:v>2023</x:v>
      </x:c>
      <x:c r="I26" s="14" t="n">
        <x:v>2023</x:v>
      </x:c>
      <x:c r="J26" s="14" t="str">
        <x:v>Post-study cohort</x:v>
      </x:c>
      <x:c r="K26" s="14"/>
      <x:c r="L26" s="14" t="str">
        <x:v>Not inherited</x:v>
      </x:c>
      <x:c r="M26" s="15" t="n">
        <x:v>102</x:v>
      </x:c>
      <x:c r="N26" s="14" t="str">
        <x:v>Tristan Sturrock</x:v>
      </x:c>
      <x:c r="O26" s="14" t="str">
        <x:v>nm0836435</x:v>
      </x:c>
      <x:c r="P26" s="14" t="str">
        <x:v>Dr. Clive Harris</x:v>
      </x:c>
      <x:c r="Q26" s="15" t="n">
        <x:v>1</x:v>
      </x:c>
      <x:c r="R26" s="14" t="str">
        <x:v>2026</x:v>
      </x:c>
      <x:c r="S26" s="14" t="n">
        <x:v>2026</x:v>
      </x:c>
      <x:c r="T26" s="14" t="n">
        <x:v>2026</x:v>
      </x:c>
      <x:c r="U26" s="14" t="str">
        <x:v>Explicit source first year retained</x:v>
      </x:c>
      <x:c r="V26" s="14" t="str">
        <x:v>Earliest supplied year is 2026.</x:v>
      </x:c>
      <x:c r="W26" s="14"/>
      <x:c r="X26" s="14" t="str">
        <x:v>Excluded: after 2025</x:v>
      </x:c>
      <x:c r="Y26" s="14"/>
      <x:c r="Z26" s="14" t="str">
        <x:v>Beyond Paradise.docx</x:v>
      </x:c>
      <x:c r="AA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HYPERLINK("https://en.wikipedia.org/wiki/Beyond_Paradise","Open source")</x:f>
        <x:v>HYPERLINK is not implemented. linkLocation=https://en.wikipedia.org/wiki/Beyond_Paradise, friendlyName=Open source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27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0.037037037037037035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tt21161156|nm0545324|bethan hughes</x:v>
      </x:c>
      <x:c r="B27" s="14" t="str">
        <x:v>01</x:v>
      </x:c>
      <x:c r="C27" s="14" t="str">
        <x:v>2023_IMDb_Cast_Lists_Batch_01(2).xlsx</x:v>
      </x:c>
      <x:c r="D27" s="14" t="str">
        <x:v>Beyond Paradise</x:v>
      </x:c>
      <x:c r="E27" s="14" t="n">
        <x:v>110</x:v>
      </x:c>
      <x:c r="F27" s="14" t="str">
        <x:v>Beyond Paradise</x:v>
      </x:c>
      <x:c r="G27" s="14" t="str">
        <x:v>tt21161156</x:v>
      </x:c>
      <x:c r="H27" s="14" t="n">
        <x:v>2023</x:v>
      </x:c>
      <x:c r="I27" s="14" t="n">
        <x:v>2023</x:v>
      </x:c>
      <x:c r="J27" s="14" t="str">
        <x:v>Post-study cohort</x:v>
      </x:c>
      <x:c r="K27" s="14"/>
      <x:c r="L27" s="14" t="str">
        <x:v>Not inherited</x:v>
      </x:c>
      <x:c r="M27" s="15" t="n">
        <x:v>103</x:v>
      </x:c>
      <x:c r="N27" s="14" t="str">
        <x:v>Nimmy March</x:v>
      </x:c>
      <x:c r="O27" s="14" t="str">
        <x:v>nm0545324</x:v>
      </x:c>
      <x:c r="P27" s="14" t="str">
        <x:v>Bethan Hughes</x:v>
      </x:c>
      <x:c r="Q27" s="15" t="n">
        <x:v>1</x:v>
      </x:c>
      <x:c r="R27" s="14" t="str">
        <x:v>2026</x:v>
      </x:c>
      <x:c r="S27" s="14" t="n">
        <x:v>2026</x:v>
      </x:c>
      <x:c r="T27" s="14" t="n">
        <x:v>2026</x:v>
      </x:c>
      <x:c r="U27" s="14" t="str">
        <x:v>Explicit source first year retained</x:v>
      </x:c>
      <x:c r="V27" s="14" t="str">
        <x:v>Earliest supplied year is 2026.</x:v>
      </x:c>
      <x:c r="W27" s="14"/>
      <x:c r="X27" s="14" t="str">
        <x:v>Excluded: after 2025</x:v>
      </x:c>
      <x:c r="Y27" s="14"/>
      <x:c r="Z27" s="14" t="str">
        <x:v>Beyond Paradise.docx</x:v>
      </x:c>
      <x:c r="AA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HYPERLINK("https://en.wikipedia.org/wiki/Beyond_Paradise","Open source")</x:f>
        <x:v>HYPERLINK is not implemented. linkLocation=https://en.wikipedia.org/wiki/Beyond_Paradise, friendlyName=Open source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27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0.037037037037037035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tt21161156|nm0760235|sanjeev &amp; dev desai</x:v>
      </x:c>
      <x:c r="B28" s="14" t="str">
        <x:v>01</x:v>
      </x:c>
      <x:c r="C28" s="14" t="str">
        <x:v>2023_IMDb_Cast_Lists_Batch_01(2).xlsx</x:v>
      </x:c>
      <x:c r="D28" s="14" t="str">
        <x:v>Beyond Paradise</x:v>
      </x:c>
      <x:c r="E28" s="14" t="n">
        <x:v>111</x:v>
      </x:c>
      <x:c r="F28" s="14" t="str">
        <x:v>Beyond Paradise</x:v>
      </x:c>
      <x:c r="G28" s="14" t="str">
        <x:v>tt21161156</x:v>
      </x:c>
      <x:c r="H28" s="14" t="n">
        <x:v>2023</x:v>
      </x:c>
      <x:c r="I28" s="14" t="n">
        <x:v>2023</x:v>
      </x:c>
      <x:c r="J28" s="14" t="str">
        <x:v>Post-study cohort</x:v>
      </x:c>
      <x:c r="K28" s="14"/>
      <x:c r="L28" s="14" t="str">
        <x:v>Not inherited</x:v>
      </x:c>
      <x:c r="M28" s="15" t="n">
        <x:v>104</x:v>
      </x:c>
      <x:c r="N28" s="14" t="str">
        <x:v>Narinder Samra</x:v>
      </x:c>
      <x:c r="O28" s="14" t="str">
        <x:v>nm0760235</x:v>
      </x:c>
      <x:c r="P28" s="14" t="str">
        <x:v>Sanjeev &amp; Dev Desai</x:v>
      </x:c>
      <x:c r="Q28" s="15" t="n">
        <x:v>1</x:v>
      </x:c>
      <x:c r="R28" s="14" t="str">
        <x:v>2026</x:v>
      </x:c>
      <x:c r="S28" s="14" t="n">
        <x:v>2026</x:v>
      </x:c>
      <x:c r="T28" s="14" t="n">
        <x:v>2026</x:v>
      </x:c>
      <x:c r="U28" s="14" t="str">
        <x:v>Explicit source first year retained</x:v>
      </x:c>
      <x:c r="V28" s="14" t="str">
        <x:v>Earliest supplied year is 2026.</x:v>
      </x:c>
      <x:c r="W28" s="14"/>
      <x:c r="X28" s="14" t="str">
        <x:v>Excluded: after 2025</x:v>
      </x:c>
      <x:c r="Y28" s="14"/>
      <x:c r="Z28" s="14" t="str">
        <x:v>Beyond Paradise.docx</x:v>
      </x:c>
      <x:c r="AA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HYPERLINK("https://en.wikipedia.org/wiki/Beyond_Paradise","Open source")</x:f>
        <x:v>HYPERLINK is not implemented. linkLocation=https://en.wikipedia.org/wiki/Beyond_Paradise, friendlyName=Open source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27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0.037037037037037035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tt21161156|nm3921627|lee outram</x:v>
      </x:c>
      <x:c r="B29" s="14" t="str">
        <x:v>01</x:v>
      </x:c>
      <x:c r="C29" s="14" t="str">
        <x:v>2023_IMDb_Cast_Lists_Batch_01(2).xlsx</x:v>
      </x:c>
      <x:c r="D29" s="14" t="str">
        <x:v>Beyond Paradise</x:v>
      </x:c>
      <x:c r="E29" s="14" t="n">
        <x:v>123</x:v>
      </x:c>
      <x:c r="F29" s="14" t="str">
        <x:v>Beyond Paradise</x:v>
      </x:c>
      <x:c r="G29" s="14" t="str">
        <x:v>tt21161156</x:v>
      </x:c>
      <x:c r="H29" s="14" t="n">
        <x:v>2023</x:v>
      </x:c>
      <x:c r="I29" s="14" t="n">
        <x:v>2023</x:v>
      </x:c>
      <x:c r="J29" s="14" t="str">
        <x:v>Post-study cohort</x:v>
      </x:c>
      <x:c r="K29" s="14"/>
      <x:c r="L29" s="14" t="str">
        <x:v>Not inherited</x:v>
      </x:c>
      <x:c r="M29" s="15" t="n">
        <x:v>116</x:v>
      </x:c>
      <x:c r="N29" s="14" t="str">
        <x:v>James Clay</x:v>
      </x:c>
      <x:c r="O29" s="14" t="str">
        <x:v>nm3921627</x:v>
      </x:c>
      <x:c r="P29" s="14" t="str">
        <x:v>Lee Outram</x:v>
      </x:c>
      <x:c r="Q29" s="15" t="n">
        <x:v>1</x:v>
      </x:c>
      <x:c r="R29" s="14" t="str">
        <x:v>2026</x:v>
      </x:c>
      <x:c r="S29" s="14" t="n">
        <x:v>2026</x:v>
      </x:c>
      <x:c r="T29" s="14" t="n">
        <x:v>2026</x:v>
      </x:c>
      <x:c r="U29" s="14" t="str">
        <x:v>Explicit source first year retained</x:v>
      </x:c>
      <x:c r="V29" s="14" t="str">
        <x:v>Earliest supplied year is 2026.</x:v>
      </x:c>
      <x:c r="W29" s="14"/>
      <x:c r="X29" s="14" t="str">
        <x:v>Excluded: after 2025</x:v>
      </x:c>
      <x:c r="Y29" s="14"/>
      <x:c r="Z29" s="14" t="str">
        <x:v>Beyond Paradise.docx</x:v>
      </x:c>
      <x:c r="AA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HYPERLINK("https://en.wikipedia.org/wiki/Beyond_Paradise","Open source")</x:f>
        <x:v>HYPERLINK is not implemented. linkLocation=https://en.wikipedia.org/wiki/Beyond_Paradise, friendlyName=Open source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27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0.037037037037037035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tt21161156|nm18377303|lacy dingleby</x:v>
      </x:c>
      <x:c r="B30" s="14" t="str">
        <x:v>01</x:v>
      </x:c>
      <x:c r="C30" s="14" t="str">
        <x:v>2023_IMDb_Cast_Lists_Batch_01(2).xlsx</x:v>
      </x:c>
      <x:c r="D30" s="14" t="str">
        <x:v>Beyond Paradise</x:v>
      </x:c>
      <x:c r="E30" s="14" t="n">
        <x:v>124</x:v>
      </x:c>
      <x:c r="F30" s="14" t="str">
        <x:v>Beyond Paradise</x:v>
      </x:c>
      <x:c r="G30" s="14" t="str">
        <x:v>tt21161156</x:v>
      </x:c>
      <x:c r="H30" s="14" t="n">
        <x:v>2023</x:v>
      </x:c>
      <x:c r="I30" s="14" t="n">
        <x:v>2023</x:v>
      </x:c>
      <x:c r="J30" s="14" t="str">
        <x:v>Post-study cohort</x:v>
      </x:c>
      <x:c r="K30" s="14"/>
      <x:c r="L30" s="14" t="str">
        <x:v>Not inherited</x:v>
      </x:c>
      <x:c r="M30" s="15" t="n">
        <x:v>117</x:v>
      </x:c>
      <x:c r="N30" s="14" t="str">
        <x:v>Talia Robens</x:v>
      </x:c>
      <x:c r="O30" s="14" t="str">
        <x:v>nm18377303</x:v>
      </x:c>
      <x:c r="P30" s="14" t="str">
        <x:v>Lacy Dingleby</x:v>
      </x:c>
      <x:c r="Q30" s="15" t="n">
        <x:v>1</x:v>
      </x:c>
      <x:c r="R30" s="14" t="str">
        <x:v>2026</x:v>
      </x:c>
      <x:c r="S30" s="14" t="n">
        <x:v>2026</x:v>
      </x:c>
      <x:c r="T30" s="14" t="n">
        <x:v>2026</x:v>
      </x:c>
      <x:c r="U30" s="14" t="str">
        <x:v>Explicit source first year retained</x:v>
      </x:c>
      <x:c r="V30" s="14" t="str">
        <x:v>Earliest supplied year is 2026.</x:v>
      </x:c>
      <x:c r="W30" s="14"/>
      <x:c r="X30" s="14" t="str">
        <x:v>Excluded: after 2025</x:v>
      </x:c>
      <x:c r="Y30" s="14"/>
      <x:c r="Z30" s="14" t="str">
        <x:v>Beyond Paradise.docx</x:v>
      </x:c>
      <x:c r="AA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HYPERLINK("https://en.wikipedia.org/wiki/Beyond_Paradise","Open source")</x:f>
        <x:v>HYPERLINK is not implemented. linkLocation=https://en.wikipedia.org/wiki/Beyond_Paradise, friendlyName=Open source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27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0.037037037037037035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tt21161156|nm0001265|dr. mary rhodes</x:v>
      </x:c>
      <x:c r="B31" s="14" t="str">
        <x:v>01</x:v>
      </x:c>
      <x:c r="C31" s="14" t="str">
        <x:v>2023_IMDb_Cast_Lists_Batch_01(2).xlsx</x:v>
      </x:c>
      <x:c r="D31" s="14" t="str">
        <x:v>Beyond Paradise</x:v>
      </x:c>
      <x:c r="E31" s="14" t="n">
        <x:v>134</x:v>
      </x:c>
      <x:c r="F31" s="14" t="str">
        <x:v>Beyond Paradise</x:v>
      </x:c>
      <x:c r="G31" s="14" t="str">
        <x:v>tt21161156</x:v>
      </x:c>
      <x:c r="H31" s="14" t="n">
        <x:v>2023</x:v>
      </x:c>
      <x:c r="I31" s="14" t="n">
        <x:v>2023</x:v>
      </x:c>
      <x:c r="J31" s="14" t="str">
        <x:v>Post-study cohort</x:v>
      </x:c>
      <x:c r="K31" s="14"/>
      <x:c r="L31" s="14" t="str">
        <x:v>Not inherited</x:v>
      </x:c>
      <x:c r="M31" s="15" t="n">
        <x:v>127</x:v>
      </x:c>
      <x:c r="N31" s="14" t="str">
        <x:v>Susan George</x:v>
      </x:c>
      <x:c r="O31" s="14" t="str">
        <x:v>nm0001265</x:v>
      </x:c>
      <x:c r="P31" s="14" t="str">
        <x:v>Dr. Mary Rhodes</x:v>
      </x:c>
      <x:c r="Q31" s="15" t="n">
        <x:v>1</x:v>
      </x:c>
      <x:c r="R31" s="14" t="str">
        <x:v>2026</x:v>
      </x:c>
      <x:c r="S31" s="14" t="n">
        <x:v>2026</x:v>
      </x:c>
      <x:c r="T31" s="14" t="n">
        <x:v>2026</x:v>
      </x:c>
      <x:c r="U31" s="14" t="str">
        <x:v>Explicit source first year retained</x:v>
      </x:c>
      <x:c r="V31" s="14" t="str">
        <x:v>Earliest supplied year is 2026.</x:v>
      </x:c>
      <x:c r="W31" s="14"/>
      <x:c r="X31" s="14" t="str">
        <x:v>Excluded: after 2025</x:v>
      </x:c>
      <x:c r="Y31" s="14"/>
      <x:c r="Z31" s="14" t="str">
        <x:v>Beyond Paradise.docx</x:v>
      </x:c>
      <x:c r="AA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HYPERLINK("https://en.wikipedia.org/wiki/Beyond_Paradise","Open source")</x:f>
        <x:v>HYPERLINK is not implemented. linkLocation=https://en.wikipedia.org/wiki/Beyond_Paradise, friendlyName=Open source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27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0.037037037037037035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tt21161156|nm2874099|tyler brigden</x:v>
      </x:c>
      <x:c r="B32" s="14" t="str">
        <x:v>01</x:v>
      </x:c>
      <x:c r="C32" s="14" t="str">
        <x:v>2023_IMDb_Cast_Lists_Batch_01(2).xlsx</x:v>
      </x:c>
      <x:c r="D32" s="14" t="str">
        <x:v>Beyond Paradise</x:v>
      </x:c>
      <x:c r="E32" s="14" t="n">
        <x:v>135</x:v>
      </x:c>
      <x:c r="F32" s="14" t="str">
        <x:v>Beyond Paradise</x:v>
      </x:c>
      <x:c r="G32" s="14" t="str">
        <x:v>tt21161156</x:v>
      </x:c>
      <x:c r="H32" s="14" t="n">
        <x:v>2023</x:v>
      </x:c>
      <x:c r="I32" s="14" t="n">
        <x:v>2023</x:v>
      </x:c>
      <x:c r="J32" s="14" t="str">
        <x:v>Post-study cohort</x:v>
      </x:c>
      <x:c r="K32" s="14"/>
      <x:c r="L32" s="14" t="str">
        <x:v>Not inherited</x:v>
      </x:c>
      <x:c r="M32" s="15" t="n">
        <x:v>128</x:v>
      </x:c>
      <x:c r="N32" s="14" t="str">
        <x:v>Graham Dickson</x:v>
      </x:c>
      <x:c r="O32" s="14" t="str">
        <x:v>nm2874099</x:v>
      </x:c>
      <x:c r="P32" s="14" t="str">
        <x:v>Tyler Brigden</x:v>
      </x:c>
      <x:c r="Q32" s="15" t="n">
        <x:v>1</x:v>
      </x:c>
      <x:c r="R32" s="14" t="str">
        <x:v>2026</x:v>
      </x:c>
      <x:c r="S32" s="14" t="n">
        <x:v>2026</x:v>
      </x:c>
      <x:c r="T32" s="14" t="n">
        <x:v>2026</x:v>
      </x:c>
      <x:c r="U32" s="14" t="str">
        <x:v>Explicit source first year retained</x:v>
      </x:c>
      <x:c r="V32" s="14" t="str">
        <x:v>Earliest supplied year is 2026.</x:v>
      </x:c>
      <x:c r="W32" s="14"/>
      <x:c r="X32" s="14" t="str">
        <x:v>Excluded: after 2025</x:v>
      </x:c>
      <x:c r="Y32" s="14"/>
      <x:c r="Z32" s="14" t="str">
        <x:v>Beyond Paradise.docx</x:v>
      </x:c>
      <x:c r="AA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HYPERLINK("https://en.wikipedia.org/wiki/Beyond_Paradise","Open source")</x:f>
        <x:v>HYPERLINK is not implemented. linkLocation=https://en.wikipedia.org/wiki/Beyond_Paradise, friendlyName=Open source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27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0.037037037037037035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tt21161156|nm8427331|eddie</x:v>
      </x:c>
      <x:c r="B33" s="14" t="str">
        <x:v>01</x:v>
      </x:c>
      <x:c r="C33" s="14" t="str">
        <x:v>2023_IMDb_Cast_Lists_Batch_01(2).xlsx</x:v>
      </x:c>
      <x:c r="D33" s="14" t="str">
        <x:v>Beyond Paradise</x:v>
      </x:c>
      <x:c r="E33" s="14" t="n">
        <x:v>136</x:v>
      </x:c>
      <x:c r="F33" s="14" t="str">
        <x:v>Beyond Paradise</x:v>
      </x:c>
      <x:c r="G33" s="14" t="str">
        <x:v>tt21161156</x:v>
      </x:c>
      <x:c r="H33" s="14" t="n">
        <x:v>2023</x:v>
      </x:c>
      <x:c r="I33" s="14" t="n">
        <x:v>2023</x:v>
      </x:c>
      <x:c r="J33" s="14" t="str">
        <x:v>Post-study cohort</x:v>
      </x:c>
      <x:c r="K33" s="14"/>
      <x:c r="L33" s="14" t="str">
        <x:v>Not inherited</x:v>
      </x:c>
      <x:c r="M33" s="15" t="n">
        <x:v>129</x:v>
      </x:c>
      <x:c r="N33" s="14" t="str">
        <x:v>Omar Ibrahim</x:v>
      </x:c>
      <x:c r="O33" s="14" t="str">
        <x:v>nm8427331</x:v>
      </x:c>
      <x:c r="P33" s="14" t="str">
        <x:v>Eddie</x:v>
      </x:c>
      <x:c r="Q33" s="15" t="n">
        <x:v>1</x:v>
      </x:c>
      <x:c r="R33" s="14" t="str">
        <x:v>2026</x:v>
      </x:c>
      <x:c r="S33" s="14" t="n">
        <x:v>2026</x:v>
      </x:c>
      <x:c r="T33" s="14" t="n">
        <x:v>2026</x:v>
      </x:c>
      <x:c r="U33" s="14" t="str">
        <x:v>Explicit source first year retained</x:v>
      </x:c>
      <x:c r="V33" s="14" t="str">
        <x:v>Earliest supplied year is 2026.</x:v>
      </x:c>
      <x:c r="W33" s="14"/>
      <x:c r="X33" s="14" t="str">
        <x:v>Excluded: after 2025</x:v>
      </x:c>
      <x:c r="Y33" s="14"/>
      <x:c r="Z33" s="14" t="str">
        <x:v>Beyond Paradise.docx</x:v>
      </x:c>
      <x:c r="AA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HYPERLINK("https://en.wikipedia.org/wiki/Beyond_Paradise","Open source")</x:f>
        <x:v>HYPERLINK is not implemented. linkLocation=https://en.wikipedia.org/wiki/Beyond_Paradise,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27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1</x:v>
      </x:c>
      <x:c r="BS33" s="16" t="n">
        <x:v>0.037037037037037035</x:v>
      </x:c>
      <x:c r="BT33" s="14" t="str">
        <x:v>One episode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tt21161156|nm0671854|maud dingleby</x:v>
      </x:c>
      <x:c r="B34" s="14" t="str">
        <x:v>01</x:v>
      </x:c>
      <x:c r="C34" s="14" t="str">
        <x:v>2023_IMDb_Cast_Lists_Batch_01(2).xlsx</x:v>
      </x:c>
      <x:c r="D34" s="14" t="str">
        <x:v>Beyond Paradise</x:v>
      </x:c>
      <x:c r="E34" s="14" t="n">
        <x:v>144</x:v>
      </x:c>
      <x:c r="F34" s="14" t="str">
        <x:v>Beyond Paradise</x:v>
      </x:c>
      <x:c r="G34" s="14" t="str">
        <x:v>tt21161156</x:v>
      </x:c>
      <x:c r="H34" s="14" t="n">
        <x:v>2023</x:v>
      </x:c>
      <x:c r="I34" s="14" t="n">
        <x:v>2023</x:v>
      </x:c>
      <x:c r="J34" s="14" t="str">
        <x:v>Post-study cohort</x:v>
      </x:c>
      <x:c r="K34" s="14"/>
      <x:c r="L34" s="14" t="str">
        <x:v>Not inherited</x:v>
      </x:c>
      <x:c r="M34" s="15" t="n">
        <x:v>137</x:v>
      </x:c>
      <x:c r="N34" s="14" t="str">
        <x:v>Susan Penhaligon</x:v>
      </x:c>
      <x:c r="O34" s="14" t="str">
        <x:v>nm0671854</x:v>
      </x:c>
      <x:c r="P34" s="14" t="str">
        <x:v>Maud Dingleby</x:v>
      </x:c>
      <x:c r="Q34" s="15" t="n">
        <x:v>1</x:v>
      </x:c>
      <x:c r="R34" s="14" t="str">
        <x:v>2026</x:v>
      </x:c>
      <x:c r="S34" s="14" t="n">
        <x:v>2026</x:v>
      </x:c>
      <x:c r="T34" s="14" t="n">
        <x:v>2026</x:v>
      </x:c>
      <x:c r="U34" s="14" t="str">
        <x:v>Explicit source first year retained</x:v>
      </x:c>
      <x:c r="V34" s="14" t="str">
        <x:v>Earliest supplied year is 2026.</x:v>
      </x:c>
      <x:c r="W34" s="14"/>
      <x:c r="X34" s="14" t="str">
        <x:v>Excluded: after 2025</x:v>
      </x:c>
      <x:c r="Y34" s="14"/>
      <x:c r="Z34" s="14" t="str">
        <x:v>Beyond Paradise.docx</x:v>
      </x:c>
      <x:c r="AA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HYPERLINK("https://en.wikipedia.org/wiki/Beyond_Paradise","Open source")</x:f>
        <x:v>HYPERLINK is not implemented. linkLocation=https://en.wikipedia.org/wiki/Beyond_Paradise,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27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1</x:v>
      </x:c>
      <x:c r="BS34" s="16" t="n">
        <x:v>0.037037037037037035</x:v>
      </x:c>
      <x:c r="BT34" s="14" t="str">
        <x:v>One episode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tt21161156|nm8466316|amy riley</x:v>
      </x:c>
      <x:c r="B35" s="14" t="str">
        <x:v>01</x:v>
      </x:c>
      <x:c r="C35" s="14" t="str">
        <x:v>2023_IMDb_Cast_Lists_Batch_01(2).xlsx</x:v>
      </x:c>
      <x:c r="D35" s="14" t="str">
        <x:v>Beyond Paradise</x:v>
      </x:c>
      <x:c r="E35" s="14" t="n">
        <x:v>145</x:v>
      </x:c>
      <x:c r="F35" s="14" t="str">
        <x:v>Beyond Paradise</x:v>
      </x:c>
      <x:c r="G35" s="14" t="str">
        <x:v>tt21161156</x:v>
      </x:c>
      <x:c r="H35" s="14" t="n">
        <x:v>2023</x:v>
      </x:c>
      <x:c r="I35" s="14" t="n">
        <x:v>2023</x:v>
      </x:c>
      <x:c r="J35" s="14" t="str">
        <x:v>Post-study cohort</x:v>
      </x:c>
      <x:c r="K35" s="14"/>
      <x:c r="L35" s="14" t="str">
        <x:v>Not inherited</x:v>
      </x:c>
      <x:c r="M35" s="15" t="n">
        <x:v>138</x:v>
      </x:c>
      <x:c r="N35" s="14" t="str">
        <x:v>Emily Stott</x:v>
      </x:c>
      <x:c r="O35" s="14" t="str">
        <x:v>nm8466316</x:v>
      </x:c>
      <x:c r="P35" s="14" t="str">
        <x:v>Amy Riley</x:v>
      </x:c>
      <x:c r="Q35" s="15" t="n">
        <x:v>1</x:v>
      </x:c>
      <x:c r="R35" s="14" t="str">
        <x:v>2026</x:v>
      </x:c>
      <x:c r="S35" s="14" t="n">
        <x:v>2026</x:v>
      </x:c>
      <x:c r="T35" s="14" t="n">
        <x:v>2026</x:v>
      </x:c>
      <x:c r="U35" s="14" t="str">
        <x:v>Explicit source first year retained</x:v>
      </x:c>
      <x:c r="V35" s="14" t="str">
        <x:v>Earliest supplied year is 2026.</x:v>
      </x:c>
      <x:c r="W35" s="14"/>
      <x:c r="X35" s="14" t="str">
        <x:v>Excluded: after 2025</x:v>
      </x:c>
      <x:c r="Y35" s="14"/>
      <x:c r="Z35" s="14" t="str">
        <x:v>Beyond Paradise.docx</x:v>
      </x:c>
      <x:c r="AA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HYPERLINK("https://en.wikipedia.org/wiki/Beyond_Paradise","Open source")</x:f>
        <x:v>HYPERLINK is not implemented. linkLocation=https://en.wikipedia.org/wiki/Beyond_Paradise,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27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0.037037037037037035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tt21161156|nm0146039|dafydd bevan</x:v>
      </x:c>
      <x:c r="B36" s="14" t="str">
        <x:v>01</x:v>
      </x:c>
      <x:c r="C36" s="14" t="str">
        <x:v>2023_IMDb_Cast_Lists_Batch_01(2).xlsx</x:v>
      </x:c>
      <x:c r="D36" s="14" t="str">
        <x:v>Beyond Paradise</x:v>
      </x:c>
      <x:c r="E36" s="14" t="n">
        <x:v>146</x:v>
      </x:c>
      <x:c r="F36" s="14" t="str">
        <x:v>Beyond Paradise</x:v>
      </x:c>
      <x:c r="G36" s="14" t="str">
        <x:v>tt21161156</x:v>
      </x:c>
      <x:c r="H36" s="14" t="n">
        <x:v>2023</x:v>
      </x:c>
      <x:c r="I36" s="14" t="n">
        <x:v>2023</x:v>
      </x:c>
      <x:c r="J36" s="14" t="str">
        <x:v>Post-study cohort</x:v>
      </x:c>
      <x:c r="K36" s="14"/>
      <x:c r="L36" s="14" t="str">
        <x:v>Not inherited</x:v>
      </x:c>
      <x:c r="M36" s="15" t="n">
        <x:v>139</x:v>
      </x:c>
      <x:c r="N36" s="14" t="str">
        <x:v>Wayne Cater</x:v>
      </x:c>
      <x:c r="O36" s="14" t="str">
        <x:v>nm0146039</x:v>
      </x:c>
      <x:c r="P36" s="14" t="str">
        <x:v>Dafydd Bevan</x:v>
      </x:c>
      <x:c r="Q36" s="15" t="n">
        <x:v>1</x:v>
      </x:c>
      <x:c r="R36" s="14" t="str">
        <x:v>2026</x:v>
      </x:c>
      <x:c r="S36" s="14" t="n">
        <x:v>2026</x:v>
      </x:c>
      <x:c r="T36" s="14" t="n">
        <x:v>2026</x:v>
      </x:c>
      <x:c r="U36" s="14" t="str">
        <x:v>Explicit source first year retained</x:v>
      </x:c>
      <x:c r="V36" s="14" t="str">
        <x:v>Earliest supplied year is 2026.</x:v>
      </x:c>
      <x:c r="W36" s="14"/>
      <x:c r="X36" s="14" t="str">
        <x:v>Excluded: after 2025</x:v>
      </x:c>
      <x:c r="Y36" s="14"/>
      <x:c r="Z36" s="14" t="str">
        <x:v>Beyond Paradise.docx</x:v>
      </x:c>
      <x:c r="AA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HYPERLINK("https://en.wikipedia.org/wiki/Beyond_Paradise","Open source")</x:f>
        <x:v>HYPERLINK is not implemented. linkLocation=https://en.wikipedia.org/wiki/Beyond_Paradise,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27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0.037037037037037035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tt21161156|nm18377301|elijah moore</x:v>
      </x:c>
      <x:c r="B37" s="14" t="str">
        <x:v>01</x:v>
      </x:c>
      <x:c r="C37" s="14" t="str">
        <x:v>2023_IMDb_Cast_Lists_Batch_01(2).xlsx</x:v>
      </x:c>
      <x:c r="D37" s="14" t="str">
        <x:v>Beyond Paradise</x:v>
      </x:c>
      <x:c r="E37" s="14" t="n">
        <x:v>156</x:v>
      </x:c>
      <x:c r="F37" s="14" t="str">
        <x:v>Beyond Paradise</x:v>
      </x:c>
      <x:c r="G37" s="14" t="str">
        <x:v>tt21161156</x:v>
      </x:c>
      <x:c r="H37" s="14" t="n">
        <x:v>2023</x:v>
      </x:c>
      <x:c r="I37" s="14" t="n">
        <x:v>2023</x:v>
      </x:c>
      <x:c r="J37" s="14" t="str">
        <x:v>Post-study cohort</x:v>
      </x:c>
      <x:c r="K37" s="14"/>
      <x:c r="L37" s="14" t="str">
        <x:v>Not inherited</x:v>
      </x:c>
      <x:c r="M37" s="15" t="n">
        <x:v>149</x:v>
      </x:c>
      <x:c r="N37" s="14" t="str">
        <x:v>Xander Pang</x:v>
      </x:c>
      <x:c r="O37" s="14" t="str">
        <x:v>nm18377301</x:v>
      </x:c>
      <x:c r="P37" s="14" t="str">
        <x:v>Elijah Moore</x:v>
      </x:c>
      <x:c r="Q37" s="15" t="n">
        <x:v>1</x:v>
      </x:c>
      <x:c r="R37" s="14" t="str">
        <x:v>2026</x:v>
      </x:c>
      <x:c r="S37" s="14" t="n">
        <x:v>2026</x:v>
      </x:c>
      <x:c r="T37" s="14" t="n">
        <x:v>2026</x:v>
      </x:c>
      <x:c r="U37" s="14" t="str">
        <x:v>Explicit source first year retained</x:v>
      </x:c>
      <x:c r="V37" s="14" t="str">
        <x:v>Earliest supplied year is 2026.</x:v>
      </x:c>
      <x:c r="W37" s="14"/>
      <x:c r="X37" s="14" t="str">
        <x:v>Excluded: after 2025</x:v>
      </x:c>
      <x:c r="Y37" s="14"/>
      <x:c r="Z37" s="14" t="str">
        <x:v>Beyond Paradise.docx</x:v>
      </x:c>
      <x:c r="AA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HYPERLINK("https://en.wikipedia.org/wiki/Beyond_Paradise","Open source")</x:f>
        <x:v>HYPERLINK is not implemented. linkLocation=https://en.wikipedia.org/wiki/Beyond_Paradise,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27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0.037037037037037035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tt21161156|nm1528224|bob turner</x:v>
      </x:c>
      <x:c r="B38" s="14" t="str">
        <x:v>01</x:v>
      </x:c>
      <x:c r="C38" s="14" t="str">
        <x:v>2023_IMDb_Cast_Lists_Batch_01(2).xlsx</x:v>
      </x:c>
      <x:c r="D38" s="14" t="str">
        <x:v>Beyond Paradise</x:v>
      </x:c>
      <x:c r="E38" s="14" t="n">
        <x:v>157</x:v>
      </x:c>
      <x:c r="F38" s="14" t="str">
        <x:v>Beyond Paradise</x:v>
      </x:c>
      <x:c r="G38" s="14" t="str">
        <x:v>tt21161156</x:v>
      </x:c>
      <x:c r="H38" s="14" t="n">
        <x:v>2023</x:v>
      </x:c>
      <x:c r="I38" s="14" t="n">
        <x:v>2023</x:v>
      </x:c>
      <x:c r="J38" s="14" t="str">
        <x:v>Post-study cohort</x:v>
      </x:c>
      <x:c r="K38" s="14"/>
      <x:c r="L38" s="14" t="str">
        <x:v>Not inherited</x:v>
      </x:c>
      <x:c r="M38" s="15" t="n">
        <x:v>150</x:v>
      </x:c>
      <x:c r="N38" s="14" t="str">
        <x:v>Alec Nicholls</x:v>
      </x:c>
      <x:c r="O38" s="14" t="str">
        <x:v>nm1528224</x:v>
      </x:c>
      <x:c r="P38" s="14" t="str">
        <x:v>Bob Turner</x:v>
      </x:c>
      <x:c r="Q38" s="15" t="n">
        <x:v>1</x:v>
      </x:c>
      <x:c r="R38" s="14" t="str">
        <x:v>2026</x:v>
      </x:c>
      <x:c r="S38" s="14" t="n">
        <x:v>2026</x:v>
      </x:c>
      <x:c r="T38" s="14" t="n">
        <x:v>2026</x:v>
      </x:c>
      <x:c r="U38" s="14" t="str">
        <x:v>Explicit source first year retained</x:v>
      </x:c>
      <x:c r="V38" s="14" t="str">
        <x:v>Earliest supplied year is 2026.</x:v>
      </x:c>
      <x:c r="W38" s="14"/>
      <x:c r="X38" s="14" t="str">
        <x:v>Excluded: after 2025</x:v>
      </x:c>
      <x:c r="Y38" s="14"/>
      <x:c r="Z38" s="14" t="str">
        <x:v>Beyond Paradise.docx</x:v>
      </x:c>
      <x:c r="AA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HYPERLINK("https://en.wikipedia.org/wiki/Beyond_Paradise","Open source")</x:f>
        <x:v>HYPERLINK is not implemented. linkLocation=https://en.wikipedia.org/wiki/Beyond_Paradise,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27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0.037037037037037035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tt21161156|nm1020920|matthew willis</x:v>
      </x:c>
      <x:c r="B39" s="14" t="str">
        <x:v>01</x:v>
      </x:c>
      <x:c r="C39" s="14" t="str">
        <x:v>2023_IMDb_Cast_Lists_Batch_01(2).xlsx</x:v>
      </x:c>
      <x:c r="D39" s="14" t="str">
        <x:v>Beyond Paradise</x:v>
      </x:c>
      <x:c r="E39" s="14" t="n">
        <x:v>168</x:v>
      </x:c>
      <x:c r="F39" s="14" t="str">
        <x:v>Beyond Paradise</x:v>
      </x:c>
      <x:c r="G39" s="14" t="str">
        <x:v>tt21161156</x:v>
      </x:c>
      <x:c r="H39" s="14" t="n">
        <x:v>2023</x:v>
      </x:c>
      <x:c r="I39" s="14" t="n">
        <x:v>2023</x:v>
      </x:c>
      <x:c r="J39" s="14" t="str">
        <x:v>Post-study cohort</x:v>
      </x:c>
      <x:c r="K39" s="14"/>
      <x:c r="L39" s="14" t="str">
        <x:v>Not inherited</x:v>
      </x:c>
      <x:c r="M39" s="15" t="n">
        <x:v>161</x:v>
      </x:c>
      <x:c r="N39" s="14" t="str">
        <x:v>Tom McCall</x:v>
      </x:c>
      <x:c r="O39" s="14" t="str">
        <x:v>nm1020920</x:v>
      </x:c>
      <x:c r="P39" s="14" t="str">
        <x:v>Matthew Willis</x:v>
      </x:c>
      <x:c r="Q39" s="15" t="n">
        <x:v>1</x:v>
      </x:c>
      <x:c r="R39" s="14" t="str">
        <x:v>2026</x:v>
      </x:c>
      <x:c r="S39" s="14" t="n">
        <x:v>2026</x:v>
      </x:c>
      <x:c r="T39" s="14" t="n">
        <x:v>2026</x:v>
      </x:c>
      <x:c r="U39" s="14" t="str">
        <x:v>Explicit source first year retained</x:v>
      </x:c>
      <x:c r="V39" s="14" t="str">
        <x:v>Earliest supplied year is 2026.</x:v>
      </x:c>
      <x:c r="W39" s="14"/>
      <x:c r="X39" s="14" t="str">
        <x:v>Excluded: after 2025</x:v>
      </x:c>
      <x:c r="Y39" s="14"/>
      <x:c r="Z39" s="14" t="str">
        <x:v>Beyond Paradise.docx</x:v>
      </x:c>
      <x:c r="AA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HYPERLINK("https://en.wikipedia.org/wiki/Beyond_Paradise","Open source")</x:f>
        <x:v>HYPERLINK is not implemented. linkLocation=https://en.wikipedia.org/wiki/Beyond_Paradise,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27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0.037037037037037035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tt21161156|nm8315088|paul outram</x:v>
      </x:c>
      <x:c r="B40" s="14" t="str">
        <x:v>01</x:v>
      </x:c>
      <x:c r="C40" s="14" t="str">
        <x:v>2023_IMDb_Cast_Lists_Batch_01(2).xlsx</x:v>
      </x:c>
      <x:c r="D40" s="14" t="str">
        <x:v>Beyond Paradise</x:v>
      </x:c>
      <x:c r="E40" s="14" t="n">
        <x:v>169</x:v>
      </x:c>
      <x:c r="F40" s="14" t="str">
        <x:v>Beyond Paradise</x:v>
      </x:c>
      <x:c r="G40" s="14" t="str">
        <x:v>tt21161156</x:v>
      </x:c>
      <x:c r="H40" s="14" t="n">
        <x:v>2023</x:v>
      </x:c>
      <x:c r="I40" s="14" t="n">
        <x:v>2023</x:v>
      </x:c>
      <x:c r="J40" s="14" t="str">
        <x:v>Post-study cohort</x:v>
      </x:c>
      <x:c r="K40" s="14"/>
      <x:c r="L40" s="14" t="str">
        <x:v>Not inherited</x:v>
      </x:c>
      <x:c r="M40" s="15" t="n">
        <x:v>162</x:v>
      </x:c>
      <x:c r="N40" s="14" t="str">
        <x:v>Ben Allen</x:v>
      </x:c>
      <x:c r="O40" s="14" t="str">
        <x:v>nm8315088</x:v>
      </x:c>
      <x:c r="P40" s="14" t="str">
        <x:v>Paul Outram</x:v>
      </x:c>
      <x:c r="Q40" s="15" t="n">
        <x:v>1</x:v>
      </x:c>
      <x:c r="R40" s="14" t="str">
        <x:v>2026</x:v>
      </x:c>
      <x:c r="S40" s="14" t="n">
        <x:v>2026</x:v>
      </x:c>
      <x:c r="T40" s="14" t="n">
        <x:v>2026</x:v>
      </x:c>
      <x:c r="U40" s="14" t="str">
        <x:v>Explicit source first year retained</x:v>
      </x:c>
      <x:c r="V40" s="14" t="str">
        <x:v>Earliest supplied year is 2026.</x:v>
      </x:c>
      <x:c r="W40" s="14"/>
      <x:c r="X40" s="14" t="str">
        <x:v>Excluded: after 2025</x:v>
      </x:c>
      <x:c r="Y40" s="14"/>
      <x:c r="Z40" s="14" t="str">
        <x:v>Beyond Paradise.docx</x:v>
      </x:c>
      <x:c r="AA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HYPERLINK("https://en.wikipedia.org/wiki/Beyond_Paradise","Open source")</x:f>
        <x:v>HYPERLINK is not implemented. linkLocation=https://en.wikipedia.org/wiki/Beyond_Paradise,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27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0.037037037037037035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tt21161156|nm18416818|di janet wilson</x:v>
      </x:c>
      <x:c r="B41" s="14" t="str">
        <x:v>01</x:v>
      </x:c>
      <x:c r="C41" s="14" t="str">
        <x:v>2023_IMDb_Cast_Lists_Batch_01(2).xlsx</x:v>
      </x:c>
      <x:c r="D41" s="14" t="str">
        <x:v>Beyond Paradise</x:v>
      </x:c>
      <x:c r="E41" s="14" t="n">
        <x:v>170</x:v>
      </x:c>
      <x:c r="F41" s="14" t="str">
        <x:v>Beyond Paradise</x:v>
      </x:c>
      <x:c r="G41" s="14" t="str">
        <x:v>tt21161156</x:v>
      </x:c>
      <x:c r="H41" s="14" t="n">
        <x:v>2023</x:v>
      </x:c>
      <x:c r="I41" s="14" t="n">
        <x:v>2023</x:v>
      </x:c>
      <x:c r="J41" s="14" t="str">
        <x:v>Post-study cohort</x:v>
      </x:c>
      <x:c r="K41" s="14"/>
      <x:c r="L41" s="14" t="str">
        <x:v>Not inherited</x:v>
      </x:c>
      <x:c r="M41" s="15" t="n">
        <x:v>163</x:v>
      </x:c>
      <x:c r="N41" s="14" t="str">
        <x:v>Cassandra Wilson</x:v>
      </x:c>
      <x:c r="O41" s="14" t="str">
        <x:v>nm18416818</x:v>
      </x:c>
      <x:c r="P41" s="14" t="str">
        <x:v>DI Janet Wilson</x:v>
      </x:c>
      <x:c r="Q41" s="15" t="n">
        <x:v>1</x:v>
      </x:c>
      <x:c r="R41" s="14" t="str">
        <x:v>2026</x:v>
      </x:c>
      <x:c r="S41" s="14" t="n">
        <x:v>2026</x:v>
      </x:c>
      <x:c r="T41" s="14" t="n">
        <x:v>2026</x:v>
      </x:c>
      <x:c r="U41" s="14" t="str">
        <x:v>Explicit source first year retained</x:v>
      </x:c>
      <x:c r="V41" s="14" t="str">
        <x:v>Earliest supplied year is 2026.</x:v>
      </x:c>
      <x:c r="W41" s="14"/>
      <x:c r="X41" s="14" t="str">
        <x:v>Excluded: after 2025</x:v>
      </x:c>
      <x:c r="Y41" s="14"/>
      <x:c r="Z41" s="14" t="str">
        <x:v>Beyond Paradise.docx</x:v>
      </x:c>
      <x:c r="AA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HYPERLINK("https://en.wikipedia.org/wiki/Beyond_Paradise","Open source")</x:f>
        <x:v>HYPERLINK is not implemented. linkLocation=https://en.wikipedia.org/wiki/Beyond_Paradise,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27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0.037037037037037035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tt21161156|nm0355004|jill</x:v>
      </x:c>
      <x:c r="B42" s="14" t="str">
        <x:v>01</x:v>
      </x:c>
      <x:c r="C42" s="14" t="str">
        <x:v>2023_IMDb_Cast_Lists_Batch_01(2).xlsx</x:v>
      </x:c>
      <x:c r="D42" s="14" t="str">
        <x:v>Beyond Paradise</x:v>
      </x:c>
      <x:c r="E42" s="14" t="n">
        <x:v>176</x:v>
      </x:c>
      <x:c r="F42" s="14" t="str">
        <x:v>Beyond Paradise</x:v>
      </x:c>
      <x:c r="G42" s="14" t="str">
        <x:v>tt21161156</x:v>
      </x:c>
      <x:c r="H42" s="14" t="n">
        <x:v>2023</x:v>
      </x:c>
      <x:c r="I42" s="14" t="n">
        <x:v>2023</x:v>
      </x:c>
      <x:c r="J42" s="14" t="str">
        <x:v>Post-study cohort</x:v>
      </x:c>
      <x:c r="K42" s="14"/>
      <x:c r="L42" s="14" t="str">
        <x:v>Not inherited</x:v>
      </x:c>
      <x:c r="M42" s="15" t="n">
        <x:v>169</x:v>
      </x:c>
      <x:c r="N42" s="14" t="str">
        <x:v>Sandra Hale</x:v>
      </x:c>
      <x:c r="O42" s="14" t="str">
        <x:v>nm0355004</x:v>
      </x:c>
      <x:c r="P42" s="14" t="str">
        <x:v>Jill</x:v>
      </x:c>
      <x:c r="Q42" s="15" t="n">
        <x:v>1</x:v>
      </x:c>
      <x:c r="R42" s="14" t="str">
        <x:v>2026</x:v>
      </x:c>
      <x:c r="S42" s="14" t="n">
        <x:v>2026</x:v>
      </x:c>
      <x:c r="T42" s="14" t="n">
        <x:v>2026</x:v>
      </x:c>
      <x:c r="U42" s="14" t="str">
        <x:v>Explicit source first year retained</x:v>
      </x:c>
      <x:c r="V42" s="14" t="str">
        <x:v>Earliest supplied year is 2026.</x:v>
      </x:c>
      <x:c r="W42" s="14"/>
      <x:c r="X42" s="14" t="str">
        <x:v>Excluded: after 2025</x:v>
      </x:c>
      <x:c r="Y42" s="14"/>
      <x:c r="Z42" s="14" t="str">
        <x:v>Beyond Paradise.docx</x:v>
      </x:c>
      <x:c r="AA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HYPERLINK("https://en.wikipedia.org/wiki/Beyond_Paradise","Open source")</x:f>
        <x:v>HYPERLINK is not implemented. linkLocation=https://en.wikipedia.org/wiki/Beyond_Paradise,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27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0.037037037037037035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tt21161156|nm13263341|sam</x:v>
      </x:c>
      <x:c r="B43" s="14" t="str">
        <x:v>01</x:v>
      </x:c>
      <x:c r="C43" s="14" t="str">
        <x:v>2023_IMDb_Cast_Lists_Batch_01(2).xlsx</x:v>
      </x:c>
      <x:c r="D43" s="14" t="str">
        <x:v>Beyond Paradise</x:v>
      </x:c>
      <x:c r="E43" s="14" t="n">
        <x:v>177</x:v>
      </x:c>
      <x:c r="F43" s="14" t="str">
        <x:v>Beyond Paradise</x:v>
      </x:c>
      <x:c r="G43" s="14" t="str">
        <x:v>tt21161156</x:v>
      </x:c>
      <x:c r="H43" s="14" t="n">
        <x:v>2023</x:v>
      </x:c>
      <x:c r="I43" s="14" t="n">
        <x:v>2023</x:v>
      </x:c>
      <x:c r="J43" s="14" t="str">
        <x:v>Post-study cohort</x:v>
      </x:c>
      <x:c r="K43" s="14"/>
      <x:c r="L43" s="14" t="str">
        <x:v>Not inherited</x:v>
      </x:c>
      <x:c r="M43" s="15" t="n">
        <x:v>170</x:v>
      </x:c>
      <x:c r="N43" s="14" t="str">
        <x:v>Teddy Jay</x:v>
      </x:c>
      <x:c r="O43" s="14" t="str">
        <x:v>nm13263341</x:v>
      </x:c>
      <x:c r="P43" s="14" t="str">
        <x:v>Sam</x:v>
      </x:c>
      <x:c r="Q43" s="15" t="n">
        <x:v>1</x:v>
      </x:c>
      <x:c r="R43" s="14" t="str">
        <x:v>2026</x:v>
      </x:c>
      <x:c r="S43" s="14" t="n">
        <x:v>2026</x:v>
      </x:c>
      <x:c r="T43" s="14" t="n">
        <x:v>2026</x:v>
      </x:c>
      <x:c r="U43" s="14" t="str">
        <x:v>Explicit source first year retained</x:v>
      </x:c>
      <x:c r="V43" s="14" t="str">
        <x:v>Earliest supplied year is 2026.</x:v>
      </x:c>
      <x:c r="W43" s="14"/>
      <x:c r="X43" s="14" t="str">
        <x:v>Excluded: after 2025</x:v>
      </x:c>
      <x:c r="Y43" s="14"/>
      <x:c r="Z43" s="14" t="str">
        <x:v>Beyond Paradise.docx</x:v>
      </x:c>
      <x:c r="AA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HYPERLINK("https://en.wikipedia.org/wiki/Beyond_Paradise","Open source")</x:f>
        <x:v>HYPERLINK is not implemented. linkLocation=https://en.wikipedia.org/wiki/Beyond_Paradise,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27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0.037037037037037035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tt15296862|nm1968873|steve</x:v>
      </x:c>
      <x:c r="B44" s="14" t="str">
        <x:v>01</x:v>
      </x:c>
      <x:c r="C44" s="14" t="str">
        <x:v>2023_IMDb_Cast_Lists_Batch_01(2).xlsx</x:v>
      </x:c>
      <x:c r="D44" s="14" t="str">
        <x:v>Black Ops</x:v>
      </x:c>
      <x:c r="E44" s="14" t="n">
        <x:v>13</x:v>
      </x:c>
      <x:c r="F44" s="14" t="str">
        <x:v>Black Ops</x:v>
      </x:c>
      <x:c r="G44" s="14" t="str">
        <x:v>tt15296862</x:v>
      </x:c>
      <x:c r="H44" s="14" t="n">
        <x:v>2023</x:v>
      </x:c>
      <x:c r="I44" s="14" t="n">
        <x:v>2023</x:v>
      </x:c>
      <x:c r="J44" s="14" t="str">
        <x:v>Post-study cohort</x:v>
      </x:c>
      <x:c r="K44" s="14"/>
      <x:c r="L44" s="14" t="str">
        <x:v>Not inherited</x:v>
      </x:c>
      <x:c r="M44" s="15" t="n">
        <x:v>6</x:v>
      </x:c>
      <x:c r="N44" s="14" t="str">
        <x:v>Ed Speleers</x:v>
      </x:c>
      <x:c r="O44" s="14" t="str">
        <x:v>nm1968873</x:v>
      </x:c>
      <x:c r="P44" s="14" t="str">
        <x:v>Steve</x:v>
      </x:c>
      <x:c r="Q44" s="15" t="n">
        <x:v>6</x:v>
      </x:c>
      <x:c r="R44" s="14" t="str">
        <x:v>2026</x:v>
      </x:c>
      <x:c r="S44" s="14" t="n">
        <x:v>2026</x:v>
      </x:c>
      <x:c r="T44" s="14" t="n">
        <x:v>2026</x:v>
      </x:c>
      <x:c r="U44" s="14" t="str">
        <x:v>Explicit source first year retained</x:v>
      </x:c>
      <x:c r="V44" s="14" t="str">
        <x:v>Earliest supplied year is 2026.</x:v>
      </x:c>
      <x:c r="W44" s="14"/>
      <x:c r="X44" s="14" t="str">
        <x:v>Excluded: after 2025</x:v>
      </x:c>
      <x:c r="Y44" s="14"/>
      <x:c r="Z44" s="14" t="str">
        <x:v>Black Ops.docx</x:v>
      </x:c>
      <x:c r="AA4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HYPERLINK("https://en.wikipedia.org/wiki/Black_Ops","Open source")</x:f>
        <x:v>HYPERLINK is not implemented. linkLocation=https://en.wikipedia.org/wiki/Black_Ops,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6</x:v>
      </x:c>
      <x:c r="BS44" s="16" t="n">
        <x:v>0.5</x:v>
      </x:c>
      <x:c r="BT44" s="14" t="str">
        <x:v>Minority of episodes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tt15296862|nm2703676|alasdair moss</x:v>
      </x:c>
      <x:c r="B45" s="14" t="str">
        <x:v>01</x:v>
      </x:c>
      <x:c r="C45" s="14" t="str">
        <x:v>2023_IMDb_Cast_Lists_Batch_01(2).xlsx</x:v>
      </x:c>
      <x:c r="D45" s="14" t="str">
        <x:v>Black Ops</x:v>
      </x:c>
      <x:c r="E45" s="14" t="n">
        <x:v>15</x:v>
      </x:c>
      <x:c r="F45" s="14" t="str">
        <x:v>Black Ops</x:v>
      </x:c>
      <x:c r="G45" s="14" t="str">
        <x:v>tt15296862</x:v>
      </x:c>
      <x:c r="H45" s="14" t="n">
        <x:v>2023</x:v>
      </x:c>
      <x:c r="I45" s="14" t="n">
        <x:v>2023</x:v>
      </x:c>
      <x:c r="J45" s="14" t="str">
        <x:v>Post-study cohort</x:v>
      </x:c>
      <x:c r="K45" s="14"/>
      <x:c r="L45" s="14" t="str">
        <x:v>Not inherited</x:v>
      </x:c>
      <x:c r="M45" s="15" t="n">
        <x:v>8</x:v>
      </x:c>
      <x:c r="N45" s="14" t="str">
        <x:v>Tom Bell</x:v>
      </x:c>
      <x:c r="O45" s="14" t="str">
        <x:v>nm2703676</x:v>
      </x:c>
      <x:c r="P45" s="14" t="str">
        <x:v>Alasdair Moss</x:v>
      </x:c>
      <x:c r="Q45" s="15" t="n">
        <x:v>5</x:v>
      </x:c>
      <x:c r="R45" s="14" t="str">
        <x:v>2026</x:v>
      </x:c>
      <x:c r="S45" s="14" t="n">
        <x:v>2026</x:v>
      </x:c>
      <x:c r="T45" s="14" t="n">
        <x:v>2026</x:v>
      </x:c>
      <x:c r="U45" s="14" t="str">
        <x:v>Explicit source first year retained</x:v>
      </x:c>
      <x:c r="V45" s="14" t="str">
        <x:v>Earliest supplied year is 2026.</x:v>
      </x:c>
      <x:c r="W45" s="14"/>
      <x:c r="X45" s="14" t="str">
        <x:v>Excluded: after 2025</x:v>
      </x:c>
      <x:c r="Y45" s="14"/>
      <x:c r="Z45" s="14" t="str">
        <x:v>Black Ops.docx</x:v>
      </x:c>
      <x:c r="AA4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HYPERLINK("https://en.wikipedia.org/wiki/Black_Ops","Open source")</x:f>
        <x:v>HYPERLINK is not implemented. linkLocation=https://en.wikipedia.org/wiki/Black_Ops,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5</x:v>
      </x:c>
      <x:c r="BS45" s="16" t="n">
        <x:v>0.4166666666666667</x:v>
      </x:c>
      <x:c r="BT45" s="14" t="str">
        <x:v>Minority of episodes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tt15296862|nm0879154|joanna fisher</x:v>
      </x:c>
      <x:c r="B46" s="14" t="str">
        <x:v>01</x:v>
      </x:c>
      <x:c r="C46" s="14" t="str">
        <x:v>2023_IMDb_Cast_Lists_Batch_01(2).xlsx</x:v>
      </x:c>
      <x:c r="D46" s="14" t="str">
        <x:v>Black Ops</x:v>
      </x:c>
      <x:c r="E46" s="14" t="n">
        <x:v>18</x:v>
      </x:c>
      <x:c r="F46" s="14" t="str">
        <x:v>Black Ops</x:v>
      </x:c>
      <x:c r="G46" s="14" t="str">
        <x:v>tt15296862</x:v>
      </x:c>
      <x:c r="H46" s="14" t="n">
        <x:v>2023</x:v>
      </x:c>
      <x:c r="I46" s="14" t="n">
        <x:v>2023</x:v>
      </x:c>
      <x:c r="J46" s="14" t="str">
        <x:v>Post-study cohort</x:v>
      </x:c>
      <x:c r="K46" s="14"/>
      <x:c r="L46" s="14" t="str">
        <x:v>Not inherited</x:v>
      </x:c>
      <x:c r="M46" s="15" t="n">
        <x:v>11</x:v>
      </x:c>
      <x:c r="N46" s="14" t="str">
        <x:v>Cathy Tyson</x:v>
      </x:c>
      <x:c r="O46" s="14" t="str">
        <x:v>nm0879154</x:v>
      </x:c>
      <x:c r="P46" s="14" t="str">
        <x:v>Joanna Fisher</x:v>
      </x:c>
      <x:c r="Q46" s="15" t="n">
        <x:v>4</x:v>
      </x:c>
      <x:c r="R46" s="14" t="str">
        <x:v>2026</x:v>
      </x:c>
      <x:c r="S46" s="14" t="n">
        <x:v>2026</x:v>
      </x:c>
      <x:c r="T46" s="14" t="n">
        <x:v>2026</x:v>
      </x:c>
      <x:c r="U46" s="14" t="str">
        <x:v>Explicit source first year retained</x:v>
      </x:c>
      <x:c r="V46" s="14" t="str">
        <x:v>Earliest supplied year is 2026.</x:v>
      </x:c>
      <x:c r="W46" s="14"/>
      <x:c r="X46" s="14" t="str">
        <x:v>Excluded: after 2025</x:v>
      </x:c>
      <x:c r="Y46" s="14"/>
      <x:c r="Z46" s="14" t="str">
        <x:v>Black Ops.docx</x:v>
      </x:c>
      <x:c r="AA4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HYPERLINK("https://en.wikipedia.org/wiki/Black_Ops","Open source")</x:f>
        <x:v>HYPERLINK is not implemented. linkLocation=https://en.wikipedia.org/wiki/Black_Ops,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4</x:v>
      </x:c>
      <x:c r="BS46" s="16" t="n">
        <x:v>0.3333333333333333</x:v>
      </x:c>
      <x:c r="BT46" s="14" t="str">
        <x:v>Minority of episodes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tt15296862|nm2591562|mo the security guard</x:v>
      </x:c>
      <x:c r="B47" s="14" t="str">
        <x:v>01</x:v>
      </x:c>
      <x:c r="C47" s="14" t="str">
        <x:v>2023_IMDb_Cast_Lists_Batch_01(2).xlsx</x:v>
      </x:c>
      <x:c r="D47" s="14" t="str">
        <x:v>Black Ops</x:v>
      </x:c>
      <x:c r="E47" s="14" t="n">
        <x:v>19</x:v>
      </x:c>
      <x:c r="F47" s="14" t="str">
        <x:v>Black Ops</x:v>
      </x:c>
      <x:c r="G47" s="14" t="str">
        <x:v>tt15296862</x:v>
      </x:c>
      <x:c r="H47" s="14" t="n">
        <x:v>2023</x:v>
      </x:c>
      <x:c r="I47" s="14" t="n">
        <x:v>2023</x:v>
      </x:c>
      <x:c r="J47" s="14" t="str">
        <x:v>Post-study cohort</x:v>
      </x:c>
      <x:c r="K47" s="14"/>
      <x:c r="L47" s="14" t="str">
        <x:v>Not inherited</x:v>
      </x:c>
      <x:c r="M47" s="15" t="n">
        <x:v>12</x:v>
      </x:c>
      <x:c r="N47" s="14" t="str">
        <x:v>Divian Ladwa</x:v>
      </x:c>
      <x:c r="O47" s="14" t="str">
        <x:v>nm2591562</x:v>
      </x:c>
      <x:c r="P47" s="14" t="str">
        <x:v>Mo the Security Guard</x:v>
      </x:c>
      <x:c r="Q47" s="15" t="n">
        <x:v>4</x:v>
      </x:c>
      <x:c r="R47" s="14" t="str">
        <x:v>2026</x:v>
      </x:c>
      <x:c r="S47" s="14" t="n">
        <x:v>2026</x:v>
      </x:c>
      <x:c r="T47" s="14" t="n">
        <x:v>2026</x:v>
      </x:c>
      <x:c r="U47" s="14" t="str">
        <x:v>Explicit source first year retained</x:v>
      </x:c>
      <x:c r="V47" s="14" t="str">
        <x:v>Earliest supplied year is 2026.</x:v>
      </x:c>
      <x:c r="W47" s="14"/>
      <x:c r="X47" s="14" t="str">
        <x:v>Excluded: after 2025</x:v>
      </x:c>
      <x:c r="Y47" s="14"/>
      <x:c r="Z47" s="14" t="str">
        <x:v>Black Ops.docx</x:v>
      </x:c>
      <x:c r="AA4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HYPERLINK("https://en.wikipedia.org/wiki/Black_Ops","Open source")</x:f>
        <x:v>HYPERLINK is not implemented. linkLocation=https://en.wikipedia.org/wiki/Black_Ops,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12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4</x:v>
      </x:c>
      <x:c r="BS47" s="16" t="n">
        <x:v>0.3333333333333333</x:v>
      </x:c>
      <x:c r="BT47" s="14" t="str">
        <x:v>Minority of episodes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tt15296862|nm0369814|gerald</x:v>
      </x:c>
      <x:c r="B48" s="14" t="str">
        <x:v>01</x:v>
      </x:c>
      <x:c r="C48" s="14" t="str">
        <x:v>2023_IMDb_Cast_Lists_Batch_01(2).xlsx</x:v>
      </x:c>
      <x:c r="D48" s="14" t="str">
        <x:v>Black Ops</x:v>
      </x:c>
      <x:c r="E48" s="14" t="n">
        <x:v>22</x:v>
      </x:c>
      <x:c r="F48" s="14" t="str">
        <x:v>Black Ops</x:v>
      </x:c>
      <x:c r="G48" s="14" t="str">
        <x:v>tt15296862</x:v>
      </x:c>
      <x:c r="H48" s="14" t="n">
        <x:v>2023</x:v>
      </x:c>
      <x:c r="I48" s="14" t="n">
        <x:v>2023</x:v>
      </x:c>
      <x:c r="J48" s="14" t="str">
        <x:v>Post-study cohort</x:v>
      </x:c>
      <x:c r="K48" s="14"/>
      <x:c r="L48" s="14" t="str">
        <x:v>Not inherited</x:v>
      </x:c>
      <x:c r="M48" s="15" t="n">
        <x:v>15</x:v>
      </x:c>
      <x:c r="N48" s="14" t="str">
        <x:v>Nigel Havers</x:v>
      </x:c>
      <x:c r="O48" s="14" t="str">
        <x:v>nm0369814</x:v>
      </x:c>
      <x:c r="P48" s="14" t="str">
        <x:v>Gerald</x:v>
      </x:c>
      <x:c r="Q48" s="15" t="n">
        <x:v>3</x:v>
      </x:c>
      <x:c r="R48" s="14" t="str">
        <x:v>2026</x:v>
      </x:c>
      <x:c r="S48" s="14" t="n">
        <x:v>2026</x:v>
      </x:c>
      <x:c r="T48" s="14" t="n">
        <x:v>2026</x:v>
      </x:c>
      <x:c r="U48" s="14" t="str">
        <x:v>Explicit source first year retained</x:v>
      </x:c>
      <x:c r="V48" s="14" t="str">
        <x:v>Earliest supplied year is 2026.</x:v>
      </x:c>
      <x:c r="W48" s="14"/>
      <x:c r="X48" s="14" t="str">
        <x:v>Excluded: after 2025</x:v>
      </x:c>
      <x:c r="Y48" s="14"/>
      <x:c r="Z48" s="14" t="str">
        <x:v>Black Ops.docx</x:v>
      </x:c>
      <x:c r="AA4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HYPERLINK("https://en.wikipedia.org/wiki/Black_Ops","Open source")</x:f>
        <x:v>HYPERLINK is not implemented. linkLocation=https://en.wikipedia.org/wiki/Black_Ops,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3</x:v>
      </x:c>
      <x:c r="BS48" s="16" t="n">
        <x:v>0.25</x:v>
      </x:c>
      <x:c r="BT48" s="14" t="str">
        <x:v>Minority of episodes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tt15296862|nm0166420|graham roberts</x:v>
      </x:c>
      <x:c r="B49" s="14" t="str">
        <x:v>01</x:v>
      </x:c>
      <x:c r="C49" s="14" t="str">
        <x:v>2023_IMDb_Cast_Lists_Batch_01(2).xlsx</x:v>
      </x:c>
      <x:c r="D49" s="14" t="str">
        <x:v>Black Ops</x:v>
      </x:c>
      <x:c r="E49" s="14" t="n">
        <x:v>23</x:v>
      </x:c>
      <x:c r="F49" s="14" t="str">
        <x:v>Black Ops</x:v>
      </x:c>
      <x:c r="G49" s="14" t="str">
        <x:v>tt15296862</x:v>
      </x:c>
      <x:c r="H49" s="14" t="n">
        <x:v>2023</x:v>
      </x:c>
      <x:c r="I49" s="14" t="n">
        <x:v>2023</x:v>
      </x:c>
      <x:c r="J49" s="14" t="str">
        <x:v>Post-study cohort</x:v>
      </x:c>
      <x:c r="K49" s="14"/>
      <x:c r="L49" s="14" t="str">
        <x:v>Not inherited</x:v>
      </x:c>
      <x:c r="M49" s="15" t="n">
        <x:v>16</x:v>
      </x:c>
      <x:c r="N49" s="14" t="str">
        <x:v>Cavan Clerkin</x:v>
      </x:c>
      <x:c r="O49" s="14" t="str">
        <x:v>nm0166420</x:v>
      </x:c>
      <x:c r="P49" s="14" t="str">
        <x:v>Graham Roberts</x:v>
      </x:c>
      <x:c r="Q49" s="15" t="n">
        <x:v>3</x:v>
      </x:c>
      <x:c r="R49" s="14" t="str">
        <x:v>2026</x:v>
      </x:c>
      <x:c r="S49" s="14" t="n">
        <x:v>2026</x:v>
      </x:c>
      <x:c r="T49" s="14" t="n">
        <x:v>2026</x:v>
      </x:c>
      <x:c r="U49" s="14" t="str">
        <x:v>Explicit source first year retained</x:v>
      </x:c>
      <x:c r="V49" s="14" t="str">
        <x:v>Earliest supplied year is 2026.</x:v>
      </x:c>
      <x:c r="W49" s="14"/>
      <x:c r="X49" s="14" t="str">
        <x:v>Excluded: after 2025</x:v>
      </x:c>
      <x:c r="Y49" s="14"/>
      <x:c r="Z49" s="14" t="str">
        <x:v>Black Ops.docx</x:v>
      </x:c>
      <x:c r="AA4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BBC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HYPERLINK("https://en.wikipedia.org/wiki/Black_Ops","Open source")</x:f>
        <x:v>HYPERLINK is not implemented. linkLocation=https://en.wikipedia.org/wiki/Black_Ops, friendlyName=Open source</x:v>
      </x:c>
      <x:c r="AN49" s="14" t="str">
        <x:v>BBC public-service commission</x:v>
      </x:c>
      <x:c r="AO49" s="14" t="str">
        <x:v>Yes</x:v>
      </x:c>
      <x:c r="AP49" s="14" t="str">
        <x:v>Direct BBC public-service scope</x:v>
      </x:c>
      <x:c r="AQ49" s="14" t="str">
        <x:v>Yes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12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3</x:v>
      </x:c>
      <x:c r="BS49" s="16" t="n">
        <x:v>0.25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tt15296862|nm1377178|dave</x:v>
      </x:c>
      <x:c r="B50" s="14" t="str">
        <x:v>01</x:v>
      </x:c>
      <x:c r="C50" s="14" t="str">
        <x:v>2023_IMDb_Cast_Lists_Batch_01(2).xlsx</x:v>
      </x:c>
      <x:c r="D50" s="14" t="str">
        <x:v>Black Ops</x:v>
      </x:c>
      <x:c r="E50" s="14" t="n">
        <x:v>24</x:v>
      </x:c>
      <x:c r="F50" s="14" t="str">
        <x:v>Black Ops</x:v>
      </x:c>
      <x:c r="G50" s="14" t="str">
        <x:v>tt15296862</x:v>
      </x:c>
      <x:c r="H50" s="14" t="n">
        <x:v>2023</x:v>
      </x:c>
      <x:c r="I50" s="14" t="n">
        <x:v>2023</x:v>
      </x:c>
      <x:c r="J50" s="14" t="str">
        <x:v>Post-study cohort</x:v>
      </x:c>
      <x:c r="K50" s="14"/>
      <x:c r="L50" s="14" t="str">
        <x:v>Not inherited</x:v>
      </x:c>
      <x:c r="M50" s="15" t="n">
        <x:v>17</x:v>
      </x:c>
      <x:c r="N50" s="14" t="str">
        <x:v>Bruce Mackinnon</x:v>
      </x:c>
      <x:c r="O50" s="14" t="str">
        <x:v>nm1377178</x:v>
      </x:c>
      <x:c r="P50" s="14" t="str">
        <x:v>Dave</x:v>
      </x:c>
      <x:c r="Q50" s="15" t="n">
        <x:v>3</x:v>
      </x:c>
      <x:c r="R50" s="14" t="str">
        <x:v>2026</x:v>
      </x:c>
      <x:c r="S50" s="14" t="n">
        <x:v>2026</x:v>
      </x:c>
      <x:c r="T50" s="14" t="n">
        <x:v>2026</x:v>
      </x:c>
      <x:c r="U50" s="14" t="str">
        <x:v>Explicit source first year retained</x:v>
      </x:c>
      <x:c r="V50" s="14" t="str">
        <x:v>Earliest supplied year is 2026.</x:v>
      </x:c>
      <x:c r="W50" s="14"/>
      <x:c r="X50" s="14" t="str">
        <x:v>Excluded: after 2025</x:v>
      </x:c>
      <x:c r="Y50" s="14"/>
      <x:c r="Z50" s="14" t="str">
        <x:v>Black Ops.docx</x:v>
      </x:c>
      <x:c r="AA5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HYPERLINK("https://en.wikipedia.org/wiki/Black_Ops","Open source")</x:f>
        <x:v>HYPERLINK is not implemented. linkLocation=https://en.wikipedia.org/wiki/Black_Ops, friendlyName=Open source</x:v>
      </x:c>
      <x:c r="AN50" s="14" t="str">
        <x:v>BBC public-service commission</x:v>
      </x:c>
      <x:c r="AO50" s="14" t="str">
        <x:v>Yes</x:v>
      </x:c>
      <x:c r="AP50" s="14" t="str">
        <x:v>Direct BBC public-service scope</x:v>
      </x:c>
      <x:c r="AQ50" s="14" t="str">
        <x:v>Yes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12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3</x:v>
      </x:c>
      <x:c r="BS50" s="16" t="n">
        <x:v>0.25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tt15296862|nm4494491|tom howell</x:v>
      </x:c>
      <x:c r="B51" s="14" t="str">
        <x:v>01</x:v>
      </x:c>
      <x:c r="C51" s="14" t="str">
        <x:v>2023_IMDb_Cast_Lists_Batch_01(2).xlsx</x:v>
      </x:c>
      <x:c r="D51" s="14" t="str">
        <x:v>Black Ops</x:v>
      </x:c>
      <x:c r="E51" s="14" t="n">
        <x:v>25</x:v>
      </x:c>
      <x:c r="F51" s="14" t="str">
        <x:v>Black Ops</x:v>
      </x:c>
      <x:c r="G51" s="14" t="str">
        <x:v>tt15296862</x:v>
      </x:c>
      <x:c r="H51" s="14" t="n">
        <x:v>2023</x:v>
      </x:c>
      <x:c r="I51" s="14" t="n">
        <x:v>2023</x:v>
      </x:c>
      <x:c r="J51" s="14" t="str">
        <x:v>Post-study cohort</x:v>
      </x:c>
      <x:c r="K51" s="14"/>
      <x:c r="L51" s="14" t="str">
        <x:v>Not inherited</x:v>
      </x:c>
      <x:c r="M51" s="15" t="n">
        <x:v>18</x:v>
      </x:c>
      <x:c r="N51" s="14" t="str">
        <x:v>Tom Stourton</x:v>
      </x:c>
      <x:c r="O51" s="14" t="str">
        <x:v>nm4494491</x:v>
      </x:c>
      <x:c r="P51" s="14" t="str">
        <x:v>Tom Howell</x:v>
      </x:c>
      <x:c r="Q51" s="15" t="n">
        <x:v>3</x:v>
      </x:c>
      <x:c r="R51" s="14" t="str">
        <x:v>2026</x:v>
      </x:c>
      <x:c r="S51" s="14" t="n">
        <x:v>2026</x:v>
      </x:c>
      <x:c r="T51" s="14" t="n">
        <x:v>2026</x:v>
      </x:c>
      <x:c r="U51" s="14" t="str">
        <x:v>Explicit source first year retained</x:v>
      </x:c>
      <x:c r="V51" s="14" t="str">
        <x:v>Earliest supplied year is 2026.</x:v>
      </x:c>
      <x:c r="W51" s="14"/>
      <x:c r="X51" s="14" t="str">
        <x:v>Excluded: after 2025</x:v>
      </x:c>
      <x:c r="Y51" s="14"/>
      <x:c r="Z51" s="14" t="str">
        <x:v>Black Ops.docx</x:v>
      </x:c>
      <x:c r="AA5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BBC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HYPERLINK("https://en.wikipedia.org/wiki/Black_Ops","Open source")</x:f>
        <x:v>HYPERLINK is not implemented. linkLocation=https://en.wikipedia.org/wiki/Black_Ops, friendlyName=Open source</x:v>
      </x:c>
      <x:c r="AN51" s="14" t="str">
        <x:v>BBC public-service commission</x:v>
      </x:c>
      <x:c r="AO51" s="14" t="str">
        <x:v>Yes</x:v>
      </x:c>
      <x:c r="AP51" s="14" t="str">
        <x:v>Direct BBC public-service scope</x:v>
      </x:c>
      <x:c r="AQ51" s="14" t="str">
        <x:v>Yes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12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3</x:v>
      </x:c>
      <x:c r="BS51" s="16" t="n">
        <x:v>0.25</x:v>
      </x:c>
      <x:c r="BT51" s="14" t="str">
        <x:v>Minority of episodes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tt15296862|nm3174284|bloke</x:v>
      </x:c>
      <x:c r="B52" s="14" t="str">
        <x:v>01</x:v>
      </x:c>
      <x:c r="C52" s="14" t="str">
        <x:v>2023_IMDb_Cast_Lists_Batch_01(2).xlsx</x:v>
      </x:c>
      <x:c r="D52" s="14" t="str">
        <x:v>Black Ops</x:v>
      </x:c>
      <x:c r="E52" s="14" t="n">
        <x:v>27</x:v>
      </x:c>
      <x:c r="F52" s="14" t="str">
        <x:v>Black Ops</x:v>
      </x:c>
      <x:c r="G52" s="14" t="str">
        <x:v>tt15296862</x:v>
      </x:c>
      <x:c r="H52" s="14" t="n">
        <x:v>2023</x:v>
      </x:c>
      <x:c r="I52" s="14" t="n">
        <x:v>2023</x:v>
      </x:c>
      <x:c r="J52" s="14" t="str">
        <x:v>Post-study cohort</x:v>
      </x:c>
      <x:c r="K52" s="14"/>
      <x:c r="L52" s="14" t="str">
        <x:v>Not inherited</x:v>
      </x:c>
      <x:c r="M52" s="15" t="n">
        <x:v>20</x:v>
      </x:c>
      <x:c r="N52" s="14" t="str">
        <x:v>Dean Kilbey</x:v>
      </x:c>
      <x:c r="O52" s="14" t="str">
        <x:v>nm3174284</x:v>
      </x:c>
      <x:c r="P52" s="14" t="str">
        <x:v>Bloke</x:v>
      </x:c>
      <x:c r="Q52" s="15" t="n">
        <x:v>3</x:v>
      </x:c>
      <x:c r="R52" s="14" t="str">
        <x:v>2026</x:v>
      </x:c>
      <x:c r="S52" s="14" t="n">
        <x:v>2026</x:v>
      </x:c>
      <x:c r="T52" s="14" t="n">
        <x:v>2026</x:v>
      </x:c>
      <x:c r="U52" s="14" t="str">
        <x:v>Explicit source first year retained</x:v>
      </x:c>
      <x:c r="V52" s="14" t="str">
        <x:v>Earliest supplied year is 2026.</x:v>
      </x:c>
      <x:c r="W52" s="14"/>
      <x:c r="X52" s="14" t="str">
        <x:v>Excluded: after 2025</x:v>
      </x:c>
      <x:c r="Y52" s="14"/>
      <x:c r="Z52" s="14" t="str">
        <x:v>Black Ops.docx</x:v>
      </x:c>
      <x:c r="AA5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BBC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HYPERLINK("https://en.wikipedia.org/wiki/Black_Ops","Open source")</x:f>
        <x:v>HYPERLINK is not implemented. linkLocation=https://en.wikipedia.org/wiki/Black_Ops, friendlyName=Open source</x:v>
      </x:c>
      <x:c r="AN52" s="14" t="str">
        <x:v>BBC public-service commission</x:v>
      </x:c>
      <x:c r="AO52" s="14" t="str">
        <x:v>Yes</x:v>
      </x:c>
      <x:c r="AP52" s="14" t="str">
        <x:v>Direct BBC public-service scope</x:v>
      </x:c>
      <x:c r="AQ52" s="14" t="str">
        <x:v>Yes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12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3</x:v>
      </x:c>
      <x:c r="BS52" s="16" t="n">
        <x:v>0.25</x:v>
      </x:c>
      <x:c r="BT52" s="14" t="str">
        <x:v>Minority of episodes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tt15296862|nm4424186|t'nisha</x:v>
      </x:c>
      <x:c r="B53" s="14" t="str">
        <x:v>01</x:v>
      </x:c>
      <x:c r="C53" s="14" t="str">
        <x:v>2023_IMDb_Cast_Lists_Batch_01(2).xlsx</x:v>
      </x:c>
      <x:c r="D53" s="14" t="str">
        <x:v>Black Ops</x:v>
      </x:c>
      <x:c r="E53" s="14" t="n">
        <x:v>31</x:v>
      </x:c>
      <x:c r="F53" s="14" t="str">
        <x:v>Black Ops</x:v>
      </x:c>
      <x:c r="G53" s="14" t="str">
        <x:v>tt15296862</x:v>
      </x:c>
      <x:c r="H53" s="14" t="n">
        <x:v>2023</x:v>
      </x:c>
      <x:c r="I53" s="14" t="n">
        <x:v>2023</x:v>
      </x:c>
      <x:c r="J53" s="14" t="str">
        <x:v>Post-study cohort</x:v>
      </x:c>
      <x:c r="K53" s="14"/>
      <x:c r="L53" s="14" t="str">
        <x:v>Not inherited</x:v>
      </x:c>
      <x:c r="M53" s="15" t="n">
        <x:v>24</x:v>
      </x:c>
      <x:c r="N53" s="14" t="str">
        <x:v>Sapphire Joy</x:v>
      </x:c>
      <x:c r="O53" s="14" t="str">
        <x:v>nm4424186</x:v>
      </x:c>
      <x:c r="P53" s="14" t="str">
        <x:v>T'Nisha</x:v>
      </x:c>
      <x:c r="Q53" s="15" t="n">
        <x:v>2</x:v>
      </x:c>
      <x:c r="R53" s="14" t="str">
        <x:v>2026</x:v>
      </x:c>
      <x:c r="S53" s="14" t="n">
        <x:v>2026</x:v>
      </x:c>
      <x:c r="T53" s="14" t="n">
        <x:v>2026</x:v>
      </x:c>
      <x:c r="U53" s="14" t="str">
        <x:v>Explicit source first year retained</x:v>
      </x:c>
      <x:c r="V53" s="14" t="str">
        <x:v>Earliest supplied year is 2026.</x:v>
      </x:c>
      <x:c r="W53" s="14"/>
      <x:c r="X53" s="14" t="str">
        <x:v>Excluded: after 2025</x:v>
      </x:c>
      <x:c r="Y53" s="14"/>
      <x:c r="Z53" s="14" t="str">
        <x:v>Black Ops.docx</x:v>
      </x:c>
      <x:c r="AA5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BBC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HYPERLINK("https://en.wikipedia.org/wiki/Black_Ops","Open source")</x:f>
        <x:v>HYPERLINK is not implemented. linkLocation=https://en.wikipedia.org/wiki/Black_Ops, friendlyName=Open source</x:v>
      </x:c>
      <x:c r="AN53" s="14" t="str">
        <x:v>BBC public-service commission</x:v>
      </x:c>
      <x:c r="AO53" s="14" t="str">
        <x:v>Yes</x:v>
      </x:c>
      <x:c r="AP53" s="14" t="str">
        <x:v>Direct BBC public-service scope</x:v>
      </x:c>
      <x:c r="AQ53" s="14" t="str">
        <x:v>Yes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2</x:v>
      </x:c>
      <x:c r="BS53" s="16" t="n">
        <x:v>0.16666666666666666</x:v>
      </x:c>
      <x:c r="BT53" s="14" t="str">
        <x:v>Minority of episodes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tt15296862|nm0912039|debra</x:v>
      </x:c>
      <x:c r="B54" s="14" t="str">
        <x:v>01</x:v>
      </x:c>
      <x:c r="C54" s="14" t="str">
        <x:v>2023_IMDb_Cast_Lists_Batch_01(2).xlsx</x:v>
      </x:c>
      <x:c r="D54" s="14" t="str">
        <x:v>Black Ops</x:v>
      </x:c>
      <x:c r="E54" s="14" t="n">
        <x:v>32</x:v>
      </x:c>
      <x:c r="F54" s="14" t="str">
        <x:v>Black Ops</x:v>
      </x:c>
      <x:c r="G54" s="14" t="str">
        <x:v>tt15296862</x:v>
      </x:c>
      <x:c r="H54" s="14" t="n">
        <x:v>2023</x:v>
      </x:c>
      <x:c r="I54" s="14" t="n">
        <x:v>2023</x:v>
      </x:c>
      <x:c r="J54" s="14" t="str">
        <x:v>Post-study cohort</x:v>
      </x:c>
      <x:c r="K54" s="14"/>
      <x:c r="L54" s="14" t="str">
        <x:v>Not inherited</x:v>
      </x:c>
      <x:c r="M54" s="15" t="n">
        <x:v>25</x:v>
      </x:c>
      <x:c r="N54" s="14" t="str">
        <x:v>Gemma Wardle</x:v>
      </x:c>
      <x:c r="O54" s="14" t="str">
        <x:v>nm0912039</x:v>
      </x:c>
      <x:c r="P54" s="14" t="str">
        <x:v>Debra</x:v>
      </x:c>
      <x:c r="Q54" s="15" t="n">
        <x:v>2</x:v>
      </x:c>
      <x:c r="R54" s="14" t="str">
        <x:v>2026</x:v>
      </x:c>
      <x:c r="S54" s="14" t="n">
        <x:v>2026</x:v>
      </x:c>
      <x:c r="T54" s="14" t="n">
        <x:v>2026</x:v>
      </x:c>
      <x:c r="U54" s="14" t="str">
        <x:v>Explicit source first year retained</x:v>
      </x:c>
      <x:c r="V54" s="14" t="str">
        <x:v>Earliest supplied year is 2026.</x:v>
      </x:c>
      <x:c r="W54" s="14"/>
      <x:c r="X54" s="14" t="str">
        <x:v>Excluded: after 2025</x:v>
      </x:c>
      <x:c r="Y54" s="14"/>
      <x:c r="Z54" s="14" t="str">
        <x:v>Black Ops.docx</x:v>
      </x:c>
      <x:c r="AA5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BBC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HYPERLINK("https://en.wikipedia.org/wiki/Black_Ops","Open source")</x:f>
        <x:v>HYPERLINK is not implemented. linkLocation=https://en.wikipedia.org/wiki/Black_Ops, friendlyName=Open source</x:v>
      </x:c>
      <x:c r="AN54" s="14" t="str">
        <x:v>BBC public-service commission</x:v>
      </x:c>
      <x:c r="AO54" s="14" t="str">
        <x:v>Yes</x:v>
      </x:c>
      <x:c r="AP54" s="14" t="str">
        <x:v>Direct BBC public-service scope</x:v>
      </x:c>
      <x:c r="AQ54" s="14" t="str">
        <x:v>Yes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2</x:v>
      </x:c>
      <x:c r="BS54" s="16" t="n">
        <x:v>0.16666666666666666</x:v>
      </x:c>
      <x:c r="BT54" s="14" t="str">
        <x:v>Minority of episodes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tt15296862|nm14959688|yas</x:v>
      </x:c>
      <x:c r="B55" s="14" t="str">
        <x:v>01</x:v>
      </x:c>
      <x:c r="C55" s="14" t="str">
        <x:v>2023_IMDb_Cast_Lists_Batch_01(2).xlsx</x:v>
      </x:c>
      <x:c r="D55" s="14" t="str">
        <x:v>Black Ops</x:v>
      </x:c>
      <x:c r="E55" s="14" t="n">
        <x:v>33</x:v>
      </x:c>
      <x:c r="F55" s="14" t="str">
        <x:v>Black Ops</x:v>
      </x:c>
      <x:c r="G55" s="14" t="str">
        <x:v>tt15296862</x:v>
      </x:c>
      <x:c r="H55" s="14" t="n">
        <x:v>2023</x:v>
      </x:c>
      <x:c r="I55" s="14" t="n">
        <x:v>2023</x:v>
      </x:c>
      <x:c r="J55" s="14" t="str">
        <x:v>Post-study cohort</x:v>
      </x:c>
      <x:c r="K55" s="14"/>
      <x:c r="L55" s="14" t="str">
        <x:v>Not inherited</x:v>
      </x:c>
      <x:c r="M55" s="15" t="n">
        <x:v>26</x:v>
      </x:c>
      <x:c r="N55" s="14" t="str">
        <x:v>Tiwa Lade</x:v>
      </x:c>
      <x:c r="O55" s="14" t="str">
        <x:v>nm14959688</x:v>
      </x:c>
      <x:c r="P55" s="14" t="str">
        <x:v>Yas</x:v>
      </x:c>
      <x:c r="Q55" s="15" t="n">
        <x:v>2</x:v>
      </x:c>
      <x:c r="R55" s="14" t="str">
        <x:v>2026</x:v>
      </x:c>
      <x:c r="S55" s="14" t="n">
        <x:v>2026</x:v>
      </x:c>
      <x:c r="T55" s="14" t="n">
        <x:v>2026</x:v>
      </x:c>
      <x:c r="U55" s="14" t="str">
        <x:v>Explicit source first year retained</x:v>
      </x:c>
      <x:c r="V55" s="14" t="str">
        <x:v>Earliest supplied year is 2026.</x:v>
      </x:c>
      <x:c r="W55" s="14"/>
      <x:c r="X55" s="14" t="str">
        <x:v>Excluded: after 2025</x:v>
      </x:c>
      <x:c r="Y55" s="14"/>
      <x:c r="Z55" s="14" t="str">
        <x:v>Black Ops.docx</x:v>
      </x:c>
      <x:c r="AA5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BBC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HYPERLINK("https://en.wikipedia.org/wiki/Black_Ops","Open source")</x:f>
        <x:v>HYPERLINK is not implemented. linkLocation=https://en.wikipedia.org/wiki/Black_Ops, friendlyName=Open source</x:v>
      </x:c>
      <x:c r="AN55" s="14" t="str">
        <x:v>BBC public-service commission</x:v>
      </x:c>
      <x:c r="AO55" s="14" t="str">
        <x:v>Yes</x:v>
      </x:c>
      <x:c r="AP55" s="14" t="str">
        <x:v>Direct BBC public-service scope</x:v>
      </x:c>
      <x:c r="AQ55" s="14" t="str">
        <x:v>Yes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2</x:v>
      </x:c>
      <x:c r="BS55" s="16" t="n">
        <x:v>0.16666666666666666</x:v>
      </x:c>
      <x:c r="BT55" s="14" t="str">
        <x:v>Minority of episodes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tt15296862|nm7987240|indigo</x:v>
      </x:c>
      <x:c r="B56" s="14" t="str">
        <x:v>01</x:v>
      </x:c>
      <x:c r="C56" s="14" t="str">
        <x:v>2023_IMDb_Cast_Lists_Batch_01(2).xlsx</x:v>
      </x:c>
      <x:c r="D56" s="14" t="str">
        <x:v>Black Ops</x:v>
      </x:c>
      <x:c r="E56" s="14" t="n">
        <x:v>47</x:v>
      </x:c>
      <x:c r="F56" s="14" t="str">
        <x:v>Black Ops</x:v>
      </x:c>
      <x:c r="G56" s="14" t="str">
        <x:v>tt15296862</x:v>
      </x:c>
      <x:c r="H56" s="14" t="n">
        <x:v>2023</x:v>
      </x:c>
      <x:c r="I56" s="14" t="n">
        <x:v>2023</x:v>
      </x:c>
      <x:c r="J56" s="14" t="str">
        <x:v>Post-study cohort</x:v>
      </x:c>
      <x:c r="K56" s="14"/>
      <x:c r="L56" s="14" t="str">
        <x:v>Not inherited</x:v>
      </x:c>
      <x:c r="M56" s="15" t="n">
        <x:v>40</x:v>
      </x:c>
      <x:c r="N56" s="14" t="str">
        <x:v>Lee Comley</x:v>
      </x:c>
      <x:c r="O56" s="14" t="str">
        <x:v>nm7987240</x:v>
      </x:c>
      <x:c r="P56" s="14" t="str">
        <x:v>Indigo</x:v>
      </x:c>
      <x:c r="Q56" s="15" t="n">
        <x:v>1</x:v>
      </x:c>
      <x:c r="R56" s="14" t="str">
        <x:v>2026</x:v>
      </x:c>
      <x:c r="S56" s="14" t="n">
        <x:v>2026</x:v>
      </x:c>
      <x:c r="T56" s="14" t="n">
        <x:v>2026</x:v>
      </x:c>
      <x:c r="U56" s="14" t="str">
        <x:v>Explicit source first year retained</x:v>
      </x:c>
      <x:c r="V56" s="14" t="str">
        <x:v>Earliest supplied year is 2026.</x:v>
      </x:c>
      <x:c r="W56" s="14"/>
      <x:c r="X56" s="14" t="str">
        <x:v>Excluded: after 2025</x:v>
      </x:c>
      <x:c r="Y56" s="14"/>
      <x:c r="Z56" s="14" t="str">
        <x:v>Black Ops.docx</x:v>
      </x:c>
      <x:c r="AA5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BBC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HYPERLINK("https://en.wikipedia.org/wiki/Black_Ops","Open source")</x:f>
        <x:v>HYPERLINK is not implemented. linkLocation=https://en.wikipedia.org/wiki/Black_Ops, friendlyName=Open source</x:v>
      </x:c>
      <x:c r="AN56" s="14" t="str">
        <x:v>BBC public-service commission</x:v>
      </x:c>
      <x:c r="AO56" s="14" t="str">
        <x:v>Yes</x:v>
      </x:c>
      <x:c r="AP56" s="14" t="str">
        <x:v>Direct BBC public-service scope</x:v>
      </x:c>
      <x:c r="AQ56" s="14" t="str">
        <x:v>Yes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0.08333333333333333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tt15296862|nm16217377|crabs</x:v>
      </x:c>
      <x:c r="B57" s="14" t="str">
        <x:v>01</x:v>
      </x:c>
      <x:c r="C57" s="14" t="str">
        <x:v>2023_IMDb_Cast_Lists_Batch_01(2).xlsx</x:v>
      </x:c>
      <x:c r="D57" s="14" t="str">
        <x:v>Black Ops</x:v>
      </x:c>
      <x:c r="E57" s="14" t="n">
        <x:v>48</x:v>
      </x:c>
      <x:c r="F57" s="14" t="str">
        <x:v>Black Ops</x:v>
      </x:c>
      <x:c r="G57" s="14" t="str">
        <x:v>tt15296862</x:v>
      </x:c>
      <x:c r="H57" s="14" t="n">
        <x:v>2023</x:v>
      </x:c>
      <x:c r="I57" s="14" t="n">
        <x:v>2023</x:v>
      </x:c>
      <x:c r="J57" s="14" t="str">
        <x:v>Post-study cohort</x:v>
      </x:c>
      <x:c r="K57" s="14"/>
      <x:c r="L57" s="14" t="str">
        <x:v>Not inherited</x:v>
      </x:c>
      <x:c r="M57" s="15" t="n">
        <x:v>41</x:v>
      </x:c>
      <x:c r="N57" s="14" t="str">
        <x:v>Dane Juler</x:v>
      </x:c>
      <x:c r="O57" s="14" t="str">
        <x:v>nm16217377</x:v>
      </x:c>
      <x:c r="P57" s="14" t="str">
        <x:v>Crabs</x:v>
      </x:c>
      <x:c r="Q57" s="15" t="n">
        <x:v>1</x:v>
      </x:c>
      <x:c r="R57" s="14" t="str">
        <x:v>2026</x:v>
      </x:c>
      <x:c r="S57" s="14" t="n">
        <x:v>2026</x:v>
      </x:c>
      <x:c r="T57" s="14" t="n">
        <x:v>2026</x:v>
      </x:c>
      <x:c r="U57" s="14" t="str">
        <x:v>Explicit source first year retained</x:v>
      </x:c>
      <x:c r="V57" s="14" t="str">
        <x:v>Earliest supplied year is 2026.</x:v>
      </x:c>
      <x:c r="W57" s="14"/>
      <x:c r="X57" s="14" t="str">
        <x:v>Excluded: after 2025</x:v>
      </x:c>
      <x:c r="Y57" s="14"/>
      <x:c r="Z57" s="14" t="str">
        <x:v>Black Ops.docx</x:v>
      </x:c>
      <x:c r="AA5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BBC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HYPERLINK("https://en.wikipedia.org/wiki/Black_Ops","Open source")</x:f>
        <x:v>HYPERLINK is not implemented. linkLocation=https://en.wikipedia.org/wiki/Black_Ops, friendlyName=Open source</x:v>
      </x:c>
      <x:c r="AN57" s="14" t="str">
        <x:v>BBC public-service commission</x:v>
      </x:c>
      <x:c r="AO57" s="14" t="str">
        <x:v>Yes</x:v>
      </x:c>
      <x:c r="AP57" s="14" t="str">
        <x:v>Direct BBC public-service scope</x:v>
      </x:c>
      <x:c r="AQ57" s="14" t="str">
        <x:v>Yes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0.08333333333333333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tt15296862|nm1665050|senior agent quantock</x:v>
      </x:c>
      <x:c r="B58" s="14" t="str">
        <x:v>01</x:v>
      </x:c>
      <x:c r="C58" s="14" t="str">
        <x:v>2023_IMDb_Cast_Lists_Batch_01(2).xlsx</x:v>
      </x:c>
      <x:c r="D58" s="14" t="str">
        <x:v>Black Ops</x:v>
      </x:c>
      <x:c r="E58" s="14" t="n">
        <x:v>49</x:v>
      </x:c>
      <x:c r="F58" s="14" t="str">
        <x:v>Black Ops</x:v>
      </x:c>
      <x:c r="G58" s="14" t="str">
        <x:v>tt15296862</x:v>
      </x:c>
      <x:c r="H58" s="14" t="n">
        <x:v>2023</x:v>
      </x:c>
      <x:c r="I58" s="14" t="n">
        <x:v>2023</x:v>
      </x:c>
      <x:c r="J58" s="14" t="str">
        <x:v>Post-study cohort</x:v>
      </x:c>
      <x:c r="K58" s="14"/>
      <x:c r="L58" s="14" t="str">
        <x:v>Not inherited</x:v>
      </x:c>
      <x:c r="M58" s="15" t="n">
        <x:v>42</x:v>
      </x:c>
      <x:c r="N58" s="14" t="str">
        <x:v>Martin Bishop</x:v>
      </x:c>
      <x:c r="O58" s="14" t="str">
        <x:v>nm1665050</x:v>
      </x:c>
      <x:c r="P58" s="14" t="str">
        <x:v>Senior Agent Quantock</x:v>
      </x:c>
      <x:c r="Q58" s="15" t="n">
        <x:v>1</x:v>
      </x:c>
      <x:c r="R58" s="14" t="str">
        <x:v>2026</x:v>
      </x:c>
      <x:c r="S58" s="14" t="n">
        <x:v>2026</x:v>
      </x:c>
      <x:c r="T58" s="14" t="n">
        <x:v>2026</x:v>
      </x:c>
      <x:c r="U58" s="14" t="str">
        <x:v>Explicit source first year retained</x:v>
      </x:c>
      <x:c r="V58" s="14" t="str">
        <x:v>Earliest supplied year is 2026.</x:v>
      </x:c>
      <x:c r="W58" s="14"/>
      <x:c r="X58" s="14" t="str">
        <x:v>Excluded: after 2025</x:v>
      </x:c>
      <x:c r="Y58" s="14"/>
      <x:c r="Z58" s="14" t="str">
        <x:v>Black Ops.docx</x:v>
      </x:c>
      <x:c r="AA5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BBC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HYPERLINK("https://en.wikipedia.org/wiki/Black_Ops","Open source")</x:f>
        <x:v>HYPERLINK is not implemented. linkLocation=https://en.wikipedia.org/wiki/Black_Ops, friendlyName=Open source</x:v>
      </x:c>
      <x:c r="AN58" s="14" t="str">
        <x:v>BBC public-service commission</x:v>
      </x:c>
      <x:c r="AO58" s="14" t="str">
        <x:v>Yes</x:v>
      </x:c>
      <x:c r="AP58" s="14" t="str">
        <x:v>Direct BBC public-service scope</x:v>
      </x:c>
      <x:c r="AQ58" s="14" t="str">
        <x:v>Yes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12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0.08333333333333333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tt15296862|nm1061038|clive</x:v>
      </x:c>
      <x:c r="B59" s="14" t="str">
        <x:v>01</x:v>
      </x:c>
      <x:c r="C59" s="14" t="str">
        <x:v>2023_IMDb_Cast_Lists_Batch_01(2).xlsx</x:v>
      </x:c>
      <x:c r="D59" s="14" t="str">
        <x:v>Black Ops</x:v>
      </x:c>
      <x:c r="E59" s="14" t="n">
        <x:v>50</x:v>
      </x:c>
      <x:c r="F59" s="14" t="str">
        <x:v>Black Ops</x:v>
      </x:c>
      <x:c r="G59" s="14" t="str">
        <x:v>tt15296862</x:v>
      </x:c>
      <x:c r="H59" s="14" t="n">
        <x:v>2023</x:v>
      </x:c>
      <x:c r="I59" s="14" t="n">
        <x:v>2023</x:v>
      </x:c>
      <x:c r="J59" s="14" t="str">
        <x:v>Post-study cohort</x:v>
      </x:c>
      <x:c r="K59" s="14"/>
      <x:c r="L59" s="14" t="str">
        <x:v>Not inherited</x:v>
      </x:c>
      <x:c r="M59" s="15" t="n">
        <x:v>43</x:v>
      </x:c>
      <x:c r="N59" s="14" t="str">
        <x:v>Stephen K. Amos</x:v>
      </x:c>
      <x:c r="O59" s="14" t="str">
        <x:v>nm1061038</x:v>
      </x:c>
      <x:c r="P59" s="14" t="str">
        <x:v>Clive</x:v>
      </x:c>
      <x:c r="Q59" s="15" t="n">
        <x:v>1</x:v>
      </x:c>
      <x:c r="R59" s="14" t="str">
        <x:v>2026</x:v>
      </x:c>
      <x:c r="S59" s="14" t="n">
        <x:v>2026</x:v>
      </x:c>
      <x:c r="T59" s="14" t="n">
        <x:v>2026</x:v>
      </x:c>
      <x:c r="U59" s="14" t="str">
        <x:v>Explicit source first year retained</x:v>
      </x:c>
      <x:c r="V59" s="14" t="str">
        <x:v>Earliest supplied year is 2026.</x:v>
      </x:c>
      <x:c r="W59" s="14"/>
      <x:c r="X59" s="14" t="str">
        <x:v>Excluded: after 2025</x:v>
      </x:c>
      <x:c r="Y59" s="14"/>
      <x:c r="Z59" s="14" t="str">
        <x:v>Black Ops.docx</x:v>
      </x:c>
      <x:c r="AA5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BBC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HYPERLINK("https://en.wikipedia.org/wiki/Black_Ops","Open source")</x:f>
        <x:v>HYPERLINK is not implemented. linkLocation=https://en.wikipedia.org/wiki/Black_Ops, friendlyName=Open source</x:v>
      </x:c>
      <x:c r="AN59" s="14" t="str">
        <x:v>BBC public-service commission</x:v>
      </x:c>
      <x:c r="AO59" s="14" t="str">
        <x:v>Yes</x:v>
      </x:c>
      <x:c r="AP59" s="14" t="str">
        <x:v>Direct BBC public-service scope</x:v>
      </x:c>
      <x:c r="AQ59" s="14" t="str">
        <x:v>Yes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tt15296862|nm1533008|mi5 agent</x:v>
      </x:c>
      <x:c r="B60" s="14" t="str">
        <x:v>01</x:v>
      </x:c>
      <x:c r="C60" s="14" t="str">
        <x:v>2023_IMDb_Cast_Lists_Batch_01(2).xlsx</x:v>
      </x:c>
      <x:c r="D60" s="14" t="str">
        <x:v>Black Ops</x:v>
      </x:c>
      <x:c r="E60" s="14" t="n">
        <x:v>51</x:v>
      </x:c>
      <x:c r="F60" s="14" t="str">
        <x:v>Black Ops</x:v>
      </x:c>
      <x:c r="G60" s="14" t="str">
        <x:v>tt15296862</x:v>
      </x:c>
      <x:c r="H60" s="14" t="n">
        <x:v>2023</x:v>
      </x:c>
      <x:c r="I60" s="14" t="n">
        <x:v>2023</x:v>
      </x:c>
      <x:c r="J60" s="14" t="str">
        <x:v>Post-study cohort</x:v>
      </x:c>
      <x:c r="K60" s="14"/>
      <x:c r="L60" s="14" t="str">
        <x:v>Not inherited</x:v>
      </x:c>
      <x:c r="M60" s="15" t="n">
        <x:v>44</x:v>
      </x:c>
      <x:c r="N60" s="14" t="str">
        <x:v>Simon Shorten</x:v>
      </x:c>
      <x:c r="O60" s="14" t="str">
        <x:v>nm1533008</x:v>
      </x:c>
      <x:c r="P60" s="14" t="str">
        <x:v>MI5 Agent</x:v>
      </x:c>
      <x:c r="Q60" s="15" t="n">
        <x:v>1</x:v>
      </x:c>
      <x:c r="R60" s="14" t="str">
        <x:v>2026</x:v>
      </x:c>
      <x:c r="S60" s="14" t="n">
        <x:v>2026</x:v>
      </x:c>
      <x:c r="T60" s="14" t="n">
        <x:v>2026</x:v>
      </x:c>
      <x:c r="U60" s="14" t="str">
        <x:v>Explicit source first year retained</x:v>
      </x:c>
      <x:c r="V60" s="14" t="str">
        <x:v>Earliest supplied year is 2026.</x:v>
      </x:c>
      <x:c r="W60" s="14"/>
      <x:c r="X60" s="14" t="str">
        <x:v>Excluded: after 2025</x:v>
      </x:c>
      <x:c r="Y60" s="14"/>
      <x:c r="Z60" s="14" t="str">
        <x:v>Black Ops.docx</x:v>
      </x:c>
      <x:c r="AA6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BBC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HYPERLINK("https://en.wikipedia.org/wiki/Black_Ops","Open source")</x:f>
        <x:v>HYPERLINK is not implemented. linkLocation=https://en.wikipedia.org/wiki/Black_Ops, friendlyName=Open source</x:v>
      </x:c>
      <x:c r="AN60" s="14" t="str">
        <x:v>BBC public-service commission</x:v>
      </x:c>
      <x:c r="AO60" s="14" t="str">
        <x:v>Yes</x:v>
      </x:c>
      <x:c r="AP60" s="14" t="str">
        <x:v>Direct BBC public-service scope</x:v>
      </x:c>
      <x:c r="AQ60" s="14" t="str">
        <x:v>Yes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tt15296862|nm0515758|aunty maureen</x:v>
      </x:c>
      <x:c r="B61" s="14" t="str">
        <x:v>01</x:v>
      </x:c>
      <x:c r="C61" s="14" t="str">
        <x:v>2023_IMDb_Cast_Lists_Batch_01(2).xlsx</x:v>
      </x:c>
      <x:c r="D61" s="14" t="str">
        <x:v>Black Ops</x:v>
      </x:c>
      <x:c r="E61" s="14" t="n">
        <x:v>52</x:v>
      </x:c>
      <x:c r="F61" s="14" t="str">
        <x:v>Black Ops</x:v>
      </x:c>
      <x:c r="G61" s="14" t="str">
        <x:v>tt15296862</x:v>
      </x:c>
      <x:c r="H61" s="14" t="n">
        <x:v>2023</x:v>
      </x:c>
      <x:c r="I61" s="14" t="n">
        <x:v>2023</x:v>
      </x:c>
      <x:c r="J61" s="14" t="str">
        <x:v>Post-study cohort</x:v>
      </x:c>
      <x:c r="K61" s="14"/>
      <x:c r="L61" s="14" t="str">
        <x:v>Not inherited</x:v>
      </x:c>
      <x:c r="M61" s="15" t="n">
        <x:v>45</x:v>
      </x:c>
      <x:c r="N61" s="14" t="str">
        <x:v>Suzette Llewellyn</x:v>
      </x:c>
      <x:c r="O61" s="14" t="str">
        <x:v>nm0515758</x:v>
      </x:c>
      <x:c r="P61" s="14" t="str">
        <x:v>Aunty Maureen</x:v>
      </x:c>
      <x:c r="Q61" s="15" t="n">
        <x:v>1</x:v>
      </x:c>
      <x:c r="R61" s="14" t="str">
        <x:v>2026</x:v>
      </x:c>
      <x:c r="S61" s="14" t="n">
        <x:v>2026</x:v>
      </x:c>
      <x:c r="T61" s="14" t="n">
        <x:v>2026</x:v>
      </x:c>
      <x:c r="U61" s="14" t="str">
        <x:v>Explicit source first year retained</x:v>
      </x:c>
      <x:c r="V61" s="14" t="str">
        <x:v>Earliest supplied year is 2026.</x:v>
      </x:c>
      <x:c r="W61" s="14"/>
      <x:c r="X61" s="14" t="str">
        <x:v>Excluded: after 2025</x:v>
      </x:c>
      <x:c r="Y61" s="14"/>
      <x:c r="Z61" s="14" t="str">
        <x:v>Black Ops.docx</x:v>
      </x:c>
      <x:c r="AA6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BBC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HYPERLINK("https://en.wikipedia.org/wiki/Black_Ops","Open source")</x:f>
        <x:v>HYPERLINK is not implemented. linkLocation=https://en.wikipedia.org/wiki/Black_Ops, friendlyName=Open source</x:v>
      </x:c>
      <x:c r="AN61" s="14" t="str">
        <x:v>BBC public-service commission</x:v>
      </x:c>
      <x:c r="AO61" s="14" t="str">
        <x:v>Yes</x:v>
      </x:c>
      <x:c r="AP61" s="14" t="str">
        <x:v>Direct BBC public-service scope</x:v>
      </x:c>
      <x:c r="AQ61" s="14" t="str">
        <x:v>Yes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tt15296862|nm1499401|francesca</x:v>
      </x:c>
      <x:c r="B62" s="14" t="str">
        <x:v>01</x:v>
      </x:c>
      <x:c r="C62" s="14" t="str">
        <x:v>2023_IMDb_Cast_Lists_Batch_01(2).xlsx</x:v>
      </x:c>
      <x:c r="D62" s="14" t="str">
        <x:v>Black Ops</x:v>
      </x:c>
      <x:c r="E62" s="14" t="n">
        <x:v>53</x:v>
      </x:c>
      <x:c r="F62" s="14" t="str">
        <x:v>Black Ops</x:v>
      </x:c>
      <x:c r="G62" s="14" t="str">
        <x:v>tt15296862</x:v>
      </x:c>
      <x:c r="H62" s="14" t="n">
        <x:v>2023</x:v>
      </x:c>
      <x:c r="I62" s="14" t="n">
        <x:v>2023</x:v>
      </x:c>
      <x:c r="J62" s="14" t="str">
        <x:v>Post-study cohort</x:v>
      </x:c>
      <x:c r="K62" s="14"/>
      <x:c r="L62" s="14" t="str">
        <x:v>Not inherited</x:v>
      </x:c>
      <x:c r="M62" s="15" t="n">
        <x:v>46</x:v>
      </x:c>
      <x:c r="N62" s="14" t="str">
        <x:v>Lucille Howe</x:v>
      </x:c>
      <x:c r="O62" s="14" t="str">
        <x:v>nm1499401</x:v>
      </x:c>
      <x:c r="P62" s="14" t="str">
        <x:v>Francesca</x:v>
      </x:c>
      <x:c r="Q62" s="15" t="n">
        <x:v>1</x:v>
      </x:c>
      <x:c r="R62" s="14" t="str">
        <x:v>2026</x:v>
      </x:c>
      <x:c r="S62" s="14" t="n">
        <x:v>2026</x:v>
      </x:c>
      <x:c r="T62" s="14" t="n">
        <x:v>2026</x:v>
      </x:c>
      <x:c r="U62" s="14" t="str">
        <x:v>Explicit source first year retained</x:v>
      </x:c>
      <x:c r="V62" s="14" t="str">
        <x:v>Earliest supplied year is 2026.</x:v>
      </x:c>
      <x:c r="W62" s="14"/>
      <x:c r="X62" s="14" t="str">
        <x:v>Excluded: after 2025</x:v>
      </x:c>
      <x:c r="Y62" s="14"/>
      <x:c r="Z62" s="14" t="str">
        <x:v>Black Ops.docx</x:v>
      </x:c>
      <x:c r="AA6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BBC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HYPERLINK("https://en.wikipedia.org/wiki/Black_Ops","Open source")</x:f>
        <x:v>HYPERLINK is not implemented. linkLocation=https://en.wikipedia.org/wiki/Black_Ops, friendlyName=Open source</x:v>
      </x:c>
      <x:c r="AN62" s="14" t="str">
        <x:v>BBC public-service commission</x:v>
      </x:c>
      <x:c r="AO62" s="14" t="str">
        <x:v>Yes</x:v>
      </x:c>
      <x:c r="AP62" s="14" t="str">
        <x:v>Direct BBC public-service scope</x:v>
      </x:c>
      <x:c r="AQ62" s="14" t="str">
        <x:v>Yes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tt15296862|nm0046183|cynthia</x:v>
      </x:c>
      <x:c r="B63" s="14" t="str">
        <x:v>01</x:v>
      </x:c>
      <x:c r="C63" s="14" t="str">
        <x:v>2023_IMDb_Cast_Lists_Batch_01(2).xlsx</x:v>
      </x:c>
      <x:c r="D63" s="14" t="str">
        <x:v>Black Ops</x:v>
      </x:c>
      <x:c r="E63" s="14" t="n">
        <x:v>54</x:v>
      </x:c>
      <x:c r="F63" s="14" t="str">
        <x:v>Black Ops</x:v>
      </x:c>
      <x:c r="G63" s="14" t="str">
        <x:v>tt15296862</x:v>
      </x:c>
      <x:c r="H63" s="14" t="n">
        <x:v>2023</x:v>
      </x:c>
      <x:c r="I63" s="14" t="n">
        <x:v>2023</x:v>
      </x:c>
      <x:c r="J63" s="14" t="str">
        <x:v>Post-study cohort</x:v>
      </x:c>
      <x:c r="K63" s="14"/>
      <x:c r="L63" s="14" t="str">
        <x:v>Not inherited</x:v>
      </x:c>
      <x:c r="M63" s="15" t="n">
        <x:v>47</x:v>
      </x:c>
      <x:c r="N63" s="14" t="str">
        <x:v>Annette Badland</x:v>
      </x:c>
      <x:c r="O63" s="14" t="str">
        <x:v>nm0046183</x:v>
      </x:c>
      <x:c r="P63" s="14" t="str">
        <x:v>Cynthia</x:v>
      </x:c>
      <x:c r="Q63" s="15" t="n">
        <x:v>1</x:v>
      </x:c>
      <x:c r="R63" s="14" t="str">
        <x:v>2026</x:v>
      </x:c>
      <x:c r="S63" s="14" t="n">
        <x:v>2026</x:v>
      </x:c>
      <x:c r="T63" s="14" t="n">
        <x:v>2026</x:v>
      </x:c>
      <x:c r="U63" s="14" t="str">
        <x:v>Explicit source first year retained</x:v>
      </x:c>
      <x:c r="V63" s="14" t="str">
        <x:v>Earliest supplied year is 2026.</x:v>
      </x:c>
      <x:c r="W63" s="14"/>
      <x:c r="X63" s="14" t="str">
        <x:v>Excluded: after 2025</x:v>
      </x:c>
      <x:c r="Y63" s="14"/>
      <x:c r="Z63" s="14" t="str">
        <x:v>Black Ops.docx</x:v>
      </x:c>
      <x:c r="AA6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BBC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HYPERLINK("https://en.wikipedia.org/wiki/Black_Ops","Open source")</x:f>
        <x:v>HYPERLINK is not implemented. linkLocation=https://en.wikipedia.org/wiki/Black_Ops, friendlyName=Open source</x:v>
      </x:c>
      <x:c r="AN63" s="14" t="str">
        <x:v>BBC public-service commission</x:v>
      </x:c>
      <x:c r="AO63" s="14" t="str">
        <x:v>Yes</x:v>
      </x:c>
      <x:c r="AP63" s="14" t="str">
        <x:v>Direct BBC public-service scope</x:v>
      </x:c>
      <x:c r="AQ63" s="14" t="str">
        <x:v>Yes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tt15296862|nm5149069|benito</x:v>
      </x:c>
      <x:c r="B64" s="14" t="str">
        <x:v>01</x:v>
      </x:c>
      <x:c r="C64" s="14" t="str">
        <x:v>2023_IMDb_Cast_Lists_Batch_01(2).xlsx</x:v>
      </x:c>
      <x:c r="D64" s="14" t="str">
        <x:v>Black Ops</x:v>
      </x:c>
      <x:c r="E64" s="14" t="n">
        <x:v>55</x:v>
      </x:c>
      <x:c r="F64" s="14" t="str">
        <x:v>Black Ops</x:v>
      </x:c>
      <x:c r="G64" s="14" t="str">
        <x:v>tt15296862</x:v>
      </x:c>
      <x:c r="H64" s="14" t="n">
        <x:v>2023</x:v>
      </x:c>
      <x:c r="I64" s="14" t="n">
        <x:v>2023</x:v>
      </x:c>
      <x:c r="J64" s="14" t="str">
        <x:v>Post-study cohort</x:v>
      </x:c>
      <x:c r="K64" s="14"/>
      <x:c r="L64" s="14" t="str">
        <x:v>Not inherited</x:v>
      </x:c>
      <x:c r="M64" s="15" t="n">
        <x:v>48</x:v>
      </x:c>
      <x:c r="N64" s="14" t="str">
        <x:v>Dinarte Gouveia</x:v>
      </x:c>
      <x:c r="O64" s="14" t="str">
        <x:v>nm5149069</x:v>
      </x:c>
      <x:c r="P64" s="14" t="str">
        <x:v>Benito</x:v>
      </x:c>
      <x:c r="Q64" s="15" t="n">
        <x:v>1</x:v>
      </x:c>
      <x:c r="R64" s="14" t="str">
        <x:v>2026</x:v>
      </x:c>
      <x:c r="S64" s="14" t="n">
        <x:v>2026</x:v>
      </x:c>
      <x:c r="T64" s="14" t="n">
        <x:v>2026</x:v>
      </x:c>
      <x:c r="U64" s="14" t="str">
        <x:v>Explicit source first year retained</x:v>
      </x:c>
      <x:c r="V64" s="14" t="str">
        <x:v>Earliest supplied year is 2026.</x:v>
      </x:c>
      <x:c r="W64" s="14"/>
      <x:c r="X64" s="14" t="str">
        <x:v>Excluded: after 2025</x:v>
      </x:c>
      <x:c r="Y64" s="14"/>
      <x:c r="Z64" s="14" t="str">
        <x:v>Black Ops.docx</x:v>
      </x:c>
      <x:c r="AA6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BBC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HYPERLINK("https://en.wikipedia.org/wiki/Black_Ops","Open source")</x:f>
        <x:v>HYPERLINK is not implemented. linkLocation=https://en.wikipedia.org/wiki/Black_Ops, friendlyName=Open source</x:v>
      </x:c>
      <x:c r="AN64" s="14" t="str">
        <x:v>BBC public-service commission</x:v>
      </x:c>
      <x:c r="AO64" s="14" t="str">
        <x:v>Yes</x:v>
      </x:c>
      <x:c r="AP64" s="14" t="str">
        <x:v>Direct BBC public-service scope</x:v>
      </x:c>
      <x:c r="AQ64" s="14" t="str">
        <x:v>Yes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tt15296862|nm1740417|cousin darren</x:v>
      </x:c>
      <x:c r="B65" s="14" t="str">
        <x:v>01</x:v>
      </x:c>
      <x:c r="C65" s="14" t="str">
        <x:v>2023_IMDb_Cast_Lists_Batch_01(2).xlsx</x:v>
      </x:c>
      <x:c r="D65" s="14" t="str">
        <x:v>Black Ops</x:v>
      </x:c>
      <x:c r="E65" s="14" t="n">
        <x:v>56</x:v>
      </x:c>
      <x:c r="F65" s="14" t="str">
        <x:v>Black Ops</x:v>
      </x:c>
      <x:c r="G65" s="14" t="str">
        <x:v>tt15296862</x:v>
      </x:c>
      <x:c r="H65" s="14" t="n">
        <x:v>2023</x:v>
      </x:c>
      <x:c r="I65" s="14" t="n">
        <x:v>2023</x:v>
      </x:c>
      <x:c r="J65" s="14" t="str">
        <x:v>Post-study cohort</x:v>
      </x:c>
      <x:c r="K65" s="14"/>
      <x:c r="L65" s="14" t="str">
        <x:v>Not inherited</x:v>
      </x:c>
      <x:c r="M65" s="15" t="n">
        <x:v>49</x:v>
      </x:c>
      <x:c r="N65" s="14" t="str">
        <x:v>Andre Squire</x:v>
      </x:c>
      <x:c r="O65" s="14" t="str">
        <x:v>nm1740417</x:v>
      </x:c>
      <x:c r="P65" s="14" t="str">
        <x:v>Cousin Darren</x:v>
      </x:c>
      <x:c r="Q65" s="15" t="n">
        <x:v>1</x:v>
      </x:c>
      <x:c r="R65" s="14" t="str">
        <x:v>2026</x:v>
      </x:c>
      <x:c r="S65" s="14" t="n">
        <x:v>2026</x:v>
      </x:c>
      <x:c r="T65" s="14" t="n">
        <x:v>2026</x:v>
      </x:c>
      <x:c r="U65" s="14" t="str">
        <x:v>Explicit source first year retained</x:v>
      </x:c>
      <x:c r="V65" s="14" t="str">
        <x:v>Earliest supplied year is 2026.</x:v>
      </x:c>
      <x:c r="W65" s="14"/>
      <x:c r="X65" s="14" t="str">
        <x:v>Excluded: after 2025</x:v>
      </x:c>
      <x:c r="Y65" s="14"/>
      <x:c r="Z65" s="14" t="str">
        <x:v>Black Ops.docx</x:v>
      </x:c>
      <x:c r="AA6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BBC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HYPERLINK("https://en.wikipedia.org/wiki/Black_Ops","Open source")</x:f>
        <x:v>HYPERLINK is not implemented. linkLocation=https://en.wikipedia.org/wiki/Black_Ops, friendlyName=Open source</x:v>
      </x:c>
      <x:c r="AN65" s="14" t="str">
        <x:v>BBC public-service commission</x:v>
      </x:c>
      <x:c r="AO65" s="14" t="str">
        <x:v>Yes</x:v>
      </x:c>
      <x:c r="AP65" s="14" t="str">
        <x:v>Direct BBC public-service scope</x:v>
      </x:c>
      <x:c r="AQ65" s="14" t="str">
        <x:v>Yes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tt15296862|nm3585197|murray</x:v>
      </x:c>
      <x:c r="B66" s="14" t="str">
        <x:v>01</x:v>
      </x:c>
      <x:c r="C66" s="14" t="str">
        <x:v>2023_IMDb_Cast_Lists_Batch_01(2).xlsx</x:v>
      </x:c>
      <x:c r="D66" s="14" t="str">
        <x:v>Black Ops</x:v>
      </x:c>
      <x:c r="E66" s="14" t="n">
        <x:v>57</x:v>
      </x:c>
      <x:c r="F66" s="14" t="str">
        <x:v>Black Ops</x:v>
      </x:c>
      <x:c r="G66" s="14" t="str">
        <x:v>tt15296862</x:v>
      </x:c>
      <x:c r="H66" s="14" t="n">
        <x:v>2023</x:v>
      </x:c>
      <x:c r="I66" s="14" t="n">
        <x:v>2023</x:v>
      </x:c>
      <x:c r="J66" s="14" t="str">
        <x:v>Post-study cohort</x:v>
      </x:c>
      <x:c r="K66" s="14"/>
      <x:c r="L66" s="14" t="str">
        <x:v>Not inherited</x:v>
      </x:c>
      <x:c r="M66" s="15" t="n">
        <x:v>50</x:v>
      </x:c>
      <x:c r="N66" s="14" t="str">
        <x:v>John Gaffney</x:v>
      </x:c>
      <x:c r="O66" s="14" t="str">
        <x:v>nm3585197</x:v>
      </x:c>
      <x:c r="P66" s="14" t="str">
        <x:v>Murray</x:v>
      </x:c>
      <x:c r="Q66" s="15" t="n">
        <x:v>1</x:v>
      </x:c>
      <x:c r="R66" s="14" t="str">
        <x:v>2026</x:v>
      </x:c>
      <x:c r="S66" s="14" t="n">
        <x:v>2026</x:v>
      </x:c>
      <x:c r="T66" s="14" t="n">
        <x:v>2026</x:v>
      </x:c>
      <x:c r="U66" s="14" t="str">
        <x:v>Explicit source first year retained</x:v>
      </x:c>
      <x:c r="V66" s="14" t="str">
        <x:v>Earliest supplied year is 2026.</x:v>
      </x:c>
      <x:c r="W66" s="14"/>
      <x:c r="X66" s="14" t="str">
        <x:v>Excluded: after 2025</x:v>
      </x:c>
      <x:c r="Y66" s="14"/>
      <x:c r="Z66" s="14" t="str">
        <x:v>Black Ops.docx</x:v>
      </x:c>
      <x:c r="AA6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BBC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HYPERLINK("https://en.wikipedia.org/wiki/Black_Ops","Open source")</x:f>
        <x:v>HYPERLINK is not implemented. linkLocation=https://en.wikipedia.org/wiki/Black_Ops, friendlyName=Open source</x:v>
      </x:c>
      <x:c r="AN66" s="14" t="str">
        <x:v>BBC public-service commission</x:v>
      </x:c>
      <x:c r="AO66" s="14" t="str">
        <x:v>Yes</x:v>
      </x:c>
      <x:c r="AP66" s="14" t="str">
        <x:v>Direct BBC public-service scope</x:v>
      </x:c>
      <x:c r="AQ66" s="14" t="str">
        <x:v>Yes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12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tt15296862|nm11515051|local news reporter</x:v>
      </x:c>
      <x:c r="B67" s="14" t="str">
        <x:v>01</x:v>
      </x:c>
      <x:c r="C67" s="14" t="str">
        <x:v>2023_IMDb_Cast_Lists_Batch_01(2).xlsx</x:v>
      </x:c>
      <x:c r="D67" s="14" t="str">
        <x:v>Black Ops</x:v>
      </x:c>
      <x:c r="E67" s="14" t="n">
        <x:v>58</x:v>
      </x:c>
      <x:c r="F67" s="14" t="str">
        <x:v>Black Ops</x:v>
      </x:c>
      <x:c r="G67" s="14" t="str">
        <x:v>tt15296862</x:v>
      </x:c>
      <x:c r="H67" s="14" t="n">
        <x:v>2023</x:v>
      </x:c>
      <x:c r="I67" s="14" t="n">
        <x:v>2023</x:v>
      </x:c>
      <x:c r="J67" s="14" t="str">
        <x:v>Post-study cohort</x:v>
      </x:c>
      <x:c r="K67" s="14"/>
      <x:c r="L67" s="14" t="str">
        <x:v>Not inherited</x:v>
      </x:c>
      <x:c r="M67" s="15" t="n">
        <x:v>51</x:v>
      </x:c>
      <x:c r="N67" s="14" t="str">
        <x:v>Leah Marks</x:v>
      </x:c>
      <x:c r="O67" s="14" t="str">
        <x:v>nm11515051</x:v>
      </x:c>
      <x:c r="P67" s="14" t="str">
        <x:v>Local News Reporter</x:v>
      </x:c>
      <x:c r="Q67" s="15" t="n">
        <x:v>1</x:v>
      </x:c>
      <x:c r="R67" s="14" t="str">
        <x:v>2026</x:v>
      </x:c>
      <x:c r="S67" s="14" t="n">
        <x:v>2026</x:v>
      </x:c>
      <x:c r="T67" s="14" t="n">
        <x:v>2026</x:v>
      </x:c>
      <x:c r="U67" s="14" t="str">
        <x:v>Explicit source first year retained</x:v>
      </x:c>
      <x:c r="V67" s="14" t="str">
        <x:v>Earliest supplied year is 2026.</x:v>
      </x:c>
      <x:c r="W67" s="14"/>
      <x:c r="X67" s="14" t="str">
        <x:v>Excluded: after 2025</x:v>
      </x:c>
      <x:c r="Y67" s="14"/>
      <x:c r="Z67" s="14" t="str">
        <x:v>Black Ops.docx</x:v>
      </x:c>
      <x:c r="AA6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BBC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HYPERLINK("https://en.wikipedia.org/wiki/Black_Ops","Open source")</x:f>
        <x:v>HYPERLINK is not implemented. linkLocation=https://en.wikipedia.org/wiki/Black_Ops, friendlyName=Open source</x:v>
      </x:c>
      <x:c r="AN67" s="14" t="str">
        <x:v>BBC public-service commission</x:v>
      </x:c>
      <x:c r="AO67" s="14" t="str">
        <x:v>Yes</x:v>
      </x:c>
      <x:c r="AP67" s="14" t="str">
        <x:v>Direct BBC public-service scope</x:v>
      </x:c>
      <x:c r="AQ67" s="14" t="str">
        <x:v>Yes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12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0.08333333333333333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tt15296862|nm15227178|ezekiel</x:v>
      </x:c>
      <x:c r="B68" s="14" t="str">
        <x:v>01</x:v>
      </x:c>
      <x:c r="C68" s="14" t="str">
        <x:v>2023_IMDb_Cast_Lists_Batch_01(2).xlsx</x:v>
      </x:c>
      <x:c r="D68" s="14" t="str">
        <x:v>Black Ops</x:v>
      </x:c>
      <x:c r="E68" s="14" t="n">
        <x:v>59</x:v>
      </x:c>
      <x:c r="F68" s="14" t="str">
        <x:v>Black Ops</x:v>
      </x:c>
      <x:c r="G68" s="14" t="str">
        <x:v>tt15296862</x:v>
      </x:c>
      <x:c r="H68" s="14" t="n">
        <x:v>2023</x:v>
      </x:c>
      <x:c r="I68" s="14" t="n">
        <x:v>2023</x:v>
      </x:c>
      <x:c r="J68" s="14" t="str">
        <x:v>Post-study cohort</x:v>
      </x:c>
      <x:c r="K68" s="14"/>
      <x:c r="L68" s="14" t="str">
        <x:v>Not inherited</x:v>
      </x:c>
      <x:c r="M68" s="15" t="n">
        <x:v>52</x:v>
      </x:c>
      <x:c r="N68" s="14" t="str">
        <x:v>Tony McPherson</x:v>
      </x:c>
      <x:c r="O68" s="14" t="str">
        <x:v>nm15227178</x:v>
      </x:c>
      <x:c r="P68" s="14" t="str">
        <x:v>Ezekiel</x:v>
      </x:c>
      <x:c r="Q68" s="15" t="n">
        <x:v>1</x:v>
      </x:c>
      <x:c r="R68" s="14" t="str">
        <x:v>2026</x:v>
      </x:c>
      <x:c r="S68" s="14" t="n">
        <x:v>2026</x:v>
      </x:c>
      <x:c r="T68" s="14" t="n">
        <x:v>2026</x:v>
      </x:c>
      <x:c r="U68" s="14" t="str">
        <x:v>Explicit source first year retained</x:v>
      </x:c>
      <x:c r="V68" s="14" t="str">
        <x:v>Earliest supplied year is 2026.</x:v>
      </x:c>
      <x:c r="W68" s="14"/>
      <x:c r="X68" s="14" t="str">
        <x:v>Excluded: after 2025</x:v>
      </x:c>
      <x:c r="Y68" s="14"/>
      <x:c r="Z68" s="14" t="str">
        <x:v>Black Ops.docx</x:v>
      </x:c>
      <x:c r="AA6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BBC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HYPERLINK("https://en.wikipedia.org/wiki/Black_Ops","Open source")</x:f>
        <x:v>HYPERLINK is not implemented. linkLocation=https://en.wikipedia.org/wiki/Black_Ops, friendlyName=Open source</x:v>
      </x:c>
      <x:c r="AN68" s="14" t="str">
        <x:v>BBC public-service commission</x:v>
      </x:c>
      <x:c r="AO68" s="14" t="str">
        <x:v>Yes</x:v>
      </x:c>
      <x:c r="AP68" s="14" t="str">
        <x:v>Direct BBC public-service scope</x:v>
      </x:c>
      <x:c r="AQ68" s="14" t="str">
        <x:v>Yes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12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0.08333333333333333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tt15296862|nm5878377|paula</x:v>
      </x:c>
      <x:c r="B69" s="14" t="str">
        <x:v>01</x:v>
      </x:c>
      <x:c r="C69" s="14" t="str">
        <x:v>2023_IMDb_Cast_Lists_Batch_01(2).xlsx</x:v>
      </x:c>
      <x:c r="D69" s="14" t="str">
        <x:v>Black Ops</x:v>
      </x:c>
      <x:c r="E69" s="14" t="n">
        <x:v>60</x:v>
      </x:c>
      <x:c r="F69" s="14" t="str">
        <x:v>Black Ops</x:v>
      </x:c>
      <x:c r="G69" s="14" t="str">
        <x:v>tt15296862</x:v>
      </x:c>
      <x:c r="H69" s="14" t="n">
        <x:v>2023</x:v>
      </x:c>
      <x:c r="I69" s="14" t="n">
        <x:v>2023</x:v>
      </x:c>
      <x:c r="J69" s="14" t="str">
        <x:v>Post-study cohort</x:v>
      </x:c>
      <x:c r="K69" s="14"/>
      <x:c r="L69" s="14" t="str">
        <x:v>Not inherited</x:v>
      </x:c>
      <x:c r="M69" s="15" t="n">
        <x:v>53</x:v>
      </x:c>
      <x:c r="N69" s="14" t="str">
        <x:v>Melissa Johns</x:v>
      </x:c>
      <x:c r="O69" s="14" t="str">
        <x:v>nm5878377</x:v>
      </x:c>
      <x:c r="P69" s="14" t="str">
        <x:v>Paula</x:v>
      </x:c>
      <x:c r="Q69" s="15" t="n">
        <x:v>1</x:v>
      </x:c>
      <x:c r="R69" s="14" t="str">
        <x:v>2026</x:v>
      </x:c>
      <x:c r="S69" s="14" t="n">
        <x:v>2026</x:v>
      </x:c>
      <x:c r="T69" s="14" t="n">
        <x:v>2026</x:v>
      </x:c>
      <x:c r="U69" s="14" t="str">
        <x:v>Explicit source first year retained</x:v>
      </x:c>
      <x:c r="V69" s="14" t="str">
        <x:v>Earliest supplied year is 2026.</x:v>
      </x:c>
      <x:c r="W69" s="14"/>
      <x:c r="X69" s="14" t="str">
        <x:v>Excluded: after 2025</x:v>
      </x:c>
      <x:c r="Y69" s="14"/>
      <x:c r="Z69" s="14" t="str">
        <x:v>Black Ops.docx</x:v>
      </x:c>
      <x:c r="AA6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69" s="14" t="str">
        <x:v>Existing established-register match</x:v>
      </x:c>
      <x:c r="AC69" s="14" t="str">
        <x:v>Physical disability</x:v>
      </x:c>
      <x:c r="AD69" s="14" t="str">
        <x:v>Existing register classification: Physical disability</x:v>
      </x:c>
      <x:c r="AE69" s="14" t="str">
        <x:v>Established_Disability_Category_Register V1.2.xlsx</x:v>
      </x:c>
      <x:c r="AF69" s="14"/>
      <x:c r="AG69" s="14" t="str">
        <x:v>Established user-supplied classification retained for deduplication; evidence was not re-researched in this batch.</x:v>
      </x:c>
      <x:c r="AH69" s="14" t="str">
        <x:v>BBC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HYPERLINK("https://en.wikipedia.org/wiki/Black_Ops","Open source")</x:f>
        <x:v>HYPERLINK is not implemented. linkLocation=https://en.wikipedia.org/wiki/Black_Ops, friendlyName=Open source</x:v>
      </x:c>
      <x:c r="AN69" s="14" t="str">
        <x:v>BBC public-service commission</x:v>
      </x:c>
      <x:c r="AO69" s="14" t="str">
        <x:v>Yes</x:v>
      </x:c>
      <x:c r="AP69" s="14" t="str">
        <x:v>Direct BBC public-service scope</x:v>
      </x:c>
      <x:c r="AQ69" s="14" t="str">
        <x:v>Yes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Exact IMDb performer ID match</x:v>
      </x:c>
      <x:c r="BC69" s="14" t="str">
        <x:v>nm5878377</x:v>
      </x:c>
      <x:c r="BD69" s="14" t="str">
        <x:v>Melissa Johns</x:v>
      </x:c>
      <x:c r="BE69" s="14" t="str">
        <x:v>Physical disability</x:v>
      </x:c>
      <x:c r="BF69" s="14" t="str">
        <x:v>Yes</x:v>
      </x:c>
      <x:c r="BG69" s="14" t="str">
        <x:v>Physical disability</x:v>
      </x:c>
      <x:c r="BH69" s="14" t="str">
        <x:v>No</x:v>
      </x:c>
      <x:c r="BI69" s="14" t="str">
        <x:v>User-supplied established classification</x:v>
      </x:c>
      <x:c r="BJ69" s="14" t="str">
        <x:v>04_Physical_disability.csv</x:v>
      </x:c>
      <x:c r="BK69" s="14"/>
      <x:c r="BL69" s="14" t="str">
        <x:v>Matched</x:v>
      </x:c>
      <x:c r="BM69" s="14" t="str">
        <x:v>Final supplied register</x:v>
      </x:c>
      <x:c r="BN69" s="14"/>
      <x:c r="BO69" s="14" t="n">
        <x:v>12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</x:v>
      </x:c>
      <x:c r="BS69" s="16" t="n">
        <x:v>0.08333333333333333</x:v>
      </x:c>
      <x:c r="BT69" s="14" t="str">
        <x:v>One episode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tt15296862|nm2558027|bossman</x:v>
      </x:c>
      <x:c r="B70" s="14" t="str">
        <x:v>01</x:v>
      </x:c>
      <x:c r="C70" s="14" t="str">
        <x:v>2023_IMDb_Cast_Lists_Batch_01(2).xlsx</x:v>
      </x:c>
      <x:c r="D70" s="14" t="str">
        <x:v>Black Ops</x:v>
      </x:c>
      <x:c r="E70" s="14" t="n">
        <x:v>61</x:v>
      </x:c>
      <x:c r="F70" s="14" t="str">
        <x:v>Black Ops</x:v>
      </x:c>
      <x:c r="G70" s="14" t="str">
        <x:v>tt15296862</x:v>
      </x:c>
      <x:c r="H70" s="14" t="n">
        <x:v>2023</x:v>
      </x:c>
      <x:c r="I70" s="14" t="n">
        <x:v>2023</x:v>
      </x:c>
      <x:c r="J70" s="14" t="str">
        <x:v>Post-study cohort</x:v>
      </x:c>
      <x:c r="K70" s="14"/>
      <x:c r="L70" s="14" t="str">
        <x:v>Not inherited</x:v>
      </x:c>
      <x:c r="M70" s="15" t="n">
        <x:v>54</x:v>
      </x:c>
      <x:c r="N70" s="14" t="str">
        <x:v>Naveed Khan</x:v>
      </x:c>
      <x:c r="O70" s="14" t="str">
        <x:v>nm2558027</x:v>
      </x:c>
      <x:c r="P70" s="14" t="str">
        <x:v>Bossman</x:v>
      </x:c>
      <x:c r="Q70" s="15" t="n">
        <x:v>1</x:v>
      </x:c>
      <x:c r="R70" s="14" t="str">
        <x:v>2026</x:v>
      </x:c>
      <x:c r="S70" s="14" t="n">
        <x:v>2026</x:v>
      </x:c>
      <x:c r="T70" s="14" t="n">
        <x:v>2026</x:v>
      </x:c>
      <x:c r="U70" s="14" t="str">
        <x:v>Explicit source first year retained</x:v>
      </x:c>
      <x:c r="V70" s="14" t="str">
        <x:v>Earliest supplied year is 2026.</x:v>
      </x:c>
      <x:c r="W70" s="14"/>
      <x:c r="X70" s="14" t="str">
        <x:v>Excluded: after 2025</x:v>
      </x:c>
      <x:c r="Y70" s="14"/>
      <x:c r="Z70" s="14" t="str">
        <x:v>Black Ops.docx</x:v>
      </x:c>
      <x:c r="AA7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BBC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HYPERLINK("https://en.wikipedia.org/wiki/Black_Ops","Open source")</x:f>
        <x:v>HYPERLINK is not implemented. linkLocation=https://en.wikipedia.org/wiki/Black_Ops, friendlyName=Open source</x:v>
      </x:c>
      <x:c r="AN70" s="14" t="str">
        <x:v>BBC public-service commission</x:v>
      </x:c>
      <x:c r="AO70" s="14" t="str">
        <x:v>Yes</x:v>
      </x:c>
      <x:c r="AP70" s="14" t="str">
        <x:v>Direct BBC public-service scope</x:v>
      </x:c>
      <x:c r="AQ70" s="14" t="str">
        <x:v>Yes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12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1</x:v>
      </x:c>
      <x:c r="BS70" s="16" t="n">
        <x:v>0.08333333333333333</x:v>
      </x:c>
      <x:c r="BT70" s="14" t="str">
        <x:v>One episode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tt15296862|nm11549809|robber</x:v>
      </x:c>
      <x:c r="B71" s="14" t="str">
        <x:v>01</x:v>
      </x:c>
      <x:c r="C71" s="14" t="str">
        <x:v>2023_IMDb_Cast_Lists_Batch_01(2).xlsx</x:v>
      </x:c>
      <x:c r="D71" s="14" t="str">
        <x:v>Black Ops</x:v>
      </x:c>
      <x:c r="E71" s="14" t="n">
        <x:v>62</x:v>
      </x:c>
      <x:c r="F71" s="14" t="str">
        <x:v>Black Ops</x:v>
      </x:c>
      <x:c r="G71" s="14" t="str">
        <x:v>tt15296862</x:v>
      </x:c>
      <x:c r="H71" s="14" t="n">
        <x:v>2023</x:v>
      </x:c>
      <x:c r="I71" s="14" t="n">
        <x:v>2023</x:v>
      </x:c>
      <x:c r="J71" s="14" t="str">
        <x:v>Post-study cohort</x:v>
      </x:c>
      <x:c r="K71" s="14"/>
      <x:c r="L71" s="14" t="str">
        <x:v>Not inherited</x:v>
      </x:c>
      <x:c r="M71" s="15" t="n">
        <x:v>55</x:v>
      </x:c>
      <x:c r="N71" s="14" t="str">
        <x:v>Sordyl Jamie</x:v>
      </x:c>
      <x:c r="O71" s="14" t="str">
        <x:v>nm11549809</x:v>
      </x:c>
      <x:c r="P71" s="14" t="str">
        <x:v>Robber</x:v>
      </x:c>
      <x:c r="Q71" s="15" t="n">
        <x:v>1</x:v>
      </x:c>
      <x:c r="R71" s="14" t="str">
        <x:v>2026</x:v>
      </x:c>
      <x:c r="S71" s="14" t="n">
        <x:v>2026</x:v>
      </x:c>
      <x:c r="T71" s="14" t="n">
        <x:v>2026</x:v>
      </x:c>
      <x:c r="U71" s="14" t="str">
        <x:v>Explicit source first year retained</x:v>
      </x:c>
      <x:c r="V71" s="14" t="str">
        <x:v>Earliest supplied year is 2026.</x:v>
      </x:c>
      <x:c r="W71" s="14"/>
      <x:c r="X71" s="14" t="str">
        <x:v>Excluded: after 2025</x:v>
      </x:c>
      <x:c r="Y71" s="14" t="str">
        <x:v>(as Jamie Sordyl)</x:v>
      </x:c>
      <x:c r="Z71" s="14" t="str">
        <x:v>Black Ops.docx</x:v>
      </x:c>
      <x:c r="AA7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BBC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HYPERLINK("https://en.wikipedia.org/wiki/Black_Ops","Open source")</x:f>
        <x:v>HYPERLINK is not implemented. linkLocation=https://en.wikipedia.org/wiki/Black_Ops, friendlyName=Open source</x:v>
      </x:c>
      <x:c r="AN71" s="14" t="str">
        <x:v>BBC public-service commission</x:v>
      </x:c>
      <x:c r="AO71" s="14" t="str">
        <x:v>Yes</x:v>
      </x:c>
      <x:c r="AP71" s="14" t="str">
        <x:v>Direct BBC public-service scope</x:v>
      </x:c>
      <x:c r="AQ71" s="14" t="str">
        <x:v>Yes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12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1</x:v>
      </x:c>
      <x:c r="BS71" s="16" t="n">
        <x:v>0.08333333333333333</x:v>
      </x:c>
      <x:c r="BT71" s="14" t="str">
        <x:v>One episode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tt15296862|nm6160255|lil' shit</x:v>
      </x:c>
      <x:c r="B72" s="14" t="str">
        <x:v>01</x:v>
      </x:c>
      <x:c r="C72" s="14" t="str">
        <x:v>2023_IMDb_Cast_Lists_Batch_01(2).xlsx</x:v>
      </x:c>
      <x:c r="D72" s="14" t="str">
        <x:v>Black Ops</x:v>
      </x:c>
      <x:c r="E72" s="14" t="n">
        <x:v>63</x:v>
      </x:c>
      <x:c r="F72" s="14" t="str">
        <x:v>Black Ops</x:v>
      </x:c>
      <x:c r="G72" s="14" t="str">
        <x:v>tt15296862</x:v>
      </x:c>
      <x:c r="H72" s="14" t="n">
        <x:v>2023</x:v>
      </x:c>
      <x:c r="I72" s="14" t="n">
        <x:v>2023</x:v>
      </x:c>
      <x:c r="J72" s="14" t="str">
        <x:v>Post-study cohort</x:v>
      </x:c>
      <x:c r="K72" s="14"/>
      <x:c r="L72" s="14" t="str">
        <x:v>Not inherited</x:v>
      </x:c>
      <x:c r="M72" s="15" t="n">
        <x:v>56</x:v>
      </x:c>
      <x:c r="N72" s="14" t="str">
        <x:v>Kadeem Ramsay</x:v>
      </x:c>
      <x:c r="O72" s="14" t="str">
        <x:v>nm6160255</x:v>
      </x:c>
      <x:c r="P72" s="14" t="str">
        <x:v>Lil' Shit</x:v>
      </x:c>
      <x:c r="Q72" s="15" t="n">
        <x:v>1</x:v>
      </x:c>
      <x:c r="R72" s="14" t="str">
        <x:v>2026</x:v>
      </x:c>
      <x:c r="S72" s="14" t="n">
        <x:v>2026</x:v>
      </x:c>
      <x:c r="T72" s="14" t="n">
        <x:v>2026</x:v>
      </x:c>
      <x:c r="U72" s="14" t="str">
        <x:v>Explicit source first year retained</x:v>
      </x:c>
      <x:c r="V72" s="14" t="str">
        <x:v>Earliest supplied year is 2026.</x:v>
      </x:c>
      <x:c r="W72" s="14"/>
      <x:c r="X72" s="14" t="str">
        <x:v>Excluded: after 2025</x:v>
      </x:c>
      <x:c r="Y72" s="14"/>
      <x:c r="Z72" s="14" t="str">
        <x:v>Black Ops.docx</x:v>
      </x:c>
      <x:c r="AA7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BBC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HYPERLINK("https://en.wikipedia.org/wiki/Black_Ops","Open source")</x:f>
        <x:v>HYPERLINK is not implemented. linkLocation=https://en.wikipedia.org/wiki/Black_Ops, friendlyName=Open source</x:v>
      </x:c>
      <x:c r="AN72" s="14" t="str">
        <x:v>BBC public-service commission</x:v>
      </x:c>
      <x:c r="AO72" s="14" t="str">
        <x:v>Yes</x:v>
      </x:c>
      <x:c r="AP72" s="14" t="str">
        <x:v>Direct BBC public-service scope</x:v>
      </x:c>
      <x:c r="AQ72" s="14" t="str">
        <x:v>Yes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12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1</x:v>
      </x:c>
      <x:c r="BS72" s="16" t="n">
        <x:v>0.08333333333333333</x:v>
      </x:c>
      <x:c r="BT72" s="14" t="str">
        <x:v>One episode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tt15296862|nm2876088|ice cream seller</x:v>
      </x:c>
      <x:c r="B73" s="14" t="str">
        <x:v>01</x:v>
      </x:c>
      <x:c r="C73" s="14" t="str">
        <x:v>2023_IMDb_Cast_Lists_Batch_01(2).xlsx</x:v>
      </x:c>
      <x:c r="D73" s="14" t="str">
        <x:v>Black Ops</x:v>
      </x:c>
      <x:c r="E73" s="14" t="n">
        <x:v>64</x:v>
      </x:c>
      <x:c r="F73" s="14" t="str">
        <x:v>Black Ops</x:v>
      </x:c>
      <x:c r="G73" s="14" t="str">
        <x:v>tt15296862</x:v>
      </x:c>
      <x:c r="H73" s="14" t="n">
        <x:v>2023</x:v>
      </x:c>
      <x:c r="I73" s="14" t="n">
        <x:v>2023</x:v>
      </x:c>
      <x:c r="J73" s="14" t="str">
        <x:v>Post-study cohort</x:v>
      </x:c>
      <x:c r="K73" s="14"/>
      <x:c r="L73" s="14" t="str">
        <x:v>Not inherited</x:v>
      </x:c>
      <x:c r="M73" s="15" t="n">
        <x:v>57</x:v>
      </x:c>
      <x:c r="N73" s="14" t="str">
        <x:v>Lloyd Woolf</x:v>
      </x:c>
      <x:c r="O73" s="14" t="str">
        <x:v>nm2876088</x:v>
      </x:c>
      <x:c r="P73" s="14" t="str">
        <x:v>Ice Cream Seller</x:v>
      </x:c>
      <x:c r="Q73" s="15" t="n">
        <x:v>1</x:v>
      </x:c>
      <x:c r="R73" s="14" t="str">
        <x:v>2026</x:v>
      </x:c>
      <x:c r="S73" s="14" t="n">
        <x:v>2026</x:v>
      </x:c>
      <x:c r="T73" s="14" t="n">
        <x:v>2026</x:v>
      </x:c>
      <x:c r="U73" s="14" t="str">
        <x:v>Explicit source first year retained</x:v>
      </x:c>
      <x:c r="V73" s="14" t="str">
        <x:v>Earliest supplied year is 2026.</x:v>
      </x:c>
      <x:c r="W73" s="14"/>
      <x:c r="X73" s="14" t="str">
        <x:v>Excluded: after 2025</x:v>
      </x:c>
      <x:c r="Y73" s="14"/>
      <x:c r="Z73" s="14" t="str">
        <x:v>Black Ops.docx</x:v>
      </x:c>
      <x:c r="AA7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BBC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HYPERLINK("https://en.wikipedia.org/wiki/Black_Ops","Open source")</x:f>
        <x:v>HYPERLINK is not implemented. linkLocation=https://en.wikipedia.org/wiki/Black_Ops, friendlyName=Open source</x:v>
      </x:c>
      <x:c r="AN73" s="14" t="str">
        <x:v>BBC public-service commission</x:v>
      </x:c>
      <x:c r="AO73" s="14" t="str">
        <x:v>Yes</x:v>
      </x:c>
      <x:c r="AP73" s="14" t="str">
        <x:v>Direct BBC public-service scope</x:v>
      </x:c>
      <x:c r="AQ73" s="14" t="str">
        <x:v>Yes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12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1</x:v>
      </x:c>
      <x:c r="BS73" s="16" t="n">
        <x:v>0.08333333333333333</x:v>
      </x:c>
      <x:c r="BT73" s="14" t="str">
        <x:v>One episode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tt15296862|nm1140725|reception officer</x:v>
      </x:c>
      <x:c r="B74" s="14" t="str">
        <x:v>01</x:v>
      </x:c>
      <x:c r="C74" s="14" t="str">
        <x:v>2023_IMDb_Cast_Lists_Batch_01(2).xlsx</x:v>
      </x:c>
      <x:c r="D74" s="14" t="str">
        <x:v>Black Ops</x:v>
      </x:c>
      <x:c r="E74" s="14" t="n">
        <x:v>65</x:v>
      </x:c>
      <x:c r="F74" s="14" t="str">
        <x:v>Black Ops</x:v>
      </x:c>
      <x:c r="G74" s="14" t="str">
        <x:v>tt15296862</x:v>
      </x:c>
      <x:c r="H74" s="14" t="n">
        <x:v>2023</x:v>
      </x:c>
      <x:c r="I74" s="14" t="n">
        <x:v>2023</x:v>
      </x:c>
      <x:c r="J74" s="14" t="str">
        <x:v>Post-study cohort</x:v>
      </x:c>
      <x:c r="K74" s="14"/>
      <x:c r="L74" s="14" t="str">
        <x:v>Not inherited</x:v>
      </x:c>
      <x:c r="M74" s="15" t="n">
        <x:v>58</x:v>
      </x:c>
      <x:c r="N74" s="14" t="str">
        <x:v>Callum Arnott</x:v>
      </x:c>
      <x:c r="O74" s="14" t="str">
        <x:v>nm1140725</x:v>
      </x:c>
      <x:c r="P74" s="14" t="str">
        <x:v>Reception Officer</x:v>
      </x:c>
      <x:c r="Q74" s="15" t="n">
        <x:v>1</x:v>
      </x:c>
      <x:c r="R74" s="14" t="str">
        <x:v>2026</x:v>
      </x:c>
      <x:c r="S74" s="14" t="n">
        <x:v>2026</x:v>
      </x:c>
      <x:c r="T74" s="14" t="n">
        <x:v>2026</x:v>
      </x:c>
      <x:c r="U74" s="14" t="str">
        <x:v>Explicit source first year retained</x:v>
      </x:c>
      <x:c r="V74" s="14" t="str">
        <x:v>Earliest supplied year is 2026.</x:v>
      </x:c>
      <x:c r="W74" s="14"/>
      <x:c r="X74" s="14" t="str">
        <x:v>Excluded: after 2025</x:v>
      </x:c>
      <x:c r="Y74" s="14"/>
      <x:c r="Z74" s="14" t="str">
        <x:v>Black Ops.docx</x:v>
      </x:c>
      <x:c r="AA7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BBC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HYPERLINK("https://en.wikipedia.org/wiki/Black_Ops","Open source")</x:f>
        <x:v>HYPERLINK is not implemented. linkLocation=https://en.wikipedia.org/wiki/Black_Ops, friendlyName=Open source</x:v>
      </x:c>
      <x:c r="AN74" s="14" t="str">
        <x:v>BBC public-service commission</x:v>
      </x:c>
      <x:c r="AO74" s="14" t="str">
        <x:v>Yes</x:v>
      </x:c>
      <x:c r="AP74" s="14" t="str">
        <x:v>Direct BBC public-service scope</x:v>
      </x:c>
      <x:c r="AQ74" s="14" t="str">
        <x:v>Yes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12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0.08333333333333333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tt15296862|nm0011930|mrs. ajibola</x:v>
      </x:c>
      <x:c r="B75" s="14" t="str">
        <x:v>01</x:v>
      </x:c>
      <x:c r="C75" s="14" t="str">
        <x:v>2023_IMDb_Cast_Lists_Batch_01(2).xlsx</x:v>
      </x:c>
      <x:c r="D75" s="14" t="str">
        <x:v>Black Ops</x:v>
      </x:c>
      <x:c r="E75" s="14" t="n">
        <x:v>66</x:v>
      </x:c>
      <x:c r="F75" s="14" t="str">
        <x:v>Black Ops</x:v>
      </x:c>
      <x:c r="G75" s="14" t="str">
        <x:v>tt15296862</x:v>
      </x:c>
      <x:c r="H75" s="14" t="n">
        <x:v>2023</x:v>
      </x:c>
      <x:c r="I75" s="14" t="n">
        <x:v>2023</x:v>
      </x:c>
      <x:c r="J75" s="14" t="str">
        <x:v>Post-study cohort</x:v>
      </x:c>
      <x:c r="K75" s="14"/>
      <x:c r="L75" s="14" t="str">
        <x:v>Not inherited</x:v>
      </x:c>
      <x:c r="M75" s="15" t="n">
        <x:v>59</x:v>
      </x:c>
      <x:c r="N75" s="14" t="str">
        <x:v>Susan Aderin</x:v>
      </x:c>
      <x:c r="O75" s="14" t="str">
        <x:v>nm0011930</x:v>
      </x:c>
      <x:c r="P75" s="14" t="str">
        <x:v>Mrs. Ajibola</x:v>
      </x:c>
      <x:c r="Q75" s="15" t="n">
        <x:v>1</x:v>
      </x:c>
      <x:c r="R75" s="14" t="str">
        <x:v>2026</x:v>
      </x:c>
      <x:c r="S75" s="14" t="n">
        <x:v>2026</x:v>
      </x:c>
      <x:c r="T75" s="14" t="n">
        <x:v>2026</x:v>
      </x:c>
      <x:c r="U75" s="14" t="str">
        <x:v>Explicit source first year retained</x:v>
      </x:c>
      <x:c r="V75" s="14" t="str">
        <x:v>Earliest supplied year is 2026.</x:v>
      </x:c>
      <x:c r="W75" s="14"/>
      <x:c r="X75" s="14" t="str">
        <x:v>Excluded: after 2025</x:v>
      </x:c>
      <x:c r="Y75" s="14"/>
      <x:c r="Z75" s="14" t="str">
        <x:v>Black Ops.docx</x:v>
      </x:c>
      <x:c r="AA7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BBC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HYPERLINK("https://en.wikipedia.org/wiki/Black_Ops","Open source")</x:f>
        <x:v>HYPERLINK is not implemented. linkLocation=https://en.wikipedia.org/wiki/Black_Ops, friendlyName=Open source</x:v>
      </x:c>
      <x:c r="AN75" s="14" t="str">
        <x:v>BBC public-service commission</x:v>
      </x:c>
      <x:c r="AO75" s="14" t="str">
        <x:v>Yes</x:v>
      </x:c>
      <x:c r="AP75" s="14" t="str">
        <x:v>Direct BBC public-service scope</x:v>
      </x:c>
      <x:c r="AQ75" s="14" t="str">
        <x:v>Yes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12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0.08333333333333333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tt15296862|nm11627704|rudeboy</x:v>
      </x:c>
      <x:c r="B76" s="14" t="str">
        <x:v>01</x:v>
      </x:c>
      <x:c r="C76" s="14" t="str">
        <x:v>2023_IMDb_Cast_Lists_Batch_01(2).xlsx</x:v>
      </x:c>
      <x:c r="D76" s="14" t="str">
        <x:v>Black Ops</x:v>
      </x:c>
      <x:c r="E76" s="14" t="n">
        <x:v>67</x:v>
      </x:c>
      <x:c r="F76" s="14" t="str">
        <x:v>Black Ops</x:v>
      </x:c>
      <x:c r="G76" s="14" t="str">
        <x:v>tt15296862</x:v>
      </x:c>
      <x:c r="H76" s="14" t="n">
        <x:v>2023</x:v>
      </x:c>
      <x:c r="I76" s="14" t="n">
        <x:v>2023</x:v>
      </x:c>
      <x:c r="J76" s="14" t="str">
        <x:v>Post-study cohort</x:v>
      </x:c>
      <x:c r="K76" s="14"/>
      <x:c r="L76" s="14" t="str">
        <x:v>Not inherited</x:v>
      </x:c>
      <x:c r="M76" s="15" t="n">
        <x:v>60</x:v>
      </x:c>
      <x:c r="N76" s="14" t="str">
        <x:v>Emmanuel Akinkuolie</x:v>
      </x:c>
      <x:c r="O76" s="14" t="str">
        <x:v>nm11627704</x:v>
      </x:c>
      <x:c r="P76" s="14" t="str">
        <x:v>Rudeboy</x:v>
      </x:c>
      <x:c r="Q76" s="15" t="n">
        <x:v>1</x:v>
      </x:c>
      <x:c r="R76" s="14" t="str">
        <x:v>2026</x:v>
      </x:c>
      <x:c r="S76" s="14" t="n">
        <x:v>2026</x:v>
      </x:c>
      <x:c r="T76" s="14" t="n">
        <x:v>2026</x:v>
      </x:c>
      <x:c r="U76" s="14" t="str">
        <x:v>Explicit source first year retained</x:v>
      </x:c>
      <x:c r="V76" s="14" t="str">
        <x:v>Earliest supplied year is 2026.</x:v>
      </x:c>
      <x:c r="W76" s="14"/>
      <x:c r="X76" s="14" t="str">
        <x:v>Excluded: after 2025</x:v>
      </x:c>
      <x:c r="Y76" s="14"/>
      <x:c r="Z76" s="14" t="str">
        <x:v>Black Ops.docx</x:v>
      </x:c>
      <x:c r="AA7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BBC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HYPERLINK("https://en.wikipedia.org/wiki/Black_Ops","Open source")</x:f>
        <x:v>HYPERLINK is not implemented. linkLocation=https://en.wikipedia.org/wiki/Black_Ops, friendlyName=Open source</x:v>
      </x:c>
      <x:c r="AN76" s="14" t="str">
        <x:v>BBC public-service commission</x:v>
      </x:c>
      <x:c r="AO76" s="14" t="str">
        <x:v>Yes</x:v>
      </x:c>
      <x:c r="AP76" s="14" t="str">
        <x:v>Direct BBC public-service scope</x:v>
      </x:c>
      <x:c r="AQ76" s="14" t="str">
        <x:v>Yes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12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0.08333333333333333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tt15296862|nm3090338|agent cornwell</x:v>
      </x:c>
      <x:c r="B77" s="14" t="str">
        <x:v>01</x:v>
      </x:c>
      <x:c r="C77" s="14" t="str">
        <x:v>2023_IMDb_Cast_Lists_Batch_01(2).xlsx</x:v>
      </x:c>
      <x:c r="D77" s="14" t="str">
        <x:v>Black Ops</x:v>
      </x:c>
      <x:c r="E77" s="14" t="n">
        <x:v>68</x:v>
      </x:c>
      <x:c r="F77" s="14" t="str">
        <x:v>Black Ops</x:v>
      </x:c>
      <x:c r="G77" s="14" t="str">
        <x:v>tt15296862</x:v>
      </x:c>
      <x:c r="H77" s="14" t="n">
        <x:v>2023</x:v>
      </x:c>
      <x:c r="I77" s="14" t="n">
        <x:v>2023</x:v>
      </x:c>
      <x:c r="J77" s="14" t="str">
        <x:v>Post-study cohort</x:v>
      </x:c>
      <x:c r="K77" s="14"/>
      <x:c r="L77" s="14" t="str">
        <x:v>Not inherited</x:v>
      </x:c>
      <x:c r="M77" s="15" t="n">
        <x:v>61</x:v>
      </x:c>
      <x:c r="N77" s="14" t="str">
        <x:v>Tom Bonington</x:v>
      </x:c>
      <x:c r="O77" s="14" t="str">
        <x:v>nm3090338</x:v>
      </x:c>
      <x:c r="P77" s="14" t="str">
        <x:v>Agent Cornwell</x:v>
      </x:c>
      <x:c r="Q77" s="15" t="n">
        <x:v>1</x:v>
      </x:c>
      <x:c r="R77" s="14" t="str">
        <x:v>2026</x:v>
      </x:c>
      <x:c r="S77" s="14" t="n">
        <x:v>2026</x:v>
      </x:c>
      <x:c r="T77" s="14" t="n">
        <x:v>2026</x:v>
      </x:c>
      <x:c r="U77" s="14" t="str">
        <x:v>Explicit source first year retained</x:v>
      </x:c>
      <x:c r="V77" s="14" t="str">
        <x:v>Earliest supplied year is 2026.</x:v>
      </x:c>
      <x:c r="W77" s="14"/>
      <x:c r="X77" s="14" t="str">
        <x:v>Excluded: after 2025</x:v>
      </x:c>
      <x:c r="Y77" s="14"/>
      <x:c r="Z77" s="14" t="str">
        <x:v>Black Ops.docx</x:v>
      </x:c>
      <x:c r="AA7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BBC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HYPERLINK("https://en.wikipedia.org/wiki/Black_Ops","Open source")</x:f>
        <x:v>HYPERLINK is not implemented. linkLocation=https://en.wikipedia.org/wiki/Black_Ops, friendlyName=Open source</x:v>
      </x:c>
      <x:c r="AN77" s="14" t="str">
        <x:v>BBC public-service commission</x:v>
      </x:c>
      <x:c r="AO77" s="14" t="str">
        <x:v>Yes</x:v>
      </x:c>
      <x:c r="AP77" s="14" t="str">
        <x:v>Direct BBC public-service scope</x:v>
      </x:c>
      <x:c r="AQ77" s="14" t="str">
        <x:v>Yes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12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0.08333333333333333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tt15296862|nm6146187|carnival police officer</x:v>
      </x:c>
      <x:c r="B78" s="14" t="str">
        <x:v>01</x:v>
      </x:c>
      <x:c r="C78" s="14" t="str">
        <x:v>2023_IMDb_Cast_Lists_Batch_01(2).xlsx</x:v>
      </x:c>
      <x:c r="D78" s="14" t="str">
        <x:v>Black Ops</x:v>
      </x:c>
      <x:c r="E78" s="14" t="n">
        <x:v>69</x:v>
      </x:c>
      <x:c r="F78" s="14" t="str">
        <x:v>Black Ops</x:v>
      </x:c>
      <x:c r="G78" s="14" t="str">
        <x:v>tt15296862</x:v>
      </x:c>
      <x:c r="H78" s="14" t="n">
        <x:v>2023</x:v>
      </x:c>
      <x:c r="I78" s="14" t="n">
        <x:v>2023</x:v>
      </x:c>
      <x:c r="J78" s="14" t="str">
        <x:v>Post-study cohort</x:v>
      </x:c>
      <x:c r="K78" s="14"/>
      <x:c r="L78" s="14" t="str">
        <x:v>Not inherited</x:v>
      </x:c>
      <x:c r="M78" s="15" t="n">
        <x:v>62</x:v>
      </x:c>
      <x:c r="N78" s="14" t="str">
        <x:v>Thomas Michaelson</x:v>
      </x:c>
      <x:c r="O78" s="14" t="str">
        <x:v>nm6146187</x:v>
      </x:c>
      <x:c r="P78" s="14" t="str">
        <x:v>Carnival Police Officer</x:v>
      </x:c>
      <x:c r="Q78" s="15" t="n">
        <x:v>1</x:v>
      </x:c>
      <x:c r="R78" s="14" t="str">
        <x:v>2026</x:v>
      </x:c>
      <x:c r="S78" s="14" t="n">
        <x:v>2026</x:v>
      </x:c>
      <x:c r="T78" s="14" t="n">
        <x:v>2026</x:v>
      </x:c>
      <x:c r="U78" s="14" t="str">
        <x:v>Explicit source first year retained</x:v>
      </x:c>
      <x:c r="V78" s="14" t="str">
        <x:v>Earliest supplied year is 2026.</x:v>
      </x:c>
      <x:c r="W78" s="14"/>
      <x:c r="X78" s="14" t="str">
        <x:v>Excluded: after 2025</x:v>
      </x:c>
      <x:c r="Y78" s="14"/>
      <x:c r="Z78" s="14" t="str">
        <x:v>Black Ops.docx</x:v>
      </x:c>
      <x:c r="AA7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BBC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HYPERLINK("https://en.wikipedia.org/wiki/Black_Ops","Open source")</x:f>
        <x:v>HYPERLINK is not implemented. linkLocation=https://en.wikipedia.org/wiki/Black_Ops, friendlyName=Open source</x:v>
      </x:c>
      <x:c r="AN78" s="14" t="str">
        <x:v>BBC public-service commission</x:v>
      </x:c>
      <x:c r="AO78" s="14" t="str">
        <x:v>Yes</x:v>
      </x:c>
      <x:c r="AP78" s="14" t="str">
        <x:v>Direct BBC public-service scope</x:v>
      </x:c>
      <x:c r="AQ78" s="14" t="str">
        <x:v>Yes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12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0.08333333333333333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tt15296862|nm3820574|officer quentin</x:v>
      </x:c>
      <x:c r="B79" s="14" t="str">
        <x:v>01</x:v>
      </x:c>
      <x:c r="C79" s="14" t="str">
        <x:v>2023_IMDb_Cast_Lists_Batch_01(2).xlsx</x:v>
      </x:c>
      <x:c r="D79" s="14" t="str">
        <x:v>Black Ops</x:v>
      </x:c>
      <x:c r="E79" s="14" t="n">
        <x:v>70</x:v>
      </x:c>
      <x:c r="F79" s="14" t="str">
        <x:v>Black Ops</x:v>
      </x:c>
      <x:c r="G79" s="14" t="str">
        <x:v>tt15296862</x:v>
      </x:c>
      <x:c r="H79" s="14" t="n">
        <x:v>2023</x:v>
      </x:c>
      <x:c r="I79" s="14" t="n">
        <x:v>2023</x:v>
      </x:c>
      <x:c r="J79" s="14" t="str">
        <x:v>Post-study cohort</x:v>
      </x:c>
      <x:c r="K79" s="14"/>
      <x:c r="L79" s="14" t="str">
        <x:v>Not inherited</x:v>
      </x:c>
      <x:c r="M79" s="15" t="n">
        <x:v>63</x:v>
      </x:c>
      <x:c r="N79" s="14" t="str">
        <x:v>Owyn Stephens</x:v>
      </x:c>
      <x:c r="O79" s="14" t="str">
        <x:v>nm3820574</x:v>
      </x:c>
      <x:c r="P79" s="14" t="str">
        <x:v>Officer Quentin</x:v>
      </x:c>
      <x:c r="Q79" s="15" t="n">
        <x:v>1</x:v>
      </x:c>
      <x:c r="R79" s="14" t="str">
        <x:v>2026</x:v>
      </x:c>
      <x:c r="S79" s="14" t="n">
        <x:v>2026</x:v>
      </x:c>
      <x:c r="T79" s="14" t="n">
        <x:v>2026</x:v>
      </x:c>
      <x:c r="U79" s="14" t="str">
        <x:v>Explicit source first year retained</x:v>
      </x:c>
      <x:c r="V79" s="14" t="str">
        <x:v>Earliest supplied year is 2026.</x:v>
      </x:c>
      <x:c r="W79" s="14"/>
      <x:c r="X79" s="14" t="str">
        <x:v>Excluded: after 2025</x:v>
      </x:c>
      <x:c r="Y79" s="14"/>
      <x:c r="Z79" s="14" t="str">
        <x:v>Black Ops.docx</x:v>
      </x:c>
      <x:c r="AA7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BBC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HYPERLINK("https://en.wikipedia.org/wiki/Black_Ops","Open source")</x:f>
        <x:v>HYPERLINK is not implemented. linkLocation=https://en.wikipedia.org/wiki/Black_Ops, friendlyName=Open source</x:v>
      </x:c>
      <x:c r="AN79" s="14" t="str">
        <x:v>BBC public-service commission</x:v>
      </x:c>
      <x:c r="AO79" s="14" t="str">
        <x:v>Yes</x:v>
      </x:c>
      <x:c r="AP79" s="14" t="str">
        <x:v>Direct BBC public-service scope</x:v>
      </x:c>
      <x:c r="AQ79" s="14" t="str">
        <x:v>Yes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12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0.08333333333333333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tt15296862|nm10775209|officer arresting murray</x:v>
      </x:c>
      <x:c r="B80" s="14" t="str">
        <x:v>01</x:v>
      </x:c>
      <x:c r="C80" s="14" t="str">
        <x:v>2023_IMDb_Cast_Lists_Batch_01(2).xlsx</x:v>
      </x:c>
      <x:c r="D80" s="14" t="str">
        <x:v>Black Ops</x:v>
      </x:c>
      <x:c r="E80" s="14" t="n">
        <x:v>71</x:v>
      </x:c>
      <x:c r="F80" s="14" t="str">
        <x:v>Black Ops</x:v>
      </x:c>
      <x:c r="G80" s="14" t="str">
        <x:v>tt15296862</x:v>
      </x:c>
      <x:c r="H80" s="14" t="n">
        <x:v>2023</x:v>
      </x:c>
      <x:c r="I80" s="14" t="n">
        <x:v>2023</x:v>
      </x:c>
      <x:c r="J80" s="14" t="str">
        <x:v>Post-study cohort</x:v>
      </x:c>
      <x:c r="K80" s="14"/>
      <x:c r="L80" s="14" t="str">
        <x:v>Not inherited</x:v>
      </x:c>
      <x:c r="M80" s="15" t="n">
        <x:v>64</x:v>
      </x:c>
      <x:c r="N80" s="14" t="str">
        <x:v>Harriet Dyer</x:v>
      </x:c>
      <x:c r="O80" s="14" t="str">
        <x:v>nm10775209</x:v>
      </x:c>
      <x:c r="P80" s="14" t="str">
        <x:v>Officer Arresting Murray</x:v>
      </x:c>
      <x:c r="Q80" s="15" t="n">
        <x:v>1</x:v>
      </x:c>
      <x:c r="R80" s="14" t="str">
        <x:v>2026</x:v>
      </x:c>
      <x:c r="S80" s="14" t="n">
        <x:v>2026</x:v>
      </x:c>
      <x:c r="T80" s="14" t="n">
        <x:v>2026</x:v>
      </x:c>
      <x:c r="U80" s="14" t="str">
        <x:v>Explicit source first year retained</x:v>
      </x:c>
      <x:c r="V80" s="14" t="str">
        <x:v>Earliest supplied year is 2026.</x:v>
      </x:c>
      <x:c r="W80" s="14"/>
      <x:c r="X80" s="14" t="str">
        <x:v>Excluded: after 2025</x:v>
      </x:c>
      <x:c r="Y80" s="14"/>
      <x:c r="Z80" s="14" t="str">
        <x:v>Black Ops.docx</x:v>
      </x:c>
      <x:c r="AA8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BBC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HYPERLINK("https://en.wikipedia.org/wiki/Black_Ops","Open source")</x:f>
        <x:v>HYPERLINK is not implemented. linkLocation=https://en.wikipedia.org/wiki/Black_Ops, friendlyName=Open source</x:v>
      </x:c>
      <x:c r="AN80" s="14" t="str">
        <x:v>BBC public-service commission</x:v>
      </x:c>
      <x:c r="AO80" s="14" t="str">
        <x:v>Yes</x:v>
      </x:c>
      <x:c r="AP80" s="14" t="str">
        <x:v>Direct BBC public-service scope</x:v>
      </x:c>
      <x:c r="AQ80" s="14" t="str">
        <x:v>Yes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12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0.08333333333333333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tt14466018|nm9984976|imelda</x:v>
      </x:c>
      <x:c r="B81" s="14" t="str">
        <x:v>01</x:v>
      </x:c>
      <x:c r="C81" s="14" t="str">
        <x:v>2023_IMDb_Cast_Lists_Batch_01(2).xlsx</x:v>
      </x:c>
      <x:c r="D81" s="14" t="str">
        <x:v>Blue Lights</x:v>
      </x:c>
      <x:c r="E81" s="14" t="n">
        <x:v>147</x:v>
      </x:c>
      <x:c r="F81" s="14" t="str">
        <x:v>Blue Lights</x:v>
      </x:c>
      <x:c r="G81" s="14" t="str">
        <x:v>tt14466018</x:v>
      </x:c>
      <x:c r="H81" s="14" t="n">
        <x:v>2023</x:v>
      </x:c>
      <x:c r="I81" s="14" t="n">
        <x:v>2023</x:v>
      </x:c>
      <x:c r="J81" s="14" t="str">
        <x:v>Post-study cohort</x:v>
      </x:c>
      <x:c r="K81" s="14"/>
      <x:c r="L81" s="14" t="str">
        <x:v>Not inherited</x:v>
      </x:c>
      <x:c r="M81" s="15" t="n">
        <x:v>140</x:v>
      </x:c>
      <x:c r="N81" s="14" t="str">
        <x:v>Rosamund Monteith</x:v>
      </x:c>
      <x:c r="O81" s="14" t="str">
        <x:v>nm9984976</x:v>
      </x:c>
      <x:c r="P81" s="14" t="str">
        <x:v>Imelda</x:v>
      </x:c>
      <x:c r="Q81" s="15" t="n">
        <x:v>1</x:v>
      </x:c>
      <x:c r="R81" s="14" t="str">
        <x:v>2026</x:v>
      </x:c>
      <x:c r="S81" s="14" t="n">
        <x:v>2026</x:v>
      </x:c>
      <x:c r="T81" s="14" t="n">
        <x:v>2026</x:v>
      </x:c>
      <x:c r="U81" s="14" t="str">
        <x:v>Explicit source first year retained</x:v>
      </x:c>
      <x:c r="V81" s="14" t="str">
        <x:v>Earliest supplied year is 2026.</x:v>
      </x:c>
      <x:c r="W81" s="14"/>
      <x:c r="X81" s="14" t="str">
        <x:v>Excluded: after 2025</x:v>
      </x:c>
      <x:c r="Y81" s="14"/>
      <x:c r="Z81" s="14" t="str">
        <x:v>Blue Lights.docx</x:v>
      </x:c>
      <x:c r="AA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BBC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HYPERLINK("https://en.wikipedia.org/wiki/Blue_Light","Open source")</x:f>
        <x:v>HYPERLINK is not implemented. linkLocation=https://en.wikipedia.org/wiki/Blue_Light, friendlyName=Open source</x:v>
      </x:c>
      <x:c r="AN81" s="14" t="str">
        <x:v>BBC public-service commission</x:v>
      </x:c>
      <x:c r="AO81" s="14" t="str">
        <x:v>Yes</x:v>
      </x:c>
      <x:c r="AP81" s="14" t="str">
        <x:v>Direct BBC public-service scope</x:v>
      </x:c>
      <x:c r="AQ81" s="14" t="str">
        <x:v>Yes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19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1</x:v>
      </x:c>
      <x:c r="BS81" s="16" t="n">
        <x:v>0.05263157894736842</x:v>
      </x:c>
      <x:c r="BT81" s="14" t="str">
        <x:v>One episode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tt14466018|nm3097082|david</x:v>
      </x:c>
      <x:c r="B82" s="14" t="str">
        <x:v>01</x:v>
      </x:c>
      <x:c r="C82" s="14" t="str">
        <x:v>2023_IMDb_Cast_Lists_Batch_01(2).xlsx</x:v>
      </x:c>
      <x:c r="D82" s="14" t="str">
        <x:v>Blue Lights</x:v>
      </x:c>
      <x:c r="E82" s="14" t="n">
        <x:v>148</x:v>
      </x:c>
      <x:c r="F82" s="14" t="str">
        <x:v>Blue Lights</x:v>
      </x:c>
      <x:c r="G82" s="14" t="str">
        <x:v>tt14466018</x:v>
      </x:c>
      <x:c r="H82" s="14" t="n">
        <x:v>2023</x:v>
      </x:c>
      <x:c r="I82" s="14" t="n">
        <x:v>2023</x:v>
      </x:c>
      <x:c r="J82" s="14" t="str">
        <x:v>Post-study cohort</x:v>
      </x:c>
      <x:c r="K82" s="14"/>
      <x:c r="L82" s="14" t="str">
        <x:v>Not inherited</x:v>
      </x:c>
      <x:c r="M82" s="15" t="n">
        <x:v>141</x:v>
      </x:c>
      <x:c r="N82" s="14" t="str">
        <x:v>Trevor Gill</x:v>
      </x:c>
      <x:c r="O82" s="14" t="str">
        <x:v>nm3097082</x:v>
      </x:c>
      <x:c r="P82" s="14" t="str">
        <x:v>David</x:v>
      </x:c>
      <x:c r="Q82" s="15" t="n">
        <x:v>1</x:v>
      </x:c>
      <x:c r="R82" s="14" t="str">
        <x:v>2026</x:v>
      </x:c>
      <x:c r="S82" s="14" t="n">
        <x:v>2026</x:v>
      </x:c>
      <x:c r="T82" s="14" t="n">
        <x:v>2026</x:v>
      </x:c>
      <x:c r="U82" s="14" t="str">
        <x:v>Explicit source first year retained</x:v>
      </x:c>
      <x:c r="V82" s="14" t="str">
        <x:v>Earliest supplied year is 2026.</x:v>
      </x:c>
      <x:c r="W82" s="14"/>
      <x:c r="X82" s="14" t="str">
        <x:v>Excluded: after 2025</x:v>
      </x:c>
      <x:c r="Y82" s="14"/>
      <x:c r="Z82" s="14" t="str">
        <x:v>Blue Lights.docx</x:v>
      </x:c>
      <x:c r="AA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BBC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HYPERLINK("https://en.wikipedia.org/wiki/Blue_Light","Open source")</x:f>
        <x:v>HYPERLINK is not implemented. linkLocation=https://en.wikipedia.org/wiki/Blue_Light, friendlyName=Open source</x:v>
      </x:c>
      <x:c r="AN82" s="14" t="str">
        <x:v>BBC public-service commission</x:v>
      </x:c>
      <x:c r="AO82" s="14" t="str">
        <x:v>Yes</x:v>
      </x:c>
      <x:c r="AP82" s="14" t="str">
        <x:v>Direct BBC public-service scope</x:v>
      </x:c>
      <x:c r="AQ82" s="14" t="str">
        <x:v>Yes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19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1</x:v>
      </x:c>
      <x:c r="BS82" s="16" t="n">
        <x:v>0.05263157894736842</x:v>
      </x:c>
      <x:c r="BT82" s="14" t="str">
        <x:v>One episode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tt26346233|nm0242459|carole merryweather</x:v>
      </x:c>
      <x:c r="B83" s="14" t="str">
        <x:v>04</x:v>
      </x:c>
      <x:c r="C83" s="14" t="str">
        <x:v>2023_IMDb_Cast_Lists_Batch_04(2).xlsx</x:v>
      </x:c>
      <x:c r="D83" s="14" t="str">
        <x:v>The Good Ship Murder</x:v>
      </x:c>
      <x:c r="E83" s="14" t="n">
        <x:v>19</x:v>
      </x:c>
      <x:c r="F83" s="14" t="str">
        <x:v>The Good Ship Murder</x:v>
      </x:c>
      <x:c r="G83" s="14" t="str">
        <x:v>tt26346233</x:v>
      </x:c>
      <x:c r="H83" s="14" t="n">
        <x:v>2023</x:v>
      </x:c>
      <x:c r="I83" s="14" t="n">
        <x:v>2023</x:v>
      </x:c>
      <x:c r="J83" s="14" t="str">
        <x:v>Post-study cohort</x:v>
      </x:c>
      <x:c r="K83" s="14"/>
      <x:c r="L83" s="14" t="str">
        <x:v>Not inherited</x:v>
      </x:c>
      <x:c r="M83" s="15" t="n">
        <x:v>12</x:v>
      </x:c>
      <x:c r="N83" s="14" t="str">
        <x:v>Lesley Dunlop</x:v>
      </x:c>
      <x:c r="O83" s="14" t="str">
        <x:v>nm0242459</x:v>
      </x:c>
      <x:c r="P83" s="14" t="str">
        <x:v>Carole Merryweather</x:v>
      </x:c>
      <x:c r="Q83" s="15" t="n">
        <x:v>4</x:v>
      </x:c>
      <x:c r="R83" s="14" t="str">
        <x:v>2026</x:v>
      </x:c>
      <x:c r="S83" s="14" t="n">
        <x:v>2026</x:v>
      </x:c>
      <x:c r="T83" s="14" t="n">
        <x:v>2026</x:v>
      </x:c>
      <x:c r="U83" s="14" t="str">
        <x:v>Explicit source first year retained</x:v>
      </x:c>
      <x:c r="V83" s="14" t="str">
        <x:v>Earliest supplied year is 2026.</x:v>
      </x:c>
      <x:c r="W83" s="14"/>
      <x:c r="X83" s="14" t="str">
        <x:v>Excluded: after 2025</x:v>
      </x:c>
      <x:c r="Y83" s="14"/>
      <x:c r="Z83" s="14" t="str">
        <x:v>The Good Ship Murder.docx</x:v>
      </x:c>
      <x:c r="AA8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Channel 5 / 5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24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4</x:v>
      </x:c>
      <x:c r="BS83" s="16" t="n">
        <x:v>0.16666666666666666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tt26346233|nm11427200|goran musovic</x:v>
      </x:c>
      <x:c r="B84" s="14" t="str">
        <x:v>04</x:v>
      </x:c>
      <x:c r="C84" s="14" t="str">
        <x:v>2023_IMDb_Cast_Lists_Batch_04(2).xlsx</x:v>
      </x:c>
      <x:c r="D84" s="14" t="str">
        <x:v>The Good Ship Murder</x:v>
      </x:c>
      <x:c r="E84" s="14" t="n">
        <x:v>21</x:v>
      </x:c>
      <x:c r="F84" s="14" t="str">
        <x:v>The Good Ship Murder</x:v>
      </x:c>
      <x:c r="G84" s="14" t="str">
        <x:v>tt26346233</x:v>
      </x:c>
      <x:c r="H84" s="14" t="n">
        <x:v>2023</x:v>
      </x:c>
      <x:c r="I84" s="14" t="n">
        <x:v>2023</x:v>
      </x:c>
      <x:c r="J84" s="14" t="str">
        <x:v>Post-study cohort</x:v>
      </x:c>
      <x:c r="K84" s="14"/>
      <x:c r="L84" s="14" t="str">
        <x:v>Not inherited</x:v>
      </x:c>
      <x:c r="M84" s="15" t="n">
        <x:v>14</x:v>
      </x:c>
      <x:c r="N84" s="14" t="str">
        <x:v>Mickey Angelov</x:v>
      </x:c>
      <x:c r="O84" s="14" t="str">
        <x:v>nm11427200</x:v>
      </x:c>
      <x:c r="P84" s="14" t="str">
        <x:v>Goran Musovic</x:v>
      </x:c>
      <x:c r="Q84" s="15" t="n">
        <x:v>2</x:v>
      </x:c>
      <x:c r="R84" s="14" t="str">
        <x:v>2026</x:v>
      </x:c>
      <x:c r="S84" s="14" t="n">
        <x:v>2026</x:v>
      </x:c>
      <x:c r="T84" s="14" t="n">
        <x:v>2026</x:v>
      </x:c>
      <x:c r="U84" s="14" t="str">
        <x:v>Explicit source first year retained</x:v>
      </x:c>
      <x:c r="V84" s="14" t="str">
        <x:v>Earliest supplied year is 2026.</x:v>
      </x:c>
      <x:c r="W84" s="14"/>
      <x:c r="X84" s="14" t="str">
        <x:v>Excluded: after 2025</x:v>
      </x:c>
      <x:c r="Y84" s="14"/>
      <x:c r="Z84" s="14" t="str">
        <x:v>The Good Ship Murder.docx</x:v>
      </x:c>
      <x:c r="AA8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Channel 5 / 5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24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2</x:v>
      </x:c>
      <x:c r="BS84" s="16" t="n">
        <x:v>0.08333333333333333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tt26346233|nm1519450|angela boden</x:v>
      </x:c>
      <x:c r="B85" s="14" t="str">
        <x:v>04</x:v>
      </x:c>
      <x:c r="C85" s="14" t="str">
        <x:v>2023_IMDb_Cast_Lists_Batch_04(2).xlsx</x:v>
      </x:c>
      <x:c r="D85" s="14" t="str">
        <x:v>The Good Ship Murder</x:v>
      </x:c>
      <x:c r="E85" s="14" t="n">
        <x:v>45</x:v>
      </x:c>
      <x:c r="F85" s="14" t="str">
        <x:v>The Good Ship Murder</x:v>
      </x:c>
      <x:c r="G85" s="14" t="str">
        <x:v>tt26346233</x:v>
      </x:c>
      <x:c r="H85" s="14" t="n">
        <x:v>2023</x:v>
      </x:c>
      <x:c r="I85" s="14" t="n">
        <x:v>2023</x:v>
      </x:c>
      <x:c r="J85" s="14" t="str">
        <x:v>Post-study cohort</x:v>
      </x:c>
      <x:c r="K85" s="14"/>
      <x:c r="L85" s="14" t="str">
        <x:v>Not inherited</x:v>
      </x:c>
      <x:c r="M85" s="15" t="n">
        <x:v>38</x:v>
      </x:c>
      <x:c r="N85" s="14" t="str">
        <x:v>Rebecca Atkinson</x:v>
      </x:c>
      <x:c r="O85" s="14" t="str">
        <x:v>nm1519450</x:v>
      </x:c>
      <x:c r="P85" s="14" t="str">
        <x:v>Angela Boden</x:v>
      </x:c>
      <x:c r="Q85" s="15" t="n">
        <x:v>1</x:v>
      </x:c>
      <x:c r="R85" s="14" t="str">
        <x:v>2026</x:v>
      </x:c>
      <x:c r="S85" s="14" t="n">
        <x:v>2026</x:v>
      </x:c>
      <x:c r="T85" s="14" t="n">
        <x:v>2026</x:v>
      </x:c>
      <x:c r="U85" s="14" t="str">
        <x:v>Explicit source first year retained</x:v>
      </x:c>
      <x:c r="V85" s="14" t="str">
        <x:v>Earliest supplied year is 2026.</x:v>
      </x:c>
      <x:c r="W85" s="14"/>
      <x:c r="X85" s="14" t="str">
        <x:v>Excluded: after 2025</x:v>
      </x:c>
      <x:c r="Y85" s="14"/>
      <x:c r="Z85" s="14" t="str">
        <x:v>The Good Ship Murder.docx</x:v>
      </x:c>
      <x:c r="AA8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Channel 5 / 5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24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1</x:v>
      </x:c>
      <x:c r="BS85" s="16" t="n">
        <x:v>0.041666666666666664</x:v>
      </x:c>
      <x:c r="BT85" s="14" t="str">
        <x:v>One episode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tt26346233|nm0098120|werner altmann</x:v>
      </x:c>
      <x:c r="B86" s="14" t="str">
        <x:v>04</x:v>
      </x:c>
      <x:c r="C86" s="14" t="str">
        <x:v>2023_IMDb_Cast_Lists_Batch_04(2).xlsx</x:v>
      </x:c>
      <x:c r="D86" s="14" t="str">
        <x:v>The Good Ship Murder</x:v>
      </x:c>
      <x:c r="E86" s="14" t="n">
        <x:v>46</x:v>
      </x:c>
      <x:c r="F86" s="14" t="str">
        <x:v>The Good Ship Murder</x:v>
      </x:c>
      <x:c r="G86" s="14" t="str">
        <x:v>tt26346233</x:v>
      </x:c>
      <x:c r="H86" s="14" t="n">
        <x:v>2023</x:v>
      </x:c>
      <x:c r="I86" s="14" t="n">
        <x:v>2023</x:v>
      </x:c>
      <x:c r="J86" s="14" t="str">
        <x:v>Post-study cohort</x:v>
      </x:c>
      <x:c r="K86" s="14"/>
      <x:c r="L86" s="14" t="str">
        <x:v>Not inherited</x:v>
      </x:c>
      <x:c r="M86" s="15" t="n">
        <x:v>39</x:v>
      </x:c>
      <x:c r="N86" s="14" t="str">
        <x:v>Uke Bosse</x:v>
      </x:c>
      <x:c r="O86" s="14" t="str">
        <x:v>nm0098120</x:v>
      </x:c>
      <x:c r="P86" s="14" t="str">
        <x:v>Werner Altmann</x:v>
      </x:c>
      <x:c r="Q86" s="15" t="n">
        <x:v>1</x:v>
      </x:c>
      <x:c r="R86" s="14" t="str">
        <x:v>2026</x:v>
      </x:c>
      <x:c r="S86" s="14" t="n">
        <x:v>2026</x:v>
      </x:c>
      <x:c r="T86" s="14" t="n">
        <x:v>2026</x:v>
      </x:c>
      <x:c r="U86" s="14" t="str">
        <x:v>Explicit source first year retained</x:v>
      </x:c>
      <x:c r="V86" s="14" t="str">
        <x:v>Earliest supplied year is 2026.</x:v>
      </x:c>
      <x:c r="W86" s="14"/>
      <x:c r="X86" s="14" t="str">
        <x:v>Excluded: after 2025</x:v>
      </x:c>
      <x:c r="Y86" s="14"/>
      <x:c r="Z86" s="14" t="str">
        <x:v>The Good Ship Murder.docx</x:v>
      </x:c>
      <x:c r="AA8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Channel 5 / 5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24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1</x:v>
      </x:c>
      <x:c r="BS86" s="16" t="n">
        <x:v>0.041666666666666664</x:v>
      </x:c>
      <x:c r="BT86" s="14" t="str">
        <x:v>One episode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tt26346233|nm2563879|christopher raja</x:v>
      </x:c>
      <x:c r="B87" s="14" t="str">
        <x:v>04</x:v>
      </x:c>
      <x:c r="C87" s="14" t="str">
        <x:v>2023_IMDb_Cast_Lists_Batch_04(2).xlsx</x:v>
      </x:c>
      <x:c r="D87" s="14" t="str">
        <x:v>The Good Ship Murder</x:v>
      </x:c>
      <x:c r="E87" s="14" t="n">
        <x:v>47</x:v>
      </x:c>
      <x:c r="F87" s="14" t="str">
        <x:v>The Good Ship Murder</x:v>
      </x:c>
      <x:c r="G87" s="14" t="str">
        <x:v>tt26346233</x:v>
      </x:c>
      <x:c r="H87" s="14" t="n">
        <x:v>2023</x:v>
      </x:c>
      <x:c r="I87" s="14" t="n">
        <x:v>2023</x:v>
      </x:c>
      <x:c r="J87" s="14" t="str">
        <x:v>Post-study cohort</x:v>
      </x:c>
      <x:c r="K87" s="14"/>
      <x:c r="L87" s="14" t="str">
        <x:v>Not inherited</x:v>
      </x:c>
      <x:c r="M87" s="15" t="n">
        <x:v>40</x:v>
      </x:c>
      <x:c r="N87" s="14" t="str">
        <x:v>Naveed Choudhry</x:v>
      </x:c>
      <x:c r="O87" s="14" t="str">
        <x:v>nm2563879</x:v>
      </x:c>
      <x:c r="P87" s="14" t="str">
        <x:v>Christopher Raja</x:v>
      </x:c>
      <x:c r="Q87" s="15" t="n">
        <x:v>1</x:v>
      </x:c>
      <x:c r="R87" s="14" t="str">
        <x:v>2026</x:v>
      </x:c>
      <x:c r="S87" s="14" t="n">
        <x:v>2026</x:v>
      </x:c>
      <x:c r="T87" s="14" t="n">
        <x:v>2026</x:v>
      </x:c>
      <x:c r="U87" s="14" t="str">
        <x:v>Explicit source first year retained</x:v>
      </x:c>
      <x:c r="V87" s="14" t="str">
        <x:v>Earliest supplied year is 2026.</x:v>
      </x:c>
      <x:c r="W87" s="14"/>
      <x:c r="X87" s="14" t="str">
        <x:v>Excluded: after 2025</x:v>
      </x:c>
      <x:c r="Y87" s="14"/>
      <x:c r="Z87" s="14" t="str">
        <x:v>The Good Ship Murder.docx</x:v>
      </x:c>
      <x:c r="AA8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Channel 5 / 5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24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1</x:v>
      </x:c>
      <x:c r="BS87" s="16" t="n">
        <x:v>0.041666666666666664</x:v>
      </x:c>
      <x:c r="BT87" s="14" t="str">
        <x:v>One episode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tt26346233|nm6526886|pandora</x:v>
      </x:c>
      <x:c r="B88" s="14" t="str">
        <x:v>04</x:v>
      </x:c>
      <x:c r="C88" s="14" t="str">
        <x:v>2023_IMDb_Cast_Lists_Batch_04(2).xlsx</x:v>
      </x:c>
      <x:c r="D88" s="14" t="str">
        <x:v>The Good Ship Murder</x:v>
      </x:c>
      <x:c r="E88" s="14" t="n">
        <x:v>65</x:v>
      </x:c>
      <x:c r="F88" s="14" t="str">
        <x:v>The Good Ship Murder</x:v>
      </x:c>
      <x:c r="G88" s="14" t="str">
        <x:v>tt26346233</x:v>
      </x:c>
      <x:c r="H88" s="14" t="n">
        <x:v>2023</x:v>
      </x:c>
      <x:c r="I88" s="14" t="n">
        <x:v>2023</x:v>
      </x:c>
      <x:c r="J88" s="14" t="str">
        <x:v>Post-study cohort</x:v>
      </x:c>
      <x:c r="K88" s="14"/>
      <x:c r="L88" s="14" t="str">
        <x:v>Not inherited</x:v>
      </x:c>
      <x:c r="M88" s="15" t="n">
        <x:v>58</x:v>
      </x:c>
      <x:c r="N88" s="14" t="str">
        <x:v>Olivia Bernstone</x:v>
      </x:c>
      <x:c r="O88" s="14" t="str">
        <x:v>nm6526886</x:v>
      </x:c>
      <x:c r="P88" s="14" t="str">
        <x:v>Pandora</x:v>
      </x:c>
      <x:c r="Q88" s="15" t="n">
        <x:v>1</x:v>
      </x:c>
      <x:c r="R88" s="14" t="str">
        <x:v>2026</x:v>
      </x:c>
      <x:c r="S88" s="14" t="n">
        <x:v>2026</x:v>
      </x:c>
      <x:c r="T88" s="14" t="n">
        <x:v>2026</x:v>
      </x:c>
      <x:c r="U88" s="14" t="str">
        <x:v>Explicit source first year retained</x:v>
      </x:c>
      <x:c r="V88" s="14" t="str">
        <x:v>Earliest supplied year is 2026.</x:v>
      </x:c>
      <x:c r="W88" s="14"/>
      <x:c r="X88" s="14" t="str">
        <x:v>Excluded: after 2025</x:v>
      </x:c>
      <x:c r="Y88" s="14"/>
      <x:c r="Z88" s="14" t="str">
        <x:v>The Good Ship Murder.docx</x:v>
      </x:c>
      <x:c r="AA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Channel 5 / 5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24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1</x:v>
      </x:c>
      <x:c r="BS88" s="16" t="n">
        <x:v>0.041666666666666664</x:v>
      </x:c>
      <x:c r="BT88" s="14" t="str">
        <x:v>One episode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tt26346233|nm2120658|julia stanton</x:v>
      </x:c>
      <x:c r="B89" s="14" t="str">
        <x:v>04</x:v>
      </x:c>
      <x:c r="C89" s="14" t="str">
        <x:v>2023_IMDb_Cast_Lists_Batch_04(2).xlsx</x:v>
      </x:c>
      <x:c r="D89" s="14" t="str">
        <x:v>The Good Ship Murder</x:v>
      </x:c>
      <x:c r="E89" s="14" t="n">
        <x:v>66</x:v>
      </x:c>
      <x:c r="F89" s="14" t="str">
        <x:v>The Good Ship Murder</x:v>
      </x:c>
      <x:c r="G89" s="14" t="str">
        <x:v>tt26346233</x:v>
      </x:c>
      <x:c r="H89" s="14" t="n">
        <x:v>2023</x:v>
      </x:c>
      <x:c r="I89" s="14" t="n">
        <x:v>2023</x:v>
      </x:c>
      <x:c r="J89" s="14" t="str">
        <x:v>Post-study cohort</x:v>
      </x:c>
      <x:c r="K89" s="14"/>
      <x:c r="L89" s="14" t="str">
        <x:v>Not inherited</x:v>
      </x:c>
      <x:c r="M89" s="15" t="n">
        <x:v>59</x:v>
      </x:c>
      <x:c r="N89" s="14" t="str">
        <x:v>Lauren Drummond</x:v>
      </x:c>
      <x:c r="O89" s="14" t="str">
        <x:v>nm2120658</x:v>
      </x:c>
      <x:c r="P89" s="14" t="str">
        <x:v>Julia Stanton</x:v>
      </x:c>
      <x:c r="Q89" s="15" t="n">
        <x:v>1</x:v>
      </x:c>
      <x:c r="R89" s="14" t="str">
        <x:v>2026</x:v>
      </x:c>
      <x:c r="S89" s="14" t="n">
        <x:v>2026</x:v>
      </x:c>
      <x:c r="T89" s="14" t="n">
        <x:v>2026</x:v>
      </x:c>
      <x:c r="U89" s="14" t="str">
        <x:v>Explicit source first year retained</x:v>
      </x:c>
      <x:c r="V89" s="14" t="str">
        <x:v>Earliest supplied year is 2026.</x:v>
      </x:c>
      <x:c r="W89" s="14"/>
      <x:c r="X89" s="14" t="str">
        <x:v>Excluded: after 2025</x:v>
      </x:c>
      <x:c r="Y89" s="14"/>
      <x:c r="Z89" s="14" t="str">
        <x:v>The Good Ship Murder.docx</x:v>
      </x:c>
      <x:c r="AA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Channel 5 / 5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24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1</x:v>
      </x:c>
      <x:c r="BS89" s="16" t="n">
        <x:v>0.041666666666666664</x:v>
      </x:c>
      <x:c r="BT89" s="14" t="str">
        <x:v>One episode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tt26346233|nm7462293|lucien daniels</x:v>
      </x:c>
      <x:c r="B90" s="14" t="str">
        <x:v>04</x:v>
      </x:c>
      <x:c r="C90" s="14" t="str">
        <x:v>2023_IMDb_Cast_Lists_Batch_04(2).xlsx</x:v>
      </x:c>
      <x:c r="D90" s="14" t="str">
        <x:v>The Good Ship Murder</x:v>
      </x:c>
      <x:c r="E90" s="14" t="n">
        <x:v>67</x:v>
      </x:c>
      <x:c r="F90" s="14" t="str">
        <x:v>The Good Ship Murder</x:v>
      </x:c>
      <x:c r="G90" s="14" t="str">
        <x:v>tt26346233</x:v>
      </x:c>
      <x:c r="H90" s="14" t="n">
        <x:v>2023</x:v>
      </x:c>
      <x:c r="I90" s="14" t="n">
        <x:v>2023</x:v>
      </x:c>
      <x:c r="J90" s="14" t="str">
        <x:v>Post-study cohort</x:v>
      </x:c>
      <x:c r="K90" s="14"/>
      <x:c r="L90" s="14" t="str">
        <x:v>Not inherited</x:v>
      </x:c>
      <x:c r="M90" s="15" t="n">
        <x:v>60</x:v>
      </x:c>
      <x:c r="N90" s="14" t="str">
        <x:v>Gene Gurie</x:v>
      </x:c>
      <x:c r="O90" s="14" t="str">
        <x:v>nm7462293</x:v>
      </x:c>
      <x:c r="P90" s="14" t="str">
        <x:v>Lucien Daniels</x:v>
      </x:c>
      <x:c r="Q90" s="15" t="n">
        <x:v>1</x:v>
      </x:c>
      <x:c r="R90" s="14" t="str">
        <x:v>2026</x:v>
      </x:c>
      <x:c r="S90" s="14" t="n">
        <x:v>2026</x:v>
      </x:c>
      <x:c r="T90" s="14" t="n">
        <x:v>2026</x:v>
      </x:c>
      <x:c r="U90" s="14" t="str">
        <x:v>Explicit source first year retained</x:v>
      </x:c>
      <x:c r="V90" s="14" t="str">
        <x:v>Earliest supplied year is 2026.</x:v>
      </x:c>
      <x:c r="W90" s="14"/>
      <x:c r="X90" s="14" t="str">
        <x:v>Excluded: after 2025</x:v>
      </x:c>
      <x:c r="Y90" s="14"/>
      <x:c r="Z90" s="14" t="str">
        <x:v>The Good Ship Murder.docx</x:v>
      </x:c>
      <x:c r="AA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Channel 5 / 5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24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1</x:v>
      </x:c>
      <x:c r="BS90" s="16" t="n">
        <x:v>0.041666666666666664</x:v>
      </x:c>
      <x:c r="BT90" s="14" t="str">
        <x:v>One episode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tt26346233|nm2959711|dr. aylin aziz</x:v>
      </x:c>
      <x:c r="B91" s="14" t="str">
        <x:v>04</x:v>
      </x:c>
      <x:c r="C91" s="14" t="str">
        <x:v>2023_IMDb_Cast_Lists_Batch_04(2).xlsx</x:v>
      </x:c>
      <x:c r="D91" s="14" t="str">
        <x:v>The Good Ship Murder</x:v>
      </x:c>
      <x:c r="E91" s="14" t="n">
        <x:v>68</x:v>
      </x:c>
      <x:c r="F91" s="14" t="str">
        <x:v>The Good Ship Murder</x:v>
      </x:c>
      <x:c r="G91" s="14" t="str">
        <x:v>tt26346233</x:v>
      </x:c>
      <x:c r="H91" s="14" t="n">
        <x:v>2023</x:v>
      </x:c>
      <x:c r="I91" s="14" t="n">
        <x:v>2023</x:v>
      </x:c>
      <x:c r="J91" s="14" t="str">
        <x:v>Post-study cohort</x:v>
      </x:c>
      <x:c r="K91" s="14"/>
      <x:c r="L91" s="14" t="str">
        <x:v>Not inherited</x:v>
      </x:c>
      <x:c r="M91" s="15" t="n">
        <x:v>61</x:v>
      </x:c>
      <x:c r="N91" s="14" t="str">
        <x:v>Angele Galea</x:v>
      </x:c>
      <x:c r="O91" s="14" t="str">
        <x:v>nm2959711</x:v>
      </x:c>
      <x:c r="P91" s="14" t="str">
        <x:v>Dr. Aylin Aziz</x:v>
      </x:c>
      <x:c r="Q91" s="15" t="n">
        <x:v>1</x:v>
      </x:c>
      <x:c r="R91" s="14" t="str">
        <x:v>2026</x:v>
      </x:c>
      <x:c r="S91" s="14" t="n">
        <x:v>2026</x:v>
      </x:c>
      <x:c r="T91" s="14" t="n">
        <x:v>2026</x:v>
      </x:c>
      <x:c r="U91" s="14" t="str">
        <x:v>Explicit source first year retained</x:v>
      </x:c>
      <x:c r="V91" s="14" t="str">
        <x:v>Earliest supplied year is 2026.</x:v>
      </x:c>
      <x:c r="W91" s="14"/>
      <x:c r="X91" s="14" t="str">
        <x:v>Excluded: after 2025</x:v>
      </x:c>
      <x:c r="Y91" s="14"/>
      <x:c r="Z91" s="14" t="str">
        <x:v>The Good Ship Murder.docx</x:v>
      </x:c>
      <x:c r="AA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Channel 5 / 5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24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1</x:v>
      </x:c>
      <x:c r="BS91" s="16" t="n">
        <x:v>0.041666666666666664</x:v>
      </x:c>
      <x:c r="BT91" s="14" t="str">
        <x:v>One episode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tt26346233|nm0304092|dominic raja</x:v>
      </x:c>
      <x:c r="B92" s="14" t="str">
        <x:v>04</x:v>
      </x:c>
      <x:c r="C92" s="14" t="str">
        <x:v>2023_IMDb_Cast_Lists_Batch_04(2).xlsx</x:v>
      </x:c>
      <x:c r="D92" s="14" t="str">
        <x:v>The Good Ship Murder</x:v>
      </x:c>
      <x:c r="E92" s="14" t="n">
        <x:v>84</x:v>
      </x:c>
      <x:c r="F92" s="14" t="str">
        <x:v>The Good Ship Murder</x:v>
      </x:c>
      <x:c r="G92" s="14" t="str">
        <x:v>tt26346233</x:v>
      </x:c>
      <x:c r="H92" s="14" t="n">
        <x:v>2023</x:v>
      </x:c>
      <x:c r="I92" s="14" t="n">
        <x:v>2023</x:v>
      </x:c>
      <x:c r="J92" s="14" t="str">
        <x:v>Post-study cohort</x:v>
      </x:c>
      <x:c r="K92" s="14"/>
      <x:c r="L92" s="14" t="str">
        <x:v>Not inherited</x:v>
      </x:c>
      <x:c r="M92" s="15" t="n">
        <x:v>77</x:v>
      </x:c>
      <x:c r="N92" s="14" t="str">
        <x:v>Nitin Ganatra</x:v>
      </x:c>
      <x:c r="O92" s="14" t="str">
        <x:v>nm0304092</x:v>
      </x:c>
      <x:c r="P92" s="14" t="str">
        <x:v>Dominic Raja</x:v>
      </x:c>
      <x:c r="Q92" s="15" t="n">
        <x:v>1</x:v>
      </x:c>
      <x:c r="R92" s="14" t="str">
        <x:v>2026</x:v>
      </x:c>
      <x:c r="S92" s="14" t="n">
        <x:v>2026</x:v>
      </x:c>
      <x:c r="T92" s="14" t="n">
        <x:v>2026</x:v>
      </x:c>
      <x:c r="U92" s="14" t="str">
        <x:v>Explicit source first year retained</x:v>
      </x:c>
      <x:c r="V92" s="14" t="str">
        <x:v>Earliest supplied year is 2026.</x:v>
      </x:c>
      <x:c r="W92" s="14"/>
      <x:c r="X92" s="14" t="str">
        <x:v>Excluded: after 2025</x:v>
      </x:c>
      <x:c r="Y92" s="14"/>
      <x:c r="Z92" s="14" t="str">
        <x:v>The Good Ship Murder.docx</x:v>
      </x:c>
      <x:c r="AA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Channel 5 / 5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24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0.041666666666666664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tt26346233|nm0234371|noel jones</x:v>
      </x:c>
      <x:c r="B93" s="14" t="str">
        <x:v>04</x:v>
      </x:c>
      <x:c r="C93" s="14" t="str">
        <x:v>2023_IMDb_Cast_Lists_Batch_04(2).xlsx</x:v>
      </x:c>
      <x:c r="D93" s="14" t="str">
        <x:v>The Good Ship Murder</x:v>
      </x:c>
      <x:c r="E93" s="14" t="n">
        <x:v>85</x:v>
      </x:c>
      <x:c r="F93" s="14" t="str">
        <x:v>The Good Ship Murder</x:v>
      </x:c>
      <x:c r="G93" s="14" t="str">
        <x:v>tt26346233</x:v>
      </x:c>
      <x:c r="H93" s="14" t="n">
        <x:v>2023</x:v>
      </x:c>
      <x:c r="I93" s="14" t="n">
        <x:v>2023</x:v>
      </x:c>
      <x:c r="J93" s="14" t="str">
        <x:v>Post-study cohort</x:v>
      </x:c>
      <x:c r="K93" s="14"/>
      <x:c r="L93" s="14" t="str">
        <x:v>Not inherited</x:v>
      </x:c>
      <x:c r="M93" s="15" t="n">
        <x:v>78</x:v>
      </x:c>
      <x:c r="N93" s="14" t="str">
        <x:v>Kriss Dosanjh</x:v>
      </x:c>
      <x:c r="O93" s="14" t="str">
        <x:v>nm0234371</x:v>
      </x:c>
      <x:c r="P93" s="14" t="str">
        <x:v>Noel Jones</x:v>
      </x:c>
      <x:c r="Q93" s="15" t="n">
        <x:v>1</x:v>
      </x:c>
      <x:c r="R93" s="14" t="str">
        <x:v>2026</x:v>
      </x:c>
      <x:c r="S93" s="14" t="n">
        <x:v>2026</x:v>
      </x:c>
      <x:c r="T93" s="14" t="n">
        <x:v>2026</x:v>
      </x:c>
      <x:c r="U93" s="14" t="str">
        <x:v>Explicit source first year retained</x:v>
      </x:c>
      <x:c r="V93" s="14" t="str">
        <x:v>Earliest supplied year is 2026.</x:v>
      </x:c>
      <x:c r="W93" s="14"/>
      <x:c r="X93" s="14" t="str">
        <x:v>Excluded: after 2025</x:v>
      </x:c>
      <x:c r="Y93" s="14"/>
      <x:c r="Z93" s="14" t="str">
        <x:v>The Good Ship Murder.docx</x:v>
      </x:c>
      <x:c r="AA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Channel 5 / 5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24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0.041666666666666664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tt26346233|nm5487606|jens de groot</x:v>
      </x:c>
      <x:c r="B94" s="14" t="str">
        <x:v>04</x:v>
      </x:c>
      <x:c r="C94" s="14" t="str">
        <x:v>2023_IMDb_Cast_Lists_Batch_04(2).xlsx</x:v>
      </x:c>
      <x:c r="D94" s="14" t="str">
        <x:v>The Good Ship Murder</x:v>
      </x:c>
      <x:c r="E94" s="14" t="n">
        <x:v>86</x:v>
      </x:c>
      <x:c r="F94" s="14" t="str">
        <x:v>The Good Ship Murder</x:v>
      </x:c>
      <x:c r="G94" s="14" t="str">
        <x:v>tt26346233</x:v>
      </x:c>
      <x:c r="H94" s="14" t="n">
        <x:v>2023</x:v>
      </x:c>
      <x:c r="I94" s="14" t="n">
        <x:v>2023</x:v>
      </x:c>
      <x:c r="J94" s="14" t="str">
        <x:v>Post-study cohort</x:v>
      </x:c>
      <x:c r="K94" s="14"/>
      <x:c r="L94" s="14" t="str">
        <x:v>Not inherited</x:v>
      </x:c>
      <x:c r="M94" s="15" t="n">
        <x:v>79</x:v>
      </x:c>
      <x:c r="N94" s="14" t="str">
        <x:v>Davide Tucci</x:v>
      </x:c>
      <x:c r="O94" s="14" t="str">
        <x:v>nm5487606</x:v>
      </x:c>
      <x:c r="P94" s="14" t="str">
        <x:v>Jens de Groot</x:v>
      </x:c>
      <x:c r="Q94" s="15" t="n">
        <x:v>1</x:v>
      </x:c>
      <x:c r="R94" s="14" t="str">
        <x:v>2026</x:v>
      </x:c>
      <x:c r="S94" s="14" t="n">
        <x:v>2026</x:v>
      </x:c>
      <x:c r="T94" s="14" t="n">
        <x:v>2026</x:v>
      </x:c>
      <x:c r="U94" s="14" t="str">
        <x:v>Explicit source first year retained</x:v>
      </x:c>
      <x:c r="V94" s="14" t="str">
        <x:v>Earliest supplied year is 2026.</x:v>
      </x:c>
      <x:c r="W94" s="14"/>
      <x:c r="X94" s="14" t="str">
        <x:v>Excluded: after 2025</x:v>
      </x:c>
      <x:c r="Y94" s="14"/>
      <x:c r="Z94" s="14" t="str">
        <x:v>The Good Ship Murder.docx</x:v>
      </x:c>
      <x:c r="AA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Channel 5 / 5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24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0.041666666666666664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tt26346233|nm8852653|mrs. kim eun tan</x:v>
      </x:c>
      <x:c r="B95" s="14" t="str">
        <x:v>04</x:v>
      </x:c>
      <x:c r="C95" s="14" t="str">
        <x:v>2023_IMDb_Cast_Lists_Batch_04(2).xlsx</x:v>
      </x:c>
      <x:c r="D95" s="14" t="str">
        <x:v>The Good Ship Murder</x:v>
      </x:c>
      <x:c r="E95" s="14" t="n">
        <x:v>87</x:v>
      </x:c>
      <x:c r="F95" s="14" t="str">
        <x:v>The Good Ship Murder</x:v>
      </x:c>
      <x:c r="G95" s="14" t="str">
        <x:v>tt26346233</x:v>
      </x:c>
      <x:c r="H95" s="14" t="n">
        <x:v>2023</x:v>
      </x:c>
      <x:c r="I95" s="14" t="n">
        <x:v>2023</x:v>
      </x:c>
      <x:c r="J95" s="14" t="str">
        <x:v>Post-study cohort</x:v>
      </x:c>
      <x:c r="K95" s="14"/>
      <x:c r="L95" s="14" t="str">
        <x:v>Not inherited</x:v>
      </x:c>
      <x:c r="M95" s="15" t="n">
        <x:v>80</x:v>
      </x:c>
      <x:c r="N95" s="14" t="str">
        <x:v>Eleanor Hahn</x:v>
      </x:c>
      <x:c r="O95" s="14" t="str">
        <x:v>nm8852653</x:v>
      </x:c>
      <x:c r="P95" s="14" t="str">
        <x:v>Mrs. Kim Eun Tan</x:v>
      </x:c>
      <x:c r="Q95" s="15" t="n">
        <x:v>1</x:v>
      </x:c>
      <x:c r="R95" s="14" t="str">
        <x:v>2026</x:v>
      </x:c>
      <x:c r="S95" s="14" t="n">
        <x:v>2026</x:v>
      </x:c>
      <x:c r="T95" s="14" t="n">
        <x:v>2026</x:v>
      </x:c>
      <x:c r="U95" s="14" t="str">
        <x:v>Explicit source first year retained</x:v>
      </x:c>
      <x:c r="V95" s="14" t="str">
        <x:v>Earliest supplied year is 2026.</x:v>
      </x:c>
      <x:c r="W95" s="14"/>
      <x:c r="X95" s="14" t="str">
        <x:v>Excluded: after 2025</x:v>
      </x:c>
      <x:c r="Y95" s="14"/>
      <x:c r="Z95" s="14" t="str">
        <x:v>The Good Ship Murder.docx</x:v>
      </x:c>
      <x:c r="AA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Channel 5 / 5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24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0.041666666666666664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tt26346233|nm18112181|simone reno</x:v>
      </x:c>
      <x:c r="B96" s="14" t="str">
        <x:v>04</x:v>
      </x:c>
      <x:c r="C96" s="14" t="str">
        <x:v>2023_IMDb_Cast_Lists_Batch_04(2).xlsx</x:v>
      </x:c>
      <x:c r="D96" s="14" t="str">
        <x:v>The Good Ship Murder</x:v>
      </x:c>
      <x:c r="E96" s="14" t="n">
        <x:v>88</x:v>
      </x:c>
      <x:c r="F96" s="14" t="str">
        <x:v>The Good Ship Murder</x:v>
      </x:c>
      <x:c r="G96" s="14" t="str">
        <x:v>tt26346233</x:v>
      </x:c>
      <x:c r="H96" s="14" t="n">
        <x:v>2023</x:v>
      </x:c>
      <x:c r="I96" s="14" t="n">
        <x:v>2023</x:v>
      </x:c>
      <x:c r="J96" s="14" t="str">
        <x:v>Post-study cohort</x:v>
      </x:c>
      <x:c r="K96" s="14"/>
      <x:c r="L96" s="14" t="str">
        <x:v>Not inherited</x:v>
      </x:c>
      <x:c r="M96" s="15" t="n">
        <x:v>81</x:v>
      </x:c>
      <x:c r="N96" s="14" t="str">
        <x:v>Ana-Carolina Klein</x:v>
      </x:c>
      <x:c r="O96" s="14" t="str">
        <x:v>nm18112181</x:v>
      </x:c>
      <x:c r="P96" s="14" t="str">
        <x:v>Simone Reno</x:v>
      </x:c>
      <x:c r="Q96" s="15" t="n">
        <x:v>1</x:v>
      </x:c>
      <x:c r="R96" s="14" t="str">
        <x:v>2026</x:v>
      </x:c>
      <x:c r="S96" s="14" t="n">
        <x:v>2026</x:v>
      </x:c>
      <x:c r="T96" s="14" t="n">
        <x:v>2026</x:v>
      </x:c>
      <x:c r="U96" s="14" t="str">
        <x:v>Explicit source first year retained</x:v>
      </x:c>
      <x:c r="V96" s="14" t="str">
        <x:v>Earliest supplied year is 2026.</x:v>
      </x:c>
      <x:c r="W96" s="14"/>
      <x:c r="X96" s="14" t="str">
        <x:v>Excluded: after 2025</x:v>
      </x:c>
      <x:c r="Y96" s="14"/>
      <x:c r="Z96" s="14" t="str">
        <x:v>The Good Ship Murder.docx</x:v>
      </x:c>
      <x:c r="AA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Channel 5 / 5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24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0.041666666666666664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tt26346233|nm4232660|carmen rivera</x:v>
      </x:c>
      <x:c r="B97" s="14" t="str">
        <x:v>04</x:v>
      </x:c>
      <x:c r="C97" s="14" t="str">
        <x:v>2023_IMDb_Cast_Lists_Batch_04(2).xlsx</x:v>
      </x:c>
      <x:c r="D97" s="14" t="str">
        <x:v>The Good Ship Murder</x:v>
      </x:c>
      <x:c r="E97" s="14" t="n">
        <x:v>89</x:v>
      </x:c>
      <x:c r="F97" s="14" t="str">
        <x:v>The Good Ship Murder</x:v>
      </x:c>
      <x:c r="G97" s="14" t="str">
        <x:v>tt26346233</x:v>
      </x:c>
      <x:c r="H97" s="14" t="n">
        <x:v>2023</x:v>
      </x:c>
      <x:c r="I97" s="14" t="n">
        <x:v>2023</x:v>
      </x:c>
      <x:c r="J97" s="14" t="str">
        <x:v>Post-study cohort</x:v>
      </x:c>
      <x:c r="K97" s="14"/>
      <x:c r="L97" s="14" t="str">
        <x:v>Not inherited</x:v>
      </x:c>
      <x:c r="M97" s="15" t="n">
        <x:v>82</x:v>
      </x:c>
      <x:c r="N97" s="14" t="str">
        <x:v>Clare Agius</x:v>
      </x:c>
      <x:c r="O97" s="14" t="str">
        <x:v>nm4232660</x:v>
      </x:c>
      <x:c r="P97" s="14" t="str">
        <x:v>Carmen Rivera</x:v>
      </x:c>
      <x:c r="Q97" s="15" t="n">
        <x:v>1</x:v>
      </x:c>
      <x:c r="R97" s="14" t="str">
        <x:v>2026</x:v>
      </x:c>
      <x:c r="S97" s="14" t="n">
        <x:v>2026</x:v>
      </x:c>
      <x:c r="T97" s="14" t="n">
        <x:v>2026</x:v>
      </x:c>
      <x:c r="U97" s="14" t="str">
        <x:v>Explicit source first year retained</x:v>
      </x:c>
      <x:c r="V97" s="14" t="str">
        <x:v>Earliest supplied year is 2026.</x:v>
      </x:c>
      <x:c r="W97" s="14"/>
      <x:c r="X97" s="14" t="str">
        <x:v>Excluded: after 2025</x:v>
      </x:c>
      <x:c r="Y97" s="14"/>
      <x:c r="Z97" s="14" t="str">
        <x:v>The Good Ship Murder.docx</x:v>
      </x:c>
      <x:c r="AA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Channel 5 / 5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24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0.041666666666666664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tt26346233|nm1922807|ari knossos</x:v>
      </x:c>
      <x:c r="B98" s="14" t="str">
        <x:v>04</x:v>
      </x:c>
      <x:c r="C98" s="14" t="str">
        <x:v>2023_IMDb_Cast_Lists_Batch_04(2).xlsx</x:v>
      </x:c>
      <x:c r="D98" s="14" t="str">
        <x:v>The Good Ship Murder</x:v>
      </x:c>
      <x:c r="E98" s="14" t="n">
        <x:v>90</x:v>
      </x:c>
      <x:c r="F98" s="14" t="str">
        <x:v>The Good Ship Murder</x:v>
      </x:c>
      <x:c r="G98" s="14" t="str">
        <x:v>tt26346233</x:v>
      </x:c>
      <x:c r="H98" s="14" t="n">
        <x:v>2023</x:v>
      </x:c>
      <x:c r="I98" s="14" t="n">
        <x:v>2023</x:v>
      </x:c>
      <x:c r="J98" s="14" t="str">
        <x:v>Post-study cohort</x:v>
      </x:c>
      <x:c r="K98" s="14"/>
      <x:c r="L98" s="14" t="str">
        <x:v>Not inherited</x:v>
      </x:c>
      <x:c r="M98" s="15" t="n">
        <x:v>83</x:v>
      </x:c>
      <x:c r="N98" s="14" t="str">
        <x:v>Pano Masti</x:v>
      </x:c>
      <x:c r="O98" s="14" t="str">
        <x:v>nm1922807</x:v>
      </x:c>
      <x:c r="P98" s="14" t="str">
        <x:v>Ari Knossos</x:v>
      </x:c>
      <x:c r="Q98" s="15" t="n">
        <x:v>1</x:v>
      </x:c>
      <x:c r="R98" s="14" t="str">
        <x:v>2026</x:v>
      </x:c>
      <x:c r="S98" s="14" t="n">
        <x:v>2026</x:v>
      </x:c>
      <x:c r="T98" s="14" t="n">
        <x:v>2026</x:v>
      </x:c>
      <x:c r="U98" s="14" t="str">
        <x:v>Explicit source first year retained</x:v>
      </x:c>
      <x:c r="V98" s="14" t="str">
        <x:v>Earliest supplied year is 2026.</x:v>
      </x:c>
      <x:c r="W98" s="14"/>
      <x:c r="X98" s="14" t="str">
        <x:v>Excluded: after 2025</x:v>
      </x:c>
      <x:c r="Y98" s="14"/>
      <x:c r="Z98" s="14" t="str">
        <x:v>The Good Ship Murder.docx</x:v>
      </x:c>
      <x:c r="AA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Channel 5 / 5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24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0.041666666666666664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tt26346233|nm0575140|chelsea summers</x:v>
      </x:c>
      <x:c r="B99" s="14" t="str">
        <x:v>04</x:v>
      </x:c>
      <x:c r="C99" s="14" t="str">
        <x:v>2023_IMDb_Cast_Lists_Batch_04(2).xlsx</x:v>
      </x:c>
      <x:c r="D99" s="14" t="str">
        <x:v>The Good Ship Murder</x:v>
      </x:c>
      <x:c r="E99" s="14" t="n">
        <x:v>107</x:v>
      </x:c>
      <x:c r="F99" s="14" t="str">
        <x:v>The Good Ship Murder</x:v>
      </x:c>
      <x:c r="G99" s="14" t="str">
        <x:v>tt26346233</x:v>
      </x:c>
      <x:c r="H99" s="14" t="n">
        <x:v>2023</x:v>
      </x:c>
      <x:c r="I99" s="14" t="n">
        <x:v>2023</x:v>
      </x:c>
      <x:c r="J99" s="14" t="str">
        <x:v>Post-study cohort</x:v>
      </x:c>
      <x:c r="K99" s="14"/>
      <x:c r="L99" s="14" t="str">
        <x:v>Not inherited</x:v>
      </x:c>
      <x:c r="M99" s="15" t="n">
        <x:v>100</x:v>
      </x:c>
      <x:c r="N99" s="14" t="str">
        <x:v>Amanda Mealing</x:v>
      </x:c>
      <x:c r="O99" s="14" t="str">
        <x:v>nm0575140</x:v>
      </x:c>
      <x:c r="P99" s="14" t="str">
        <x:v>Chelsea Summers</x:v>
      </x:c>
      <x:c r="Q99" s="15" t="n">
        <x:v>1</x:v>
      </x:c>
      <x:c r="R99" s="14" t="str">
        <x:v>2026</x:v>
      </x:c>
      <x:c r="S99" s="14" t="n">
        <x:v>2026</x:v>
      </x:c>
      <x:c r="T99" s="14" t="n">
        <x:v>2026</x:v>
      </x:c>
      <x:c r="U99" s="14" t="str">
        <x:v>Explicit source first year retained</x:v>
      </x:c>
      <x:c r="V99" s="14" t="str">
        <x:v>Earliest supplied year is 2026.</x:v>
      </x:c>
      <x:c r="W99" s="14"/>
      <x:c r="X99" s="14" t="str">
        <x:v>Excluded: after 2025</x:v>
      </x:c>
      <x:c r="Y99" s="14"/>
      <x:c r="Z99" s="14" t="str">
        <x:v>The Good Ship Murder.docx</x:v>
      </x:c>
      <x:c r="AA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Channel 5 / 5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24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0.041666666666666664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tt26346233|nm0430639|tilly webster</x:v>
      </x:c>
      <x:c r="B100" s="14" t="str">
        <x:v>04</x:v>
      </x:c>
      <x:c r="C100" s="14" t="str">
        <x:v>2023_IMDb_Cast_Lists_Batch_04(2).xlsx</x:v>
      </x:c>
      <x:c r="D100" s="14" t="str">
        <x:v>The Good Ship Murder</x:v>
      </x:c>
      <x:c r="E100" s="14" t="n">
        <x:v>108</x:v>
      </x:c>
      <x:c r="F100" s="14" t="str">
        <x:v>The Good Ship Murder</x:v>
      </x:c>
      <x:c r="G100" s="14" t="str">
        <x:v>tt26346233</x:v>
      </x:c>
      <x:c r="H100" s="14" t="n">
        <x:v>2023</x:v>
      </x:c>
      <x:c r="I100" s="14" t="n">
        <x:v>2023</x:v>
      </x:c>
      <x:c r="J100" s="14" t="str">
        <x:v>Post-study cohort</x:v>
      </x:c>
      <x:c r="K100" s="14"/>
      <x:c r="L100" s="14" t="str">
        <x:v>Not inherited</x:v>
      </x:c>
      <x:c r="M100" s="15" t="n">
        <x:v>101</x:v>
      </x:c>
      <x:c r="N100" s="14" t="str">
        <x:v>Lesley Joseph</x:v>
      </x:c>
      <x:c r="O100" s="14" t="str">
        <x:v>nm0430639</x:v>
      </x:c>
      <x:c r="P100" s="14" t="str">
        <x:v>Tilly Webster</x:v>
      </x:c>
      <x:c r="Q100" s="15" t="n">
        <x:v>1</x:v>
      </x:c>
      <x:c r="R100" s="14" t="str">
        <x:v>2026</x:v>
      </x:c>
      <x:c r="S100" s="14" t="n">
        <x:v>2026</x:v>
      </x:c>
      <x:c r="T100" s="14" t="n">
        <x:v>2026</x:v>
      </x:c>
      <x:c r="U100" s="14" t="str">
        <x:v>Explicit source first year retained</x:v>
      </x:c>
      <x:c r="V100" s="14" t="str">
        <x:v>Earliest supplied year is 2026.</x:v>
      </x:c>
      <x:c r="W100" s="14"/>
      <x:c r="X100" s="14" t="str">
        <x:v>Excluded: after 2025</x:v>
      </x:c>
      <x:c r="Y100" s="14"/>
      <x:c r="Z100" s="14" t="str">
        <x:v>The Good Ship Murder.docx</x:v>
      </x:c>
      <x:c r="AA1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Channel 5 / 5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24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0.041666666666666664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tt26346233|nm0694459|rosie raja</x:v>
      </x:c>
      <x:c r="B101" s="14" t="str">
        <x:v>04</x:v>
      </x:c>
      <x:c r="C101" s="14" t="str">
        <x:v>2023_IMDb_Cast_Lists_Batch_04(2).xlsx</x:v>
      </x:c>
      <x:c r="D101" s="14" t="str">
        <x:v>The Good Ship Murder</x:v>
      </x:c>
      <x:c r="E101" s="14" t="n">
        <x:v>109</x:v>
      </x:c>
      <x:c r="F101" s="14" t="str">
        <x:v>The Good Ship Murder</x:v>
      </x:c>
      <x:c r="G101" s="14" t="str">
        <x:v>tt26346233</x:v>
      </x:c>
      <x:c r="H101" s="14" t="n">
        <x:v>2023</x:v>
      </x:c>
      <x:c r="I101" s="14" t="n">
        <x:v>2023</x:v>
      </x:c>
      <x:c r="J101" s="14" t="str">
        <x:v>Post-study cohort</x:v>
      </x:c>
      <x:c r="K101" s="14"/>
      <x:c r="L101" s="14" t="str">
        <x:v>Not inherited</x:v>
      </x:c>
      <x:c r="M101" s="15" t="n">
        <x:v>102</x:v>
      </x:c>
      <x:c r="N101" s="14" t="str">
        <x:v>Samantha Power</x:v>
      </x:c>
      <x:c r="O101" s="14" t="str">
        <x:v>nm0694459</x:v>
      </x:c>
      <x:c r="P101" s="14" t="str">
        <x:v>Rosie Raja</x:v>
      </x:c>
      <x:c r="Q101" s="15" t="n">
        <x:v>1</x:v>
      </x:c>
      <x:c r="R101" s="14" t="str">
        <x:v>2026</x:v>
      </x:c>
      <x:c r="S101" s="14" t="n">
        <x:v>2026</x:v>
      </x:c>
      <x:c r="T101" s="14" t="n">
        <x:v>2026</x:v>
      </x:c>
      <x:c r="U101" s="14" t="str">
        <x:v>Explicit source first year retained</x:v>
      </x:c>
      <x:c r="V101" s="14" t="str">
        <x:v>Earliest supplied year is 2026.</x:v>
      </x:c>
      <x:c r="W101" s="14"/>
      <x:c r="X101" s="14" t="str">
        <x:v>Excluded: after 2025</x:v>
      </x:c>
      <x:c r="Y101" s="14"/>
      <x:c r="Z101" s="14" t="str">
        <x:v>The Good Ship Murder.docx</x:v>
      </x:c>
      <x:c r="AA1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Channel 5 / 5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24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0.041666666666666664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tt26346233|nm4163509|mimi mcquinn</x:v>
      </x:c>
      <x:c r="B102" s="14" t="str">
        <x:v>04</x:v>
      </x:c>
      <x:c r="C102" s="14" t="str">
        <x:v>2023_IMDb_Cast_Lists_Batch_04(2).xlsx</x:v>
      </x:c>
      <x:c r="D102" s="14" t="str">
        <x:v>The Good Ship Murder</x:v>
      </x:c>
      <x:c r="E102" s="14" t="n">
        <x:v>110</x:v>
      </x:c>
      <x:c r="F102" s="14" t="str">
        <x:v>The Good Ship Murder</x:v>
      </x:c>
      <x:c r="G102" s="14" t="str">
        <x:v>tt26346233</x:v>
      </x:c>
      <x:c r="H102" s="14" t="n">
        <x:v>2023</x:v>
      </x:c>
      <x:c r="I102" s="14" t="n">
        <x:v>2023</x:v>
      </x:c>
      <x:c r="J102" s="14" t="str">
        <x:v>Post-study cohort</x:v>
      </x:c>
      <x:c r="K102" s="14"/>
      <x:c r="L102" s="14" t="str">
        <x:v>Not inherited</x:v>
      </x:c>
      <x:c r="M102" s="15" t="n">
        <x:v>103</x:v>
      </x:c>
      <x:c r="N102" s="14" t="str">
        <x:v>Ellie Leach</x:v>
      </x:c>
      <x:c r="O102" s="14" t="str">
        <x:v>nm4163509</x:v>
      </x:c>
      <x:c r="P102" s="14" t="str">
        <x:v>Mimi McQuinn</x:v>
      </x:c>
      <x:c r="Q102" s="15" t="n">
        <x:v>1</x:v>
      </x:c>
      <x:c r="R102" s="14" t="str">
        <x:v>2026</x:v>
      </x:c>
      <x:c r="S102" s="14" t="n">
        <x:v>2026</x:v>
      </x:c>
      <x:c r="T102" s="14" t="n">
        <x:v>2026</x:v>
      </x:c>
      <x:c r="U102" s="14" t="str">
        <x:v>Explicit source first year retained</x:v>
      </x:c>
      <x:c r="V102" s="14" t="str">
        <x:v>Earliest supplied year is 2026.</x:v>
      </x:c>
      <x:c r="W102" s="14"/>
      <x:c r="X102" s="14" t="str">
        <x:v>Excluded: after 2025</x:v>
      </x:c>
      <x:c r="Y102" s="14"/>
      <x:c r="Z102" s="14" t="str">
        <x:v>The Good Ship Murder.docx</x:v>
      </x:c>
      <x:c r="AA1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Channel 5 / 5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24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0.041666666666666664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tt26346233|nm2196406|gary banks</x:v>
      </x:c>
      <x:c r="B103" s="14" t="str">
        <x:v>04</x:v>
      </x:c>
      <x:c r="C103" s="14" t="str">
        <x:v>2023_IMDb_Cast_Lists_Batch_04(2).xlsx</x:v>
      </x:c>
      <x:c r="D103" s="14" t="str">
        <x:v>The Good Ship Murder</x:v>
      </x:c>
      <x:c r="E103" s="14" t="n">
        <x:v>111</x:v>
      </x:c>
      <x:c r="F103" s="14" t="str">
        <x:v>The Good Ship Murder</x:v>
      </x:c>
      <x:c r="G103" s="14" t="str">
        <x:v>tt26346233</x:v>
      </x:c>
      <x:c r="H103" s="14" t="n">
        <x:v>2023</x:v>
      </x:c>
      <x:c r="I103" s="14" t="n">
        <x:v>2023</x:v>
      </x:c>
      <x:c r="J103" s="14" t="str">
        <x:v>Post-study cohort</x:v>
      </x:c>
      <x:c r="K103" s="14"/>
      <x:c r="L103" s="14" t="str">
        <x:v>Not inherited</x:v>
      </x:c>
      <x:c r="M103" s="15" t="n">
        <x:v>104</x:v>
      </x:c>
      <x:c r="N103" s="14" t="str">
        <x:v>Nigel Boyle</x:v>
      </x:c>
      <x:c r="O103" s="14" t="str">
        <x:v>nm2196406</x:v>
      </x:c>
      <x:c r="P103" s="14" t="str">
        <x:v>Gary Banks</x:v>
      </x:c>
      <x:c r="Q103" s="15" t="n">
        <x:v>1</x:v>
      </x:c>
      <x:c r="R103" s="14" t="str">
        <x:v>2026</x:v>
      </x:c>
      <x:c r="S103" s="14" t="n">
        <x:v>2026</x:v>
      </x:c>
      <x:c r="T103" s="14" t="n">
        <x:v>2026</x:v>
      </x:c>
      <x:c r="U103" s="14" t="str">
        <x:v>Explicit source first year retained</x:v>
      </x:c>
      <x:c r="V103" s="14" t="str">
        <x:v>Earliest supplied year is 2026.</x:v>
      </x:c>
      <x:c r="W103" s="14"/>
      <x:c r="X103" s="14" t="str">
        <x:v>Excluded: after 2025</x:v>
      </x:c>
      <x:c r="Y103" s="14"/>
      <x:c r="Z103" s="14" t="str">
        <x:v>The Good Ship Murder.docx</x:v>
      </x:c>
      <x:c r="AA1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Channel 5 / 5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3" s="14" t="str">
        <x:v>No qualifying BBC relationship</x:v>
      </x:c>
      <x:c r="AO103" s="14" t="str">
        <x:v>No</x:v>
      </x:c>
      <x:c r="AP103" s="14" t="str">
        <x:v>Out of scope</x:v>
      </x:c>
      <x:c r="AQ103" s="14" t="str">
        <x:v>No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24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0.041666666666666664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tt26346233|nm0398186|dawn blakely</x:v>
      </x:c>
      <x:c r="B104" s="14" t="str">
        <x:v>04</x:v>
      </x:c>
      <x:c r="C104" s="14" t="str">
        <x:v>2023_IMDb_Cast_Lists_Batch_04(2).xlsx</x:v>
      </x:c>
      <x:c r="D104" s="14" t="str">
        <x:v>The Good Ship Murder</x:v>
      </x:c>
      <x:c r="E104" s="14" t="n">
        <x:v>112</x:v>
      </x:c>
      <x:c r="F104" s="14" t="str">
        <x:v>The Good Ship Murder</x:v>
      </x:c>
      <x:c r="G104" s="14" t="str">
        <x:v>tt26346233</x:v>
      </x:c>
      <x:c r="H104" s="14" t="n">
        <x:v>2023</x:v>
      </x:c>
      <x:c r="I104" s="14" t="n">
        <x:v>2023</x:v>
      </x:c>
      <x:c r="J104" s="14" t="str">
        <x:v>Post-study cohort</x:v>
      </x:c>
      <x:c r="K104" s="14"/>
      <x:c r="L104" s="14" t="str">
        <x:v>Not inherited</x:v>
      </x:c>
      <x:c r="M104" s="15" t="n">
        <x:v>105</x:v>
      </x:c>
      <x:c r="N104" s="14" t="str">
        <x:v>Sally Howitt</x:v>
      </x:c>
      <x:c r="O104" s="14" t="str">
        <x:v>nm0398186</x:v>
      </x:c>
      <x:c r="P104" s="14" t="str">
        <x:v>Dawn Blakely</x:v>
      </x:c>
      <x:c r="Q104" s="15" t="n">
        <x:v>1</x:v>
      </x:c>
      <x:c r="R104" s="14" t="str">
        <x:v>2026</x:v>
      </x:c>
      <x:c r="S104" s="14" t="n">
        <x:v>2026</x:v>
      </x:c>
      <x:c r="T104" s="14" t="n">
        <x:v>2026</x:v>
      </x:c>
      <x:c r="U104" s="14" t="str">
        <x:v>Explicit source first year retained</x:v>
      </x:c>
      <x:c r="V104" s="14" t="str">
        <x:v>Earliest supplied year is 2026.</x:v>
      </x:c>
      <x:c r="W104" s="14"/>
      <x:c r="X104" s="14" t="str">
        <x:v>Excluded: after 2025</x:v>
      </x:c>
      <x:c r="Y104" s="14"/>
      <x:c r="Z104" s="14" t="str">
        <x:v>The Good Ship Murder.docx</x:v>
      </x:c>
      <x:c r="AA1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Channel 5 / 5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4" s="14" t="str">
        <x:v>No qualifying BBC relationship</x:v>
      </x:c>
      <x:c r="AO104" s="14" t="str">
        <x:v>No</x:v>
      </x:c>
      <x:c r="AP104" s="14" t="str">
        <x:v>Out of scope</x:v>
      </x:c>
      <x:c r="AQ104" s="14" t="str">
        <x:v>No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24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0.041666666666666664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tt26346233|nm8095287|antoine lapointe</x:v>
      </x:c>
      <x:c r="B105" s="14" t="str">
        <x:v>04</x:v>
      </x:c>
      <x:c r="C105" s="14" t="str">
        <x:v>2023_IMDb_Cast_Lists_Batch_04(2).xlsx</x:v>
      </x:c>
      <x:c r="D105" s="14" t="str">
        <x:v>The Good Ship Murder</x:v>
      </x:c>
      <x:c r="E105" s="14" t="n">
        <x:v>113</x:v>
      </x:c>
      <x:c r="F105" s="14" t="str">
        <x:v>The Good Ship Murder</x:v>
      </x:c>
      <x:c r="G105" s="14" t="str">
        <x:v>tt26346233</x:v>
      </x:c>
      <x:c r="H105" s="14" t="n">
        <x:v>2023</x:v>
      </x:c>
      <x:c r="I105" s="14" t="n">
        <x:v>2023</x:v>
      </x:c>
      <x:c r="J105" s="14" t="str">
        <x:v>Post-study cohort</x:v>
      </x:c>
      <x:c r="K105" s="14"/>
      <x:c r="L105" s="14" t="str">
        <x:v>Not inherited</x:v>
      </x:c>
      <x:c r="M105" s="15" t="n">
        <x:v>106</x:v>
      </x:c>
      <x:c r="N105" s="14" t="str">
        <x:v>Alexis Vandendaelen</x:v>
      </x:c>
      <x:c r="O105" s="14" t="str">
        <x:v>nm8095287</x:v>
      </x:c>
      <x:c r="P105" s="14" t="str">
        <x:v>Antoine Lapointe</x:v>
      </x:c>
      <x:c r="Q105" s="15" t="n">
        <x:v>1</x:v>
      </x:c>
      <x:c r="R105" s="14" t="str">
        <x:v>2026</x:v>
      </x:c>
      <x:c r="S105" s="14" t="n">
        <x:v>2026</x:v>
      </x:c>
      <x:c r="T105" s="14" t="n">
        <x:v>2026</x:v>
      </x:c>
      <x:c r="U105" s="14" t="str">
        <x:v>Explicit source first year retained</x:v>
      </x:c>
      <x:c r="V105" s="14" t="str">
        <x:v>Earliest supplied year is 2026.</x:v>
      </x:c>
      <x:c r="W105" s="14"/>
      <x:c r="X105" s="14" t="str">
        <x:v>Excluded: after 2025</x:v>
      </x:c>
      <x:c r="Y105" s="14"/>
      <x:c r="Z105" s="14" t="str">
        <x:v>The Good Ship Murder.docx</x:v>
      </x:c>
      <x:c r="AA1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Channel 5 / 5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5" s="14" t="str">
        <x:v>No qualifying BBC relationship</x:v>
      </x:c>
      <x:c r="AO105" s="14" t="str">
        <x:v>No</x:v>
      </x:c>
      <x:c r="AP105" s="14" t="str">
        <x:v>Out of scope</x:v>
      </x:c>
      <x:c r="AQ105" s="14" t="str">
        <x:v>No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24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0.041666666666666664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tt26346233|nm0585181|alfie pope</x:v>
      </x:c>
      <x:c r="B106" s="14" t="str">
        <x:v>04</x:v>
      </x:c>
      <x:c r="C106" s="14" t="str">
        <x:v>2023_IMDb_Cast_Lists_Batch_04(2).xlsx</x:v>
      </x:c>
      <x:c r="D106" s="14" t="str">
        <x:v>The Good Ship Murder</x:v>
      </x:c>
      <x:c r="E106" s="14" t="n">
        <x:v>128</x:v>
      </x:c>
      <x:c r="F106" s="14" t="str">
        <x:v>The Good Ship Murder</x:v>
      </x:c>
      <x:c r="G106" s="14" t="str">
        <x:v>tt26346233</x:v>
      </x:c>
      <x:c r="H106" s="14" t="n">
        <x:v>2023</x:v>
      </x:c>
      <x:c r="I106" s="14" t="n">
        <x:v>2023</x:v>
      </x:c>
      <x:c r="J106" s="14" t="str">
        <x:v>Post-study cohort</x:v>
      </x:c>
      <x:c r="K106" s="14"/>
      <x:c r="L106" s="14" t="str">
        <x:v>Not inherited</x:v>
      </x:c>
      <x:c r="M106" s="15" t="n">
        <x:v>121</x:v>
      </x:c>
      <x:c r="N106" s="14" t="str">
        <x:v>John Michie</x:v>
      </x:c>
      <x:c r="O106" s="14" t="str">
        <x:v>nm0585181</x:v>
      </x:c>
      <x:c r="P106" s="14" t="str">
        <x:v>Alfie Pope</x:v>
      </x:c>
      <x:c r="Q106" s="15" t="n">
        <x:v>1</x:v>
      </x:c>
      <x:c r="R106" s="14" t="str">
        <x:v>2026</x:v>
      </x:c>
      <x:c r="S106" s="14" t="n">
        <x:v>2026</x:v>
      </x:c>
      <x:c r="T106" s="14" t="n">
        <x:v>2026</x:v>
      </x:c>
      <x:c r="U106" s="14" t="str">
        <x:v>Explicit source first year retained</x:v>
      </x:c>
      <x:c r="V106" s="14" t="str">
        <x:v>Earliest supplied year is 2026.</x:v>
      </x:c>
      <x:c r="W106" s="14"/>
      <x:c r="X106" s="14" t="str">
        <x:v>Excluded: after 2025</x:v>
      </x:c>
      <x:c r="Y106" s="14"/>
      <x:c r="Z106" s="14" t="str">
        <x:v>The Good Ship Murder.docx</x:v>
      </x:c>
      <x:c r="AA1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Channel 5 / 5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6" s="14" t="str">
        <x:v>No qualifying BBC relationship</x:v>
      </x:c>
      <x:c r="AO106" s="14" t="str">
        <x:v>No</x:v>
      </x:c>
      <x:c r="AP106" s="14" t="str">
        <x:v>Out of scope</x:v>
      </x:c>
      <x:c r="AQ106" s="14" t="str">
        <x:v>No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24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0.041666666666666664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tt26346233|nm0827296|erin daniels</x:v>
      </x:c>
      <x:c r="B107" s="14" t="str">
        <x:v>04</x:v>
      </x:c>
      <x:c r="C107" s="14" t="str">
        <x:v>2023_IMDb_Cast_Lists_Batch_04(2).xlsx</x:v>
      </x:c>
      <x:c r="D107" s="14" t="str">
        <x:v>The Good Ship Murder</x:v>
      </x:c>
      <x:c r="E107" s="14" t="n">
        <x:v>129</x:v>
      </x:c>
      <x:c r="F107" s="14" t="str">
        <x:v>The Good Ship Murder</x:v>
      </x:c>
      <x:c r="G107" s="14" t="str">
        <x:v>tt26346233</x:v>
      </x:c>
      <x:c r="H107" s="14" t="n">
        <x:v>2023</x:v>
      </x:c>
      <x:c r="I107" s="14" t="n">
        <x:v>2023</x:v>
      </x:c>
      <x:c r="J107" s="14" t="str">
        <x:v>Post-study cohort</x:v>
      </x:c>
      <x:c r="K107" s="14"/>
      <x:c r="L107" s="14" t="str">
        <x:v>Not inherited</x:v>
      </x:c>
      <x:c r="M107" s="15" t="n">
        <x:v>122</x:v>
      </x:c>
      <x:c r="N107" s="14" t="str">
        <x:v>Nicola Stephenson</x:v>
      </x:c>
      <x:c r="O107" s="14" t="str">
        <x:v>nm0827296</x:v>
      </x:c>
      <x:c r="P107" s="14" t="str">
        <x:v>Erin Daniels</x:v>
      </x:c>
      <x:c r="Q107" s="15" t="n">
        <x:v>1</x:v>
      </x:c>
      <x:c r="R107" s="14" t="str">
        <x:v>2026</x:v>
      </x:c>
      <x:c r="S107" s="14" t="n">
        <x:v>2026</x:v>
      </x:c>
      <x:c r="T107" s="14" t="n">
        <x:v>2026</x:v>
      </x:c>
      <x:c r="U107" s="14" t="str">
        <x:v>Explicit source first year retained</x:v>
      </x:c>
      <x:c r="V107" s="14" t="str">
        <x:v>Earliest supplied year is 2026.</x:v>
      </x:c>
      <x:c r="W107" s="14"/>
      <x:c r="X107" s="14" t="str">
        <x:v>Excluded: after 2025</x:v>
      </x:c>
      <x:c r="Y107" s="14"/>
      <x:c r="Z107" s="14" t="str">
        <x:v>The Good Ship Murder.docx</x:v>
      </x:c>
      <x:c r="AA1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Channel 5 / 5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7" s="14" t="str">
        <x:v>No qualifying BBC relationship</x:v>
      </x:c>
      <x:c r="AO107" s="14" t="str">
        <x:v>No</x:v>
      </x:c>
      <x:c r="AP107" s="14" t="str">
        <x:v>Out of scope</x:v>
      </x:c>
      <x:c r="AQ107" s="14" t="str">
        <x:v>No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24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0.041666666666666664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tt26346233|nm6110544|dr. seon hee woo</x:v>
      </x:c>
      <x:c r="B108" s="14" t="str">
        <x:v>04</x:v>
      </x:c>
      <x:c r="C108" s="14" t="str">
        <x:v>2023_IMDb_Cast_Lists_Batch_04(2).xlsx</x:v>
      </x:c>
      <x:c r="D108" s="14" t="str">
        <x:v>The Good Ship Murder</x:v>
      </x:c>
      <x:c r="E108" s="14" t="n">
        <x:v>130</x:v>
      </x:c>
      <x:c r="F108" s="14" t="str">
        <x:v>The Good Ship Murder</x:v>
      </x:c>
      <x:c r="G108" s="14" t="str">
        <x:v>tt26346233</x:v>
      </x:c>
      <x:c r="H108" s="14" t="n">
        <x:v>2023</x:v>
      </x:c>
      <x:c r="I108" s="14" t="n">
        <x:v>2023</x:v>
      </x:c>
      <x:c r="J108" s="14" t="str">
        <x:v>Post-study cohort</x:v>
      </x:c>
      <x:c r="K108" s="14"/>
      <x:c r="L108" s="14" t="str">
        <x:v>Not inherited</x:v>
      </x:c>
      <x:c r="M108" s="15" t="n">
        <x:v>123</x:v>
      </x:c>
      <x:c r="N108" s="14" t="str">
        <x:v>Arthur Lee</x:v>
      </x:c>
      <x:c r="O108" s="14" t="str">
        <x:v>nm6110544</x:v>
      </x:c>
      <x:c r="P108" s="14" t="str">
        <x:v>Dr. Seon Hee Woo</x:v>
      </x:c>
      <x:c r="Q108" s="15" t="n">
        <x:v>1</x:v>
      </x:c>
      <x:c r="R108" s="14" t="str">
        <x:v>2026</x:v>
      </x:c>
      <x:c r="S108" s="14" t="n">
        <x:v>2026</x:v>
      </x:c>
      <x:c r="T108" s="14" t="n">
        <x:v>2026</x:v>
      </x:c>
      <x:c r="U108" s="14" t="str">
        <x:v>Explicit source first year retained</x:v>
      </x:c>
      <x:c r="V108" s="14" t="str">
        <x:v>Earliest supplied year is 2026.</x:v>
      </x:c>
      <x:c r="W108" s="14"/>
      <x:c r="X108" s="14" t="str">
        <x:v>Excluded: after 2025</x:v>
      </x:c>
      <x:c r="Y108" s="14"/>
      <x:c r="Z108" s="14" t="str">
        <x:v>The Good Ship Murder.docx</x:v>
      </x:c>
      <x:c r="AA1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Channel 5 / 5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8" s="14" t="str">
        <x:v>No qualifying BBC relationship</x:v>
      </x:c>
      <x:c r="AO108" s="14" t="str">
        <x:v>No</x:v>
      </x:c>
      <x:c r="AP108" s="14" t="str">
        <x:v>Out of scope</x:v>
      </x:c>
      <x:c r="AQ108" s="14" t="str">
        <x:v>No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24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0.041666666666666664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tt26346233|nm0733474|elsa crabtree</x:v>
      </x:c>
      <x:c r="B109" s="14" t="str">
        <x:v>04</x:v>
      </x:c>
      <x:c r="C109" s="14" t="str">
        <x:v>2023_IMDb_Cast_Lists_Batch_04(2).xlsx</x:v>
      </x:c>
      <x:c r="D109" s="14" t="str">
        <x:v>The Good Ship Murder</x:v>
      </x:c>
      <x:c r="E109" s="14" t="n">
        <x:v>131</x:v>
      </x:c>
      <x:c r="F109" s="14" t="str">
        <x:v>The Good Ship Murder</x:v>
      </x:c>
      <x:c r="G109" s="14" t="str">
        <x:v>tt26346233</x:v>
      </x:c>
      <x:c r="H109" s="14" t="n">
        <x:v>2023</x:v>
      </x:c>
      <x:c r="I109" s="14" t="n">
        <x:v>2023</x:v>
      </x:c>
      <x:c r="J109" s="14" t="str">
        <x:v>Post-study cohort</x:v>
      </x:c>
      <x:c r="K109" s="14"/>
      <x:c r="L109" s="14" t="str">
        <x:v>Not inherited</x:v>
      </x:c>
      <x:c r="M109" s="15" t="n">
        <x:v>124</x:v>
      </x:c>
      <x:c r="N109" s="14" t="str">
        <x:v>Linda Robson</x:v>
      </x:c>
      <x:c r="O109" s="14" t="str">
        <x:v>nm0733474</x:v>
      </x:c>
      <x:c r="P109" s="14" t="str">
        <x:v>Elsa Crabtree</x:v>
      </x:c>
      <x:c r="Q109" s="15" t="n">
        <x:v>1</x:v>
      </x:c>
      <x:c r="R109" s="14" t="str">
        <x:v>2026</x:v>
      </x:c>
      <x:c r="S109" s="14" t="n">
        <x:v>2026</x:v>
      </x:c>
      <x:c r="T109" s="14" t="n">
        <x:v>2026</x:v>
      </x:c>
      <x:c r="U109" s="14" t="str">
        <x:v>Explicit source first year retained</x:v>
      </x:c>
      <x:c r="V109" s="14" t="str">
        <x:v>Earliest supplied year is 2026.</x:v>
      </x:c>
      <x:c r="W109" s="14"/>
      <x:c r="X109" s="14" t="str">
        <x:v>Excluded: after 2025</x:v>
      </x:c>
      <x:c r="Y109" s="14"/>
      <x:c r="Z109" s="14" t="str">
        <x:v>The Good Ship Murder.docx</x:v>
      </x:c>
      <x:c r="AA1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Channel 5 / 5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09" s="14" t="str">
        <x:v>No qualifying BBC relationship</x:v>
      </x:c>
      <x:c r="AO109" s="14" t="str">
        <x:v>No</x:v>
      </x:c>
      <x:c r="AP109" s="14" t="str">
        <x:v>Out of scope</x:v>
      </x:c>
      <x:c r="AQ109" s="14" t="str">
        <x:v>No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24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0.041666666666666664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tt26346233|nm9243325|mirko spiteri</x:v>
      </x:c>
      <x:c r="B110" s="14" t="str">
        <x:v>04</x:v>
      </x:c>
      <x:c r="C110" s="14" t="str">
        <x:v>2023_IMDb_Cast_Lists_Batch_04(2).xlsx</x:v>
      </x:c>
      <x:c r="D110" s="14" t="str">
        <x:v>The Good Ship Murder</x:v>
      </x:c>
      <x:c r="E110" s="14" t="n">
        <x:v>132</x:v>
      </x:c>
      <x:c r="F110" s="14" t="str">
        <x:v>The Good Ship Murder</x:v>
      </x:c>
      <x:c r="G110" s="14" t="str">
        <x:v>tt26346233</x:v>
      </x:c>
      <x:c r="H110" s="14" t="n">
        <x:v>2023</x:v>
      </x:c>
      <x:c r="I110" s="14" t="n">
        <x:v>2023</x:v>
      </x:c>
      <x:c r="J110" s="14" t="str">
        <x:v>Post-study cohort</x:v>
      </x:c>
      <x:c r="K110" s="14"/>
      <x:c r="L110" s="14" t="str">
        <x:v>Not inherited</x:v>
      </x:c>
      <x:c r="M110" s="15" t="n">
        <x:v>125</x:v>
      </x:c>
      <x:c r="N110" s="14" t="str">
        <x:v>Jeremy Vella</x:v>
      </x:c>
      <x:c r="O110" s="14" t="str">
        <x:v>nm9243325</x:v>
      </x:c>
      <x:c r="P110" s="14" t="str">
        <x:v>Mirko Spiteri</x:v>
      </x:c>
      <x:c r="Q110" s="15" t="n">
        <x:v>1</x:v>
      </x:c>
      <x:c r="R110" s="14" t="str">
        <x:v>2026</x:v>
      </x:c>
      <x:c r="S110" s="14" t="n">
        <x:v>2026</x:v>
      </x:c>
      <x:c r="T110" s="14" t="n">
        <x:v>2026</x:v>
      </x:c>
      <x:c r="U110" s="14" t="str">
        <x:v>Explicit source first year retained</x:v>
      </x:c>
      <x:c r="V110" s="14" t="str">
        <x:v>Earliest supplied year is 2026.</x:v>
      </x:c>
      <x:c r="W110" s="14"/>
      <x:c r="X110" s="14" t="str">
        <x:v>Excluded: after 2025</x:v>
      </x:c>
      <x:c r="Y110" s="14"/>
      <x:c r="Z110" s="14" t="str">
        <x:v>The Good Ship Murder.docx</x:v>
      </x:c>
      <x:c r="AA1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Channel 5 / 5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0" s="14" t="str">
        <x:v>No qualifying BBC relationship</x:v>
      </x:c>
      <x:c r="AO110" s="14" t="str">
        <x:v>No</x:v>
      </x:c>
      <x:c r="AP110" s="14" t="str">
        <x:v>Out of scope</x:v>
      </x:c>
      <x:c r="AQ110" s="14" t="str">
        <x:v>No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24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0.041666666666666664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tt26346233|nm11600104|rico garcia</x:v>
      </x:c>
      <x:c r="B111" s="14" t="str">
        <x:v>04</x:v>
      </x:c>
      <x:c r="C111" s="14" t="str">
        <x:v>2023_IMDb_Cast_Lists_Batch_04(2).xlsx</x:v>
      </x:c>
      <x:c r="D111" s="14" t="str">
        <x:v>The Good Ship Murder</x:v>
      </x:c>
      <x:c r="E111" s="14" t="n">
        <x:v>133</x:v>
      </x:c>
      <x:c r="F111" s="14" t="str">
        <x:v>The Good Ship Murder</x:v>
      </x:c>
      <x:c r="G111" s="14" t="str">
        <x:v>tt26346233</x:v>
      </x:c>
      <x:c r="H111" s="14" t="n">
        <x:v>2023</x:v>
      </x:c>
      <x:c r="I111" s="14" t="n">
        <x:v>2023</x:v>
      </x:c>
      <x:c r="J111" s="14" t="str">
        <x:v>Post-study cohort</x:v>
      </x:c>
      <x:c r="K111" s="14"/>
      <x:c r="L111" s="14" t="str">
        <x:v>Not inherited</x:v>
      </x:c>
      <x:c r="M111" s="15" t="n">
        <x:v>126</x:v>
      </x:c>
      <x:c r="N111" s="14" t="str">
        <x:v>Julian Giraldo</x:v>
      </x:c>
      <x:c r="O111" s="14" t="str">
        <x:v>nm11600104</x:v>
      </x:c>
      <x:c r="P111" s="14" t="str">
        <x:v>Rico Garcia</x:v>
      </x:c>
      <x:c r="Q111" s="15" t="n">
        <x:v>1</x:v>
      </x:c>
      <x:c r="R111" s="14" t="str">
        <x:v>2026</x:v>
      </x:c>
      <x:c r="S111" s="14" t="n">
        <x:v>2026</x:v>
      </x:c>
      <x:c r="T111" s="14" t="n">
        <x:v>2026</x:v>
      </x:c>
      <x:c r="U111" s="14" t="str">
        <x:v>Explicit source first year retained</x:v>
      </x:c>
      <x:c r="V111" s="14" t="str">
        <x:v>Earliest supplied year is 2026.</x:v>
      </x:c>
      <x:c r="W111" s="14"/>
      <x:c r="X111" s="14" t="str">
        <x:v>Excluded: after 2025</x:v>
      </x:c>
      <x:c r="Y111" s="14"/>
      <x:c r="Z111" s="14" t="str">
        <x:v>The Good Ship Murder.docx</x:v>
      </x:c>
      <x:c r="AA1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Channel 5 / 5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1" s="14" t="str">
        <x:v>No qualifying BBC relationship</x:v>
      </x:c>
      <x:c r="AO111" s="14" t="str">
        <x:v>No</x:v>
      </x:c>
      <x:c r="AP111" s="14" t="str">
        <x:v>Out of scope</x:v>
      </x:c>
      <x:c r="AQ111" s="14" t="str">
        <x:v>No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24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0.041666666666666664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tt26346233|nm2396083|monty bloomberg</x:v>
      </x:c>
      <x:c r="B112" s="14" t="str">
        <x:v>04</x:v>
      </x:c>
      <x:c r="C112" s="14" t="str">
        <x:v>2023_IMDb_Cast_Lists_Batch_04(2).xlsx</x:v>
      </x:c>
      <x:c r="D112" s="14" t="str">
        <x:v>The Good Ship Murder</x:v>
      </x:c>
      <x:c r="E112" s="14" t="n">
        <x:v>142</x:v>
      </x:c>
      <x:c r="F112" s="14" t="str">
        <x:v>The Good Ship Murder</x:v>
      </x:c>
      <x:c r="G112" s="14" t="str">
        <x:v>tt26346233</x:v>
      </x:c>
      <x:c r="H112" s="14" t="n">
        <x:v>2023</x:v>
      </x:c>
      <x:c r="I112" s="14" t="n">
        <x:v>2023</x:v>
      </x:c>
      <x:c r="J112" s="14" t="str">
        <x:v>Post-study cohort</x:v>
      </x:c>
      <x:c r="K112" s="14"/>
      <x:c r="L112" s="14" t="str">
        <x:v>Not inherited</x:v>
      </x:c>
      <x:c r="M112" s="15" t="n">
        <x:v>135</x:v>
      </x:c>
      <x:c r="N112" s="14" t="str">
        <x:v>Dan Starkey</x:v>
      </x:c>
      <x:c r="O112" s="14" t="str">
        <x:v>nm2396083</x:v>
      </x:c>
      <x:c r="P112" s="14" t="str">
        <x:v>Monty Bloomberg</x:v>
      </x:c>
      <x:c r="Q112" s="15" t="n">
        <x:v>1</x:v>
      </x:c>
      <x:c r="R112" s="14" t="str">
        <x:v>2026</x:v>
      </x:c>
      <x:c r="S112" s="14" t="n">
        <x:v>2026</x:v>
      </x:c>
      <x:c r="T112" s="14" t="n">
        <x:v>2026</x:v>
      </x:c>
      <x:c r="U112" s="14" t="str">
        <x:v>Explicit source first year retained</x:v>
      </x:c>
      <x:c r="V112" s="14" t="str">
        <x:v>Earliest supplied year is 2026.</x:v>
      </x:c>
      <x:c r="W112" s="14"/>
      <x:c r="X112" s="14" t="str">
        <x:v>Excluded: after 2025</x:v>
      </x:c>
      <x:c r="Y112" s="14"/>
      <x:c r="Z112" s="14" t="str">
        <x:v>The Good Ship Murder.docx</x:v>
      </x:c>
      <x:c r="AA1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Channel 5 / 5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2" s="14" t="str">
        <x:v>No qualifying BBC relationship</x:v>
      </x:c>
      <x:c r="AO112" s="14" t="str">
        <x:v>No</x:v>
      </x:c>
      <x:c r="AP112" s="14" t="str">
        <x:v>Out of scope</x:v>
      </x:c>
      <x:c r="AQ112" s="14" t="str">
        <x:v>No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24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0.041666666666666664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tt26346233|nm0447849|alex staples</x:v>
      </x:c>
      <x:c r="B113" s="14" t="str">
        <x:v>04</x:v>
      </x:c>
      <x:c r="C113" s="14" t="str">
        <x:v>2023_IMDb_Cast_Lists_Batch_04(2).xlsx</x:v>
      </x:c>
      <x:c r="D113" s="14" t="str">
        <x:v>The Good Ship Murder</x:v>
      </x:c>
      <x:c r="E113" s="14" t="n">
        <x:v>143</x:v>
      </x:c>
      <x:c r="F113" s="14" t="str">
        <x:v>The Good Ship Murder</x:v>
      </x:c>
      <x:c r="G113" s="14" t="str">
        <x:v>tt26346233</x:v>
      </x:c>
      <x:c r="H113" s="14" t="n">
        <x:v>2023</x:v>
      </x:c>
      <x:c r="I113" s="14" t="n">
        <x:v>2023</x:v>
      </x:c>
      <x:c r="J113" s="14" t="str">
        <x:v>Post-study cohort</x:v>
      </x:c>
      <x:c r="K113" s="14"/>
      <x:c r="L113" s="14" t="str">
        <x:v>Not inherited</x:v>
      </x:c>
      <x:c r="M113" s="15" t="n">
        <x:v>136</x:v>
      </x:c>
      <x:c r="N113" s="14" t="str">
        <x:v>Matt Kennard</x:v>
      </x:c>
      <x:c r="O113" s="14" t="str">
        <x:v>nm0447849</x:v>
      </x:c>
      <x:c r="P113" s="14" t="str">
        <x:v>Alex Staples</x:v>
      </x:c>
      <x:c r="Q113" s="15" t="n">
        <x:v>1</x:v>
      </x:c>
      <x:c r="R113" s="14" t="str">
        <x:v>2026</x:v>
      </x:c>
      <x:c r="S113" s="14" t="n">
        <x:v>2026</x:v>
      </x:c>
      <x:c r="T113" s="14" t="n">
        <x:v>2026</x:v>
      </x:c>
      <x:c r="U113" s="14" t="str">
        <x:v>Explicit source first year retained</x:v>
      </x:c>
      <x:c r="V113" s="14" t="str">
        <x:v>Earliest supplied year is 2026.</x:v>
      </x:c>
      <x:c r="W113" s="14"/>
      <x:c r="X113" s="14" t="str">
        <x:v>Excluded: after 2025</x:v>
      </x:c>
      <x:c r="Y113" s="14"/>
      <x:c r="Z113" s="14" t="str">
        <x:v>The Good Ship Murder.docx</x:v>
      </x:c>
      <x:c r="AA1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Channel 5 / 5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24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0.041666666666666664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tt26346233|nm3862423|inspector demir badem</x:v>
      </x:c>
      <x:c r="B114" s="14" t="str">
        <x:v>04</x:v>
      </x:c>
      <x:c r="C114" s="14" t="str">
        <x:v>2023_IMDb_Cast_Lists_Batch_04(2).xlsx</x:v>
      </x:c>
      <x:c r="D114" s="14" t="str">
        <x:v>The Good Ship Murder</x:v>
      </x:c>
      <x:c r="E114" s="14" t="n">
        <x:v>144</x:v>
      </x:c>
      <x:c r="F114" s="14" t="str">
        <x:v>The Good Ship Murder</x:v>
      </x:c>
      <x:c r="G114" s="14" t="str">
        <x:v>tt26346233</x:v>
      </x:c>
      <x:c r="H114" s="14" t="n">
        <x:v>2023</x:v>
      </x:c>
      <x:c r="I114" s="14" t="n">
        <x:v>2023</x:v>
      </x:c>
      <x:c r="J114" s="14" t="str">
        <x:v>Post-study cohort</x:v>
      </x:c>
      <x:c r="K114" s="14"/>
      <x:c r="L114" s="14" t="str">
        <x:v>Not inherited</x:v>
      </x:c>
      <x:c r="M114" s="15" t="n">
        <x:v>137</x:v>
      </x:c>
      <x:c r="N114" s="14" t="str">
        <x:v>John-Paul Pace</x:v>
      </x:c>
      <x:c r="O114" s="14" t="str">
        <x:v>nm3862423</x:v>
      </x:c>
      <x:c r="P114" s="14" t="str">
        <x:v>Inspector Demir Badem</x:v>
      </x:c>
      <x:c r="Q114" s="15" t="n">
        <x:v>1</x:v>
      </x:c>
      <x:c r="R114" s="14" t="str">
        <x:v>2026</x:v>
      </x:c>
      <x:c r="S114" s="14" t="n">
        <x:v>2026</x:v>
      </x:c>
      <x:c r="T114" s="14" t="n">
        <x:v>2026</x:v>
      </x:c>
      <x:c r="U114" s="14" t="str">
        <x:v>Explicit source first year retained</x:v>
      </x:c>
      <x:c r="V114" s="14" t="str">
        <x:v>Earliest supplied year is 2026.</x:v>
      </x:c>
      <x:c r="W114" s="14"/>
      <x:c r="X114" s="14" t="str">
        <x:v>Excluded: after 2025</x:v>
      </x:c>
      <x:c r="Y114" s="14"/>
      <x:c r="Z114" s="14" t="str">
        <x:v>The Good Ship Murder.docx</x:v>
      </x:c>
      <x:c r="AA1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Channel 5 / 5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24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0.041666666666666664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tt26346233|nm7537224|emiliano gonçalves</x:v>
      </x:c>
      <x:c r="B115" s="14" t="str">
        <x:v>04</x:v>
      </x:c>
      <x:c r="C115" s="14" t="str">
        <x:v>2023_IMDb_Cast_Lists_Batch_04(2).xlsx</x:v>
      </x:c>
      <x:c r="D115" s="14" t="str">
        <x:v>The Good Ship Murder</x:v>
      </x:c>
      <x:c r="E115" s="14" t="n">
        <x:v>145</x:v>
      </x:c>
      <x:c r="F115" s="14" t="str">
        <x:v>The Good Ship Murder</x:v>
      </x:c>
      <x:c r="G115" s="14" t="str">
        <x:v>tt26346233</x:v>
      </x:c>
      <x:c r="H115" s="14" t="n">
        <x:v>2023</x:v>
      </x:c>
      <x:c r="I115" s="14" t="n">
        <x:v>2023</x:v>
      </x:c>
      <x:c r="J115" s="14" t="str">
        <x:v>Post-study cohort</x:v>
      </x:c>
      <x:c r="K115" s="14"/>
      <x:c r="L115" s="14" t="str">
        <x:v>Not inherited</x:v>
      </x:c>
      <x:c r="M115" s="15" t="n">
        <x:v>138</x:v>
      </x:c>
      <x:c r="N115" s="14" t="str">
        <x:v>Shane Rowe</x:v>
      </x:c>
      <x:c r="O115" s="14" t="str">
        <x:v>nm7537224</x:v>
      </x:c>
      <x:c r="P115" s="14" t="str">
        <x:v>Emiliano Gonçalves</x:v>
      </x:c>
      <x:c r="Q115" s="15" t="n">
        <x:v>1</x:v>
      </x:c>
      <x:c r="R115" s="14" t="str">
        <x:v>2026</x:v>
      </x:c>
      <x:c r="S115" s="14" t="n">
        <x:v>2026</x:v>
      </x:c>
      <x:c r="T115" s="14" t="n">
        <x:v>2026</x:v>
      </x:c>
      <x:c r="U115" s="14" t="str">
        <x:v>Explicit source first year retained</x:v>
      </x:c>
      <x:c r="V115" s="14" t="str">
        <x:v>Earliest supplied year is 2026.</x:v>
      </x:c>
      <x:c r="W115" s="14"/>
      <x:c r="X115" s="14" t="str">
        <x:v>Excluded: after 2025</x:v>
      </x:c>
      <x:c r="Y115" s="14"/>
      <x:c r="Z115" s="14" t="str">
        <x:v>The Good Ship Murder.docx</x:v>
      </x:c>
      <x:c r="AA1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Channel 5 / 5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24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0.041666666666666664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tt26346233|nm11739906|inspector maria morales</x:v>
      </x:c>
      <x:c r="B116" s="14" t="str">
        <x:v>04</x:v>
      </x:c>
      <x:c r="C116" s="14" t="str">
        <x:v>2023_IMDb_Cast_Lists_Batch_04(2).xlsx</x:v>
      </x:c>
      <x:c r="D116" s="14" t="str">
        <x:v>The Good Ship Murder</x:v>
      </x:c>
      <x:c r="E116" s="14" t="n">
        <x:v>149</x:v>
      </x:c>
      <x:c r="F116" s="14" t="str">
        <x:v>The Good Ship Murder</x:v>
      </x:c>
      <x:c r="G116" s="14" t="str">
        <x:v>tt26346233</x:v>
      </x:c>
      <x:c r="H116" s="14" t="n">
        <x:v>2023</x:v>
      </x:c>
      <x:c r="I116" s="14" t="n">
        <x:v>2023</x:v>
      </x:c>
      <x:c r="J116" s="14" t="str">
        <x:v>Post-study cohort</x:v>
      </x:c>
      <x:c r="K116" s="14"/>
      <x:c r="L116" s="14" t="str">
        <x:v>Not inherited</x:v>
      </x:c>
      <x:c r="M116" s="15" t="n">
        <x:v>142</x:v>
      </x:c>
      <x:c r="N116" s="14" t="str">
        <x:v>Tina Rizzo</x:v>
      </x:c>
      <x:c r="O116" s="14" t="str">
        <x:v>nm11739906</x:v>
      </x:c>
      <x:c r="P116" s="14" t="str">
        <x:v>Inspector Maria Morales</x:v>
      </x:c>
      <x:c r="Q116" s="15" t="n">
        <x:v>1</x:v>
      </x:c>
      <x:c r="R116" s="14" t="str">
        <x:v>2026</x:v>
      </x:c>
      <x:c r="S116" s="14" t="n">
        <x:v>2026</x:v>
      </x:c>
      <x:c r="T116" s="14" t="n">
        <x:v>2026</x:v>
      </x:c>
      <x:c r="U116" s="14" t="str">
        <x:v>Explicit source first year retained</x:v>
      </x:c>
      <x:c r="V116" s="14" t="str">
        <x:v>Earliest supplied year is 2026.</x:v>
      </x:c>
      <x:c r="W116" s="14"/>
      <x:c r="X116" s="14" t="str">
        <x:v>Excluded: after 2025</x:v>
      </x:c>
      <x:c r="Y116" s="14"/>
      <x:c r="Z116" s="14" t="str">
        <x:v>The Good Ship Murder.docx</x:v>
      </x:c>
      <x:c r="AA11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Channel 5 / 5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24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0.041666666666666664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tt26346233|nm9231715|angel gonzález</x:v>
      </x:c>
      <x:c r="B117" s="14" t="str">
        <x:v>04</x:v>
      </x:c>
      <x:c r="C117" s="14" t="str">
        <x:v>2023_IMDb_Cast_Lists_Batch_04(2).xlsx</x:v>
      </x:c>
      <x:c r="D117" s="14" t="str">
        <x:v>The Good Ship Murder</x:v>
      </x:c>
      <x:c r="E117" s="14" t="n">
        <x:v>150</x:v>
      </x:c>
      <x:c r="F117" s="14" t="str">
        <x:v>The Good Ship Murder</x:v>
      </x:c>
      <x:c r="G117" s="14" t="str">
        <x:v>tt26346233</x:v>
      </x:c>
      <x:c r="H117" s="14" t="n">
        <x:v>2023</x:v>
      </x:c>
      <x:c r="I117" s="14" t="n">
        <x:v>2023</x:v>
      </x:c>
      <x:c r="J117" s="14" t="str">
        <x:v>Post-study cohort</x:v>
      </x:c>
      <x:c r="K117" s="14"/>
      <x:c r="L117" s="14" t="str">
        <x:v>Not inherited</x:v>
      </x:c>
      <x:c r="M117" s="15" t="n">
        <x:v>143</x:v>
      </x:c>
      <x:c r="N117" s="14" t="str">
        <x:v>Jan Zammit</x:v>
      </x:c>
      <x:c r="O117" s="14" t="str">
        <x:v>nm9231715</x:v>
      </x:c>
      <x:c r="P117" s="14" t="str">
        <x:v>Angel González</x:v>
      </x:c>
      <x:c r="Q117" s="15" t="n">
        <x:v>1</x:v>
      </x:c>
      <x:c r="R117" s="14" t="str">
        <x:v>2026</x:v>
      </x:c>
      <x:c r="S117" s="14" t="n">
        <x:v>2026</x:v>
      </x:c>
      <x:c r="T117" s="14" t="n">
        <x:v>2026</x:v>
      </x:c>
      <x:c r="U117" s="14" t="str">
        <x:v>Explicit source first year retained</x:v>
      </x:c>
      <x:c r="V117" s="14" t="str">
        <x:v>Earliest supplied year is 2026.</x:v>
      </x:c>
      <x:c r="W117" s="14"/>
      <x:c r="X117" s="14" t="str">
        <x:v>Excluded: after 2025</x:v>
      </x:c>
      <x:c r="Y117" s="14"/>
      <x:c r="Z117" s="14" t="str">
        <x:v>The Good Ship Murder.docx</x:v>
      </x:c>
      <x:c r="AA11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Channel 5 / 5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24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1</x:v>
      </x:c>
      <x:c r="BS117" s="16" t="n">
        <x:v>0.041666666666666664</x:v>
      </x:c>
      <x:c r="BT117" s="14" t="str">
        <x:v>One episode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tt26346233|nm6235944|lucia diaz</x:v>
      </x:c>
      <x:c r="B118" s="14" t="str">
        <x:v>04</x:v>
      </x:c>
      <x:c r="C118" s="14" t="str">
        <x:v>2023_IMDb_Cast_Lists_Batch_04(2).xlsx</x:v>
      </x:c>
      <x:c r="D118" s="14" t="str">
        <x:v>The Good Ship Murder</x:v>
      </x:c>
      <x:c r="E118" s="14" t="n">
        <x:v>152</x:v>
      </x:c>
      <x:c r="F118" s="14" t="str">
        <x:v>The Good Ship Murder</x:v>
      </x:c>
      <x:c r="G118" s="14" t="str">
        <x:v>tt26346233</x:v>
      </x:c>
      <x:c r="H118" s="14" t="n">
        <x:v>2023</x:v>
      </x:c>
      <x:c r="I118" s="14" t="n">
        <x:v>2023</x:v>
      </x:c>
      <x:c r="J118" s="14" t="str">
        <x:v>Post-study cohort</x:v>
      </x:c>
      <x:c r="K118" s="14"/>
      <x:c r="L118" s="14" t="str">
        <x:v>Not inherited</x:v>
      </x:c>
      <x:c r="M118" s="15" t="n">
        <x:v>145</x:v>
      </x:c>
      <x:c r="N118" s="14" t="str">
        <x:v>Tania Watson</x:v>
      </x:c>
      <x:c r="O118" s="14" t="str">
        <x:v>nm6235944</x:v>
      </x:c>
      <x:c r="P118" s="14" t="str">
        <x:v>Lucia Diaz</x:v>
      </x:c>
      <x:c r="Q118" s="15" t="n">
        <x:v>1</x:v>
      </x:c>
      <x:c r="R118" s="14" t="str">
        <x:v>2026</x:v>
      </x:c>
      <x:c r="S118" s="14" t="n">
        <x:v>2026</x:v>
      </x:c>
      <x:c r="T118" s="14" t="n">
        <x:v>2026</x:v>
      </x:c>
      <x:c r="U118" s="14" t="str">
        <x:v>Explicit source first year retained</x:v>
      </x:c>
      <x:c r="V118" s="14" t="str">
        <x:v>Earliest supplied year is 2026.</x:v>
      </x:c>
      <x:c r="W118" s="14"/>
      <x:c r="X118" s="14" t="str">
        <x:v>Excluded: after 2025</x:v>
      </x:c>
      <x:c r="Y118" s="14"/>
      <x:c r="Z118" s="14" t="str">
        <x:v>The Good Ship Murder.docx</x:v>
      </x:c>
      <x:c r="AA11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Channel 5 / 5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24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0.041666666666666664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tt26346233|nm4131298|market passerby</x:v>
      </x:c>
      <x:c r="B119" s="14" t="str">
        <x:v>04</x:v>
      </x:c>
      <x:c r="C119" s="14" t="str">
        <x:v>2023_IMDb_Cast_Lists_Batch_04(2).xlsx</x:v>
      </x:c>
      <x:c r="D119" s="14" t="str">
        <x:v>The Good Ship Murder</x:v>
      </x:c>
      <x:c r="E119" s="14" t="n">
        <x:v>154</x:v>
      </x:c>
      <x:c r="F119" s="14" t="str">
        <x:v>The Good Ship Murder</x:v>
      </x:c>
      <x:c r="G119" s="14" t="str">
        <x:v>tt26346233</x:v>
      </x:c>
      <x:c r="H119" s="14" t="n">
        <x:v>2023</x:v>
      </x:c>
      <x:c r="I119" s="14" t="n">
        <x:v>2023</x:v>
      </x:c>
      <x:c r="J119" s="14" t="str">
        <x:v>Post-study cohort</x:v>
      </x:c>
      <x:c r="K119" s="14"/>
      <x:c r="L119" s="14" t="str">
        <x:v>Not inherited</x:v>
      </x:c>
      <x:c r="M119" s="15" t="n">
        <x:v>147</x:v>
      </x:c>
      <x:c r="N119" s="14" t="str">
        <x:v>Matthew Charlery-Smith</x:v>
      </x:c>
      <x:c r="O119" s="14" t="str">
        <x:v>nm4131298</x:v>
      </x:c>
      <x:c r="P119" s="14" t="str">
        <x:v>Market Passerby</x:v>
      </x:c>
      <x:c r="Q119" s="15" t="n">
        <x:v>1</x:v>
      </x:c>
      <x:c r="R119" s="14" t="str">
        <x:v>2026</x:v>
      </x:c>
      <x:c r="S119" s="14" t="n">
        <x:v>2026</x:v>
      </x:c>
      <x:c r="T119" s="14" t="n">
        <x:v>2026</x:v>
      </x:c>
      <x:c r="U119" s="14" t="str">
        <x:v>Explicit source first year retained</x:v>
      </x:c>
      <x:c r="V119" s="14" t="str">
        <x:v>Earliest supplied year is 2026.</x:v>
      </x:c>
      <x:c r="W119" s="14"/>
      <x:c r="X119" s="14" t="str">
        <x:v>Excluded: after 2025</x:v>
      </x:c>
      <x:c r="Y119" s="14"/>
      <x:c r="Z119" s="14" t="str">
        <x:v>The Good Ship Murder.docx</x:v>
      </x:c>
      <x:c r="AA11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Channel 5 / 5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24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0.041666666666666664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tt15792042|nm7863184|hospital worker sally</x:v>
      </x:c>
      <x:c r="B120" s="14" t="str">
        <x:v>01</x:v>
      </x:c>
      <x:c r="C120" s="14" t="str">
        <x:v>2022_IMDb_Cast_Lists_Batch_01(1).xlsx</x:v>
      </x:c>
      <x:c r="D120" s="14" t="str">
        <x:v>Am I Being Unreasonable?</x:v>
      </x:c>
      <x:c r="E120" s="14" t="n">
        <x:v>50</x:v>
      </x:c>
      <x:c r="F120" s="14" t="str">
        <x:v>Am I Being Unreasonable?</x:v>
      </x:c>
      <x:c r="G120" s="14" t="str">
        <x:v>tt15792042</x:v>
      </x:c>
      <x:c r="H120" s="14" t="n">
        <x:v>2022</x:v>
      </x:c>
      <x:c r="I120" s="14" t="n">
        <x:v>2023</x:v>
      </x:c>
      <x:c r="J120" s="14" t="str">
        <x:v>Post-study cohort</x:v>
      </x:c>
      <x:c r="K120" s="14" t="n">
        <x:v>2022</x:v>
      </x:c>
      <x:c r="L120" s="14" t="str">
        <x:v>Not inherited</x:v>
      </x:c>
      <x:c r="M120" s="15" t="n">
        <x:v>43</x:v>
      </x:c>
      <x:c r="N120" s="14" t="str">
        <x:v>Shermin Hassan</x:v>
      </x:c>
      <x:c r="O120" s="14" t="str">
        <x:v>nm7863184</x:v>
      </x:c>
      <x:c r="P120" s="14" t="str">
        <x:v>Hospital Worker Sally</x:v>
      </x:c>
      <x:c r="Q120" s="15" t="n">
        <x:v>1</x:v>
      </x:c>
      <x:c r="R120" s="14" t="str">
        <x:v>2026</x:v>
      </x:c>
      <x:c r="S120" s="14" t="n">
        <x:v>2026</x:v>
      </x:c>
      <x:c r="T120" s="14" t="n">
        <x:v>2026</x:v>
      </x:c>
      <x:c r="U120" s="14" t="str">
        <x:v>Explicit source first year retained</x:v>
      </x:c>
      <x:c r="V120" s="14" t="str">
        <x:v>Earliest supplied year is 2026.</x:v>
      </x:c>
      <x:c r="W120" s="14"/>
      <x:c r="X120" s="14" t="str">
        <x:v>Excluded: after 2025</x:v>
      </x:c>
      <x:c r="Y120" s="14"/>
      <x:c r="Z120" s="14" t="str">
        <x:v>Am I Being Unreasonable.docx</x:v>
      </x:c>
      <x:c r="AA120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BBC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120" s="14" t="str">
        <x:v>BBC public-service commission</x:v>
      </x:c>
      <x:c r="AO120" s="14" t="str">
        <x:v>Yes</x:v>
      </x:c>
      <x:c r="AP120" s="14" t="str">
        <x:v>Direct BBC public-service scope</x:v>
      </x:c>
      <x:c r="AQ120" s="14" t="str">
        <x:v>Yes</x:v>
      </x:c>
      <x:c r="AR120" s="14" t="str">
        <x:v>Resolved from master register</x:v>
      </x:c>
      <x:c r="AS120" s="14" t="str">
        <x:v>No established-register match</x:v>
      </x:c>
      <x:c r="AT120" s="14"/>
      <x:c r="AU120" s="14"/>
      <x:c r="AV120" s="14" t="str">
        <x:v>No established apparent-disability match</x:v>
      </x:c>
      <x:c r="AW120" s="14"/>
      <x:c r="AX120" s="14" t="str">
        <x:v>No</x:v>
      </x:c>
      <x:c r="AY120" s="14" t="str">
        <x:v>Unmatched</x:v>
      </x:c>
      <x:c r="AZ120" s="14" t="str">
        <x:v>Final supplied register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12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0.08333333333333333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tt20224612|nm13515052|gemma donaldson</x:v>
      </x:c>
      <x:c r="B121" s="14" t="str">
        <x:v>02</x:v>
      </x:c>
      <x:c r="C121" s="14" t="str">
        <x:v>2022_IMDb_Cast_Lists_Batch_02(1).xlsx</x:v>
      </x:c>
      <x:c r="D121" s="14" t="str">
        <x:v>Granite Harbour</x:v>
      </x:c>
      <x:c r="E121" s="14" t="n">
        <x:v>24</x:v>
      </x:c>
      <x:c r="F121" s="14" t="str">
        <x:v>Granite Harbour</x:v>
      </x:c>
      <x:c r="G121" s="14" t="str">
        <x:v>tt20224612</x:v>
      </x:c>
      <x:c r="H121" s="14" t="n">
        <x:v>2022</x:v>
      </x:c>
      <x:c r="I121" s="14" t="n">
        <x:v>2023</x:v>
      </x:c>
      <x:c r="J121" s="14" t="str">
        <x:v>Post-study cohort</x:v>
      </x:c>
      <x:c r="K121" s="14" t="n">
        <x:v>2022</x:v>
      </x:c>
      <x:c r="L121" s="14" t="str">
        <x:v>Not inherited</x:v>
      </x:c>
      <x:c r="M121" s="15" t="n">
        <x:v>17</x:v>
      </x:c>
      <x:c r="N121" s="14" t="str">
        <x:v>Morgan Woods</x:v>
      </x:c>
      <x:c r="O121" s="14" t="str">
        <x:v>nm13515052</x:v>
      </x:c>
      <x:c r="P121" s="14" t="str">
        <x:v>Gemma Donaldson</x:v>
      </x:c>
      <x:c r="Q121" s="15" t="n">
        <x:v>3</x:v>
      </x:c>
      <x:c r="R121" s="14" t="str">
        <x:v>2026</x:v>
      </x:c>
      <x:c r="S121" s="14" t="n">
        <x:v>2026</x:v>
      </x:c>
      <x:c r="T121" s="14" t="n">
        <x:v>2026</x:v>
      </x:c>
      <x:c r="U121" s="14" t="str">
        <x:v>Explicit source first year retained</x:v>
      </x:c>
      <x:c r="V121" s="14" t="str">
        <x:v>Earliest supplied year is 2026.</x:v>
      </x:c>
      <x:c r="W121" s="14"/>
      <x:c r="X121" s="14" t="str">
        <x:v>Excluded: after 2025</x:v>
      </x:c>
      <x:c r="Y121" s="14"/>
      <x:c r="Z121" s="14" t="str">
        <x:v>Granite Harbour.docx</x:v>
      </x:c>
      <x:c r="AA12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BBC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HYPERLINK("https://en.wikipedia.org/wiki/Granite_Harbour","Open source")</x:f>
        <x:v>HYPERLINK is not implemented. linkLocation=https://en.wikipedia.org/wiki/Granite_Harbour, friendlyName=Open source</x:v>
      </x:c>
      <x:c r="AN121" s="14" t="str">
        <x:v>BBC public-service commission</x:v>
      </x:c>
      <x:c r="AO121" s="14" t="str">
        <x:v>Yes</x:v>
      </x:c>
      <x:c r="AP121" s="14" t="str">
        <x:v>Direct BBC public-service scope</x:v>
      </x:c>
      <x:c r="AQ121" s="14" t="str">
        <x:v>Yes</x:v>
      </x:c>
      <x:c r="AR121" s="14" t="str">
        <x:v>Resolved from master register</x:v>
      </x:c>
      <x:c r="AS121" s="14" t="str">
        <x:v>No established-register match</x:v>
      </x:c>
      <x:c r="AT121" s="14"/>
      <x:c r="AU121" s="14"/>
      <x:c r="AV121" s="14" t="str">
        <x:v>No established apparent-disability match</x:v>
      </x:c>
      <x:c r="AW121" s="14"/>
      <x:c r="AX121" s="14" t="str">
        <x:v>No</x:v>
      </x:c>
      <x:c r="AY121" s="14" t="str">
        <x:v>Unmatched</x:v>
      </x:c>
      <x:c r="AZ121" s="14" t="str">
        <x:v>Final supplied register</x:v>
      </x:c>
      <x:c r="BA121" s="14" t="str">
        <x:v>Absence from the register is not evidence that the performer is not disabled.</x:v>
      </x:c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9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3</x:v>
      </x:c>
      <x:c r="BS121" s="16" t="n">
        <x:v>0.3333333333333333</x:v>
      </x:c>
      <x:c r="BT121" s="14" t="str">
        <x:v>Minority of episodes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tt20224612|nm0533258|richard loughty</x:v>
      </x:c>
      <x:c r="B122" s="14" t="str">
        <x:v>02</x:v>
      </x:c>
      <x:c r="C122" s="14" t="str">
        <x:v>2022_IMDb_Cast_Lists_Batch_02(1).xlsx</x:v>
      </x:c>
      <x:c r="D122" s="14" t="str">
        <x:v>Granite Harbour</x:v>
      </x:c>
      <x:c r="E122" s="14" t="n">
        <x:v>33</x:v>
      </x:c>
      <x:c r="F122" s="14" t="str">
        <x:v>Granite Harbour</x:v>
      </x:c>
      <x:c r="G122" s="14" t="str">
        <x:v>tt20224612</x:v>
      </x:c>
      <x:c r="H122" s="14" t="n">
        <x:v>2022</x:v>
      </x:c>
      <x:c r="I122" s="14" t="n">
        <x:v>2023</x:v>
      </x:c>
      <x:c r="J122" s="14" t="str">
        <x:v>Post-study cohort</x:v>
      </x:c>
      <x:c r="K122" s="14" t="n">
        <x:v>2022</x:v>
      </x:c>
      <x:c r="L122" s="14" t="str">
        <x:v>Not inherited</x:v>
      </x:c>
      <x:c r="M122" s="15" t="n">
        <x:v>26</x:v>
      </x:c>
      <x:c r="N122" s="14" t="str">
        <x:v>Alastair Mackenzie</x:v>
      </x:c>
      <x:c r="O122" s="14" t="str">
        <x:v>nm0533258</x:v>
      </x:c>
      <x:c r="P122" s="14" t="str">
        <x:v>Richard Loughty</x:v>
      </x:c>
      <x:c r="Q122" s="15" t="n">
        <x:v>3</x:v>
      </x:c>
      <x:c r="R122" s="14" t="str">
        <x:v>2026</x:v>
      </x:c>
      <x:c r="S122" s="14" t="n">
        <x:v>2026</x:v>
      </x:c>
      <x:c r="T122" s="14" t="n">
        <x:v>2026</x:v>
      </x:c>
      <x:c r="U122" s="14" t="str">
        <x:v>Explicit source first year retained</x:v>
      </x:c>
      <x:c r="V122" s="14" t="str">
        <x:v>Earliest supplied year is 2026.</x:v>
      </x:c>
      <x:c r="W122" s="14"/>
      <x:c r="X122" s="14" t="str">
        <x:v>Excluded: after 2025</x:v>
      </x:c>
      <x:c r="Y122" s="14"/>
      <x:c r="Z122" s="14" t="str">
        <x:v>Granite Harbour.docx</x:v>
      </x:c>
      <x:c r="AA12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BBC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HYPERLINK("https://en.wikipedia.org/wiki/Granite_Harbour","Open source")</x:f>
        <x:v>HYPERLINK is not implemented. linkLocation=https://en.wikipedia.org/wiki/Granite_Harbour, friendlyName=Open source</x:v>
      </x:c>
      <x:c r="AN122" s="14" t="str">
        <x:v>BBC public-service commission</x:v>
      </x:c>
      <x:c r="AO122" s="14" t="str">
        <x:v>Yes</x:v>
      </x:c>
      <x:c r="AP122" s="14" t="str">
        <x:v>Direct BBC public-service scope</x:v>
      </x:c>
      <x:c r="AQ122" s="14" t="str">
        <x:v>Yes</x:v>
      </x:c>
      <x:c r="AR122" s="14" t="str">
        <x:v>Resolved from master register</x:v>
      </x:c>
      <x:c r="AS122" s="14" t="str">
        <x:v>No established-register match</x:v>
      </x:c>
      <x:c r="AT122" s="14"/>
      <x:c r="AU122" s="14"/>
      <x:c r="AV122" s="14" t="str">
        <x:v>No established apparent-disability match</x:v>
      </x:c>
      <x:c r="AW122" s="14"/>
      <x:c r="AX122" s="14" t="str">
        <x:v>No</x:v>
      </x:c>
      <x:c r="AY122" s="14" t="str">
        <x:v>Unmatched</x:v>
      </x:c>
      <x:c r="AZ122" s="14" t="str">
        <x:v>Final supplied register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9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3</x:v>
      </x:c>
      <x:c r="BS122" s="16" t="n">
        <x:v>0.3333333333333333</x:v>
      </x:c>
      <x:c r="BT122" s="14" t="str">
        <x:v>Minority of episodes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tt20224612|nm0352705|rose gough</x:v>
      </x:c>
      <x:c r="B123" s="14" t="str">
        <x:v>02</x:v>
      </x:c>
      <x:c r="C123" s="14" t="str">
        <x:v>2022_IMDb_Cast_Lists_Batch_02(1).xlsx</x:v>
      </x:c>
      <x:c r="D123" s="14" t="str">
        <x:v>Granite Harbour</x:v>
      </x:c>
      <x:c r="E123" s="14" t="n">
        <x:v>34</x:v>
      </x:c>
      <x:c r="F123" s="14" t="str">
        <x:v>Granite Harbour</x:v>
      </x:c>
      <x:c r="G123" s="14" t="str">
        <x:v>tt20224612</x:v>
      </x:c>
      <x:c r="H123" s="14" t="n">
        <x:v>2022</x:v>
      </x:c>
      <x:c r="I123" s="14" t="n">
        <x:v>2023</x:v>
      </x:c>
      <x:c r="J123" s="14" t="str">
        <x:v>Post-study cohort</x:v>
      </x:c>
      <x:c r="K123" s="14" t="n">
        <x:v>2022</x:v>
      </x:c>
      <x:c r="L123" s="14" t="str">
        <x:v>Not inherited</x:v>
      </x:c>
      <x:c r="M123" s="15" t="n">
        <x:v>27</x:v>
      </x:c>
      <x:c r="N123" s="14" t="str">
        <x:v>Ellie Haddington</x:v>
      </x:c>
      <x:c r="O123" s="14" t="str">
        <x:v>nm0352705</x:v>
      </x:c>
      <x:c r="P123" s="14" t="str">
        <x:v>Rose Gough</x:v>
      </x:c>
      <x:c r="Q123" s="15" t="n">
        <x:v>3</x:v>
      </x:c>
      <x:c r="R123" s="14" t="str">
        <x:v>2026</x:v>
      </x:c>
      <x:c r="S123" s="14" t="n">
        <x:v>2026</x:v>
      </x:c>
      <x:c r="T123" s="14" t="n">
        <x:v>2026</x:v>
      </x:c>
      <x:c r="U123" s="14" t="str">
        <x:v>Explicit source first year retained</x:v>
      </x:c>
      <x:c r="V123" s="14" t="str">
        <x:v>Earliest supplied year is 2026.</x:v>
      </x:c>
      <x:c r="W123" s="14"/>
      <x:c r="X123" s="14" t="str">
        <x:v>Excluded: after 2025</x:v>
      </x:c>
      <x:c r="Y123" s="14"/>
      <x:c r="Z123" s="14" t="str">
        <x:v>Granite Harbour.docx</x:v>
      </x:c>
      <x:c r="AA12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BBC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HYPERLINK("https://en.wikipedia.org/wiki/Granite_Harbour","Open source")</x:f>
        <x:v>HYPERLINK is not implemented. linkLocation=https://en.wikipedia.org/wiki/Granite_Harbour, friendlyName=Open source</x:v>
      </x:c>
      <x:c r="AN123" s="14" t="str">
        <x:v>BBC public-service commission</x:v>
      </x:c>
      <x:c r="AO123" s="14" t="str">
        <x:v>Yes</x:v>
      </x:c>
      <x:c r="AP123" s="14" t="str">
        <x:v>Direct BBC public-service scope</x:v>
      </x:c>
      <x:c r="AQ123" s="14" t="str">
        <x:v>Yes</x:v>
      </x:c>
      <x:c r="AR123" s="14" t="str">
        <x:v>Resolved from master register</x:v>
      </x:c>
      <x:c r="AS123" s="14" t="str">
        <x:v>No established-register match</x:v>
      </x:c>
      <x:c r="AT123" s="14"/>
      <x:c r="AU123" s="14"/>
      <x:c r="AV123" s="14" t="str">
        <x:v>No established apparent-disability match</x:v>
      </x:c>
      <x:c r="AW123" s="14"/>
      <x:c r="AX123" s="14" t="str">
        <x:v>No</x:v>
      </x:c>
      <x:c r="AY123" s="14" t="str">
        <x:v>Unmatched</x:v>
      </x:c>
      <x:c r="AZ123" s="14" t="str">
        <x:v>Final supplied register</x:v>
      </x:c>
      <x:c r="BA123" s="14" t="str">
        <x:v>Absence from the register is not evidence that the performer is not disabled.</x:v>
      </x:c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9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3</x:v>
      </x:c>
      <x:c r="BS123" s="16" t="n">
        <x:v>0.3333333333333333</x:v>
      </x:c>
      <x:c r="BT123" s="14" t="str">
        <x:v>Minority of episodes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tt20224612|nm0329947|chief constable graeme willis</x:v>
      </x:c>
      <x:c r="B124" s="14" t="str">
        <x:v>02</x:v>
      </x:c>
      <x:c r="C124" s="14" t="str">
        <x:v>2022_IMDb_Cast_Lists_Batch_02(1).xlsx</x:v>
      </x:c>
      <x:c r="D124" s="14" t="str">
        <x:v>Granite Harbour</x:v>
      </x:c>
      <x:c r="E124" s="14" t="n">
        <x:v>35</x:v>
      </x:c>
      <x:c r="F124" s="14" t="str">
        <x:v>Granite Harbour</x:v>
      </x:c>
      <x:c r="G124" s="14" t="str">
        <x:v>tt20224612</x:v>
      </x:c>
      <x:c r="H124" s="14" t="n">
        <x:v>2022</x:v>
      </x:c>
      <x:c r="I124" s="14" t="n">
        <x:v>2023</x:v>
      </x:c>
      <x:c r="J124" s="14" t="str">
        <x:v>Post-study cohort</x:v>
      </x:c>
      <x:c r="K124" s="14" t="n">
        <x:v>2022</x:v>
      </x:c>
      <x:c r="L124" s="14" t="str">
        <x:v>Not inherited</x:v>
      </x:c>
      <x:c r="M124" s="15" t="n">
        <x:v>28</x:v>
      </x:c>
      <x:c r="N124" s="14" t="str">
        <x:v>John Gordon Sinclair</x:v>
      </x:c>
      <x:c r="O124" s="14" t="str">
        <x:v>nm0329947</x:v>
      </x:c>
      <x:c r="P124" s="14" t="str">
        <x:v>Chief Constable Graeme Willis</x:v>
      </x:c>
      <x:c r="Q124" s="15" t="n">
        <x:v>3</x:v>
      </x:c>
      <x:c r="R124" s="14" t="str">
        <x:v>2026</x:v>
      </x:c>
      <x:c r="S124" s="14" t="n">
        <x:v>2026</x:v>
      </x:c>
      <x:c r="T124" s="14" t="n">
        <x:v>2026</x:v>
      </x:c>
      <x:c r="U124" s="14" t="str">
        <x:v>Explicit source first year retained</x:v>
      </x:c>
      <x:c r="V124" s="14" t="str">
        <x:v>Earliest supplied year is 2026.</x:v>
      </x:c>
      <x:c r="W124" s="14"/>
      <x:c r="X124" s="14" t="str">
        <x:v>Excluded: after 2025</x:v>
      </x:c>
      <x:c r="Y124" s="14"/>
      <x:c r="Z124" s="14" t="str">
        <x:v>Granite Harbour.docx</x:v>
      </x:c>
      <x:c r="AA12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BBC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HYPERLINK("https://en.wikipedia.org/wiki/Granite_Harbour","Open source")</x:f>
        <x:v>HYPERLINK is not implemented. linkLocation=https://en.wikipedia.org/wiki/Granite_Harbour, friendlyName=Open source</x:v>
      </x:c>
      <x:c r="AN124" s="14" t="str">
        <x:v>BBC public-service commission</x:v>
      </x:c>
      <x:c r="AO124" s="14" t="str">
        <x:v>Yes</x:v>
      </x:c>
      <x:c r="AP124" s="14" t="str">
        <x:v>Direct BBC public-service scope</x:v>
      </x:c>
      <x:c r="AQ124" s="14" t="str">
        <x:v>Yes</x:v>
      </x:c>
      <x:c r="AR124" s="14" t="str">
        <x:v>Resolved from master register</x:v>
      </x:c>
      <x:c r="AS124" s="14" t="str">
        <x:v>No established-register match</x:v>
      </x:c>
      <x:c r="AT124" s="14"/>
      <x:c r="AU124" s="14"/>
      <x:c r="AV124" s="14" t="str">
        <x:v>No established apparent-disability match</x:v>
      </x:c>
      <x:c r="AW124" s="14"/>
      <x:c r="AX124" s="14" t="str">
        <x:v>No</x:v>
      </x:c>
      <x:c r="AY124" s="14" t="str">
        <x:v>Unmatched</x:v>
      </x:c>
      <x:c r="AZ124" s="14" t="str">
        <x:v>Final supplied register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9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3</x:v>
      </x:c>
      <x:c r="BS124" s="16" t="n">
        <x:v>0.3333333333333333</x:v>
      </x:c>
      <x:c r="BT124" s="14" t="str">
        <x:v>Minority of episodes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tt20224612|nm1128414|bill gifford</x:v>
      </x:c>
      <x:c r="B125" s="14" t="str">
        <x:v>02</x:v>
      </x:c>
      <x:c r="C125" s="14" t="str">
        <x:v>2022_IMDb_Cast_Lists_Batch_02(1).xlsx</x:v>
      </x:c>
      <x:c r="D125" s="14" t="str">
        <x:v>Granite Harbour</x:v>
      </x:c>
      <x:c r="E125" s="14" t="n">
        <x:v>36</x:v>
      </x:c>
      <x:c r="F125" s="14" t="str">
        <x:v>Granite Harbour</x:v>
      </x:c>
      <x:c r="G125" s="14" t="str">
        <x:v>tt20224612</x:v>
      </x:c>
      <x:c r="H125" s="14" t="n">
        <x:v>2022</x:v>
      </x:c>
      <x:c r="I125" s="14" t="n">
        <x:v>2023</x:v>
      </x:c>
      <x:c r="J125" s="14" t="str">
        <x:v>Post-study cohort</x:v>
      </x:c>
      <x:c r="K125" s="14" t="n">
        <x:v>2022</x:v>
      </x:c>
      <x:c r="L125" s="14" t="str">
        <x:v>Not inherited</x:v>
      </x:c>
      <x:c r="M125" s="15" t="n">
        <x:v>29</x:v>
      </x:c>
      <x:c r="N125" s="14" t="str">
        <x:v>Ian Pirie</x:v>
      </x:c>
      <x:c r="O125" s="14" t="str">
        <x:v>nm1128414</x:v>
      </x:c>
      <x:c r="P125" s="14" t="str">
        <x:v>Bill Gifford</x:v>
      </x:c>
      <x:c r="Q125" s="15" t="n">
        <x:v>3</x:v>
      </x:c>
      <x:c r="R125" s="14" t="str">
        <x:v>2026</x:v>
      </x:c>
      <x:c r="S125" s="14" t="n">
        <x:v>2026</x:v>
      </x:c>
      <x:c r="T125" s="14" t="n">
        <x:v>2026</x:v>
      </x:c>
      <x:c r="U125" s="14" t="str">
        <x:v>Explicit source first year retained</x:v>
      </x:c>
      <x:c r="V125" s="14" t="str">
        <x:v>Earliest supplied year is 2026.</x:v>
      </x:c>
      <x:c r="W125" s="14"/>
      <x:c r="X125" s="14" t="str">
        <x:v>Excluded: after 2025</x:v>
      </x:c>
      <x:c r="Y125" s="14"/>
      <x:c r="Z125" s="14" t="str">
        <x:v>Granite Harbour.docx</x:v>
      </x:c>
      <x:c r="AA12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BBC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HYPERLINK("https://en.wikipedia.org/wiki/Granite_Harbour","Open source")</x:f>
        <x:v>HYPERLINK is not implemented. linkLocation=https://en.wikipedia.org/wiki/Granite_Harbour, friendlyName=Open source</x:v>
      </x:c>
      <x:c r="AN125" s="14" t="str">
        <x:v>BBC public-service commission</x:v>
      </x:c>
      <x:c r="AO125" s="14" t="str">
        <x:v>Yes</x:v>
      </x:c>
      <x:c r="AP125" s="14" t="str">
        <x:v>Direct BBC public-service scope</x:v>
      </x:c>
      <x:c r="AQ125" s="14" t="str">
        <x:v>Yes</x:v>
      </x:c>
      <x:c r="AR125" s="14" t="str">
        <x:v>Resolved from master register</x:v>
      </x:c>
      <x:c r="AS125" s="14" t="str">
        <x:v>No established-register match</x:v>
      </x:c>
      <x:c r="AT125" s="14"/>
      <x:c r="AU125" s="14"/>
      <x:c r="AV125" s="14" t="str">
        <x:v>No established apparent-disability match</x:v>
      </x:c>
      <x:c r="AW125" s="14"/>
      <x:c r="AX125" s="14" t="str">
        <x:v>No</x:v>
      </x:c>
      <x:c r="AY125" s="14" t="str">
        <x:v>Unmatched</x:v>
      </x:c>
      <x:c r="AZ125" s="14" t="str">
        <x:v>Final supplied register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9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3</x:v>
      </x:c>
      <x:c r="BS125" s="16" t="n">
        <x:v>0.3333333333333333</x:v>
      </x:c>
      <x:c r="BT125" s="14" t="str">
        <x:v>Minority of episodes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tt20224612|nm8624309|alex nichols</x:v>
      </x:c>
      <x:c r="B126" s="14" t="str">
        <x:v>02</x:v>
      </x:c>
      <x:c r="C126" s="14" t="str">
        <x:v>2022_IMDb_Cast_Lists_Batch_02(1).xlsx</x:v>
      </x:c>
      <x:c r="D126" s="14" t="str">
        <x:v>Granite Harbour</x:v>
      </x:c>
      <x:c r="E126" s="14" t="n">
        <x:v>37</x:v>
      </x:c>
      <x:c r="F126" s="14" t="str">
        <x:v>Granite Harbour</x:v>
      </x:c>
      <x:c r="G126" s="14" t="str">
        <x:v>tt20224612</x:v>
      </x:c>
      <x:c r="H126" s="14" t="n">
        <x:v>2022</x:v>
      </x:c>
      <x:c r="I126" s="14" t="n">
        <x:v>2023</x:v>
      </x:c>
      <x:c r="J126" s="14" t="str">
        <x:v>Post-study cohort</x:v>
      </x:c>
      <x:c r="K126" s="14" t="n">
        <x:v>2022</x:v>
      </x:c>
      <x:c r="L126" s="14" t="str">
        <x:v>Not inherited</x:v>
      </x:c>
      <x:c r="M126" s="15" t="n">
        <x:v>30</x:v>
      </x:c>
      <x:c r="N126" s="14" t="str">
        <x:v>Thoren Ferguson</x:v>
      </x:c>
      <x:c r="O126" s="14" t="str">
        <x:v>nm8624309</x:v>
      </x:c>
      <x:c r="P126" s="14" t="str">
        <x:v>Alex Nichols</x:v>
      </x:c>
      <x:c r="Q126" s="15" t="n">
        <x:v>3</x:v>
      </x:c>
      <x:c r="R126" s="14" t="str">
        <x:v>2026</x:v>
      </x:c>
      <x:c r="S126" s="14" t="n">
        <x:v>2026</x:v>
      </x:c>
      <x:c r="T126" s="14" t="n">
        <x:v>2026</x:v>
      </x:c>
      <x:c r="U126" s="14" t="str">
        <x:v>Explicit source first year retained</x:v>
      </x:c>
      <x:c r="V126" s="14" t="str">
        <x:v>Earliest supplied year is 2026.</x:v>
      </x:c>
      <x:c r="W126" s="14"/>
      <x:c r="X126" s="14" t="str">
        <x:v>Excluded: after 2025</x:v>
      </x:c>
      <x:c r="Y126" s="14"/>
      <x:c r="Z126" s="14" t="str">
        <x:v>Granite Harbour.docx</x:v>
      </x:c>
      <x:c r="AA12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BBC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HYPERLINK("https://en.wikipedia.org/wiki/Granite_Harbour","Open source")</x:f>
        <x:v>HYPERLINK is not implemented. linkLocation=https://en.wikipedia.org/wiki/Granite_Harbour, friendlyName=Open source</x:v>
      </x:c>
      <x:c r="AN126" s="14" t="str">
        <x:v>BBC public-service commission</x:v>
      </x:c>
      <x:c r="AO126" s="14" t="str">
        <x:v>Yes</x:v>
      </x:c>
      <x:c r="AP126" s="14" t="str">
        <x:v>Direct BBC public-service scope</x:v>
      </x:c>
      <x:c r="AQ126" s="14" t="str">
        <x:v>Yes</x:v>
      </x:c>
      <x:c r="AR126" s="14" t="str">
        <x:v>Resolved from master register</x:v>
      </x:c>
      <x:c r="AS126" s="14" t="str">
        <x:v>No established-register match</x:v>
      </x:c>
      <x:c r="AT126" s="14"/>
      <x:c r="AU126" s="14"/>
      <x:c r="AV126" s="14" t="str">
        <x:v>No established apparent-disability match</x:v>
      </x:c>
      <x:c r="AW126" s="14"/>
      <x:c r="AX126" s="14" t="str">
        <x:v>No</x:v>
      </x:c>
      <x:c r="AY126" s="14" t="str">
        <x:v>Unmatched</x:v>
      </x:c>
      <x:c r="AZ126" s="14" t="str">
        <x:v>Final supplied register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9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3</x:v>
      </x:c>
      <x:c r="BS126" s="16" t="n">
        <x:v>0.3333333333333333</x:v>
      </x:c>
      <x:c r="BT126" s="14" t="str">
        <x:v>Minority of episodes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tt20224612|nm12549107|harper ross</x:v>
      </x:c>
      <x:c r="B127" s="14" t="str">
        <x:v>02</x:v>
      </x:c>
      <x:c r="C127" s="14" t="str">
        <x:v>2022_IMDb_Cast_Lists_Batch_02(1).xlsx</x:v>
      </x:c>
      <x:c r="D127" s="14" t="str">
        <x:v>Granite Harbour</x:v>
      </x:c>
      <x:c r="E127" s="14" t="n">
        <x:v>38</x:v>
      </x:c>
      <x:c r="F127" s="14" t="str">
        <x:v>Granite Harbour</x:v>
      </x:c>
      <x:c r="G127" s="14" t="str">
        <x:v>tt20224612</x:v>
      </x:c>
      <x:c r="H127" s="14" t="n">
        <x:v>2022</x:v>
      </x:c>
      <x:c r="I127" s="14" t="n">
        <x:v>2023</x:v>
      </x:c>
      <x:c r="J127" s="14" t="str">
        <x:v>Post-study cohort</x:v>
      </x:c>
      <x:c r="K127" s="14" t="n">
        <x:v>2022</x:v>
      </x:c>
      <x:c r="L127" s="14" t="str">
        <x:v>Not inherited</x:v>
      </x:c>
      <x:c r="M127" s="15" t="n">
        <x:v>31</x:v>
      </x:c>
      <x:c r="N127" s="14" t="str">
        <x:v>Amelia Isaac Jones</x:v>
      </x:c>
      <x:c r="O127" s="14" t="str">
        <x:v>nm12549107</x:v>
      </x:c>
      <x:c r="P127" s="14" t="str">
        <x:v>Harper Ross</x:v>
      </x:c>
      <x:c r="Q127" s="15" t="n">
        <x:v>3</x:v>
      </x:c>
      <x:c r="R127" s="14" t="str">
        <x:v>2026</x:v>
      </x:c>
      <x:c r="S127" s="14" t="n">
        <x:v>2026</x:v>
      </x:c>
      <x:c r="T127" s="14" t="n">
        <x:v>2026</x:v>
      </x:c>
      <x:c r="U127" s="14" t="str">
        <x:v>Explicit source first year retained</x:v>
      </x:c>
      <x:c r="V127" s="14" t="str">
        <x:v>Earliest supplied year is 2026.</x:v>
      </x:c>
      <x:c r="W127" s="14"/>
      <x:c r="X127" s="14" t="str">
        <x:v>Excluded: after 2025</x:v>
      </x:c>
      <x:c r="Y127" s="14"/>
      <x:c r="Z127" s="14" t="str">
        <x:v>Granite Harbour.docx</x:v>
      </x:c>
      <x:c r="AA12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BBC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HYPERLINK("https://en.wikipedia.org/wiki/Granite_Harbour","Open source")</x:f>
        <x:v>HYPERLINK is not implemented. linkLocation=https://en.wikipedia.org/wiki/Granite_Harbour, friendlyName=Open source</x:v>
      </x:c>
      <x:c r="AN127" s="14" t="str">
        <x:v>BBC public-service commission</x:v>
      </x:c>
      <x:c r="AO127" s="14" t="str">
        <x:v>Yes</x:v>
      </x:c>
      <x:c r="AP127" s="14" t="str">
        <x:v>Direct BBC public-service scope</x:v>
      </x:c>
      <x:c r="AQ127" s="14" t="str">
        <x:v>Yes</x:v>
      </x:c>
      <x:c r="AR127" s="14" t="str">
        <x:v>Resolved from master register</x:v>
      </x:c>
      <x:c r="AS127" s="14" t="str">
        <x:v>No established-register match</x:v>
      </x:c>
      <x:c r="AT127" s="14"/>
      <x:c r="AU127" s="14"/>
      <x:c r="AV127" s="14" t="str">
        <x:v>No established apparent-disability match</x:v>
      </x:c>
      <x:c r="AW127" s="14"/>
      <x:c r="AX127" s="14" t="str">
        <x:v>No</x:v>
      </x:c>
      <x:c r="AY127" s="14" t="str">
        <x:v>Unmatched</x:v>
      </x:c>
      <x:c r="AZ127" s="14" t="str">
        <x:v>Final supplied register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9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3</x:v>
      </x:c>
      <x:c r="BS127" s="16" t="n">
        <x:v>0.3333333333333333</x:v>
      </x:c>
      <x:c r="BT127" s="14" t="str">
        <x:v>Minority of episodes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tt20224612|nm1229526|carl hadwood</x:v>
      </x:c>
      <x:c r="B128" s="14" t="str">
        <x:v>02</x:v>
      </x:c>
      <x:c r="C128" s="14" t="str">
        <x:v>2022_IMDb_Cast_Lists_Batch_02(1).xlsx</x:v>
      </x:c>
      <x:c r="D128" s="14" t="str">
        <x:v>Granite Harbour</x:v>
      </x:c>
      <x:c r="E128" s="14" t="n">
        <x:v>39</x:v>
      </x:c>
      <x:c r="F128" s="14" t="str">
        <x:v>Granite Harbour</x:v>
      </x:c>
      <x:c r="G128" s="14" t="str">
        <x:v>tt20224612</x:v>
      </x:c>
      <x:c r="H128" s="14" t="n">
        <x:v>2022</x:v>
      </x:c>
      <x:c r="I128" s="14" t="n">
        <x:v>2023</x:v>
      </x:c>
      <x:c r="J128" s="14" t="str">
        <x:v>Post-study cohort</x:v>
      </x:c>
      <x:c r="K128" s="14" t="n">
        <x:v>2022</x:v>
      </x:c>
      <x:c r="L128" s="14" t="str">
        <x:v>Not inherited</x:v>
      </x:c>
      <x:c r="M128" s="15" t="n">
        <x:v>32</x:v>
      </x:c>
      <x:c r="N128" s="14" t="str">
        <x:v>Ryan Fletcher</x:v>
      </x:c>
      <x:c r="O128" s="14" t="str">
        <x:v>nm1229526</x:v>
      </x:c>
      <x:c r="P128" s="14" t="str">
        <x:v>Carl Hadwood</x:v>
      </x:c>
      <x:c r="Q128" s="15" t="n">
        <x:v>3</x:v>
      </x:c>
      <x:c r="R128" s="14" t="str">
        <x:v>2026</x:v>
      </x:c>
      <x:c r="S128" s="14" t="n">
        <x:v>2026</x:v>
      </x:c>
      <x:c r="T128" s="14" t="n">
        <x:v>2026</x:v>
      </x:c>
      <x:c r="U128" s="14" t="str">
        <x:v>Explicit source first year retained</x:v>
      </x:c>
      <x:c r="V128" s="14" t="str">
        <x:v>Earliest supplied year is 2026.</x:v>
      </x:c>
      <x:c r="W128" s="14"/>
      <x:c r="X128" s="14" t="str">
        <x:v>Excluded: after 2025</x:v>
      </x:c>
      <x:c r="Y128" s="14"/>
      <x:c r="Z128" s="14" t="str">
        <x:v>Granite Harbour.docx</x:v>
      </x:c>
      <x:c r="AA12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BBC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HYPERLINK("https://en.wikipedia.org/wiki/Granite_Harbour","Open source")</x:f>
        <x:v>HYPERLINK is not implemented. linkLocation=https://en.wikipedia.org/wiki/Granite_Harbour, friendlyName=Open source</x:v>
      </x:c>
      <x:c r="AN128" s="14" t="str">
        <x:v>BBC public-service commission</x:v>
      </x:c>
      <x:c r="AO128" s="14" t="str">
        <x:v>Yes</x:v>
      </x:c>
      <x:c r="AP128" s="14" t="str">
        <x:v>Direct BBC public-service scope</x:v>
      </x:c>
      <x:c r="AQ128" s="14" t="str">
        <x:v>Yes</x:v>
      </x:c>
      <x:c r="AR128" s="14" t="str">
        <x:v>Resolved from master register</x:v>
      </x:c>
      <x:c r="AS128" s="14" t="str">
        <x:v>No established-register match</x:v>
      </x:c>
      <x:c r="AT128" s="14"/>
      <x:c r="AU128" s="14"/>
      <x:c r="AV128" s="14" t="str">
        <x:v>No established apparent-disability match</x:v>
      </x:c>
      <x:c r="AW128" s="14"/>
      <x:c r="AX128" s="14" t="str">
        <x:v>No</x:v>
      </x:c>
      <x:c r="AY128" s="14" t="str">
        <x:v>Unmatched</x:v>
      </x:c>
      <x:c r="AZ128" s="14" t="str">
        <x:v>Final supplied register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9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3</x:v>
      </x:c>
      <x:c r="BS128" s="16" t="n">
        <x:v>0.3333333333333333</x:v>
      </x:c>
      <x:c r="BT128" s="14" t="str">
        <x:v>Minority of episodes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tt20224612|nm8079514|janine sterling</x:v>
      </x:c>
      <x:c r="B129" s="14" t="str">
        <x:v>02</x:v>
      </x:c>
      <x:c r="C129" s="14" t="str">
        <x:v>2022_IMDb_Cast_Lists_Batch_02(1).xlsx</x:v>
      </x:c>
      <x:c r="D129" s="14" t="str">
        <x:v>Granite Harbour</x:v>
      </x:c>
      <x:c r="E129" s="14" t="n">
        <x:v>40</x:v>
      </x:c>
      <x:c r="F129" s="14" t="str">
        <x:v>Granite Harbour</x:v>
      </x:c>
      <x:c r="G129" s="14" t="str">
        <x:v>tt20224612</x:v>
      </x:c>
      <x:c r="H129" s="14" t="n">
        <x:v>2022</x:v>
      </x:c>
      <x:c r="I129" s="14" t="n">
        <x:v>2023</x:v>
      </x:c>
      <x:c r="J129" s="14" t="str">
        <x:v>Post-study cohort</x:v>
      </x:c>
      <x:c r="K129" s="14" t="n">
        <x:v>2022</x:v>
      </x:c>
      <x:c r="L129" s="14" t="str">
        <x:v>Not inherited</x:v>
      </x:c>
      <x:c r="M129" s="15" t="n">
        <x:v>33</x:v>
      </x:c>
      <x:c r="N129" s="14" t="str">
        <x:v>Chloe-Ann Tylor</x:v>
      </x:c>
      <x:c r="O129" s="14" t="str">
        <x:v>nm8079514</x:v>
      </x:c>
      <x:c r="P129" s="14" t="str">
        <x:v>Janine Sterling</x:v>
      </x:c>
      <x:c r="Q129" s="15" t="n">
        <x:v>3</x:v>
      </x:c>
      <x:c r="R129" s="14" t="str">
        <x:v>2026</x:v>
      </x:c>
      <x:c r="S129" s="14" t="n">
        <x:v>2026</x:v>
      </x:c>
      <x:c r="T129" s="14" t="n">
        <x:v>2026</x:v>
      </x:c>
      <x:c r="U129" s="14" t="str">
        <x:v>Explicit source first year retained</x:v>
      </x:c>
      <x:c r="V129" s="14" t="str">
        <x:v>Earliest supplied year is 2026.</x:v>
      </x:c>
      <x:c r="W129" s="14"/>
      <x:c r="X129" s="14" t="str">
        <x:v>Excluded: after 2025</x:v>
      </x:c>
      <x:c r="Y129" s="14"/>
      <x:c r="Z129" s="14" t="str">
        <x:v>Granite Harbour.docx</x:v>
      </x:c>
      <x:c r="AA12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BBC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HYPERLINK("https://en.wikipedia.org/wiki/Granite_Harbour","Open source")</x:f>
        <x:v>HYPERLINK is not implemented. linkLocation=https://en.wikipedia.org/wiki/Granite_Harbour, friendlyName=Open source</x:v>
      </x:c>
      <x:c r="AN129" s="14" t="str">
        <x:v>BBC public-service commission</x:v>
      </x:c>
      <x:c r="AO129" s="14" t="str">
        <x:v>Yes</x:v>
      </x:c>
      <x:c r="AP129" s="14" t="str">
        <x:v>Direct BBC public-service scope</x:v>
      </x:c>
      <x:c r="AQ129" s="14" t="str">
        <x:v>Yes</x:v>
      </x:c>
      <x:c r="AR129" s="14" t="str">
        <x:v>Resolved from master register</x:v>
      </x:c>
      <x:c r="AS129" s="14" t="str">
        <x:v>No established-register match</x:v>
      </x:c>
      <x:c r="AT129" s="14"/>
      <x:c r="AU129" s="14"/>
      <x:c r="AV129" s="14" t="str">
        <x:v>No established apparent-disability match</x:v>
      </x:c>
      <x:c r="AW129" s="14"/>
      <x:c r="AX129" s="14" t="str">
        <x:v>No</x:v>
      </x:c>
      <x:c r="AY129" s="14" t="str">
        <x:v>Unmatched</x:v>
      </x:c>
      <x:c r="AZ129" s="14" t="str">
        <x:v>Final supplied register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9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3</x:v>
      </x:c>
      <x:c r="BS129" s="16" t="n">
        <x:v>0.3333333333333333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tt20224612|nm5998734|drina gough</x:v>
      </x:c>
      <x:c r="B130" s="14" t="str">
        <x:v>02</x:v>
      </x:c>
      <x:c r="C130" s="14" t="str">
        <x:v>2022_IMDb_Cast_Lists_Batch_02(1).xlsx</x:v>
      </x:c>
      <x:c r="D130" s="14" t="str">
        <x:v>Granite Harbour</x:v>
      </x:c>
      <x:c r="E130" s="14" t="n">
        <x:v>41</x:v>
      </x:c>
      <x:c r="F130" s="14" t="str">
        <x:v>Granite Harbour</x:v>
      </x:c>
      <x:c r="G130" s="14" t="str">
        <x:v>tt20224612</x:v>
      </x:c>
      <x:c r="H130" s="14" t="n">
        <x:v>2022</x:v>
      </x:c>
      <x:c r="I130" s="14" t="n">
        <x:v>2023</x:v>
      </x:c>
      <x:c r="J130" s="14" t="str">
        <x:v>Post-study cohort</x:v>
      </x:c>
      <x:c r="K130" s="14" t="n">
        <x:v>2022</x:v>
      </x:c>
      <x:c r="L130" s="14" t="str">
        <x:v>Not inherited</x:v>
      </x:c>
      <x:c r="M130" s="15" t="n">
        <x:v>34</x:v>
      </x:c>
      <x:c r="N130" s="14" t="str">
        <x:v>Dawn Sievewright</x:v>
      </x:c>
      <x:c r="O130" s="14" t="str">
        <x:v>nm5998734</x:v>
      </x:c>
      <x:c r="P130" s="14" t="str">
        <x:v>Drina Gough</x:v>
      </x:c>
      <x:c r="Q130" s="15" t="n">
        <x:v>3</x:v>
      </x:c>
      <x:c r="R130" s="14" t="str">
        <x:v>2026</x:v>
      </x:c>
      <x:c r="S130" s="14" t="n">
        <x:v>2026</x:v>
      </x:c>
      <x:c r="T130" s="14" t="n">
        <x:v>2026</x:v>
      </x:c>
      <x:c r="U130" s="14" t="str">
        <x:v>Explicit source first year retained</x:v>
      </x:c>
      <x:c r="V130" s="14" t="str">
        <x:v>Earliest supplied year is 2026.</x:v>
      </x:c>
      <x:c r="W130" s="14"/>
      <x:c r="X130" s="14" t="str">
        <x:v>Excluded: after 2025</x:v>
      </x:c>
      <x:c r="Y130" s="14"/>
      <x:c r="Z130" s="14" t="str">
        <x:v>Granite Harbour.docx</x:v>
      </x:c>
      <x:c r="AA13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BBC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HYPERLINK("https://en.wikipedia.org/wiki/Granite_Harbour","Open source")</x:f>
        <x:v>HYPERLINK is not implemented. linkLocation=https://en.wikipedia.org/wiki/Granite_Harbour, friendlyName=Open source</x:v>
      </x:c>
      <x:c r="AN130" s="14" t="str">
        <x:v>BBC public-service commission</x:v>
      </x:c>
      <x:c r="AO130" s="14" t="str">
        <x:v>Yes</x:v>
      </x:c>
      <x:c r="AP130" s="14" t="str">
        <x:v>Direct BBC public-service scope</x:v>
      </x:c>
      <x:c r="AQ130" s="14" t="str">
        <x:v>Yes</x:v>
      </x:c>
      <x:c r="AR130" s="14" t="str">
        <x:v>Resolved from master register</x:v>
      </x:c>
      <x:c r="AS130" s="14" t="str">
        <x:v>No established-register match</x:v>
      </x:c>
      <x:c r="AT130" s="14"/>
      <x:c r="AU130" s="14"/>
      <x:c r="AV130" s="14" t="str">
        <x:v>No established apparent-disability match</x:v>
      </x:c>
      <x:c r="AW130" s="14"/>
      <x:c r="AX130" s="14" t="str">
        <x:v>No</x:v>
      </x:c>
      <x:c r="AY130" s="14" t="str">
        <x:v>Unmatched</x:v>
      </x:c>
      <x:c r="AZ130" s="14" t="str">
        <x:v>Final supplied register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9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3</x:v>
      </x:c>
      <x:c r="BS130" s="16" t="n">
        <x:v>0.3333333333333333</x:v>
      </x:c>
      <x:c r="BT130" s="14" t="str">
        <x:v>Minority of episodes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tt20224612|nm2653740|shelley crockford</x:v>
      </x:c>
      <x:c r="B131" s="14" t="str">
        <x:v>02</x:v>
      </x:c>
      <x:c r="C131" s="14" t="str">
        <x:v>2022_IMDb_Cast_Lists_Batch_02(1).xlsx</x:v>
      </x:c>
      <x:c r="D131" s="14" t="str">
        <x:v>Granite Harbour</x:v>
      </x:c>
      <x:c r="E131" s="14" t="n">
        <x:v>42</x:v>
      </x:c>
      <x:c r="F131" s="14" t="str">
        <x:v>Granite Harbour</x:v>
      </x:c>
      <x:c r="G131" s="14" t="str">
        <x:v>tt20224612</x:v>
      </x:c>
      <x:c r="H131" s="14" t="n">
        <x:v>2022</x:v>
      </x:c>
      <x:c r="I131" s="14" t="n">
        <x:v>2023</x:v>
      </x:c>
      <x:c r="J131" s="14" t="str">
        <x:v>Post-study cohort</x:v>
      </x:c>
      <x:c r="K131" s="14" t="n">
        <x:v>2022</x:v>
      </x:c>
      <x:c r="L131" s="14" t="str">
        <x:v>Not inherited</x:v>
      </x:c>
      <x:c r="M131" s="15" t="n">
        <x:v>35</x:v>
      </x:c>
      <x:c r="N131" s="14" t="str">
        <x:v>Emma Hartley-Miller</x:v>
      </x:c>
      <x:c r="O131" s="14" t="str">
        <x:v>nm2653740</x:v>
      </x:c>
      <x:c r="P131" s="14" t="str">
        <x:v>Shelley Crockford</x:v>
      </x:c>
      <x:c r="Q131" s="15" t="n">
        <x:v>3</x:v>
      </x:c>
      <x:c r="R131" s="14" t="str">
        <x:v>2026</x:v>
      </x:c>
      <x:c r="S131" s="14" t="n">
        <x:v>2026</x:v>
      </x:c>
      <x:c r="T131" s="14" t="n">
        <x:v>2026</x:v>
      </x:c>
      <x:c r="U131" s="14" t="str">
        <x:v>Explicit source first year retained</x:v>
      </x:c>
      <x:c r="V131" s="14" t="str">
        <x:v>Earliest supplied year is 2026.</x:v>
      </x:c>
      <x:c r="W131" s="14"/>
      <x:c r="X131" s="14" t="str">
        <x:v>Excluded: after 2025</x:v>
      </x:c>
      <x:c r="Y131" s="14"/>
      <x:c r="Z131" s="14" t="str">
        <x:v>Granite Harbour.docx</x:v>
      </x:c>
      <x:c r="AA13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BBC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HYPERLINK("https://en.wikipedia.org/wiki/Granite_Harbour","Open source")</x:f>
        <x:v>HYPERLINK is not implemented. linkLocation=https://en.wikipedia.org/wiki/Granite_Harbour, friendlyName=Open source</x:v>
      </x:c>
      <x:c r="AN131" s="14" t="str">
        <x:v>BBC public-service commission</x:v>
      </x:c>
      <x:c r="AO131" s="14" t="str">
        <x:v>Yes</x:v>
      </x:c>
      <x:c r="AP131" s="14" t="str">
        <x:v>Direct BBC public-service scope</x:v>
      </x:c>
      <x:c r="AQ131" s="14" t="str">
        <x:v>Yes</x:v>
      </x:c>
      <x:c r="AR131" s="14" t="str">
        <x:v>Resolved from master register</x:v>
      </x:c>
      <x:c r="AS131" s="14" t="str">
        <x:v>No established-register match</x:v>
      </x:c>
      <x:c r="AT131" s="14"/>
      <x:c r="AU131" s="14"/>
      <x:c r="AV131" s="14" t="str">
        <x:v>No established apparent-disability match</x:v>
      </x:c>
      <x:c r="AW131" s="14"/>
      <x:c r="AX131" s="14" t="str">
        <x:v>No</x:v>
      </x:c>
      <x:c r="AY131" s="14" t="str">
        <x:v>Unmatched</x:v>
      </x:c>
      <x:c r="AZ131" s="14" t="str">
        <x:v>Final supplied register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9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3</x:v>
      </x:c>
      <x:c r="BS131" s="16" t="n">
        <x:v>0.3333333333333333</x:v>
      </x:c>
      <x:c r="BT131" s="14" t="str">
        <x:v>Minority of episodes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tt20224612|nm14325948|adam colgan</x:v>
      </x:c>
      <x:c r="B132" s="14" t="str">
        <x:v>02</x:v>
      </x:c>
      <x:c r="C132" s="14" t="str">
        <x:v>2022_IMDb_Cast_Lists_Batch_02(1).xlsx</x:v>
      </x:c>
      <x:c r="D132" s="14" t="str">
        <x:v>Granite Harbour</x:v>
      </x:c>
      <x:c r="E132" s="14" t="n">
        <x:v>43</x:v>
      </x:c>
      <x:c r="F132" s="14" t="str">
        <x:v>Granite Harbour</x:v>
      </x:c>
      <x:c r="G132" s="14" t="str">
        <x:v>tt20224612</x:v>
      </x:c>
      <x:c r="H132" s="14" t="n">
        <x:v>2022</x:v>
      </x:c>
      <x:c r="I132" s="14" t="n">
        <x:v>2023</x:v>
      </x:c>
      <x:c r="J132" s="14" t="str">
        <x:v>Post-study cohort</x:v>
      </x:c>
      <x:c r="K132" s="14" t="n">
        <x:v>2022</x:v>
      </x:c>
      <x:c r="L132" s="14" t="str">
        <x:v>Not inherited</x:v>
      </x:c>
      <x:c r="M132" s="15" t="n">
        <x:v>36</x:v>
      </x:c>
      <x:c r="N132" s="14" t="str">
        <x:v>Craig Binning</x:v>
      </x:c>
      <x:c r="O132" s="14" t="str">
        <x:v>nm14325948</x:v>
      </x:c>
      <x:c r="P132" s="14" t="str">
        <x:v>Adam Colgan</x:v>
      </x:c>
      <x:c r="Q132" s="15" t="n">
        <x:v>3</x:v>
      </x:c>
      <x:c r="R132" s="14" t="str">
        <x:v>2026</x:v>
      </x:c>
      <x:c r="S132" s="14" t="n">
        <x:v>2026</x:v>
      </x:c>
      <x:c r="T132" s="14" t="n">
        <x:v>2026</x:v>
      </x:c>
      <x:c r="U132" s="14" t="str">
        <x:v>Explicit source first year retained</x:v>
      </x:c>
      <x:c r="V132" s="14" t="str">
        <x:v>Earliest supplied year is 2026.</x:v>
      </x:c>
      <x:c r="W132" s="14"/>
      <x:c r="X132" s="14" t="str">
        <x:v>Excluded: after 2025</x:v>
      </x:c>
      <x:c r="Y132" s="14"/>
      <x:c r="Z132" s="14" t="str">
        <x:v>Granite Harbour.docx</x:v>
      </x:c>
      <x:c r="AA13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BBC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HYPERLINK("https://en.wikipedia.org/wiki/Granite_Harbour","Open source")</x:f>
        <x:v>HYPERLINK is not implemented. linkLocation=https://en.wikipedia.org/wiki/Granite_Harbour, friendlyName=Open source</x:v>
      </x:c>
      <x:c r="AN132" s="14" t="str">
        <x:v>BBC public-service commission</x:v>
      </x:c>
      <x:c r="AO132" s="14" t="str">
        <x:v>Yes</x:v>
      </x:c>
      <x:c r="AP132" s="14" t="str">
        <x:v>Direct BBC public-service scope</x:v>
      </x:c>
      <x:c r="AQ132" s="14" t="str">
        <x:v>Yes</x:v>
      </x:c>
      <x:c r="AR132" s="14" t="str">
        <x:v>Resolved from master register</x:v>
      </x:c>
      <x:c r="AS132" s="14" t="str">
        <x:v>No established-register match</x:v>
      </x:c>
      <x:c r="AT132" s="14"/>
      <x:c r="AU132" s="14"/>
      <x:c r="AV132" s="14" t="str">
        <x:v>No established apparent-disability match</x:v>
      </x:c>
      <x:c r="AW132" s="14"/>
      <x:c r="AX132" s="14" t="str">
        <x:v>No</x:v>
      </x:c>
      <x:c r="AY132" s="14" t="str">
        <x:v>Unmatched</x:v>
      </x:c>
      <x:c r="AZ132" s="14" t="str">
        <x:v>Final supplied register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9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3</x:v>
      </x:c>
      <x:c r="BS132" s="16" t="n">
        <x:v>0.3333333333333333</x:v>
      </x:c>
      <x:c r="BT132" s="14" t="str">
        <x:v>Minority of episodes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tt20224612|nm4633948|jackson mcilroy</x:v>
      </x:c>
      <x:c r="B133" s="14" t="str">
        <x:v>02</x:v>
      </x:c>
      <x:c r="C133" s="14" t="str">
        <x:v>2022_IMDb_Cast_Lists_Batch_02(1).xlsx</x:v>
      </x:c>
      <x:c r="D133" s="14" t="str">
        <x:v>Granite Harbour</x:v>
      </x:c>
      <x:c r="E133" s="14" t="n">
        <x:v>44</x:v>
      </x:c>
      <x:c r="F133" s="14" t="str">
        <x:v>Granite Harbour</x:v>
      </x:c>
      <x:c r="G133" s="14" t="str">
        <x:v>tt20224612</x:v>
      </x:c>
      <x:c r="H133" s="14" t="n">
        <x:v>2022</x:v>
      </x:c>
      <x:c r="I133" s="14" t="n">
        <x:v>2023</x:v>
      </x:c>
      <x:c r="J133" s="14" t="str">
        <x:v>Post-study cohort</x:v>
      </x:c>
      <x:c r="K133" s="14" t="n">
        <x:v>2022</x:v>
      </x:c>
      <x:c r="L133" s="14" t="str">
        <x:v>Not inherited</x:v>
      </x:c>
      <x:c r="M133" s="15" t="n">
        <x:v>37</x:v>
      </x:c>
      <x:c r="N133" s="14" t="str">
        <x:v>Joshua Haynes</x:v>
      </x:c>
      <x:c r="O133" s="14" t="str">
        <x:v>nm4633948</x:v>
      </x:c>
      <x:c r="P133" s="14" t="str">
        <x:v>Jackson McIlroy</x:v>
      </x:c>
      <x:c r="Q133" s="15" t="n">
        <x:v>3</x:v>
      </x:c>
      <x:c r="R133" s="14" t="str">
        <x:v>2026</x:v>
      </x:c>
      <x:c r="S133" s="14" t="n">
        <x:v>2026</x:v>
      </x:c>
      <x:c r="T133" s="14" t="n">
        <x:v>2026</x:v>
      </x:c>
      <x:c r="U133" s="14" t="str">
        <x:v>Explicit source first year retained</x:v>
      </x:c>
      <x:c r="V133" s="14" t="str">
        <x:v>Earliest supplied year is 2026.</x:v>
      </x:c>
      <x:c r="W133" s="14"/>
      <x:c r="X133" s="14" t="str">
        <x:v>Excluded: after 2025</x:v>
      </x:c>
      <x:c r="Y133" s="14"/>
      <x:c r="Z133" s="14" t="str">
        <x:v>Granite Harbour.docx</x:v>
      </x:c>
      <x:c r="AA13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BBC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HYPERLINK("https://en.wikipedia.org/wiki/Granite_Harbour","Open source")</x:f>
        <x:v>HYPERLINK is not implemented. linkLocation=https://en.wikipedia.org/wiki/Granite_Harbour, friendlyName=Open source</x:v>
      </x:c>
      <x:c r="AN133" s="14" t="str">
        <x:v>BBC public-service commission</x:v>
      </x:c>
      <x:c r="AO133" s="14" t="str">
        <x:v>Yes</x:v>
      </x:c>
      <x:c r="AP133" s="14" t="str">
        <x:v>Direct BBC public-service scope</x:v>
      </x:c>
      <x:c r="AQ133" s="14" t="str">
        <x:v>Yes</x:v>
      </x:c>
      <x:c r="AR133" s="14" t="str">
        <x:v>Resolved from master register</x:v>
      </x:c>
      <x:c r="AS133" s="14" t="str">
        <x:v>No established-register match</x:v>
      </x:c>
      <x:c r="AT133" s="14"/>
      <x:c r="AU133" s="14"/>
      <x:c r="AV133" s="14" t="str">
        <x:v>No established apparent-disability match</x:v>
      </x:c>
      <x:c r="AW133" s="14"/>
      <x:c r="AX133" s="14" t="str">
        <x:v>No</x:v>
      </x:c>
      <x:c r="AY133" s="14" t="str">
        <x:v>Unmatched</x:v>
      </x:c>
      <x:c r="AZ133" s="14" t="str">
        <x:v>Final supplied register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9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3</x:v>
      </x:c>
      <x:c r="BS133" s="16" t="n">
        <x:v>0.3333333333333333</x:v>
      </x:c>
      <x:c r="BT133" s="14" t="str">
        <x:v>Minority of episodes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tt20224612|nm9048056|noah crockford</x:v>
      </x:c>
      <x:c r="B134" s="14" t="str">
        <x:v>02</x:v>
      </x:c>
      <x:c r="C134" s="14" t="str">
        <x:v>2022_IMDb_Cast_Lists_Batch_02(1).xlsx</x:v>
      </x:c>
      <x:c r="D134" s="14" t="str">
        <x:v>Granite Harbour</x:v>
      </x:c>
      <x:c r="E134" s="14" t="n">
        <x:v>45</x:v>
      </x:c>
      <x:c r="F134" s="14" t="str">
        <x:v>Granite Harbour</x:v>
      </x:c>
      <x:c r="G134" s="14" t="str">
        <x:v>tt20224612</x:v>
      </x:c>
      <x:c r="H134" s="14" t="n">
        <x:v>2022</x:v>
      </x:c>
      <x:c r="I134" s="14" t="n">
        <x:v>2023</x:v>
      </x:c>
      <x:c r="J134" s="14" t="str">
        <x:v>Post-study cohort</x:v>
      </x:c>
      <x:c r="K134" s="14" t="n">
        <x:v>2022</x:v>
      </x:c>
      <x:c r="L134" s="14" t="str">
        <x:v>Not inherited</x:v>
      </x:c>
      <x:c r="M134" s="15" t="n">
        <x:v>38</x:v>
      </x:c>
      <x:c r="N134" s="14" t="str">
        <x:v>Aaron MacGregor</x:v>
      </x:c>
      <x:c r="O134" s="14" t="str">
        <x:v>nm9048056</x:v>
      </x:c>
      <x:c r="P134" s="14" t="str">
        <x:v>Noah Crockford</x:v>
      </x:c>
      <x:c r="Q134" s="15" t="n">
        <x:v>3</x:v>
      </x:c>
      <x:c r="R134" s="14" t="str">
        <x:v>2026</x:v>
      </x:c>
      <x:c r="S134" s="14" t="n">
        <x:v>2026</x:v>
      </x:c>
      <x:c r="T134" s="14" t="n">
        <x:v>2026</x:v>
      </x:c>
      <x:c r="U134" s="14" t="str">
        <x:v>Explicit source first year retained</x:v>
      </x:c>
      <x:c r="V134" s="14" t="str">
        <x:v>Earliest supplied year is 2026.</x:v>
      </x:c>
      <x:c r="W134" s="14"/>
      <x:c r="X134" s="14" t="str">
        <x:v>Excluded: after 2025</x:v>
      </x:c>
      <x:c r="Y134" s="14"/>
      <x:c r="Z134" s="14" t="str">
        <x:v>Granite Harbour.docx</x:v>
      </x:c>
      <x:c r="AA13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BBC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HYPERLINK("https://en.wikipedia.org/wiki/Granite_Harbour","Open source")</x:f>
        <x:v>HYPERLINK is not implemented. linkLocation=https://en.wikipedia.org/wiki/Granite_Harbour, friendlyName=Open source</x:v>
      </x:c>
      <x:c r="AN134" s="14" t="str">
        <x:v>BBC public-service commission</x:v>
      </x:c>
      <x:c r="AO134" s="14" t="str">
        <x:v>Yes</x:v>
      </x:c>
      <x:c r="AP134" s="14" t="str">
        <x:v>Direct BBC public-service scope</x:v>
      </x:c>
      <x:c r="AQ134" s="14" t="str">
        <x:v>Yes</x:v>
      </x:c>
      <x:c r="AR134" s="14" t="str">
        <x:v>Resolved from master register</x:v>
      </x:c>
      <x:c r="AS134" s="14" t="str">
        <x:v>No established-register match</x:v>
      </x:c>
      <x:c r="AT134" s="14"/>
      <x:c r="AU134" s="14"/>
      <x:c r="AV134" s="14" t="str">
        <x:v>No established apparent-disability match</x:v>
      </x:c>
      <x:c r="AW134" s="14"/>
      <x:c r="AX134" s="14" t="str">
        <x:v>No</x:v>
      </x:c>
      <x:c r="AY134" s="14" t="str">
        <x:v>Unmatched</x:v>
      </x:c>
      <x:c r="AZ134" s="14" t="str">
        <x:v>Final supplied register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9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3</x:v>
      </x:c>
      <x:c r="BS134" s="16" t="n">
        <x:v>0.3333333333333333</x:v>
      </x:c>
      <x:c r="BT134" s="14" t="str">
        <x:v>Minority of episodes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tt20224612|nm4078775|rory marsh</x:v>
      </x:c>
      <x:c r="B135" s="14" t="str">
        <x:v>02</x:v>
      </x:c>
      <x:c r="C135" s="14" t="str">
        <x:v>2022_IMDb_Cast_Lists_Batch_02(1).xlsx</x:v>
      </x:c>
      <x:c r="D135" s="14" t="str">
        <x:v>Granite Harbour</x:v>
      </x:c>
      <x:c r="E135" s="14" t="n">
        <x:v>59</x:v>
      </x:c>
      <x:c r="F135" s="14" t="str">
        <x:v>Granite Harbour</x:v>
      </x:c>
      <x:c r="G135" s="14" t="str">
        <x:v>tt20224612</x:v>
      </x:c>
      <x:c r="H135" s="14" t="n">
        <x:v>2022</x:v>
      </x:c>
      <x:c r="I135" s="14" t="n">
        <x:v>2023</x:v>
      </x:c>
      <x:c r="J135" s="14" t="str">
        <x:v>Post-study cohort</x:v>
      </x:c>
      <x:c r="K135" s="14" t="n">
        <x:v>2022</x:v>
      </x:c>
      <x:c r="L135" s="14" t="str">
        <x:v>Not inherited</x:v>
      </x:c>
      <x:c r="M135" s="15" t="n">
        <x:v>52</x:v>
      </x:c>
      <x:c r="N135" s="14" t="str">
        <x:v>Paul Tinto</x:v>
      </x:c>
      <x:c r="O135" s="14" t="str">
        <x:v>nm4078775</x:v>
      </x:c>
      <x:c r="P135" s="14" t="str">
        <x:v>Rory Marsh</x:v>
      </x:c>
      <x:c r="Q135" s="15" t="n">
        <x:v>1</x:v>
      </x:c>
      <x:c r="R135" s="14" t="str">
        <x:v>2026</x:v>
      </x:c>
      <x:c r="S135" s="14" t="n">
        <x:v>2026</x:v>
      </x:c>
      <x:c r="T135" s="14" t="n">
        <x:v>2026</x:v>
      </x:c>
      <x:c r="U135" s="14" t="str">
        <x:v>Explicit source first year retained</x:v>
      </x:c>
      <x:c r="V135" s="14" t="str">
        <x:v>Earliest supplied year is 2026.</x:v>
      </x:c>
      <x:c r="W135" s="14"/>
      <x:c r="X135" s="14" t="str">
        <x:v>Excluded: after 2025</x:v>
      </x:c>
      <x:c r="Y135" s="14"/>
      <x:c r="Z135" s="14" t="str">
        <x:v>Granite Harbour.docx</x:v>
      </x:c>
      <x:c r="AA13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BBC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HYPERLINK("https://en.wikipedia.org/wiki/Granite_Harbour","Open source")</x:f>
        <x:v>HYPERLINK is not implemented. linkLocation=https://en.wikipedia.org/wiki/Granite_Harbour, friendlyName=Open source</x:v>
      </x:c>
      <x:c r="AN135" s="14" t="str">
        <x:v>BBC public-service commission</x:v>
      </x:c>
      <x:c r="AO135" s="14" t="str">
        <x:v>Yes</x:v>
      </x:c>
      <x:c r="AP135" s="14" t="str">
        <x:v>Direct BBC public-service scope</x:v>
      </x:c>
      <x:c r="AQ135" s="14" t="str">
        <x:v>Yes</x:v>
      </x:c>
      <x:c r="AR135" s="14" t="str">
        <x:v>Resolved from master register</x:v>
      </x:c>
      <x:c r="AS135" s="14" t="str">
        <x:v>No established-register match</x:v>
      </x:c>
      <x:c r="AT135" s="14"/>
      <x:c r="AU135" s="14"/>
      <x:c r="AV135" s="14" t="str">
        <x:v>No established apparent-disability match</x:v>
      </x:c>
      <x:c r="AW135" s="14"/>
      <x:c r="AX135" s="14" t="str">
        <x:v>No</x:v>
      </x:c>
      <x:c r="AY135" s="14" t="str">
        <x:v>Unmatched</x:v>
      </x:c>
      <x:c r="AZ135" s="14" t="str">
        <x:v>Final supplied register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9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0.1111111111111111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tt20224612|nm16466133|lisa sterling</x:v>
      </x:c>
      <x:c r="B136" s="14" t="str">
        <x:v>02</x:v>
      </x:c>
      <x:c r="C136" s="14" t="str">
        <x:v>2022_IMDb_Cast_Lists_Batch_02(1).xlsx</x:v>
      </x:c>
      <x:c r="D136" s="14" t="str">
        <x:v>Granite Harbour</x:v>
      </x:c>
      <x:c r="E136" s="14" t="n">
        <x:v>60</x:v>
      </x:c>
      <x:c r="F136" s="14" t="str">
        <x:v>Granite Harbour</x:v>
      </x:c>
      <x:c r="G136" s="14" t="str">
        <x:v>tt20224612</x:v>
      </x:c>
      <x:c r="H136" s="14" t="n">
        <x:v>2022</x:v>
      </x:c>
      <x:c r="I136" s="14" t="n">
        <x:v>2023</x:v>
      </x:c>
      <x:c r="J136" s="14" t="str">
        <x:v>Post-study cohort</x:v>
      </x:c>
      <x:c r="K136" s="14" t="n">
        <x:v>2022</x:v>
      </x:c>
      <x:c r="L136" s="14" t="str">
        <x:v>Not inherited</x:v>
      </x:c>
      <x:c r="M136" s="15" t="n">
        <x:v>53</x:v>
      </x:c>
      <x:c r="N136" s="14" t="str">
        <x:v>Jess Douglas-Welsh</x:v>
      </x:c>
      <x:c r="O136" s="14" t="str">
        <x:v>nm16466133</x:v>
      </x:c>
      <x:c r="P136" s="14" t="str">
        <x:v>Lisa Sterling</x:v>
      </x:c>
      <x:c r="Q136" s="15" t="n">
        <x:v>1</x:v>
      </x:c>
      <x:c r="R136" s="14" t="str">
        <x:v>2026</x:v>
      </x:c>
      <x:c r="S136" s="14" t="n">
        <x:v>2026</x:v>
      </x:c>
      <x:c r="T136" s="14" t="n">
        <x:v>2026</x:v>
      </x:c>
      <x:c r="U136" s="14" t="str">
        <x:v>Explicit source first year retained</x:v>
      </x:c>
      <x:c r="V136" s="14" t="str">
        <x:v>Earliest supplied year is 2026.</x:v>
      </x:c>
      <x:c r="W136" s="14"/>
      <x:c r="X136" s="14" t="str">
        <x:v>Excluded: after 2025</x:v>
      </x:c>
      <x:c r="Y136" s="14"/>
      <x:c r="Z136" s="14" t="str">
        <x:v>Granite Harbour.docx</x:v>
      </x:c>
      <x:c r="AA13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BBC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HYPERLINK("https://en.wikipedia.org/wiki/Granite_Harbour","Open source")</x:f>
        <x:v>HYPERLINK is not implemented. linkLocation=https://en.wikipedia.org/wiki/Granite_Harbour, friendlyName=Open source</x:v>
      </x:c>
      <x:c r="AN136" s="14" t="str">
        <x:v>BBC public-service commission</x:v>
      </x:c>
      <x:c r="AO136" s="14" t="str">
        <x:v>Yes</x:v>
      </x:c>
      <x:c r="AP136" s="14" t="str">
        <x:v>Direct BBC public-service scope</x:v>
      </x:c>
      <x:c r="AQ136" s="14" t="str">
        <x:v>Yes</x:v>
      </x:c>
      <x:c r="AR136" s="14" t="str">
        <x:v>Resolved from master register</x:v>
      </x:c>
      <x:c r="AS136" s="14" t="str">
        <x:v>No established-register match</x:v>
      </x:c>
      <x:c r="AT136" s="14"/>
      <x:c r="AU136" s="14"/>
      <x:c r="AV136" s="14" t="str">
        <x:v>No established apparent-disability match</x:v>
      </x:c>
      <x:c r="AW136" s="14"/>
      <x:c r="AX136" s="14" t="str">
        <x:v>No</x:v>
      </x:c>
      <x:c r="AY136" s="14" t="str">
        <x:v>Unmatched</x:v>
      </x:c>
      <x:c r="AZ136" s="14" t="str">
        <x:v>Final supplied register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9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0.1111111111111111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tt20224612|nm4551678|matty gough</x:v>
      </x:c>
      <x:c r="B137" s="14" t="str">
        <x:v>02</x:v>
      </x:c>
      <x:c r="C137" s="14" t="str">
        <x:v>2022_IMDb_Cast_Lists_Batch_02(1).xlsx</x:v>
      </x:c>
      <x:c r="D137" s="14" t="str">
        <x:v>Granite Harbour</x:v>
      </x:c>
      <x:c r="E137" s="14" t="n">
        <x:v>61</x:v>
      </x:c>
      <x:c r="F137" s="14" t="str">
        <x:v>Granite Harbour</x:v>
      </x:c>
      <x:c r="G137" s="14" t="str">
        <x:v>tt20224612</x:v>
      </x:c>
      <x:c r="H137" s="14" t="n">
        <x:v>2022</x:v>
      </x:c>
      <x:c r="I137" s="14" t="n">
        <x:v>2023</x:v>
      </x:c>
      <x:c r="J137" s="14" t="str">
        <x:v>Post-study cohort</x:v>
      </x:c>
      <x:c r="K137" s="14" t="n">
        <x:v>2022</x:v>
      </x:c>
      <x:c r="L137" s="14" t="str">
        <x:v>Not inherited</x:v>
      </x:c>
      <x:c r="M137" s="15" t="n">
        <x:v>54</x:v>
      </x:c>
      <x:c r="N137" s="14" t="str">
        <x:v>Bailey Newsome</x:v>
      </x:c>
      <x:c r="O137" s="14" t="str">
        <x:v>nm4551678</x:v>
      </x:c>
      <x:c r="P137" s="14" t="str">
        <x:v>Matty Gough</x:v>
      </x:c>
      <x:c r="Q137" s="15" t="n">
        <x:v>1</x:v>
      </x:c>
      <x:c r="R137" s="14" t="str">
        <x:v>2026</x:v>
      </x:c>
      <x:c r="S137" s="14" t="n">
        <x:v>2026</x:v>
      </x:c>
      <x:c r="T137" s="14" t="n">
        <x:v>2026</x:v>
      </x:c>
      <x:c r="U137" s="14" t="str">
        <x:v>Explicit source first year retained</x:v>
      </x:c>
      <x:c r="V137" s="14" t="str">
        <x:v>Earliest supplied year is 2026.</x:v>
      </x:c>
      <x:c r="W137" s="14"/>
      <x:c r="X137" s="14" t="str">
        <x:v>Excluded: after 2025</x:v>
      </x:c>
      <x:c r="Y137" s="14"/>
      <x:c r="Z137" s="14" t="str">
        <x:v>Granite Harbour.docx</x:v>
      </x:c>
      <x:c r="AA1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BBC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HYPERLINK("https://en.wikipedia.org/wiki/Granite_Harbour","Open source")</x:f>
        <x:v>HYPERLINK is not implemented. linkLocation=https://en.wikipedia.org/wiki/Granite_Harbour, friendlyName=Open source</x:v>
      </x:c>
      <x:c r="AN137" s="14" t="str">
        <x:v>BBC public-service commission</x:v>
      </x:c>
      <x:c r="AO137" s="14" t="str">
        <x:v>Yes</x:v>
      </x:c>
      <x:c r="AP137" s="14" t="str">
        <x:v>Direct BBC public-service scope</x:v>
      </x:c>
      <x:c r="AQ137" s="14" t="str">
        <x:v>Yes</x:v>
      </x:c>
      <x:c r="AR137" s="14" t="str">
        <x:v>Resolved from master register</x:v>
      </x:c>
      <x:c r="AS137" s="14" t="str">
        <x:v>No established-register match</x:v>
      </x:c>
      <x:c r="AT137" s="14"/>
      <x:c r="AU137" s="14"/>
      <x:c r="AV137" s="14" t="str">
        <x:v>No established apparent-disability match</x:v>
      </x:c>
      <x:c r="AW137" s="14"/>
      <x:c r="AX137" s="14" t="str">
        <x:v>No</x:v>
      </x:c>
      <x:c r="AY137" s="14" t="str">
        <x:v>Unmatched</x:v>
      </x:c>
      <x:c r="AZ137" s="14" t="str">
        <x:v>Final supplied register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9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0.1111111111111111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tt20224612|nm11736782|romany traveller</x:v>
      </x:c>
      <x:c r="B138" s="14" t="str">
        <x:v>02</x:v>
      </x:c>
      <x:c r="C138" s="14" t="str">
        <x:v>2022_IMDb_Cast_Lists_Batch_02(1).xlsx</x:v>
      </x:c>
      <x:c r="D138" s="14" t="str">
        <x:v>Granite Harbour</x:v>
      </x:c>
      <x:c r="E138" s="14" t="n">
        <x:v>62</x:v>
      </x:c>
      <x:c r="F138" s="14" t="str">
        <x:v>Granite Harbour</x:v>
      </x:c>
      <x:c r="G138" s="14" t="str">
        <x:v>tt20224612</x:v>
      </x:c>
      <x:c r="H138" s="14" t="n">
        <x:v>2022</x:v>
      </x:c>
      <x:c r="I138" s="14" t="n">
        <x:v>2023</x:v>
      </x:c>
      <x:c r="J138" s="14" t="str">
        <x:v>Post-study cohort</x:v>
      </x:c>
      <x:c r="K138" s="14" t="n">
        <x:v>2022</x:v>
      </x:c>
      <x:c r="L138" s="14" t="str">
        <x:v>Not inherited</x:v>
      </x:c>
      <x:c r="M138" s="15" t="n">
        <x:v>55</x:v>
      </x:c>
      <x:c r="N138" s="14" t="str">
        <x:v>Kyle McGuinness</x:v>
      </x:c>
      <x:c r="O138" s="14" t="str">
        <x:v>nm11736782</x:v>
      </x:c>
      <x:c r="P138" s="14" t="str">
        <x:v>Romany Traveller</x:v>
      </x:c>
      <x:c r="Q138" s="15" t="n">
        <x:v>1</x:v>
      </x:c>
      <x:c r="R138" s="14" t="str">
        <x:v>2026</x:v>
      </x:c>
      <x:c r="S138" s="14" t="n">
        <x:v>2026</x:v>
      </x:c>
      <x:c r="T138" s="14" t="n">
        <x:v>2026</x:v>
      </x:c>
      <x:c r="U138" s="14" t="str">
        <x:v>Explicit source first year retained</x:v>
      </x:c>
      <x:c r="V138" s="14" t="str">
        <x:v>Earliest supplied year is 2026.</x:v>
      </x:c>
      <x:c r="W138" s="14"/>
      <x:c r="X138" s="14" t="str">
        <x:v>Excluded: after 2025</x:v>
      </x:c>
      <x:c r="Y138" s="14"/>
      <x:c r="Z138" s="14" t="str">
        <x:v>Granite Harbour.docx</x:v>
      </x:c>
      <x:c r="AA1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BBC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HYPERLINK("https://en.wikipedia.org/wiki/Granite_Harbour","Open source")</x:f>
        <x:v>HYPERLINK is not implemented. linkLocation=https://en.wikipedia.org/wiki/Granite_Harbour, friendlyName=Open source</x:v>
      </x:c>
      <x:c r="AN138" s="14" t="str">
        <x:v>BBC public-service commission</x:v>
      </x:c>
      <x:c r="AO138" s="14" t="str">
        <x:v>Yes</x:v>
      </x:c>
      <x:c r="AP138" s="14" t="str">
        <x:v>Direct BBC public-service scope</x:v>
      </x:c>
      <x:c r="AQ138" s="14" t="str">
        <x:v>Yes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9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0.1111111111111111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tt15210882|nm2720748|daryl</x:v>
      </x:c>
      <x:c r="B139" s="14" t="str">
        <x:v>05</x:v>
      </x:c>
      <x:c r="C139" s="14" t="str">
        <x:v>2022_IMDb_Cast_Lists_Batch_05(1).xlsx</x:v>
      </x:c>
      <x:c r="D139" s="14" t="str">
        <x:v>The Dry</x:v>
      </x:c>
      <x:c r="E139" s="14" t="n">
        <x:v>20</x:v>
      </x:c>
      <x:c r="F139" s="14" t="str">
        <x:v>The Dry</x:v>
      </x:c>
      <x:c r="G139" s="14" t="str">
        <x:v>tt15210882</x:v>
      </x:c>
      <x:c r="H139" s="14" t="n">
        <x:v>2022</x:v>
      </x:c>
      <x:c r="I139" s="14" t="n">
        <x:v>2023</x:v>
      </x:c>
      <x:c r="J139" s="14" t="str">
        <x:v>Post-study cohort</x:v>
      </x:c>
      <x:c r="K139" s="14" t="n">
        <x:v>2022</x:v>
      </x:c>
      <x:c r="L139" s="14" t="str">
        <x:v>Not inherited</x:v>
      </x:c>
      <x:c r="M139" s="15" t="n">
        <x:v>13</x:v>
      </x:c>
      <x:c r="N139" s="14" t="str">
        <x:v>Rick Donald</x:v>
      </x:c>
      <x:c r="O139" s="14" t="str">
        <x:v>nm2720748</x:v>
      </x:c>
      <x:c r="P139" s="14" t="str">
        <x:v>Daryl</x:v>
      </x:c>
      <x:c r="Q139" s="15" t="n">
        <x:v>8</x:v>
      </x:c>
      <x:c r="R139" s="14" t="str">
        <x:v>2026</x:v>
      </x:c>
      <x:c r="S139" s="14" t="n">
        <x:v>2026</x:v>
      </x:c>
      <x:c r="T139" s="14" t="n">
        <x:v>2026</x:v>
      </x:c>
      <x:c r="U139" s="14" t="str">
        <x:v>Explicit source first year retained</x:v>
      </x:c>
      <x:c r="V139" s="14" t="str">
        <x:v>Earliest supplied year is 2026.</x:v>
      </x:c>
      <x:c r="W139" s="14"/>
      <x:c r="X139" s="14" t="str">
        <x:v>Excluded: after 2025</x:v>
      </x:c>
      <x:c r="Y139" s="14"/>
      <x:c r="Z139" s="14" t="str">
        <x:v>The Dry.docx</x:v>
      </x:c>
      <x:c r="AA13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BritBox UK</x:v>
      </x:c>
      <x:c r="AI139" s="14" t="str">
        <x:v>Qualifying UK co-commission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qualifying uk co-commission.</x:v>
      </x:c>
      <x:c r="AM139" s="17" t="e">
        <x:f>HYPERLINK("https://en.wikipedia.org/wiki/Dry","Open source")</x:f>
        <x:v>HYPERLINK is not implemented. linkLocation=https://en.wikipedia.org/wiki/Dry, friendlyName=Open source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24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8</x:v>
      </x:c>
      <x:c r="BS139" s="16" t="n">
        <x:v>0.3333333333333333</x:v>
      </x:c>
      <x:c r="BT139" s="14" t="str">
        <x:v>Minority of episodes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tt15210882|nm18436003|vicky</x:v>
      </x:c>
      <x:c r="B140" s="14" t="str">
        <x:v>05</x:v>
      </x:c>
      <x:c r="C140" s="14" t="str">
        <x:v>2022_IMDb_Cast_Lists_Batch_05(1).xlsx</x:v>
      </x:c>
      <x:c r="D140" s="14" t="str">
        <x:v>The Dry</x:v>
      </x:c>
      <x:c r="E140" s="14" t="n">
        <x:v>29</x:v>
      </x:c>
      <x:c r="F140" s="14" t="str">
        <x:v>The Dry</x:v>
      </x:c>
      <x:c r="G140" s="14" t="str">
        <x:v>tt15210882</x:v>
      </x:c>
      <x:c r="H140" s="14" t="n">
        <x:v>2022</x:v>
      </x:c>
      <x:c r="I140" s="14" t="n">
        <x:v>2023</x:v>
      </x:c>
      <x:c r="J140" s="14" t="str">
        <x:v>Post-study cohort</x:v>
      </x:c>
      <x:c r="K140" s="14" t="n">
        <x:v>2022</x:v>
      </x:c>
      <x:c r="L140" s="14" t="str">
        <x:v>Not inherited</x:v>
      </x:c>
      <x:c r="M140" s="15" t="n">
        <x:v>22</x:v>
      </x:c>
      <x:c r="N140" s="14" t="str">
        <x:v>Claire O'Leary</x:v>
      </x:c>
      <x:c r="O140" s="14" t="str">
        <x:v>nm18436003</x:v>
      </x:c>
      <x:c r="P140" s="14" t="str">
        <x:v>Vicky</x:v>
      </x:c>
      <x:c r="Q140" s="15" t="n">
        <x:v>6</x:v>
      </x:c>
      <x:c r="R140" s="14" t="str">
        <x:v>2026</x:v>
      </x:c>
      <x:c r="S140" s="14" t="n">
        <x:v>2026</x:v>
      </x:c>
      <x:c r="T140" s="14" t="n">
        <x:v>2026</x:v>
      </x:c>
      <x:c r="U140" s="14" t="str">
        <x:v>Explicit source first year retained</x:v>
      </x:c>
      <x:c r="V140" s="14" t="str">
        <x:v>Earliest supplied year is 2026.</x:v>
      </x:c>
      <x:c r="W140" s="14"/>
      <x:c r="X140" s="14" t="str">
        <x:v>Excluded: after 2025</x:v>
      </x:c>
      <x:c r="Y140" s="14"/>
      <x:c r="Z140" s="14" t="str">
        <x:v>The Dry.docx</x:v>
      </x:c>
      <x:c r="AA14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BritBox UK</x:v>
      </x:c>
      <x:c r="AI140" s="14" t="str">
        <x:v>Qualifying UK co-commission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qualifying uk co-commission.</x:v>
      </x:c>
      <x:c r="AM140" s="17" t="e">
        <x:f>HYPERLINK("https://en.wikipedia.org/wiki/Dry","Open source")</x:f>
        <x:v>HYPERLINK is not implemented. linkLocation=https://en.wikipedia.org/wiki/Dry, friendlyName=Open source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 t="str">
        <x:v>No established-register match</x:v>
      </x:c>
      <x:c r="AT140" s="14"/>
      <x:c r="AU140" s="14"/>
      <x:c r="AV140" s="14" t="str">
        <x:v>No established apparent-disability match</x:v>
      </x:c>
      <x:c r="AW140" s="14"/>
      <x:c r="AX140" s="14" t="str">
        <x:v>No</x:v>
      </x:c>
      <x:c r="AY140" s="14" t="str">
        <x:v>Unmatched</x:v>
      </x:c>
      <x:c r="AZ140" s="14" t="str">
        <x:v>Final supplied register</x:v>
      </x:c>
      <x:c r="BA140" s="14" t="str">
        <x:v>Absence from the register is not evidence that the performer is not disabled.</x:v>
      </x:c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24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6</x:v>
      </x:c>
      <x:c r="BS140" s="16" t="n">
        <x:v>0.25</x:v>
      </x:c>
      <x:c r="BT140" s="14" t="str">
        <x:v>Minority of episodes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tt15210882|nm7643330|kathy</x:v>
      </x:c>
      <x:c r="B141" s="14" t="str">
        <x:v>05</x:v>
      </x:c>
      <x:c r="C141" s="14" t="str">
        <x:v>2022_IMDb_Cast_Lists_Batch_05(1).xlsx</x:v>
      </x:c>
      <x:c r="D141" s="14" t="str">
        <x:v>The Dry</x:v>
      </x:c>
      <x:c r="E141" s="14" t="n">
        <x:v>35</x:v>
      </x:c>
      <x:c r="F141" s="14" t="str">
        <x:v>The Dry</x:v>
      </x:c>
      <x:c r="G141" s="14" t="str">
        <x:v>tt15210882</x:v>
      </x:c>
      <x:c r="H141" s="14" t="n">
        <x:v>2022</x:v>
      </x:c>
      <x:c r="I141" s="14" t="n">
        <x:v>2023</x:v>
      </x:c>
      <x:c r="J141" s="14" t="str">
        <x:v>Post-study cohort</x:v>
      </x:c>
      <x:c r="K141" s="14" t="n">
        <x:v>2022</x:v>
      </x:c>
      <x:c r="L141" s="14" t="str">
        <x:v>Not inherited</x:v>
      </x:c>
      <x:c r="M141" s="15" t="n">
        <x:v>28</x:v>
      </x:c>
      <x:c r="N141" s="14" t="str">
        <x:v>Aisling O'Mara</x:v>
      </x:c>
      <x:c r="O141" s="14" t="str">
        <x:v>nm7643330</x:v>
      </x:c>
      <x:c r="P141" s="14" t="str">
        <x:v>Kathy</x:v>
      </x:c>
      <x:c r="Q141" s="15" t="n">
        <x:v>3</x:v>
      </x:c>
      <x:c r="R141" s="14" t="str">
        <x:v>2026</x:v>
      </x:c>
      <x:c r="S141" s="14" t="n">
        <x:v>2026</x:v>
      </x:c>
      <x:c r="T141" s="14" t="n">
        <x:v>2026</x:v>
      </x:c>
      <x:c r="U141" s="14" t="str">
        <x:v>Explicit source first year retained</x:v>
      </x:c>
      <x:c r="V141" s="14" t="str">
        <x:v>Earliest supplied year is 2026.</x:v>
      </x:c>
      <x:c r="W141" s="14"/>
      <x:c r="X141" s="14" t="str">
        <x:v>Excluded: after 2025</x:v>
      </x:c>
      <x:c r="Y141" s="14"/>
      <x:c r="Z141" s="14" t="str">
        <x:v>The Dry.docx</x:v>
      </x:c>
      <x:c r="AA14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BritBox UK</x:v>
      </x:c>
      <x:c r="AI141" s="14" t="str">
        <x:v>Qualifying UK co-commission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qualifying uk co-commission.</x:v>
      </x:c>
      <x:c r="AM141" s="17" t="e">
        <x:f>HYPERLINK("https://en.wikipedia.org/wiki/Dry","Open source")</x:f>
        <x:v>HYPERLINK is not implemented. linkLocation=https://en.wikipedia.org/wiki/Dry, friendlyName=Open source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24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3</x:v>
      </x:c>
      <x:c r="BS141" s="16" t="n">
        <x:v>0.125</x:v>
      </x:c>
      <x:c r="BT141" s="14" t="str">
        <x:v>Minority of episodes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tt15210882|nm2393156|phyllis</x:v>
      </x:c>
      <x:c r="B142" s="14" t="str">
        <x:v>05</x:v>
      </x:c>
      <x:c r="C142" s="14" t="str">
        <x:v>2022_IMDb_Cast_Lists_Batch_05(1).xlsx</x:v>
      </x:c>
      <x:c r="D142" s="14" t="str">
        <x:v>The Dry</x:v>
      </x:c>
      <x:c r="E142" s="14" t="n">
        <x:v>37</x:v>
      </x:c>
      <x:c r="F142" s="14" t="str">
        <x:v>The Dry</x:v>
      </x:c>
      <x:c r="G142" s="14" t="str">
        <x:v>tt15210882</x:v>
      </x:c>
      <x:c r="H142" s="14" t="n">
        <x:v>2022</x:v>
      </x:c>
      <x:c r="I142" s="14" t="n">
        <x:v>2023</x:v>
      </x:c>
      <x:c r="J142" s="14" t="str">
        <x:v>Post-study cohort</x:v>
      </x:c>
      <x:c r="K142" s="14" t="n">
        <x:v>2022</x:v>
      </x:c>
      <x:c r="L142" s="14" t="str">
        <x:v>Not inherited</x:v>
      </x:c>
      <x:c r="M142" s="15" t="n">
        <x:v>30</x:v>
      </x:c>
      <x:c r="N142" s="14" t="str">
        <x:v>Diana O'Connor</x:v>
      </x:c>
      <x:c r="O142" s="14" t="str">
        <x:v>nm2393156</x:v>
      </x:c>
      <x:c r="P142" s="14" t="str">
        <x:v>Phyllis</x:v>
      </x:c>
      <x:c r="Q142" s="15" t="n">
        <x:v>3</x:v>
      </x:c>
      <x:c r="R142" s="14" t="str">
        <x:v>2026</x:v>
      </x:c>
      <x:c r="S142" s="14" t="n">
        <x:v>2026</x:v>
      </x:c>
      <x:c r="T142" s="14" t="n">
        <x:v>2026</x:v>
      </x:c>
      <x:c r="U142" s="14" t="str">
        <x:v>Explicit source first year retained</x:v>
      </x:c>
      <x:c r="V142" s="14" t="str">
        <x:v>Earliest supplied year is 2026.</x:v>
      </x:c>
      <x:c r="W142" s="14"/>
      <x:c r="X142" s="14" t="str">
        <x:v>Excluded: after 2025</x:v>
      </x:c>
      <x:c r="Y142" s="14"/>
      <x:c r="Z142" s="14" t="str">
        <x:v>The Dry.docx</x:v>
      </x:c>
      <x:c r="AA14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BritBox UK</x:v>
      </x:c>
      <x:c r="AI142" s="14" t="str">
        <x:v>Qualifying UK co-commission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qualifying uk co-commission.</x:v>
      </x:c>
      <x:c r="AM142" s="17" t="e">
        <x:f>HYPERLINK("https://en.wikipedia.org/wiki/Dry","Open source")</x:f>
        <x:v>HYPERLINK is not implemented. linkLocation=https://en.wikipedia.org/wiki/Dry, friendlyName=Open source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24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3</x:v>
      </x:c>
      <x:c r="BS142" s="16" t="n">
        <x:v>0.125</x:v>
      </x:c>
      <x:c r="BT142" s="14" t="str">
        <x:v>Minority of episodes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tt15210882|nm5342848|anna</x:v>
      </x:c>
      <x:c r="B143" s="14" t="str">
        <x:v>05</x:v>
      </x:c>
      <x:c r="C143" s="14" t="str">
        <x:v>2022_IMDb_Cast_Lists_Batch_05(1).xlsx</x:v>
      </x:c>
      <x:c r="D143" s="14" t="str">
        <x:v>The Dry</x:v>
      </x:c>
      <x:c r="E143" s="14" t="n">
        <x:v>40</x:v>
      </x:c>
      <x:c r="F143" s="14" t="str">
        <x:v>The Dry</x:v>
      </x:c>
      <x:c r="G143" s="14" t="str">
        <x:v>tt15210882</x:v>
      </x:c>
      <x:c r="H143" s="14" t="n">
        <x:v>2022</x:v>
      </x:c>
      <x:c r="I143" s="14" t="n">
        <x:v>2023</x:v>
      </x:c>
      <x:c r="J143" s="14" t="str">
        <x:v>Post-study cohort</x:v>
      </x:c>
      <x:c r="K143" s="14" t="n">
        <x:v>2022</x:v>
      </x:c>
      <x:c r="L143" s="14" t="str">
        <x:v>Not inherited</x:v>
      </x:c>
      <x:c r="M143" s="15" t="n">
        <x:v>33</x:v>
      </x:c>
      <x:c r="N143" s="14" t="str">
        <x:v>Imogen Doel</x:v>
      </x:c>
      <x:c r="O143" s="14" t="str">
        <x:v>nm5342848</x:v>
      </x:c>
      <x:c r="P143" s="14" t="str">
        <x:v>Anna</x:v>
      </x:c>
      <x:c r="Q143" s="15" t="n">
        <x:v>3</x:v>
      </x:c>
      <x:c r="R143" s="14" t="str">
        <x:v>2026</x:v>
      </x:c>
      <x:c r="S143" s="14" t="n">
        <x:v>2026</x:v>
      </x:c>
      <x:c r="T143" s="14" t="n">
        <x:v>2026</x:v>
      </x:c>
      <x:c r="U143" s="14" t="str">
        <x:v>Explicit source first year retained</x:v>
      </x:c>
      <x:c r="V143" s="14" t="str">
        <x:v>Earliest supplied year is 2026.</x:v>
      </x:c>
      <x:c r="W143" s="14"/>
      <x:c r="X143" s="14" t="str">
        <x:v>Excluded: after 2025</x:v>
      </x:c>
      <x:c r="Y143" s="14"/>
      <x:c r="Z143" s="14" t="str">
        <x:v>The Dry.docx</x:v>
      </x:c>
      <x:c r="AA14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BritBox UK</x:v>
      </x:c>
      <x:c r="AI143" s="14" t="str">
        <x:v>Qualifying UK co-commission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qualifying uk co-commission.</x:v>
      </x:c>
      <x:c r="AM143" s="17" t="e">
        <x:f>HYPERLINK("https://en.wikipedia.org/wiki/Dry","Open source")</x:f>
        <x:v>HYPERLINK is not implemented. linkLocation=https://en.wikipedia.org/wiki/Dry, friendlyName=Open source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24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3</x:v>
      </x:c>
      <x:c r="BS143" s="16" t="n">
        <x:v>0.125</x:v>
      </x:c>
      <x:c r="BT143" s="14" t="str">
        <x:v>Minority of episodes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tt15210882|nm16596521|nicky</x:v>
      </x:c>
      <x:c r="B144" s="14" t="str">
        <x:v>05</x:v>
      </x:c>
      <x:c r="C144" s="14" t="str">
        <x:v>2022_IMDb_Cast_Lists_Batch_05(1).xlsx</x:v>
      </x:c>
      <x:c r="D144" s="14" t="str">
        <x:v>The Dry</x:v>
      </x:c>
      <x:c r="E144" s="14" t="n">
        <x:v>43</x:v>
      </x:c>
      <x:c r="F144" s="14" t="str">
        <x:v>The Dry</x:v>
      </x:c>
      <x:c r="G144" s="14" t="str">
        <x:v>tt15210882</x:v>
      </x:c>
      <x:c r="H144" s="14" t="n">
        <x:v>2022</x:v>
      </x:c>
      <x:c r="I144" s="14" t="n">
        <x:v>2023</x:v>
      </x:c>
      <x:c r="J144" s="14" t="str">
        <x:v>Post-study cohort</x:v>
      </x:c>
      <x:c r="K144" s="14" t="n">
        <x:v>2022</x:v>
      </x:c>
      <x:c r="L144" s="14" t="str">
        <x:v>Not inherited</x:v>
      </x:c>
      <x:c r="M144" s="15" t="n">
        <x:v>36</x:v>
      </x:c>
      <x:c r="N144" s="14" t="str">
        <x:v>Morgan Savidan</x:v>
      </x:c>
      <x:c r="O144" s="14" t="str">
        <x:v>nm16596521</x:v>
      </x:c>
      <x:c r="P144" s="14" t="str">
        <x:v>Nicky</x:v>
      </x:c>
      <x:c r="Q144" s="15" t="n">
        <x:v>3</x:v>
      </x:c>
      <x:c r="R144" s="14" t="str">
        <x:v>2026</x:v>
      </x:c>
      <x:c r="S144" s="14" t="n">
        <x:v>2026</x:v>
      </x:c>
      <x:c r="T144" s="14" t="n">
        <x:v>2026</x:v>
      </x:c>
      <x:c r="U144" s="14" t="str">
        <x:v>Explicit source first year retained</x:v>
      </x:c>
      <x:c r="V144" s="14" t="str">
        <x:v>Earliest supplied year is 2026.</x:v>
      </x:c>
      <x:c r="W144" s="14"/>
      <x:c r="X144" s="14" t="str">
        <x:v>Excluded: after 2025</x:v>
      </x:c>
      <x:c r="Y144" s="14"/>
      <x:c r="Z144" s="14" t="str">
        <x:v>The Dry.docx</x:v>
      </x:c>
      <x:c r="AA14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BritBox UK</x:v>
      </x:c>
      <x:c r="AI144" s="14" t="str">
        <x:v>Qualifying UK co-commission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qualifying uk co-commission.</x:v>
      </x:c>
      <x:c r="AM144" s="17" t="e">
        <x:f>HYPERLINK("https://en.wikipedia.org/wiki/Dry","Open source")</x:f>
        <x:v>HYPERLINK is not implemented. linkLocation=https://en.wikipedia.org/wiki/Dry, friendlyName=Open source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24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3</x:v>
      </x:c>
      <x:c r="BS144" s="16" t="n">
        <x:v>0.125</x:v>
      </x:c>
      <x:c r="BT144" s="14" t="str">
        <x:v>Minority of episodes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tt15210882|nm18437236|freddie</x:v>
      </x:c>
      <x:c r="B145" s="14" t="str">
        <x:v>05</x:v>
      </x:c>
      <x:c r="C145" s="14" t="str">
        <x:v>2022_IMDb_Cast_Lists_Batch_05(1).xlsx</x:v>
      </x:c>
      <x:c r="D145" s="14" t="str">
        <x:v>The Dry</x:v>
      </x:c>
      <x:c r="E145" s="14" t="n">
        <x:v>44</x:v>
      </x:c>
      <x:c r="F145" s="14" t="str">
        <x:v>The Dry</x:v>
      </x:c>
      <x:c r="G145" s="14" t="str">
        <x:v>tt15210882</x:v>
      </x:c>
      <x:c r="H145" s="14" t="n">
        <x:v>2022</x:v>
      </x:c>
      <x:c r="I145" s="14" t="n">
        <x:v>2023</x:v>
      </x:c>
      <x:c r="J145" s="14" t="str">
        <x:v>Post-study cohort</x:v>
      </x:c>
      <x:c r="K145" s="14" t="n">
        <x:v>2022</x:v>
      </x:c>
      <x:c r="L145" s="14" t="str">
        <x:v>Not inherited</x:v>
      </x:c>
      <x:c r="M145" s="15" t="n">
        <x:v>37</x:v>
      </x:c>
      <x:c r="N145" s="14" t="str">
        <x:v>Teddy Moore</x:v>
      </x:c>
      <x:c r="O145" s="14" t="str">
        <x:v>nm18437236</x:v>
      </x:c>
      <x:c r="P145" s="14" t="str">
        <x:v>Freddie</x:v>
      </x:c>
      <x:c r="Q145" s="15" t="n">
        <x:v>3</x:v>
      </x:c>
      <x:c r="R145" s="14" t="str">
        <x:v>2026</x:v>
      </x:c>
      <x:c r="S145" s="14" t="n">
        <x:v>2026</x:v>
      </x:c>
      <x:c r="T145" s="14" t="n">
        <x:v>2026</x:v>
      </x:c>
      <x:c r="U145" s="14" t="str">
        <x:v>Explicit source first year retained</x:v>
      </x:c>
      <x:c r="V145" s="14" t="str">
        <x:v>Earliest supplied year is 2026.</x:v>
      </x:c>
      <x:c r="W145" s="14"/>
      <x:c r="X145" s="14" t="str">
        <x:v>Excluded: after 2025</x:v>
      </x:c>
      <x:c r="Y145" s="14"/>
      <x:c r="Z145" s="14" t="str">
        <x:v>The Dry.docx</x:v>
      </x:c>
      <x:c r="AA14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BritBox UK</x:v>
      </x:c>
      <x:c r="AI145" s="14" t="str">
        <x:v>Qualifying UK co-commission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qualifying uk co-commission.</x:v>
      </x:c>
      <x:c r="AM145" s="17" t="e">
        <x:f>HYPERLINK("https://en.wikipedia.org/wiki/Dry","Open source")</x:f>
        <x:v>HYPERLINK is not implemented. linkLocation=https://en.wikipedia.org/wiki/Dry, friendlyName=Open source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24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3</x:v>
      </x:c>
      <x:c r="BS145" s="16" t="n">
        <x:v>0.125</x:v>
      </x:c>
      <x:c r="BT145" s="14" t="str">
        <x:v>Minority of episodes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tt15210882|nm14174071|ben</x:v>
      </x:c>
      <x:c r="B146" s="14" t="str">
        <x:v>05</x:v>
      </x:c>
      <x:c r="C146" s="14" t="str">
        <x:v>2022_IMDb_Cast_Lists_Batch_05(1).xlsx</x:v>
      </x:c>
      <x:c r="D146" s="14" t="str">
        <x:v>The Dry</x:v>
      </x:c>
      <x:c r="E146" s="14" t="n">
        <x:v>45</x:v>
      </x:c>
      <x:c r="F146" s="14" t="str">
        <x:v>The Dry</x:v>
      </x:c>
      <x:c r="G146" s="14" t="str">
        <x:v>tt15210882</x:v>
      </x:c>
      <x:c r="H146" s="14" t="n">
        <x:v>2022</x:v>
      </x:c>
      <x:c r="I146" s="14" t="n">
        <x:v>2023</x:v>
      </x:c>
      <x:c r="J146" s="14" t="str">
        <x:v>Post-study cohort</x:v>
      </x:c>
      <x:c r="K146" s="14" t="n">
        <x:v>2022</x:v>
      </x:c>
      <x:c r="L146" s="14" t="str">
        <x:v>Not inherited</x:v>
      </x:c>
      <x:c r="M146" s="15" t="n">
        <x:v>38</x:v>
      </x:c>
      <x:c r="N146" s="14" t="str">
        <x:v>David Ogumefu</x:v>
      </x:c>
      <x:c r="O146" s="14" t="str">
        <x:v>nm14174071</x:v>
      </x:c>
      <x:c r="P146" s="14" t="str">
        <x:v>Ben</x:v>
      </x:c>
      <x:c r="Q146" s="15" t="n">
        <x:v>3</x:v>
      </x:c>
      <x:c r="R146" s="14" t="str">
        <x:v>2026</x:v>
      </x:c>
      <x:c r="S146" s="14" t="n">
        <x:v>2026</x:v>
      </x:c>
      <x:c r="T146" s="14" t="n">
        <x:v>2026</x:v>
      </x:c>
      <x:c r="U146" s="14" t="str">
        <x:v>Explicit source first year retained</x:v>
      </x:c>
      <x:c r="V146" s="14" t="str">
        <x:v>Earliest supplied year is 2026.</x:v>
      </x:c>
      <x:c r="W146" s="14"/>
      <x:c r="X146" s="14" t="str">
        <x:v>Excluded: after 2025</x:v>
      </x:c>
      <x:c r="Y146" s="14"/>
      <x:c r="Z146" s="14" t="str">
        <x:v>The Dry.docx</x:v>
      </x:c>
      <x:c r="AA14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BritBox UK</x:v>
      </x:c>
      <x:c r="AI146" s="14" t="str">
        <x:v>Qualifying UK co-commission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qualifying uk co-commission.</x:v>
      </x:c>
      <x:c r="AM146" s="17" t="e">
        <x:f>HYPERLINK("https://en.wikipedia.org/wiki/Dry","Open source")</x:f>
        <x:v>HYPERLINK is not implemented. linkLocation=https://en.wikipedia.org/wiki/Dry, friendlyName=Open source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24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3</x:v>
      </x:c>
      <x:c r="BS146" s="16" t="n">
        <x:v>0.125</x:v>
      </x:c>
      <x:c r="BT146" s="14" t="str">
        <x:v>Minority of episodes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tt15210882|nm0828302|valerie</x:v>
      </x:c>
      <x:c r="B147" s="14" t="str">
        <x:v>05</x:v>
      </x:c>
      <x:c r="C147" s="14" t="str">
        <x:v>2022_IMDb_Cast_Lists_Batch_05(1).xlsx</x:v>
      </x:c>
      <x:c r="D147" s="14" t="str">
        <x:v>The Dry</x:v>
      </x:c>
      <x:c r="E147" s="14" t="n">
        <x:v>46</x:v>
      </x:c>
      <x:c r="F147" s="14" t="str">
        <x:v>The Dry</x:v>
      </x:c>
      <x:c r="G147" s="14" t="str">
        <x:v>tt15210882</x:v>
      </x:c>
      <x:c r="H147" s="14" t="n">
        <x:v>2022</x:v>
      </x:c>
      <x:c r="I147" s="14" t="n">
        <x:v>2023</x:v>
      </x:c>
      <x:c r="J147" s="14" t="str">
        <x:v>Post-study cohort</x:v>
      </x:c>
      <x:c r="K147" s="14" t="n">
        <x:v>2022</x:v>
      </x:c>
      <x:c r="L147" s="14" t="str">
        <x:v>Not inherited</x:v>
      </x:c>
      <x:c r="M147" s="15" t="n">
        <x:v>39</x:v>
      </x:c>
      <x:c r="N147" s="14" t="str">
        <x:v>Carmel Stephens</x:v>
      </x:c>
      <x:c r="O147" s="14" t="str">
        <x:v>nm0828302</x:v>
      </x:c>
      <x:c r="P147" s="14" t="str">
        <x:v>Valerie</x:v>
      </x:c>
      <x:c r="Q147" s="15" t="n">
        <x:v>2</x:v>
      </x:c>
      <x:c r="R147" s="14" t="str">
        <x:v>2026</x:v>
      </x:c>
      <x:c r="S147" s="14" t="n">
        <x:v>2026</x:v>
      </x:c>
      <x:c r="T147" s="14" t="n">
        <x:v>2026</x:v>
      </x:c>
      <x:c r="U147" s="14" t="str">
        <x:v>Explicit source first year retained</x:v>
      </x:c>
      <x:c r="V147" s="14" t="str">
        <x:v>Earliest supplied year is 2026.</x:v>
      </x:c>
      <x:c r="W147" s="14"/>
      <x:c r="X147" s="14" t="str">
        <x:v>Excluded: after 2025</x:v>
      </x:c>
      <x:c r="Y147" s="14"/>
      <x:c r="Z147" s="14" t="str">
        <x:v>The Dry.docx</x:v>
      </x:c>
      <x:c r="AA14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BritBox UK</x:v>
      </x:c>
      <x:c r="AI147" s="14" t="str">
        <x:v>Qualifying UK co-commission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qualifying uk co-commission.</x:v>
      </x:c>
      <x:c r="AM147" s="17" t="e">
        <x:f>HYPERLINK("https://en.wikipedia.org/wiki/Dry","Open source")</x:f>
        <x:v>HYPERLINK is not implemented. linkLocation=https://en.wikipedia.org/wiki/Dry, friendlyName=Open source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24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2</x:v>
      </x:c>
      <x:c r="BS147" s="16" t="n">
        <x:v>0.08333333333333333</x:v>
      </x:c>
      <x:c r="BT147" s="14" t="str">
        <x:v>Minority of episodes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tt15210882|nm0790646|greta</x:v>
      </x:c>
      <x:c r="B148" s="14" t="str">
        <x:v>05</x:v>
      </x:c>
      <x:c r="C148" s="14" t="str">
        <x:v>2022_IMDb_Cast_Lists_Batch_05(1).xlsx</x:v>
      </x:c>
      <x:c r="D148" s="14" t="str">
        <x:v>The Dry</x:v>
      </x:c>
      <x:c r="E148" s="14" t="n">
        <x:v>50</x:v>
      </x:c>
      <x:c r="F148" s="14" t="str">
        <x:v>The Dry</x:v>
      </x:c>
      <x:c r="G148" s="14" t="str">
        <x:v>tt15210882</x:v>
      </x:c>
      <x:c r="H148" s="14" t="n">
        <x:v>2022</x:v>
      </x:c>
      <x:c r="I148" s="14" t="n">
        <x:v>2023</x:v>
      </x:c>
      <x:c r="J148" s="14" t="str">
        <x:v>Post-study cohort</x:v>
      </x:c>
      <x:c r="K148" s="14" t="n">
        <x:v>2022</x:v>
      </x:c>
      <x:c r="L148" s="14" t="str">
        <x:v>Not inherited</x:v>
      </x:c>
      <x:c r="M148" s="15" t="n">
        <x:v>43</x:v>
      </x:c>
      <x:c r="N148" s="14" t="str">
        <x:v>Joan Sheehy</x:v>
      </x:c>
      <x:c r="O148" s="14" t="str">
        <x:v>nm0790646</x:v>
      </x:c>
      <x:c r="P148" s="14" t="str">
        <x:v>Greta</x:v>
      </x:c>
      <x:c r="Q148" s="15" t="n">
        <x:v>2</x:v>
      </x:c>
      <x:c r="R148" s="14" t="str">
        <x:v>2026</x:v>
      </x:c>
      <x:c r="S148" s="14" t="n">
        <x:v>2026</x:v>
      </x:c>
      <x:c r="T148" s="14" t="n">
        <x:v>2026</x:v>
      </x:c>
      <x:c r="U148" s="14" t="str">
        <x:v>Explicit source first year retained</x:v>
      </x:c>
      <x:c r="V148" s="14" t="str">
        <x:v>Earliest supplied year is 2026.</x:v>
      </x:c>
      <x:c r="W148" s="14"/>
      <x:c r="X148" s="14" t="str">
        <x:v>Excluded: after 2025</x:v>
      </x:c>
      <x:c r="Y148" s="14"/>
      <x:c r="Z148" s="14" t="str">
        <x:v>The Dry.docx</x:v>
      </x:c>
      <x:c r="AA14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BritBox UK</x:v>
      </x:c>
      <x:c r="AI148" s="14" t="str">
        <x:v>Qualifying UK co-commission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qualifying uk co-commission.</x:v>
      </x:c>
      <x:c r="AM148" s="17" t="e">
        <x:f>HYPERLINK("https://en.wikipedia.org/wiki/Dry","Open source")</x:f>
        <x:v>HYPERLINK is not implemented. linkLocation=https://en.wikipedia.org/wiki/Dry, friendlyName=Open source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24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2</x:v>
      </x:c>
      <x:c r="BS148" s="16" t="n">
        <x:v>0.08333333333333333</x:v>
      </x:c>
      <x:c r="BT148" s="14" t="str">
        <x:v>Minority of episodes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tt15210882|nm15278593|pierce</x:v>
      </x:c>
      <x:c r="B149" s="14" t="str">
        <x:v>05</x:v>
      </x:c>
      <x:c r="C149" s="14" t="str">
        <x:v>2022_IMDb_Cast_Lists_Batch_05(1).xlsx</x:v>
      </x:c>
      <x:c r="D149" s="14" t="str">
        <x:v>The Dry</x:v>
      </x:c>
      <x:c r="E149" s="14" t="n">
        <x:v>57</x:v>
      </x:c>
      <x:c r="F149" s="14" t="str">
        <x:v>The Dry</x:v>
      </x:c>
      <x:c r="G149" s="14" t="str">
        <x:v>tt15210882</x:v>
      </x:c>
      <x:c r="H149" s="14" t="n">
        <x:v>2022</x:v>
      </x:c>
      <x:c r="I149" s="14" t="n">
        <x:v>2023</x:v>
      </x:c>
      <x:c r="J149" s="14" t="str">
        <x:v>Post-study cohort</x:v>
      </x:c>
      <x:c r="K149" s="14" t="n">
        <x:v>2022</x:v>
      </x:c>
      <x:c r="L149" s="14" t="str">
        <x:v>Not inherited</x:v>
      </x:c>
      <x:c r="M149" s="15" t="n">
        <x:v>50</x:v>
      </x:c>
      <x:c r="N149" s="14" t="str">
        <x:v>Derek Wall</x:v>
      </x:c>
      <x:c r="O149" s="14" t="str">
        <x:v>nm15278593</x:v>
      </x:c>
      <x:c r="P149" s="14" t="str">
        <x:v>Pierce</x:v>
      </x:c>
      <x:c r="Q149" s="15" t="n">
        <x:v>2</x:v>
      </x:c>
      <x:c r="R149" s="14" t="str">
        <x:v>2026</x:v>
      </x:c>
      <x:c r="S149" s="14" t="n">
        <x:v>2026</x:v>
      </x:c>
      <x:c r="T149" s="14" t="n">
        <x:v>2026</x:v>
      </x:c>
      <x:c r="U149" s="14" t="str">
        <x:v>Explicit source first year retained</x:v>
      </x:c>
      <x:c r="V149" s="14" t="str">
        <x:v>Earliest supplied year is 2026.</x:v>
      </x:c>
      <x:c r="W149" s="14"/>
      <x:c r="X149" s="14" t="str">
        <x:v>Excluded: after 2025</x:v>
      </x:c>
      <x:c r="Y149" s="14"/>
      <x:c r="Z149" s="14" t="str">
        <x:v>The Dry.docx</x:v>
      </x:c>
      <x:c r="AA14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BritBox UK</x:v>
      </x:c>
      <x:c r="AI149" s="14" t="str">
        <x:v>Qualifying UK co-commission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qualifying uk co-commission.</x:v>
      </x:c>
      <x:c r="AM149" s="17" t="e">
        <x:f>HYPERLINK("https://en.wikipedia.org/wiki/Dry","Open source")</x:f>
        <x:v>HYPERLINK is not implemented. linkLocation=https://en.wikipedia.org/wiki/Dry, friendlyName=Open source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24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2</x:v>
      </x:c>
      <x:c r="BS149" s="16" t="n">
        <x:v>0.08333333333333333</x:v>
      </x:c>
      <x:c r="BT149" s="14" t="str">
        <x:v>Minority of episodes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tt15210882|nm12576666|the priest</x:v>
      </x:c>
      <x:c r="B150" s="14" t="str">
        <x:v>05</x:v>
      </x:c>
      <x:c r="C150" s="14" t="str">
        <x:v>2022_IMDb_Cast_Lists_Batch_05(1).xlsx</x:v>
      </x:c>
      <x:c r="D150" s="14" t="str">
        <x:v>The Dry</x:v>
      </x:c>
      <x:c r="E150" s="14" t="n">
        <x:v>62</x:v>
      </x:c>
      <x:c r="F150" s="14" t="str">
        <x:v>The Dry</x:v>
      </x:c>
      <x:c r="G150" s="14" t="str">
        <x:v>tt15210882</x:v>
      </x:c>
      <x:c r="H150" s="14" t="n">
        <x:v>2022</x:v>
      </x:c>
      <x:c r="I150" s="14" t="n">
        <x:v>2023</x:v>
      </x:c>
      <x:c r="J150" s="14" t="str">
        <x:v>Post-study cohort</x:v>
      </x:c>
      <x:c r="K150" s="14" t="n">
        <x:v>2022</x:v>
      </x:c>
      <x:c r="L150" s="14" t="str">
        <x:v>Not inherited</x:v>
      </x:c>
      <x:c r="M150" s="15" t="n">
        <x:v>55</x:v>
      </x:c>
      <x:c r="N150" s="14" t="str">
        <x:v>Shane Daniel Byrne</x:v>
      </x:c>
      <x:c r="O150" s="14" t="str">
        <x:v>nm12576666</x:v>
      </x:c>
      <x:c r="P150" s="14" t="str">
        <x:v>The Priest</x:v>
      </x:c>
      <x:c r="Q150" s="15" t="n">
        <x:v>1</x:v>
      </x:c>
      <x:c r="R150" s="14" t="str">
        <x:v>2026</x:v>
      </x:c>
      <x:c r="S150" s="14" t="n">
        <x:v>2026</x:v>
      </x:c>
      <x:c r="T150" s="14" t="n">
        <x:v>2026</x:v>
      </x:c>
      <x:c r="U150" s="14" t="str">
        <x:v>Explicit source first year retained</x:v>
      </x:c>
      <x:c r="V150" s="14" t="str">
        <x:v>Earliest supplied year is 2026.</x:v>
      </x:c>
      <x:c r="W150" s="14"/>
      <x:c r="X150" s="14" t="str">
        <x:v>Excluded: after 2025</x:v>
      </x:c>
      <x:c r="Y150" s="14"/>
      <x:c r="Z150" s="14" t="str">
        <x:v>The Dry.docx</x:v>
      </x:c>
      <x:c r="AA15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BritBox UK</x:v>
      </x:c>
      <x:c r="AI150" s="14" t="str">
        <x:v>Qualifying UK co-commission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qualifying uk co-commission.</x:v>
      </x:c>
      <x:c r="AM150" s="17" t="e">
        <x:f>HYPERLINK("https://en.wikipedia.org/wiki/Dry","Open source")</x:f>
        <x:v>HYPERLINK is not implemented. linkLocation=https://en.wikipedia.org/wiki/Dry, friendlyName=Open source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24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0.041666666666666664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tt15210882|nm0568463|dr. reynolds</x:v>
      </x:c>
      <x:c r="B151" s="14" t="str">
        <x:v>05</x:v>
      </x:c>
      <x:c r="C151" s="14" t="str">
        <x:v>2022_IMDb_Cast_Lists_Batch_05(1).xlsx</x:v>
      </x:c>
      <x:c r="D151" s="14" t="str">
        <x:v>The Dry</x:v>
      </x:c>
      <x:c r="E151" s="14" t="n">
        <x:v>63</x:v>
      </x:c>
      <x:c r="F151" s="14" t="str">
        <x:v>The Dry</x:v>
      </x:c>
      <x:c r="G151" s="14" t="str">
        <x:v>tt15210882</x:v>
      </x:c>
      <x:c r="H151" s="14" t="n">
        <x:v>2022</x:v>
      </x:c>
      <x:c r="I151" s="14" t="n">
        <x:v>2023</x:v>
      </x:c>
      <x:c r="J151" s="14" t="str">
        <x:v>Post-study cohort</x:v>
      </x:c>
      <x:c r="K151" s="14" t="n">
        <x:v>2022</x:v>
      </x:c>
      <x:c r="L151" s="14" t="str">
        <x:v>Not inherited</x:v>
      </x:c>
      <x:c r="M151" s="15" t="n">
        <x:v>56</x:v>
      </x:c>
      <x:c r="N151" s="14" t="str">
        <x:v>Gwynne McElveen</x:v>
      </x:c>
      <x:c r="O151" s="14" t="str">
        <x:v>nm0568463</x:v>
      </x:c>
      <x:c r="P151" s="14" t="str">
        <x:v>Dr. Reynolds</x:v>
      </x:c>
      <x:c r="Q151" s="15" t="n">
        <x:v>1</x:v>
      </x:c>
      <x:c r="R151" s="14" t="str">
        <x:v>2026</x:v>
      </x:c>
      <x:c r="S151" s="14" t="n">
        <x:v>2026</x:v>
      </x:c>
      <x:c r="T151" s="14" t="n">
        <x:v>2026</x:v>
      </x:c>
      <x:c r="U151" s="14" t="str">
        <x:v>Explicit source first year retained</x:v>
      </x:c>
      <x:c r="V151" s="14" t="str">
        <x:v>Earliest supplied year is 2026.</x:v>
      </x:c>
      <x:c r="W151" s="14"/>
      <x:c r="X151" s="14" t="str">
        <x:v>Excluded: after 2025</x:v>
      </x:c>
      <x:c r="Y151" s="14"/>
      <x:c r="Z151" s="14" t="str">
        <x:v>The Dry.docx</x:v>
      </x:c>
      <x:c r="AA15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BritBox UK</x:v>
      </x:c>
      <x:c r="AI151" s="14" t="str">
        <x:v>Qualifying UK co-commission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qualifying uk co-commission.</x:v>
      </x:c>
      <x:c r="AM151" s="17" t="e">
        <x:f>HYPERLINK("https://en.wikipedia.org/wiki/Dry","Open source")</x:f>
        <x:v>HYPERLINK is not implemented. linkLocation=https://en.wikipedia.org/wiki/Dry, friendlyName=Open source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24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0.041666666666666664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tt15210882|nm3149102|sales assistant</x:v>
      </x:c>
      <x:c r="B152" s="14" t="str">
        <x:v>05</x:v>
      </x:c>
      <x:c r="C152" s="14" t="str">
        <x:v>2022_IMDb_Cast_Lists_Batch_05(1).xlsx</x:v>
      </x:c>
      <x:c r="D152" s="14" t="str">
        <x:v>The Dry</x:v>
      </x:c>
      <x:c r="E152" s="14" t="n">
        <x:v>72</x:v>
      </x:c>
      <x:c r="F152" s="14" t="str">
        <x:v>The Dry</x:v>
      </x:c>
      <x:c r="G152" s="14" t="str">
        <x:v>tt15210882</x:v>
      </x:c>
      <x:c r="H152" s="14" t="n">
        <x:v>2022</x:v>
      </x:c>
      <x:c r="I152" s="14" t="n">
        <x:v>2023</x:v>
      </x:c>
      <x:c r="J152" s="14" t="str">
        <x:v>Post-study cohort</x:v>
      </x:c>
      <x:c r="K152" s="14" t="n">
        <x:v>2022</x:v>
      </x:c>
      <x:c r="L152" s="14" t="str">
        <x:v>Not inherited</x:v>
      </x:c>
      <x:c r="M152" s="15" t="n">
        <x:v>65</x:v>
      </x:c>
      <x:c r="N152" s="14" t="str">
        <x:v>Robert Donnelly</x:v>
      </x:c>
      <x:c r="O152" s="14" t="str">
        <x:v>nm3149102</x:v>
      </x:c>
      <x:c r="P152" s="14" t="str">
        <x:v>Sales Assistant</x:v>
      </x:c>
      <x:c r="Q152" s="15" t="n">
        <x:v>1</x:v>
      </x:c>
      <x:c r="R152" s="14" t="str">
        <x:v>2026</x:v>
      </x:c>
      <x:c r="S152" s="14" t="n">
        <x:v>2026</x:v>
      </x:c>
      <x:c r="T152" s="14" t="n">
        <x:v>2026</x:v>
      </x:c>
      <x:c r="U152" s="14" t="str">
        <x:v>Explicit source first year retained</x:v>
      </x:c>
      <x:c r="V152" s="14" t="str">
        <x:v>Earliest supplied year is 2026.</x:v>
      </x:c>
      <x:c r="W152" s="14"/>
      <x:c r="X152" s="14" t="str">
        <x:v>Excluded: after 2025</x:v>
      </x:c>
      <x:c r="Y152" s="14"/>
      <x:c r="Z152" s="14" t="str">
        <x:v>The Dry.docx</x:v>
      </x:c>
      <x:c r="AA15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BritBox UK</x:v>
      </x:c>
      <x:c r="AI152" s="14" t="str">
        <x:v>Qualifying UK co-commission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qualifying uk co-commission.</x:v>
      </x:c>
      <x:c r="AM152" s="17" t="e">
        <x:f>HYPERLINK("https://en.wikipedia.org/wiki/Dry","Open source")</x:f>
        <x:v>HYPERLINK is not implemented. linkLocation=https://en.wikipedia.org/wiki/Dry, friendlyName=Open source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24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0.041666666666666664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tt15210882|nm9243544|brian</x:v>
      </x:c>
      <x:c r="B153" s="14" t="str">
        <x:v>05</x:v>
      </x:c>
      <x:c r="C153" s="14" t="str">
        <x:v>2022_IMDb_Cast_Lists_Batch_05(1).xlsx</x:v>
      </x:c>
      <x:c r="D153" s="14" t="str">
        <x:v>The Dry</x:v>
      </x:c>
      <x:c r="E153" s="14" t="n">
        <x:v>76</x:v>
      </x:c>
      <x:c r="F153" s="14" t="str">
        <x:v>The Dry</x:v>
      </x:c>
      <x:c r="G153" s="14" t="str">
        <x:v>tt15210882</x:v>
      </x:c>
      <x:c r="H153" s="14" t="n">
        <x:v>2022</x:v>
      </x:c>
      <x:c r="I153" s="14" t="n">
        <x:v>2023</x:v>
      </x:c>
      <x:c r="J153" s="14" t="str">
        <x:v>Post-study cohort</x:v>
      </x:c>
      <x:c r="K153" s="14" t="n">
        <x:v>2022</x:v>
      </x:c>
      <x:c r="L153" s="14" t="str">
        <x:v>Not inherited</x:v>
      </x:c>
      <x:c r="M153" s="15" t="n">
        <x:v>69</x:v>
      </x:c>
      <x:c r="N153" s="14" t="str">
        <x:v>Conor Hackett</x:v>
      </x:c>
      <x:c r="O153" s="14" t="str">
        <x:v>nm9243544</x:v>
      </x:c>
      <x:c r="P153" s="14" t="str">
        <x:v>Brian</x:v>
      </x:c>
      <x:c r="Q153" s="15" t="n">
        <x:v>1</x:v>
      </x:c>
      <x:c r="R153" s="14" t="str">
        <x:v>2026</x:v>
      </x:c>
      <x:c r="S153" s="14" t="n">
        <x:v>2026</x:v>
      </x:c>
      <x:c r="T153" s="14" t="n">
        <x:v>2026</x:v>
      </x:c>
      <x:c r="U153" s="14" t="str">
        <x:v>Explicit source first year retained</x:v>
      </x:c>
      <x:c r="V153" s="14" t="str">
        <x:v>Earliest supplied year is 2026.</x:v>
      </x:c>
      <x:c r="W153" s="14"/>
      <x:c r="X153" s="14" t="str">
        <x:v>Excluded: after 2025</x:v>
      </x:c>
      <x:c r="Y153" s="14"/>
      <x:c r="Z153" s="14" t="str">
        <x:v>The Dry.docx</x:v>
      </x:c>
      <x:c r="AA15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BritBox UK</x:v>
      </x:c>
      <x:c r="AI153" s="14" t="str">
        <x:v>Qualifying UK co-commission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qualifying uk co-commission.</x:v>
      </x:c>
      <x:c r="AM153" s="17" t="e">
        <x:f>HYPERLINK("https://en.wikipedia.org/wiki/Dry","Open source")</x:f>
        <x:v>HYPERLINK is not implemented. linkLocation=https://en.wikipedia.org/wiki/Dry, friendlyName=Open source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24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0.041666666666666664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tt15210882|nm2312662|dr. barry</x:v>
      </x:c>
      <x:c r="B154" s="14" t="str">
        <x:v>05</x:v>
      </x:c>
      <x:c r="C154" s="14" t="str">
        <x:v>2022_IMDb_Cast_Lists_Batch_05(1).xlsx</x:v>
      </x:c>
      <x:c r="D154" s="14" t="str">
        <x:v>The Dry</x:v>
      </x:c>
      <x:c r="E154" s="14" t="n">
        <x:v>82</x:v>
      </x:c>
      <x:c r="F154" s="14" t="str">
        <x:v>The Dry</x:v>
      </x:c>
      <x:c r="G154" s="14" t="str">
        <x:v>tt15210882</x:v>
      </x:c>
      <x:c r="H154" s="14" t="n">
        <x:v>2022</x:v>
      </x:c>
      <x:c r="I154" s="14" t="n">
        <x:v>2023</x:v>
      </x:c>
      <x:c r="J154" s="14" t="str">
        <x:v>Post-study cohort</x:v>
      </x:c>
      <x:c r="K154" s="14" t="n">
        <x:v>2022</x:v>
      </x:c>
      <x:c r="L154" s="14" t="str">
        <x:v>Not inherited</x:v>
      </x:c>
      <x:c r="M154" s="15" t="n">
        <x:v>75</x:v>
      </x:c>
      <x:c r="N154" s="14" t="str">
        <x:v>Donna Anita Quinn</x:v>
      </x:c>
      <x:c r="O154" s="14" t="str">
        <x:v>nm2312662</x:v>
      </x:c>
      <x:c r="P154" s="14" t="str">
        <x:v>Dr. Barry</x:v>
      </x:c>
      <x:c r="Q154" s="15" t="n">
        <x:v>1</x:v>
      </x:c>
      <x:c r="R154" s="14" t="str">
        <x:v>2026</x:v>
      </x:c>
      <x:c r="S154" s="14" t="n">
        <x:v>2026</x:v>
      </x:c>
      <x:c r="T154" s="14" t="n">
        <x:v>2026</x:v>
      </x:c>
      <x:c r="U154" s="14" t="str">
        <x:v>Explicit source first year retained</x:v>
      </x:c>
      <x:c r="V154" s="14" t="str">
        <x:v>Earliest supplied year is 2026.</x:v>
      </x:c>
      <x:c r="W154" s="14"/>
      <x:c r="X154" s="14" t="str">
        <x:v>Excluded: after 2025</x:v>
      </x:c>
      <x:c r="Y154" s="14"/>
      <x:c r="Z154" s="14" t="str">
        <x:v>The Dry.docx</x:v>
      </x:c>
      <x:c r="AA15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BritBox UK</x:v>
      </x:c>
      <x:c r="AI154" s="14" t="str">
        <x:v>Qualifying UK co-commission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qualifying uk co-commission.</x:v>
      </x:c>
      <x:c r="AM154" s="17" t="e">
        <x:f>HYPERLINK("https://en.wikipedia.org/wiki/Dry","Open source")</x:f>
        <x:v>HYPERLINK is not implemented. linkLocation=https://en.wikipedia.org/wiki/Dry, friendlyName=Open source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24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0.041666666666666664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tt15210882|nm6403979|gav</x:v>
      </x:c>
      <x:c r="B155" s="14" t="str">
        <x:v>05</x:v>
      </x:c>
      <x:c r="C155" s="14" t="str">
        <x:v>2022_IMDb_Cast_Lists_Batch_05(1).xlsx</x:v>
      </x:c>
      <x:c r="D155" s="14" t="str">
        <x:v>The Dry</x:v>
      </x:c>
      <x:c r="E155" s="14" t="n">
        <x:v>85</x:v>
      </x:c>
      <x:c r="F155" s="14" t="str">
        <x:v>The Dry</x:v>
      </x:c>
      <x:c r="G155" s="14" t="str">
        <x:v>tt15210882</x:v>
      </x:c>
      <x:c r="H155" s="14" t="n">
        <x:v>2022</x:v>
      </x:c>
      <x:c r="I155" s="14" t="n">
        <x:v>2023</x:v>
      </x:c>
      <x:c r="J155" s="14" t="str">
        <x:v>Post-study cohort</x:v>
      </x:c>
      <x:c r="K155" s="14" t="n">
        <x:v>2022</x:v>
      </x:c>
      <x:c r="L155" s="14" t="str">
        <x:v>Not inherited</x:v>
      </x:c>
      <x:c r="M155" s="15" t="n">
        <x:v>78</x:v>
      </x:c>
      <x:c r="N155" s="14" t="str">
        <x:v>Rob Horrocks</x:v>
      </x:c>
      <x:c r="O155" s="14" t="str">
        <x:v>nm6403979</x:v>
      </x:c>
      <x:c r="P155" s="14" t="str">
        <x:v>Gav</x:v>
      </x:c>
      <x:c r="Q155" s="15" t="n">
        <x:v>1</x:v>
      </x:c>
      <x:c r="R155" s="14" t="str">
        <x:v>2026</x:v>
      </x:c>
      <x:c r="S155" s="14" t="n">
        <x:v>2026</x:v>
      </x:c>
      <x:c r="T155" s="14" t="n">
        <x:v>2026</x:v>
      </x:c>
      <x:c r="U155" s="14" t="str">
        <x:v>Explicit source first year retained</x:v>
      </x:c>
      <x:c r="V155" s="14" t="str">
        <x:v>Earliest supplied year is 2026.</x:v>
      </x:c>
      <x:c r="W155" s="14"/>
      <x:c r="X155" s="14" t="str">
        <x:v>Excluded: after 2025</x:v>
      </x:c>
      <x:c r="Y155" s="14"/>
      <x:c r="Z155" s="14" t="str">
        <x:v>The Dry.docx</x:v>
      </x:c>
      <x:c r="AA15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BritBox UK</x:v>
      </x:c>
      <x:c r="AI155" s="14" t="str">
        <x:v>Qualifying UK co-commission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qualifying uk co-commission.</x:v>
      </x:c>
      <x:c r="AM155" s="17" t="e">
        <x:f>HYPERLINK("https://en.wikipedia.org/wiki/Dry","Open source")</x:f>
        <x:v>HYPERLINK is not implemented. linkLocation=https://en.wikipedia.org/wiki/Dry, friendlyName=Open source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24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0.041666666666666664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tt15210882|nm3327718|mr. chen</x:v>
      </x:c>
      <x:c r="B156" s="14" t="str">
        <x:v>05</x:v>
      </x:c>
      <x:c r="C156" s="14" t="str">
        <x:v>2022_IMDb_Cast_Lists_Batch_05(1).xlsx</x:v>
      </x:c>
      <x:c r="D156" s="14" t="str">
        <x:v>The Dry</x:v>
      </x:c>
      <x:c r="E156" s="14" t="n">
        <x:v>89</x:v>
      </x:c>
      <x:c r="F156" s="14" t="str">
        <x:v>The Dry</x:v>
      </x:c>
      <x:c r="G156" s="14" t="str">
        <x:v>tt15210882</x:v>
      </x:c>
      <x:c r="H156" s="14" t="n">
        <x:v>2022</x:v>
      </x:c>
      <x:c r="I156" s="14" t="n">
        <x:v>2023</x:v>
      </x:c>
      <x:c r="J156" s="14" t="str">
        <x:v>Post-study cohort</x:v>
      </x:c>
      <x:c r="K156" s="14" t="n">
        <x:v>2022</x:v>
      </x:c>
      <x:c r="L156" s="14" t="str">
        <x:v>Not inherited</x:v>
      </x:c>
      <x:c r="M156" s="15" t="n">
        <x:v>82</x:v>
      </x:c>
      <x:c r="N156" s="14" t="str">
        <x:v>Vincent Tsang</x:v>
      </x:c>
      <x:c r="O156" s="14" t="str">
        <x:v>nm3327718</x:v>
      </x:c>
      <x:c r="P156" s="14" t="str">
        <x:v>Mr. Chen</x:v>
      </x:c>
      <x:c r="Q156" s="15" t="n">
        <x:v>1</x:v>
      </x:c>
      <x:c r="R156" s="14" t="str">
        <x:v>2026</x:v>
      </x:c>
      <x:c r="S156" s="14" t="n">
        <x:v>2026</x:v>
      </x:c>
      <x:c r="T156" s="14" t="n">
        <x:v>2026</x:v>
      </x:c>
      <x:c r="U156" s="14" t="str">
        <x:v>Explicit source first year retained</x:v>
      </x:c>
      <x:c r="V156" s="14" t="str">
        <x:v>Earliest supplied year is 2026.</x:v>
      </x:c>
      <x:c r="W156" s="14"/>
      <x:c r="X156" s="14" t="str">
        <x:v>Excluded: after 2025</x:v>
      </x:c>
      <x:c r="Y156" s="14"/>
      <x:c r="Z156" s="14" t="str">
        <x:v>The Dry.docx</x:v>
      </x:c>
      <x:c r="AA15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BritBox UK</x:v>
      </x:c>
      <x:c r="AI156" s="14" t="str">
        <x:v>Qualifying UK co-commission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qualifying uk co-commission.</x:v>
      </x:c>
      <x:c r="AM156" s="17" t="e">
        <x:f>HYPERLINK("https://en.wikipedia.org/wiki/Dry","Open source")</x:f>
        <x:v>HYPERLINK is not implemented. linkLocation=https://en.wikipedia.org/wiki/Dry, friendlyName=Open source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24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0.041666666666666664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tt15210882|nm4505460|patsy the midwife</x:v>
      </x:c>
      <x:c r="B157" s="14" t="str">
        <x:v>05</x:v>
      </x:c>
      <x:c r="C157" s="14" t="str">
        <x:v>2022_IMDb_Cast_Lists_Batch_05(1).xlsx</x:v>
      </x:c>
      <x:c r="D157" s="14" t="str">
        <x:v>The Dry</x:v>
      </x:c>
      <x:c r="E157" s="14" t="n">
        <x:v>91</x:v>
      </x:c>
      <x:c r="F157" s="14" t="str">
        <x:v>The Dry</x:v>
      </x:c>
      <x:c r="G157" s="14" t="str">
        <x:v>tt15210882</x:v>
      </x:c>
      <x:c r="H157" s="14" t="n">
        <x:v>2022</x:v>
      </x:c>
      <x:c r="I157" s="14" t="n">
        <x:v>2023</x:v>
      </x:c>
      <x:c r="J157" s="14" t="str">
        <x:v>Post-study cohort</x:v>
      </x:c>
      <x:c r="K157" s="14" t="n">
        <x:v>2022</x:v>
      </x:c>
      <x:c r="L157" s="14" t="str">
        <x:v>Not inherited</x:v>
      </x:c>
      <x:c r="M157" s="15" t="n">
        <x:v>84</x:v>
      </x:c>
      <x:c r="N157" s="14" t="str">
        <x:v>Sarah Morris</x:v>
      </x:c>
      <x:c r="O157" s="14" t="str">
        <x:v>nm4505460</x:v>
      </x:c>
      <x:c r="P157" s="14" t="str">
        <x:v>Patsy the Midwife</x:v>
      </x:c>
      <x:c r="Q157" s="15" t="n">
        <x:v>1</x:v>
      </x:c>
      <x:c r="R157" s="14" t="str">
        <x:v>2026</x:v>
      </x:c>
      <x:c r="S157" s="14" t="n">
        <x:v>2026</x:v>
      </x:c>
      <x:c r="T157" s="14" t="n">
        <x:v>2026</x:v>
      </x:c>
      <x:c r="U157" s="14" t="str">
        <x:v>Explicit source first year retained</x:v>
      </x:c>
      <x:c r="V157" s="14" t="str">
        <x:v>Earliest supplied year is 2026.</x:v>
      </x:c>
      <x:c r="W157" s="14"/>
      <x:c r="X157" s="14" t="str">
        <x:v>Excluded: after 2025</x:v>
      </x:c>
      <x:c r="Y157" s="14"/>
      <x:c r="Z157" s="14" t="str">
        <x:v>The Dry.docx</x:v>
      </x:c>
      <x:c r="AA15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BritBox UK</x:v>
      </x:c>
      <x:c r="AI157" s="14" t="str">
        <x:v>Qualifying UK co-commission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qualifying uk co-commission.</x:v>
      </x:c>
      <x:c r="AM157" s="17" t="e">
        <x:f>HYPERLINK("https://en.wikipedia.org/wiki/Dry","Open source")</x:f>
        <x:v>HYPERLINK is not implemented. linkLocation=https://en.wikipedia.org/wiki/Dry, friendlyName=Open source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24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0.041666666666666664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tt7939800|nm1604939|barbara patrick</x:v>
      </x:c>
      <x:c r="B158" s="14" t="str">
        <x:v>07</x:v>
      </x:c>
      <x:c r="C158" s="14" t="str">
        <x:v>2022_IMDb_Cast_Lists_Batch_07(1).xlsx</x:v>
      </x:c>
      <x:c r="D158" s="14" t="str">
        <x:v>The Undeclared War</x:v>
      </x:c>
      <x:c r="E158" s="14" t="n">
        <x:v>18</x:v>
      </x:c>
      <x:c r="F158" s="14" t="str">
        <x:v>The Undeclared War</x:v>
      </x:c>
      <x:c r="G158" s="14" t="str">
        <x:v>tt7939800</x:v>
      </x:c>
      <x:c r="H158" s="14" t="n">
        <x:v>2022</x:v>
      </x:c>
      <x:c r="I158" s="14" t="n">
        <x:v>2023</x:v>
      </x:c>
      <x:c r="J158" s="14" t="str">
        <x:v>Post-study cohort</x:v>
      </x:c>
      <x:c r="K158" s="14" t="n">
        <x:v>2022</x:v>
      </x:c>
      <x:c r="L158" s="14" t="str">
        <x:v>Not inherited</x:v>
      </x:c>
      <x:c r="M158" s="15" t="n">
        <x:v>11</x:v>
      </x:c>
      <x:c r="N158" s="14" t="str">
        <x:v>Sian Brooke</x:v>
      </x:c>
      <x:c r="O158" s="14" t="str">
        <x:v>nm1604939</x:v>
      </x:c>
      <x:c r="P158" s="14" t="str">
        <x:v>Barbara Patrick</x:v>
      </x:c>
      <x:c r="Q158" s="15" t="n">
        <x:v>6</x:v>
      </x:c>
      <x:c r="R158" s="14" t="str">
        <x:v>2026</x:v>
      </x:c>
      <x:c r="S158" s="14" t="n">
        <x:v>2026</x:v>
      </x:c>
      <x:c r="T158" s="14" t="n">
        <x:v>2026</x:v>
      </x:c>
      <x:c r="U158" s="14" t="str">
        <x:v>Explicit source first year retained</x:v>
      </x:c>
      <x:c r="V158" s="14" t="str">
        <x:v>Earliest supplied year is 2026.</x:v>
      </x:c>
      <x:c r="W158" s="14"/>
      <x:c r="X158" s="14" t="str">
        <x:v>Excluded: after 2025</x:v>
      </x:c>
      <x:c r="Y158" s="14"/>
      <x:c r="Z158" s="14" t="str">
        <x:v>The Undeclared War.docx</x:v>
      </x:c>
      <x:c r="AA158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Channel 4 / E4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HYPERLINK("https://en.wikipedia.org/wiki/The_Undeclared_War","Open source")</x:f>
        <x:v>HYPERLINK is not implemented. linkLocation=https://en.wikipedia.org/wiki/The_Undeclared_War, friendlyName=Open source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12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6</x:v>
      </x:c>
      <x:c r="BS158" s="16" t="n">
        <x:v>0.5</x:v>
      </x:c>
      <x:c r="BT158" s="14" t="str">
        <x:v>Minority of episodes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tt7939800|nm2315606|michaela jones</x:v>
      </x:c>
      <x:c r="B159" s="14" t="str">
        <x:v>07</x:v>
      </x:c>
      <x:c r="C159" s="14" t="str">
        <x:v>2022_IMDb_Cast_Lists_Batch_07(1).xlsx</x:v>
      </x:c>
      <x:c r="D159" s="14" t="str">
        <x:v>The Undeclared War</x:v>
      </x:c>
      <x:c r="E159" s="14" t="n">
        <x:v>22</x:v>
      </x:c>
      <x:c r="F159" s="14" t="str">
        <x:v>The Undeclared War</x:v>
      </x:c>
      <x:c r="G159" s="14" t="str">
        <x:v>tt7939800</x:v>
      </x:c>
      <x:c r="H159" s="14" t="n">
        <x:v>2022</x:v>
      </x:c>
      <x:c r="I159" s="14" t="n">
        <x:v>2023</x:v>
      </x:c>
      <x:c r="J159" s="14" t="str">
        <x:v>Post-study cohort</x:v>
      </x:c>
      <x:c r="K159" s="14" t="n">
        <x:v>2022</x:v>
      </x:c>
      <x:c r="L159" s="14" t="str">
        <x:v>Not inherited</x:v>
      </x:c>
      <x:c r="M159" s="15" t="n">
        <x:v>15</x:v>
      </x:c>
      <x:c r="N159" s="14" t="str">
        <x:v>Alana Maria</x:v>
      </x:c>
      <x:c r="O159" s="14" t="str">
        <x:v>nm2315606</x:v>
      </x:c>
      <x:c r="P159" s="14" t="str">
        <x:v>Michaela Jones</x:v>
      </x:c>
      <x:c r="Q159" s="15" t="n">
        <x:v>5</x:v>
      </x:c>
      <x:c r="R159" s="14" t="str">
        <x:v>2026</x:v>
      </x:c>
      <x:c r="S159" s="14" t="n">
        <x:v>2026</x:v>
      </x:c>
      <x:c r="T159" s="14" t="n">
        <x:v>2026</x:v>
      </x:c>
      <x:c r="U159" s="14" t="str">
        <x:v>Explicit source first year retained</x:v>
      </x:c>
      <x:c r="V159" s="14" t="str">
        <x:v>Earliest supplied year is 2026.</x:v>
      </x:c>
      <x:c r="W159" s="14"/>
      <x:c r="X159" s="14" t="str">
        <x:v>Excluded: after 2025</x:v>
      </x:c>
      <x:c r="Y159" s="14"/>
      <x:c r="Z159" s="14" t="str">
        <x:v>The Undeclared War.docx</x:v>
      </x:c>
      <x:c r="AA159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Channel 4 / E4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HYPERLINK("https://en.wikipedia.org/wiki/The_Undeclared_War","Open source")</x:f>
        <x:v>HYPERLINK is not implemented. linkLocation=https://en.wikipedia.org/wiki/The_Undeclared_War, friendlyName=Open source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12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5</x:v>
      </x:c>
      <x:c r="BS159" s="16" t="n">
        <x:v>0.4166666666666667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tt7939800|nm11951623|calvin song</x:v>
      </x:c>
      <x:c r="B160" s="14" t="str">
        <x:v>07</x:v>
      </x:c>
      <x:c r="C160" s="14" t="str">
        <x:v>2022_IMDb_Cast_Lists_Batch_07(1).xlsx</x:v>
      </x:c>
      <x:c r="D160" s="14" t="str">
        <x:v>The Undeclared War</x:v>
      </x:c>
      <x:c r="E160" s="14" t="n">
        <x:v>23</x:v>
      </x:c>
      <x:c r="F160" s="14" t="str">
        <x:v>The Undeclared War</x:v>
      </x:c>
      <x:c r="G160" s="14" t="str">
        <x:v>tt7939800</x:v>
      </x:c>
      <x:c r="H160" s="14" t="n">
        <x:v>2022</x:v>
      </x:c>
      <x:c r="I160" s="14" t="n">
        <x:v>2023</x:v>
      </x:c>
      <x:c r="J160" s="14" t="str">
        <x:v>Post-study cohort</x:v>
      </x:c>
      <x:c r="K160" s="14" t="n">
        <x:v>2022</x:v>
      </x:c>
      <x:c r="L160" s="14" t="str">
        <x:v>Not inherited</x:v>
      </x:c>
      <x:c r="M160" s="15" t="n">
        <x:v>16</x:v>
      </x:c>
      <x:c r="N160" s="14" t="str">
        <x:v>Sky Hui</x:v>
      </x:c>
      <x:c r="O160" s="14" t="str">
        <x:v>nm11951623</x:v>
      </x:c>
      <x:c r="P160" s="14" t="str">
        <x:v>Calvin Song</x:v>
      </x:c>
      <x:c r="Q160" s="15" t="n">
        <x:v>5</x:v>
      </x:c>
      <x:c r="R160" s="14" t="str">
        <x:v>2026</x:v>
      </x:c>
      <x:c r="S160" s="14" t="n">
        <x:v>2026</x:v>
      </x:c>
      <x:c r="T160" s="14" t="n">
        <x:v>2026</x:v>
      </x:c>
      <x:c r="U160" s="14" t="str">
        <x:v>Explicit source first year retained</x:v>
      </x:c>
      <x:c r="V160" s="14" t="str">
        <x:v>Earliest supplied year is 2026.</x:v>
      </x:c>
      <x:c r="W160" s="14"/>
      <x:c r="X160" s="14" t="str">
        <x:v>Excluded: after 2025</x:v>
      </x:c>
      <x:c r="Y160" s="14"/>
      <x:c r="Z160" s="14" t="str">
        <x:v>The Undeclared War.docx</x:v>
      </x:c>
      <x:c r="AA160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Channel 4 / E4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HYPERLINK("https://en.wikipedia.org/wiki/The_Undeclared_War","Open source")</x:f>
        <x:v>HYPERLINK is not implemented. linkLocation=https://en.wikipedia.org/wiki/The_Undeclared_War, friendlyName=Open source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12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5</x:v>
      </x:c>
      <x:c r="BS160" s="16" t="n">
        <x:v>0.4166666666666667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tt7939800|nm5290577|lt. simon williams</x:v>
      </x:c>
      <x:c r="B161" s="14" t="str">
        <x:v>07</x:v>
      </x:c>
      <x:c r="C161" s="14" t="str">
        <x:v>2022_IMDb_Cast_Lists_Batch_07(1).xlsx</x:v>
      </x:c>
      <x:c r="D161" s="14" t="str">
        <x:v>The Undeclared War</x:v>
      </x:c>
      <x:c r="E161" s="14" t="n">
        <x:v>33</x:v>
      </x:c>
      <x:c r="F161" s="14" t="str">
        <x:v>The Undeclared War</x:v>
      </x:c>
      <x:c r="G161" s="14" t="str">
        <x:v>tt7939800</x:v>
      </x:c>
      <x:c r="H161" s="14" t="n">
        <x:v>2022</x:v>
      </x:c>
      <x:c r="I161" s="14" t="n">
        <x:v>2023</x:v>
      </x:c>
      <x:c r="J161" s="14" t="str">
        <x:v>Post-study cohort</x:v>
      </x:c>
      <x:c r="K161" s="14" t="n">
        <x:v>2022</x:v>
      </x:c>
      <x:c r="L161" s="14" t="str">
        <x:v>Not inherited</x:v>
      </x:c>
      <x:c r="M161" s="15" t="n">
        <x:v>26</x:v>
      </x:c>
      <x:c r="N161" s="14" t="str">
        <x:v>Joshua Sher</x:v>
      </x:c>
      <x:c r="O161" s="14" t="str">
        <x:v>nm5290577</x:v>
      </x:c>
      <x:c r="P161" s="14" t="str">
        <x:v>Lt. Simon Williams</x:v>
      </x:c>
      <x:c r="Q161" s="15" t="n">
        <x:v>4</x:v>
      </x:c>
      <x:c r="R161" s="14" t="str">
        <x:v>2026</x:v>
      </x:c>
      <x:c r="S161" s="14" t="n">
        <x:v>2026</x:v>
      </x:c>
      <x:c r="T161" s="14" t="n">
        <x:v>2026</x:v>
      </x:c>
      <x:c r="U161" s="14" t="str">
        <x:v>Explicit source first year retained</x:v>
      </x:c>
      <x:c r="V161" s="14" t="str">
        <x:v>Earliest supplied year is 2026.</x:v>
      </x:c>
      <x:c r="W161" s="14"/>
      <x:c r="X161" s="14" t="str">
        <x:v>Excluded: after 2025</x:v>
      </x:c>
      <x:c r="Y161" s="14"/>
      <x:c r="Z161" s="14" t="str">
        <x:v>The Undeclared War.docx</x:v>
      </x:c>
      <x:c r="AA161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1" s="14" t="str">
        <x:v>Existing established-register match</x:v>
      </x:c>
      <x:c r="AC161" s="14" t="str">
        <x:v>Wheelchair user</x:v>
      </x:c>
      <x:c r="AD161" s="14" t="str">
        <x:v>Existing register classification: Wheelchair user</x:v>
      </x:c>
      <x:c r="AE161" s="14" t="str">
        <x:v>Established_Disability_Category_Register V1.2.xlsx</x:v>
      </x:c>
      <x:c r="AF161" s="14"/>
      <x:c r="AG161" s="14" t="str">
        <x:v>Established user-supplied classification retained for deduplication; evidence was not re-researched in this batch.</x:v>
      </x:c>
      <x:c r="AH161" s="14" t="str">
        <x:v>Channel 4 / E4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HYPERLINK("https://en.wikipedia.org/wiki/The_Undeclared_War","Open source")</x:f>
        <x:v>HYPERLINK is not implemented. linkLocation=https://en.wikipedia.org/wiki/The_Undeclared_War, friendlyName=Open source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 t="str">
        <x:v>Exact IMDb performer ID match</x:v>
      </x:c>
      <x:c r="AT161" s="14" t="str">
        <x:v>nm5290577</x:v>
      </x:c>
      <x:c r="AU161" s="14" t="str">
        <x:v>Wheelchair user</x:v>
      </x:c>
      <x:c r="AV161" s="14" t="str">
        <x:v>Yes</x:v>
      </x:c>
      <x:c r="AW161" s="14" t="str">
        <x:v>Wheelchair user</x:v>
      </x:c>
      <x:c r="AX161" s="14" t="str">
        <x:v>No</x:v>
      </x:c>
      <x:c r="AY161" s="14" t="str">
        <x:v>Matched</x:v>
      </x:c>
      <x:c r="AZ161" s="14" t="str">
        <x:v>Final supplied register</x:v>
      </x:c>
      <x:c r="BA161" s="14"/>
      <x:c r="BB161" s="14" t="str">
        <x:v>Exact IMDb performer ID match</x:v>
      </x:c>
      <x:c r="BC161" s="14" t="str">
        <x:v>nm5290577</x:v>
      </x:c>
      <x:c r="BD161" s="14" t="str">
        <x:v>Joshua Sher</x:v>
      </x:c>
      <x:c r="BE161" s="14" t="str">
        <x:v>Wheelchair user</x:v>
      </x:c>
      <x:c r="BF161" s="14" t="str">
        <x:v>Yes</x:v>
      </x:c>
      <x:c r="BG161" s="14" t="str">
        <x:v>Wheelchair user</x:v>
      </x:c>
      <x:c r="BH161" s="14" t="str">
        <x:v>No</x:v>
      </x:c>
      <x:c r="BI161" s="14" t="str">
        <x:v>User-supplied established classification</x:v>
      </x:c>
      <x:c r="BJ161" s="14" t="str">
        <x:v>03_Wheelchair_user.csv</x:v>
      </x:c>
      <x:c r="BK161" s="14"/>
      <x:c r="BL161" s="14" t="str">
        <x:v>Matched</x:v>
      </x:c>
      <x:c r="BM161" s="14" t="str">
        <x:v>Final supplied register</x:v>
      </x:c>
      <x:c r="BN161" s="14"/>
      <x:c r="BO161" s="14" t="n">
        <x:v>12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4</x:v>
      </x:c>
      <x:c r="BS161" s="16" t="n">
        <x:v>0.3333333333333333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tt7939800|nm4006608|roz cavendish</x:v>
      </x:c>
      <x:c r="B162" s="14" t="str">
        <x:v>07</x:v>
      </x:c>
      <x:c r="C162" s="14" t="str">
        <x:v>2022_IMDb_Cast_Lists_Batch_07(1).xlsx</x:v>
      </x:c>
      <x:c r="D162" s="14" t="str">
        <x:v>The Undeclared War</x:v>
      </x:c>
      <x:c r="E162" s="14" t="n">
        <x:v>41</x:v>
      </x:c>
      <x:c r="F162" s="14" t="str">
        <x:v>The Undeclared War</x:v>
      </x:c>
      <x:c r="G162" s="14" t="str">
        <x:v>tt7939800</x:v>
      </x:c>
      <x:c r="H162" s="14" t="n">
        <x:v>2022</x:v>
      </x:c>
      <x:c r="I162" s="14" t="n">
        <x:v>2023</x:v>
      </x:c>
      <x:c r="J162" s="14" t="str">
        <x:v>Post-study cohort</x:v>
      </x:c>
      <x:c r="K162" s="14" t="n">
        <x:v>2022</x:v>
      </x:c>
      <x:c r="L162" s="14" t="str">
        <x:v>Not inherited</x:v>
      </x:c>
      <x:c r="M162" s="15" t="n">
        <x:v>34</x:v>
      </x:c>
      <x:c r="N162" s="14" t="str">
        <x:v>Chloe Pirrie</x:v>
      </x:c>
      <x:c r="O162" s="14" t="str">
        <x:v>nm4006608</x:v>
      </x:c>
      <x:c r="P162" s="14" t="str">
        <x:v>Roz Cavendish</x:v>
      </x:c>
      <x:c r="Q162" s="15" t="n">
        <x:v>3</x:v>
      </x:c>
      <x:c r="R162" s="14" t="str">
        <x:v>2026</x:v>
      </x:c>
      <x:c r="S162" s="14" t="n">
        <x:v>2026</x:v>
      </x:c>
      <x:c r="T162" s="14" t="n">
        <x:v>2026</x:v>
      </x:c>
      <x:c r="U162" s="14" t="str">
        <x:v>Explicit source first year retained</x:v>
      </x:c>
      <x:c r="V162" s="14" t="str">
        <x:v>Earliest supplied year is 2026.</x:v>
      </x:c>
      <x:c r="W162" s="14"/>
      <x:c r="X162" s="14" t="str">
        <x:v>Excluded: after 2025</x:v>
      </x:c>
      <x:c r="Y162" s="14"/>
      <x:c r="Z162" s="14" t="str">
        <x:v>The Undeclared War.docx</x:v>
      </x:c>
      <x:c r="AA162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Channel 4 / E4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HYPERLINK("https://en.wikipedia.org/wiki/The_Undeclared_War","Open source")</x:f>
        <x:v>HYPERLINK is not implemented. linkLocation=https://en.wikipedia.org/wiki/The_Undeclared_War, friendlyName=Open source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 t="str">
        <x:v>No established-register match</x:v>
      </x:c>
      <x:c r="AT162" s="14"/>
      <x:c r="AU162" s="14"/>
      <x:c r="AV162" s="14" t="str">
        <x:v>No established apparent-disability match</x:v>
      </x:c>
      <x:c r="AW162" s="14"/>
      <x:c r="AX162" s="14" t="str">
        <x:v>No</x:v>
      </x:c>
      <x:c r="AY162" s="14" t="str">
        <x:v>Unmatched</x:v>
      </x:c>
      <x:c r="AZ162" s="14" t="str">
        <x:v>Final supplied register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12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3</x:v>
      </x:c>
      <x:c r="BS162" s="16" t="n">
        <x:v>0.25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tt7939800|nm0764527|charlie</x:v>
      </x:c>
      <x:c r="B163" s="14" t="str">
        <x:v>07</x:v>
      </x:c>
      <x:c r="C163" s="14" t="str">
        <x:v>2022_IMDb_Cast_Lists_Batch_07(1).xlsx</x:v>
      </x:c>
      <x:c r="D163" s="14" t="str">
        <x:v>The Undeclared War</x:v>
      </x:c>
      <x:c r="E163" s="14" t="n">
        <x:v>42</x:v>
      </x:c>
      <x:c r="F163" s="14" t="str">
        <x:v>The Undeclared War</x:v>
      </x:c>
      <x:c r="G163" s="14" t="str">
        <x:v>tt7939800</x:v>
      </x:c>
      <x:c r="H163" s="14" t="n">
        <x:v>2022</x:v>
      </x:c>
      <x:c r="I163" s="14" t="n">
        <x:v>2023</x:v>
      </x:c>
      <x:c r="J163" s="14" t="str">
        <x:v>Post-study cohort</x:v>
      </x:c>
      <x:c r="K163" s="14" t="n">
        <x:v>2022</x:v>
      </x:c>
      <x:c r="L163" s="14" t="str">
        <x:v>Not inherited</x:v>
      </x:c>
      <x:c r="M163" s="15" t="n">
        <x:v>35</x:v>
      </x:c>
      <x:c r="N163" s="14" t="str">
        <x:v>Danny Sapani</x:v>
      </x:c>
      <x:c r="O163" s="14" t="str">
        <x:v>nm0764527</x:v>
      </x:c>
      <x:c r="P163" s="14" t="str">
        <x:v>Charlie</x:v>
      </x:c>
      <x:c r="Q163" s="15" t="n">
        <x:v>3</x:v>
      </x:c>
      <x:c r="R163" s="14" t="str">
        <x:v>2026</x:v>
      </x:c>
      <x:c r="S163" s="14" t="n">
        <x:v>2026</x:v>
      </x:c>
      <x:c r="T163" s="14" t="n">
        <x:v>2026</x:v>
      </x:c>
      <x:c r="U163" s="14" t="str">
        <x:v>Explicit source first year retained</x:v>
      </x:c>
      <x:c r="V163" s="14" t="str">
        <x:v>Earliest supplied year is 2026.</x:v>
      </x:c>
      <x:c r="W163" s="14"/>
      <x:c r="X163" s="14" t="str">
        <x:v>Excluded: after 2025</x:v>
      </x:c>
      <x:c r="Y163" s="14"/>
      <x:c r="Z163" s="14" t="str">
        <x:v>The Undeclared War.docx</x:v>
      </x:c>
      <x:c r="AA163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Channel 4 / E4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HYPERLINK("https://en.wikipedia.org/wiki/The_Undeclared_War","Open source")</x:f>
        <x:v>HYPERLINK is not implemented. linkLocation=https://en.wikipedia.org/wiki/The_Undeclared_War, friendlyName=Open source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12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3</x:v>
      </x:c>
      <x:c r="BS163" s="16" t="n">
        <x:v>0.25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tt7939800|nm11096315|hai</x:v>
      </x:c>
      <x:c r="B164" s="14" t="str">
        <x:v>07</x:v>
      </x:c>
      <x:c r="C164" s="14" t="str">
        <x:v>2022_IMDb_Cast_Lists_Batch_07(1).xlsx</x:v>
      </x:c>
      <x:c r="D164" s="14" t="str">
        <x:v>The Undeclared War</x:v>
      </x:c>
      <x:c r="E164" s="14" t="n">
        <x:v>43</x:v>
      </x:c>
      <x:c r="F164" s="14" t="str">
        <x:v>The Undeclared War</x:v>
      </x:c>
      <x:c r="G164" s="14" t="str">
        <x:v>tt7939800</x:v>
      </x:c>
      <x:c r="H164" s="14" t="n">
        <x:v>2022</x:v>
      </x:c>
      <x:c r="I164" s="14" t="n">
        <x:v>2023</x:v>
      </x:c>
      <x:c r="J164" s="14" t="str">
        <x:v>Post-study cohort</x:v>
      </x:c>
      <x:c r="K164" s="14" t="n">
        <x:v>2022</x:v>
      </x:c>
      <x:c r="L164" s="14" t="str">
        <x:v>Not inherited</x:v>
      </x:c>
      <x:c r="M164" s="15" t="n">
        <x:v>36</x:v>
      </x:c>
      <x:c r="N164" s="14" t="str">
        <x:v>Millicent Wong</x:v>
      </x:c>
      <x:c r="O164" s="14" t="str">
        <x:v>nm11096315</x:v>
      </x:c>
      <x:c r="P164" s="14" t="str">
        <x:v>Hai</x:v>
      </x:c>
      <x:c r="Q164" s="15" t="n">
        <x:v>3</x:v>
      </x:c>
      <x:c r="R164" s="14" t="str">
        <x:v>2026</x:v>
      </x:c>
      <x:c r="S164" s="14" t="n">
        <x:v>2026</x:v>
      </x:c>
      <x:c r="T164" s="14" t="n">
        <x:v>2026</x:v>
      </x:c>
      <x:c r="U164" s="14" t="str">
        <x:v>Explicit source first year retained</x:v>
      </x:c>
      <x:c r="V164" s="14" t="str">
        <x:v>Earliest supplied year is 2026.</x:v>
      </x:c>
      <x:c r="W164" s="14"/>
      <x:c r="X164" s="14" t="str">
        <x:v>Excluded: after 2025</x:v>
      </x:c>
      <x:c r="Y164" s="14"/>
      <x:c r="Z164" s="14" t="str">
        <x:v>The Undeclared War.docx</x:v>
      </x:c>
      <x:c r="AA164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Channel 4 / E4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HYPERLINK("https://en.wikipedia.org/wiki/The_Undeclared_War","Open source")</x:f>
        <x:v>HYPERLINK is not implemented. linkLocation=https://en.wikipedia.org/wiki/The_Undeclared_War, friendlyName=Open source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12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3</x:v>
      </x:c>
      <x:c r="BS164" s="16" t="n">
        <x:v>0.25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tt7939800|nm13434359|man in suit</x:v>
      </x:c>
      <x:c r="B165" s="14" t="str">
        <x:v>07</x:v>
      </x:c>
      <x:c r="C165" s="14" t="str">
        <x:v>2022_IMDb_Cast_Lists_Batch_07(1).xlsx</x:v>
      </x:c>
      <x:c r="D165" s="14" t="str">
        <x:v>The Undeclared War</x:v>
      </x:c>
      <x:c r="E165" s="14" t="n">
        <x:v>44</x:v>
      </x:c>
      <x:c r="F165" s="14" t="str">
        <x:v>The Undeclared War</x:v>
      </x:c>
      <x:c r="G165" s="14" t="str">
        <x:v>tt7939800</x:v>
      </x:c>
      <x:c r="H165" s="14" t="n">
        <x:v>2022</x:v>
      </x:c>
      <x:c r="I165" s="14" t="n">
        <x:v>2023</x:v>
      </x:c>
      <x:c r="J165" s="14" t="str">
        <x:v>Post-study cohort</x:v>
      </x:c>
      <x:c r="K165" s="14" t="n">
        <x:v>2022</x:v>
      </x:c>
      <x:c r="L165" s="14" t="str">
        <x:v>Not inherited</x:v>
      </x:c>
      <x:c r="M165" s="15" t="n">
        <x:v>37</x:v>
      </x:c>
      <x:c r="N165" s="14" t="str">
        <x:v>Leslie Ching</x:v>
      </x:c>
      <x:c r="O165" s="14" t="str">
        <x:v>nm13434359</x:v>
      </x:c>
      <x:c r="P165" s="14" t="str">
        <x:v>Man in Suit</x:v>
      </x:c>
      <x:c r="Q165" s="15" t="n">
        <x:v>3</x:v>
      </x:c>
      <x:c r="R165" s="14" t="str">
        <x:v>2026</x:v>
      </x:c>
      <x:c r="S165" s="14" t="n">
        <x:v>2026</x:v>
      </x:c>
      <x:c r="T165" s="14" t="n">
        <x:v>2026</x:v>
      </x:c>
      <x:c r="U165" s="14" t="str">
        <x:v>Explicit source first year retained</x:v>
      </x:c>
      <x:c r="V165" s="14" t="str">
        <x:v>Earliest supplied year is 2026.</x:v>
      </x:c>
      <x:c r="W165" s="14"/>
      <x:c r="X165" s="14" t="str">
        <x:v>Excluded: after 2025</x:v>
      </x:c>
      <x:c r="Y165" s="14"/>
      <x:c r="Z165" s="14" t="str">
        <x:v>The Undeclared War.docx</x:v>
      </x:c>
      <x:c r="AA165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Channel 4 / E4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HYPERLINK("https://en.wikipedia.org/wiki/The_Undeclared_War","Open source")</x:f>
        <x:v>HYPERLINK is not implemented. linkLocation=https://en.wikipedia.org/wiki/The_Undeclared_War, friendlyName=Open source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12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3</x:v>
      </x:c>
      <x:c r="BS165" s="16" t="n">
        <x:v>0.25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tt7939800|nm0864937|nicky chan</x:v>
      </x:c>
      <x:c r="B166" s="14" t="str">
        <x:v>07</x:v>
      </x:c>
      <x:c r="C166" s="14" t="str">
        <x:v>2022_IMDb_Cast_Lists_Batch_07(1).xlsx</x:v>
      </x:c>
      <x:c r="D166" s="14" t="str">
        <x:v>The Undeclared War</x:v>
      </x:c>
      <x:c r="E166" s="14" t="n">
        <x:v>62</x:v>
      </x:c>
      <x:c r="F166" s="14" t="str">
        <x:v>The Undeclared War</x:v>
      </x:c>
      <x:c r="G166" s="14" t="str">
        <x:v>tt7939800</x:v>
      </x:c>
      <x:c r="H166" s="14" t="n">
        <x:v>2022</x:v>
      </x:c>
      <x:c r="I166" s="14" t="n">
        <x:v>2023</x:v>
      </x:c>
      <x:c r="J166" s="14" t="str">
        <x:v>Post-study cohort</x:v>
      </x:c>
      <x:c r="K166" s="14" t="n">
        <x:v>2022</x:v>
      </x:c>
      <x:c r="L166" s="14" t="str">
        <x:v>Not inherited</x:v>
      </x:c>
      <x:c r="M166" s="15" t="n">
        <x:v>55</x:v>
      </x:c>
      <x:c r="N166" s="14" t="str">
        <x:v>Jason Tobin</x:v>
      </x:c>
      <x:c r="O166" s="14" t="str">
        <x:v>nm0864937</x:v>
      </x:c>
      <x:c r="P166" s="14" t="str">
        <x:v>Nicky Chan</x:v>
      </x:c>
      <x:c r="Q166" s="15" t="n">
        <x:v>2</x:v>
      </x:c>
      <x:c r="R166" s="14" t="str">
        <x:v>2026</x:v>
      </x:c>
      <x:c r="S166" s="14" t="n">
        <x:v>2026</x:v>
      </x:c>
      <x:c r="T166" s="14" t="n">
        <x:v>2026</x:v>
      </x:c>
      <x:c r="U166" s="14" t="str">
        <x:v>Explicit source first year retained</x:v>
      </x:c>
      <x:c r="V166" s="14" t="str">
        <x:v>Earliest supplied year is 2026.</x:v>
      </x:c>
      <x:c r="W166" s="14"/>
      <x:c r="X166" s="14" t="str">
        <x:v>Excluded: after 2025</x:v>
      </x:c>
      <x:c r="Y166" s="14"/>
      <x:c r="Z166" s="14" t="str">
        <x:v>The Undeclared War.docx</x:v>
      </x:c>
      <x:c r="AA166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Channel 4 / E4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HYPERLINK("https://en.wikipedia.org/wiki/The_Undeclared_War","Open source")</x:f>
        <x:v>HYPERLINK is not implemented. linkLocation=https://en.wikipedia.org/wiki/The_Undeclared_War, friendlyName=Open source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12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0.16666666666666666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tt7939800|nm8872422|fsb coder</x:v>
      </x:c>
      <x:c r="B167" s="14" t="str">
        <x:v>07</x:v>
      </x:c>
      <x:c r="C167" s="14" t="str">
        <x:v>2022_IMDb_Cast_Lists_Batch_07(1).xlsx</x:v>
      </x:c>
      <x:c r="D167" s="14" t="str">
        <x:v>The Undeclared War</x:v>
      </x:c>
      <x:c r="E167" s="14" t="n">
        <x:v>66</x:v>
      </x:c>
      <x:c r="F167" s="14" t="str">
        <x:v>The Undeclared War</x:v>
      </x:c>
      <x:c r="G167" s="14" t="str">
        <x:v>tt7939800</x:v>
      </x:c>
      <x:c r="H167" s="14" t="n">
        <x:v>2022</x:v>
      </x:c>
      <x:c r="I167" s="14" t="n">
        <x:v>2023</x:v>
      </x:c>
      <x:c r="J167" s="14" t="str">
        <x:v>Post-study cohort</x:v>
      </x:c>
      <x:c r="K167" s="14" t="n">
        <x:v>2022</x:v>
      </x:c>
      <x:c r="L167" s="14" t="str">
        <x:v>Not inherited</x:v>
      </x:c>
      <x:c r="M167" s="15" t="n">
        <x:v>59</x:v>
      </x:c>
      <x:c r="N167" s="14" t="str">
        <x:v>Nikolay Mulakov</x:v>
      </x:c>
      <x:c r="O167" s="14" t="str">
        <x:v>nm8872422</x:v>
      </x:c>
      <x:c r="P167" s="14" t="str">
        <x:v>FSB Coder</x:v>
      </x:c>
      <x:c r="Q167" s="15" t="n">
        <x:v>1</x:v>
      </x:c>
      <x:c r="R167" s="14" t="str">
        <x:v>2026</x:v>
      </x:c>
      <x:c r="S167" s="14" t="n">
        <x:v>2026</x:v>
      </x:c>
      <x:c r="T167" s="14" t="n">
        <x:v>2026</x:v>
      </x:c>
      <x:c r="U167" s="14" t="str">
        <x:v>Explicit source first year retained</x:v>
      </x:c>
      <x:c r="V167" s="14" t="str">
        <x:v>Earliest supplied year is 2026.</x:v>
      </x:c>
      <x:c r="W167" s="14"/>
      <x:c r="X167" s="14" t="str">
        <x:v>Excluded: after 2025</x:v>
      </x:c>
      <x:c r="Y167" s="14"/>
      <x:c r="Z167" s="14" t="str">
        <x:v>The Undeclared War.docx</x:v>
      </x:c>
      <x:c r="AA167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Channel 4 / E4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HYPERLINK("https://en.wikipedia.org/wiki/The_Undeclared_War","Open source")</x:f>
        <x:v>HYPERLINK is not implemented. linkLocation=https://en.wikipedia.org/wiki/The_Undeclared_War, friendlyName=Open source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12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0.08333333333333333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tt7939800|nm8242169|julia</x:v>
      </x:c>
      <x:c r="B168" s="14" t="str">
        <x:v>07</x:v>
      </x:c>
      <x:c r="C168" s="14" t="str">
        <x:v>2022_IMDb_Cast_Lists_Batch_07(1).xlsx</x:v>
      </x:c>
      <x:c r="D168" s="14" t="str">
        <x:v>The Undeclared War</x:v>
      </x:c>
      <x:c r="E168" s="14" t="n">
        <x:v>109</x:v>
      </x:c>
      <x:c r="F168" s="14" t="str">
        <x:v>The Undeclared War</x:v>
      </x:c>
      <x:c r="G168" s="14" t="str">
        <x:v>tt7939800</x:v>
      </x:c>
      <x:c r="H168" s="14" t="n">
        <x:v>2022</x:v>
      </x:c>
      <x:c r="I168" s="14" t="n">
        <x:v>2023</x:v>
      </x:c>
      <x:c r="J168" s="14" t="str">
        <x:v>Post-study cohort</x:v>
      </x:c>
      <x:c r="K168" s="14" t="n">
        <x:v>2022</x:v>
      </x:c>
      <x:c r="L168" s="14" t="str">
        <x:v>Not inherited</x:v>
      </x:c>
      <x:c r="M168" s="15" t="n">
        <x:v>102</x:v>
      </x:c>
      <x:c r="N168" s="14" t="str">
        <x:v>Angela Yeoh</x:v>
      </x:c>
      <x:c r="O168" s="14" t="str">
        <x:v>nm8242169</x:v>
      </x:c>
      <x:c r="P168" s="14" t="str">
        <x:v>Julia</x:v>
      </x:c>
      <x:c r="Q168" s="15" t="n">
        <x:v>1</x:v>
      </x:c>
      <x:c r="R168" s="14" t="str">
        <x:v>2026</x:v>
      </x:c>
      <x:c r="S168" s="14" t="n">
        <x:v>2026</x:v>
      </x:c>
      <x:c r="T168" s="14" t="n">
        <x:v>2026</x:v>
      </x:c>
      <x:c r="U168" s="14" t="str">
        <x:v>Explicit source first year retained</x:v>
      </x:c>
      <x:c r="V168" s="14" t="str">
        <x:v>Earliest supplied year is 2026.</x:v>
      </x:c>
      <x:c r="W168" s="14"/>
      <x:c r="X168" s="14" t="str">
        <x:v>Excluded: after 2025</x:v>
      </x:c>
      <x:c r="Y168" s="14"/>
      <x:c r="Z168" s="14" t="str">
        <x:v>The Undeclared War.docx</x:v>
      </x:c>
      <x:c r="AA168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Channel 4 / E4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HYPERLINK("https://en.wikipedia.org/wiki/The_Undeclared_War","Open source")</x:f>
        <x:v>HYPERLINK is not implemented. linkLocation=https://en.wikipedia.org/wiki/The_Undeclared_War, friendlyName=Open source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12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0.08333333333333333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tt7939800|nm2418667|alex sheldon</x:v>
      </x:c>
      <x:c r="B169" s="14" t="str">
        <x:v>07</x:v>
      </x:c>
      <x:c r="C169" s="14" t="str">
        <x:v>2022_IMDb_Cast_Lists_Batch_07(1).xlsx</x:v>
      </x:c>
      <x:c r="D169" s="14" t="str">
        <x:v>The Undeclared War</x:v>
      </x:c>
      <x:c r="E169" s="14" t="n">
        <x:v>110</x:v>
      </x:c>
      <x:c r="F169" s="14" t="str">
        <x:v>The Undeclared War</x:v>
      </x:c>
      <x:c r="G169" s="14" t="str">
        <x:v>tt7939800</x:v>
      </x:c>
      <x:c r="H169" s="14" t="n">
        <x:v>2022</x:v>
      </x:c>
      <x:c r="I169" s="14" t="n">
        <x:v>2023</x:v>
      </x:c>
      <x:c r="J169" s="14" t="str">
        <x:v>Post-study cohort</x:v>
      </x:c>
      <x:c r="K169" s="14" t="n">
        <x:v>2022</x:v>
      </x:c>
      <x:c r="L169" s="14" t="str">
        <x:v>Not inherited</x:v>
      </x:c>
      <x:c r="M169" s="15" t="n">
        <x:v>103</x:v>
      </x:c>
      <x:c r="N169" s="14" t="str">
        <x:v>Gavin Spokes</x:v>
      </x:c>
      <x:c r="O169" s="14" t="str">
        <x:v>nm2418667</x:v>
      </x:c>
      <x:c r="P169" s="14" t="str">
        <x:v>Alex Sheldon</x:v>
      </x:c>
      <x:c r="Q169" s="15" t="n">
        <x:v>1</x:v>
      </x:c>
      <x:c r="R169" s="14" t="str">
        <x:v>2026</x:v>
      </x:c>
      <x:c r="S169" s="14" t="n">
        <x:v>2026</x:v>
      </x:c>
      <x:c r="T169" s="14" t="n">
        <x:v>2026</x:v>
      </x:c>
      <x:c r="U169" s="14" t="str">
        <x:v>Explicit source first year retained</x:v>
      </x:c>
      <x:c r="V169" s="14" t="str">
        <x:v>Earliest supplied year is 2026.</x:v>
      </x:c>
      <x:c r="W169" s="14"/>
      <x:c r="X169" s="14" t="str">
        <x:v>Excluded: after 2025</x:v>
      </x:c>
      <x:c r="Y169" s="14"/>
      <x:c r="Z169" s="14" t="str">
        <x:v>The Undeclared War.docx</x:v>
      </x:c>
      <x:c r="AA169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Channel 4 / E4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HYPERLINK("https://en.wikipedia.org/wiki/The_Undeclared_War","Open source")</x:f>
        <x:v>HYPERLINK is not implemented. linkLocation=https://en.wikipedia.org/wiki/The_Undeclared_War, friendlyName=Open source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12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0.08333333333333333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tt7939800|nm14321417|gchq staff</x:v>
      </x:c>
      <x:c r="B170" s="14" t="str">
        <x:v>07</x:v>
      </x:c>
      <x:c r="C170" s="14" t="str">
        <x:v>2022_IMDb_Cast_Lists_Batch_07(1).xlsx</x:v>
      </x:c>
      <x:c r="D170" s="14" t="str">
        <x:v>The Undeclared War</x:v>
      </x:c>
      <x:c r="E170" s="14" t="n">
        <x:v>111</x:v>
      </x:c>
      <x:c r="F170" s="14" t="str">
        <x:v>The Undeclared War</x:v>
      </x:c>
      <x:c r="G170" s="14" t="str">
        <x:v>tt7939800</x:v>
      </x:c>
      <x:c r="H170" s="14" t="n">
        <x:v>2022</x:v>
      </x:c>
      <x:c r="I170" s="14" t="n">
        <x:v>2023</x:v>
      </x:c>
      <x:c r="J170" s="14" t="str">
        <x:v>Post-study cohort</x:v>
      </x:c>
      <x:c r="K170" s="14" t="n">
        <x:v>2022</x:v>
      </x:c>
      <x:c r="L170" s="14" t="str">
        <x:v>Not inherited</x:v>
      </x:c>
      <x:c r="M170" s="15" t="n">
        <x:v>104</x:v>
      </x:c>
      <x:c r="N170" s="14" t="str">
        <x:v>Ravi Multani</x:v>
      </x:c>
      <x:c r="O170" s="14" t="str">
        <x:v>nm14321417</x:v>
      </x:c>
      <x:c r="P170" s="14" t="str">
        <x:v>GCHQ Staff</x:v>
      </x:c>
      <x:c r="Q170" s="15" t="n">
        <x:v>1</x:v>
      </x:c>
      <x:c r="R170" s="14" t="str">
        <x:v>2026</x:v>
      </x:c>
      <x:c r="S170" s="14" t="n">
        <x:v>2026</x:v>
      </x:c>
      <x:c r="T170" s="14" t="n">
        <x:v>2026</x:v>
      </x:c>
      <x:c r="U170" s="14" t="str">
        <x:v>Explicit source first year retained</x:v>
      </x:c>
      <x:c r="V170" s="14" t="str">
        <x:v>Earliest supplied year is 2026.</x:v>
      </x:c>
      <x:c r="W170" s="14"/>
      <x:c r="X170" s="14" t="str">
        <x:v>Excluded: after 2025</x:v>
      </x:c>
      <x:c r="Y170" s="14"/>
      <x:c r="Z170" s="14" t="str">
        <x:v>The Undeclared War.docx</x:v>
      </x:c>
      <x:c r="AA170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Channel 4 / E4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HYPERLINK("https://en.wikipedia.org/wiki/The_Undeclared_War","Open source")</x:f>
        <x:v>HYPERLINK is not implemented. linkLocation=https://en.wikipedia.org/wiki/The_Undeclared_War, friendlyName=Open source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12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0.08333333333333333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tt7939800|nm1412134|academic</x:v>
      </x:c>
      <x:c r="B171" s="14" t="str">
        <x:v>07</x:v>
      </x:c>
      <x:c r="C171" s="14" t="str">
        <x:v>2022_IMDb_Cast_Lists_Batch_07(1).xlsx</x:v>
      </x:c>
      <x:c r="D171" s="14" t="str">
        <x:v>The Undeclared War</x:v>
      </x:c>
      <x:c r="E171" s="14" t="n">
        <x:v>112</x:v>
      </x:c>
      <x:c r="F171" s="14" t="str">
        <x:v>The Undeclared War</x:v>
      </x:c>
      <x:c r="G171" s="14" t="str">
        <x:v>tt7939800</x:v>
      </x:c>
      <x:c r="H171" s="14" t="n">
        <x:v>2022</x:v>
      </x:c>
      <x:c r="I171" s="14" t="n">
        <x:v>2023</x:v>
      </x:c>
      <x:c r="J171" s="14" t="str">
        <x:v>Post-study cohort</x:v>
      </x:c>
      <x:c r="K171" s="14" t="n">
        <x:v>2022</x:v>
      </x:c>
      <x:c r="L171" s="14" t="str">
        <x:v>Not inherited</x:v>
      </x:c>
      <x:c r="M171" s="15" t="n">
        <x:v>105</x:v>
      </x:c>
      <x:c r="N171" s="14" t="str">
        <x:v>Andrew MacBean</x:v>
      </x:c>
      <x:c r="O171" s="14" t="str">
        <x:v>nm1412134</x:v>
      </x:c>
      <x:c r="P171" s="14" t="str">
        <x:v>Academic</x:v>
      </x:c>
      <x:c r="Q171" s="15" t="n">
        <x:v>1</x:v>
      </x:c>
      <x:c r="R171" s="14" t="str">
        <x:v>2026</x:v>
      </x:c>
      <x:c r="S171" s="14" t="n">
        <x:v>2026</x:v>
      </x:c>
      <x:c r="T171" s="14" t="n">
        <x:v>2026</x:v>
      </x:c>
      <x:c r="U171" s="14" t="str">
        <x:v>Explicit source first year retained</x:v>
      </x:c>
      <x:c r="V171" s="14" t="str">
        <x:v>Earliest supplied year is 2026.</x:v>
      </x:c>
      <x:c r="W171" s="14"/>
      <x:c r="X171" s="14" t="str">
        <x:v>Excluded: after 2025</x:v>
      </x:c>
      <x:c r="Y171" s="14"/>
      <x:c r="Z171" s="14" t="str">
        <x:v>The Undeclared War.docx</x:v>
      </x:c>
      <x:c r="AA171" s="17" t="e">
        <x:f>HYPERLINK("https://www.imdb.com/title/tt7939800/fullcredits/","Open source")</x:f>
        <x:v>HYPERLINK is not implemented. linkLocation=https://www.imdb.com/title/tt7939800/fullcredits/,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Channel 4 / E4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HYPERLINK("https://en.wikipedia.org/wiki/The_Undeclared_War","Open source")</x:f>
        <x:v>HYPERLINK is not implemented. linkLocation=https://en.wikipedia.org/wiki/The_Undeclared_War, friendlyName=Open source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12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0.08333333333333333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HYPERLINK("https://www.imdb.com/title/tt7939800/fullcredits/","Open source")</x:f>
        <x:v>HYPERLINK is not implemented. linkLocation=https://www.imdb.com/title/tt7939800/fullcredits/,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tt11958610|nm0334150|commander nia quentin</x:v>
      </x:c>
      <x:c r="B172" s="14" t="str">
        <x:v>08</x:v>
      </x:c>
      <x:c r="C172" s="14" t="str">
        <x:v>2022_IMDb_Cast_Lists_Batch_08(1).xlsx</x:v>
      </x:c>
      <x:c r="D172" s="14" t="str">
        <x:v>Trigger Point</x:v>
      </x:c>
      <x:c r="E172" s="14" t="n">
        <x:v>28</x:v>
      </x:c>
      <x:c r="F172" s="14" t="str">
        <x:v>Trigger Point</x:v>
      </x:c>
      <x:c r="G172" s="14" t="str">
        <x:v>tt11958610</x:v>
      </x:c>
      <x:c r="H172" s="14" t="n">
        <x:v>2022</x:v>
      </x:c>
      <x:c r="I172" s="14" t="n">
        <x:v>2023</x:v>
      </x:c>
      <x:c r="J172" s="14" t="str">
        <x:v>Post-study cohort</x:v>
      </x:c>
      <x:c r="K172" s="14" t="n">
        <x:v>2022</x:v>
      </x:c>
      <x:c r="L172" s="14" t="str">
        <x:v>Not inherited</x:v>
      </x:c>
      <x:c r="M172" s="15" t="n">
        <x:v>21</x:v>
      </x:c>
      <x:c r="N172" s="14" t="str">
        <x:v>Julie Graham</x:v>
      </x:c>
      <x:c r="O172" s="14" t="str">
        <x:v>nm0334150</x:v>
      </x:c>
      <x:c r="P172" s="14" t="str">
        <x:v>Commander Nia Quentin</x:v>
      </x:c>
      <x:c r="Q172" s="15" t="n">
        <x:v>6</x:v>
      </x:c>
      <x:c r="R172" s="14" t="str">
        <x:v>2026</x:v>
      </x:c>
      <x:c r="S172" s="14" t="n">
        <x:v>2026</x:v>
      </x:c>
      <x:c r="T172" s="14" t="n">
        <x:v>2026</x:v>
      </x:c>
      <x:c r="U172" s="14" t="str">
        <x:v>Explicit source first year retained</x:v>
      </x:c>
      <x:c r="V172" s="14" t="str">
        <x:v>Earliest supplied year is 2026.</x:v>
      </x:c>
      <x:c r="W172" s="14"/>
      <x:c r="X172" s="14" t="str">
        <x:v>Excluded: after 2025</x:v>
      </x:c>
      <x:c r="Y172" s="14"/>
      <x:c r="Z172" s="14" t="str">
        <x:v>Trigger Point.docx</x:v>
      </x:c>
      <x:c r="AA17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ITV / ITVX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HYPERLINK("https://en.wikipedia.org/wiki/Trigger_Point","Open source")</x:f>
        <x:v>HYPERLINK is not implemented. linkLocation=https://en.wikipedia.org/wiki/Trigger_Point, friendlyName=Open source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24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6</x:v>
      </x:c>
      <x:c r="BS172" s="16" t="n">
        <x:v>0.25</x:v>
      </x:c>
      <x:c r="BT172" s="14" t="str">
        <x:v>Minority of episodes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tt11958610|nm13424229|dc ellie hackett</x:v>
      </x:c>
      <x:c r="B173" s="14" t="str">
        <x:v>08</x:v>
      </x:c>
      <x:c r="C173" s="14" t="str">
        <x:v>2022_IMDb_Cast_Lists_Batch_08(1).xlsx</x:v>
      </x:c>
      <x:c r="D173" s="14" t="str">
        <x:v>Trigger Point</x:v>
      </x:c>
      <x:c r="E173" s="14" t="n">
        <x:v>29</x:v>
      </x:c>
      <x:c r="F173" s="14" t="str">
        <x:v>Trigger Point</x:v>
      </x:c>
      <x:c r="G173" s="14" t="str">
        <x:v>tt11958610</x:v>
      </x:c>
      <x:c r="H173" s="14" t="n">
        <x:v>2022</x:v>
      </x:c>
      <x:c r="I173" s="14" t="n">
        <x:v>2023</x:v>
      </x:c>
      <x:c r="J173" s="14" t="str">
        <x:v>Post-study cohort</x:v>
      </x:c>
      <x:c r="K173" s="14" t="n">
        <x:v>2022</x:v>
      </x:c>
      <x:c r="L173" s="14" t="str">
        <x:v>Not inherited</x:v>
      </x:c>
      <x:c r="M173" s="15" t="n">
        <x:v>22</x:v>
      </x:c>
      <x:c r="N173" s="14" t="str">
        <x:v>Posy Sterling</x:v>
      </x:c>
      <x:c r="O173" s="14" t="str">
        <x:v>nm13424229</x:v>
      </x:c>
      <x:c r="P173" s="14" t="str">
        <x:v>DC Ellie Hackett</x:v>
      </x:c>
      <x:c r="Q173" s="15" t="n">
        <x:v>6</x:v>
      </x:c>
      <x:c r="R173" s="14" t="str">
        <x:v>2026</x:v>
      </x:c>
      <x:c r="S173" s="14" t="n">
        <x:v>2026</x:v>
      </x:c>
      <x:c r="T173" s="14" t="n">
        <x:v>2026</x:v>
      </x:c>
      <x:c r="U173" s="14" t="str">
        <x:v>Explicit source first year retained</x:v>
      </x:c>
      <x:c r="V173" s="14" t="str">
        <x:v>Earliest supplied year is 2026.</x:v>
      </x:c>
      <x:c r="W173" s="14"/>
      <x:c r="X173" s="14" t="str">
        <x:v>Excluded: after 2025</x:v>
      </x:c>
      <x:c r="Y173" s="14"/>
      <x:c r="Z173" s="14" t="str">
        <x:v>Trigger Point.docx</x:v>
      </x:c>
      <x:c r="AA17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ITV / ITVX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HYPERLINK("https://en.wikipedia.org/wiki/Trigger_Point","Open source")</x:f>
        <x:v>HYPERLINK is not implemented. linkLocation=https://en.wikipedia.org/wiki/Trigger_Point, friendlyName=Open source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24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6</x:v>
      </x:c>
      <x:c r="BS173" s="16" t="n">
        <x:v>0.25</x:v>
      </x:c>
      <x:c r="BT173" s="14" t="str">
        <x:v>Minority of episodes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tt11958610|nm2687517|eddie</x:v>
      </x:c>
      <x:c r="B174" s="14" t="str">
        <x:v>08</x:v>
      </x:c>
      <x:c r="C174" s="14" t="str">
        <x:v>2022_IMDb_Cast_Lists_Batch_08(1).xlsx</x:v>
      </x:c>
      <x:c r="D174" s="14" t="str">
        <x:v>Trigger Point</x:v>
      </x:c>
      <x:c r="E174" s="14" t="n">
        <x:v>36</x:v>
      </x:c>
      <x:c r="F174" s="14" t="str">
        <x:v>Trigger Point</x:v>
      </x:c>
      <x:c r="G174" s="14" t="str">
        <x:v>tt11958610</x:v>
      </x:c>
      <x:c r="H174" s="14" t="n">
        <x:v>2022</x:v>
      </x:c>
      <x:c r="I174" s="14" t="n">
        <x:v>2023</x:v>
      </x:c>
      <x:c r="J174" s="14" t="str">
        <x:v>Post-study cohort</x:v>
      </x:c>
      <x:c r="K174" s="14" t="n">
        <x:v>2022</x:v>
      </x:c>
      <x:c r="L174" s="14" t="str">
        <x:v>Not inherited</x:v>
      </x:c>
      <x:c r="M174" s="15" t="n">
        <x:v>29</x:v>
      </x:c>
      <x:c r="N174" s="14" t="str">
        <x:v>Chris Reilly</x:v>
      </x:c>
      <x:c r="O174" s="14" t="str">
        <x:v>nm2687517</x:v>
      </x:c>
      <x:c r="P174" s="14" t="str">
        <x:v>Eddie</x:v>
      </x:c>
      <x:c r="Q174" s="15" t="n">
        <x:v>5</x:v>
      </x:c>
      <x:c r="R174" s="14" t="str">
        <x:v>2026</x:v>
      </x:c>
      <x:c r="S174" s="14" t="n">
        <x:v>2026</x:v>
      </x:c>
      <x:c r="T174" s="14" t="n">
        <x:v>2026</x:v>
      </x:c>
      <x:c r="U174" s="14" t="str">
        <x:v>Explicit source first year retained</x:v>
      </x:c>
      <x:c r="V174" s="14" t="str">
        <x:v>Earliest supplied year is 2026.</x:v>
      </x:c>
      <x:c r="W174" s="14"/>
      <x:c r="X174" s="14" t="str">
        <x:v>Excluded: after 2025</x:v>
      </x:c>
      <x:c r="Y174" s="14"/>
      <x:c r="Z174" s="14" t="str">
        <x:v>Trigger Point.docx</x:v>
      </x:c>
      <x:c r="AA17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ITV / ITVX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HYPERLINK("https://en.wikipedia.org/wiki/Trigger_Point","Open source")</x:f>
        <x:v>HYPERLINK is not implemented. linkLocation=https://en.wikipedia.org/wiki/Trigger_Point, friendlyName=Open source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24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5</x:v>
      </x:c>
      <x:c r="BS174" s="16" t="n">
        <x:v>0.20833333333333334</x:v>
      </x:c>
      <x:c r="BT174" s="14" t="str">
        <x:v>Minority of episodes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tt11958610|nm12353218|mercenary</x:v>
      </x:c>
      <x:c r="B175" s="14" t="str">
        <x:v>08</x:v>
      </x:c>
      <x:c r="C175" s="14" t="str">
        <x:v>2022_IMDb_Cast_Lists_Batch_08(1).xlsx</x:v>
      </x:c>
      <x:c r="D175" s="14" t="str">
        <x:v>Trigger Point</x:v>
      </x:c>
      <x:c r="E175" s="14" t="n">
        <x:v>130</x:v>
      </x:c>
      <x:c r="F175" s="14" t="str">
        <x:v>Trigger Point</x:v>
      </x:c>
      <x:c r="G175" s="14" t="str">
        <x:v>tt11958610</x:v>
      </x:c>
      <x:c r="H175" s="14" t="n">
        <x:v>2022</x:v>
      </x:c>
      <x:c r="I175" s="14" t="n">
        <x:v>2023</x:v>
      </x:c>
      <x:c r="J175" s="14" t="str">
        <x:v>Post-study cohort</x:v>
      </x:c>
      <x:c r="K175" s="14" t="n">
        <x:v>2022</x:v>
      </x:c>
      <x:c r="L175" s="14" t="str">
        <x:v>Not inherited</x:v>
      </x:c>
      <x:c r="M175" s="15" t="n">
        <x:v>123</x:v>
      </x:c>
      <x:c r="N175" s="14" t="str">
        <x:v>Kelly Rian Sanson</x:v>
      </x:c>
      <x:c r="O175" s="14" t="str">
        <x:v>nm12353218</x:v>
      </x:c>
      <x:c r="P175" s="14" t="str">
        <x:v>Mercenary</x:v>
      </x:c>
      <x:c r="Q175" s="15" t="n">
        <x:v>1</x:v>
      </x:c>
      <x:c r="R175" s="14" t="str">
        <x:v>2026</x:v>
      </x:c>
      <x:c r="S175" s="14" t="n">
        <x:v>2026</x:v>
      </x:c>
      <x:c r="T175" s="14" t="n">
        <x:v>2026</x:v>
      </x:c>
      <x:c r="U175" s="14" t="str">
        <x:v>Explicit source first year retained</x:v>
      </x:c>
      <x:c r="V175" s="14" t="str">
        <x:v>Earliest supplied year is 2026.</x:v>
      </x:c>
      <x:c r="W175" s="14"/>
      <x:c r="X175" s="14" t="str">
        <x:v>Excluded: after 2025</x:v>
      </x:c>
      <x:c r="Y175" s="14"/>
      <x:c r="Z175" s="14" t="str">
        <x:v>Trigger Point.docx</x:v>
      </x:c>
      <x:c r="AA17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ITV / ITVX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HYPERLINK("https://en.wikipedia.org/wiki/Trigger_Point","Open source")</x:f>
        <x:v>HYPERLINK is not implemented. linkLocation=https://en.wikipedia.org/wiki/Trigger_Point, friendlyName=Open source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24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0.041666666666666664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ebd6f3f24d0448f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Unresolved year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0 records excluded pending resolution.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</x:sheetData>
  <x:mergeCells>
    <x:mergeCell ref="A1:CD1"/>
    <x:mergeCell ref="A2:C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2" hidden="0" customWidth="1"/>
    <x:col min="3" max="3" width="52" hidden="0" customWidth="1"/>
    <x:col min="4" max="4" width="24" hidden="0" customWidth="1"/>
    <x:col min="5" max="5" width="58" hidden="0" customWidth="1"/>
  </x:cols>
  <x:sheetData>
    <x:row r="1" ht="30" customHeight="1">
      <x:c r="A1" s="3" t="str">
        <x:v>Duplicate and conflict log</x:v>
      </x:c>
      <x:c r="B1" s="3"/>
      <x:c r="C1" s="3"/>
      <x:c r="D1" s="3"/>
      <x:c r="E1" s="3"/>
    </x:row>
    <x:row r="2" ht="42" customHeight="1">
      <x:c r="A2" s="7" t="str">
        <x:v>103 exact repeated source records were removed from analytical counts; provenance remains here.</x:v>
      </x:c>
      <x:c r="B2" s="7"/>
      <x:c r="C2" s="7"/>
      <x:c r="D2" s="7"/>
      <x:c r="E2" s="7"/>
    </x:row>
    <x:row r="5" ht="34" customHeight="1">
      <x:c r="A5" s="11" t="str">
        <x:v>Canonical casting-credit key</x:v>
      </x:c>
      <x:c r="B5" s="11" t="str">
        <x:v>Canonical source</x:v>
      </x:c>
      <x:c r="C5" s="11" t="str">
        <x:v>Duplicate source</x:v>
      </x:c>
      <x:c r="D5" s="11" t="str">
        <x:v>Conflict status</x:v>
      </x:c>
      <x:c r="E5" s="11" t="str">
        <x:v>Action</x:v>
      </x:c>
    </x:row>
    <x:row r="6">
      <x:c r="A6" s="14" t="str">
        <x:v>tt13323596|nm0212675|di les hanley</x:v>
      </x:c>
      <x:c r="B6" s="14" t="str">
        <x:v>2023_IMDb_Cast_Lists_Batch_04(2).xlsx / The Long Shadow / row 8</x:v>
      </x:c>
      <x:c r="C6" s="14" t="str">
        <x:v>2023_IMDb_Cast_Lists_Batch_05(2).xlsx / The Long Shadow / row 8</x:v>
      </x:c>
      <x:c r="D6" s="14" t="str">
        <x:v>No material conflict</x:v>
      </x:c>
      <x:c r="E6" s="14" t="str">
        <x:v>Excluded duplicate from analytical counts; source retained in this log.</x:v>
      </x:c>
    </x:row>
    <x:row r="7">
      <x:c r="A7" s="14" t="str">
        <x:v>tt13323596|nm1106944|dc john nunn</x:v>
      </x:c>
      <x:c r="B7" s="14" t="str">
        <x:v>2023_IMDb_Cast_Lists_Batch_04(2).xlsx / The Long Shadow / row 9</x:v>
      </x:c>
      <x:c r="C7" s="14" t="str">
        <x:v>2023_IMDb_Cast_Lists_Batch_05(2).xlsx / The Long Shadow / row 9</x:v>
      </x:c>
      <x:c r="D7" s="14" t="str">
        <x:v>No material conflict</x:v>
      </x:c>
      <x:c r="E7" s="14" t="str">
        <x:v>Excluded duplicate from analytical counts; source retained in this log.</x:v>
      </x:c>
    </x:row>
    <x:row r="8">
      <x:c r="A8" s="14" t="str">
        <x:v>tt13323596|nm0408846|dcs jim hobson</x:v>
      </x:c>
      <x:c r="B8" s="14" t="str">
        <x:v>2023_IMDb_Cast_Lists_Batch_04(2).xlsx / The Long Shadow / row 10</x:v>
      </x:c>
      <x:c r="C8" s="14" t="str">
        <x:v>2023_IMDb_Cast_Lists_Batch_05(2).xlsx / The Long Shadow / row 10</x:v>
      </x:c>
      <x:c r="D8" s="14" t="str">
        <x:v>No material conflict</x:v>
      </x:c>
      <x:c r="E8" s="14" t="str">
        <x:v>Excluded duplicate from analytical counts; source retained in this log.</x:v>
      </x:c>
    </x:row>
    <x:row r="9">
      <x:c r="A9" s="14" t="str">
        <x:v>tt13323596|nm0568385|cc ronald gregory</x:v>
      </x:c>
      <x:c r="B9" s="14" t="str">
        <x:v>2023_IMDb_Cast_Lists_Batch_04(2).xlsx / The Long Shadow / row 11</x:v>
      </x:c>
      <x:c r="C9" s="14" t="str">
        <x:v>2023_IMDb_Cast_Lists_Batch_05(2).xlsx / The Long Shadow / row 11</x:v>
      </x:c>
      <x:c r="D9" s="14" t="str">
        <x:v>No material conflict</x:v>
      </x:c>
      <x:c r="E9" s="14" t="str">
        <x:v>Excluded duplicate from analytical counts; source retained in this log.</x:v>
      </x:c>
    </x:row>
    <x:row r="10">
      <x:c r="A10" s="14" t="str">
        <x:v>tt13323596|nm4332060|wpc jenny bush</x:v>
      </x:c>
      <x:c r="B10" s="14" t="str">
        <x:v>2023_IMDb_Cast_Lists_Batch_04(2).xlsx / The Long Shadow / row 12</x:v>
      </x:c>
      <x:c r="C10" s="14" t="str">
        <x:v>2023_IMDb_Cast_Lists_Batch_05(2).xlsx / The Long Shadow / row 12</x:v>
      </x:c>
      <x:c r="D10" s="14" t="str">
        <x:v>No material conflict</x:v>
      </x:c>
      <x:c r="E10" s="14" t="str">
        <x:v>Excluded duplicate from analytical counts; source retained in this log.</x:v>
      </x:c>
    </x:row>
    <x:row r="11">
      <x:c r="A11" s="14" t="str">
        <x:v>tt13323596|nm0607375|acc george oldfield / dcs george oldfield</x:v>
      </x:c>
      <x:c r="B11" s="14" t="str">
        <x:v>2023_IMDb_Cast_Lists_Batch_04(2).xlsx / The Long Shadow / row 13</x:v>
      </x:c>
      <x:c r="C11" s="14" t="str">
        <x:v>2023_IMDb_Cast_Lists_Batch_05(2).xlsx / The Long Shadow / row 13</x:v>
      </x:c>
      <x:c r="D11" s="14" t="str">
        <x:v>No material conflict</x:v>
      </x:c>
      <x:c r="E11" s="14" t="str">
        <x:v>Excluded duplicate from analytical counts; source retained in this log.</x:v>
      </x:c>
    </x:row>
    <x:row r="12">
      <x:c r="A12" s="14" t="str">
        <x:v>tt13323596|nm0905357|dsi dick holland / dci dick holland</x:v>
      </x:c>
      <x:c r="B12" s="14" t="str">
        <x:v>2023_IMDb_Cast_Lists_Batch_04(2).xlsx / The Long Shadow / row 14</x:v>
      </x:c>
      <x:c r="C12" s="14" t="str">
        <x:v>2023_IMDb_Cast_Lists_Batch_05(2).xlsx / The Long Shadow / row 14</x:v>
      </x:c>
      <x:c r="D12" s="14" t="str">
        <x:v>No material conflict</x:v>
      </x:c>
      <x:c r="E12" s="14" t="str">
        <x:v>Excluded duplicate from analytical counts; source retained in this log.</x:v>
      </x:c>
    </x:row>
    <x:row r="13">
      <x:c r="A13" s="14" t="str">
        <x:v>tt13323596|nm1389482|ps bob blake / bob blake</x:v>
      </x:c>
      <x:c r="B13" s="14" t="str">
        <x:v>2023_IMDb_Cast_Lists_Batch_04(2).xlsx / The Long Shadow / row 15</x:v>
      </x:c>
      <x:c r="C13" s="14" t="str">
        <x:v>2023_IMDb_Cast_Lists_Batch_05(2).xlsx / The Long Shadow / row 15</x:v>
      </x:c>
      <x:c r="D13" s="14" t="str">
        <x:v>No material conflict</x:v>
      </x:c>
      <x:c r="E13" s="14" t="str">
        <x:v>Excluded duplicate from analytical counts; source retained in this log.</x:v>
      </x:c>
    </x:row>
    <x:row r="14">
      <x:c r="A14" s="14" t="str">
        <x:v>tt13323596|nm1693813|dcs john domaille</x:v>
      </x:c>
      <x:c r="B14" s="14" t="str">
        <x:v>2023_IMDb_Cast_Lists_Batch_04(2).xlsx / The Long Shadow / row 16</x:v>
      </x:c>
      <x:c r="C14" s="14" t="str">
        <x:v>2023_IMDb_Cast_Lists_Batch_05(2).xlsx / The Long Shadow / row 16</x:v>
      </x:c>
      <x:c r="D14" s="14" t="str">
        <x:v>No material conflict</x:v>
      </x:c>
      <x:c r="E14" s="14" t="str">
        <x:v>Excluded duplicate from analytical counts; source retained in this log.</x:v>
      </x:c>
    </x:row>
    <x:row r="15">
      <x:c r="A15" s="14" t="str">
        <x:v>tt13323596|nm0378132|mike dugdale</x:v>
      </x:c>
      <x:c r="B15" s="14" t="str">
        <x:v>2023_IMDb_Cast_Lists_Batch_04(2).xlsx / The Long Shadow / row 17</x:v>
      </x:c>
      <x:c r="C15" s="14" t="str">
        <x:v>2023_IMDb_Cast_Lists_Batch_05(2).xlsx / The Long Shadow / row 17</x:v>
      </x:c>
      <x:c r="D15" s="14" t="str">
        <x:v>No material conflict</x:v>
      </x:c>
      <x:c r="E15" s="14" t="str">
        <x:v>Excluded duplicate from analytical counts; source retained in this log.</x:v>
      </x:c>
    </x:row>
    <x:row r="16">
      <x:c r="A16" s="14" t="str">
        <x:v>tt13323596|nm0429363|dcs dennis hoban</x:v>
      </x:c>
      <x:c r="B16" s="14" t="str">
        <x:v>2023_IMDb_Cast_Lists_Batch_04(2).xlsx / The Long Shadow / row 18</x:v>
      </x:c>
      <x:c r="C16" s="14" t="str">
        <x:v>2023_IMDb_Cast_Lists_Batch_05(2).xlsx / The Long Shadow / row 18</x:v>
      </x:c>
      <x:c r="D16" s="14" t="str">
        <x:v>No material conflict</x:v>
      </x:c>
      <x:c r="E16" s="14" t="str">
        <x:v>Excluded duplicate from analytical counts; source retained in this log.</x:v>
      </x:c>
    </x:row>
    <x:row r="17">
      <x:c r="A17" s="14" t="str">
        <x:v>tt13323596|nm10115544|marcella claxton</x:v>
      </x:c>
      <x:c r="B17" s="14" t="str">
        <x:v>2023_IMDb_Cast_Lists_Batch_04(2).xlsx / The Long Shadow / row 19</x:v>
      </x:c>
      <x:c r="C17" s="14" t="str">
        <x:v>2023_IMDb_Cast_Lists_Batch_05(2).xlsx / The Long Shadow / row 19</x:v>
      </x:c>
      <x:c r="D17" s="14" t="str">
        <x:v>No material conflict</x:v>
      </x:c>
      <x:c r="E17" s="14" t="str">
        <x:v>Excluded duplicate from analytical counts; source retained in this log.</x:v>
      </x:c>
    </x:row>
    <x:row r="18">
      <x:c r="A18" s="14" t="str">
        <x:v>tt13323596|nm1325343|wpc sue neave</x:v>
      </x:c>
      <x:c r="B18" s="14" t="str">
        <x:v>2023_IMDb_Cast_Lists_Batch_04(2).xlsx / The Long Shadow / row 20</x:v>
      </x:c>
      <x:c r="C18" s="14" t="str">
        <x:v>2023_IMDb_Cast_Lists_Batch_05(2).xlsx / The Long Shadow / row 20</x:v>
      </x:c>
      <x:c r="D18" s="14" t="str">
        <x:v>No material conflict</x:v>
      </x:c>
      <x:c r="E18" s="14" t="str">
        <x:v>Excluded duplicate from analytical counts; source retained in this log.</x:v>
      </x:c>
    </x:row>
    <x:row r="19">
      <x:c r="A19" s="14" t="str">
        <x:v>tt13323596|nm0867017|david gee</x:v>
      </x:c>
      <x:c r="B19" s="14" t="str">
        <x:v>2023_IMDb_Cast_Lists_Batch_04(2).xlsx / The Long Shadow / row 21</x:v>
      </x:c>
      <x:c r="C19" s="14" t="str">
        <x:v>2023_IMDb_Cast_Lists_Batch_05(2).xlsx / The Long Shadow / row 21</x:v>
      </x:c>
      <x:c r="D19" s="14" t="str">
        <x:v>No material conflict</x:v>
      </x:c>
      <x:c r="E19" s="14" t="str">
        <x:v>Excluded duplicate from analytical counts; source retained in this log.</x:v>
      </x:c>
    </x:row>
    <x:row r="20">
      <x:c r="A20" s="14" t="str">
        <x:v>tt13323596|nm1022566|ps meg winterburn</x:v>
      </x:c>
      <x:c r="B20" s="14" t="str">
        <x:v>2023_IMDb_Cast_Lists_Batch_04(2).xlsx / The Long Shadow / row 22</x:v>
      </x:c>
      <x:c r="C20" s="14" t="str">
        <x:v>2023_IMDb_Cast_Lists_Batch_05(2).xlsx / The Long Shadow / row 22</x:v>
      </x:c>
      <x:c r="D20" s="14" t="str">
        <x:v>No material conflict</x:v>
      </x:c>
      <x:c r="E20" s="14" t="str">
        <x:v>Excluded duplicate from analytical counts; source retained in this log.</x:v>
      </x:c>
    </x:row>
    <x:row r="21">
      <x:c r="A21" s="14" t="str">
        <x:v>tt13323596|nm3921627|ken dwyer</x:v>
      </x:c>
      <x:c r="B21" s="14" t="str">
        <x:v>2023_IMDb_Cast_Lists_Batch_04(2).xlsx / The Long Shadow / row 23</x:v>
      </x:c>
      <x:c r="C21" s="14" t="str">
        <x:v>2023_IMDb_Cast_Lists_Batch_05(2).xlsx / The Long Shadow / row 23</x:v>
      </x:c>
      <x:c r="D21" s="14" t="str">
        <x:v>No material conflict</x:v>
      </x:c>
      <x:c r="E21" s="14" t="str">
        <x:v>Excluded duplicate from analytical counts; source retained in this log.</x:v>
      </x:c>
    </x:row>
    <x:row r="22">
      <x:c r="A22" s="14" t="str">
        <x:v>tt13323596|nm0192209|margaret oldfield</x:v>
      </x:c>
      <x:c r="B22" s="14" t="str">
        <x:v>2023_IMDb_Cast_Lists_Batch_04(2).xlsx / The Long Shadow / row 24</x:v>
      </x:c>
      <x:c r="C22" s="14" t="str">
        <x:v>2023_IMDb_Cast_Lists_Batch_05(2).xlsx / The Long Shadow / row 24</x:v>
      </x:c>
      <x:c r="D22" s="14" t="str">
        <x:v>No material conflict</x:v>
      </x:c>
      <x:c r="E22" s="14" t="str">
        <x:v>Excluded duplicate from analytical counts; source retained in this log.</x:v>
      </x:c>
    </x:row>
    <x:row r="23">
      <x:c r="A23" s="14" t="str">
        <x:v>tt13323596|nm3072420|dc andrew laptew</x:v>
      </x:c>
      <x:c r="B23" s="14" t="str">
        <x:v>2023_IMDb_Cast_Lists_Batch_04(2).xlsx / The Long Shadow / row 25</x:v>
      </x:c>
      <x:c r="C23" s="14" t="str">
        <x:v>2023_IMDb_Cast_Lists_Batch_05(2).xlsx / The Long Shadow / row 25</x:v>
      </x:c>
      <x:c r="D23" s="14" t="str">
        <x:v>No material conflict</x:v>
      </x:c>
      <x:c r="E23" s="14" t="str">
        <x:v>Excluded duplicate from analytical counts; source retained in this log.</x:v>
      </x:c>
    </x:row>
    <x:row r="24">
      <x:c r="A24" s="14" t="str">
        <x:v>tt13323596|nm0752159|irene macdonald</x:v>
      </x:c>
      <x:c r="B24" s="14" t="str">
        <x:v>2023_IMDb_Cast_Lists_Batch_04(2).xlsx / The Long Shadow / row 26</x:v>
      </x:c>
      <x:c r="C24" s="14" t="str">
        <x:v>2023_IMDb_Cast_Lists_Batch_05(2).xlsx / The Long Shadow / row 26</x:v>
      </x:c>
      <x:c r="D24" s="14" t="str">
        <x:v>No material conflict</x:v>
      </x:c>
      <x:c r="E24" s="14" t="str">
        <x:v>Excluded duplicate from analytical counts; source retained in this log.</x:v>
      </x:c>
    </x:row>
    <x:row r="25">
      <x:c r="A25" s="14" t="str">
        <x:v>tt13323596|nm5649091|neil jackson</x:v>
      </x:c>
      <x:c r="B25" s="14" t="str">
        <x:v>2023_IMDb_Cast_Lists_Batch_04(2).xlsx / The Long Shadow / row 27</x:v>
      </x:c>
      <x:c r="C25" s="14" t="str">
        <x:v>2023_IMDb_Cast_Lists_Batch_05(2).xlsx / The Long Shadow / row 27</x:v>
      </x:c>
      <x:c r="D25" s="14" t="str">
        <x:v>No material conflict</x:v>
      </x:c>
      <x:c r="E25" s="14" t="str">
        <x:v>Excluded duplicate from analytical counts; source retained in this log.</x:v>
      </x:c>
    </x:row>
    <x:row r="26">
      <x:c r="A26" s="14" t="str">
        <x:v>tt13323596|nm1308108|wpc anna lawson</x:v>
      </x:c>
      <x:c r="B26" s="14" t="str">
        <x:v>2023_IMDb_Cast_Lists_Batch_04(2).xlsx / The Long Shadow / row 28</x:v>
      </x:c>
      <x:c r="C26" s="14" t="str">
        <x:v>2023_IMDb_Cast_Lists_Batch_05(2).xlsx / The Long Shadow / row 28</x:v>
      </x:c>
      <x:c r="D26" s="14" t="str">
        <x:v>No material conflict</x:v>
      </x:c>
      <x:c r="E26" s="14" t="str">
        <x:v>Excluded duplicate from analytical counts; source retained in this log.</x:v>
      </x:c>
    </x:row>
    <x:row r="27">
      <x:c r="A27" s="14" t="str">
        <x:v>tt13323596|nm0040709|betty hoban</x:v>
      </x:c>
      <x:c r="B27" s="14" t="str">
        <x:v>2023_IMDb_Cast_Lists_Batch_04(2).xlsx / The Long Shadow / row 29</x:v>
      </x:c>
      <x:c r="C27" s="14" t="str">
        <x:v>2023_IMDb_Cast_Lists_Batch_05(2).xlsx / The Long Shadow / row 29</x:v>
      </x:c>
      <x:c r="D27" s="14" t="str">
        <x:v>No material conflict</x:v>
      </x:c>
      <x:c r="E27" s="14" t="str">
        <x:v>Excluded duplicate from analytical counts; source retained in this log.</x:v>
      </x:c>
    </x:row>
    <x:row r="28">
      <x:c r="A28" s="14" t="str">
        <x:v>tt13323596|nm0107445|jack hill</x:v>
      </x:c>
      <x:c r="B28" s="14" t="str">
        <x:v>2023_IMDb_Cast_Lists_Batch_04(2).xlsx / The Long Shadow / row 30</x:v>
      </x:c>
      <x:c r="C28" s="14" t="str">
        <x:v>2023_IMDb_Cast_Lists_Batch_05(2).xlsx / The Long Shadow / row 30</x:v>
      </x:c>
      <x:c r="D28" s="14" t="str">
        <x:v>No material conflict</x:v>
      </x:c>
      <x:c r="E28" s="14" t="str">
        <x:v>Excluded duplicate from analytical counts; source retained in this log.</x:v>
      </x:c>
    </x:row>
    <x:row r="29">
      <x:c r="A29" s="14" t="str">
        <x:v>tt13323596|nm2688867|harry smelt</x:v>
      </x:c>
      <x:c r="B29" s="14" t="str">
        <x:v>2023_IMDb_Cast_Lists_Batch_04(2).xlsx / The Long Shadow / row 31</x:v>
      </x:c>
      <x:c r="C29" s="14" t="str">
        <x:v>2023_IMDb_Cast_Lists_Batch_05(2).xlsx / The Long Shadow / row 31</x:v>
      </x:c>
      <x:c r="D29" s="14" t="str">
        <x:v>No material conflict</x:v>
      </x:c>
      <x:c r="E29" s="14" t="str">
        <x:v>Excluded duplicate from analytical counts; source retained in this log.</x:v>
      </x:c>
    </x:row>
    <x:row r="30">
      <x:c r="A30" s="14" t="str">
        <x:v>tt13323596|nm6183416|calvin thompson</x:v>
      </x:c>
      <x:c r="B30" s="14" t="str">
        <x:v>2023_IMDb_Cast_Lists_Batch_04(2).xlsx / The Long Shadow / row 32</x:v>
      </x:c>
      <x:c r="C30" s="14" t="str">
        <x:v>2023_IMDb_Cast_Lists_Batch_05(2).xlsx / The Long Shadow / row 32</x:v>
      </x:c>
      <x:c r="D30" s="14" t="str">
        <x:v>No material conflict</x:v>
      </x:c>
      <x:c r="E30" s="14" t="str">
        <x:v>Excluded duplicate from analytical counts; source retained in this log.</x:v>
      </x:c>
    </x:row>
    <x:row r="31">
      <x:c r="A31" s="14" t="str">
        <x:v>tt13323596|nm6872923|nicola briggs</x:v>
      </x:c>
      <x:c r="B31" s="14" t="str">
        <x:v>2023_IMDb_Cast_Lists_Batch_04(2).xlsx / The Long Shadow / row 33</x:v>
      </x:c>
      <x:c r="C31" s="14" t="str">
        <x:v>2023_IMDb_Cast_Lists_Batch_05(2).xlsx / The Long Shadow / row 33</x:v>
      </x:c>
      <x:c r="D31" s="14" t="str">
        <x:v>No material conflict</x:v>
      </x:c>
      <x:c r="E31" s="14" t="str">
        <x:v>Excluded duplicate from analytical counts; source retained in this log.</x:v>
      </x:c>
    </x:row>
    <x:row r="32">
      <x:c r="A32" s="14" t="str">
        <x:v>tt13323596|nm4061475|ruth bundey</x:v>
      </x:c>
      <x:c r="B32" s="14" t="str">
        <x:v>2023_IMDb_Cast_Lists_Batch_04(2).xlsx / The Long Shadow / row 34</x:v>
      </x:c>
      <x:c r="C32" s="14" t="str">
        <x:v>2023_IMDb_Cast_Lists_Batch_05(2).xlsx / The Long Shadow / row 34</x:v>
      </x:c>
      <x:c r="D32" s="14" t="str">
        <x:v>No material conflict</x:v>
      </x:c>
      <x:c r="E32" s="14" t="str">
        <x:v>Excluded duplicate from analytical counts; source retained in this log.</x:v>
      </x:c>
    </x:row>
    <x:row r="33">
      <x:c r="A33" s="14" t="str">
        <x:v>tt13323596|nm0355163|doreen hill</x:v>
      </x:c>
      <x:c r="B33" s="14" t="str">
        <x:v>2023_IMDb_Cast_Lists_Batch_04(2).xlsx / The Long Shadow / row 35</x:v>
      </x:c>
      <x:c r="C33" s="14" t="str">
        <x:v>2023_IMDb_Cast_Lists_Batch_05(2).xlsx / The Long Shadow / row 35</x:v>
      </x:c>
      <x:c r="D33" s="14" t="str">
        <x:v>No material conflict</x:v>
      </x:c>
      <x:c r="E33" s="14" t="str">
        <x:v>Excluded duplicate from analytical counts; source retained in this log.</x:v>
      </x:c>
    </x:row>
    <x:row r="34">
      <x:c r="A34" s="14" t="str">
        <x:v>tt13323596|nm0990547|sydney jackson</x:v>
      </x:c>
      <x:c r="B34" s="14" t="str">
        <x:v>2023_IMDb_Cast_Lists_Batch_04(2).xlsx / The Long Shadow / row 36</x:v>
      </x:c>
      <x:c r="C34" s="14" t="str">
        <x:v>2023_IMDb_Cast_Lists_Batch_05(2).xlsx / The Long Shadow / row 36</x:v>
      </x:c>
      <x:c r="D34" s="14" t="str">
        <x:v>No material conflict</x:v>
      </x:c>
      <x:c r="E34" s="14" t="str">
        <x:v>Excluded duplicate from analytical counts; source retained in this log.</x:v>
      </x:c>
    </x:row>
    <x:row r="35">
      <x:c r="A35" s="14" t="str">
        <x:v>tt13323596|nm0827296|olive smelt</x:v>
      </x:c>
      <x:c r="B35" s="14" t="str">
        <x:v>2023_IMDb_Cast_Lists_Batch_04(2).xlsx / The Long Shadow / row 37</x:v>
      </x:c>
      <x:c r="C35" s="14" t="str">
        <x:v>2023_IMDb_Cast_Lists_Batch_05(2).xlsx / The Long Shadow / row 37</x:v>
      </x:c>
      <x:c r="D35" s="14" t="str">
        <x:v>No material conflict</x:v>
      </x:c>
      <x:c r="E35" s="14" t="str">
        <x:v>Excluded duplicate from analytical counts; source retained in this log.</x:v>
      </x:c>
    </x:row>
    <x:row r="36">
      <x:c r="A36" s="14" t="str">
        <x:v>tt13323596|nm4812390|caroline armstrong</x:v>
      </x:c>
      <x:c r="B36" s="14" t="str">
        <x:v>2023_IMDb_Cast_Lists_Batch_04(2).xlsx / The Long Shadow / row 38</x:v>
      </x:c>
      <x:c r="C36" s="14" t="str">
        <x:v>2023_IMDb_Cast_Lists_Batch_05(2).xlsx / The Long Shadow / row 38</x:v>
      </x:c>
      <x:c r="D36" s="14" t="str">
        <x:v>No material conflict</x:v>
      </x:c>
      <x:c r="E36" s="14" t="str">
        <x:v>Excluded duplicate from analytical counts; source retained in this log.</x:v>
      </x:c>
    </x:row>
    <x:row r="37">
      <x:c r="A37" s="14" t="str">
        <x:v>tt13323596|nm1019451|wpc june sinclair</x:v>
      </x:c>
      <x:c r="B37" s="14" t="str">
        <x:v>2023_IMDb_Cast_Lists_Batch_04(2).xlsx / The Long Shadow / row 39</x:v>
      </x:c>
      <x:c r="C37" s="14" t="str">
        <x:v>2023_IMDb_Cast_Lists_Batch_05(2).xlsx / The Long Shadow / row 39</x:v>
      </x:c>
      <x:c r="D37" s="14" t="str">
        <x:v>No material conflict</x:v>
      </x:c>
      <x:c r="E37" s="14" t="str">
        <x:v>Excluded duplicate from analytical counts; source retained in this log.</x:v>
      </x:c>
    </x:row>
    <x:row r="38">
      <x:c r="A38" s="14" t="str">
        <x:v>tt13323596|nm0123417|maureen long</x:v>
      </x:c>
      <x:c r="B38" s="14" t="str">
        <x:v>2023_IMDb_Cast_Lists_Batch_04(2).xlsx / The Long Shadow / row 40</x:v>
      </x:c>
      <x:c r="C38" s="14" t="str">
        <x:v>2023_IMDb_Cast_Lists_Batch_05(2).xlsx / The Long Shadow / row 40</x:v>
      </x:c>
      <x:c r="D38" s="14" t="str">
        <x:v>No material conflict</x:v>
      </x:c>
      <x:c r="E38" s="14" t="str">
        <x:v>Excluded duplicate from analytical counts; source retained in this log.</x:v>
      </x:c>
    </x:row>
    <x:row r="39">
      <x:c r="A39" s="14" t="str">
        <x:v>tt13323596|nm1674947|dcs jack ridgway</x:v>
      </x:c>
      <x:c r="B39" s="14" t="str">
        <x:v>2023_IMDb_Cast_Lists_Batch_04(2).xlsx / The Long Shadow / row 41</x:v>
      </x:c>
      <x:c r="C39" s="14" t="str">
        <x:v>2023_IMDb_Cast_Lists_Batch_05(2).xlsx / The Long Shadow / row 41</x:v>
      </x:c>
      <x:c r="D39" s="14" t="str">
        <x:v>No material conflict</x:v>
      </x:c>
      <x:c r="E39" s="14" t="str">
        <x:v>Excluded duplicate from analytical counts; source retained in this log.</x:v>
      </x:c>
    </x:row>
    <x:row r="40">
      <x:c r="A40" s="14" t="str">
        <x:v>tt13323596|nm1403331|wilf macdonald</x:v>
      </x:c>
      <x:c r="B40" s="14" t="str">
        <x:v>2023_IMDb_Cast_Lists_Batch_04(2).xlsx / The Long Shadow / row 42</x:v>
      </x:c>
      <x:c r="C40" s="14" t="str">
        <x:v>2023_IMDb_Cast_Lists_Batch_05(2).xlsx / The Long Shadow / row 42</x:v>
      </x:c>
      <x:c r="D40" s="14" t="str">
        <x:v>No material conflict</x:v>
      </x:c>
      <x:c r="E40" s="14" t="str">
        <x:v>Excluded duplicate from analytical counts; source retained in this log.</x:v>
      </x:c>
    </x:row>
    <x:row r="41">
      <x:c r="A41" s="14" t="str">
        <x:v>tt13323596|nm15295298|elizabeth jackson</x:v>
      </x:c>
      <x:c r="B41" s="14" t="str">
        <x:v>2023_IMDb_Cast_Lists_Batch_04(2).xlsx / The Long Shadow / row 43</x:v>
      </x:c>
      <x:c r="C41" s="14" t="str">
        <x:v>2023_IMDb_Cast_Lists_Batch_05(2).xlsx / The Long Shadow / row 43</x:v>
      </x:c>
      <x:c r="D41" s="14" t="str">
        <x:v>No material conflict</x:v>
      </x:c>
      <x:c r="E41" s="14" t="str">
        <x:v>Excluded duplicate from analytical counts; source retained in this log.</x:v>
      </x:c>
    </x:row>
    <x:row r="42">
      <x:c r="A42" s="14" t="str">
        <x:v>tt13323596|nm1319602|pc ian rudge</x:v>
      </x:c>
      <x:c r="B42" s="14" t="str">
        <x:v>2023_IMDb_Cast_Lists_Batch_04(2).xlsx / The Long Shadow / row 44</x:v>
      </x:c>
      <x:c r="C42" s="14" t="str">
        <x:v>2023_IMDb_Cast_Lists_Batch_05(2).xlsx / The Long Shadow / row 44</x:v>
      </x:c>
      <x:c r="D42" s="14" t="str">
        <x:v>No material conflict</x:v>
      </x:c>
      <x:c r="E42" s="14" t="str">
        <x:v>Excluded duplicate from analytical counts; source retained in this log.</x:v>
      </x:c>
    </x:row>
    <x:row r="43">
      <x:c r="A43" s="14" t="str">
        <x:v>tt13323596|nm15295299|graham jackson</x:v>
      </x:c>
      <x:c r="B43" s="14" t="str">
        <x:v>2023_IMDb_Cast_Lists_Batch_04(2).xlsx / The Long Shadow / row 45</x:v>
      </x:c>
      <x:c r="C43" s="14" t="str">
        <x:v>2023_IMDb_Cast_Lists_Batch_05(2).xlsx / The Long Shadow / row 45</x:v>
      </x:c>
      <x:c r="D43" s="14" t="str">
        <x:v>No material conflict</x:v>
      </x:c>
      <x:c r="E43" s="14" t="str">
        <x:v>Excluded duplicate from analytical counts; source retained in this log.</x:v>
      </x:c>
    </x:row>
    <x:row r="44">
      <x:c r="A44" s="14" t="str">
        <x:v>tt13323596|nm2613539|pc greg clitheroe</x:v>
      </x:c>
      <x:c r="B44" s="14" t="str">
        <x:v>2023_IMDb_Cast_Lists_Batch_04(2).xlsx / The Long Shadow / row 46</x:v>
      </x:c>
      <x:c r="C44" s="14" t="str">
        <x:v>2023_IMDb_Cast_Lists_Batch_05(2).xlsx / The Long Shadow / row 46</x:v>
      </x:c>
      <x:c r="D44" s="14" t="str">
        <x:v>No material conflict</x:v>
      </x:c>
      <x:c r="E44" s="14" t="str">
        <x:v>Excluded duplicate from analytical counts; source retained in this log.</x:v>
      </x:c>
    </x:row>
    <x:row r="45">
      <x:c r="A45" s="14" t="str">
        <x:v>tt13323596|nm1756674|commander jim nevill</x:v>
      </x:c>
      <x:c r="B45" s="14" t="str">
        <x:v>2023_IMDb_Cast_Lists_Batch_04(2).xlsx / The Long Shadow / row 47</x:v>
      </x:c>
      <x:c r="C45" s="14" t="str">
        <x:v>2023_IMDb_Cast_Lists_Batch_05(2).xlsx / The Long Shadow / row 47</x:v>
      </x:c>
      <x:c r="D45" s="14" t="str">
        <x:v>No material conflict</x:v>
      </x:c>
      <x:c r="E45" s="14" t="str">
        <x:v>Excluded duplicate from analytical counts; source retained in this log.</x:v>
      </x:c>
    </x:row>
    <x:row r="46">
      <x:c r="A46" s="14" t="str">
        <x:v>tt13323596|nm6813690|linda arrowcroft</x:v>
      </x:c>
      <x:c r="B46" s="14" t="str">
        <x:v>2023_IMDb_Cast_Lists_Batch_04(2).xlsx / The Long Shadow / row 48</x:v>
      </x:c>
      <x:c r="C46" s="14" t="str">
        <x:v>2023_IMDb_Cast_Lists_Batch_05(2).xlsx / The Long Shadow / row 48</x:v>
      </x:c>
      <x:c r="D46" s="14" t="str">
        <x:v>No material conflict</x:v>
      </x:c>
      <x:c r="E46" s="14" t="str">
        <x:v>Excluded duplicate from analytical counts; source retained in this log.</x:v>
      </x:c>
    </x:row>
    <x:row r="47">
      <x:c r="A47" s="14" t="str">
        <x:v>tt13323596|nm3678878|di david zackrisson</x:v>
      </x:c>
      <x:c r="B47" s="14" t="str">
        <x:v>2023_IMDb_Cast_Lists_Batch_04(2).xlsx / The Long Shadow / row 49</x:v>
      </x:c>
      <x:c r="C47" s="14" t="str">
        <x:v>2023_IMDb_Cast_Lists_Batch_05(2).xlsx / The Long Shadow / row 49</x:v>
      </x:c>
      <x:c r="D47" s="14" t="str">
        <x:v>No material conflict</x:v>
      </x:c>
      <x:c r="E47" s="14" t="str">
        <x:v>Excluded duplicate from analytical counts; source retained in this log.</x:v>
      </x:c>
    </x:row>
    <x:row r="48">
      <x:c r="A48" s="14" t="str">
        <x:v>tt13323596|nm1123403|peter sutcliffe</x:v>
      </x:c>
      <x:c r="B48" s="14" t="str">
        <x:v>2023_IMDb_Cast_Lists_Batch_04(2).xlsx / The Long Shadow / row 50</x:v>
      </x:c>
      <x:c r="C48" s="14" t="str">
        <x:v>2023_IMDb_Cast_Lists_Batch_05(2).xlsx / The Long Shadow / row 50</x:v>
      </x:c>
      <x:c r="D48" s="14" t="str">
        <x:v>No material conflict</x:v>
      </x:c>
      <x:c r="E48" s="14" t="str">
        <x:v>Excluded duplicate from analytical counts; source retained in this log.</x:v>
      </x:c>
    </x:row>
    <x:row r="49">
      <x:c r="A49" s="14" t="str">
        <x:v>tt13323596|nm7733057|olivia reivers</x:v>
      </x:c>
      <x:c r="B49" s="14" t="str">
        <x:v>2023_IMDb_Cast_Lists_Batch_04(2).xlsx / The Long Shadow / row 51</x:v>
      </x:c>
      <x:c r="C49" s="14" t="str">
        <x:v>2023_IMDb_Cast_Lists_Batch_05(2).xlsx / The Long Shadow / row 51</x:v>
      </x:c>
      <x:c r="D49" s="14" t="str">
        <x:v>No material conflict</x:v>
      </x:c>
      <x:c r="E49" s="14" t="str">
        <x:v>Excluded duplicate from analytical counts; source retained in this log.</x:v>
      </x:c>
    </x:row>
    <x:row r="50">
      <x:c r="A50" s="14" t="str">
        <x:v>tt13323596|nm6258273|jacqueline hill</x:v>
      </x:c>
      <x:c r="B50" s="14" t="str">
        <x:v>2023_IMDb_Cast_Lists_Batch_04(2).xlsx / The Long Shadow / row 52</x:v>
      </x:c>
      <x:c r="C50" s="14" t="str">
        <x:v>2023_IMDb_Cast_Lists_Batch_05(2).xlsx / The Long Shadow / row 52</x:v>
      </x:c>
      <x:c r="D50" s="14" t="str">
        <x:v>No material conflict</x:v>
      </x:c>
      <x:c r="E50" s="14" t="str">
        <x:v>Excluded duplicate from analytical counts; source retained in this log.</x:v>
      </x:c>
    </x:row>
    <x:row r="51">
      <x:c r="A51" s="14" t="str">
        <x:v>tt13323596|nm1019213|sonia sutcliffe</x:v>
      </x:c>
      <x:c r="B51" s="14" t="str">
        <x:v>2023_IMDb_Cast_Lists_Batch_04(2).xlsx / The Long Shadow / row 53</x:v>
      </x:c>
      <x:c r="C51" s="14" t="str">
        <x:v>2023_IMDb_Cast_Lists_Batch_05(2).xlsx / The Long Shadow / row 53</x:v>
      </x:c>
      <x:c r="D51" s="14" t="str">
        <x:v>No material conflict</x:v>
      </x:c>
      <x:c r="E51" s="14" t="str">
        <x:v>Excluded duplicate from analytical counts; source retained in this log.</x:v>
      </x:c>
    </x:row>
    <x:row r="52">
      <x:c r="A52" s="14" t="str">
        <x:v>tt13323596|nm6390429|clifford williams</x:v>
      </x:c>
      <x:c r="B52" s="14" t="str">
        <x:v>2023_IMDb_Cast_Lists_Batch_04(2).xlsx / The Long Shadow / row 54</x:v>
      </x:c>
      <x:c r="C52" s="14" t="str">
        <x:v>2023_IMDb_Cast_Lists_Batch_05(2).xlsx / The Long Shadow / row 54</x:v>
      </x:c>
      <x:c r="D52" s="14" t="str">
        <x:v>No material conflict</x:v>
      </x:c>
      <x:c r="E52" s="14" t="str">
        <x:v>Excluded duplicate from analytical counts; source retained in this log.</x:v>
      </x:c>
    </x:row>
    <x:row r="53">
      <x:c r="A53" s="14" t="str">
        <x:v>tt13323596|nm9049488|james amberley</x:v>
      </x:c>
      <x:c r="B53" s="14" t="str">
        <x:v>2023_IMDb_Cast_Lists_Batch_04(2).xlsx / The Long Shadow / row 55</x:v>
      </x:c>
      <x:c r="C53" s="14" t="str">
        <x:v>2023_IMDb_Cast_Lists_Batch_05(2).xlsx / The Long Shadow / row 55</x:v>
      </x:c>
      <x:c r="D53" s="14" t="str">
        <x:v>No material conflict</x:v>
      </x:c>
      <x:c r="E53" s="14" t="str">
        <x:v>Excluded duplicate from analytical counts; source retained in this log.</x:v>
      </x:c>
    </x:row>
    <x:row r="54">
      <x:c r="A54" s="14" t="str">
        <x:v>tt13323596|nm0079451|dr. alan caplin</x:v>
      </x:c>
      <x:c r="B54" s="14" t="str">
        <x:v>2023_IMDb_Cast_Lists_Batch_04(2).xlsx / The Long Shadow / row 56</x:v>
      </x:c>
      <x:c r="C54" s="14" t="str">
        <x:v>2023_IMDb_Cast_Lists_Batch_05(2).xlsx / The Long Shadow / row 56</x:v>
      </x:c>
      <x:c r="D54" s="14" t="str">
        <x:v>No material conflict</x:v>
      </x:c>
      <x:c r="E54" s="14" t="str">
        <x:v>Excluded duplicate from analytical counts; source retained in this log.</x:v>
      </x:c>
    </x:row>
    <x:row r="55">
      <x:c r="A55" s="14" t="str">
        <x:v>tt13323596|nm1527293|nora browne</x:v>
      </x:c>
      <x:c r="B55" s="14" t="str">
        <x:v>2023_IMDb_Cast_Lists_Batch_04(2).xlsx / The Long Shadow / row 57</x:v>
      </x:c>
      <x:c r="C55" s="14" t="str">
        <x:v>2023_IMDb_Cast_Lists_Batch_05(2).xlsx / The Long Shadow / row 57</x:v>
      </x:c>
      <x:c r="D55" s="14" t="str">
        <x:v>No material conflict</x:v>
      </x:c>
      <x:c r="E55" s="14" t="str">
        <x:v>Excluded duplicate from analytical counts; source retained in this log.</x:v>
      </x:c>
    </x:row>
    <x:row r="56">
      <x:c r="A56" s="14" t="str">
        <x:v>tt13323596|nm1408455|michael baxter</x:v>
      </x:c>
      <x:c r="B56" s="14" t="str">
        <x:v>2023_IMDb_Cast_Lists_Batch_04(2).xlsx / The Long Shadow / row 58</x:v>
      </x:c>
      <x:c r="C56" s="14" t="str">
        <x:v>2023_IMDb_Cast_Lists_Batch_05(2).xlsx / The Long Shadow / row 58</x:v>
      </x:c>
      <x:c r="D56" s="14" t="str">
        <x:v>No material conflict</x:v>
      </x:c>
      <x:c r="E56" s="14" t="str">
        <x:v>Excluded duplicate from analytical counts; source retained in this log.</x:v>
      </x:c>
    </x:row>
    <x:row r="57">
      <x:c r="A57" s="14" t="str">
        <x:v>tt13323596|nm7605340|maggie shaw</x:v>
      </x:c>
      <x:c r="B57" s="14" t="str">
        <x:v>2023_IMDb_Cast_Lists_Batch_04(2).xlsx / The Long Shadow / row 59</x:v>
      </x:c>
      <x:c r="C57" s="14" t="str">
        <x:v>2023_IMDb_Cast_Lists_Batch_05(2).xlsx / The Long Shadow / row 59</x:v>
      </x:c>
      <x:c r="D57" s="14" t="str">
        <x:v>No material conflict</x:v>
      </x:c>
      <x:c r="E57" s="14" t="str">
        <x:v>Excluded duplicate from analytical counts; source retained in this log.</x:v>
      </x:c>
    </x:row>
    <x:row r="58">
      <x:c r="A58" s="14" t="str">
        <x:v>tt13323596|nm0038785|mr. neale</x:v>
      </x:c>
      <x:c r="B58" s="14" t="str">
        <x:v>2023_IMDb_Cast_Lists_Batch_04(2).xlsx / The Long Shadow / row 60</x:v>
      </x:c>
      <x:c r="C58" s="14" t="str">
        <x:v>2023_IMDb_Cast_Lists_Batch_05(2).xlsx / The Long Shadow / row 60</x:v>
      </x:c>
      <x:c r="D58" s="14" t="str">
        <x:v>No material conflict</x:v>
      </x:c>
      <x:c r="E58" s="14" t="str">
        <x:v>Excluded duplicate from analytical counts; source retained in this log.</x:v>
      </x:c>
    </x:row>
    <x:row r="59">
      <x:c r="A59" s="14" t="str">
        <x:v>tt13323596|nm12455211|mary knight</x:v>
      </x:c>
      <x:c r="B59" s="14" t="str">
        <x:v>2023_IMDb_Cast_Lists_Batch_04(2).xlsx / The Long Shadow / row 61</x:v>
      </x:c>
      <x:c r="C59" s="14" t="str">
        <x:v>2023_IMDb_Cast_Lists_Batch_05(2).xlsx / The Long Shadow / row 61</x:v>
      </x:c>
      <x:c r="D59" s="14" t="str">
        <x:v>No material conflict</x:v>
      </x:c>
      <x:c r="E59" s="14" t="str">
        <x:v>Excluded duplicate from analytical counts; source retained in this log.</x:v>
      </x:c>
    </x:row>
    <x:row r="60">
      <x:c r="A60" s="14" t="str">
        <x:v>tt13323596|nm1878273|lawrence byford</x:v>
      </x:c>
      <x:c r="B60" s="14" t="str">
        <x:v>2023_IMDb_Cast_Lists_Batch_04(2).xlsx / The Long Shadow / row 62</x:v>
      </x:c>
      <x:c r="C60" s="14" t="str">
        <x:v>2023_IMDb_Cast_Lists_Batch_05(2).xlsx / The Long Shadow / row 62</x:v>
      </x:c>
      <x:c r="D60" s="14" t="str">
        <x:v>No material conflict</x:v>
      </x:c>
      <x:c r="E60" s="14" t="str">
        <x:v>Excluded duplicate from analytical counts; source retained in this log.</x:v>
      </x:c>
    </x:row>
    <x:row r="61">
      <x:c r="A61" s="14" t="str">
        <x:v>tt13323596|nm14259953|eamon lister</x:v>
      </x:c>
      <x:c r="B61" s="14" t="str">
        <x:v>2023_IMDb_Cast_Lists_Batch_04(2).xlsx / The Long Shadow / row 63</x:v>
      </x:c>
      <x:c r="C61" s="14" t="str">
        <x:v>2023_IMDb_Cast_Lists_Batch_05(2).xlsx / The Long Shadow / row 63</x:v>
      </x:c>
      <x:c r="D61" s="14" t="str">
        <x:v>No material conflict</x:v>
      </x:c>
      <x:c r="E61" s="14" t="str">
        <x:v>Excluded duplicate from analytical counts; source retained in this log.</x:v>
      </x:c>
    </x:row>
    <x:row r="62">
      <x:c r="A62" s="14" t="str">
        <x:v>tt13323596|nm13357901|sonia mccann</x:v>
      </x:c>
      <x:c r="B62" s="14" t="str">
        <x:v>2023_IMDb_Cast_Lists_Batch_04(2).xlsx / The Long Shadow / row 64</x:v>
      </x:c>
      <x:c r="C62" s="14" t="str">
        <x:v>2023_IMDb_Cast_Lists_Batch_05(2).xlsx / The Long Shadow / row 64</x:v>
      </x:c>
      <x:c r="D62" s="14" t="str">
        <x:v>No material conflict</x:v>
      </x:c>
      <x:c r="E62" s="14" t="str">
        <x:v>Excluded duplicate from analytical counts; source retained in this log.</x:v>
      </x:c>
    </x:row>
    <x:row r="63">
      <x:c r="A63" s="14" t="str">
        <x:v>tt13323596|nm2106007|georgie showalter</x:v>
      </x:c>
      <x:c r="B63" s="14" t="str">
        <x:v>2023_IMDb_Cast_Lists_Batch_04(2).xlsx / The Long Shadow / row 65</x:v>
      </x:c>
      <x:c r="C63" s="14" t="str">
        <x:v>2023_IMDb_Cast_Lists_Batch_05(2).xlsx / The Long Shadow / row 65</x:v>
      </x:c>
      <x:c r="D63" s="14" t="str">
        <x:v>No material conflict</x:v>
      </x:c>
      <x:c r="E63" s="14" t="str">
        <x:v>Excluded duplicate from analytical counts; source retained in this log.</x:v>
      </x:c>
    </x:row>
    <x:row r="64">
      <x:c r="A64" s="14" t="str">
        <x:v>tt13323596|nm10483098|tracy browne</x:v>
      </x:c>
      <x:c r="B64" s="14" t="str">
        <x:v>2023_IMDb_Cast_Lists_Batch_04(2).xlsx / The Long Shadow / row 66</x:v>
      </x:c>
      <x:c r="C64" s="14" t="str">
        <x:v>2023_IMDb_Cast_Lists_Batch_05(2).xlsx / The Long Shadow / row 66</x:v>
      </x:c>
      <x:c r="D64" s="14" t="str">
        <x:v>No material conflict</x:v>
      </x:c>
      <x:c r="E64" s="14" t="str">
        <x:v>Excluded duplicate from analytical counts; source retained in this log.</x:v>
      </x:c>
    </x:row>
    <x:row r="65">
      <x:c r="A65" s="14" t="str">
        <x:v>tt13323596|nm0185329|howard cohen</x:v>
      </x:c>
      <x:c r="B65" s="14" t="str">
        <x:v>2023_IMDb_Cast_Lists_Batch_04(2).xlsx / The Long Shadow / row 67</x:v>
      </x:c>
      <x:c r="C65" s="14" t="str">
        <x:v>2023_IMDb_Cast_Lists_Batch_05(2).xlsx / The Long Shadow / row 67</x:v>
      </x:c>
      <x:c r="D65" s="14" t="str">
        <x:v>No material conflict</x:v>
      </x:c>
      <x:c r="E65" s="14" t="str">
        <x:v>Excluded duplicate from analytical counts; source retained in this log.</x:v>
      </x:c>
    </x:row>
    <x:row r="66">
      <x:c r="A66" s="14" t="str">
        <x:v>tt13323596|nm12362838|richard mccann</x:v>
      </x:c>
      <x:c r="B66" s="14" t="str">
        <x:v>2023_IMDb_Cast_Lists_Batch_04(2).xlsx / The Long Shadow / row 68</x:v>
      </x:c>
      <x:c r="C66" s="14" t="str">
        <x:v>2023_IMDb_Cast_Lists_Batch_05(2).xlsx / The Long Shadow / row 68</x:v>
      </x:c>
      <x:c r="D66" s="14" t="str">
        <x:v>No material conflict</x:v>
      </x:c>
      <x:c r="E66" s="14" t="str">
        <x:v>Excluded duplicate from analytical counts; source retained in this log.</x:v>
      </x:c>
    </x:row>
    <x:row r="67">
      <x:c r="A67" s="14" t="str">
        <x:v>tt13323596|nm5336712|pat jackson</x:v>
      </x:c>
      <x:c r="B67" s="14" t="str">
        <x:v>2023_IMDb_Cast_Lists_Batch_04(2).xlsx / The Long Shadow / row 69</x:v>
      </x:c>
      <x:c r="C67" s="14" t="str">
        <x:v>2023_IMDb_Cast_Lists_Batch_05(2).xlsx / The Long Shadow / row 69</x:v>
      </x:c>
      <x:c r="D67" s="14" t="str">
        <x:v>No material conflict</x:v>
      </x:c>
      <x:c r="E67" s="14" t="str">
        <x:v>Excluded duplicate from analytical counts; source retained in this log.</x:v>
      </x:c>
    </x:row>
    <x:row r="68">
      <x:c r="A68" s="14" t="str">
        <x:v>tt13323596|nm0232383|ds des o'boyle</x:v>
      </x:c>
      <x:c r="B68" s="14" t="str">
        <x:v>2023_IMDb_Cast_Lists_Batch_04(2).xlsx / The Long Shadow / row 70</x:v>
      </x:c>
      <x:c r="C68" s="14" t="str">
        <x:v>2023_IMDb_Cast_Lists_Batch_05(2).xlsx / The Long Shadow / row 70</x:v>
      </x:c>
      <x:c r="D68" s="14" t="str">
        <x:v>No material conflict</x:v>
      </x:c>
      <x:c r="E68" s="14" t="str">
        <x:v>Excluded duplicate from analytical counts; source retained in this log.</x:v>
      </x:c>
    </x:row>
    <x:row r="69">
      <x:c r="A69" s="14" t="str">
        <x:v>tt13323596|nm6556889|nigel desford</x:v>
      </x:c>
      <x:c r="B69" s="14" t="str">
        <x:v>2023_IMDb_Cast_Lists_Batch_04(2).xlsx / The Long Shadow / row 71</x:v>
      </x:c>
      <x:c r="C69" s="14" t="str">
        <x:v>2023_IMDb_Cast_Lists_Batch_05(2).xlsx / The Long Shadow / row 71</x:v>
      </x:c>
      <x:c r="D69" s="14" t="str">
        <x:v>No material conflict</x:v>
      </x:c>
      <x:c r="E69" s="14" t="str">
        <x:v>Excluded duplicate from analytical counts; source retained in this log.</x:v>
      </x:c>
    </x:row>
    <x:row r="70">
      <x:c r="A70" s="14" t="str">
        <x:v>tt13323596|nm0233215|dcs chris gregg</x:v>
      </x:c>
      <x:c r="B70" s="14" t="str">
        <x:v>2023_IMDb_Cast_Lists_Batch_04(2).xlsx / The Long Shadow / row 72</x:v>
      </x:c>
      <x:c r="C70" s="14" t="str">
        <x:v>2023_IMDb_Cast_Lists_Batch_05(2).xlsx / The Long Shadow / row 72</x:v>
      </x:c>
      <x:c r="D70" s="14" t="str">
        <x:v>No material conflict</x:v>
      </x:c>
      <x:c r="E70" s="14" t="str">
        <x:v>Excluded duplicate from analytical counts; source retained in this log.</x:v>
      </x:c>
    </x:row>
    <x:row r="71">
      <x:c r="A71" s="14" t="str">
        <x:v>tt13323596|nm2238584|leroy reid</x:v>
      </x:c>
      <x:c r="B71" s="14" t="str">
        <x:v>2023_IMDb_Cast_Lists_Batch_04(2).xlsx / The Long Shadow / row 73</x:v>
      </x:c>
      <x:c r="C71" s="14" t="str">
        <x:v>2023_IMDb_Cast_Lists_Batch_05(2).xlsx / The Long Shadow / row 73</x:v>
      </x:c>
      <x:c r="D71" s="14" t="str">
        <x:v>No material conflict</x:v>
      </x:c>
      <x:c r="E71" s="14" t="str">
        <x:v>Excluded duplicate from analytical counts; source retained in this log.</x:v>
      </x:c>
    </x:row>
    <x:row r="72">
      <x:c r="A72" s="14" t="str">
        <x:v>tt13323596|nm4560292|patricia atkinson</x:v>
      </x:c>
      <x:c r="B72" s="14" t="str">
        <x:v>2023_IMDb_Cast_Lists_Batch_04(2).xlsx / The Long Shadow / row 74</x:v>
      </x:c>
      <x:c r="C72" s="14" t="str">
        <x:v>2023_IMDb_Cast_Lists_Batch_05(2).xlsx / The Long Shadow / row 74</x:v>
      </x:c>
      <x:c r="D72" s="14" t="str">
        <x:v>No material conflict</x:v>
      </x:c>
      <x:c r="E72" s="14" t="str">
        <x:v>Excluded duplicate from analytical counts; source retained in this log.</x:v>
      </x:c>
    </x:row>
    <x:row r="73">
      <x:c r="A73" s="14" t="str">
        <x:v>tt13323596|nm7812897|pam hartwell</x:v>
      </x:c>
      <x:c r="B73" s="14" t="str">
        <x:v>2023_IMDb_Cast_Lists_Batch_04(2).xlsx / The Long Shadow / row 75</x:v>
      </x:c>
      <x:c r="C73" s="14" t="str">
        <x:v>2023_IMDb_Cast_Lists_Batch_05(2).xlsx / The Long Shadow / row 75</x:v>
      </x:c>
      <x:c r="D73" s="14" t="str">
        <x:v>No material conflict</x:v>
      </x:c>
      <x:c r="E73" s="14" t="str">
        <x:v>Excluded duplicate from analytical counts; source retained in this log.</x:v>
      </x:c>
    </x:row>
    <x:row r="74">
      <x:c r="A74" s="14" t="str">
        <x:v>tt13323596|nm5770115|leonard symes</x:v>
      </x:c>
      <x:c r="B74" s="14" t="str">
        <x:v>2023_IMDb_Cast_Lists_Batch_04(2).xlsx / The Long Shadow / row 76</x:v>
      </x:c>
      <x:c r="C74" s="14" t="str">
        <x:v>2023_IMDb_Cast_Lists_Batch_05(2).xlsx / The Long Shadow / row 76</x:v>
      </x:c>
      <x:c r="D74" s="14" t="str">
        <x:v>No material conflict</x:v>
      </x:c>
      <x:c r="E74" s="14" t="str">
        <x:v>Excluded duplicate from analytical counts; source retained in this log.</x:v>
      </x:c>
    </x:row>
    <x:row r="75">
      <x:c r="A75" s="14" t="str">
        <x:v>tt13323596|nm1695893|anna rogulskyj</x:v>
      </x:c>
      <x:c r="B75" s="14" t="str">
        <x:v>2023_IMDb_Cast_Lists_Batch_04(2).xlsx / The Long Shadow / row 77</x:v>
      </x:c>
      <x:c r="C75" s="14" t="str">
        <x:v>2023_IMDb_Cast_Lists_Batch_05(2).xlsx / The Long Shadow / row 77</x:v>
      </x:c>
      <x:c r="D75" s="14" t="str">
        <x:v>No material conflict</x:v>
      </x:c>
      <x:c r="E75" s="14" t="str">
        <x:v>Excluded duplicate from analytical counts; source retained in this log.</x:v>
      </x:c>
    </x:row>
    <x:row r="76">
      <x:c r="A76" s="14" t="str">
        <x:v>tt13323596|nm3957394|jack windsor lewis</x:v>
      </x:c>
      <x:c r="B76" s="14" t="str">
        <x:v>2023_IMDb_Cast_Lists_Batch_04(2).xlsx / The Long Shadow / row 78</x:v>
      </x:c>
      <x:c r="C76" s="14" t="str">
        <x:v>2023_IMDb_Cast_Lists_Batch_05(2).xlsx / The Long Shadow / row 78</x:v>
      </x:c>
      <x:c r="D76" s="14" t="str">
        <x:v>No material conflict</x:v>
      </x:c>
      <x:c r="E76" s="14" t="str">
        <x:v>Excluded duplicate from analytical counts; source retained in this log.</x:v>
      </x:c>
    </x:row>
    <x:row r="77">
      <x:c r="A77" s="14" t="str">
        <x:v>tt13323596|nm0004112|nick clarke</x:v>
      </x:c>
      <x:c r="B77" s="14" t="str">
        <x:v>2023_IMDb_Cast_Lists_Batch_04(2).xlsx / The Long Shadow / row 79</x:v>
      </x:c>
      <x:c r="C77" s="14" t="str">
        <x:v>2023_IMDb_Cast_Lists_Batch_05(2).xlsx / The Long Shadow / row 79</x:v>
      </x:c>
      <x:c r="D77" s="14" t="str">
        <x:v>No material conflict</x:v>
      </x:c>
      <x:c r="E77" s="14" t="str">
        <x:v>Excluded duplicate from analytical counts; source retained in this log.</x:v>
      </x:c>
    </x:row>
    <x:row r="78">
      <x:c r="A78" s="14" t="str">
        <x:v>tt13323596|nm0430267|ray wood</x:v>
      </x:c>
      <x:c r="B78" s="14" t="str">
        <x:v>2023_IMDb_Cast_Lists_Batch_04(2).xlsx / The Long Shadow / row 80</x:v>
      </x:c>
      <x:c r="C78" s="14" t="str">
        <x:v>2023_IMDb_Cast_Lists_Batch_05(2).xlsx / The Long Shadow / row 80</x:v>
      </x:c>
      <x:c r="D78" s="14" t="str">
        <x:v>No material conflict</x:v>
      </x:c>
      <x:c r="E78" s="14" t="str">
        <x:v>Excluded duplicate from analytical counts; source retained in this log.</x:v>
      </x:c>
    </x:row>
    <x:row r="79">
      <x:c r="A79" s="14" t="str">
        <x:v>tt13323596|nm1592859|ali jafari</x:v>
      </x:c>
      <x:c r="B79" s="14" t="str">
        <x:v>2023_IMDb_Cast_Lists_Batch_04(2).xlsx / The Long Shadow / row 81</x:v>
      </x:c>
      <x:c r="C79" s="14" t="str">
        <x:v>2023_IMDb_Cast_Lists_Batch_05(2).xlsx / The Long Shadow / row 81</x:v>
      </x:c>
      <x:c r="D79" s="14" t="str">
        <x:v>No material conflict</x:v>
      </x:c>
      <x:c r="E79" s="14" t="str">
        <x:v>Excluded duplicate from analytical counts; source retained in this log.</x:v>
      </x:c>
    </x:row>
    <x:row r="80">
      <x:c r="A80" s="14" t="str">
        <x:v>tt13323596|nm1906500|emily jackson</x:v>
      </x:c>
      <x:c r="B80" s="14" t="str">
        <x:v>2023_IMDb_Cast_Lists_Batch_04(2).xlsx / The Long Shadow / row 82</x:v>
      </x:c>
      <x:c r="C80" s="14" t="str">
        <x:v>2023_IMDb_Cast_Lists_Batch_05(2).xlsx / The Long Shadow / row 82</x:v>
      </x:c>
      <x:c r="D80" s="14" t="str">
        <x:v>No material conflict</x:v>
      </x:c>
      <x:c r="E80" s="14" t="str">
        <x:v>Excluded duplicate from analytical counts; source retained in this log.</x:v>
      </x:c>
    </x:row>
    <x:row r="81">
      <x:c r="A81" s="14" t="str">
        <x:v>tt13323596|nm0461409|angus brownley</x:v>
      </x:c>
      <x:c r="B81" s="14" t="str">
        <x:v>2023_IMDb_Cast_Lists_Batch_04(2).xlsx / The Long Shadow / row 83</x:v>
      </x:c>
      <x:c r="C81" s="14" t="str">
        <x:v>2023_IMDb_Cast_Lists_Batch_05(2).xlsx / The Long Shadow / row 83</x:v>
      </x:c>
      <x:c r="D81" s="14" t="str">
        <x:v>No material conflict</x:v>
      </x:c>
      <x:c r="E81" s="14" t="str">
        <x:v>Excluded duplicate from analytical counts; source retained in this log.</x:v>
      </x:c>
    </x:row>
    <x:row r="82">
      <x:c r="A82" s="14" t="str">
        <x:v>tt13323596|nm2988542|terence hawkshaw</x:v>
      </x:c>
      <x:c r="B82" s="14" t="str">
        <x:v>2023_IMDb_Cast_Lists_Batch_04(2).xlsx / The Long Shadow / row 84</x:v>
      </x:c>
      <x:c r="C82" s="14" t="str">
        <x:v>2023_IMDb_Cast_Lists_Batch_05(2).xlsx / The Long Shadow / row 84</x:v>
      </x:c>
      <x:c r="D82" s="14" t="str">
        <x:v>No material conflict</x:v>
      </x:c>
      <x:c r="E82" s="14" t="str">
        <x:v>Excluded duplicate from analytical counts; source retained in this log.</x:v>
      </x:c>
    </x:row>
    <x:row r="83">
      <x:c r="A83" s="14" t="str">
        <x:v>tt13323596|nm3978118|wpc judy womack</x:v>
      </x:c>
      <x:c r="B83" s="14" t="str">
        <x:v>2023_IMDb_Cast_Lists_Batch_04(2).xlsx / The Long Shadow / row 85</x:v>
      </x:c>
      <x:c r="C83" s="14" t="str">
        <x:v>2023_IMDb_Cast_Lists_Batch_05(2).xlsx / The Long Shadow / row 85</x:v>
      </x:c>
      <x:c r="D83" s="14" t="str">
        <x:v>No material conflict</x:v>
      </x:c>
      <x:c r="E83" s="14" t="str">
        <x:v>Excluded duplicate from analytical counts; source retained in this log.</x:v>
      </x:c>
    </x:row>
    <x:row r="84">
      <x:c r="A84" s="14" t="str">
        <x:v>tt13323596|nm3807052|ps robert ring</x:v>
      </x:c>
      <x:c r="B84" s="14" t="str">
        <x:v>2023_IMDb_Cast_Lists_Batch_04(2).xlsx / The Long Shadow / row 86</x:v>
      </x:c>
      <x:c r="C84" s="14" t="str">
        <x:v>2023_IMDb_Cast_Lists_Batch_05(2).xlsx / The Long Shadow / row 86</x:v>
      </x:c>
      <x:c r="D84" s="14" t="str">
        <x:v>No material conflict</x:v>
      </x:c>
      <x:c r="E84" s="14" t="str">
        <x:v>Excluded duplicate from analytical counts; source retained in this log.</x:v>
      </x:c>
    </x:row>
    <x:row r="85">
      <x:c r="A85" s="14" t="str">
        <x:v>tt13323596|nm0452950|auntie win</x:v>
      </x:c>
      <x:c r="B85" s="14" t="str">
        <x:v>2023_IMDb_Cast_Lists_Batch_04(2).xlsx / The Long Shadow / row 87</x:v>
      </x:c>
      <x:c r="C85" s="14" t="str">
        <x:v>2023_IMDb_Cast_Lists_Batch_05(2).xlsx / The Long Shadow / row 87</x:v>
      </x:c>
      <x:c r="D85" s="14" t="str">
        <x:v>No material conflict</x:v>
      </x:c>
      <x:c r="E85" s="14" t="str">
        <x:v>Excluded duplicate from analytical counts; source retained in this log.</x:v>
      </x:c>
    </x:row>
    <x:row r="86">
      <x:c r="A86" s="14" t="str">
        <x:v>tt13323596|nm13469946|ben henderson</x:v>
      </x:c>
      <x:c r="B86" s="14" t="str">
        <x:v>2023_IMDb_Cast_Lists_Batch_04(2).xlsx / The Long Shadow / row 88</x:v>
      </x:c>
      <x:c r="C86" s="14" t="str">
        <x:v>2023_IMDb_Cast_Lists_Batch_05(2).xlsx / The Long Shadow / row 88</x:v>
      </x:c>
      <x:c r="D86" s="14" t="str">
        <x:v>No material conflict</x:v>
      </x:c>
      <x:c r="E86" s="14" t="str">
        <x:v>Excluded duplicate from analytical counts; source retained in this log.</x:v>
      </x:c>
    </x:row>
    <x:row r="87">
      <x:c r="A87" s="14" t="str">
        <x:v>tt13323596|nm8252769|wilma mccann</x:v>
      </x:c>
      <x:c r="B87" s="14" t="str">
        <x:v>2023_IMDb_Cast_Lists_Batch_04(2).xlsx / The Long Shadow / row 89</x:v>
      </x:c>
      <x:c r="C87" s="14" t="str">
        <x:v>2023_IMDb_Cast_Lists_Batch_05(2).xlsx / The Long Shadow / row 89</x:v>
      </x:c>
      <x:c r="D87" s="14" t="str">
        <x:v>No material conflict</x:v>
      </x:c>
      <x:c r="E87" s="14" t="str">
        <x:v>Excluded duplicate from analytical counts; source retained in this log.</x:v>
      </x:c>
    </x:row>
    <x:row r="88">
      <x:c r="A88" s="14" t="str">
        <x:v>tt13323596|nm2623766|paula dodd</x:v>
      </x:c>
      <x:c r="B88" s="14" t="str">
        <x:v>2023_IMDb_Cast_Lists_Batch_04(2).xlsx / The Long Shadow / row 90</x:v>
      </x:c>
      <x:c r="C88" s="14" t="str">
        <x:v>2023_IMDb_Cast_Lists_Batch_05(2).xlsx / The Long Shadow / row 90</x:v>
      </x:c>
      <x:c r="D88" s="14" t="str">
        <x:v>No material conflict</x:v>
      </x:c>
      <x:c r="E88" s="14" t="str">
        <x:v>Excluded duplicate from analytical counts; source retained in this log.</x:v>
      </x:c>
    </x:row>
    <x:row r="89">
      <x:c r="A89" s="14" t="str">
        <x:v>tt13323596|nm0559979|coroner james coverdale</x:v>
      </x:c>
      <x:c r="B89" s="14" t="str">
        <x:v>2023_IMDb_Cast_Lists_Batch_04(2).xlsx / The Long Shadow / row 91</x:v>
      </x:c>
      <x:c r="C89" s="14" t="str">
        <x:v>2023_IMDb_Cast_Lists_Batch_05(2).xlsx / The Long Shadow / row 91</x:v>
      </x:c>
      <x:c r="D89" s="14" t="str">
        <x:v>No material conflict</x:v>
      </x:c>
      <x:c r="E89" s="14" t="str">
        <x:v>Excluded duplicate from analytical counts; source retained in this log.</x:v>
      </x:c>
    </x:row>
    <x:row r="90">
      <x:c r="A90" s="14" t="str">
        <x:v>tt13323596|nm0416253|desmond wilcox</x:v>
      </x:c>
      <x:c r="B90" s="14" t="str">
        <x:v>2023_IMDb_Cast_Lists_Batch_04(2).xlsx / The Long Shadow / row 92</x:v>
      </x:c>
      <x:c r="C90" s="14" t="str">
        <x:v>2023_IMDb_Cast_Lists_Batch_05(2).xlsx / The Long Shadow / row 92</x:v>
      </x:c>
      <x:c r="D90" s="14" t="str">
        <x:v>No material conflict</x:v>
      </x:c>
      <x:c r="E90" s="14" t="str">
        <x:v>Excluded duplicate from analytical counts; source retained in this log.</x:v>
      </x:c>
    </x:row>
    <x:row r="91">
      <x:c r="A91" s="14" t="str">
        <x:v>tt13323596|nm0564947|steve rawton</x:v>
      </x:c>
      <x:c r="B91" s="14" t="str">
        <x:v>2023_IMDb_Cast_Lists_Batch_04(2).xlsx / The Long Shadow / row 93</x:v>
      </x:c>
      <x:c r="C91" s="14" t="str">
        <x:v>2023_IMDb_Cast_Lists_Batch_05(2).xlsx / The Long Shadow / row 93</x:v>
      </x:c>
      <x:c r="D91" s="14" t="str">
        <x:v>No material conflict</x:v>
      </x:c>
      <x:c r="E91" s="14" t="str">
        <x:v>Excluded duplicate from analytical counts; source retained in this log.</x:v>
      </x:c>
    </x:row>
    <x:row r="92">
      <x:c r="A92" s="14" t="str">
        <x:v>tt13323596|nm1528340|samantha davies</x:v>
      </x:c>
      <x:c r="B92" s="14" t="str">
        <x:v>2023_IMDb_Cast_Lists_Batch_04(2).xlsx / The Long Shadow / row 94</x:v>
      </x:c>
      <x:c r="C92" s="14" t="str">
        <x:v>2023_IMDb_Cast_Lists_Batch_05(2).xlsx / The Long Shadow / row 94</x:v>
      </x:c>
      <x:c r="D92" s="14" t="str">
        <x:v>No material conflict</x:v>
      </x:c>
      <x:c r="E92" s="14" t="str">
        <x:v>Excluded duplicate from analytical counts; source retained in this log.</x:v>
      </x:c>
    </x:row>
    <x:row r="93">
      <x:c r="A93" s="14" t="str">
        <x:v>tt13323596|nm2362227|mark peterborough</x:v>
      </x:c>
      <x:c r="B93" s="14" t="str">
        <x:v>2023_IMDb_Cast_Lists_Batch_04(2).xlsx / The Long Shadow / row 95</x:v>
      </x:c>
      <x:c r="C93" s="14" t="str">
        <x:v>2023_IMDb_Cast_Lists_Batch_05(2).xlsx / The Long Shadow / row 95</x:v>
      </x:c>
      <x:c r="D93" s="14" t="str">
        <x:v>No material conflict</x:v>
      </x:c>
      <x:c r="E93" s="14" t="str">
        <x:v>Excluded duplicate from analytical counts; source retained in this log.</x:v>
      </x:c>
    </x:row>
    <x:row r="94">
      <x:c r="A94" s="14" t="str">
        <x:v>tt13323596|nm0443093|dylan parker</x:v>
      </x:c>
      <x:c r="B94" s="14" t="str">
        <x:v>2023_IMDb_Cast_Lists_Batch_04(2).xlsx / The Long Shadow / row 96</x:v>
      </x:c>
      <x:c r="C94" s="14" t="str">
        <x:v>2023_IMDb_Cast_Lists_Batch_05(2).xlsx / The Long Shadow / row 96</x:v>
      </x:c>
      <x:c r="D94" s="14" t="str">
        <x:v>No material conflict</x:v>
      </x:c>
      <x:c r="E94" s="14" t="str">
        <x:v>Excluded duplicate from analytical counts; source retained in this log.</x:v>
      </x:c>
    </x:row>
    <x:row r="95">
      <x:c r="A95" s="14" t="str">
        <x:v>tt13323596|nm8208516|pc robert hydes</x:v>
      </x:c>
      <x:c r="B95" s="14" t="str">
        <x:v>2023_IMDb_Cast_Lists_Batch_04(2).xlsx / The Long Shadow / row 97</x:v>
      </x:c>
      <x:c r="C95" s="14" t="str">
        <x:v>2023_IMDb_Cast_Lists_Batch_05(2).xlsx / The Long Shadow / row 97</x:v>
      </x:c>
      <x:c r="D95" s="14" t="str">
        <x:v>No material conflict</x:v>
      </x:c>
      <x:c r="E95" s="14" t="str">
        <x:v>Excluded duplicate from analytical counts; source retained in this log.</x:v>
      </x:c>
    </x:row>
    <x:row r="96">
      <x:c r="A96" s="14" t="str">
        <x:v>tt13323596|nm3477466|paul hughes</x:v>
      </x:c>
      <x:c r="B96" s="14" t="str">
        <x:v>2023_IMDb_Cast_Lists_Batch_04(2).xlsx / The Long Shadow / row 98</x:v>
      </x:c>
      <x:c r="C96" s="14" t="str">
        <x:v>2023_IMDb_Cast_Lists_Batch_05(2).xlsx / The Long Shadow / row 98</x:v>
      </x:c>
      <x:c r="D96" s="14" t="str">
        <x:v>No material conflict</x:v>
      </x:c>
      <x:c r="E96" s="14" t="str">
        <x:v>Excluded duplicate from analytical counts; source retained in this log.</x:v>
      </x:c>
    </x:row>
    <x:row r="97">
      <x:c r="A97" s="14" t="str">
        <x:v>tt13323596|nm2348787|elsie hawkshaw</x:v>
      </x:c>
      <x:c r="B97" s="14" t="str">
        <x:v>2023_IMDb_Cast_Lists_Batch_04(2).xlsx / The Long Shadow / row 99</x:v>
      </x:c>
      <x:c r="C97" s="14" t="str">
        <x:v>2023_IMDb_Cast_Lists_Batch_05(2).xlsx / The Long Shadow / row 99</x:v>
      </x:c>
      <x:c r="D97" s="14" t="str">
        <x:v>No material conflict</x:v>
      </x:c>
      <x:c r="E97" s="14" t="str">
        <x:v>Excluded duplicate from analytical counts; source retained in this log.</x:v>
      </x:c>
    </x:row>
    <x:row r="98">
      <x:c r="A98" s="14" t="str">
        <x:v>tt13323596|nm3202392|nurse beverley dennings</x:v>
      </x:c>
      <x:c r="B98" s="14" t="str">
        <x:v>2023_IMDb_Cast_Lists_Batch_04(2).xlsx / The Long Shadow / row 100</x:v>
      </x:c>
      <x:c r="C98" s="14" t="str">
        <x:v>2023_IMDb_Cast_Lists_Batch_05(2).xlsx / The Long Shadow / row 100</x:v>
      </x:c>
      <x:c r="D98" s="14" t="str">
        <x:v>No material conflict</x:v>
      </x:c>
      <x:c r="E98" s="14" t="str">
        <x:v>Excluded duplicate from analytical counts; source retained in this log.</x:v>
      </x:c>
    </x:row>
    <x:row r="99">
      <x:c r="A99" s="14" t="str">
        <x:v>tt13323596|nm10929220|lizzie deacon</x:v>
      </x:c>
      <x:c r="B99" s="14" t="str">
        <x:v>2023_IMDb_Cast_Lists_Batch_04(2).xlsx / The Long Shadow / row 101</x:v>
      </x:c>
      <x:c r="C99" s="14" t="str">
        <x:v>2023_IMDb_Cast_Lists_Batch_05(2).xlsx / The Long Shadow / row 101</x:v>
      </x:c>
      <x:c r="D99" s="14" t="str">
        <x:v>No material conflict</x:v>
      </x:c>
      <x:c r="E99" s="14" t="str">
        <x:v>Excluded duplicate from analytical counts; source retained in this log.</x:v>
      </x:c>
    </x:row>
    <x:row r="100">
      <x:c r="A100" s="14" t="str">
        <x:v>tt13323596|nm4925834|wpc jill adams</x:v>
      </x:c>
      <x:c r="B100" s="14" t="str">
        <x:v>2023_IMDb_Cast_Lists_Batch_04(2).xlsx / The Long Shadow / row 102</x:v>
      </x:c>
      <x:c r="C100" s="14" t="str">
        <x:v>2023_IMDb_Cast_Lists_Batch_05(2).xlsx / The Long Shadow / row 102</x:v>
      </x:c>
      <x:c r="D100" s="14" t="str">
        <x:v>No material conflict</x:v>
      </x:c>
      <x:c r="E100" s="14" t="str">
        <x:v>Excluded duplicate from analytical counts; source retained in this log.</x:v>
      </x:c>
    </x:row>
    <x:row r="101">
      <x:c r="A101" s="14" t="str">
        <x:v>tt13323596|nm0571993|sir david mcnee</x:v>
      </x:c>
      <x:c r="B101" s="14" t="str">
        <x:v>2023_IMDb_Cast_Lists_Batch_04(2).xlsx / The Long Shadow / row 103</x:v>
      </x:c>
      <x:c r="C101" s="14" t="str">
        <x:v>2023_IMDb_Cast_Lists_Batch_05(2).xlsx / The Long Shadow / row 103</x:v>
      </x:c>
      <x:c r="D101" s="14" t="str">
        <x:v>No material conflict</x:v>
      </x:c>
      <x:c r="E101" s="14" t="str">
        <x:v>Excluded duplicate from analytical counts; source retained in this log.</x:v>
      </x:c>
    </x:row>
    <x:row r="102">
      <x:c r="A102" s="14" t="str">
        <x:v>tt13323596|nm4707183|richard mccann</x:v>
      </x:c>
      <x:c r="B102" s="14" t="str">
        <x:v>2023_IMDb_Cast_Lists_Batch_04(2).xlsx / The Long Shadow / row 104</x:v>
      </x:c>
      <x:c r="C102" s="14" t="str">
        <x:v>2023_IMDb_Cast_Lists_Batch_05(2).xlsx / The Long Shadow / row 104</x:v>
      </x:c>
      <x:c r="D102" s="14" t="str">
        <x:v>No material conflict</x:v>
      </x:c>
      <x:c r="E102" s="14" t="str">
        <x:v>Excluded duplicate from analytical counts; source retained in this log.</x:v>
      </x:c>
    </x:row>
    <x:row r="103">
      <x:c r="A103" s="14" t="str">
        <x:v>tt13323596|nm0606655|mr. watkins</x:v>
      </x:c>
      <x:c r="B103" s="14" t="str">
        <x:v>2023_IMDb_Cast_Lists_Batch_04(2).xlsx / The Long Shadow / row 105</x:v>
      </x:c>
      <x:c r="C103" s="14" t="str">
        <x:v>2023_IMDb_Cast_Lists_Batch_05(2).xlsx / The Long Shadow / row 105</x:v>
      </x:c>
      <x:c r="D103" s="14" t="str">
        <x:v>No material conflict</x:v>
      </x:c>
      <x:c r="E103" s="14" t="str">
        <x:v>Excluded duplicate from analytical counts; source retained in this log.</x:v>
      </x:c>
    </x:row>
    <x:row r="104">
      <x:c r="A104" s="14" t="str">
        <x:v>tt13323596|nm7735606|irene richardson</x:v>
      </x:c>
      <x:c r="B104" s="14" t="str">
        <x:v>2023_IMDb_Cast_Lists_Batch_04(2).xlsx / The Long Shadow / row 106</x:v>
      </x:c>
      <x:c r="C104" s="14" t="str">
        <x:v>2023_IMDb_Cast_Lists_Batch_05(2).xlsx / The Long Shadow / row 106</x:v>
      </x:c>
      <x:c r="D104" s="14" t="str">
        <x:v>No material conflict</x:v>
      </x:c>
      <x:c r="E104" s="14" t="str">
        <x:v>Excluded duplicate from analytical counts; source retained in this log.</x:v>
      </x:c>
    </x:row>
    <x:row r="105">
      <x:c r="A105" s="14" t="str">
        <x:v>tt13323596|nm7764898|cindy thornbury</x:v>
      </x:c>
      <x:c r="B105" s="14" t="str">
        <x:v>2023_IMDb_Cast_Lists_Batch_04(2).xlsx / The Long Shadow / row 107</x:v>
      </x:c>
      <x:c r="C105" s="14" t="str">
        <x:v>2023_IMDb_Cast_Lists_Batch_05(2).xlsx / The Long Shadow / row 107</x:v>
      </x:c>
      <x:c r="D105" s="14" t="str">
        <x:v>No material conflict</x:v>
      </x:c>
      <x:c r="E105" s="14" t="str">
        <x:v>Excluded duplicate from analytical counts; source retained in this log.</x:v>
      </x:c>
    </x:row>
    <x:row r="106">
      <x:c r="A106" s="14" t="str">
        <x:v>tt13323596|nm8010991|donna deangelo</x:v>
      </x:c>
      <x:c r="B106" s="14" t="str">
        <x:v>2023_IMDb_Cast_Lists_Batch_04(2).xlsx / The Long Shadow / row 108</x:v>
      </x:c>
      <x:c r="C106" s="14" t="str">
        <x:v>2023_IMDb_Cast_Lists_Batch_05(2).xlsx / The Long Shadow / row 108</x:v>
      </x:c>
      <x:c r="D106" s="14" t="str">
        <x:v>No material conflict</x:v>
      </x:c>
      <x:c r="E106" s="14" t="str">
        <x:v>Excluded duplicate from analytical counts; source retained in this log.</x:v>
      </x:c>
    </x:row>
    <x:row r="107">
      <x:c r="A107" s="14" t="str">
        <x:v>tt13323596|nm2630423|mrs. watkins</x:v>
      </x:c>
      <x:c r="B107" s="14" t="str">
        <x:v>2023_IMDb_Cast_Lists_Batch_04(2).xlsx / The Long Shadow / row 109</x:v>
      </x:c>
      <x:c r="C107" s="14" t="str">
        <x:v>2023_IMDb_Cast_Lists_Batch_05(2).xlsx / The Long Shadow / row 109</x:v>
      </x:c>
      <x:c r="D107" s="14" t="str">
        <x:v>No material conflict</x:v>
      </x:c>
      <x:c r="E107" s="14" t="str">
        <x:v>Excluded duplicate from analytical counts; source retained in this log.</x:v>
      </x:c>
    </x:row>
    <x:row r="108">
      <x:c r="A108" s="14" t="str">
        <x:v>tt13323596|nm0705370|mrs. ashworth</x:v>
      </x:c>
      <x:c r="B108" s="14" t="str">
        <x:v>2023_IMDb_Cast_Lists_Batch_04(2).xlsx / The Long Shadow / row 110</x:v>
      </x:c>
      <x:c r="C108" s="14" t="str">
        <x:v>2023_IMDb_Cast_Lists_Batch_05(2).xlsx / The Long Shadow / row 110</x:v>
      </x:c>
      <x:c r="D108" s="14" t="str">
        <x:v>No material conflict</x:v>
      </x:c>
      <x:c r="E108" s="14" t="str">
        <x:v>Excluded duplicate from analytical counts; source retained in this log.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db8b1ad7355469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</x:cols>
  <x:sheetData>
    <x:row r="1" ht="30" customHeight="1">
      <x:c r="A1" s="3" t="str">
        <x:v>Carry-forward QA and reconciliation</x:v>
      </x:c>
      <x:c r="B1" s="3"/>
    </x:row>
    <x:row r="2" ht="42" customHeight="1">
      <x:c r="A2" s="7" t="str">
        <x:v>All inherited and newly extracted future records are retained, used once, excluded after 2025 where required, and reconciled to zero.</x:v>
      </x:c>
      <x:c r="B2" s="7"/>
    </x:row>
    <x:row r="5" ht="34" customHeight="1">
      <x:c r="A5" s="11" t="str">
        <x:v>Measure</x:v>
      </x:c>
      <x:c r="B5" s="11" t="str">
        <x:v>Count</x:v>
      </x:c>
    </x:row>
    <x:row r="6">
      <x:c r="A6" s="14" t="str">
        <x:v>Raw current-year records</x:v>
      </x:c>
      <x:c r="B6" s="14" t="n">
        <x:v>3000</x:v>
      </x:c>
    </x:row>
    <x:row r="7">
      <x:c r="A7" s="14" t="str">
        <x:v>Inherited records</x:v>
      </x:c>
      <x:c r="B7" s="14" t="n">
        <x:v>1901</x:v>
      </x:c>
    </x:row>
    <x:row r="8">
      <x:c r="A8" s="14" t="str">
        <x:v>Canonical records</x:v>
      </x:c>
      <x:c r="B8" s="14" t="n">
        <x:v>4798</x:v>
      </x:c>
    </x:row>
    <x:row r="9">
      <x:c r="A9" s="14" t="str">
        <x:v>Duplicates logged</x:v>
      </x:c>
      <x:c r="B9" s="14" t="n">
        <x:v>103</x:v>
      </x:c>
    </x:row>
    <x:row r="10">
      <x:c r="A10" s="14" t="str">
        <x:v>Reconciliation difference</x:v>
      </x:c>
      <x:c r="B10" s="14" t="n">
        <x:v>0</x:v>
      </x:c>
    </x:row>
    <x:row r="11">
      <x:c r="A11" s="14" t="str">
        <x:v>Future carry-forward records</x:v>
      </x:c>
      <x:c r="B11" s="14" t="n">
        <x:v>1739</x:v>
      </x:c>
    </x:row>
    <x:row r="12">
      <x:c r="A12" s="14" t="str">
        <x:v>Post-2025 exclusions</x:v>
      </x:c>
      <x:c r="B12" s="14" t="n">
        <x:v>170</x:v>
      </x:c>
    </x:row>
    <x:row r="13">
      <x:c r="A13" s="14" t="str">
        <x:v>Unresolved records</x:v>
      </x:c>
      <x:c r="B13" s="14" t="n">
        <x:v>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5f9474a2865449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28" hidden="0" customWidth="1"/>
    <x:col min="3" max="3" width="75" hidden="0" customWidth="1"/>
  </x:cols>
  <x:sheetData>
    <x:row r="1" ht="30" customHeight="1">
      <x:c r="A1" s="3" t="str">
        <x:v>Carry-forward data dictionary</x:v>
      </x:c>
      <x:c r="B1" s="3"/>
      <x:c r="C1" s="3"/>
    </x:row>
    <x:row r="2" ht="42" customHeight="1">
      <x:c r="A2" s="7" t="str">
        <x:v>Field groups used consistently for future annual analyses.</x:v>
      </x:c>
      <x:c r="B2" s="7"/>
      <x:c r="C2" s="7"/>
    </x:row>
    <x:row r="5" ht="34" customHeight="1">
      <x:c r="A5" s="11" t="str">
        <x:v>Field</x:v>
      </x:c>
      <x:c r="B5" s="11" t="str">
        <x:v>Group</x:v>
      </x:c>
      <x:c r="C5" s="11" t="str">
        <x:v>Use</x:v>
      </x:c>
    </x:row>
    <x:row r="6">
      <x:c r="A6" s="14" t="str">
        <x:v>Canonical casting-credit key</x:v>
      </x:c>
      <x:c r="B6" s="14" t="str">
        <x:v>Cast/source field</x:v>
      </x:c>
      <x:c r="C6" s="14" t="str">
        <x:v>Retained without overwriting source values; derived values are separately labelled.</x:v>
      </x:c>
    </x:row>
    <x:row r="7">
      <x:c r="A7" s="14" t="str">
        <x:v>Source batch</x:v>
      </x:c>
      <x:c r="B7" s="14" t="str">
        <x:v>Cast/source field</x:v>
      </x:c>
      <x:c r="C7" s="14" t="str">
        <x:v>Retained without overwriting source values; derived values are separately labelled.</x:v>
      </x:c>
    </x:row>
    <x:row r="8">
      <x:c r="A8" s="14" t="str">
        <x:v>Source workbook</x:v>
      </x:c>
      <x:c r="B8" s="14" t="str">
        <x:v>Cast/source field</x:v>
      </x:c>
      <x:c r="C8" s="14" t="str">
        <x:v>Retained without overwriting source values; derived values are separately labelled.</x:v>
      </x:c>
    </x:row>
    <x:row r="9">
      <x:c r="A9" s="14" t="str">
        <x:v>Source worksheet</x:v>
      </x:c>
      <x:c r="B9" s="14" t="str">
        <x:v>Cast/source field</x:v>
      </x:c>
      <x:c r="C9" s="14" t="str">
        <x:v>Retained without overwriting source values; derived values are separately labelled.</x:v>
      </x:c>
    </x:row>
    <x:row r="10">
      <x:c r="A10" s="14" t="str">
        <x:v>Source row</x:v>
      </x:c>
      <x:c r="B10" s="14" t="str">
        <x:v>Cast/source field</x:v>
      </x:c>
      <x:c r="C10" s="14" t="str">
        <x:v>Retained without overwriting source values; derived values are separately labelled.</x:v>
      </x:c>
    </x:row>
    <x:row r="11">
      <x:c r="A11" s="14" t="str">
        <x:v>Production</x:v>
      </x:c>
      <x:c r="B11" s="14" t="str">
        <x:v>Cast/source field</x:v>
      </x:c>
      <x:c r="C11" s="14" t="str">
        <x:v>Retained without overwriting source values; derived values are separately labelled.</x:v>
      </x:c>
    </x:row>
    <x:row r="12">
      <x:c r="A12" s="14" t="str">
        <x:v>IMDb title ID</x:v>
      </x:c>
      <x:c r="B12" s="14" t="str">
        <x:v>Cast/source field</x:v>
      </x:c>
      <x:c r="C12" s="14" t="str">
        <x:v>Retained without overwriting source values; derived values are separately labelled.</x:v>
      </x:c>
    </x:row>
    <x:row r="13">
      <x:c r="A13" s="14" t="str">
        <x:v>Production entry year</x:v>
      </x:c>
      <x:c r="B13" s="14" t="str">
        <x:v>Year/provenance field</x:v>
      </x:c>
      <x:c r="C13" s="14" t="str">
        <x:v>Retained without overwriting source values; derived values are separately labelled.</x:v>
      </x:c>
    </x:row>
    <x:row r="14">
      <x:c r="A14" s="14" t="str">
        <x:v>Current study year</x:v>
      </x:c>
      <x:c r="B14" s="14" t="str">
        <x:v>Year/provenance field</x:v>
      </x:c>
      <x:c r="C14" s="14" t="str">
        <x:v>Retained without overwriting source values; derived values are separately labelled.</x:v>
      </x:c>
    </x:row>
    <x:row r="15">
      <x:c r="A15" s="14" t="str">
        <x:v>Annual cohort</x:v>
      </x:c>
      <x:c r="B15" s="14" t="str">
        <x:v>Cast/source field</x:v>
      </x:c>
      <x:c r="C15" s="14" t="str">
        <x:v>Retained without overwriting source values; derived values are separately labelled.</x:v>
      </x:c>
    </x:row>
    <x:row r="16">
      <x:c r="A16" s="14" t="str">
        <x:v>Carry-forward source year</x:v>
      </x:c>
      <x:c r="B16" s="14" t="str">
        <x:v>Year/provenance field</x:v>
      </x:c>
      <x:c r="C16" s="14" t="str">
        <x:v>Retained without overwriting source values; derived values are separately labelled.</x:v>
      </x:c>
    </x:row>
    <x:row r="17">
      <x:c r="A17" s="14" t="str">
        <x:v>Carry-forward status</x:v>
      </x:c>
      <x:c r="B17" s="14" t="str">
        <x:v>Cast/source field</x:v>
      </x:c>
      <x:c r="C17" s="14" t="str">
        <x:v>Retained without overwriting source values; derived values are separately labelled.</x:v>
      </x:c>
    </x:row>
    <x:row r="18">
      <x:c r="A18" s="14" t="str">
        <x:v>Order</x:v>
      </x:c>
      <x:c r="B18" s="14" t="str">
        <x:v>Cast/source field</x:v>
      </x:c>
      <x:c r="C18" s="14" t="str">
        <x:v>Retained without overwriting source values; derived values are separately labelled.</x:v>
      </x:c>
    </x:row>
    <x:row r="19">
      <x:c r="A19" s="14" t="str">
        <x:v>Actor</x:v>
      </x:c>
      <x:c r="B19" s="14" t="str">
        <x:v>Cast/source field</x:v>
      </x:c>
      <x:c r="C19" s="14" t="str">
        <x:v>Retained without overwriting source values; derived values are separately labelled.</x:v>
      </x:c>
    </x:row>
    <x:row r="20">
      <x:c r="A20" s="14" t="str">
        <x:v>IMDb performer ID</x:v>
      </x:c>
      <x:c r="B20" s="14" t="str">
        <x:v>Cast/source field</x:v>
      </x:c>
      <x:c r="C20" s="14" t="str">
        <x:v>Retained without overwriting source values; derived values are separately labelled.</x:v>
      </x:c>
    </x:row>
    <x:row r="21">
      <x:c r="A21" s="14" t="str">
        <x:v>Character / role</x:v>
      </x:c>
      <x:c r="B21" s="14" t="str">
        <x:v>Cast/source field</x:v>
      </x:c>
      <x:c r="C21" s="14" t="str">
        <x:v>Retained without overwriting source values; derived values are separately labelled.</x:v>
      </x:c>
    </x:row>
    <x:row r="22">
      <x:c r="A22" s="14" t="str">
        <x:v>Episodes</x:v>
      </x:c>
      <x:c r="B22" s="14" t="str">
        <x:v>Cast/source field</x:v>
      </x:c>
      <x:c r="C22" s="14" t="str">
        <x:v>Retained without overwriting source values; derived values are separately labelled.</x:v>
      </x:c>
    </x:row>
    <x:row r="23">
      <x:c r="A23" s="14" t="str">
        <x:v>Original Years</x:v>
      </x:c>
      <x:c r="B23" s="14" t="str">
        <x:v>Year/provenance field</x:v>
      </x:c>
      <x:c r="C23" s="14" t="str">
        <x:v>Retained without overwriting source values; derived values are separately labelled.</x:v>
      </x:c>
    </x:row>
    <x:row r="24">
      <x:c r="A24" s="14" t="str">
        <x:v>Derived first appearance year</x:v>
      </x:c>
      <x:c r="B24" s="14" t="str">
        <x:v>Year/provenance field</x:v>
      </x:c>
      <x:c r="C24" s="14" t="str">
        <x:v>Retained without overwriting source values; derived values are separately labelled.</x:v>
      </x:c>
    </x:row>
    <x:row r="25">
      <x:c r="A25" s="14" t="str">
        <x:v>Study first appearance year</x:v>
      </x:c>
      <x:c r="B25" s="14" t="str">
        <x:v>Year/provenance field</x:v>
      </x:c>
      <x:c r="C25" s="14" t="str">
        <x:v>Retained without overwriting source values; derived values are separately labelled.</x:v>
      </x:c>
    </x:row>
    <x:row r="26">
      <x:c r="A26" s="14" t="str">
        <x:v>Year treatment</x:v>
      </x:c>
      <x:c r="B26" s="14" t="str">
        <x:v>Year/provenance field</x:v>
      </x:c>
      <x:c r="C26" s="14" t="str">
        <x:v>Retained without overwriting source values; derived values are separately labelled.</x:v>
      </x:c>
    </x:row>
    <x:row r="27">
      <x:c r="A27" s="14" t="str">
        <x:v>Year-treatment reason</x:v>
      </x:c>
      <x:c r="B27" s="14" t="str">
        <x:v>Year/provenance field</x:v>
      </x:c>
      <x:c r="C27" s="14" t="str">
        <x:v>Retained without overwriting source values; derived values are separately labelled.</x:v>
      </x:c>
    </x:row>
    <x:row r="28">
      <x:c r="A28" s="14" t="str">
        <x:v>Original-year review flag</x:v>
      </x:c>
      <x:c r="B28" s="14" t="str">
        <x:v>Year/provenance field</x:v>
      </x:c>
      <x:c r="C28" s="14" t="str">
        <x:v>Retained without overwriting source values; derived values are separately labelled.</x:v>
      </x:c>
    </x:row>
    <x:row r="29">
      <x:c r="A29" s="14" t="str">
        <x:v>Current-year inclusion status</x:v>
      </x:c>
      <x:c r="B29" s="14" t="str">
        <x:v>Year/provenance field</x:v>
      </x:c>
      <x:c r="C29" s="14" t="str">
        <x:v>Retained without overwriting source values; derived values are separately labelled.</x:v>
      </x:c>
    </x:row>
    <x:row r="30">
      <x:c r="A30" s="14" t="str">
        <x:v>Credit notes</x:v>
      </x:c>
      <x:c r="B30" s="14" t="str">
        <x:v>Cast/source field</x:v>
      </x:c>
      <x:c r="C30" s="14" t="str">
        <x:v>Retained without overwriting source values; derived values are separately labelled.</x:v>
      </x:c>
    </x:row>
    <x:row r="31">
      <x:c r="A31" s="14" t="str">
        <x:v>Source document</x:v>
      </x:c>
      <x:c r="B31" s="14" t="str">
        <x:v>Cast/source field</x:v>
      </x:c>
      <x:c r="C31" s="14" t="str">
        <x:v>Retained without overwriting source values; derived values are separately labelled.</x:v>
      </x:c>
    </x:row>
    <x:row r="32">
      <x:c r="A32" s="14" t="str">
        <x:v>IMDb full credits</x:v>
      </x:c>
      <x:c r="B32" s="14" t="str">
        <x:v>Cast/source field</x:v>
      </x:c>
      <x:c r="C32" s="14" t="str">
        <x:v>Retained without overwriting source values; derived values are separately labelled.</x:v>
      </x:c>
    </x:row>
    <x:row r="33">
      <x:c r="A33" s="14" t="str">
        <x:v>Original disability research status</x:v>
      </x:c>
      <x:c r="B33" s="14" t="str">
        <x:v>Disability-register field</x:v>
      </x:c>
      <x:c r="C33" s="14" t="str">
        <x:v>Retained without overwriting source values; derived values are separately labelled.</x:v>
      </x:c>
    </x:row>
    <x:row r="34">
      <x:c r="A34" s="14" t="str">
        <x:v>Original apparent category</x:v>
      </x:c>
      <x:c r="B34" s="14" t="str">
        <x:v>Cast/source field</x:v>
      </x:c>
      <x:c r="C34" s="14" t="str">
        <x:v>Retained without overwriting source values; derived values are separately labelled.</x:v>
      </x:c>
    </x:row>
    <x:row r="35">
      <x:c r="A35" s="14" t="str">
        <x:v>Original performer evidence summary</x:v>
      </x:c>
      <x:c r="B35" s="14" t="str">
        <x:v>Cast/source field</x:v>
      </x:c>
      <x:c r="C35" s="14" t="str">
        <x:v>Retained without overwriting source values; derived values are separately labelled.</x:v>
      </x:c>
    </x:row>
    <x:row r="36">
      <x:c r="A36" s="14" t="str">
        <x:v>Original evidence source</x:v>
      </x:c>
      <x:c r="B36" s="14" t="str">
        <x:v>Cast/source field</x:v>
      </x:c>
      <x:c r="C36" s="14" t="str">
        <x:v>Retained without overwriting source values; derived values are separately labelled.</x:v>
      </x:c>
    </x:row>
    <x:row r="37">
      <x:c r="A37" s="14" t="str">
        <x:v>Original evidence URL</x:v>
      </x:c>
      <x:c r="B37" s="14" t="str">
        <x:v>Cast/source field</x:v>
      </x:c>
      <x:c r="C37" s="14" t="str">
        <x:v>Retained without overwriting source values; derived values are separately labelled.</x:v>
      </x:c>
    </x:row>
    <x:row r="38">
      <x:c r="A38" s="14" t="str">
        <x:v>Original research notes</x:v>
      </x:c>
      <x:c r="B38" s="14" t="str">
        <x:v>Cast/source field</x:v>
      </x:c>
      <x:c r="C38" s="14" t="str">
        <x:v>Retained without overwriting source values; derived values are separately labelled.</x:v>
      </x:c>
    </x:row>
    <x:row r="39">
      <x:c r="A39" s="14" t="str">
        <x:v>Commissioner or platform</x:v>
      </x:c>
      <x:c r="B39" s="14" t="str">
        <x:v>Cast/source field</x:v>
      </x:c>
      <x:c r="C39" s="14" t="str">
        <x:v>Retained without overwriting source values; derived values are separately labelled.</x:v>
      </x:c>
    </x:row>
    <x:row r="40">
      <x:c r="A40" s="14" t="str">
        <x:v>Commissioning basis</x:v>
      </x:c>
      <x:c r="B40" s="14" t="str">
        <x:v>Cast/source field</x:v>
      </x:c>
      <x:c r="C40" s="14" t="str">
        <x:v>Retained without overwriting source values; derived values are separately labelled.</x:v>
      </x:c>
    </x:row>
    <x:row r="41">
      <x:c r="A41" s="14" t="str">
        <x:v>Scope match</x:v>
      </x:c>
      <x:c r="B41" s="14" t="str">
        <x:v>Cast/source field</x:v>
      </x:c>
      <x:c r="C41" s="14" t="str">
        <x:v>Retained without overwriting source values; derived values are separately labelled.</x:v>
      </x:c>
    </x:row>
    <x:row r="42">
      <x:c r="A42" s="14" t="str">
        <x:v>Scope match confidence</x:v>
      </x:c>
      <x:c r="B42" s="14" t="str">
        <x:v>Cast/source field</x:v>
      </x:c>
      <x:c r="C42" s="14" t="str">
        <x:v>Retained without overwriting source values; derived values are separately labelled.</x:v>
      </x:c>
    </x:row>
    <x:row r="43">
      <x:c r="A43" s="14" t="str">
        <x:v>Scope evidence or decision note</x:v>
      </x:c>
      <x:c r="B43" s="14" t="str">
        <x:v>Cast/source field</x:v>
      </x:c>
      <x:c r="C43" s="14" t="str">
        <x:v>Retained without overwriting source values; derived values are separately labelled.</x:v>
      </x:c>
    </x:row>
    <x:row r="44">
      <x:c r="A44" s="14" t="str">
        <x:v>Scope evidence URL</x:v>
      </x:c>
      <x:c r="B44" s="14" t="str">
        <x:v>Cast/source field</x:v>
      </x:c>
      <x:c r="C44" s="14" t="str">
        <x:v>Retained without overwriting source values; derived values are separately labelled.</x:v>
      </x:c>
    </x:row>
    <x:row r="45">
      <x:c r="A45" s="14" t="str">
        <x:v>BBC relationship</x:v>
      </x:c>
      <x:c r="B45" s="14" t="str">
        <x:v>Scope field</x:v>
      </x:c>
      <x:c r="C45" s="14" t="str">
        <x:v>Retained without overwriting source values; derived values are separately labelled.</x:v>
      </x:c>
    </x:row>
    <x:row r="46">
      <x:c r="A46" s="14" t="str">
        <x:v>BBC policy cohort</x:v>
      </x:c>
      <x:c r="B46" s="14" t="str">
        <x:v>Scope field</x:v>
      </x:c>
      <x:c r="C46" s="14" t="str">
        <x:v>Retained without overwriting source values; derived values are separately labelled.</x:v>
      </x:c>
    </x:row>
    <x:row r="47">
      <x:c r="A47" s="14" t="str">
        <x:v>Ofcom regulatory cohort</x:v>
      </x:c>
      <x:c r="B47" s="14" t="str">
        <x:v>Scope field</x:v>
      </x:c>
      <x:c r="C47" s="14" t="str">
        <x:v>Retained without overwriting source values; derived values are separately labelled.</x:v>
      </x:c>
    </x:row>
    <x:row r="48">
      <x:c r="A48" s="14" t="str">
        <x:v>BBC scope status</x:v>
      </x:c>
      <x:c r="B48" s="14" t="str">
        <x:v>Scope field</x:v>
      </x:c>
      <x:c r="C48" s="14" t="str">
        <x:v>Retained without overwriting source values; derived values are separately labelled.</x:v>
      </x:c>
    </x:row>
    <x:row r="49">
      <x:c r="A49" s="14" t="str">
        <x:v>BBC scope review status</x:v>
      </x:c>
      <x:c r="B49" s="14" t="str">
        <x:v>Scope field</x:v>
      </x:c>
      <x:c r="C49" s="14" t="str">
        <x:v>Retained without overwriting source values; derived values are separately labelled.</x:v>
      </x:c>
    </x:row>
    <x:row r="50">
      <x:c r="A50" s="14" t="str">
        <x:v>Prior register match</x:v>
      </x:c>
      <x:c r="B50" s="14" t="str">
        <x:v>Cast/source field</x:v>
      </x:c>
      <x:c r="C50" s="14" t="str">
        <x:v>Retained without overwriting source values; derived values are separately labelled.</x:v>
      </x:c>
    </x:row>
    <x:row r="51">
      <x:c r="A51" s="14" t="str">
        <x:v>Prior register performer ID</x:v>
      </x:c>
      <x:c r="B51" s="14" t="str">
        <x:v>Cast/source field</x:v>
      </x:c>
      <x:c r="C51" s="14" t="str">
        <x:v>Retained without overwriting source values; derived values are separately labelled.</x:v>
      </x:c>
    </x:row>
    <x:row r="52">
      <x:c r="A52" s="14" t="str">
        <x:v>Prior controlled categories</x:v>
      </x:c>
      <x:c r="B52" s="14" t="str">
        <x:v>Cast/source field</x:v>
      </x:c>
      <x:c r="C52" s="14" t="str">
        <x:v>Retained without overwriting source values; derived values are separately labelled.</x:v>
      </x:c>
    </x:row>
    <x:row r="53">
      <x:c r="A53" s="14" t="str">
        <x:v>Prior apparent-disability classification</x:v>
      </x:c>
      <x:c r="B53" s="14" t="str">
        <x:v>Disability-register field</x:v>
      </x:c>
      <x:c r="C53" s="14" t="str">
        <x:v>Retained without overwriting source values; derived values are separately labelled.</x:v>
      </x:c>
    </x:row>
    <x:row r="54">
      <x:c r="A54" s="14" t="str">
        <x:v>Prior apparent-disability categories</x:v>
      </x:c>
      <x:c r="B54" s="14" t="str">
        <x:v>Disability-register field</x:v>
      </x:c>
      <x:c r="C54" s="14" t="str">
        <x:v>Retained without overwriting source values; derived values are separately labelled.</x:v>
      </x:c>
    </x:row>
    <x:row r="55">
      <x:c r="A55" s="14" t="str">
        <x:v>Prior neurodivergent-only classification</x:v>
      </x:c>
      <x:c r="B55" s="14" t="str">
        <x:v>Cast/source field</x:v>
      </x:c>
      <x:c r="C55" s="14" t="str">
        <x:v>Retained without overwriting source values; derived values are separately labelled.</x:v>
      </x:c>
    </x:row>
    <x:row r="56">
      <x:c r="A56" s="14" t="str">
        <x:v>Prior register matching status</x:v>
      </x:c>
      <x:c r="B56" s="14" t="str">
        <x:v>Cast/source field</x:v>
      </x:c>
      <x:c r="C56" s="14" t="str">
        <x:v>Retained without overwriting source values; derived values are separately labelled.</x:v>
      </x:c>
    </x:row>
    <x:row r="57">
      <x:c r="A57" s="14" t="str">
        <x:v>Prior register version</x:v>
      </x:c>
      <x:c r="B57" s="14" t="str">
        <x:v>Cast/source field</x:v>
      </x:c>
      <x:c r="C57" s="14" t="str">
        <x:v>Retained without overwriting source values; derived values are separately labelled.</x:v>
      </x:c>
    </x:row>
    <x:row r="58">
      <x:c r="A58" s="14" t="str">
        <x:v>Prior register matching notes</x:v>
      </x:c>
      <x:c r="B58" s="14" t="str">
        <x:v>Cast/source field</x:v>
      </x:c>
      <x:c r="C58" s="14" t="str">
        <x:v>Retained without overwriting source values; derived values are separately labelled.</x:v>
      </x:c>
    </x:row>
    <x:row r="59">
      <x:c r="A59" s="14" t="str">
        <x:v>Register match</x:v>
      </x:c>
      <x:c r="B59" s="14" t="str">
        <x:v>Disability-register field</x:v>
      </x:c>
      <x:c r="C59" s="14" t="str">
        <x:v>Retained without overwriting source values; derived values are separately labelled.</x:v>
      </x:c>
    </x:row>
    <x:row r="60">
      <x:c r="A60" s="14" t="str">
        <x:v>Register performer ID</x:v>
      </x:c>
      <x:c r="B60" s="14" t="str">
        <x:v>Disability-register field</x:v>
      </x:c>
      <x:c r="C60" s="14" t="str">
        <x:v>Retained without overwriting source values; derived values are separately labelled.</x:v>
      </x:c>
    </x:row>
    <x:row r="61">
      <x:c r="A61" s="14" t="str">
        <x:v>Register name</x:v>
      </x:c>
      <x:c r="B61" s="14" t="str">
        <x:v>Disability-register field</x:v>
      </x:c>
      <x:c r="C61" s="14" t="str">
        <x:v>Retained without overwriting source values; derived values are separately labelled.</x:v>
      </x:c>
    </x:row>
    <x:row r="62">
      <x:c r="A62" s="14" t="str">
        <x:v>Controlled disability categories</x:v>
      </x:c>
      <x:c r="B62" s="14" t="str">
        <x:v>Disability-register field</x:v>
      </x:c>
      <x:c r="C62" s="14" t="str">
        <x:v>Retained without overwriting source values; derived values are separately labelled.</x:v>
      </x:c>
    </x:row>
    <x:row r="63">
      <x:c r="A63" s="14" t="str">
        <x:v>Apparent-disability classification</x:v>
      </x:c>
      <x:c r="B63" s="14" t="str">
        <x:v>Disability-register field</x:v>
      </x:c>
      <x:c r="C63" s="14" t="str">
        <x:v>Retained without overwriting source values; derived values are separately labelled.</x:v>
      </x:c>
    </x:row>
    <x:row r="64">
      <x:c r="A64" s="14" t="str">
        <x:v>Apparent-disability categories</x:v>
      </x:c>
      <x:c r="B64" s="14" t="str">
        <x:v>Disability-register field</x:v>
      </x:c>
      <x:c r="C64" s="14" t="str">
        <x:v>Retained without overwriting source values; derived values are separately labelled.</x:v>
      </x:c>
    </x:row>
    <x:row r="65">
      <x:c r="A65" s="14" t="str">
        <x:v>Neurodivergent-only classification</x:v>
      </x:c>
      <x:c r="B65" s="14" t="str">
        <x:v>Cast/source field</x:v>
      </x:c>
      <x:c r="C65" s="14" t="str">
        <x:v>Retained without overwriting source values; derived values are separately labelled.</x:v>
      </x:c>
    </x:row>
    <x:row r="66">
      <x:c r="A66" s="14" t="str">
        <x:v>Evidence summary</x:v>
      </x:c>
      <x:c r="B66" s="14" t="str">
        <x:v>Cast/source field</x:v>
      </x:c>
      <x:c r="C66" s="14" t="str">
        <x:v>Retained without overwriting source values; derived values are separately labelled.</x:v>
      </x:c>
    </x:row>
    <x:row r="67">
      <x:c r="A67" s="14" t="str">
        <x:v>Evidence source</x:v>
      </x:c>
      <x:c r="B67" s="14" t="str">
        <x:v>Cast/source field</x:v>
      </x:c>
      <x:c r="C67" s="14" t="str">
        <x:v>Retained without overwriting source values; derived values are separately labelled.</x:v>
      </x:c>
    </x:row>
    <x:row r="68">
      <x:c r="A68" s="14" t="str">
        <x:v>Evidence URL</x:v>
      </x:c>
      <x:c r="B68" s="14" t="str">
        <x:v>Cast/source field</x:v>
      </x:c>
      <x:c r="C68" s="14" t="str">
        <x:v>Retained without overwriting source values; derived values are separately labelled.</x:v>
      </x:c>
    </x:row>
    <x:row r="69">
      <x:c r="A69" s="14" t="str">
        <x:v>Register matching status</x:v>
      </x:c>
      <x:c r="B69" s="14" t="str">
        <x:v>Disability-register field</x:v>
      </x:c>
      <x:c r="C69" s="14" t="str">
        <x:v>Retained without overwriting source values; derived values are separately labelled.</x:v>
      </x:c>
    </x:row>
    <x:row r="70">
      <x:c r="A70" s="14" t="str">
        <x:v>Register version</x:v>
      </x:c>
      <x:c r="B70" s="14" t="str">
        <x:v>Disability-register field</x:v>
      </x:c>
      <x:c r="C70" s="14" t="str">
        <x:v>Retained without overwriting source values; derived values are separately labelled.</x:v>
      </x:c>
    </x:row>
    <x:row r="71">
      <x:c r="A71" s="14" t="str">
        <x:v>Register matching notes</x:v>
      </x:c>
      <x:c r="B71" s="14" t="str">
        <x:v>Disability-register field</x:v>
      </x:c>
      <x:c r="C71" s="14" t="str">
        <x:v>Retained without overwriting source values; derived values are separately labelled.</x:v>
      </x:c>
    </x:row>
    <x:row r="72">
      <x:c r="A72" s="14" t="str">
        <x:v>Production episode total</x:v>
      </x:c>
      <x:c r="B72" s="14" t="str">
        <x:v>Cast/source field</x:v>
      </x:c>
      <x:c r="C72" s="14" t="str">
        <x:v>Retained without overwriting source values; derived values are separately labelled.</x:v>
      </x:c>
    </x:row>
    <x:row r="73">
      <x:c r="A73" s="14" t="str">
        <x:v>Episode-total basis</x:v>
      </x:c>
      <x:c r="B73" s="14" t="str">
        <x:v>Cast/source field</x:v>
      </x:c>
      <x:c r="C73" s="14" t="str">
        <x:v>Retained without overwriting source values; derived values are separately labelled.</x:v>
      </x:c>
    </x:row>
    <x:row r="74">
      <x:c r="A74" s="14" t="str">
        <x:v>Episode-total confidence</x:v>
      </x:c>
      <x:c r="B74" s="14" t="str">
        <x:v>Cast/source field</x:v>
      </x:c>
      <x:c r="C74" s="14" t="str">
        <x:v>Retained without overwriting source values; derived values are separately labelled.</x:v>
      </x:c>
    </x:row>
    <x:row r="75">
      <x:c r="A75" s="14" t="str">
        <x:v>Episodes credited</x:v>
      </x:c>
      <x:c r="B75" s="14" t="str">
        <x:v>Cast/source field</x:v>
      </x:c>
      <x:c r="C75" s="14" t="str">
        <x:v>Retained without overwriting source values; derived values are separately labelled.</x:v>
      </x:c>
    </x:row>
    <x:row r="76">
      <x:c r="A76" s="14" t="str">
        <x:v>Episode coverage percentage</x:v>
      </x:c>
      <x:c r="B76" s="14" t="str">
        <x:v>Cast/source field</x:v>
      </x:c>
      <x:c r="C76" s="14" t="str">
        <x:v>Retained without overwriting source values; derived values are separately labelled.</x:v>
      </x:c>
    </x:row>
    <x:row r="77">
      <x:c r="A77" s="14" t="str">
        <x:v>Episode-presence band</x:v>
      </x:c>
      <x:c r="B77" s="14" t="str">
        <x:v>Cast/source field</x:v>
      </x:c>
      <x:c r="C77" s="14" t="str">
        <x:v>Retained without overwriting source values; derived values are separately labelled.</x:v>
      </x:c>
    </x:row>
    <x:row r="78">
      <x:c r="A78" s="14" t="str">
        <x:v>Episode-presence confidence</x:v>
      </x:c>
      <x:c r="B78" s="14" t="str">
        <x:v>Cast/source field</x:v>
      </x:c>
      <x:c r="C78" s="14" t="str">
        <x:v>Retained without overwriting source values; derived values are separately labelled.</x:v>
      </x:c>
    </x:row>
    <x:row r="79">
      <x:c r="A79" s="14" t="str">
        <x:v>Episode-presence notes</x:v>
      </x:c>
      <x:c r="B79" s="14" t="str">
        <x:v>Cast/source field</x:v>
      </x:c>
      <x:c r="C79" s="14" t="str">
        <x:v>Retained without overwriting source values; derived values are separately labelled.</x:v>
      </x:c>
    </x:row>
    <x:row r="80">
      <x:c r="A80" s="14" t="str">
        <x:v>Narrative prominence</x:v>
      </x:c>
      <x:c r="B80" s="14" t="str">
        <x:v>Cast/source field</x:v>
      </x:c>
      <x:c r="C80" s="14" t="str">
        <x:v>Retained without overwriting source values; derived values are separately labelled.</x:v>
      </x:c>
    </x:row>
    <x:row r="81">
      <x:c r="A81" s="14" t="str">
        <x:v>Prominence evidence or basis</x:v>
      </x:c>
      <x:c r="B81" s="14" t="str">
        <x:v>Cast/source field</x:v>
      </x:c>
      <x:c r="C81" s="14" t="str">
        <x:v>Retained without overwriting source values; derived values are separately labelled.</x:v>
      </x:c>
    </x:row>
    <x:row r="82">
      <x:c r="A82" s="14" t="str">
        <x:v>Prominence source</x:v>
      </x:c>
      <x:c r="B82" s="14" t="str">
        <x:v>Cast/source field</x:v>
      </x:c>
      <x:c r="C82" s="14" t="str">
        <x:v>Retained without overwriting source values; derived values are separately labelled.</x:v>
      </x:c>
    </x:row>
    <x:row r="83">
      <x:c r="A83" s="14" t="str">
        <x:v>Prominence source URL</x:v>
      </x:c>
      <x:c r="B83" s="14" t="str">
        <x:v>Cast/source field</x:v>
      </x:c>
      <x:c r="C83" s="14" t="str">
        <x:v>Retained without overwriting source values; derived values are separately labelled.</x:v>
      </x:c>
    </x:row>
    <x:row r="84">
      <x:c r="A84" s="14" t="str">
        <x:v>Prominence confidence</x:v>
      </x:c>
      <x:c r="B84" s="14" t="str">
        <x:v>Cast/source field</x:v>
      </x:c>
      <x:c r="C84" s="14" t="str">
        <x:v>Retained without overwriting source values; derived values are separately labelled.</x:v>
      </x:c>
    </x:row>
    <x:row r="85">
      <x:c r="A85" s="14" t="str">
        <x:v>Prominence review status</x:v>
      </x:c>
      <x:c r="B85" s="14" t="str">
        <x:v>Cast/source field</x:v>
      </x:c>
      <x:c r="C85" s="14" t="str">
        <x:v>Retained without overwriting source values; derived values are separately labelled.</x:v>
      </x:c>
    </x:row>
    <x:row r="86">
      <x:c r="A86" s="14" t="str">
        <x:v>Duplicate status</x:v>
      </x:c>
      <x:c r="B86" s="14" t="str">
        <x:v>Cast/source field</x:v>
      </x:c>
      <x:c r="C86" s="14" t="str">
        <x:v>Retained without overwriting source values; derived values are separately labelled.</x:v>
      </x:c>
    </x:row>
    <x:row r="87">
      <x:c r="A87" s="14" t="str">
        <x:v>Conflict status</x:v>
      </x:c>
      <x:c r="B87" s="14" t="str">
        <x:v>Cast/source field</x:v>
      </x:c>
      <x:c r="C87" s="14" t="str">
        <x:v>Retained without overwriting source values; derived values are separately labelled.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f39d03dad3a49ac"/>
  </x:tableParts>
</x:worksheet>
</file>